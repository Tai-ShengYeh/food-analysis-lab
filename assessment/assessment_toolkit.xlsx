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_說明" sheetId="1" state="visible" r:id="rId1"/>
    <sheet name="1_目標與證據" sheetId="2" state="visible" r:id="rId2"/>
    <sheet name="2_前後測題庫" sheetId="3" state="visible" r:id="rId3"/>
    <sheet name="3_前測作答" sheetId="4" state="visible" r:id="rId4"/>
    <sheet name="4_後測作答" sheetId="5" state="visible" r:id="rId5"/>
    <sheet name="5_學習成效" sheetId="6" state="visible" r:id="rId6"/>
    <sheet name="6_試題分析" sheetId="7" state="visible" r:id="rId7"/>
    <sheet name="7_自我效能問卷" sheetId="8" state="visible" r:id="rId8"/>
    <sheet name="8_評分規準" sheetId="9" state="visible" r:id="rId9"/>
    <sheet name="9_成績總表" sheetId="10" state="visible" r:id="rId10"/>
  </sheets>
  <definedNames/>
  <calcPr calcId="124519" fullCalcOnLoad="1"/>
</workbook>
</file>

<file path=xl/styles.xml><?xml version="1.0" encoding="utf-8"?>
<styleSheet xmlns="http://schemas.openxmlformats.org/spreadsheetml/2006/main">
  <numFmts count="4">
    <numFmt numFmtId="164" formatCode="+0;-0;0"/>
    <numFmt numFmtId="165" formatCode="0.0000"/>
    <numFmt numFmtId="166" formatCode="+0.00;-0.00;0.00"/>
    <numFmt numFmtId="167" formatCode="0.0"/>
  </numFmts>
  <fonts count="8">
    <font>
      <name val="Calibri"/>
      <family val="2"/>
      <color theme="1"/>
      <sz val="11"/>
      <scheme val="minor"/>
    </font>
    <font>
      <name val="Microsoft JhengHei"/>
      <b val="1"/>
      <color rgb="001E6B66"/>
      <sz val="16"/>
    </font>
    <font>
      <name val="Microsoft JhengHei"/>
      <color rgb="005B6964"/>
      <sz val="10"/>
    </font>
    <font>
      <name val="Microsoft JhengHei"/>
      <b val="1"/>
      <color rgb="00FFFFFF"/>
      <sz val="11"/>
    </font>
    <font>
      <name val="Microsoft JhengHei"/>
      <b val="1"/>
      <sz val="11"/>
    </font>
    <font>
      <name val="Microsoft JhengHei"/>
      <sz val="11"/>
    </font>
    <font>
      <name val="Microsoft JhengHei"/>
      <b val="1"/>
      <color rgb="001E6B66"/>
      <sz val="12"/>
    </font>
    <font>
      <name val="Microsoft JhengHei"/>
      <color rgb="001E6B66"/>
      <sz val="11"/>
      <u val="single"/>
    </font>
  </fonts>
  <fills count="6">
    <fill>
      <patternFill/>
    </fill>
    <fill>
      <patternFill patternType="gray125"/>
    </fill>
    <fill>
      <patternFill patternType="solid">
        <fgColor rgb="001E6B66"/>
      </patternFill>
    </fill>
    <fill>
      <patternFill patternType="solid">
        <fgColor rgb="00FFF2CC"/>
      </patternFill>
    </fill>
    <fill>
      <patternFill patternType="solid">
        <fgColor rgb="00E2EFDA"/>
      </patternFill>
    </fill>
    <fill>
      <patternFill patternType="solid">
        <fgColor rgb="00FCE4D6"/>
      </patternFill>
    </fill>
  </fills>
  <borders count="2">
    <border>
      <left/>
      <right/>
      <top/>
      <bottom/>
      <diagonal/>
    </border>
    <border>
      <left style="thin">
        <color rgb="00C9D3CF"/>
      </left>
      <right style="thin">
        <color rgb="00C9D3CF"/>
      </right>
      <top style="thin">
        <color rgb="00C9D3CF"/>
      </top>
      <bottom style="thin">
        <color rgb="00C9D3CF"/>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pivotButton="0" quotePrefix="0" xfId="0"/>
    <xf numFmtId="0" fontId="5" fillId="0" borderId="1" applyAlignment="1" pivotButton="0" quotePrefix="0" xfId="0">
      <alignment vertical="top" wrapText="1"/>
    </xf>
    <xf numFmtId="0" fontId="6" fillId="0" borderId="0" pivotButton="0" quotePrefix="0" xfId="0"/>
    <xf numFmtId="0" fontId="7" fillId="0" borderId="0" pivotButton="0" quotePrefix="0" xfId="0"/>
    <xf numFmtId="0" fontId="2" fillId="0" borderId="0" pivotButton="0" quotePrefix="0" xfId="0"/>
    <xf numFmtId="0" fontId="5" fillId="3" borderId="1" applyAlignment="1" pivotButton="0" quotePrefix="0" xfId="0">
      <alignment vertical="top" wrapText="1"/>
    </xf>
    <xf numFmtId="0" fontId="5" fillId="3"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3" borderId="1" pivotButton="0" quotePrefix="0" xfId="0"/>
    <xf numFmtId="1" fontId="5" fillId="4" borderId="1" applyAlignment="1" pivotButton="0" quotePrefix="0" xfId="0">
      <alignment horizontal="right" vertical="center"/>
    </xf>
    <xf numFmtId="1" fontId="4" fillId="5" borderId="1" applyAlignment="1" pivotButton="0" quotePrefix="0" xfId="0">
      <alignment horizontal="right" vertical="center"/>
    </xf>
    <xf numFmtId="0" fontId="5" fillId="4" borderId="1" applyAlignment="1" pivotButton="0" quotePrefix="0" xfId="0">
      <alignment horizontal="right" vertical="center"/>
    </xf>
    <xf numFmtId="164" fontId="5" fillId="4" borderId="1" applyAlignment="1" pivotButton="0" quotePrefix="0" xfId="0">
      <alignment horizontal="right" vertical="center"/>
    </xf>
    <xf numFmtId="2" fontId="5" fillId="4" borderId="1" applyAlignment="1" pivotButton="0" quotePrefix="0" xfId="0">
      <alignment horizontal="right" vertical="center"/>
    </xf>
    <xf numFmtId="0" fontId="5" fillId="0" borderId="1" pivotButton="0" quotePrefix="0" xfId="0"/>
    <xf numFmtId="2" fontId="4" fillId="5" borderId="1" applyAlignment="1" pivotButton="0" quotePrefix="0" xfId="0">
      <alignment horizontal="right" vertical="center"/>
    </xf>
    <xf numFmtId="165" fontId="4" fillId="5" borderId="1" applyAlignment="1" pivotButton="0" quotePrefix="0" xfId="0">
      <alignment horizontal="right" vertical="center"/>
    </xf>
    <xf numFmtId="0" fontId="5" fillId="4" borderId="1" applyAlignment="1" pivotButton="0" quotePrefix="0" xfId="0">
      <alignment vertical="top" wrapText="1"/>
    </xf>
    <xf numFmtId="166" fontId="5" fillId="4" borderId="1" applyAlignment="1" pivotButton="0" quotePrefix="0" xfId="0">
      <alignment horizontal="right" vertical="center"/>
    </xf>
    <xf numFmtId="2" fontId="5" fillId="3" borderId="1" pivotButton="0" quotePrefix="0" xfId="0"/>
    <xf numFmtId="166" fontId="4" fillId="5" borderId="1" applyAlignment="1" pivotButton="0" quotePrefix="0" xfId="0">
      <alignment horizontal="right" vertical="center"/>
    </xf>
    <xf numFmtId="0" fontId="4" fillId="0" borderId="1" applyAlignment="1" pivotButton="0" quotePrefix="0" xfId="0">
      <alignment vertical="top" wrapText="1"/>
    </xf>
    <xf numFmtId="0" fontId="4" fillId="0" borderId="0" pivotButton="0" quotePrefix="0" xfId="0"/>
    <xf numFmtId="167" fontId="4" fillId="5"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chart>
    <title>
      <tx>
        <rich>
          <a:bodyPr/>
          <a:p>
            <a:pPr>
              <a:defRPr/>
            </a:pPr>
            <a:r>
              <a:t>Pre vs post score</a:t>
            </a:r>
          </a:p>
        </rich>
      </tx>
    </title>
    <plotArea>
      <barChart>
        <barDir val="col"/>
        <grouping val="clustered"/>
        <ser>
          <idx val="0"/>
          <order val="0"/>
          <tx>
            <strRef>
              <f>'5_學習成效'!C4</f>
            </strRef>
          </tx>
          <spPr>
            <a:ln>
              <a:prstDash val="solid"/>
            </a:ln>
          </spPr>
          <cat>
            <numRef>
              <f>'5_學習成效'!$A$5:$A$19</f>
            </numRef>
          </cat>
          <val>
            <numRef>
              <f>'5_學習成效'!$C$5:$C$19</f>
            </numRef>
          </val>
        </ser>
        <ser>
          <idx val="1"/>
          <order val="1"/>
          <tx>
            <strRef>
              <f>'5_學習成效'!D4</f>
            </strRef>
          </tx>
          <spPr>
            <a:ln>
              <a:prstDash val="solid"/>
            </a:ln>
          </spPr>
          <cat>
            <numRef>
              <f>'5_學習成效'!$A$5:$A$19</f>
            </numRef>
          </cat>
          <val>
            <numRef>
              <f>'5_學習成效'!$D$5:$D$19</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a:p>
                <a:pPr>
                  <a:defRPr/>
                </a:pPr>
                <a:r>
                  <a:t>Score</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Self-efficacy by item</a:t>
            </a:r>
          </a:p>
        </rich>
      </tx>
    </title>
    <plotArea>
      <barChart>
        <barDir val="bar"/>
        <grouping val="clustered"/>
        <ser>
          <idx val="0"/>
          <order val="0"/>
          <tx>
            <strRef>
              <f>'7_自我效能問卷'!C4</f>
            </strRef>
          </tx>
          <spPr>
            <a:ln>
              <a:prstDash val="solid"/>
            </a:ln>
          </spPr>
          <cat>
            <numRef>
              <f>'7_自我效能問卷'!$A$5:$A$14</f>
            </numRef>
          </cat>
          <val>
            <numRef>
              <f>'7_自我效能問卷'!$C$5:$C$14</f>
            </numRef>
          </val>
        </ser>
        <ser>
          <idx val="1"/>
          <order val="1"/>
          <tx>
            <strRef>
              <f>'7_自我效能問卷'!D4</f>
            </strRef>
          </tx>
          <spPr>
            <a:ln>
              <a:prstDash val="solid"/>
            </a:ln>
          </spPr>
          <cat>
            <numRef>
              <f>'7_自我效能問卷'!$A$5:$A$14</f>
            </numRef>
          </cat>
          <val>
            <numRef>
              <f>'7_自我效能問卷'!$D$5:$D$14</f>
            </numRef>
          </val>
        </ser>
        <ser>
          <idx val="2"/>
          <order val="2"/>
          <tx>
            <strRef>
              <f>'7_自我效能問卷'!E4</f>
            </strRef>
          </tx>
          <spPr>
            <a:ln>
              <a:prstDash val="solid"/>
            </a:ln>
          </spPr>
          <cat>
            <numRef>
              <f>'7_自我效能問卷'!$A$5:$A$14</f>
            </numRef>
          </cat>
          <val>
            <numRef>
              <f>'7_自我效能問卷'!$E$5:$E$14</f>
            </numRef>
          </val>
        </ser>
        <gapWidth val="150"/>
        <axId val="10"/>
        <axId val="100"/>
      </barChart>
      <catAx>
        <axId val="10"/>
        <scaling>
          <orientation val="minMax"/>
        </scaling>
        <delete val="0"/>
        <axPos val="l"/>
        <title>
          <tx>
            <rich>
              <a:bodyPr/>
              <a:p>
                <a:pPr>
                  <a:defRPr/>
                </a:pPr>
                <a:r>
                  <a:t/>
                </a:r>
              </a:p>
            </rich>
          </tx>
        </title>
        <majorTickMark val="none"/>
        <minorTickMark val="none"/>
        <crossAx val="100"/>
        <lblOffset val="100"/>
      </catAx>
      <valAx>
        <axId val="100"/>
        <scaling>
          <orientation val="minMax"/>
          <max val="5"/>
          <min val="1"/>
        </scaling>
        <delete val="0"/>
        <axPos val="l"/>
        <majorGridlines/>
        <title>
          <tx>
            <rich>
              <a:bodyPr/>
              <a:p>
                <a:pPr>
                  <a:defRPr/>
                </a:pPr>
                <a:r>
                  <a:t>Mean (1–5)</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17</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18</row>
      <rowOff>0</rowOff>
    </from>
    <ext cx="648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ai-shengyeh.github.io/food-analysis-lab/assessment.html" TargetMode="External" Id="rId1" /></Relationships>
</file>

<file path=xl/worksheets/_rels/sheet6.xml.rels><Relationships xmlns="http://schemas.openxmlformats.org/package/2006/relationships"><Relationship Type="http://schemas.openxmlformats.org/officeDocument/2006/relationships/drawing" Target="/xl/drawings/drawing1.xml" Id="rId1" /></Relationships>
</file>

<file path=xl/worksheets/_rels/sheet8.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001E6B66"/>
    <outlinePr summaryBelow="1" summaryRight="1"/>
    <pageSetUpPr fitToPage="1"/>
  </sheetPr>
  <dimension ref="B1:C25"/>
  <sheetViews>
    <sheetView showGridLines="0" workbookViewId="0">
      <selection activeCell="A1" sqref="A1"/>
    </sheetView>
  </sheetViews>
  <sheetFormatPr baseColWidth="8" defaultRowHeight="15"/>
  <cols>
    <col width="4" customWidth="1" min="1" max="1"/>
    <col width="30" customWidth="1" min="2" max="2"/>
    <col width="90" customWidth="1" min="3" max="3"/>
  </cols>
  <sheetData>
    <row r="1">
      <c r="B1" s="1" t="inlineStr">
        <is>
          <t>學習成效評量工具包（教師用）</t>
        </is>
      </c>
    </row>
    <row r="2">
      <c r="B2" s="2" t="inlineStr">
        <is>
          <t>食品分析實驗｜配合 assessment.html 使用。所有示範數據都是模擬的，正式使用前請清空黃色的學生資料區。</t>
        </is>
      </c>
    </row>
    <row r="4">
      <c r="B4" s="3" t="inlineStr">
        <is>
          <t>工作表</t>
        </is>
      </c>
      <c r="C4" s="3" t="inlineStr">
        <is>
          <t>用途</t>
        </is>
      </c>
    </row>
    <row r="5">
      <c r="B5" s="4" t="inlineStr">
        <is>
          <t>1_目標與證據</t>
        </is>
      </c>
      <c r="C5" s="5" t="inlineStr">
        <is>
          <t>先確認每個學習目標由哪些評量提供證據。</t>
        </is>
      </c>
    </row>
    <row r="6">
      <c r="B6" s="4" t="inlineStr">
        <is>
          <t>2_前後測題庫</t>
        </is>
      </c>
      <c r="C6" s="5" t="inlineStr">
        <is>
          <t>15 題概念題，W1 前測、W18 後測用同一份。可直接貼到 Google 表單（測驗模式）。</t>
        </is>
      </c>
    </row>
    <row r="7">
      <c r="B7" s="4" t="inlineStr">
        <is>
          <t>3_前測作答／4_後測作答</t>
        </is>
      </c>
      <c r="C7" s="5" t="inlineStr">
        <is>
          <t>貼上學生的 A/B/C/D 答案，自動改分。</t>
        </is>
      </c>
    </row>
    <row r="8">
      <c r="B8" s="4" t="inlineStr">
        <is>
          <t>5_學習成效</t>
        </is>
      </c>
      <c r="C8" s="5" t="inlineStr">
        <is>
          <t>個人與全班的標準化增益 g、配對 t 檢定、效果量。</t>
        </is>
      </c>
    </row>
    <row r="9">
      <c r="B9" s="4" t="inlineStr">
        <is>
          <t>6_試題分析</t>
        </is>
      </c>
      <c r="C9" s="5" t="inlineStr">
        <is>
          <t>每題的答對率與鑑別度，找出全班仍沒學會的觀念，依學習目標彙整。</t>
        </is>
      </c>
    </row>
    <row r="10">
      <c r="B10" s="4" t="inlineStr">
        <is>
          <t>7_自我效能問卷</t>
        </is>
      </c>
      <c r="C10" s="5" t="inlineStr">
        <is>
          <t>W1、W9、W18 各填一次；看信心的變化，和前後測對照找迷思。</t>
        </is>
      </c>
    </row>
    <row r="11">
      <c r="B11" s="4" t="inlineStr">
        <is>
          <t>8_評分規準</t>
        </is>
      </c>
      <c r="C11" s="5" t="inlineStr">
        <is>
          <t>每週作業與實作考的四級規準，工具中立；附評分試算。</t>
        </is>
      </c>
    </row>
    <row r="12">
      <c r="B12" s="4" t="inlineStr">
        <is>
          <t>9_成績總表</t>
        </is>
      </c>
      <c r="C12" s="5" t="inlineStr">
        <is>
          <t>依權重算學期成績，含進階加分（Colab/Jupyter）。</t>
        </is>
      </c>
    </row>
    <row r="15">
      <c r="B15" s="6" t="inlineStr">
        <is>
          <t>建議時程</t>
        </is>
      </c>
    </row>
    <row r="16">
      <c r="B16" s="4" t="inlineStr">
        <is>
          <t>W1</t>
        </is>
      </c>
      <c r="C16" s="5" t="inlineStr">
        <is>
          <t>前測（15 分鐘）＋自我效能問卷；說明評分規準</t>
        </is>
      </c>
    </row>
    <row r="17">
      <c r="B17" s="4" t="inlineStr">
        <is>
          <t>每週</t>
        </is>
      </c>
      <c r="C17" s="5" t="inlineStr">
        <is>
          <t>課後 3 分鐘出場券（1 題觀念題＋「今天最不懂的一點」）</t>
        </is>
      </c>
    </row>
    <row r="18">
      <c r="B18" s="4" t="inlineStr">
        <is>
          <t>W4、W8</t>
        </is>
      </c>
      <c r="C18" s="5" t="inlineStr">
        <is>
          <t>數據作業回饋：依規準給分並附一句具體建議</t>
        </is>
      </c>
    </row>
    <row r="19">
      <c r="B19" s="4" t="inlineStr">
        <is>
          <t>W9</t>
        </is>
      </c>
      <c r="C19" s="5" t="inlineStr">
        <is>
          <t>期中實作考（Excel 或 Colab 任選）＋自我效能問卷</t>
        </is>
      </c>
    </row>
    <row r="20">
      <c r="B20" s="4" t="inlineStr">
        <is>
          <t>W17</t>
        </is>
      </c>
      <c r="C20" s="5" t="inlineStr">
        <is>
          <t>專題發表與同儕審查</t>
        </is>
      </c>
    </row>
    <row r="21">
      <c r="B21" s="4" t="inlineStr">
        <is>
          <t>W18</t>
        </is>
      </c>
      <c r="C21" s="5" t="inlineStr">
        <is>
          <t>後測＋自我效能問卷；期末實作考（Orange 或 Colab 任選）</t>
        </is>
      </c>
    </row>
    <row r="22">
      <c r="B22" s="4" t="inlineStr">
        <is>
          <t>期末後</t>
        </is>
      </c>
      <c r="C22" s="5" t="inlineStr">
        <is>
          <t>看 5_學習成效 與 6_試題分析，寫下學期要調整的 3 件事</t>
        </is>
      </c>
    </row>
    <row r="25">
      <c r="B25" s="7" t="inlineStr">
        <is>
          <t>評量設計說明（網頁）</t>
        </is>
      </c>
      <c r="C25" s="8" t="inlineStr">
        <is>
          <t>https://tai-shengyeh.github.io/food-analysis-lab/assessment.html</t>
        </is>
      </c>
    </row>
  </sheetData>
  <mergeCells count="1">
    <mergeCell ref="B2:C2"/>
  </mergeCells>
  <hyperlinks>
    <hyperlink xmlns:r="http://schemas.openxmlformats.org/officeDocument/2006/relationships" ref="B25" r:id="rId1"/>
  </hyperlinks>
  <pageMargins left="0.75" right="0.75" top="1" bottom="1" header="0.5" footer="0.5"/>
  <pageSetup orientation="landscape" paperSize="9" fitToHeight="0" fitToWidth="1"/>
</worksheet>
</file>

<file path=xl/worksheets/sheet2.xml><?xml version="1.0" encoding="utf-8"?>
<worksheet xmlns="http://schemas.openxmlformats.org/spreadsheetml/2006/main">
  <sheetPr>
    <tabColor rgb="001E6B66"/>
    <outlinePr summaryBelow="1" summaryRight="1"/>
    <pageSetUpPr fitToPage="1"/>
  </sheetPr>
  <dimension ref="A1:J11"/>
  <sheetViews>
    <sheetView showGridLines="0" workbookViewId="0">
      <selection activeCell="A1" sqref="A1"/>
    </sheetView>
  </sheetViews>
  <sheetFormatPr baseColWidth="8" defaultRowHeight="15"/>
  <cols>
    <col width="8" customWidth="1" min="1" max="1"/>
    <col width="30" customWidth="1" min="2" max="2"/>
    <col width="36"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課程學習目標 × 評量證據對應表</t>
        </is>
      </c>
    </row>
    <row r="2">
      <c r="A2" s="2" t="inlineStr">
        <is>
          <t>每一個目標至少要有兩種不同的證據。✔＝這項評量主要用來看這個目標；○＝次要。黃色格子可以依你的課程修改。</t>
        </is>
      </c>
    </row>
    <row r="4" ht="34" customHeight="1">
      <c r="A4" s="3" t="inlineStr">
        <is>
          <t>代號</t>
        </is>
      </c>
      <c r="B4" s="3" t="inlineStr">
        <is>
          <t>學習目標</t>
        </is>
      </c>
      <c r="C4" s="3" t="inlineStr">
        <is>
          <t>具體表現</t>
        </is>
      </c>
      <c r="D4" s="3" t="inlineStr">
        <is>
          <t>前後測</t>
        </is>
      </c>
      <c r="E4" s="3" t="inlineStr">
        <is>
          <t>每週數據作業</t>
        </is>
      </c>
      <c r="F4" s="3" t="inlineStr">
        <is>
          <t>實驗報告</t>
        </is>
      </c>
      <c r="G4" s="3" t="inlineStr">
        <is>
          <t>期中實作</t>
        </is>
      </c>
      <c r="H4" s="3" t="inlineStr">
        <is>
          <t>期末實作</t>
        </is>
      </c>
      <c r="I4" s="3" t="inlineStr">
        <is>
          <t>專題成績單</t>
        </is>
      </c>
      <c r="J4" s="3" t="inlineStr">
        <is>
          <t>自我效能問卷</t>
        </is>
      </c>
    </row>
    <row r="5" ht="34" customHeight="1">
      <c r="A5" s="4" t="inlineStr">
        <is>
          <t>CLO1</t>
        </is>
      </c>
      <c r="B5" s="9" t="inlineStr">
        <is>
          <t>正確操作一般成分分析並完成計算</t>
        </is>
      </c>
      <c r="C5" s="9" t="inlineStr">
        <is>
          <t>濕基/乾基、%N×係數、回收率、稀釋倍數</t>
        </is>
      </c>
      <c r="D5" s="10" t="inlineStr">
        <is>
          <t>✔</t>
        </is>
      </c>
      <c r="E5" s="10" t="inlineStr">
        <is>
          <t>✔</t>
        </is>
      </c>
      <c r="F5" s="10" t="inlineStr">
        <is>
          <t>✔</t>
        </is>
      </c>
      <c r="G5" s="10" t="inlineStr">
        <is>
          <t>✔</t>
        </is>
      </c>
      <c r="H5" s="10" t="inlineStr"/>
      <c r="I5" s="10" t="inlineStr"/>
      <c r="J5" s="10" t="inlineStr">
        <is>
          <t>○</t>
        </is>
      </c>
    </row>
    <row r="6" ht="34" customHeight="1">
      <c r="A6" s="4" t="inlineStr">
        <is>
          <t>CLO2</t>
        </is>
      </c>
      <c r="B6" s="9" t="inlineStr">
        <is>
          <t>用統計判斷數據品質並下結論</t>
        </is>
      </c>
      <c r="C6" s="9" t="inlineStr">
        <is>
          <t>SD/RSD/CI、檢定、檢量線、z-score、管制圖、不確定度</t>
        </is>
      </c>
      <c r="D6" s="10" t="inlineStr">
        <is>
          <t>✔</t>
        </is>
      </c>
      <c r="E6" s="10" t="inlineStr">
        <is>
          <t>✔</t>
        </is>
      </c>
      <c r="F6" s="10" t="inlineStr">
        <is>
          <t>✔</t>
        </is>
      </c>
      <c r="G6" s="10" t="inlineStr">
        <is>
          <t>✔</t>
        </is>
      </c>
      <c r="H6" s="10" t="inlineStr"/>
      <c r="I6" s="10" t="inlineStr">
        <is>
          <t>○</t>
        </is>
      </c>
      <c r="J6" s="10" t="inlineStr">
        <is>
          <t>○</t>
        </is>
      </c>
    </row>
    <row r="7" ht="34" customHeight="1">
      <c r="A7" s="4" t="inlineStr">
        <is>
          <t>CLO3</t>
        </is>
      </c>
      <c r="B7" s="9" t="inlineStr">
        <is>
          <t>建立與評估光譜化學計量模型</t>
        </is>
      </c>
      <c r="C7" s="9" t="inlineStr">
        <is>
          <t>前處理、PCA、PLS、RMSECV/RMSEP、適用範圍</t>
        </is>
      </c>
      <c r="D7" s="10" t="inlineStr">
        <is>
          <t>✔</t>
        </is>
      </c>
      <c r="E7" s="10" t="inlineStr">
        <is>
          <t>○</t>
        </is>
      </c>
      <c r="F7" s="10" t="inlineStr"/>
      <c r="G7" s="10" t="inlineStr"/>
      <c r="H7" s="10" t="inlineStr">
        <is>
          <t>✔</t>
        </is>
      </c>
      <c r="I7" s="10" t="inlineStr">
        <is>
          <t>✔</t>
        </is>
      </c>
      <c r="J7" s="10" t="inlineStr">
        <is>
          <t>○</t>
        </is>
      </c>
    </row>
    <row r="8" ht="34" customHeight="1">
      <c r="A8" s="4" t="inlineStr">
        <is>
          <t>CLO4</t>
        </is>
      </c>
      <c r="B8" s="9" t="inlineStr">
        <is>
          <t>依問題選擇合適的分析工具</t>
        </is>
      </c>
      <c r="C8" s="9" t="inlineStr">
        <is>
          <t>Excel / Orange / Colab，結果能互相核對</t>
        </is>
      </c>
      <c r="D8" s="10" t="inlineStr"/>
      <c r="E8" s="10" t="inlineStr">
        <is>
          <t>✔</t>
        </is>
      </c>
      <c r="F8" s="10" t="inlineStr"/>
      <c r="G8" s="10" t="inlineStr">
        <is>
          <t>✔</t>
        </is>
      </c>
      <c r="H8" s="10" t="inlineStr">
        <is>
          <t>✔</t>
        </is>
      </c>
      <c r="I8" s="10" t="inlineStr">
        <is>
          <t>○</t>
        </is>
      </c>
      <c r="J8" s="10" t="inlineStr">
        <is>
          <t>✔</t>
        </is>
      </c>
    </row>
    <row r="9" ht="34" customHeight="1">
      <c r="A9" s="4" t="inlineStr">
        <is>
          <t>CLO5</t>
        </is>
      </c>
      <c r="B9" s="9" t="inlineStr">
        <is>
          <t>以書面與口頭清楚溝通數據</t>
        </is>
      </c>
      <c r="C9" s="9" t="inlineStr">
        <is>
          <t>報告、模型成績單、同儕審查</t>
        </is>
      </c>
      <c r="D9" s="10" t="inlineStr"/>
      <c r="E9" s="10" t="inlineStr"/>
      <c r="F9" s="10" t="inlineStr">
        <is>
          <t>✔</t>
        </is>
      </c>
      <c r="G9" s="10" t="inlineStr"/>
      <c r="H9" s="10" t="inlineStr"/>
      <c r="I9" s="10" t="inlineStr">
        <is>
          <t>✔</t>
        </is>
      </c>
      <c r="J9" s="10" t="inlineStr"/>
    </row>
    <row r="11" ht="34" customHeight="1">
      <c r="A11" s="2" t="inlineStr">
        <is>
          <t>CLO4 是本課程特別加的目標：學生不必每個工具都精通，但要知道什麼問題用什麼工具，並能用第二個工具核對答案（例如 Excel 算出的 RMSEP 與 Orange 一致）。</t>
        </is>
      </c>
    </row>
  </sheetData>
  <mergeCells count="2">
    <mergeCell ref="A11:J11"/>
    <mergeCell ref="A2:J2"/>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tabColor rgb="001E6B66"/>
    <outlinePr summaryBelow="1" summaryRight="1"/>
    <pageSetUpPr fitToPage="1"/>
  </sheetPr>
  <dimension ref="A1:I19"/>
  <sheetViews>
    <sheetView showGridLines="0" workbookViewId="0">
      <selection activeCell="A1" sqref="A1"/>
    </sheetView>
  </sheetViews>
  <sheetFormatPr baseColWidth="8" defaultRowHeight="15"/>
  <cols>
    <col width="5" customWidth="1" min="1" max="1"/>
    <col width="8" customWidth="1" min="2" max="2"/>
    <col width="7" customWidth="1" min="3" max="3"/>
    <col width="58" customWidth="1" min="4" max="4"/>
    <col width="26" customWidth="1" min="5" max="5"/>
    <col width="26" customWidth="1" min="6" max="6"/>
    <col width="26" customWidth="1" min="7" max="7"/>
    <col width="26" customWidth="1" min="8" max="8"/>
    <col width="7" customWidth="1" min="9" max="9"/>
  </cols>
  <sheetData>
    <row r="1">
      <c r="A1" s="1" t="inlineStr">
        <is>
          <t>概念前後測題庫（15 題，同一份卷 W1 前測、W18 後測）</t>
        </is>
      </c>
    </row>
    <row r="2">
      <c r="A2" s="2" t="inlineStr">
        <is>
          <t>題目只考觀念，不考軟體操作，用 Excel、Orange 或 Colab 的學生都能作答。可以直接貼到 Google 表單（測驗模式）。正確答案在 I 欄，印給學生前請隱藏。</t>
        </is>
      </c>
    </row>
    <row r="4" ht="24" customHeight="1">
      <c r="A4" s="3" t="inlineStr">
        <is>
          <t>題號</t>
        </is>
      </c>
      <c r="B4" s="3" t="inlineStr">
        <is>
          <t>週次</t>
        </is>
      </c>
      <c r="C4" s="3" t="inlineStr">
        <is>
          <t>目標</t>
        </is>
      </c>
      <c r="D4" s="3" t="inlineStr">
        <is>
          <t>題目</t>
        </is>
      </c>
      <c r="E4" s="3" t="inlineStr">
        <is>
          <t>A</t>
        </is>
      </c>
      <c r="F4" s="3" t="inlineStr">
        <is>
          <t>B</t>
        </is>
      </c>
      <c r="G4" s="3" t="inlineStr">
        <is>
          <t>C</t>
        </is>
      </c>
      <c r="H4" s="3" t="inlineStr">
        <is>
          <t>D</t>
        </is>
      </c>
      <c r="I4" s="3" t="inlineStr">
        <is>
          <t>答案</t>
        </is>
      </c>
    </row>
    <row r="5" ht="48" customHeight="1">
      <c r="A5" s="11" t="n">
        <v>1</v>
      </c>
      <c r="B5" s="11" t="inlineStr">
        <is>
          <t>W1</t>
        </is>
      </c>
      <c r="C5" s="11" t="inlineStr">
        <is>
          <t>CLO2</t>
        </is>
      </c>
      <c r="D5" s="9" t="inlineStr">
        <is>
          <t>同一支吸管重複 10 次：SD 很小，但平均比標稱值低 0.03 mL（Class A 公差 ±0.02 mL）。這代表？</t>
        </is>
      </c>
      <c r="E5" s="9" t="inlineStr">
        <is>
          <t>精密但不準確</t>
        </is>
      </c>
      <c r="F5" s="9" t="inlineStr">
        <is>
          <t>準確且精密</t>
        </is>
      </c>
      <c r="G5" s="9" t="inlineStr">
        <is>
          <t>準確但不精密</t>
        </is>
      </c>
      <c r="H5" s="9" t="inlineStr">
        <is>
          <t>既不準確也不精密</t>
        </is>
      </c>
      <c r="I5" s="10" t="inlineStr">
        <is>
          <t>A</t>
        </is>
      </c>
    </row>
    <row r="6" ht="48" customHeight="1">
      <c r="A6" s="11" t="n">
        <v>2</v>
      </c>
      <c r="B6" s="11" t="inlineStr">
        <is>
          <t>W1</t>
        </is>
      </c>
      <c r="C6" s="11" t="inlineStr">
        <is>
          <t>CLO2</t>
        </is>
      </c>
      <c r="D6" s="9" t="inlineStr">
        <is>
          <t>想讓平均值的 95% 信賴區間變窄，最直接的做法是？</t>
        </is>
      </c>
      <c r="E6" s="9" t="inlineStr">
        <is>
          <t>改用 STDEV.P 計算</t>
        </is>
      </c>
      <c r="F6" s="9" t="inlineStr">
        <is>
          <t>增加重複次數</t>
        </is>
      </c>
      <c r="G6" s="9" t="inlineStr">
        <is>
          <t>平均值多報幾位小數</t>
        </is>
      </c>
      <c r="H6" s="9" t="inlineStr">
        <is>
          <t>刪掉最大的那個值</t>
        </is>
      </c>
      <c r="I6" s="10" t="inlineStr">
        <is>
          <t>B</t>
        </is>
      </c>
    </row>
    <row r="7" ht="48" customHeight="1">
      <c r="A7" s="11" t="n">
        <v>3</v>
      </c>
      <c r="B7" s="11" t="inlineStr">
        <is>
          <t>W2</t>
        </is>
      </c>
      <c r="C7" s="11" t="inlineStr">
        <is>
          <t>CLO1</t>
        </is>
      </c>
      <c r="D7" s="9" t="inlineStr">
        <is>
          <t>濕基水分 20%，換算成乾基水分是多少？</t>
        </is>
      </c>
      <c r="E7" s="9" t="inlineStr">
        <is>
          <t>25%</t>
        </is>
      </c>
      <c r="F7" s="9" t="inlineStr">
        <is>
          <t>80%</t>
        </is>
      </c>
      <c r="G7" s="9" t="inlineStr">
        <is>
          <t>20%</t>
        </is>
      </c>
      <c r="H7" s="9" t="inlineStr">
        <is>
          <t>16.7%</t>
        </is>
      </c>
      <c r="I7" s="10" t="inlineStr">
        <is>
          <t>A</t>
        </is>
      </c>
    </row>
    <row r="8" ht="48" customHeight="1">
      <c r="A8" s="11" t="n">
        <v>4</v>
      </c>
      <c r="B8" s="11" t="inlineStr">
        <is>
          <t>W2/W4</t>
        </is>
      </c>
      <c r="C8" s="11" t="inlineStr">
        <is>
          <t>CLO2</t>
        </is>
      </c>
      <c r="D8" s="9" t="inlineStr">
        <is>
          <t>兩種方法測同一批樣品，要比較兩種方法時應該用？</t>
        </is>
      </c>
      <c r="E8" s="9" t="inlineStr">
        <is>
          <t>只看相關係數 r 是否接近 1</t>
        </is>
      </c>
      <c r="F8" s="9" t="inlineStr">
        <is>
          <t>只比較兩種方法的 SD</t>
        </is>
      </c>
      <c r="G8" s="9" t="inlineStr">
        <is>
          <t>配對 t 檢定或 Bland–Altman 圖</t>
        </is>
      </c>
      <c r="H8" s="9" t="inlineStr">
        <is>
          <t>兩個獨立樣本的 t 檢定</t>
        </is>
      </c>
      <c r="I8" s="10" t="inlineStr">
        <is>
          <t>C</t>
        </is>
      </c>
    </row>
    <row r="9" ht="48" customHeight="1">
      <c r="A9" s="11" t="n">
        <v>5</v>
      </c>
      <c r="B9" s="11" t="inlineStr">
        <is>
          <t>W3</t>
        </is>
      </c>
      <c r="C9" s="11" t="inlineStr">
        <is>
          <t>CLO2</t>
        </is>
      </c>
      <c r="D9" s="9" t="inlineStr">
        <is>
          <t>鈉的標準添加回收率只有 76%，最可能表示？</t>
        </is>
      </c>
      <c r="E9" s="9" t="inlineStr">
        <is>
          <t>儀器的精密度很好</t>
        </is>
      </c>
      <c r="F9" s="9" t="inlineStr">
        <is>
          <t>樣品本身含鈉很高</t>
        </is>
      </c>
      <c r="G9" s="9" t="inlineStr">
        <is>
          <t>有基質干擾或損失，結果可能偏低</t>
        </is>
      </c>
      <c r="H9" s="9" t="inlineStr">
        <is>
          <t>稀釋倍數被算成兩倍</t>
        </is>
      </c>
      <c r="I9" s="10" t="inlineStr">
        <is>
          <t>C</t>
        </is>
      </c>
    </row>
    <row r="10" ht="48" customHeight="1">
      <c r="A10" s="11" t="n">
        <v>6</v>
      </c>
      <c r="B10" s="11" t="inlineStr">
        <is>
          <t>W5</t>
        </is>
      </c>
      <c r="C10" s="11" t="inlineStr">
        <is>
          <t>CLO1</t>
        </is>
      </c>
      <c r="D10" s="9" t="inlineStr">
        <is>
          <t>全脂奶粉若用 6.25（而非 6.38）把 %N 換算成蛋白質，結果會？</t>
        </is>
      </c>
      <c r="E10" s="9" t="inlineStr">
        <is>
          <t>無法判斷</t>
        </is>
      </c>
      <c r="F10" s="9" t="inlineStr">
        <is>
          <t>偏高</t>
        </is>
      </c>
      <c r="G10" s="9" t="inlineStr">
        <is>
          <t>不變</t>
        </is>
      </c>
      <c r="H10" s="9" t="inlineStr">
        <is>
          <t>偏低</t>
        </is>
      </c>
      <c r="I10" s="10" t="inlineStr">
        <is>
          <t>D</t>
        </is>
      </c>
    </row>
    <row r="11" ht="48" customHeight="1">
      <c r="A11" s="11" t="n">
        <v>7</v>
      </c>
      <c r="B11" s="11" t="inlineStr">
        <is>
          <t>W7</t>
        </is>
      </c>
      <c r="C11" s="11" t="inlineStr">
        <is>
          <t>CLO2</t>
        </is>
      </c>
      <c r="D11" s="9" t="inlineStr">
        <is>
          <t>檢量線 R² = 0.999，代表什麼？</t>
        </is>
      </c>
      <c r="E11" s="9" t="inlineStr">
        <is>
          <t>一定是完美的直線關係</t>
        </is>
      </c>
      <c r="F11" s="9" t="inlineStr">
        <is>
          <t>殘差圖仍可能有彎曲，還要檢查殘差</t>
        </is>
      </c>
      <c r="G11" s="9" t="inlineStr">
        <is>
          <t>LOD 一定很低</t>
        </is>
      </c>
      <c r="H11" s="9" t="inlineStr">
        <is>
          <t>樣品濃度一定準確</t>
        </is>
      </c>
      <c r="I11" s="10" t="inlineStr">
        <is>
          <t>B</t>
        </is>
      </c>
    </row>
    <row r="12" ht="48" customHeight="1">
      <c r="A12" s="11" t="n">
        <v>8</v>
      </c>
      <c r="B12" s="11" t="inlineStr">
        <is>
          <t>W7</t>
        </is>
      </c>
      <c r="C12" s="11" t="inlineStr">
        <is>
          <t>CLO2</t>
        </is>
      </c>
      <c r="D12" s="9" t="inlineStr">
        <is>
          <t>樣品的吸光值高於最高濃度的標準品，正確做法是？</t>
        </is>
      </c>
      <c r="E12" s="9" t="inlineStr">
        <is>
          <t>延長檢量線外插計算</t>
        </is>
      </c>
      <c r="F12" s="9" t="inlineStr">
        <is>
          <t>直接報告為最高標準品的濃度</t>
        </is>
      </c>
      <c r="G12" s="9" t="inlineStr">
        <is>
          <t>用 R² 修正結果</t>
        </is>
      </c>
      <c r="H12" s="9" t="inlineStr">
        <is>
          <t>稀釋後重測，讓它落在檢量線範圍內</t>
        </is>
      </c>
      <c r="I12" s="10" t="inlineStr">
        <is>
          <t>D</t>
        </is>
      </c>
    </row>
    <row r="13" ht="48" customHeight="1">
      <c r="A13" s="11" t="n">
        <v>9</v>
      </c>
      <c r="B13" s="11" t="inlineStr">
        <is>
          <t>W8</t>
        </is>
      </c>
      <c r="C13" s="11" t="inlineStr">
        <is>
          <t>CLO2</t>
        </is>
      </c>
      <c r="D13" s="9" t="inlineStr">
        <is>
          <t>能力試驗中，某組的 z-score = −3.8，應判定為？</t>
        </is>
      </c>
      <c r="E13" s="9" t="inlineStr">
        <is>
          <t>滿意</t>
        </is>
      </c>
      <c r="F13" s="9" t="inlineStr">
        <is>
          <t>可疑</t>
        </is>
      </c>
      <c r="G13" s="9" t="inlineStr">
        <is>
          <t>無法判定</t>
        </is>
      </c>
      <c r="H13" s="9" t="inlineStr">
        <is>
          <t>不滿意</t>
        </is>
      </c>
      <c r="I13" s="10" t="inlineStr">
        <is>
          <t>D</t>
        </is>
      </c>
    </row>
    <row r="14" ht="48" customHeight="1">
      <c r="A14" s="11" t="n">
        <v>10</v>
      </c>
      <c r="B14" s="11" t="inlineStr">
        <is>
          <t>W8</t>
        </is>
      </c>
      <c r="C14" s="11" t="inlineStr">
        <is>
          <t>CLO2</t>
        </is>
      </c>
      <c r="D14" s="9" t="inlineStr">
        <is>
          <t>五組灰分結果的單因子 ANOVA 得 p = 0.0004，代表？</t>
        </is>
      </c>
      <c r="E14" s="9" t="inlineStr">
        <is>
          <t>組內重複性很差</t>
        </is>
      </c>
      <c r="F14" s="9" t="inlineStr">
        <is>
          <t>至少有一組的平均和其他組不同</t>
        </is>
      </c>
      <c r="G14" s="9" t="inlineStr">
        <is>
          <t>數據裡一定有離群值</t>
        </is>
      </c>
      <c r="H14" s="9" t="inlineStr">
        <is>
          <t>每一組都彼此不同</t>
        </is>
      </c>
      <c r="I14" s="10" t="inlineStr">
        <is>
          <t>B</t>
        </is>
      </c>
    </row>
    <row r="15" ht="48" customHeight="1">
      <c r="A15" s="11" t="n">
        <v>11</v>
      </c>
      <c r="B15" s="11" t="inlineStr">
        <is>
          <t>W8</t>
        </is>
      </c>
      <c r="C15" s="11" t="inlineStr">
        <is>
          <t>CLO2</t>
        </is>
      </c>
      <c r="D15" s="9" t="inlineStr">
        <is>
          <t>規格為蛋白質 ≥ 25.0%，測得 25.2 ± 0.4%（擴充不確定度 U，k = 2），應判定？</t>
        </is>
      </c>
      <c r="E15" s="9" t="inlineStr">
        <is>
          <t>無法判斷：區間跨過規格限</t>
        </is>
      </c>
      <c r="F15" s="9" t="inlineStr">
        <is>
          <t>不放行</t>
        </is>
      </c>
      <c r="G15" s="9" t="inlineStr">
        <is>
          <t>放行</t>
        </is>
      </c>
      <c r="H15" s="9" t="inlineStr">
        <is>
          <t>再測一次取平均就可以放行</t>
        </is>
      </c>
      <c r="I15" s="10" t="inlineStr">
        <is>
          <t>A</t>
        </is>
      </c>
    </row>
    <row r="16" ht="48" customHeight="1">
      <c r="A16" s="11" t="n">
        <v>12</v>
      </c>
      <c r="B16" s="11" t="inlineStr">
        <is>
          <t>W11</t>
        </is>
      </c>
      <c r="C16" s="11" t="inlineStr">
        <is>
          <t>CLO3</t>
        </is>
      </c>
      <c r="D16" s="9" t="inlineStr">
        <is>
          <t>光譜比對前先做正規化（例如向量正規化、SNV），主要目的是？</t>
        </is>
      </c>
      <c r="E16" s="9" t="inlineStr">
        <is>
          <t>把雜訊峰去掉</t>
        </is>
      </c>
      <c r="F16" s="9" t="inlineStr">
        <is>
          <t>消除強度差異（濃度、光程、散射），只比較形狀</t>
        </is>
      </c>
      <c r="G16" s="9" t="inlineStr">
        <is>
          <t>增加波數的資料點</t>
        </is>
      </c>
      <c r="H16" s="9" t="inlineStr">
        <is>
          <t>讓光譜變得更平滑</t>
        </is>
      </c>
      <c r="I16" s="10" t="inlineStr">
        <is>
          <t>B</t>
        </is>
      </c>
    </row>
    <row r="17" ht="48" customHeight="1">
      <c r="A17" s="11" t="n">
        <v>13</v>
      </c>
      <c r="B17" s="11" t="inlineStr">
        <is>
          <t>W12</t>
        </is>
      </c>
      <c r="C17" s="11" t="inlineStr">
        <is>
          <t>CLO3</t>
        </is>
      </c>
      <c r="D17" s="9" t="inlineStr">
        <is>
          <t>PCA 分數圖上兩群油分得很開，下一步最該看什麼？</t>
        </is>
      </c>
      <c r="E17" s="9" t="inlineStr">
        <is>
          <t>點的顏色</t>
        </is>
      </c>
      <c r="F17" s="9" t="inlineStr">
        <is>
          <t>Loadings：是哪些波數造成分群</t>
        </is>
      </c>
      <c r="G17" s="9" t="inlineStr">
        <is>
          <t>解釋變異量的百分比</t>
        </is>
      </c>
      <c r="H17" s="9" t="inlineStr">
        <is>
          <t>樣品總數</t>
        </is>
      </c>
      <c r="I17" s="10" t="inlineStr">
        <is>
          <t>B</t>
        </is>
      </c>
    </row>
    <row r="18" ht="48" customHeight="1">
      <c r="A18" s="11" t="n">
        <v>14</v>
      </c>
      <c r="B18" s="11" t="inlineStr">
        <is>
          <t>W13</t>
        </is>
      </c>
      <c r="C18" s="11" t="inlineStr">
        <is>
          <t>CLO3</t>
        </is>
      </c>
      <c r="D18" s="9" t="inlineStr">
        <is>
          <t>交叉驗證時，把同一樣品的 3 次重複拆到訓練集與驗證集，RMSECV 會？</t>
        </is>
      </c>
      <c r="E18" s="9" t="inlineStr">
        <is>
          <t>無法計算</t>
        </is>
      </c>
      <c r="F18" s="9" t="inlineStr">
        <is>
          <t>不變</t>
        </is>
      </c>
      <c r="G18" s="9" t="inlineStr">
        <is>
          <t>偏高</t>
        </is>
      </c>
      <c r="H18" s="9" t="inlineStr">
        <is>
          <t>偏低（過度樂觀）</t>
        </is>
      </c>
      <c r="I18" s="10" t="inlineStr">
        <is>
          <t>D</t>
        </is>
      </c>
    </row>
    <row r="19" ht="48" customHeight="1">
      <c r="A19" s="11" t="n">
        <v>15</v>
      </c>
      <c r="B19" s="11" t="inlineStr">
        <is>
          <t>W13/W16</t>
        </is>
      </c>
      <c r="C19" s="11" t="inlineStr">
        <is>
          <t>CLO3</t>
        </is>
      </c>
      <c r="D19" s="9" t="inlineStr">
        <is>
          <t>報告模型表現時，最能代表「未來預測新樣品能力」的指標是？</t>
        </is>
      </c>
      <c r="E19" s="9" t="inlineStr">
        <is>
          <t>校正集的 RMSEC</t>
        </is>
      </c>
      <c r="F19" s="9" t="inlineStr">
        <is>
          <t>獨立測試集的 RMSEP</t>
        </is>
      </c>
      <c r="G19" s="9" t="inlineStr">
        <is>
          <t>校正集的 R²</t>
        </is>
      </c>
      <c r="H19" s="9" t="inlineStr">
        <is>
          <t>PLS 的 LV 數</t>
        </is>
      </c>
      <c r="I19" s="10" t="inlineStr">
        <is>
          <t>B</t>
        </is>
      </c>
    </row>
  </sheetData>
  <mergeCells count="1">
    <mergeCell ref="A2:I2"/>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tabColor rgb="00FFC000"/>
    <outlinePr summaryBelow="1" summaryRight="1"/>
    <pageSetUpPr fitToPage="1"/>
  </sheetPr>
  <dimension ref="A1:AH6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4.5"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s>
  <sheetData>
    <row r="1">
      <c r="A1" s="1" t="inlineStr">
        <is>
          <t>前測作答（W1 第一堂課，不計分）</t>
        </is>
      </c>
    </row>
    <row r="2" ht="30" customHeight="1">
      <c r="A2" s="2" t="inlineStr">
        <is>
          <t>每位學生一列，填 A/B/C/D（大小寫皆可）。Google 表單可匯出成試算表，把答案欄貼到 C5 起。右邊綠色是對錯（1/0）與總分。示範資料是模擬的，正式使用前請整塊刪除 A5:Q64。</t>
        </is>
      </c>
    </row>
    <row r="4">
      <c r="A4" s="3" t="inlineStr">
        <is>
          <t>學號</t>
        </is>
      </c>
      <c r="B4" s="3" t="inlineStr">
        <is>
          <t>姓名</t>
        </is>
      </c>
      <c r="C4" s="3" t="inlineStr">
        <is>
          <t>Q1</t>
        </is>
      </c>
      <c r="D4" s="3" t="inlineStr">
        <is>
          <t>Q2</t>
        </is>
      </c>
      <c r="E4" s="3" t="inlineStr">
        <is>
          <t>Q3</t>
        </is>
      </c>
      <c r="F4" s="3" t="inlineStr">
        <is>
          <t>Q4</t>
        </is>
      </c>
      <c r="G4" s="3" t="inlineStr">
        <is>
          <t>Q5</t>
        </is>
      </c>
      <c r="H4" s="3" t="inlineStr">
        <is>
          <t>Q6</t>
        </is>
      </c>
      <c r="I4" s="3" t="inlineStr">
        <is>
          <t>Q7</t>
        </is>
      </c>
      <c r="J4" s="3" t="inlineStr">
        <is>
          <t>Q8</t>
        </is>
      </c>
      <c r="K4" s="3" t="inlineStr">
        <is>
          <t>Q9</t>
        </is>
      </c>
      <c r="L4" s="3" t="inlineStr">
        <is>
          <t>Q10</t>
        </is>
      </c>
      <c r="M4" s="3" t="inlineStr">
        <is>
          <t>Q11</t>
        </is>
      </c>
      <c r="N4" s="3" t="inlineStr">
        <is>
          <t>Q12</t>
        </is>
      </c>
      <c r="O4" s="3" t="inlineStr">
        <is>
          <t>Q13</t>
        </is>
      </c>
      <c r="P4" s="3" t="inlineStr">
        <is>
          <t>Q14</t>
        </is>
      </c>
      <c r="Q4" s="3" t="inlineStr">
        <is>
          <t>Q15</t>
        </is>
      </c>
      <c r="R4" s="3" t="inlineStr"/>
      <c r="S4" s="3" t="inlineStr">
        <is>
          <t>對1</t>
        </is>
      </c>
      <c r="T4" s="3" t="inlineStr">
        <is>
          <t>對2</t>
        </is>
      </c>
      <c r="U4" s="3" t="inlineStr">
        <is>
          <t>對3</t>
        </is>
      </c>
      <c r="V4" s="3" t="inlineStr">
        <is>
          <t>對4</t>
        </is>
      </c>
      <c r="W4" s="3" t="inlineStr">
        <is>
          <t>對5</t>
        </is>
      </c>
      <c r="X4" s="3" t="inlineStr">
        <is>
          <t>對6</t>
        </is>
      </c>
      <c r="Y4" s="3" t="inlineStr">
        <is>
          <t>對7</t>
        </is>
      </c>
      <c r="Z4" s="3" t="inlineStr">
        <is>
          <t>對8</t>
        </is>
      </c>
      <c r="AA4" s="3" t="inlineStr">
        <is>
          <t>對9</t>
        </is>
      </c>
      <c r="AB4" s="3" t="inlineStr">
        <is>
          <t>對10</t>
        </is>
      </c>
      <c r="AC4" s="3" t="inlineStr">
        <is>
          <t>對11</t>
        </is>
      </c>
      <c r="AD4" s="3" t="inlineStr">
        <is>
          <t>對12</t>
        </is>
      </c>
      <c r="AE4" s="3" t="inlineStr">
        <is>
          <t>對13</t>
        </is>
      </c>
      <c r="AF4" s="3" t="inlineStr">
        <is>
          <t>對14</t>
        </is>
      </c>
      <c r="AG4" s="3" t="inlineStr">
        <is>
          <t>對15</t>
        </is>
      </c>
      <c r="AH4" s="3" t="inlineStr">
        <is>
          <t>總分</t>
        </is>
      </c>
    </row>
    <row r="5">
      <c r="A5" s="12" t="inlineStr">
        <is>
          <t>S01</t>
        </is>
      </c>
      <c r="B5" s="12" t="inlineStr">
        <is>
          <t>學生1</t>
        </is>
      </c>
      <c r="C5" s="10" t="inlineStr">
        <is>
          <t>C</t>
        </is>
      </c>
      <c r="D5" s="10" t="inlineStr">
        <is>
          <t>B</t>
        </is>
      </c>
      <c r="E5" s="10" t="inlineStr">
        <is>
          <t>A</t>
        </is>
      </c>
      <c r="F5" s="10" t="inlineStr">
        <is>
          <t>D</t>
        </is>
      </c>
      <c r="G5" s="10" t="inlineStr">
        <is>
          <t>C</t>
        </is>
      </c>
      <c r="H5" s="10" t="inlineStr">
        <is>
          <t>A</t>
        </is>
      </c>
      <c r="I5" s="10" t="inlineStr">
        <is>
          <t>D</t>
        </is>
      </c>
      <c r="J5" s="10" t="inlineStr">
        <is>
          <t>D</t>
        </is>
      </c>
      <c r="K5" s="10" t="inlineStr">
        <is>
          <t>D</t>
        </is>
      </c>
      <c r="L5" s="10" t="inlineStr">
        <is>
          <t>B</t>
        </is>
      </c>
      <c r="M5" s="10" t="inlineStr">
        <is>
          <t>C</t>
        </is>
      </c>
      <c r="N5" s="10" t="inlineStr">
        <is>
          <t>C</t>
        </is>
      </c>
      <c r="O5" s="10" t="inlineStr">
        <is>
          <t>D</t>
        </is>
      </c>
      <c r="P5" s="10" t="inlineStr">
        <is>
          <t>C</t>
        </is>
      </c>
      <c r="Q5" s="10" t="inlineStr">
        <is>
          <t>C</t>
        </is>
      </c>
      <c r="S5" s="13">
        <f>IF($C5="","",IF(UPPER(TRIM(C5))=INDEX('2_前後測題庫'!$I$5:$I$19,1),1,0))</f>
        <v/>
      </c>
      <c r="T5" s="13">
        <f>IF($D5="","",IF(UPPER(TRIM(D5))=INDEX('2_前後測題庫'!$I$5:$I$19,2),1,0))</f>
        <v/>
      </c>
      <c r="U5" s="13">
        <f>IF($E5="","",IF(UPPER(TRIM(E5))=INDEX('2_前後測題庫'!$I$5:$I$19,3),1,0))</f>
        <v/>
      </c>
      <c r="V5" s="13">
        <f>IF($F5="","",IF(UPPER(TRIM(F5))=INDEX('2_前後測題庫'!$I$5:$I$19,4),1,0))</f>
        <v/>
      </c>
      <c r="W5" s="13">
        <f>IF($G5="","",IF(UPPER(TRIM(G5))=INDEX('2_前後測題庫'!$I$5:$I$19,5),1,0))</f>
        <v/>
      </c>
      <c r="X5" s="13">
        <f>IF($H5="","",IF(UPPER(TRIM(H5))=INDEX('2_前後測題庫'!$I$5:$I$19,6),1,0))</f>
        <v/>
      </c>
      <c r="Y5" s="13">
        <f>IF($I5="","",IF(UPPER(TRIM(I5))=INDEX('2_前後測題庫'!$I$5:$I$19,7),1,0))</f>
        <v/>
      </c>
      <c r="Z5" s="13">
        <f>IF($J5="","",IF(UPPER(TRIM(J5))=INDEX('2_前後測題庫'!$I$5:$I$19,8),1,0))</f>
        <v/>
      </c>
      <c r="AA5" s="13">
        <f>IF($K5="","",IF(UPPER(TRIM(K5))=INDEX('2_前後測題庫'!$I$5:$I$19,9),1,0))</f>
        <v/>
      </c>
      <c r="AB5" s="13">
        <f>IF($L5="","",IF(UPPER(TRIM(L5))=INDEX('2_前後測題庫'!$I$5:$I$19,10),1,0))</f>
        <v/>
      </c>
      <c r="AC5" s="13">
        <f>IF($M5="","",IF(UPPER(TRIM(M5))=INDEX('2_前後測題庫'!$I$5:$I$19,11),1,0))</f>
        <v/>
      </c>
      <c r="AD5" s="13">
        <f>IF($N5="","",IF(UPPER(TRIM(N5))=INDEX('2_前後測題庫'!$I$5:$I$19,12),1,0))</f>
        <v/>
      </c>
      <c r="AE5" s="13">
        <f>IF($O5="","",IF(UPPER(TRIM(O5))=INDEX('2_前後測題庫'!$I$5:$I$19,13),1,0))</f>
        <v/>
      </c>
      <c r="AF5" s="13">
        <f>IF($P5="","",IF(UPPER(TRIM(P5))=INDEX('2_前後測題庫'!$I$5:$I$19,14),1,0))</f>
        <v/>
      </c>
      <c r="AG5" s="13">
        <f>IF($Q5="","",IF(UPPER(TRIM(Q5))=INDEX('2_前後測題庫'!$I$5:$I$19,15),1,0))</f>
        <v/>
      </c>
      <c r="AH5" s="14">
        <f>IF($A5="","",SUM(S5:AG5))</f>
        <v/>
      </c>
    </row>
    <row r="6">
      <c r="A6" s="12" t="inlineStr">
        <is>
          <t>S02</t>
        </is>
      </c>
      <c r="B6" s="12" t="inlineStr">
        <is>
          <t>學生2</t>
        </is>
      </c>
      <c r="C6" s="10" t="inlineStr">
        <is>
          <t>B</t>
        </is>
      </c>
      <c r="D6" s="10" t="inlineStr">
        <is>
          <t>B</t>
        </is>
      </c>
      <c r="E6" s="10" t="inlineStr">
        <is>
          <t>A</t>
        </is>
      </c>
      <c r="F6" s="10" t="inlineStr">
        <is>
          <t>D</t>
        </is>
      </c>
      <c r="G6" s="10" t="inlineStr">
        <is>
          <t>B</t>
        </is>
      </c>
      <c r="H6" s="10" t="inlineStr">
        <is>
          <t>B</t>
        </is>
      </c>
      <c r="I6" s="10" t="inlineStr">
        <is>
          <t>C</t>
        </is>
      </c>
      <c r="J6" s="10" t="inlineStr">
        <is>
          <t>D</t>
        </is>
      </c>
      <c r="K6" s="10" t="inlineStr">
        <is>
          <t>D</t>
        </is>
      </c>
      <c r="L6" s="10" t="inlineStr">
        <is>
          <t>B</t>
        </is>
      </c>
      <c r="M6" s="10" t="inlineStr">
        <is>
          <t>D</t>
        </is>
      </c>
      <c r="N6" s="10" t="inlineStr">
        <is>
          <t>A</t>
        </is>
      </c>
      <c r="O6" s="10" t="inlineStr">
        <is>
          <t>B</t>
        </is>
      </c>
      <c r="P6" s="10" t="inlineStr">
        <is>
          <t>B</t>
        </is>
      </c>
      <c r="Q6" s="10" t="inlineStr">
        <is>
          <t>A</t>
        </is>
      </c>
      <c r="S6" s="13">
        <f>IF($C6="","",IF(UPPER(TRIM(C6))=INDEX('2_前後測題庫'!$I$5:$I$19,1),1,0))</f>
        <v/>
      </c>
      <c r="T6" s="13">
        <f>IF($D6="","",IF(UPPER(TRIM(D6))=INDEX('2_前後測題庫'!$I$5:$I$19,2),1,0))</f>
        <v/>
      </c>
      <c r="U6" s="13">
        <f>IF($E6="","",IF(UPPER(TRIM(E6))=INDEX('2_前後測題庫'!$I$5:$I$19,3),1,0))</f>
        <v/>
      </c>
      <c r="V6" s="13">
        <f>IF($F6="","",IF(UPPER(TRIM(F6))=INDEX('2_前後測題庫'!$I$5:$I$19,4),1,0))</f>
        <v/>
      </c>
      <c r="W6" s="13">
        <f>IF($G6="","",IF(UPPER(TRIM(G6))=INDEX('2_前後測題庫'!$I$5:$I$19,5),1,0))</f>
        <v/>
      </c>
      <c r="X6" s="13">
        <f>IF($H6="","",IF(UPPER(TRIM(H6))=INDEX('2_前後測題庫'!$I$5:$I$19,6),1,0))</f>
        <v/>
      </c>
      <c r="Y6" s="13">
        <f>IF($I6="","",IF(UPPER(TRIM(I6))=INDEX('2_前後測題庫'!$I$5:$I$19,7),1,0))</f>
        <v/>
      </c>
      <c r="Z6" s="13">
        <f>IF($J6="","",IF(UPPER(TRIM(J6))=INDEX('2_前後測題庫'!$I$5:$I$19,8),1,0))</f>
        <v/>
      </c>
      <c r="AA6" s="13">
        <f>IF($K6="","",IF(UPPER(TRIM(K6))=INDEX('2_前後測題庫'!$I$5:$I$19,9),1,0))</f>
        <v/>
      </c>
      <c r="AB6" s="13">
        <f>IF($L6="","",IF(UPPER(TRIM(L6))=INDEX('2_前後測題庫'!$I$5:$I$19,10),1,0))</f>
        <v/>
      </c>
      <c r="AC6" s="13">
        <f>IF($M6="","",IF(UPPER(TRIM(M6))=INDEX('2_前後測題庫'!$I$5:$I$19,11),1,0))</f>
        <v/>
      </c>
      <c r="AD6" s="13">
        <f>IF($N6="","",IF(UPPER(TRIM(N6))=INDEX('2_前後測題庫'!$I$5:$I$19,12),1,0))</f>
        <v/>
      </c>
      <c r="AE6" s="13">
        <f>IF($O6="","",IF(UPPER(TRIM(O6))=INDEX('2_前後測題庫'!$I$5:$I$19,13),1,0))</f>
        <v/>
      </c>
      <c r="AF6" s="13">
        <f>IF($P6="","",IF(UPPER(TRIM(P6))=INDEX('2_前後測題庫'!$I$5:$I$19,14),1,0))</f>
        <v/>
      </c>
      <c r="AG6" s="13">
        <f>IF($Q6="","",IF(UPPER(TRIM(Q6))=INDEX('2_前後測題庫'!$I$5:$I$19,15),1,0))</f>
        <v/>
      </c>
      <c r="AH6" s="14">
        <f>IF($A6="","",SUM(S6:AG6))</f>
        <v/>
      </c>
    </row>
    <row r="7">
      <c r="A7" s="12" t="inlineStr">
        <is>
          <t>S03</t>
        </is>
      </c>
      <c r="B7" s="12" t="inlineStr">
        <is>
          <t>學生3</t>
        </is>
      </c>
      <c r="C7" s="10" t="inlineStr">
        <is>
          <t>D</t>
        </is>
      </c>
      <c r="D7" s="10" t="inlineStr">
        <is>
          <t>D</t>
        </is>
      </c>
      <c r="E7" s="10" t="inlineStr">
        <is>
          <t>C</t>
        </is>
      </c>
      <c r="F7" s="10" t="inlineStr">
        <is>
          <t>A</t>
        </is>
      </c>
      <c r="G7" s="10" t="inlineStr">
        <is>
          <t>B</t>
        </is>
      </c>
      <c r="H7" s="10" t="inlineStr">
        <is>
          <t>D</t>
        </is>
      </c>
      <c r="I7" s="10" t="inlineStr">
        <is>
          <t>D</t>
        </is>
      </c>
      <c r="J7" s="10" t="inlineStr">
        <is>
          <t>D</t>
        </is>
      </c>
      <c r="K7" s="10" t="inlineStr">
        <is>
          <t>D</t>
        </is>
      </c>
      <c r="L7" s="10" t="inlineStr">
        <is>
          <t>B</t>
        </is>
      </c>
      <c r="M7" s="10" t="inlineStr">
        <is>
          <t>A</t>
        </is>
      </c>
      <c r="N7" s="10" t="inlineStr">
        <is>
          <t>C</t>
        </is>
      </c>
      <c r="O7" s="10" t="inlineStr">
        <is>
          <t>C</t>
        </is>
      </c>
      <c r="P7" s="10" t="inlineStr">
        <is>
          <t>B</t>
        </is>
      </c>
      <c r="Q7" s="10" t="inlineStr">
        <is>
          <t>C</t>
        </is>
      </c>
      <c r="S7" s="13">
        <f>IF($C7="","",IF(UPPER(TRIM(C7))=INDEX('2_前後測題庫'!$I$5:$I$19,1),1,0))</f>
        <v/>
      </c>
      <c r="T7" s="13">
        <f>IF($D7="","",IF(UPPER(TRIM(D7))=INDEX('2_前後測題庫'!$I$5:$I$19,2),1,0))</f>
        <v/>
      </c>
      <c r="U7" s="13">
        <f>IF($E7="","",IF(UPPER(TRIM(E7))=INDEX('2_前後測題庫'!$I$5:$I$19,3),1,0))</f>
        <v/>
      </c>
      <c r="V7" s="13">
        <f>IF($F7="","",IF(UPPER(TRIM(F7))=INDEX('2_前後測題庫'!$I$5:$I$19,4),1,0))</f>
        <v/>
      </c>
      <c r="W7" s="13">
        <f>IF($G7="","",IF(UPPER(TRIM(G7))=INDEX('2_前後測題庫'!$I$5:$I$19,5),1,0))</f>
        <v/>
      </c>
      <c r="X7" s="13">
        <f>IF($H7="","",IF(UPPER(TRIM(H7))=INDEX('2_前後測題庫'!$I$5:$I$19,6),1,0))</f>
        <v/>
      </c>
      <c r="Y7" s="13">
        <f>IF($I7="","",IF(UPPER(TRIM(I7))=INDEX('2_前後測題庫'!$I$5:$I$19,7),1,0))</f>
        <v/>
      </c>
      <c r="Z7" s="13">
        <f>IF($J7="","",IF(UPPER(TRIM(J7))=INDEX('2_前後測題庫'!$I$5:$I$19,8),1,0))</f>
        <v/>
      </c>
      <c r="AA7" s="13">
        <f>IF($K7="","",IF(UPPER(TRIM(K7))=INDEX('2_前後測題庫'!$I$5:$I$19,9),1,0))</f>
        <v/>
      </c>
      <c r="AB7" s="13">
        <f>IF($L7="","",IF(UPPER(TRIM(L7))=INDEX('2_前後測題庫'!$I$5:$I$19,10),1,0))</f>
        <v/>
      </c>
      <c r="AC7" s="13">
        <f>IF($M7="","",IF(UPPER(TRIM(M7))=INDEX('2_前後測題庫'!$I$5:$I$19,11),1,0))</f>
        <v/>
      </c>
      <c r="AD7" s="13">
        <f>IF($N7="","",IF(UPPER(TRIM(N7))=INDEX('2_前後測題庫'!$I$5:$I$19,12),1,0))</f>
        <v/>
      </c>
      <c r="AE7" s="13">
        <f>IF($O7="","",IF(UPPER(TRIM(O7))=INDEX('2_前後測題庫'!$I$5:$I$19,13),1,0))</f>
        <v/>
      </c>
      <c r="AF7" s="13">
        <f>IF($P7="","",IF(UPPER(TRIM(P7))=INDEX('2_前後測題庫'!$I$5:$I$19,14),1,0))</f>
        <v/>
      </c>
      <c r="AG7" s="13">
        <f>IF($Q7="","",IF(UPPER(TRIM(Q7))=INDEX('2_前後測題庫'!$I$5:$I$19,15),1,0))</f>
        <v/>
      </c>
      <c r="AH7" s="14">
        <f>IF($A7="","",SUM(S7:AG7))</f>
        <v/>
      </c>
    </row>
    <row r="8">
      <c r="A8" s="12" t="inlineStr">
        <is>
          <t>S04</t>
        </is>
      </c>
      <c r="B8" s="12" t="inlineStr">
        <is>
          <t>學生4</t>
        </is>
      </c>
      <c r="C8" s="10" t="inlineStr">
        <is>
          <t>A</t>
        </is>
      </c>
      <c r="D8" s="10" t="inlineStr">
        <is>
          <t>C</t>
        </is>
      </c>
      <c r="E8" s="10" t="inlineStr">
        <is>
          <t>B</t>
        </is>
      </c>
      <c r="F8" s="10" t="inlineStr">
        <is>
          <t>C</t>
        </is>
      </c>
      <c r="G8" s="10" t="inlineStr">
        <is>
          <t>D</t>
        </is>
      </c>
      <c r="H8" s="10" t="inlineStr">
        <is>
          <t>A</t>
        </is>
      </c>
      <c r="I8" s="10" t="inlineStr">
        <is>
          <t>B</t>
        </is>
      </c>
      <c r="J8" s="10" t="inlineStr">
        <is>
          <t>A</t>
        </is>
      </c>
      <c r="K8" s="10" t="inlineStr">
        <is>
          <t>D</t>
        </is>
      </c>
      <c r="L8" s="10" t="inlineStr">
        <is>
          <t>C</t>
        </is>
      </c>
      <c r="M8" s="10" t="inlineStr">
        <is>
          <t>C</t>
        </is>
      </c>
      <c r="N8" s="10" t="inlineStr">
        <is>
          <t>D</t>
        </is>
      </c>
      <c r="O8" s="10" t="inlineStr">
        <is>
          <t>B</t>
        </is>
      </c>
      <c r="P8" s="10" t="inlineStr">
        <is>
          <t>D</t>
        </is>
      </c>
      <c r="Q8" s="10" t="inlineStr">
        <is>
          <t>A</t>
        </is>
      </c>
      <c r="S8" s="13">
        <f>IF($C8="","",IF(UPPER(TRIM(C8))=INDEX('2_前後測題庫'!$I$5:$I$19,1),1,0))</f>
        <v/>
      </c>
      <c r="T8" s="13">
        <f>IF($D8="","",IF(UPPER(TRIM(D8))=INDEX('2_前後測題庫'!$I$5:$I$19,2),1,0))</f>
        <v/>
      </c>
      <c r="U8" s="13">
        <f>IF($E8="","",IF(UPPER(TRIM(E8))=INDEX('2_前後測題庫'!$I$5:$I$19,3),1,0))</f>
        <v/>
      </c>
      <c r="V8" s="13">
        <f>IF($F8="","",IF(UPPER(TRIM(F8))=INDEX('2_前後測題庫'!$I$5:$I$19,4),1,0))</f>
        <v/>
      </c>
      <c r="W8" s="13">
        <f>IF($G8="","",IF(UPPER(TRIM(G8))=INDEX('2_前後測題庫'!$I$5:$I$19,5),1,0))</f>
        <v/>
      </c>
      <c r="X8" s="13">
        <f>IF($H8="","",IF(UPPER(TRIM(H8))=INDEX('2_前後測題庫'!$I$5:$I$19,6),1,0))</f>
        <v/>
      </c>
      <c r="Y8" s="13">
        <f>IF($I8="","",IF(UPPER(TRIM(I8))=INDEX('2_前後測題庫'!$I$5:$I$19,7),1,0))</f>
        <v/>
      </c>
      <c r="Z8" s="13">
        <f>IF($J8="","",IF(UPPER(TRIM(J8))=INDEX('2_前後測題庫'!$I$5:$I$19,8),1,0))</f>
        <v/>
      </c>
      <c r="AA8" s="13">
        <f>IF($K8="","",IF(UPPER(TRIM(K8))=INDEX('2_前後測題庫'!$I$5:$I$19,9),1,0))</f>
        <v/>
      </c>
      <c r="AB8" s="13">
        <f>IF($L8="","",IF(UPPER(TRIM(L8))=INDEX('2_前後測題庫'!$I$5:$I$19,10),1,0))</f>
        <v/>
      </c>
      <c r="AC8" s="13">
        <f>IF($M8="","",IF(UPPER(TRIM(M8))=INDEX('2_前後測題庫'!$I$5:$I$19,11),1,0))</f>
        <v/>
      </c>
      <c r="AD8" s="13">
        <f>IF($N8="","",IF(UPPER(TRIM(N8))=INDEX('2_前後測題庫'!$I$5:$I$19,12),1,0))</f>
        <v/>
      </c>
      <c r="AE8" s="13">
        <f>IF($O8="","",IF(UPPER(TRIM(O8))=INDEX('2_前後測題庫'!$I$5:$I$19,13),1,0))</f>
        <v/>
      </c>
      <c r="AF8" s="13">
        <f>IF($P8="","",IF(UPPER(TRIM(P8))=INDEX('2_前後測題庫'!$I$5:$I$19,14),1,0))</f>
        <v/>
      </c>
      <c r="AG8" s="13">
        <f>IF($Q8="","",IF(UPPER(TRIM(Q8))=INDEX('2_前後測題庫'!$I$5:$I$19,15),1,0))</f>
        <v/>
      </c>
      <c r="AH8" s="14">
        <f>IF($A8="","",SUM(S8:AG8))</f>
        <v/>
      </c>
    </row>
    <row r="9">
      <c r="A9" s="12" t="inlineStr">
        <is>
          <t>S05</t>
        </is>
      </c>
      <c r="B9" s="12" t="inlineStr">
        <is>
          <t>學生5</t>
        </is>
      </c>
      <c r="C9" s="10" t="inlineStr">
        <is>
          <t>C</t>
        </is>
      </c>
      <c r="D9" s="10" t="inlineStr">
        <is>
          <t>C</t>
        </is>
      </c>
      <c r="E9" s="10" t="inlineStr">
        <is>
          <t>A</t>
        </is>
      </c>
      <c r="F9" s="10" t="inlineStr">
        <is>
          <t>C</t>
        </is>
      </c>
      <c r="G9" s="10" t="inlineStr">
        <is>
          <t>C</t>
        </is>
      </c>
      <c r="H9" s="10" t="inlineStr">
        <is>
          <t>D</t>
        </is>
      </c>
      <c r="I9" s="10" t="inlineStr">
        <is>
          <t>C</t>
        </is>
      </c>
      <c r="J9" s="10" t="inlineStr">
        <is>
          <t>D</t>
        </is>
      </c>
      <c r="K9" s="10" t="inlineStr">
        <is>
          <t>B</t>
        </is>
      </c>
      <c r="L9" s="10" t="inlineStr">
        <is>
          <t>A</t>
        </is>
      </c>
      <c r="M9" s="10" t="inlineStr">
        <is>
          <t>A</t>
        </is>
      </c>
      <c r="N9" s="10" t="inlineStr">
        <is>
          <t>B</t>
        </is>
      </c>
      <c r="O9" s="10" t="inlineStr">
        <is>
          <t>B</t>
        </is>
      </c>
      <c r="P9" s="10" t="inlineStr">
        <is>
          <t>D</t>
        </is>
      </c>
      <c r="Q9" s="10" t="inlineStr">
        <is>
          <t>A</t>
        </is>
      </c>
      <c r="S9" s="13">
        <f>IF($C9="","",IF(UPPER(TRIM(C9))=INDEX('2_前後測題庫'!$I$5:$I$19,1),1,0))</f>
        <v/>
      </c>
      <c r="T9" s="13">
        <f>IF($D9="","",IF(UPPER(TRIM(D9))=INDEX('2_前後測題庫'!$I$5:$I$19,2),1,0))</f>
        <v/>
      </c>
      <c r="U9" s="13">
        <f>IF($E9="","",IF(UPPER(TRIM(E9))=INDEX('2_前後測題庫'!$I$5:$I$19,3),1,0))</f>
        <v/>
      </c>
      <c r="V9" s="13">
        <f>IF($F9="","",IF(UPPER(TRIM(F9))=INDEX('2_前後測題庫'!$I$5:$I$19,4),1,0))</f>
        <v/>
      </c>
      <c r="W9" s="13">
        <f>IF($G9="","",IF(UPPER(TRIM(G9))=INDEX('2_前後測題庫'!$I$5:$I$19,5),1,0))</f>
        <v/>
      </c>
      <c r="X9" s="13">
        <f>IF($H9="","",IF(UPPER(TRIM(H9))=INDEX('2_前後測題庫'!$I$5:$I$19,6),1,0))</f>
        <v/>
      </c>
      <c r="Y9" s="13">
        <f>IF($I9="","",IF(UPPER(TRIM(I9))=INDEX('2_前後測題庫'!$I$5:$I$19,7),1,0))</f>
        <v/>
      </c>
      <c r="Z9" s="13">
        <f>IF($J9="","",IF(UPPER(TRIM(J9))=INDEX('2_前後測題庫'!$I$5:$I$19,8),1,0))</f>
        <v/>
      </c>
      <c r="AA9" s="13">
        <f>IF($K9="","",IF(UPPER(TRIM(K9))=INDEX('2_前後測題庫'!$I$5:$I$19,9),1,0))</f>
        <v/>
      </c>
      <c r="AB9" s="13">
        <f>IF($L9="","",IF(UPPER(TRIM(L9))=INDEX('2_前後測題庫'!$I$5:$I$19,10),1,0))</f>
        <v/>
      </c>
      <c r="AC9" s="13">
        <f>IF($M9="","",IF(UPPER(TRIM(M9))=INDEX('2_前後測題庫'!$I$5:$I$19,11),1,0))</f>
        <v/>
      </c>
      <c r="AD9" s="13">
        <f>IF($N9="","",IF(UPPER(TRIM(N9))=INDEX('2_前後測題庫'!$I$5:$I$19,12),1,0))</f>
        <v/>
      </c>
      <c r="AE9" s="13">
        <f>IF($O9="","",IF(UPPER(TRIM(O9))=INDEX('2_前後測題庫'!$I$5:$I$19,13),1,0))</f>
        <v/>
      </c>
      <c r="AF9" s="13">
        <f>IF($P9="","",IF(UPPER(TRIM(P9))=INDEX('2_前後測題庫'!$I$5:$I$19,14),1,0))</f>
        <v/>
      </c>
      <c r="AG9" s="13">
        <f>IF($Q9="","",IF(UPPER(TRIM(Q9))=INDEX('2_前後測題庫'!$I$5:$I$19,15),1,0))</f>
        <v/>
      </c>
      <c r="AH9" s="14">
        <f>IF($A9="","",SUM(S9:AG9))</f>
        <v/>
      </c>
    </row>
    <row r="10">
      <c r="A10" s="12" t="inlineStr">
        <is>
          <t>S06</t>
        </is>
      </c>
      <c r="B10" s="12" t="inlineStr">
        <is>
          <t>學生6</t>
        </is>
      </c>
      <c r="C10" s="10" t="inlineStr">
        <is>
          <t>C</t>
        </is>
      </c>
      <c r="D10" s="10" t="inlineStr">
        <is>
          <t>D</t>
        </is>
      </c>
      <c r="E10" s="10" t="inlineStr">
        <is>
          <t>C</t>
        </is>
      </c>
      <c r="F10" s="10" t="inlineStr">
        <is>
          <t>D</t>
        </is>
      </c>
      <c r="G10" s="10" t="inlineStr">
        <is>
          <t>B</t>
        </is>
      </c>
      <c r="H10" s="10" t="inlineStr">
        <is>
          <t>C</t>
        </is>
      </c>
      <c r="I10" s="10" t="inlineStr">
        <is>
          <t>B</t>
        </is>
      </c>
      <c r="J10" s="10" t="inlineStr">
        <is>
          <t>C</t>
        </is>
      </c>
      <c r="K10" s="10" t="inlineStr">
        <is>
          <t>D</t>
        </is>
      </c>
      <c r="L10" s="10" t="inlineStr">
        <is>
          <t>D</t>
        </is>
      </c>
      <c r="M10" s="10" t="inlineStr">
        <is>
          <t>A</t>
        </is>
      </c>
      <c r="N10" s="10" t="inlineStr">
        <is>
          <t>D</t>
        </is>
      </c>
      <c r="O10" s="10" t="inlineStr">
        <is>
          <t>D</t>
        </is>
      </c>
      <c r="P10" s="10" t="inlineStr">
        <is>
          <t>A</t>
        </is>
      </c>
      <c r="Q10" s="10" t="inlineStr">
        <is>
          <t>D</t>
        </is>
      </c>
      <c r="S10" s="13">
        <f>IF($C10="","",IF(UPPER(TRIM(C10))=INDEX('2_前後測題庫'!$I$5:$I$19,1),1,0))</f>
        <v/>
      </c>
      <c r="T10" s="13">
        <f>IF($D10="","",IF(UPPER(TRIM(D10))=INDEX('2_前後測題庫'!$I$5:$I$19,2),1,0))</f>
        <v/>
      </c>
      <c r="U10" s="13">
        <f>IF($E10="","",IF(UPPER(TRIM(E10))=INDEX('2_前後測題庫'!$I$5:$I$19,3),1,0))</f>
        <v/>
      </c>
      <c r="V10" s="13">
        <f>IF($F10="","",IF(UPPER(TRIM(F10))=INDEX('2_前後測題庫'!$I$5:$I$19,4),1,0))</f>
        <v/>
      </c>
      <c r="W10" s="13">
        <f>IF($G10="","",IF(UPPER(TRIM(G10))=INDEX('2_前後測題庫'!$I$5:$I$19,5),1,0))</f>
        <v/>
      </c>
      <c r="X10" s="13">
        <f>IF($H10="","",IF(UPPER(TRIM(H10))=INDEX('2_前後測題庫'!$I$5:$I$19,6),1,0))</f>
        <v/>
      </c>
      <c r="Y10" s="13">
        <f>IF($I10="","",IF(UPPER(TRIM(I10))=INDEX('2_前後測題庫'!$I$5:$I$19,7),1,0))</f>
        <v/>
      </c>
      <c r="Z10" s="13">
        <f>IF($J10="","",IF(UPPER(TRIM(J10))=INDEX('2_前後測題庫'!$I$5:$I$19,8),1,0))</f>
        <v/>
      </c>
      <c r="AA10" s="13">
        <f>IF($K10="","",IF(UPPER(TRIM(K10))=INDEX('2_前後測題庫'!$I$5:$I$19,9),1,0))</f>
        <v/>
      </c>
      <c r="AB10" s="13">
        <f>IF($L10="","",IF(UPPER(TRIM(L10))=INDEX('2_前後測題庫'!$I$5:$I$19,10),1,0))</f>
        <v/>
      </c>
      <c r="AC10" s="13">
        <f>IF($M10="","",IF(UPPER(TRIM(M10))=INDEX('2_前後測題庫'!$I$5:$I$19,11),1,0))</f>
        <v/>
      </c>
      <c r="AD10" s="13">
        <f>IF($N10="","",IF(UPPER(TRIM(N10))=INDEX('2_前後測題庫'!$I$5:$I$19,12),1,0))</f>
        <v/>
      </c>
      <c r="AE10" s="13">
        <f>IF($O10="","",IF(UPPER(TRIM(O10))=INDEX('2_前後測題庫'!$I$5:$I$19,13),1,0))</f>
        <v/>
      </c>
      <c r="AF10" s="13">
        <f>IF($P10="","",IF(UPPER(TRIM(P10))=INDEX('2_前後測題庫'!$I$5:$I$19,14),1,0))</f>
        <v/>
      </c>
      <c r="AG10" s="13">
        <f>IF($Q10="","",IF(UPPER(TRIM(Q10))=INDEX('2_前後測題庫'!$I$5:$I$19,15),1,0))</f>
        <v/>
      </c>
      <c r="AH10" s="14">
        <f>IF($A10="","",SUM(S10:AG10))</f>
        <v/>
      </c>
    </row>
    <row r="11">
      <c r="A11" s="12" t="inlineStr">
        <is>
          <t>S07</t>
        </is>
      </c>
      <c r="B11" s="12" t="inlineStr">
        <is>
          <t>學生7</t>
        </is>
      </c>
      <c r="C11" s="10" t="inlineStr">
        <is>
          <t>C</t>
        </is>
      </c>
      <c r="D11" s="10" t="inlineStr">
        <is>
          <t>D</t>
        </is>
      </c>
      <c r="E11" s="10" t="inlineStr">
        <is>
          <t>C</t>
        </is>
      </c>
      <c r="F11" s="10" t="inlineStr">
        <is>
          <t>A</t>
        </is>
      </c>
      <c r="G11" s="10" t="inlineStr">
        <is>
          <t>D</t>
        </is>
      </c>
      <c r="H11" s="10" t="inlineStr">
        <is>
          <t>A</t>
        </is>
      </c>
      <c r="I11" s="10" t="inlineStr">
        <is>
          <t>A</t>
        </is>
      </c>
      <c r="J11" s="10" t="inlineStr">
        <is>
          <t>A</t>
        </is>
      </c>
      <c r="K11" s="10" t="inlineStr">
        <is>
          <t>C</t>
        </is>
      </c>
      <c r="L11" s="10" t="inlineStr">
        <is>
          <t>D</t>
        </is>
      </c>
      <c r="M11" s="10" t="inlineStr">
        <is>
          <t>D</t>
        </is>
      </c>
      <c r="N11" s="10" t="inlineStr">
        <is>
          <t>D</t>
        </is>
      </c>
      <c r="O11" s="10" t="inlineStr">
        <is>
          <t>C</t>
        </is>
      </c>
      <c r="P11" s="10" t="inlineStr">
        <is>
          <t>C</t>
        </is>
      </c>
      <c r="Q11" s="10" t="inlineStr">
        <is>
          <t>B</t>
        </is>
      </c>
      <c r="S11" s="13">
        <f>IF($C11="","",IF(UPPER(TRIM(C11))=INDEX('2_前後測題庫'!$I$5:$I$19,1),1,0))</f>
        <v/>
      </c>
      <c r="T11" s="13">
        <f>IF($D11="","",IF(UPPER(TRIM(D11))=INDEX('2_前後測題庫'!$I$5:$I$19,2),1,0))</f>
        <v/>
      </c>
      <c r="U11" s="13">
        <f>IF($E11="","",IF(UPPER(TRIM(E11))=INDEX('2_前後測題庫'!$I$5:$I$19,3),1,0))</f>
        <v/>
      </c>
      <c r="V11" s="13">
        <f>IF($F11="","",IF(UPPER(TRIM(F11))=INDEX('2_前後測題庫'!$I$5:$I$19,4),1,0))</f>
        <v/>
      </c>
      <c r="W11" s="13">
        <f>IF($G11="","",IF(UPPER(TRIM(G11))=INDEX('2_前後測題庫'!$I$5:$I$19,5),1,0))</f>
        <v/>
      </c>
      <c r="X11" s="13">
        <f>IF($H11="","",IF(UPPER(TRIM(H11))=INDEX('2_前後測題庫'!$I$5:$I$19,6),1,0))</f>
        <v/>
      </c>
      <c r="Y11" s="13">
        <f>IF($I11="","",IF(UPPER(TRIM(I11))=INDEX('2_前後測題庫'!$I$5:$I$19,7),1,0))</f>
        <v/>
      </c>
      <c r="Z11" s="13">
        <f>IF($J11="","",IF(UPPER(TRIM(J11))=INDEX('2_前後測題庫'!$I$5:$I$19,8),1,0))</f>
        <v/>
      </c>
      <c r="AA11" s="13">
        <f>IF($K11="","",IF(UPPER(TRIM(K11))=INDEX('2_前後測題庫'!$I$5:$I$19,9),1,0))</f>
        <v/>
      </c>
      <c r="AB11" s="13">
        <f>IF($L11="","",IF(UPPER(TRIM(L11))=INDEX('2_前後測題庫'!$I$5:$I$19,10),1,0))</f>
        <v/>
      </c>
      <c r="AC11" s="13">
        <f>IF($M11="","",IF(UPPER(TRIM(M11))=INDEX('2_前後測題庫'!$I$5:$I$19,11),1,0))</f>
        <v/>
      </c>
      <c r="AD11" s="13">
        <f>IF($N11="","",IF(UPPER(TRIM(N11))=INDEX('2_前後測題庫'!$I$5:$I$19,12),1,0))</f>
        <v/>
      </c>
      <c r="AE11" s="13">
        <f>IF($O11="","",IF(UPPER(TRIM(O11))=INDEX('2_前後測題庫'!$I$5:$I$19,13),1,0))</f>
        <v/>
      </c>
      <c r="AF11" s="13">
        <f>IF($P11="","",IF(UPPER(TRIM(P11))=INDEX('2_前後測題庫'!$I$5:$I$19,14),1,0))</f>
        <v/>
      </c>
      <c r="AG11" s="13">
        <f>IF($Q11="","",IF(UPPER(TRIM(Q11))=INDEX('2_前後測題庫'!$I$5:$I$19,15),1,0))</f>
        <v/>
      </c>
      <c r="AH11" s="14">
        <f>IF($A11="","",SUM(S11:AG11))</f>
        <v/>
      </c>
    </row>
    <row r="12">
      <c r="A12" s="12" t="inlineStr">
        <is>
          <t>S08</t>
        </is>
      </c>
      <c r="B12" s="12" t="inlineStr">
        <is>
          <t>學生8</t>
        </is>
      </c>
      <c r="C12" s="10" t="inlineStr">
        <is>
          <t>A</t>
        </is>
      </c>
      <c r="D12" s="10" t="inlineStr">
        <is>
          <t>D</t>
        </is>
      </c>
      <c r="E12" s="10" t="inlineStr">
        <is>
          <t>A</t>
        </is>
      </c>
      <c r="F12" s="10" t="inlineStr">
        <is>
          <t>D</t>
        </is>
      </c>
      <c r="G12" s="10" t="inlineStr">
        <is>
          <t>D</t>
        </is>
      </c>
      <c r="H12" s="10" t="inlineStr">
        <is>
          <t>D</t>
        </is>
      </c>
      <c r="I12" s="10" t="inlineStr">
        <is>
          <t>A</t>
        </is>
      </c>
      <c r="J12" s="10" t="inlineStr">
        <is>
          <t>D</t>
        </is>
      </c>
      <c r="K12" s="10" t="inlineStr">
        <is>
          <t>D</t>
        </is>
      </c>
      <c r="L12" s="10" t="inlineStr">
        <is>
          <t>B</t>
        </is>
      </c>
      <c r="M12" s="10" t="inlineStr">
        <is>
          <t>A</t>
        </is>
      </c>
      <c r="N12" s="10" t="inlineStr">
        <is>
          <t>A</t>
        </is>
      </c>
      <c r="O12" s="10" t="inlineStr">
        <is>
          <t>C</t>
        </is>
      </c>
      <c r="P12" s="10" t="inlineStr">
        <is>
          <t>A</t>
        </is>
      </c>
      <c r="Q12" s="10" t="inlineStr">
        <is>
          <t>B</t>
        </is>
      </c>
      <c r="S12" s="13">
        <f>IF($C12="","",IF(UPPER(TRIM(C12))=INDEX('2_前後測題庫'!$I$5:$I$19,1),1,0))</f>
        <v/>
      </c>
      <c r="T12" s="13">
        <f>IF($D12="","",IF(UPPER(TRIM(D12))=INDEX('2_前後測題庫'!$I$5:$I$19,2),1,0))</f>
        <v/>
      </c>
      <c r="U12" s="13">
        <f>IF($E12="","",IF(UPPER(TRIM(E12))=INDEX('2_前後測題庫'!$I$5:$I$19,3),1,0))</f>
        <v/>
      </c>
      <c r="V12" s="13">
        <f>IF($F12="","",IF(UPPER(TRIM(F12))=INDEX('2_前後測題庫'!$I$5:$I$19,4),1,0))</f>
        <v/>
      </c>
      <c r="W12" s="13">
        <f>IF($G12="","",IF(UPPER(TRIM(G12))=INDEX('2_前後測題庫'!$I$5:$I$19,5),1,0))</f>
        <v/>
      </c>
      <c r="X12" s="13">
        <f>IF($H12="","",IF(UPPER(TRIM(H12))=INDEX('2_前後測題庫'!$I$5:$I$19,6),1,0))</f>
        <v/>
      </c>
      <c r="Y12" s="13">
        <f>IF($I12="","",IF(UPPER(TRIM(I12))=INDEX('2_前後測題庫'!$I$5:$I$19,7),1,0))</f>
        <v/>
      </c>
      <c r="Z12" s="13">
        <f>IF($J12="","",IF(UPPER(TRIM(J12))=INDEX('2_前後測題庫'!$I$5:$I$19,8),1,0))</f>
        <v/>
      </c>
      <c r="AA12" s="13">
        <f>IF($K12="","",IF(UPPER(TRIM(K12))=INDEX('2_前後測題庫'!$I$5:$I$19,9),1,0))</f>
        <v/>
      </c>
      <c r="AB12" s="13">
        <f>IF($L12="","",IF(UPPER(TRIM(L12))=INDEX('2_前後測題庫'!$I$5:$I$19,10),1,0))</f>
        <v/>
      </c>
      <c r="AC12" s="13">
        <f>IF($M12="","",IF(UPPER(TRIM(M12))=INDEX('2_前後測題庫'!$I$5:$I$19,11),1,0))</f>
        <v/>
      </c>
      <c r="AD12" s="13">
        <f>IF($N12="","",IF(UPPER(TRIM(N12))=INDEX('2_前後測題庫'!$I$5:$I$19,12),1,0))</f>
        <v/>
      </c>
      <c r="AE12" s="13">
        <f>IF($O12="","",IF(UPPER(TRIM(O12))=INDEX('2_前後測題庫'!$I$5:$I$19,13),1,0))</f>
        <v/>
      </c>
      <c r="AF12" s="13">
        <f>IF($P12="","",IF(UPPER(TRIM(P12))=INDEX('2_前後測題庫'!$I$5:$I$19,14),1,0))</f>
        <v/>
      </c>
      <c r="AG12" s="13">
        <f>IF($Q12="","",IF(UPPER(TRIM(Q12))=INDEX('2_前後測題庫'!$I$5:$I$19,15),1,0))</f>
        <v/>
      </c>
      <c r="AH12" s="14">
        <f>IF($A12="","",SUM(S12:AG12))</f>
        <v/>
      </c>
    </row>
    <row r="13">
      <c r="A13" s="12" t="inlineStr">
        <is>
          <t>S09</t>
        </is>
      </c>
      <c r="B13" s="12" t="inlineStr">
        <is>
          <t>學生9</t>
        </is>
      </c>
      <c r="C13" s="10" t="inlineStr">
        <is>
          <t>C</t>
        </is>
      </c>
      <c r="D13" s="10" t="inlineStr">
        <is>
          <t>A</t>
        </is>
      </c>
      <c r="E13" s="10" t="inlineStr">
        <is>
          <t>B</t>
        </is>
      </c>
      <c r="F13" s="10" t="inlineStr">
        <is>
          <t>B</t>
        </is>
      </c>
      <c r="G13" s="10" t="inlineStr">
        <is>
          <t>D</t>
        </is>
      </c>
      <c r="H13" s="10" t="inlineStr">
        <is>
          <t>A</t>
        </is>
      </c>
      <c r="I13" s="10" t="inlineStr">
        <is>
          <t>D</t>
        </is>
      </c>
      <c r="J13" s="10" t="inlineStr">
        <is>
          <t>C</t>
        </is>
      </c>
      <c r="K13" s="10" t="inlineStr">
        <is>
          <t>D</t>
        </is>
      </c>
      <c r="L13" s="10" t="inlineStr">
        <is>
          <t>D</t>
        </is>
      </c>
      <c r="M13" s="10" t="inlineStr">
        <is>
          <t>D</t>
        </is>
      </c>
      <c r="N13" s="10" t="inlineStr">
        <is>
          <t>D</t>
        </is>
      </c>
      <c r="O13" s="10" t="inlineStr">
        <is>
          <t>B</t>
        </is>
      </c>
      <c r="P13" s="10" t="inlineStr">
        <is>
          <t>D</t>
        </is>
      </c>
      <c r="Q13" s="10" t="inlineStr">
        <is>
          <t>B</t>
        </is>
      </c>
      <c r="S13" s="13">
        <f>IF($C13="","",IF(UPPER(TRIM(C13))=INDEX('2_前後測題庫'!$I$5:$I$19,1),1,0))</f>
        <v/>
      </c>
      <c r="T13" s="13">
        <f>IF($D13="","",IF(UPPER(TRIM(D13))=INDEX('2_前後測題庫'!$I$5:$I$19,2),1,0))</f>
        <v/>
      </c>
      <c r="U13" s="13">
        <f>IF($E13="","",IF(UPPER(TRIM(E13))=INDEX('2_前後測題庫'!$I$5:$I$19,3),1,0))</f>
        <v/>
      </c>
      <c r="V13" s="13">
        <f>IF($F13="","",IF(UPPER(TRIM(F13))=INDEX('2_前後測題庫'!$I$5:$I$19,4),1,0))</f>
        <v/>
      </c>
      <c r="W13" s="13">
        <f>IF($G13="","",IF(UPPER(TRIM(G13))=INDEX('2_前後測題庫'!$I$5:$I$19,5),1,0))</f>
        <v/>
      </c>
      <c r="X13" s="13">
        <f>IF($H13="","",IF(UPPER(TRIM(H13))=INDEX('2_前後測題庫'!$I$5:$I$19,6),1,0))</f>
        <v/>
      </c>
      <c r="Y13" s="13">
        <f>IF($I13="","",IF(UPPER(TRIM(I13))=INDEX('2_前後測題庫'!$I$5:$I$19,7),1,0))</f>
        <v/>
      </c>
      <c r="Z13" s="13">
        <f>IF($J13="","",IF(UPPER(TRIM(J13))=INDEX('2_前後測題庫'!$I$5:$I$19,8),1,0))</f>
        <v/>
      </c>
      <c r="AA13" s="13">
        <f>IF($K13="","",IF(UPPER(TRIM(K13))=INDEX('2_前後測題庫'!$I$5:$I$19,9),1,0))</f>
        <v/>
      </c>
      <c r="AB13" s="13">
        <f>IF($L13="","",IF(UPPER(TRIM(L13))=INDEX('2_前後測題庫'!$I$5:$I$19,10),1,0))</f>
        <v/>
      </c>
      <c r="AC13" s="13">
        <f>IF($M13="","",IF(UPPER(TRIM(M13))=INDEX('2_前後測題庫'!$I$5:$I$19,11),1,0))</f>
        <v/>
      </c>
      <c r="AD13" s="13">
        <f>IF($N13="","",IF(UPPER(TRIM(N13))=INDEX('2_前後測題庫'!$I$5:$I$19,12),1,0))</f>
        <v/>
      </c>
      <c r="AE13" s="13">
        <f>IF($O13="","",IF(UPPER(TRIM(O13))=INDEX('2_前後測題庫'!$I$5:$I$19,13),1,0))</f>
        <v/>
      </c>
      <c r="AF13" s="13">
        <f>IF($P13="","",IF(UPPER(TRIM(P13))=INDEX('2_前後測題庫'!$I$5:$I$19,14),1,0))</f>
        <v/>
      </c>
      <c r="AG13" s="13">
        <f>IF($Q13="","",IF(UPPER(TRIM(Q13))=INDEX('2_前後測題庫'!$I$5:$I$19,15),1,0))</f>
        <v/>
      </c>
      <c r="AH13" s="14">
        <f>IF($A13="","",SUM(S13:AG13))</f>
        <v/>
      </c>
    </row>
    <row r="14">
      <c r="A14" s="12" t="inlineStr">
        <is>
          <t>S10</t>
        </is>
      </c>
      <c r="B14" s="12" t="inlineStr">
        <is>
          <t>學生10</t>
        </is>
      </c>
      <c r="C14" s="10" t="inlineStr">
        <is>
          <t>A</t>
        </is>
      </c>
      <c r="D14" s="10" t="inlineStr">
        <is>
          <t>B</t>
        </is>
      </c>
      <c r="E14" s="10" t="inlineStr">
        <is>
          <t>D</t>
        </is>
      </c>
      <c r="F14" s="10" t="inlineStr">
        <is>
          <t>C</t>
        </is>
      </c>
      <c r="G14" s="10" t="inlineStr">
        <is>
          <t>A</t>
        </is>
      </c>
      <c r="H14" s="10" t="inlineStr">
        <is>
          <t>A</t>
        </is>
      </c>
      <c r="I14" s="10" t="inlineStr">
        <is>
          <t>B</t>
        </is>
      </c>
      <c r="J14" s="10" t="inlineStr">
        <is>
          <t>D</t>
        </is>
      </c>
      <c r="K14" s="10" t="inlineStr">
        <is>
          <t>C</t>
        </is>
      </c>
      <c r="L14" s="10" t="inlineStr">
        <is>
          <t>C</t>
        </is>
      </c>
      <c r="M14" s="10" t="inlineStr">
        <is>
          <t>B</t>
        </is>
      </c>
      <c r="N14" s="10" t="inlineStr">
        <is>
          <t>B</t>
        </is>
      </c>
      <c r="O14" s="10" t="inlineStr">
        <is>
          <t>C</t>
        </is>
      </c>
      <c r="P14" s="10" t="inlineStr">
        <is>
          <t>D</t>
        </is>
      </c>
      <c r="Q14" s="10" t="inlineStr">
        <is>
          <t>C</t>
        </is>
      </c>
      <c r="S14" s="13">
        <f>IF($C14="","",IF(UPPER(TRIM(C14))=INDEX('2_前後測題庫'!$I$5:$I$19,1),1,0))</f>
        <v/>
      </c>
      <c r="T14" s="13">
        <f>IF($D14="","",IF(UPPER(TRIM(D14))=INDEX('2_前後測題庫'!$I$5:$I$19,2),1,0))</f>
        <v/>
      </c>
      <c r="U14" s="13">
        <f>IF($E14="","",IF(UPPER(TRIM(E14))=INDEX('2_前後測題庫'!$I$5:$I$19,3),1,0))</f>
        <v/>
      </c>
      <c r="V14" s="13">
        <f>IF($F14="","",IF(UPPER(TRIM(F14))=INDEX('2_前後測題庫'!$I$5:$I$19,4),1,0))</f>
        <v/>
      </c>
      <c r="W14" s="13">
        <f>IF($G14="","",IF(UPPER(TRIM(G14))=INDEX('2_前後測題庫'!$I$5:$I$19,5),1,0))</f>
        <v/>
      </c>
      <c r="X14" s="13">
        <f>IF($H14="","",IF(UPPER(TRIM(H14))=INDEX('2_前後測題庫'!$I$5:$I$19,6),1,0))</f>
        <v/>
      </c>
      <c r="Y14" s="13">
        <f>IF($I14="","",IF(UPPER(TRIM(I14))=INDEX('2_前後測題庫'!$I$5:$I$19,7),1,0))</f>
        <v/>
      </c>
      <c r="Z14" s="13">
        <f>IF($J14="","",IF(UPPER(TRIM(J14))=INDEX('2_前後測題庫'!$I$5:$I$19,8),1,0))</f>
        <v/>
      </c>
      <c r="AA14" s="13">
        <f>IF($K14="","",IF(UPPER(TRIM(K14))=INDEX('2_前後測題庫'!$I$5:$I$19,9),1,0))</f>
        <v/>
      </c>
      <c r="AB14" s="13">
        <f>IF($L14="","",IF(UPPER(TRIM(L14))=INDEX('2_前後測題庫'!$I$5:$I$19,10),1,0))</f>
        <v/>
      </c>
      <c r="AC14" s="13">
        <f>IF($M14="","",IF(UPPER(TRIM(M14))=INDEX('2_前後測題庫'!$I$5:$I$19,11),1,0))</f>
        <v/>
      </c>
      <c r="AD14" s="13">
        <f>IF($N14="","",IF(UPPER(TRIM(N14))=INDEX('2_前後測題庫'!$I$5:$I$19,12),1,0))</f>
        <v/>
      </c>
      <c r="AE14" s="13">
        <f>IF($O14="","",IF(UPPER(TRIM(O14))=INDEX('2_前後測題庫'!$I$5:$I$19,13),1,0))</f>
        <v/>
      </c>
      <c r="AF14" s="13">
        <f>IF($P14="","",IF(UPPER(TRIM(P14))=INDEX('2_前後測題庫'!$I$5:$I$19,14),1,0))</f>
        <v/>
      </c>
      <c r="AG14" s="13">
        <f>IF($Q14="","",IF(UPPER(TRIM(Q14))=INDEX('2_前後測題庫'!$I$5:$I$19,15),1,0))</f>
        <v/>
      </c>
      <c r="AH14" s="14">
        <f>IF($A14="","",SUM(S14:AG14))</f>
        <v/>
      </c>
    </row>
    <row r="15">
      <c r="A15" s="12" t="inlineStr">
        <is>
          <t>S11</t>
        </is>
      </c>
      <c r="B15" s="12" t="inlineStr">
        <is>
          <t>學生11</t>
        </is>
      </c>
      <c r="C15" s="10" t="inlineStr">
        <is>
          <t>A</t>
        </is>
      </c>
      <c r="D15" s="10" t="inlineStr">
        <is>
          <t>B</t>
        </is>
      </c>
      <c r="E15" s="10" t="inlineStr">
        <is>
          <t>A</t>
        </is>
      </c>
      <c r="F15" s="10" t="inlineStr">
        <is>
          <t>C</t>
        </is>
      </c>
      <c r="G15" s="10" t="inlineStr">
        <is>
          <t>C</t>
        </is>
      </c>
      <c r="H15" s="10" t="inlineStr">
        <is>
          <t>C</t>
        </is>
      </c>
      <c r="I15" s="10" t="inlineStr">
        <is>
          <t>B</t>
        </is>
      </c>
      <c r="J15" s="10" t="inlineStr">
        <is>
          <t>B</t>
        </is>
      </c>
      <c r="K15" s="10" t="inlineStr">
        <is>
          <t>D</t>
        </is>
      </c>
      <c r="L15" s="10" t="inlineStr">
        <is>
          <t>D</t>
        </is>
      </c>
      <c r="M15" s="10" t="inlineStr">
        <is>
          <t>C</t>
        </is>
      </c>
      <c r="N15" s="10" t="inlineStr">
        <is>
          <t>B</t>
        </is>
      </c>
      <c r="O15" s="10" t="inlineStr">
        <is>
          <t>A</t>
        </is>
      </c>
      <c r="P15" s="10" t="inlineStr">
        <is>
          <t>C</t>
        </is>
      </c>
      <c r="Q15" s="10" t="inlineStr">
        <is>
          <t>A</t>
        </is>
      </c>
      <c r="S15" s="13">
        <f>IF($C15="","",IF(UPPER(TRIM(C15))=INDEX('2_前後測題庫'!$I$5:$I$19,1),1,0))</f>
        <v/>
      </c>
      <c r="T15" s="13">
        <f>IF($D15="","",IF(UPPER(TRIM(D15))=INDEX('2_前後測題庫'!$I$5:$I$19,2),1,0))</f>
        <v/>
      </c>
      <c r="U15" s="13">
        <f>IF($E15="","",IF(UPPER(TRIM(E15))=INDEX('2_前後測題庫'!$I$5:$I$19,3),1,0))</f>
        <v/>
      </c>
      <c r="V15" s="13">
        <f>IF($F15="","",IF(UPPER(TRIM(F15))=INDEX('2_前後測題庫'!$I$5:$I$19,4),1,0))</f>
        <v/>
      </c>
      <c r="W15" s="13">
        <f>IF($G15="","",IF(UPPER(TRIM(G15))=INDEX('2_前後測題庫'!$I$5:$I$19,5),1,0))</f>
        <v/>
      </c>
      <c r="X15" s="13">
        <f>IF($H15="","",IF(UPPER(TRIM(H15))=INDEX('2_前後測題庫'!$I$5:$I$19,6),1,0))</f>
        <v/>
      </c>
      <c r="Y15" s="13">
        <f>IF($I15="","",IF(UPPER(TRIM(I15))=INDEX('2_前後測題庫'!$I$5:$I$19,7),1,0))</f>
        <v/>
      </c>
      <c r="Z15" s="13">
        <f>IF($J15="","",IF(UPPER(TRIM(J15))=INDEX('2_前後測題庫'!$I$5:$I$19,8),1,0))</f>
        <v/>
      </c>
      <c r="AA15" s="13">
        <f>IF($K15="","",IF(UPPER(TRIM(K15))=INDEX('2_前後測題庫'!$I$5:$I$19,9),1,0))</f>
        <v/>
      </c>
      <c r="AB15" s="13">
        <f>IF($L15="","",IF(UPPER(TRIM(L15))=INDEX('2_前後測題庫'!$I$5:$I$19,10),1,0))</f>
        <v/>
      </c>
      <c r="AC15" s="13">
        <f>IF($M15="","",IF(UPPER(TRIM(M15))=INDEX('2_前後測題庫'!$I$5:$I$19,11),1,0))</f>
        <v/>
      </c>
      <c r="AD15" s="13">
        <f>IF($N15="","",IF(UPPER(TRIM(N15))=INDEX('2_前後測題庫'!$I$5:$I$19,12),1,0))</f>
        <v/>
      </c>
      <c r="AE15" s="13">
        <f>IF($O15="","",IF(UPPER(TRIM(O15))=INDEX('2_前後測題庫'!$I$5:$I$19,13),1,0))</f>
        <v/>
      </c>
      <c r="AF15" s="13">
        <f>IF($P15="","",IF(UPPER(TRIM(P15))=INDEX('2_前後測題庫'!$I$5:$I$19,14),1,0))</f>
        <v/>
      </c>
      <c r="AG15" s="13">
        <f>IF($Q15="","",IF(UPPER(TRIM(Q15))=INDEX('2_前後測題庫'!$I$5:$I$19,15),1,0))</f>
        <v/>
      </c>
      <c r="AH15" s="14">
        <f>IF($A15="","",SUM(S15:AG15))</f>
        <v/>
      </c>
    </row>
    <row r="16">
      <c r="A16" s="12" t="inlineStr">
        <is>
          <t>S12</t>
        </is>
      </c>
      <c r="B16" s="12" t="inlineStr">
        <is>
          <t>學生12</t>
        </is>
      </c>
      <c r="C16" s="10" t="inlineStr">
        <is>
          <t>D</t>
        </is>
      </c>
      <c r="D16" s="10" t="inlineStr">
        <is>
          <t>B</t>
        </is>
      </c>
      <c r="E16" s="10" t="inlineStr">
        <is>
          <t>D</t>
        </is>
      </c>
      <c r="F16" s="10" t="inlineStr">
        <is>
          <t>B</t>
        </is>
      </c>
      <c r="G16" s="10" t="inlineStr">
        <is>
          <t>C</t>
        </is>
      </c>
      <c r="H16" s="10" t="inlineStr">
        <is>
          <t>D</t>
        </is>
      </c>
      <c r="I16" s="10" t="inlineStr">
        <is>
          <t>D</t>
        </is>
      </c>
      <c r="J16" s="10" t="inlineStr">
        <is>
          <t>D</t>
        </is>
      </c>
      <c r="K16" s="10" t="inlineStr">
        <is>
          <t>B</t>
        </is>
      </c>
      <c r="L16" s="10" t="inlineStr">
        <is>
          <t>B</t>
        </is>
      </c>
      <c r="M16" s="10" t="inlineStr">
        <is>
          <t>A</t>
        </is>
      </c>
      <c r="N16" s="10" t="inlineStr">
        <is>
          <t>D</t>
        </is>
      </c>
      <c r="O16" s="10" t="inlineStr">
        <is>
          <t>C</t>
        </is>
      </c>
      <c r="P16" s="10" t="inlineStr">
        <is>
          <t>A</t>
        </is>
      </c>
      <c r="Q16" s="10" t="inlineStr">
        <is>
          <t>B</t>
        </is>
      </c>
      <c r="S16" s="13">
        <f>IF($C16="","",IF(UPPER(TRIM(C16))=INDEX('2_前後測題庫'!$I$5:$I$19,1),1,0))</f>
        <v/>
      </c>
      <c r="T16" s="13">
        <f>IF($D16="","",IF(UPPER(TRIM(D16))=INDEX('2_前後測題庫'!$I$5:$I$19,2),1,0))</f>
        <v/>
      </c>
      <c r="U16" s="13">
        <f>IF($E16="","",IF(UPPER(TRIM(E16))=INDEX('2_前後測題庫'!$I$5:$I$19,3),1,0))</f>
        <v/>
      </c>
      <c r="V16" s="13">
        <f>IF($F16="","",IF(UPPER(TRIM(F16))=INDEX('2_前後測題庫'!$I$5:$I$19,4),1,0))</f>
        <v/>
      </c>
      <c r="W16" s="13">
        <f>IF($G16="","",IF(UPPER(TRIM(G16))=INDEX('2_前後測題庫'!$I$5:$I$19,5),1,0))</f>
        <v/>
      </c>
      <c r="X16" s="13">
        <f>IF($H16="","",IF(UPPER(TRIM(H16))=INDEX('2_前後測題庫'!$I$5:$I$19,6),1,0))</f>
        <v/>
      </c>
      <c r="Y16" s="13">
        <f>IF($I16="","",IF(UPPER(TRIM(I16))=INDEX('2_前後測題庫'!$I$5:$I$19,7),1,0))</f>
        <v/>
      </c>
      <c r="Z16" s="13">
        <f>IF($J16="","",IF(UPPER(TRIM(J16))=INDEX('2_前後測題庫'!$I$5:$I$19,8),1,0))</f>
        <v/>
      </c>
      <c r="AA16" s="13">
        <f>IF($K16="","",IF(UPPER(TRIM(K16))=INDEX('2_前後測題庫'!$I$5:$I$19,9),1,0))</f>
        <v/>
      </c>
      <c r="AB16" s="13">
        <f>IF($L16="","",IF(UPPER(TRIM(L16))=INDEX('2_前後測題庫'!$I$5:$I$19,10),1,0))</f>
        <v/>
      </c>
      <c r="AC16" s="13">
        <f>IF($M16="","",IF(UPPER(TRIM(M16))=INDEX('2_前後測題庫'!$I$5:$I$19,11),1,0))</f>
        <v/>
      </c>
      <c r="AD16" s="13">
        <f>IF($N16="","",IF(UPPER(TRIM(N16))=INDEX('2_前後測題庫'!$I$5:$I$19,12),1,0))</f>
        <v/>
      </c>
      <c r="AE16" s="13">
        <f>IF($O16="","",IF(UPPER(TRIM(O16))=INDEX('2_前後測題庫'!$I$5:$I$19,13),1,0))</f>
        <v/>
      </c>
      <c r="AF16" s="13">
        <f>IF($P16="","",IF(UPPER(TRIM(P16))=INDEX('2_前後測題庫'!$I$5:$I$19,14),1,0))</f>
        <v/>
      </c>
      <c r="AG16" s="13">
        <f>IF($Q16="","",IF(UPPER(TRIM(Q16))=INDEX('2_前後測題庫'!$I$5:$I$19,15),1,0))</f>
        <v/>
      </c>
      <c r="AH16" s="14">
        <f>IF($A16="","",SUM(S16:AG16))</f>
        <v/>
      </c>
    </row>
    <row r="17">
      <c r="A17" s="12" t="inlineStr">
        <is>
          <t>S13</t>
        </is>
      </c>
      <c r="B17" s="12" t="inlineStr">
        <is>
          <t>學生13</t>
        </is>
      </c>
      <c r="C17" s="10" t="inlineStr">
        <is>
          <t>C</t>
        </is>
      </c>
      <c r="D17" s="10" t="inlineStr">
        <is>
          <t>B</t>
        </is>
      </c>
      <c r="E17" s="10" t="inlineStr">
        <is>
          <t>C</t>
        </is>
      </c>
      <c r="F17" s="10" t="inlineStr">
        <is>
          <t>C</t>
        </is>
      </c>
      <c r="G17" s="10" t="inlineStr">
        <is>
          <t>C</t>
        </is>
      </c>
      <c r="H17" s="10" t="inlineStr">
        <is>
          <t>D</t>
        </is>
      </c>
      <c r="I17" s="10" t="inlineStr">
        <is>
          <t>C</t>
        </is>
      </c>
      <c r="J17" s="10" t="inlineStr">
        <is>
          <t>A</t>
        </is>
      </c>
      <c r="K17" s="10" t="inlineStr">
        <is>
          <t>C</t>
        </is>
      </c>
      <c r="L17" s="10" t="inlineStr">
        <is>
          <t>B</t>
        </is>
      </c>
      <c r="M17" s="10" t="inlineStr">
        <is>
          <t>B</t>
        </is>
      </c>
      <c r="N17" s="10" t="inlineStr">
        <is>
          <t>B</t>
        </is>
      </c>
      <c r="O17" s="10" t="inlineStr">
        <is>
          <t>B</t>
        </is>
      </c>
      <c r="P17" s="10" t="inlineStr">
        <is>
          <t>D</t>
        </is>
      </c>
      <c r="Q17" s="10" t="inlineStr">
        <is>
          <t>B</t>
        </is>
      </c>
      <c r="S17" s="13">
        <f>IF($C17="","",IF(UPPER(TRIM(C17))=INDEX('2_前後測題庫'!$I$5:$I$19,1),1,0))</f>
        <v/>
      </c>
      <c r="T17" s="13">
        <f>IF($D17="","",IF(UPPER(TRIM(D17))=INDEX('2_前後測題庫'!$I$5:$I$19,2),1,0))</f>
        <v/>
      </c>
      <c r="U17" s="13">
        <f>IF($E17="","",IF(UPPER(TRIM(E17))=INDEX('2_前後測題庫'!$I$5:$I$19,3),1,0))</f>
        <v/>
      </c>
      <c r="V17" s="13">
        <f>IF($F17="","",IF(UPPER(TRIM(F17))=INDEX('2_前後測題庫'!$I$5:$I$19,4),1,0))</f>
        <v/>
      </c>
      <c r="W17" s="13">
        <f>IF($G17="","",IF(UPPER(TRIM(G17))=INDEX('2_前後測題庫'!$I$5:$I$19,5),1,0))</f>
        <v/>
      </c>
      <c r="X17" s="13">
        <f>IF($H17="","",IF(UPPER(TRIM(H17))=INDEX('2_前後測題庫'!$I$5:$I$19,6),1,0))</f>
        <v/>
      </c>
      <c r="Y17" s="13">
        <f>IF($I17="","",IF(UPPER(TRIM(I17))=INDEX('2_前後測題庫'!$I$5:$I$19,7),1,0))</f>
        <v/>
      </c>
      <c r="Z17" s="13">
        <f>IF($J17="","",IF(UPPER(TRIM(J17))=INDEX('2_前後測題庫'!$I$5:$I$19,8),1,0))</f>
        <v/>
      </c>
      <c r="AA17" s="13">
        <f>IF($K17="","",IF(UPPER(TRIM(K17))=INDEX('2_前後測題庫'!$I$5:$I$19,9),1,0))</f>
        <v/>
      </c>
      <c r="AB17" s="13">
        <f>IF($L17="","",IF(UPPER(TRIM(L17))=INDEX('2_前後測題庫'!$I$5:$I$19,10),1,0))</f>
        <v/>
      </c>
      <c r="AC17" s="13">
        <f>IF($M17="","",IF(UPPER(TRIM(M17))=INDEX('2_前後測題庫'!$I$5:$I$19,11),1,0))</f>
        <v/>
      </c>
      <c r="AD17" s="13">
        <f>IF($N17="","",IF(UPPER(TRIM(N17))=INDEX('2_前後測題庫'!$I$5:$I$19,12),1,0))</f>
        <v/>
      </c>
      <c r="AE17" s="13">
        <f>IF($O17="","",IF(UPPER(TRIM(O17))=INDEX('2_前後測題庫'!$I$5:$I$19,13),1,0))</f>
        <v/>
      </c>
      <c r="AF17" s="13">
        <f>IF($P17="","",IF(UPPER(TRIM(P17))=INDEX('2_前後測題庫'!$I$5:$I$19,14),1,0))</f>
        <v/>
      </c>
      <c r="AG17" s="13">
        <f>IF($Q17="","",IF(UPPER(TRIM(Q17))=INDEX('2_前後測題庫'!$I$5:$I$19,15),1,0))</f>
        <v/>
      </c>
      <c r="AH17" s="14">
        <f>IF($A17="","",SUM(S17:AG17))</f>
        <v/>
      </c>
    </row>
    <row r="18">
      <c r="A18" s="12" t="inlineStr">
        <is>
          <t>S14</t>
        </is>
      </c>
      <c r="B18" s="12" t="inlineStr">
        <is>
          <t>學生14</t>
        </is>
      </c>
      <c r="C18" s="10" t="inlineStr">
        <is>
          <t>A</t>
        </is>
      </c>
      <c r="D18" s="10" t="inlineStr">
        <is>
          <t>B</t>
        </is>
      </c>
      <c r="E18" s="10" t="inlineStr">
        <is>
          <t>C</t>
        </is>
      </c>
      <c r="F18" s="10" t="inlineStr">
        <is>
          <t>C</t>
        </is>
      </c>
      <c r="G18" s="10" t="inlineStr">
        <is>
          <t>C</t>
        </is>
      </c>
      <c r="H18" s="10" t="inlineStr">
        <is>
          <t>B</t>
        </is>
      </c>
      <c r="I18" s="10" t="inlineStr">
        <is>
          <t>B</t>
        </is>
      </c>
      <c r="J18" s="10" t="inlineStr">
        <is>
          <t>B</t>
        </is>
      </c>
      <c r="K18" s="10" t="inlineStr">
        <is>
          <t>A</t>
        </is>
      </c>
      <c r="L18" s="10" t="inlineStr">
        <is>
          <t>C</t>
        </is>
      </c>
      <c r="M18" s="10" t="inlineStr">
        <is>
          <t>D</t>
        </is>
      </c>
      <c r="N18" s="10" t="inlineStr">
        <is>
          <t>B</t>
        </is>
      </c>
      <c r="O18" s="10" t="inlineStr">
        <is>
          <t>B</t>
        </is>
      </c>
      <c r="P18" s="10" t="inlineStr">
        <is>
          <t>C</t>
        </is>
      </c>
      <c r="Q18" s="10" t="inlineStr">
        <is>
          <t>B</t>
        </is>
      </c>
      <c r="S18" s="13">
        <f>IF($C18="","",IF(UPPER(TRIM(C18))=INDEX('2_前後測題庫'!$I$5:$I$19,1),1,0))</f>
        <v/>
      </c>
      <c r="T18" s="13">
        <f>IF($D18="","",IF(UPPER(TRIM(D18))=INDEX('2_前後測題庫'!$I$5:$I$19,2),1,0))</f>
        <v/>
      </c>
      <c r="U18" s="13">
        <f>IF($E18="","",IF(UPPER(TRIM(E18))=INDEX('2_前後測題庫'!$I$5:$I$19,3),1,0))</f>
        <v/>
      </c>
      <c r="V18" s="13">
        <f>IF($F18="","",IF(UPPER(TRIM(F18))=INDEX('2_前後測題庫'!$I$5:$I$19,4),1,0))</f>
        <v/>
      </c>
      <c r="W18" s="13">
        <f>IF($G18="","",IF(UPPER(TRIM(G18))=INDEX('2_前後測題庫'!$I$5:$I$19,5),1,0))</f>
        <v/>
      </c>
      <c r="X18" s="13">
        <f>IF($H18="","",IF(UPPER(TRIM(H18))=INDEX('2_前後測題庫'!$I$5:$I$19,6),1,0))</f>
        <v/>
      </c>
      <c r="Y18" s="13">
        <f>IF($I18="","",IF(UPPER(TRIM(I18))=INDEX('2_前後測題庫'!$I$5:$I$19,7),1,0))</f>
        <v/>
      </c>
      <c r="Z18" s="13">
        <f>IF($J18="","",IF(UPPER(TRIM(J18))=INDEX('2_前後測題庫'!$I$5:$I$19,8),1,0))</f>
        <v/>
      </c>
      <c r="AA18" s="13">
        <f>IF($K18="","",IF(UPPER(TRIM(K18))=INDEX('2_前後測題庫'!$I$5:$I$19,9),1,0))</f>
        <v/>
      </c>
      <c r="AB18" s="13">
        <f>IF($L18="","",IF(UPPER(TRIM(L18))=INDEX('2_前後測題庫'!$I$5:$I$19,10),1,0))</f>
        <v/>
      </c>
      <c r="AC18" s="13">
        <f>IF($M18="","",IF(UPPER(TRIM(M18))=INDEX('2_前後測題庫'!$I$5:$I$19,11),1,0))</f>
        <v/>
      </c>
      <c r="AD18" s="13">
        <f>IF($N18="","",IF(UPPER(TRIM(N18))=INDEX('2_前後測題庫'!$I$5:$I$19,12),1,0))</f>
        <v/>
      </c>
      <c r="AE18" s="13">
        <f>IF($O18="","",IF(UPPER(TRIM(O18))=INDEX('2_前後測題庫'!$I$5:$I$19,13),1,0))</f>
        <v/>
      </c>
      <c r="AF18" s="13">
        <f>IF($P18="","",IF(UPPER(TRIM(P18))=INDEX('2_前後測題庫'!$I$5:$I$19,14),1,0))</f>
        <v/>
      </c>
      <c r="AG18" s="13">
        <f>IF($Q18="","",IF(UPPER(TRIM(Q18))=INDEX('2_前後測題庫'!$I$5:$I$19,15),1,0))</f>
        <v/>
      </c>
      <c r="AH18" s="14">
        <f>IF($A18="","",SUM(S18:AG18))</f>
        <v/>
      </c>
    </row>
    <row r="19">
      <c r="A19" s="12" t="inlineStr">
        <is>
          <t>S15</t>
        </is>
      </c>
      <c r="B19" s="12" t="inlineStr">
        <is>
          <t>學生15</t>
        </is>
      </c>
      <c r="C19" s="10" t="inlineStr">
        <is>
          <t>D</t>
        </is>
      </c>
      <c r="D19" s="10" t="inlineStr">
        <is>
          <t>C</t>
        </is>
      </c>
      <c r="E19" s="10" t="inlineStr">
        <is>
          <t>A</t>
        </is>
      </c>
      <c r="F19" s="10" t="inlineStr">
        <is>
          <t>C</t>
        </is>
      </c>
      <c r="G19" s="10" t="inlineStr">
        <is>
          <t>D</t>
        </is>
      </c>
      <c r="H19" s="10" t="inlineStr">
        <is>
          <t>A</t>
        </is>
      </c>
      <c r="I19" s="10" t="inlineStr">
        <is>
          <t>D</t>
        </is>
      </c>
      <c r="J19" s="10" t="inlineStr">
        <is>
          <t>C</t>
        </is>
      </c>
      <c r="K19" s="10" t="inlineStr">
        <is>
          <t>C</t>
        </is>
      </c>
      <c r="L19" s="10" t="inlineStr">
        <is>
          <t>A</t>
        </is>
      </c>
      <c r="M19" s="10" t="inlineStr">
        <is>
          <t>A</t>
        </is>
      </c>
      <c r="N19" s="10" t="inlineStr">
        <is>
          <t>C</t>
        </is>
      </c>
      <c r="O19" s="10" t="inlineStr">
        <is>
          <t>A</t>
        </is>
      </c>
      <c r="P19" s="10" t="inlineStr">
        <is>
          <t>C</t>
        </is>
      </c>
      <c r="Q19" s="10" t="inlineStr">
        <is>
          <t>C</t>
        </is>
      </c>
      <c r="S19" s="13">
        <f>IF($C19="","",IF(UPPER(TRIM(C19))=INDEX('2_前後測題庫'!$I$5:$I$19,1),1,0))</f>
        <v/>
      </c>
      <c r="T19" s="13">
        <f>IF($D19="","",IF(UPPER(TRIM(D19))=INDEX('2_前後測題庫'!$I$5:$I$19,2),1,0))</f>
        <v/>
      </c>
      <c r="U19" s="13">
        <f>IF($E19="","",IF(UPPER(TRIM(E19))=INDEX('2_前後測題庫'!$I$5:$I$19,3),1,0))</f>
        <v/>
      </c>
      <c r="V19" s="13">
        <f>IF($F19="","",IF(UPPER(TRIM(F19))=INDEX('2_前後測題庫'!$I$5:$I$19,4),1,0))</f>
        <v/>
      </c>
      <c r="W19" s="13">
        <f>IF($G19="","",IF(UPPER(TRIM(G19))=INDEX('2_前後測題庫'!$I$5:$I$19,5),1,0))</f>
        <v/>
      </c>
      <c r="X19" s="13">
        <f>IF($H19="","",IF(UPPER(TRIM(H19))=INDEX('2_前後測題庫'!$I$5:$I$19,6),1,0))</f>
        <v/>
      </c>
      <c r="Y19" s="13">
        <f>IF($I19="","",IF(UPPER(TRIM(I19))=INDEX('2_前後測題庫'!$I$5:$I$19,7),1,0))</f>
        <v/>
      </c>
      <c r="Z19" s="13">
        <f>IF($J19="","",IF(UPPER(TRIM(J19))=INDEX('2_前後測題庫'!$I$5:$I$19,8),1,0))</f>
        <v/>
      </c>
      <c r="AA19" s="13">
        <f>IF($K19="","",IF(UPPER(TRIM(K19))=INDEX('2_前後測題庫'!$I$5:$I$19,9),1,0))</f>
        <v/>
      </c>
      <c r="AB19" s="13">
        <f>IF($L19="","",IF(UPPER(TRIM(L19))=INDEX('2_前後測題庫'!$I$5:$I$19,10),1,0))</f>
        <v/>
      </c>
      <c r="AC19" s="13">
        <f>IF($M19="","",IF(UPPER(TRIM(M19))=INDEX('2_前後測題庫'!$I$5:$I$19,11),1,0))</f>
        <v/>
      </c>
      <c r="AD19" s="13">
        <f>IF($N19="","",IF(UPPER(TRIM(N19))=INDEX('2_前後測題庫'!$I$5:$I$19,12),1,0))</f>
        <v/>
      </c>
      <c r="AE19" s="13">
        <f>IF($O19="","",IF(UPPER(TRIM(O19))=INDEX('2_前後測題庫'!$I$5:$I$19,13),1,0))</f>
        <v/>
      </c>
      <c r="AF19" s="13">
        <f>IF($P19="","",IF(UPPER(TRIM(P19))=INDEX('2_前後測題庫'!$I$5:$I$19,14),1,0))</f>
        <v/>
      </c>
      <c r="AG19" s="13">
        <f>IF($Q19="","",IF(UPPER(TRIM(Q19))=INDEX('2_前後測題庫'!$I$5:$I$19,15),1,0))</f>
        <v/>
      </c>
      <c r="AH19" s="14">
        <f>IF($A19="","",SUM(S19:AG19))</f>
        <v/>
      </c>
    </row>
    <row r="20">
      <c r="A20" s="12" t="n"/>
      <c r="B20" s="12" t="n"/>
      <c r="C20" s="12" t="n"/>
      <c r="D20" s="12" t="n"/>
      <c r="E20" s="12" t="n"/>
      <c r="F20" s="12" t="n"/>
      <c r="G20" s="12" t="n"/>
      <c r="H20" s="12" t="n"/>
      <c r="I20" s="12" t="n"/>
      <c r="J20" s="12" t="n"/>
      <c r="K20" s="12" t="n"/>
      <c r="L20" s="12" t="n"/>
      <c r="M20" s="12" t="n"/>
      <c r="N20" s="12" t="n"/>
      <c r="O20" s="12" t="n"/>
      <c r="P20" s="12" t="n"/>
      <c r="Q20" s="12" t="n"/>
      <c r="S20" s="13">
        <f>IF($C20="","",IF(UPPER(TRIM(C20))=INDEX('2_前後測題庫'!$I$5:$I$19,1),1,0))</f>
        <v/>
      </c>
      <c r="T20" s="13">
        <f>IF($D20="","",IF(UPPER(TRIM(D20))=INDEX('2_前後測題庫'!$I$5:$I$19,2),1,0))</f>
        <v/>
      </c>
      <c r="U20" s="13">
        <f>IF($E20="","",IF(UPPER(TRIM(E20))=INDEX('2_前後測題庫'!$I$5:$I$19,3),1,0))</f>
        <v/>
      </c>
      <c r="V20" s="13">
        <f>IF($F20="","",IF(UPPER(TRIM(F20))=INDEX('2_前後測題庫'!$I$5:$I$19,4),1,0))</f>
        <v/>
      </c>
      <c r="W20" s="13">
        <f>IF($G20="","",IF(UPPER(TRIM(G20))=INDEX('2_前後測題庫'!$I$5:$I$19,5),1,0))</f>
        <v/>
      </c>
      <c r="X20" s="13">
        <f>IF($H20="","",IF(UPPER(TRIM(H20))=INDEX('2_前後測題庫'!$I$5:$I$19,6),1,0))</f>
        <v/>
      </c>
      <c r="Y20" s="13">
        <f>IF($I20="","",IF(UPPER(TRIM(I20))=INDEX('2_前後測題庫'!$I$5:$I$19,7),1,0))</f>
        <v/>
      </c>
      <c r="Z20" s="13">
        <f>IF($J20="","",IF(UPPER(TRIM(J20))=INDEX('2_前後測題庫'!$I$5:$I$19,8),1,0))</f>
        <v/>
      </c>
      <c r="AA20" s="13">
        <f>IF($K20="","",IF(UPPER(TRIM(K20))=INDEX('2_前後測題庫'!$I$5:$I$19,9),1,0))</f>
        <v/>
      </c>
      <c r="AB20" s="13">
        <f>IF($L20="","",IF(UPPER(TRIM(L20))=INDEX('2_前後測題庫'!$I$5:$I$19,10),1,0))</f>
        <v/>
      </c>
      <c r="AC20" s="13">
        <f>IF($M20="","",IF(UPPER(TRIM(M20))=INDEX('2_前後測題庫'!$I$5:$I$19,11),1,0))</f>
        <v/>
      </c>
      <c r="AD20" s="13">
        <f>IF($N20="","",IF(UPPER(TRIM(N20))=INDEX('2_前後測題庫'!$I$5:$I$19,12),1,0))</f>
        <v/>
      </c>
      <c r="AE20" s="13">
        <f>IF($O20="","",IF(UPPER(TRIM(O20))=INDEX('2_前後測題庫'!$I$5:$I$19,13),1,0))</f>
        <v/>
      </c>
      <c r="AF20" s="13">
        <f>IF($P20="","",IF(UPPER(TRIM(P20))=INDEX('2_前後測題庫'!$I$5:$I$19,14),1,0))</f>
        <v/>
      </c>
      <c r="AG20" s="13">
        <f>IF($Q20="","",IF(UPPER(TRIM(Q20))=INDEX('2_前後測題庫'!$I$5:$I$19,15),1,0))</f>
        <v/>
      </c>
      <c r="AH20" s="14">
        <f>IF($A20="","",SUM(S20:AG20))</f>
        <v/>
      </c>
    </row>
    <row r="21">
      <c r="A21" s="12" t="n"/>
      <c r="B21" s="12" t="n"/>
      <c r="C21" s="12" t="n"/>
      <c r="D21" s="12" t="n"/>
      <c r="E21" s="12" t="n"/>
      <c r="F21" s="12" t="n"/>
      <c r="G21" s="12" t="n"/>
      <c r="H21" s="12" t="n"/>
      <c r="I21" s="12" t="n"/>
      <c r="J21" s="12" t="n"/>
      <c r="K21" s="12" t="n"/>
      <c r="L21" s="12" t="n"/>
      <c r="M21" s="12" t="n"/>
      <c r="N21" s="12" t="n"/>
      <c r="O21" s="12" t="n"/>
      <c r="P21" s="12" t="n"/>
      <c r="Q21" s="12" t="n"/>
      <c r="S21" s="13">
        <f>IF($C21="","",IF(UPPER(TRIM(C21))=INDEX('2_前後測題庫'!$I$5:$I$19,1),1,0))</f>
        <v/>
      </c>
      <c r="T21" s="13">
        <f>IF($D21="","",IF(UPPER(TRIM(D21))=INDEX('2_前後測題庫'!$I$5:$I$19,2),1,0))</f>
        <v/>
      </c>
      <c r="U21" s="13">
        <f>IF($E21="","",IF(UPPER(TRIM(E21))=INDEX('2_前後測題庫'!$I$5:$I$19,3),1,0))</f>
        <v/>
      </c>
      <c r="V21" s="13">
        <f>IF($F21="","",IF(UPPER(TRIM(F21))=INDEX('2_前後測題庫'!$I$5:$I$19,4),1,0))</f>
        <v/>
      </c>
      <c r="W21" s="13">
        <f>IF($G21="","",IF(UPPER(TRIM(G21))=INDEX('2_前後測題庫'!$I$5:$I$19,5),1,0))</f>
        <v/>
      </c>
      <c r="X21" s="13">
        <f>IF($H21="","",IF(UPPER(TRIM(H21))=INDEX('2_前後測題庫'!$I$5:$I$19,6),1,0))</f>
        <v/>
      </c>
      <c r="Y21" s="13">
        <f>IF($I21="","",IF(UPPER(TRIM(I21))=INDEX('2_前後測題庫'!$I$5:$I$19,7),1,0))</f>
        <v/>
      </c>
      <c r="Z21" s="13">
        <f>IF($J21="","",IF(UPPER(TRIM(J21))=INDEX('2_前後測題庫'!$I$5:$I$19,8),1,0))</f>
        <v/>
      </c>
      <c r="AA21" s="13">
        <f>IF($K21="","",IF(UPPER(TRIM(K21))=INDEX('2_前後測題庫'!$I$5:$I$19,9),1,0))</f>
        <v/>
      </c>
      <c r="AB21" s="13">
        <f>IF($L21="","",IF(UPPER(TRIM(L21))=INDEX('2_前後測題庫'!$I$5:$I$19,10),1,0))</f>
        <v/>
      </c>
      <c r="AC21" s="13">
        <f>IF($M21="","",IF(UPPER(TRIM(M21))=INDEX('2_前後測題庫'!$I$5:$I$19,11),1,0))</f>
        <v/>
      </c>
      <c r="AD21" s="13">
        <f>IF($N21="","",IF(UPPER(TRIM(N21))=INDEX('2_前後測題庫'!$I$5:$I$19,12),1,0))</f>
        <v/>
      </c>
      <c r="AE21" s="13">
        <f>IF($O21="","",IF(UPPER(TRIM(O21))=INDEX('2_前後測題庫'!$I$5:$I$19,13),1,0))</f>
        <v/>
      </c>
      <c r="AF21" s="13">
        <f>IF($P21="","",IF(UPPER(TRIM(P21))=INDEX('2_前後測題庫'!$I$5:$I$19,14),1,0))</f>
        <v/>
      </c>
      <c r="AG21" s="13">
        <f>IF($Q21="","",IF(UPPER(TRIM(Q21))=INDEX('2_前後測題庫'!$I$5:$I$19,15),1,0))</f>
        <v/>
      </c>
      <c r="AH21" s="14">
        <f>IF($A21="","",SUM(S21:AG21))</f>
        <v/>
      </c>
    </row>
    <row r="22">
      <c r="A22" s="12" t="n"/>
      <c r="B22" s="12" t="n"/>
      <c r="C22" s="12" t="n"/>
      <c r="D22" s="12" t="n"/>
      <c r="E22" s="12" t="n"/>
      <c r="F22" s="12" t="n"/>
      <c r="G22" s="12" t="n"/>
      <c r="H22" s="12" t="n"/>
      <c r="I22" s="12" t="n"/>
      <c r="J22" s="12" t="n"/>
      <c r="K22" s="12" t="n"/>
      <c r="L22" s="12" t="n"/>
      <c r="M22" s="12" t="n"/>
      <c r="N22" s="12" t="n"/>
      <c r="O22" s="12" t="n"/>
      <c r="P22" s="12" t="n"/>
      <c r="Q22" s="12" t="n"/>
      <c r="S22" s="13">
        <f>IF($C22="","",IF(UPPER(TRIM(C22))=INDEX('2_前後測題庫'!$I$5:$I$19,1),1,0))</f>
        <v/>
      </c>
      <c r="T22" s="13">
        <f>IF($D22="","",IF(UPPER(TRIM(D22))=INDEX('2_前後測題庫'!$I$5:$I$19,2),1,0))</f>
        <v/>
      </c>
      <c r="U22" s="13">
        <f>IF($E22="","",IF(UPPER(TRIM(E22))=INDEX('2_前後測題庫'!$I$5:$I$19,3),1,0))</f>
        <v/>
      </c>
      <c r="V22" s="13">
        <f>IF($F22="","",IF(UPPER(TRIM(F22))=INDEX('2_前後測題庫'!$I$5:$I$19,4),1,0))</f>
        <v/>
      </c>
      <c r="W22" s="13">
        <f>IF($G22="","",IF(UPPER(TRIM(G22))=INDEX('2_前後測題庫'!$I$5:$I$19,5),1,0))</f>
        <v/>
      </c>
      <c r="X22" s="13">
        <f>IF($H22="","",IF(UPPER(TRIM(H22))=INDEX('2_前後測題庫'!$I$5:$I$19,6),1,0))</f>
        <v/>
      </c>
      <c r="Y22" s="13">
        <f>IF($I22="","",IF(UPPER(TRIM(I22))=INDEX('2_前後測題庫'!$I$5:$I$19,7),1,0))</f>
        <v/>
      </c>
      <c r="Z22" s="13">
        <f>IF($J22="","",IF(UPPER(TRIM(J22))=INDEX('2_前後測題庫'!$I$5:$I$19,8),1,0))</f>
        <v/>
      </c>
      <c r="AA22" s="13">
        <f>IF($K22="","",IF(UPPER(TRIM(K22))=INDEX('2_前後測題庫'!$I$5:$I$19,9),1,0))</f>
        <v/>
      </c>
      <c r="AB22" s="13">
        <f>IF($L22="","",IF(UPPER(TRIM(L22))=INDEX('2_前後測題庫'!$I$5:$I$19,10),1,0))</f>
        <v/>
      </c>
      <c r="AC22" s="13">
        <f>IF($M22="","",IF(UPPER(TRIM(M22))=INDEX('2_前後測題庫'!$I$5:$I$19,11),1,0))</f>
        <v/>
      </c>
      <c r="AD22" s="13">
        <f>IF($N22="","",IF(UPPER(TRIM(N22))=INDEX('2_前後測題庫'!$I$5:$I$19,12),1,0))</f>
        <v/>
      </c>
      <c r="AE22" s="13">
        <f>IF($O22="","",IF(UPPER(TRIM(O22))=INDEX('2_前後測題庫'!$I$5:$I$19,13),1,0))</f>
        <v/>
      </c>
      <c r="AF22" s="13">
        <f>IF($P22="","",IF(UPPER(TRIM(P22))=INDEX('2_前後測題庫'!$I$5:$I$19,14),1,0))</f>
        <v/>
      </c>
      <c r="AG22" s="13">
        <f>IF($Q22="","",IF(UPPER(TRIM(Q22))=INDEX('2_前後測題庫'!$I$5:$I$19,15),1,0))</f>
        <v/>
      </c>
      <c r="AH22" s="14">
        <f>IF($A22="","",SUM(S22:AG22))</f>
        <v/>
      </c>
    </row>
    <row r="23">
      <c r="A23" s="12" t="n"/>
      <c r="B23" s="12" t="n"/>
      <c r="C23" s="12" t="n"/>
      <c r="D23" s="12" t="n"/>
      <c r="E23" s="12" t="n"/>
      <c r="F23" s="12" t="n"/>
      <c r="G23" s="12" t="n"/>
      <c r="H23" s="12" t="n"/>
      <c r="I23" s="12" t="n"/>
      <c r="J23" s="12" t="n"/>
      <c r="K23" s="12" t="n"/>
      <c r="L23" s="12" t="n"/>
      <c r="M23" s="12" t="n"/>
      <c r="N23" s="12" t="n"/>
      <c r="O23" s="12" t="n"/>
      <c r="P23" s="12" t="n"/>
      <c r="Q23" s="12" t="n"/>
      <c r="S23" s="13">
        <f>IF($C23="","",IF(UPPER(TRIM(C23))=INDEX('2_前後測題庫'!$I$5:$I$19,1),1,0))</f>
        <v/>
      </c>
      <c r="T23" s="13">
        <f>IF($D23="","",IF(UPPER(TRIM(D23))=INDEX('2_前後測題庫'!$I$5:$I$19,2),1,0))</f>
        <v/>
      </c>
      <c r="U23" s="13">
        <f>IF($E23="","",IF(UPPER(TRIM(E23))=INDEX('2_前後測題庫'!$I$5:$I$19,3),1,0))</f>
        <v/>
      </c>
      <c r="V23" s="13">
        <f>IF($F23="","",IF(UPPER(TRIM(F23))=INDEX('2_前後測題庫'!$I$5:$I$19,4),1,0))</f>
        <v/>
      </c>
      <c r="W23" s="13">
        <f>IF($G23="","",IF(UPPER(TRIM(G23))=INDEX('2_前後測題庫'!$I$5:$I$19,5),1,0))</f>
        <v/>
      </c>
      <c r="X23" s="13">
        <f>IF($H23="","",IF(UPPER(TRIM(H23))=INDEX('2_前後測題庫'!$I$5:$I$19,6),1,0))</f>
        <v/>
      </c>
      <c r="Y23" s="13">
        <f>IF($I23="","",IF(UPPER(TRIM(I23))=INDEX('2_前後測題庫'!$I$5:$I$19,7),1,0))</f>
        <v/>
      </c>
      <c r="Z23" s="13">
        <f>IF($J23="","",IF(UPPER(TRIM(J23))=INDEX('2_前後測題庫'!$I$5:$I$19,8),1,0))</f>
        <v/>
      </c>
      <c r="AA23" s="13">
        <f>IF($K23="","",IF(UPPER(TRIM(K23))=INDEX('2_前後測題庫'!$I$5:$I$19,9),1,0))</f>
        <v/>
      </c>
      <c r="AB23" s="13">
        <f>IF($L23="","",IF(UPPER(TRIM(L23))=INDEX('2_前後測題庫'!$I$5:$I$19,10),1,0))</f>
        <v/>
      </c>
      <c r="AC23" s="13">
        <f>IF($M23="","",IF(UPPER(TRIM(M23))=INDEX('2_前後測題庫'!$I$5:$I$19,11),1,0))</f>
        <v/>
      </c>
      <c r="AD23" s="13">
        <f>IF($N23="","",IF(UPPER(TRIM(N23))=INDEX('2_前後測題庫'!$I$5:$I$19,12),1,0))</f>
        <v/>
      </c>
      <c r="AE23" s="13">
        <f>IF($O23="","",IF(UPPER(TRIM(O23))=INDEX('2_前後測題庫'!$I$5:$I$19,13),1,0))</f>
        <v/>
      </c>
      <c r="AF23" s="13">
        <f>IF($P23="","",IF(UPPER(TRIM(P23))=INDEX('2_前後測題庫'!$I$5:$I$19,14),1,0))</f>
        <v/>
      </c>
      <c r="AG23" s="13">
        <f>IF($Q23="","",IF(UPPER(TRIM(Q23))=INDEX('2_前後測題庫'!$I$5:$I$19,15),1,0))</f>
        <v/>
      </c>
      <c r="AH23" s="14">
        <f>IF($A23="","",SUM(S23:AG23))</f>
        <v/>
      </c>
    </row>
    <row r="24">
      <c r="A24" s="12" t="n"/>
      <c r="B24" s="12" t="n"/>
      <c r="C24" s="12" t="n"/>
      <c r="D24" s="12" t="n"/>
      <c r="E24" s="12" t="n"/>
      <c r="F24" s="12" t="n"/>
      <c r="G24" s="12" t="n"/>
      <c r="H24" s="12" t="n"/>
      <c r="I24" s="12" t="n"/>
      <c r="J24" s="12" t="n"/>
      <c r="K24" s="12" t="n"/>
      <c r="L24" s="12" t="n"/>
      <c r="M24" s="12" t="n"/>
      <c r="N24" s="12" t="n"/>
      <c r="O24" s="12" t="n"/>
      <c r="P24" s="12" t="n"/>
      <c r="Q24" s="12" t="n"/>
      <c r="S24" s="13">
        <f>IF($C24="","",IF(UPPER(TRIM(C24))=INDEX('2_前後測題庫'!$I$5:$I$19,1),1,0))</f>
        <v/>
      </c>
      <c r="T24" s="13">
        <f>IF($D24="","",IF(UPPER(TRIM(D24))=INDEX('2_前後測題庫'!$I$5:$I$19,2),1,0))</f>
        <v/>
      </c>
      <c r="U24" s="13">
        <f>IF($E24="","",IF(UPPER(TRIM(E24))=INDEX('2_前後測題庫'!$I$5:$I$19,3),1,0))</f>
        <v/>
      </c>
      <c r="V24" s="13">
        <f>IF($F24="","",IF(UPPER(TRIM(F24))=INDEX('2_前後測題庫'!$I$5:$I$19,4),1,0))</f>
        <v/>
      </c>
      <c r="W24" s="13">
        <f>IF($G24="","",IF(UPPER(TRIM(G24))=INDEX('2_前後測題庫'!$I$5:$I$19,5),1,0))</f>
        <v/>
      </c>
      <c r="X24" s="13">
        <f>IF($H24="","",IF(UPPER(TRIM(H24))=INDEX('2_前後測題庫'!$I$5:$I$19,6),1,0))</f>
        <v/>
      </c>
      <c r="Y24" s="13">
        <f>IF($I24="","",IF(UPPER(TRIM(I24))=INDEX('2_前後測題庫'!$I$5:$I$19,7),1,0))</f>
        <v/>
      </c>
      <c r="Z24" s="13">
        <f>IF($J24="","",IF(UPPER(TRIM(J24))=INDEX('2_前後測題庫'!$I$5:$I$19,8),1,0))</f>
        <v/>
      </c>
      <c r="AA24" s="13">
        <f>IF($K24="","",IF(UPPER(TRIM(K24))=INDEX('2_前後測題庫'!$I$5:$I$19,9),1,0))</f>
        <v/>
      </c>
      <c r="AB24" s="13">
        <f>IF($L24="","",IF(UPPER(TRIM(L24))=INDEX('2_前後測題庫'!$I$5:$I$19,10),1,0))</f>
        <v/>
      </c>
      <c r="AC24" s="13">
        <f>IF($M24="","",IF(UPPER(TRIM(M24))=INDEX('2_前後測題庫'!$I$5:$I$19,11),1,0))</f>
        <v/>
      </c>
      <c r="AD24" s="13">
        <f>IF($N24="","",IF(UPPER(TRIM(N24))=INDEX('2_前後測題庫'!$I$5:$I$19,12),1,0))</f>
        <v/>
      </c>
      <c r="AE24" s="13">
        <f>IF($O24="","",IF(UPPER(TRIM(O24))=INDEX('2_前後測題庫'!$I$5:$I$19,13),1,0))</f>
        <v/>
      </c>
      <c r="AF24" s="13">
        <f>IF($P24="","",IF(UPPER(TRIM(P24))=INDEX('2_前後測題庫'!$I$5:$I$19,14),1,0))</f>
        <v/>
      </c>
      <c r="AG24" s="13">
        <f>IF($Q24="","",IF(UPPER(TRIM(Q24))=INDEX('2_前後測題庫'!$I$5:$I$19,15),1,0))</f>
        <v/>
      </c>
      <c r="AH24" s="14">
        <f>IF($A24="","",SUM(S24:AG24))</f>
        <v/>
      </c>
    </row>
    <row r="25">
      <c r="A25" s="12" t="n"/>
      <c r="B25" s="12" t="n"/>
      <c r="C25" s="12" t="n"/>
      <c r="D25" s="12" t="n"/>
      <c r="E25" s="12" t="n"/>
      <c r="F25" s="12" t="n"/>
      <c r="G25" s="12" t="n"/>
      <c r="H25" s="12" t="n"/>
      <c r="I25" s="12" t="n"/>
      <c r="J25" s="12" t="n"/>
      <c r="K25" s="12" t="n"/>
      <c r="L25" s="12" t="n"/>
      <c r="M25" s="12" t="n"/>
      <c r="N25" s="12" t="n"/>
      <c r="O25" s="12" t="n"/>
      <c r="P25" s="12" t="n"/>
      <c r="Q25" s="12" t="n"/>
      <c r="S25" s="13">
        <f>IF($C25="","",IF(UPPER(TRIM(C25))=INDEX('2_前後測題庫'!$I$5:$I$19,1),1,0))</f>
        <v/>
      </c>
      <c r="T25" s="13">
        <f>IF($D25="","",IF(UPPER(TRIM(D25))=INDEX('2_前後測題庫'!$I$5:$I$19,2),1,0))</f>
        <v/>
      </c>
      <c r="U25" s="13">
        <f>IF($E25="","",IF(UPPER(TRIM(E25))=INDEX('2_前後測題庫'!$I$5:$I$19,3),1,0))</f>
        <v/>
      </c>
      <c r="V25" s="13">
        <f>IF($F25="","",IF(UPPER(TRIM(F25))=INDEX('2_前後測題庫'!$I$5:$I$19,4),1,0))</f>
        <v/>
      </c>
      <c r="W25" s="13">
        <f>IF($G25="","",IF(UPPER(TRIM(G25))=INDEX('2_前後測題庫'!$I$5:$I$19,5),1,0))</f>
        <v/>
      </c>
      <c r="X25" s="13">
        <f>IF($H25="","",IF(UPPER(TRIM(H25))=INDEX('2_前後測題庫'!$I$5:$I$19,6),1,0))</f>
        <v/>
      </c>
      <c r="Y25" s="13">
        <f>IF($I25="","",IF(UPPER(TRIM(I25))=INDEX('2_前後測題庫'!$I$5:$I$19,7),1,0))</f>
        <v/>
      </c>
      <c r="Z25" s="13">
        <f>IF($J25="","",IF(UPPER(TRIM(J25))=INDEX('2_前後測題庫'!$I$5:$I$19,8),1,0))</f>
        <v/>
      </c>
      <c r="AA25" s="13">
        <f>IF($K25="","",IF(UPPER(TRIM(K25))=INDEX('2_前後測題庫'!$I$5:$I$19,9),1,0))</f>
        <v/>
      </c>
      <c r="AB25" s="13">
        <f>IF($L25="","",IF(UPPER(TRIM(L25))=INDEX('2_前後測題庫'!$I$5:$I$19,10),1,0))</f>
        <v/>
      </c>
      <c r="AC25" s="13">
        <f>IF($M25="","",IF(UPPER(TRIM(M25))=INDEX('2_前後測題庫'!$I$5:$I$19,11),1,0))</f>
        <v/>
      </c>
      <c r="AD25" s="13">
        <f>IF($N25="","",IF(UPPER(TRIM(N25))=INDEX('2_前後測題庫'!$I$5:$I$19,12),1,0))</f>
        <v/>
      </c>
      <c r="AE25" s="13">
        <f>IF($O25="","",IF(UPPER(TRIM(O25))=INDEX('2_前後測題庫'!$I$5:$I$19,13),1,0))</f>
        <v/>
      </c>
      <c r="AF25" s="13">
        <f>IF($P25="","",IF(UPPER(TRIM(P25))=INDEX('2_前後測題庫'!$I$5:$I$19,14),1,0))</f>
        <v/>
      </c>
      <c r="AG25" s="13">
        <f>IF($Q25="","",IF(UPPER(TRIM(Q25))=INDEX('2_前後測題庫'!$I$5:$I$19,15),1,0))</f>
        <v/>
      </c>
      <c r="AH25" s="14">
        <f>IF($A25="","",SUM(S25:AG25))</f>
        <v/>
      </c>
    </row>
    <row r="26">
      <c r="A26" s="12" t="n"/>
      <c r="B26" s="12" t="n"/>
      <c r="C26" s="12" t="n"/>
      <c r="D26" s="12" t="n"/>
      <c r="E26" s="12" t="n"/>
      <c r="F26" s="12" t="n"/>
      <c r="G26" s="12" t="n"/>
      <c r="H26" s="12" t="n"/>
      <c r="I26" s="12" t="n"/>
      <c r="J26" s="12" t="n"/>
      <c r="K26" s="12" t="n"/>
      <c r="L26" s="12" t="n"/>
      <c r="M26" s="12" t="n"/>
      <c r="N26" s="12" t="n"/>
      <c r="O26" s="12" t="n"/>
      <c r="P26" s="12" t="n"/>
      <c r="Q26" s="12" t="n"/>
      <c r="S26" s="13">
        <f>IF($C26="","",IF(UPPER(TRIM(C26))=INDEX('2_前後測題庫'!$I$5:$I$19,1),1,0))</f>
        <v/>
      </c>
      <c r="T26" s="13">
        <f>IF($D26="","",IF(UPPER(TRIM(D26))=INDEX('2_前後測題庫'!$I$5:$I$19,2),1,0))</f>
        <v/>
      </c>
      <c r="U26" s="13">
        <f>IF($E26="","",IF(UPPER(TRIM(E26))=INDEX('2_前後測題庫'!$I$5:$I$19,3),1,0))</f>
        <v/>
      </c>
      <c r="V26" s="13">
        <f>IF($F26="","",IF(UPPER(TRIM(F26))=INDEX('2_前後測題庫'!$I$5:$I$19,4),1,0))</f>
        <v/>
      </c>
      <c r="W26" s="13">
        <f>IF($G26="","",IF(UPPER(TRIM(G26))=INDEX('2_前後測題庫'!$I$5:$I$19,5),1,0))</f>
        <v/>
      </c>
      <c r="X26" s="13">
        <f>IF($H26="","",IF(UPPER(TRIM(H26))=INDEX('2_前後測題庫'!$I$5:$I$19,6),1,0))</f>
        <v/>
      </c>
      <c r="Y26" s="13">
        <f>IF($I26="","",IF(UPPER(TRIM(I26))=INDEX('2_前後測題庫'!$I$5:$I$19,7),1,0))</f>
        <v/>
      </c>
      <c r="Z26" s="13">
        <f>IF($J26="","",IF(UPPER(TRIM(J26))=INDEX('2_前後測題庫'!$I$5:$I$19,8),1,0))</f>
        <v/>
      </c>
      <c r="AA26" s="13">
        <f>IF($K26="","",IF(UPPER(TRIM(K26))=INDEX('2_前後測題庫'!$I$5:$I$19,9),1,0))</f>
        <v/>
      </c>
      <c r="AB26" s="13">
        <f>IF($L26="","",IF(UPPER(TRIM(L26))=INDEX('2_前後測題庫'!$I$5:$I$19,10),1,0))</f>
        <v/>
      </c>
      <c r="AC26" s="13">
        <f>IF($M26="","",IF(UPPER(TRIM(M26))=INDEX('2_前後測題庫'!$I$5:$I$19,11),1,0))</f>
        <v/>
      </c>
      <c r="AD26" s="13">
        <f>IF($N26="","",IF(UPPER(TRIM(N26))=INDEX('2_前後測題庫'!$I$5:$I$19,12),1,0))</f>
        <v/>
      </c>
      <c r="AE26" s="13">
        <f>IF($O26="","",IF(UPPER(TRIM(O26))=INDEX('2_前後測題庫'!$I$5:$I$19,13),1,0))</f>
        <v/>
      </c>
      <c r="AF26" s="13">
        <f>IF($P26="","",IF(UPPER(TRIM(P26))=INDEX('2_前後測題庫'!$I$5:$I$19,14),1,0))</f>
        <v/>
      </c>
      <c r="AG26" s="13">
        <f>IF($Q26="","",IF(UPPER(TRIM(Q26))=INDEX('2_前後測題庫'!$I$5:$I$19,15),1,0))</f>
        <v/>
      </c>
      <c r="AH26" s="14">
        <f>IF($A26="","",SUM(S26:AG26))</f>
        <v/>
      </c>
    </row>
    <row r="27">
      <c r="A27" s="12" t="n"/>
      <c r="B27" s="12" t="n"/>
      <c r="C27" s="12" t="n"/>
      <c r="D27" s="12" t="n"/>
      <c r="E27" s="12" t="n"/>
      <c r="F27" s="12" t="n"/>
      <c r="G27" s="12" t="n"/>
      <c r="H27" s="12" t="n"/>
      <c r="I27" s="12" t="n"/>
      <c r="J27" s="12" t="n"/>
      <c r="K27" s="12" t="n"/>
      <c r="L27" s="12" t="n"/>
      <c r="M27" s="12" t="n"/>
      <c r="N27" s="12" t="n"/>
      <c r="O27" s="12" t="n"/>
      <c r="P27" s="12" t="n"/>
      <c r="Q27" s="12" t="n"/>
      <c r="S27" s="13">
        <f>IF($C27="","",IF(UPPER(TRIM(C27))=INDEX('2_前後測題庫'!$I$5:$I$19,1),1,0))</f>
        <v/>
      </c>
      <c r="T27" s="13">
        <f>IF($D27="","",IF(UPPER(TRIM(D27))=INDEX('2_前後測題庫'!$I$5:$I$19,2),1,0))</f>
        <v/>
      </c>
      <c r="U27" s="13">
        <f>IF($E27="","",IF(UPPER(TRIM(E27))=INDEX('2_前後測題庫'!$I$5:$I$19,3),1,0))</f>
        <v/>
      </c>
      <c r="V27" s="13">
        <f>IF($F27="","",IF(UPPER(TRIM(F27))=INDEX('2_前後測題庫'!$I$5:$I$19,4),1,0))</f>
        <v/>
      </c>
      <c r="W27" s="13">
        <f>IF($G27="","",IF(UPPER(TRIM(G27))=INDEX('2_前後測題庫'!$I$5:$I$19,5),1,0))</f>
        <v/>
      </c>
      <c r="X27" s="13">
        <f>IF($H27="","",IF(UPPER(TRIM(H27))=INDEX('2_前後測題庫'!$I$5:$I$19,6),1,0))</f>
        <v/>
      </c>
      <c r="Y27" s="13">
        <f>IF($I27="","",IF(UPPER(TRIM(I27))=INDEX('2_前後測題庫'!$I$5:$I$19,7),1,0))</f>
        <v/>
      </c>
      <c r="Z27" s="13">
        <f>IF($J27="","",IF(UPPER(TRIM(J27))=INDEX('2_前後測題庫'!$I$5:$I$19,8),1,0))</f>
        <v/>
      </c>
      <c r="AA27" s="13">
        <f>IF($K27="","",IF(UPPER(TRIM(K27))=INDEX('2_前後測題庫'!$I$5:$I$19,9),1,0))</f>
        <v/>
      </c>
      <c r="AB27" s="13">
        <f>IF($L27="","",IF(UPPER(TRIM(L27))=INDEX('2_前後測題庫'!$I$5:$I$19,10),1,0))</f>
        <v/>
      </c>
      <c r="AC27" s="13">
        <f>IF($M27="","",IF(UPPER(TRIM(M27))=INDEX('2_前後測題庫'!$I$5:$I$19,11),1,0))</f>
        <v/>
      </c>
      <c r="AD27" s="13">
        <f>IF($N27="","",IF(UPPER(TRIM(N27))=INDEX('2_前後測題庫'!$I$5:$I$19,12),1,0))</f>
        <v/>
      </c>
      <c r="AE27" s="13">
        <f>IF($O27="","",IF(UPPER(TRIM(O27))=INDEX('2_前後測題庫'!$I$5:$I$19,13),1,0))</f>
        <v/>
      </c>
      <c r="AF27" s="13">
        <f>IF($P27="","",IF(UPPER(TRIM(P27))=INDEX('2_前後測題庫'!$I$5:$I$19,14),1,0))</f>
        <v/>
      </c>
      <c r="AG27" s="13">
        <f>IF($Q27="","",IF(UPPER(TRIM(Q27))=INDEX('2_前後測題庫'!$I$5:$I$19,15),1,0))</f>
        <v/>
      </c>
      <c r="AH27" s="14">
        <f>IF($A27="","",SUM(S27:AG27))</f>
        <v/>
      </c>
    </row>
    <row r="28">
      <c r="A28" s="12" t="n"/>
      <c r="B28" s="12" t="n"/>
      <c r="C28" s="12" t="n"/>
      <c r="D28" s="12" t="n"/>
      <c r="E28" s="12" t="n"/>
      <c r="F28" s="12" t="n"/>
      <c r="G28" s="12" t="n"/>
      <c r="H28" s="12" t="n"/>
      <c r="I28" s="12" t="n"/>
      <c r="J28" s="12" t="n"/>
      <c r="K28" s="12" t="n"/>
      <c r="L28" s="12" t="n"/>
      <c r="M28" s="12" t="n"/>
      <c r="N28" s="12" t="n"/>
      <c r="O28" s="12" t="n"/>
      <c r="P28" s="12" t="n"/>
      <c r="Q28" s="12" t="n"/>
      <c r="S28" s="13">
        <f>IF($C28="","",IF(UPPER(TRIM(C28))=INDEX('2_前後測題庫'!$I$5:$I$19,1),1,0))</f>
        <v/>
      </c>
      <c r="T28" s="13">
        <f>IF($D28="","",IF(UPPER(TRIM(D28))=INDEX('2_前後測題庫'!$I$5:$I$19,2),1,0))</f>
        <v/>
      </c>
      <c r="U28" s="13">
        <f>IF($E28="","",IF(UPPER(TRIM(E28))=INDEX('2_前後測題庫'!$I$5:$I$19,3),1,0))</f>
        <v/>
      </c>
      <c r="V28" s="13">
        <f>IF($F28="","",IF(UPPER(TRIM(F28))=INDEX('2_前後測題庫'!$I$5:$I$19,4),1,0))</f>
        <v/>
      </c>
      <c r="W28" s="13">
        <f>IF($G28="","",IF(UPPER(TRIM(G28))=INDEX('2_前後測題庫'!$I$5:$I$19,5),1,0))</f>
        <v/>
      </c>
      <c r="X28" s="13">
        <f>IF($H28="","",IF(UPPER(TRIM(H28))=INDEX('2_前後測題庫'!$I$5:$I$19,6),1,0))</f>
        <v/>
      </c>
      <c r="Y28" s="13">
        <f>IF($I28="","",IF(UPPER(TRIM(I28))=INDEX('2_前後測題庫'!$I$5:$I$19,7),1,0))</f>
        <v/>
      </c>
      <c r="Z28" s="13">
        <f>IF($J28="","",IF(UPPER(TRIM(J28))=INDEX('2_前後測題庫'!$I$5:$I$19,8),1,0))</f>
        <v/>
      </c>
      <c r="AA28" s="13">
        <f>IF($K28="","",IF(UPPER(TRIM(K28))=INDEX('2_前後測題庫'!$I$5:$I$19,9),1,0))</f>
        <v/>
      </c>
      <c r="AB28" s="13">
        <f>IF($L28="","",IF(UPPER(TRIM(L28))=INDEX('2_前後測題庫'!$I$5:$I$19,10),1,0))</f>
        <v/>
      </c>
      <c r="AC28" s="13">
        <f>IF($M28="","",IF(UPPER(TRIM(M28))=INDEX('2_前後測題庫'!$I$5:$I$19,11),1,0))</f>
        <v/>
      </c>
      <c r="AD28" s="13">
        <f>IF($N28="","",IF(UPPER(TRIM(N28))=INDEX('2_前後測題庫'!$I$5:$I$19,12),1,0))</f>
        <v/>
      </c>
      <c r="AE28" s="13">
        <f>IF($O28="","",IF(UPPER(TRIM(O28))=INDEX('2_前後測題庫'!$I$5:$I$19,13),1,0))</f>
        <v/>
      </c>
      <c r="AF28" s="13">
        <f>IF($P28="","",IF(UPPER(TRIM(P28))=INDEX('2_前後測題庫'!$I$5:$I$19,14),1,0))</f>
        <v/>
      </c>
      <c r="AG28" s="13">
        <f>IF($Q28="","",IF(UPPER(TRIM(Q28))=INDEX('2_前後測題庫'!$I$5:$I$19,15),1,0))</f>
        <v/>
      </c>
      <c r="AH28" s="14">
        <f>IF($A28="","",SUM(S28:AG28))</f>
        <v/>
      </c>
    </row>
    <row r="29">
      <c r="A29" s="12" t="n"/>
      <c r="B29" s="12" t="n"/>
      <c r="C29" s="12" t="n"/>
      <c r="D29" s="12" t="n"/>
      <c r="E29" s="12" t="n"/>
      <c r="F29" s="12" t="n"/>
      <c r="G29" s="12" t="n"/>
      <c r="H29" s="12" t="n"/>
      <c r="I29" s="12" t="n"/>
      <c r="J29" s="12" t="n"/>
      <c r="K29" s="12" t="n"/>
      <c r="L29" s="12" t="n"/>
      <c r="M29" s="12" t="n"/>
      <c r="N29" s="12" t="n"/>
      <c r="O29" s="12" t="n"/>
      <c r="P29" s="12" t="n"/>
      <c r="Q29" s="12" t="n"/>
      <c r="S29" s="13">
        <f>IF($C29="","",IF(UPPER(TRIM(C29))=INDEX('2_前後測題庫'!$I$5:$I$19,1),1,0))</f>
        <v/>
      </c>
      <c r="T29" s="13">
        <f>IF($D29="","",IF(UPPER(TRIM(D29))=INDEX('2_前後測題庫'!$I$5:$I$19,2),1,0))</f>
        <v/>
      </c>
      <c r="U29" s="13">
        <f>IF($E29="","",IF(UPPER(TRIM(E29))=INDEX('2_前後測題庫'!$I$5:$I$19,3),1,0))</f>
        <v/>
      </c>
      <c r="V29" s="13">
        <f>IF($F29="","",IF(UPPER(TRIM(F29))=INDEX('2_前後測題庫'!$I$5:$I$19,4),1,0))</f>
        <v/>
      </c>
      <c r="W29" s="13">
        <f>IF($G29="","",IF(UPPER(TRIM(G29))=INDEX('2_前後測題庫'!$I$5:$I$19,5),1,0))</f>
        <v/>
      </c>
      <c r="X29" s="13">
        <f>IF($H29="","",IF(UPPER(TRIM(H29))=INDEX('2_前後測題庫'!$I$5:$I$19,6),1,0))</f>
        <v/>
      </c>
      <c r="Y29" s="13">
        <f>IF($I29="","",IF(UPPER(TRIM(I29))=INDEX('2_前後測題庫'!$I$5:$I$19,7),1,0))</f>
        <v/>
      </c>
      <c r="Z29" s="13">
        <f>IF($J29="","",IF(UPPER(TRIM(J29))=INDEX('2_前後測題庫'!$I$5:$I$19,8),1,0))</f>
        <v/>
      </c>
      <c r="AA29" s="13">
        <f>IF($K29="","",IF(UPPER(TRIM(K29))=INDEX('2_前後測題庫'!$I$5:$I$19,9),1,0))</f>
        <v/>
      </c>
      <c r="AB29" s="13">
        <f>IF($L29="","",IF(UPPER(TRIM(L29))=INDEX('2_前後測題庫'!$I$5:$I$19,10),1,0))</f>
        <v/>
      </c>
      <c r="AC29" s="13">
        <f>IF($M29="","",IF(UPPER(TRIM(M29))=INDEX('2_前後測題庫'!$I$5:$I$19,11),1,0))</f>
        <v/>
      </c>
      <c r="AD29" s="13">
        <f>IF($N29="","",IF(UPPER(TRIM(N29))=INDEX('2_前後測題庫'!$I$5:$I$19,12),1,0))</f>
        <v/>
      </c>
      <c r="AE29" s="13">
        <f>IF($O29="","",IF(UPPER(TRIM(O29))=INDEX('2_前後測題庫'!$I$5:$I$19,13),1,0))</f>
        <v/>
      </c>
      <c r="AF29" s="13">
        <f>IF($P29="","",IF(UPPER(TRIM(P29))=INDEX('2_前後測題庫'!$I$5:$I$19,14),1,0))</f>
        <v/>
      </c>
      <c r="AG29" s="13">
        <f>IF($Q29="","",IF(UPPER(TRIM(Q29))=INDEX('2_前後測題庫'!$I$5:$I$19,15),1,0))</f>
        <v/>
      </c>
      <c r="AH29" s="14">
        <f>IF($A29="","",SUM(S29:AG29))</f>
        <v/>
      </c>
    </row>
    <row r="30">
      <c r="A30" s="12" t="n"/>
      <c r="B30" s="12" t="n"/>
      <c r="C30" s="12" t="n"/>
      <c r="D30" s="12" t="n"/>
      <c r="E30" s="12" t="n"/>
      <c r="F30" s="12" t="n"/>
      <c r="G30" s="12" t="n"/>
      <c r="H30" s="12" t="n"/>
      <c r="I30" s="12" t="n"/>
      <c r="J30" s="12" t="n"/>
      <c r="K30" s="12" t="n"/>
      <c r="L30" s="12" t="n"/>
      <c r="M30" s="12" t="n"/>
      <c r="N30" s="12" t="n"/>
      <c r="O30" s="12" t="n"/>
      <c r="P30" s="12" t="n"/>
      <c r="Q30" s="12" t="n"/>
      <c r="S30" s="13">
        <f>IF($C30="","",IF(UPPER(TRIM(C30))=INDEX('2_前後測題庫'!$I$5:$I$19,1),1,0))</f>
        <v/>
      </c>
      <c r="T30" s="13">
        <f>IF($D30="","",IF(UPPER(TRIM(D30))=INDEX('2_前後測題庫'!$I$5:$I$19,2),1,0))</f>
        <v/>
      </c>
      <c r="U30" s="13">
        <f>IF($E30="","",IF(UPPER(TRIM(E30))=INDEX('2_前後測題庫'!$I$5:$I$19,3),1,0))</f>
        <v/>
      </c>
      <c r="V30" s="13">
        <f>IF($F30="","",IF(UPPER(TRIM(F30))=INDEX('2_前後測題庫'!$I$5:$I$19,4),1,0))</f>
        <v/>
      </c>
      <c r="W30" s="13">
        <f>IF($G30="","",IF(UPPER(TRIM(G30))=INDEX('2_前後測題庫'!$I$5:$I$19,5),1,0))</f>
        <v/>
      </c>
      <c r="X30" s="13">
        <f>IF($H30="","",IF(UPPER(TRIM(H30))=INDEX('2_前後測題庫'!$I$5:$I$19,6),1,0))</f>
        <v/>
      </c>
      <c r="Y30" s="13">
        <f>IF($I30="","",IF(UPPER(TRIM(I30))=INDEX('2_前後測題庫'!$I$5:$I$19,7),1,0))</f>
        <v/>
      </c>
      <c r="Z30" s="13">
        <f>IF($J30="","",IF(UPPER(TRIM(J30))=INDEX('2_前後測題庫'!$I$5:$I$19,8),1,0))</f>
        <v/>
      </c>
      <c r="AA30" s="13">
        <f>IF($K30="","",IF(UPPER(TRIM(K30))=INDEX('2_前後測題庫'!$I$5:$I$19,9),1,0))</f>
        <v/>
      </c>
      <c r="AB30" s="13">
        <f>IF($L30="","",IF(UPPER(TRIM(L30))=INDEX('2_前後測題庫'!$I$5:$I$19,10),1,0))</f>
        <v/>
      </c>
      <c r="AC30" s="13">
        <f>IF($M30="","",IF(UPPER(TRIM(M30))=INDEX('2_前後測題庫'!$I$5:$I$19,11),1,0))</f>
        <v/>
      </c>
      <c r="AD30" s="13">
        <f>IF($N30="","",IF(UPPER(TRIM(N30))=INDEX('2_前後測題庫'!$I$5:$I$19,12),1,0))</f>
        <v/>
      </c>
      <c r="AE30" s="13">
        <f>IF($O30="","",IF(UPPER(TRIM(O30))=INDEX('2_前後測題庫'!$I$5:$I$19,13),1,0))</f>
        <v/>
      </c>
      <c r="AF30" s="13">
        <f>IF($P30="","",IF(UPPER(TRIM(P30))=INDEX('2_前後測題庫'!$I$5:$I$19,14),1,0))</f>
        <v/>
      </c>
      <c r="AG30" s="13">
        <f>IF($Q30="","",IF(UPPER(TRIM(Q30))=INDEX('2_前後測題庫'!$I$5:$I$19,15),1,0))</f>
        <v/>
      </c>
      <c r="AH30" s="14">
        <f>IF($A30="","",SUM(S30:AG30))</f>
        <v/>
      </c>
    </row>
    <row r="31">
      <c r="A31" s="12" t="n"/>
      <c r="B31" s="12" t="n"/>
      <c r="C31" s="12" t="n"/>
      <c r="D31" s="12" t="n"/>
      <c r="E31" s="12" t="n"/>
      <c r="F31" s="12" t="n"/>
      <c r="G31" s="12" t="n"/>
      <c r="H31" s="12" t="n"/>
      <c r="I31" s="12" t="n"/>
      <c r="J31" s="12" t="n"/>
      <c r="K31" s="12" t="n"/>
      <c r="L31" s="12" t="n"/>
      <c r="M31" s="12" t="n"/>
      <c r="N31" s="12" t="n"/>
      <c r="O31" s="12" t="n"/>
      <c r="P31" s="12" t="n"/>
      <c r="Q31" s="12" t="n"/>
      <c r="S31" s="13">
        <f>IF($C31="","",IF(UPPER(TRIM(C31))=INDEX('2_前後測題庫'!$I$5:$I$19,1),1,0))</f>
        <v/>
      </c>
      <c r="T31" s="13">
        <f>IF($D31="","",IF(UPPER(TRIM(D31))=INDEX('2_前後測題庫'!$I$5:$I$19,2),1,0))</f>
        <v/>
      </c>
      <c r="U31" s="13">
        <f>IF($E31="","",IF(UPPER(TRIM(E31))=INDEX('2_前後測題庫'!$I$5:$I$19,3),1,0))</f>
        <v/>
      </c>
      <c r="V31" s="13">
        <f>IF($F31="","",IF(UPPER(TRIM(F31))=INDEX('2_前後測題庫'!$I$5:$I$19,4),1,0))</f>
        <v/>
      </c>
      <c r="W31" s="13">
        <f>IF($G31="","",IF(UPPER(TRIM(G31))=INDEX('2_前後測題庫'!$I$5:$I$19,5),1,0))</f>
        <v/>
      </c>
      <c r="X31" s="13">
        <f>IF($H31="","",IF(UPPER(TRIM(H31))=INDEX('2_前後測題庫'!$I$5:$I$19,6),1,0))</f>
        <v/>
      </c>
      <c r="Y31" s="13">
        <f>IF($I31="","",IF(UPPER(TRIM(I31))=INDEX('2_前後測題庫'!$I$5:$I$19,7),1,0))</f>
        <v/>
      </c>
      <c r="Z31" s="13">
        <f>IF($J31="","",IF(UPPER(TRIM(J31))=INDEX('2_前後測題庫'!$I$5:$I$19,8),1,0))</f>
        <v/>
      </c>
      <c r="AA31" s="13">
        <f>IF($K31="","",IF(UPPER(TRIM(K31))=INDEX('2_前後測題庫'!$I$5:$I$19,9),1,0))</f>
        <v/>
      </c>
      <c r="AB31" s="13">
        <f>IF($L31="","",IF(UPPER(TRIM(L31))=INDEX('2_前後測題庫'!$I$5:$I$19,10),1,0))</f>
        <v/>
      </c>
      <c r="AC31" s="13">
        <f>IF($M31="","",IF(UPPER(TRIM(M31))=INDEX('2_前後測題庫'!$I$5:$I$19,11),1,0))</f>
        <v/>
      </c>
      <c r="AD31" s="13">
        <f>IF($N31="","",IF(UPPER(TRIM(N31))=INDEX('2_前後測題庫'!$I$5:$I$19,12),1,0))</f>
        <v/>
      </c>
      <c r="AE31" s="13">
        <f>IF($O31="","",IF(UPPER(TRIM(O31))=INDEX('2_前後測題庫'!$I$5:$I$19,13),1,0))</f>
        <v/>
      </c>
      <c r="AF31" s="13">
        <f>IF($P31="","",IF(UPPER(TRIM(P31))=INDEX('2_前後測題庫'!$I$5:$I$19,14),1,0))</f>
        <v/>
      </c>
      <c r="AG31" s="13">
        <f>IF($Q31="","",IF(UPPER(TRIM(Q31))=INDEX('2_前後測題庫'!$I$5:$I$19,15),1,0))</f>
        <v/>
      </c>
      <c r="AH31" s="14">
        <f>IF($A31="","",SUM(S31:AG31))</f>
        <v/>
      </c>
    </row>
    <row r="32">
      <c r="A32" s="12" t="n"/>
      <c r="B32" s="12" t="n"/>
      <c r="C32" s="12" t="n"/>
      <c r="D32" s="12" t="n"/>
      <c r="E32" s="12" t="n"/>
      <c r="F32" s="12" t="n"/>
      <c r="G32" s="12" t="n"/>
      <c r="H32" s="12" t="n"/>
      <c r="I32" s="12" t="n"/>
      <c r="J32" s="12" t="n"/>
      <c r="K32" s="12" t="n"/>
      <c r="L32" s="12" t="n"/>
      <c r="M32" s="12" t="n"/>
      <c r="N32" s="12" t="n"/>
      <c r="O32" s="12" t="n"/>
      <c r="P32" s="12" t="n"/>
      <c r="Q32" s="12" t="n"/>
      <c r="S32" s="13">
        <f>IF($C32="","",IF(UPPER(TRIM(C32))=INDEX('2_前後測題庫'!$I$5:$I$19,1),1,0))</f>
        <v/>
      </c>
      <c r="T32" s="13">
        <f>IF($D32="","",IF(UPPER(TRIM(D32))=INDEX('2_前後測題庫'!$I$5:$I$19,2),1,0))</f>
        <v/>
      </c>
      <c r="U32" s="13">
        <f>IF($E32="","",IF(UPPER(TRIM(E32))=INDEX('2_前後測題庫'!$I$5:$I$19,3),1,0))</f>
        <v/>
      </c>
      <c r="V32" s="13">
        <f>IF($F32="","",IF(UPPER(TRIM(F32))=INDEX('2_前後測題庫'!$I$5:$I$19,4),1,0))</f>
        <v/>
      </c>
      <c r="W32" s="13">
        <f>IF($G32="","",IF(UPPER(TRIM(G32))=INDEX('2_前後測題庫'!$I$5:$I$19,5),1,0))</f>
        <v/>
      </c>
      <c r="X32" s="13">
        <f>IF($H32="","",IF(UPPER(TRIM(H32))=INDEX('2_前後測題庫'!$I$5:$I$19,6),1,0))</f>
        <v/>
      </c>
      <c r="Y32" s="13">
        <f>IF($I32="","",IF(UPPER(TRIM(I32))=INDEX('2_前後測題庫'!$I$5:$I$19,7),1,0))</f>
        <v/>
      </c>
      <c r="Z32" s="13">
        <f>IF($J32="","",IF(UPPER(TRIM(J32))=INDEX('2_前後測題庫'!$I$5:$I$19,8),1,0))</f>
        <v/>
      </c>
      <c r="AA32" s="13">
        <f>IF($K32="","",IF(UPPER(TRIM(K32))=INDEX('2_前後測題庫'!$I$5:$I$19,9),1,0))</f>
        <v/>
      </c>
      <c r="AB32" s="13">
        <f>IF($L32="","",IF(UPPER(TRIM(L32))=INDEX('2_前後測題庫'!$I$5:$I$19,10),1,0))</f>
        <v/>
      </c>
      <c r="AC32" s="13">
        <f>IF($M32="","",IF(UPPER(TRIM(M32))=INDEX('2_前後測題庫'!$I$5:$I$19,11),1,0))</f>
        <v/>
      </c>
      <c r="AD32" s="13">
        <f>IF($N32="","",IF(UPPER(TRIM(N32))=INDEX('2_前後測題庫'!$I$5:$I$19,12),1,0))</f>
        <v/>
      </c>
      <c r="AE32" s="13">
        <f>IF($O32="","",IF(UPPER(TRIM(O32))=INDEX('2_前後測題庫'!$I$5:$I$19,13),1,0))</f>
        <v/>
      </c>
      <c r="AF32" s="13">
        <f>IF($P32="","",IF(UPPER(TRIM(P32))=INDEX('2_前後測題庫'!$I$5:$I$19,14),1,0))</f>
        <v/>
      </c>
      <c r="AG32" s="13">
        <f>IF($Q32="","",IF(UPPER(TRIM(Q32))=INDEX('2_前後測題庫'!$I$5:$I$19,15),1,0))</f>
        <v/>
      </c>
      <c r="AH32" s="14">
        <f>IF($A32="","",SUM(S32:AG32))</f>
        <v/>
      </c>
    </row>
    <row r="33">
      <c r="A33" s="12" t="n"/>
      <c r="B33" s="12" t="n"/>
      <c r="C33" s="12" t="n"/>
      <c r="D33" s="12" t="n"/>
      <c r="E33" s="12" t="n"/>
      <c r="F33" s="12" t="n"/>
      <c r="G33" s="12" t="n"/>
      <c r="H33" s="12" t="n"/>
      <c r="I33" s="12" t="n"/>
      <c r="J33" s="12" t="n"/>
      <c r="K33" s="12" t="n"/>
      <c r="L33" s="12" t="n"/>
      <c r="M33" s="12" t="n"/>
      <c r="N33" s="12" t="n"/>
      <c r="O33" s="12" t="n"/>
      <c r="P33" s="12" t="n"/>
      <c r="Q33" s="12" t="n"/>
      <c r="S33" s="13">
        <f>IF($C33="","",IF(UPPER(TRIM(C33))=INDEX('2_前後測題庫'!$I$5:$I$19,1),1,0))</f>
        <v/>
      </c>
      <c r="T33" s="13">
        <f>IF($D33="","",IF(UPPER(TRIM(D33))=INDEX('2_前後測題庫'!$I$5:$I$19,2),1,0))</f>
        <v/>
      </c>
      <c r="U33" s="13">
        <f>IF($E33="","",IF(UPPER(TRIM(E33))=INDEX('2_前後測題庫'!$I$5:$I$19,3),1,0))</f>
        <v/>
      </c>
      <c r="V33" s="13">
        <f>IF($F33="","",IF(UPPER(TRIM(F33))=INDEX('2_前後測題庫'!$I$5:$I$19,4),1,0))</f>
        <v/>
      </c>
      <c r="W33" s="13">
        <f>IF($G33="","",IF(UPPER(TRIM(G33))=INDEX('2_前後測題庫'!$I$5:$I$19,5),1,0))</f>
        <v/>
      </c>
      <c r="X33" s="13">
        <f>IF($H33="","",IF(UPPER(TRIM(H33))=INDEX('2_前後測題庫'!$I$5:$I$19,6),1,0))</f>
        <v/>
      </c>
      <c r="Y33" s="13">
        <f>IF($I33="","",IF(UPPER(TRIM(I33))=INDEX('2_前後測題庫'!$I$5:$I$19,7),1,0))</f>
        <v/>
      </c>
      <c r="Z33" s="13">
        <f>IF($J33="","",IF(UPPER(TRIM(J33))=INDEX('2_前後測題庫'!$I$5:$I$19,8),1,0))</f>
        <v/>
      </c>
      <c r="AA33" s="13">
        <f>IF($K33="","",IF(UPPER(TRIM(K33))=INDEX('2_前後測題庫'!$I$5:$I$19,9),1,0))</f>
        <v/>
      </c>
      <c r="AB33" s="13">
        <f>IF($L33="","",IF(UPPER(TRIM(L33))=INDEX('2_前後測題庫'!$I$5:$I$19,10),1,0))</f>
        <v/>
      </c>
      <c r="AC33" s="13">
        <f>IF($M33="","",IF(UPPER(TRIM(M33))=INDEX('2_前後測題庫'!$I$5:$I$19,11),1,0))</f>
        <v/>
      </c>
      <c r="AD33" s="13">
        <f>IF($N33="","",IF(UPPER(TRIM(N33))=INDEX('2_前後測題庫'!$I$5:$I$19,12),1,0))</f>
        <v/>
      </c>
      <c r="AE33" s="13">
        <f>IF($O33="","",IF(UPPER(TRIM(O33))=INDEX('2_前後測題庫'!$I$5:$I$19,13),1,0))</f>
        <v/>
      </c>
      <c r="AF33" s="13">
        <f>IF($P33="","",IF(UPPER(TRIM(P33))=INDEX('2_前後測題庫'!$I$5:$I$19,14),1,0))</f>
        <v/>
      </c>
      <c r="AG33" s="13">
        <f>IF($Q33="","",IF(UPPER(TRIM(Q33))=INDEX('2_前後測題庫'!$I$5:$I$19,15),1,0))</f>
        <v/>
      </c>
      <c r="AH33" s="14">
        <f>IF($A33="","",SUM(S33:AG33))</f>
        <v/>
      </c>
    </row>
    <row r="34">
      <c r="A34" s="12" t="n"/>
      <c r="B34" s="12" t="n"/>
      <c r="C34" s="12" t="n"/>
      <c r="D34" s="12" t="n"/>
      <c r="E34" s="12" t="n"/>
      <c r="F34" s="12" t="n"/>
      <c r="G34" s="12" t="n"/>
      <c r="H34" s="12" t="n"/>
      <c r="I34" s="12" t="n"/>
      <c r="J34" s="12" t="n"/>
      <c r="K34" s="12" t="n"/>
      <c r="L34" s="12" t="n"/>
      <c r="M34" s="12" t="n"/>
      <c r="N34" s="12" t="n"/>
      <c r="O34" s="12" t="n"/>
      <c r="P34" s="12" t="n"/>
      <c r="Q34" s="12" t="n"/>
      <c r="S34" s="13">
        <f>IF($C34="","",IF(UPPER(TRIM(C34))=INDEX('2_前後測題庫'!$I$5:$I$19,1),1,0))</f>
        <v/>
      </c>
      <c r="T34" s="13">
        <f>IF($D34="","",IF(UPPER(TRIM(D34))=INDEX('2_前後測題庫'!$I$5:$I$19,2),1,0))</f>
        <v/>
      </c>
      <c r="U34" s="13">
        <f>IF($E34="","",IF(UPPER(TRIM(E34))=INDEX('2_前後測題庫'!$I$5:$I$19,3),1,0))</f>
        <v/>
      </c>
      <c r="V34" s="13">
        <f>IF($F34="","",IF(UPPER(TRIM(F34))=INDEX('2_前後測題庫'!$I$5:$I$19,4),1,0))</f>
        <v/>
      </c>
      <c r="W34" s="13">
        <f>IF($G34="","",IF(UPPER(TRIM(G34))=INDEX('2_前後測題庫'!$I$5:$I$19,5),1,0))</f>
        <v/>
      </c>
      <c r="X34" s="13">
        <f>IF($H34="","",IF(UPPER(TRIM(H34))=INDEX('2_前後測題庫'!$I$5:$I$19,6),1,0))</f>
        <v/>
      </c>
      <c r="Y34" s="13">
        <f>IF($I34="","",IF(UPPER(TRIM(I34))=INDEX('2_前後測題庫'!$I$5:$I$19,7),1,0))</f>
        <v/>
      </c>
      <c r="Z34" s="13">
        <f>IF($J34="","",IF(UPPER(TRIM(J34))=INDEX('2_前後測題庫'!$I$5:$I$19,8),1,0))</f>
        <v/>
      </c>
      <c r="AA34" s="13">
        <f>IF($K34="","",IF(UPPER(TRIM(K34))=INDEX('2_前後測題庫'!$I$5:$I$19,9),1,0))</f>
        <v/>
      </c>
      <c r="AB34" s="13">
        <f>IF($L34="","",IF(UPPER(TRIM(L34))=INDEX('2_前後測題庫'!$I$5:$I$19,10),1,0))</f>
        <v/>
      </c>
      <c r="AC34" s="13">
        <f>IF($M34="","",IF(UPPER(TRIM(M34))=INDEX('2_前後測題庫'!$I$5:$I$19,11),1,0))</f>
        <v/>
      </c>
      <c r="AD34" s="13">
        <f>IF($N34="","",IF(UPPER(TRIM(N34))=INDEX('2_前後測題庫'!$I$5:$I$19,12),1,0))</f>
        <v/>
      </c>
      <c r="AE34" s="13">
        <f>IF($O34="","",IF(UPPER(TRIM(O34))=INDEX('2_前後測題庫'!$I$5:$I$19,13),1,0))</f>
        <v/>
      </c>
      <c r="AF34" s="13">
        <f>IF($P34="","",IF(UPPER(TRIM(P34))=INDEX('2_前後測題庫'!$I$5:$I$19,14),1,0))</f>
        <v/>
      </c>
      <c r="AG34" s="13">
        <f>IF($Q34="","",IF(UPPER(TRIM(Q34))=INDEX('2_前後測題庫'!$I$5:$I$19,15),1,0))</f>
        <v/>
      </c>
      <c r="AH34" s="14">
        <f>IF($A34="","",SUM(S34:AG34))</f>
        <v/>
      </c>
    </row>
    <row r="35">
      <c r="A35" s="12" t="n"/>
      <c r="B35" s="12" t="n"/>
      <c r="C35" s="12" t="n"/>
      <c r="D35" s="12" t="n"/>
      <c r="E35" s="12" t="n"/>
      <c r="F35" s="12" t="n"/>
      <c r="G35" s="12" t="n"/>
      <c r="H35" s="12" t="n"/>
      <c r="I35" s="12" t="n"/>
      <c r="J35" s="12" t="n"/>
      <c r="K35" s="12" t="n"/>
      <c r="L35" s="12" t="n"/>
      <c r="M35" s="12" t="n"/>
      <c r="N35" s="12" t="n"/>
      <c r="O35" s="12" t="n"/>
      <c r="P35" s="12" t="n"/>
      <c r="Q35" s="12" t="n"/>
      <c r="S35" s="13">
        <f>IF($C35="","",IF(UPPER(TRIM(C35))=INDEX('2_前後測題庫'!$I$5:$I$19,1),1,0))</f>
        <v/>
      </c>
      <c r="T35" s="13">
        <f>IF($D35="","",IF(UPPER(TRIM(D35))=INDEX('2_前後測題庫'!$I$5:$I$19,2),1,0))</f>
        <v/>
      </c>
      <c r="U35" s="13">
        <f>IF($E35="","",IF(UPPER(TRIM(E35))=INDEX('2_前後測題庫'!$I$5:$I$19,3),1,0))</f>
        <v/>
      </c>
      <c r="V35" s="13">
        <f>IF($F35="","",IF(UPPER(TRIM(F35))=INDEX('2_前後測題庫'!$I$5:$I$19,4),1,0))</f>
        <v/>
      </c>
      <c r="W35" s="13">
        <f>IF($G35="","",IF(UPPER(TRIM(G35))=INDEX('2_前後測題庫'!$I$5:$I$19,5),1,0))</f>
        <v/>
      </c>
      <c r="X35" s="13">
        <f>IF($H35="","",IF(UPPER(TRIM(H35))=INDEX('2_前後測題庫'!$I$5:$I$19,6),1,0))</f>
        <v/>
      </c>
      <c r="Y35" s="13">
        <f>IF($I35="","",IF(UPPER(TRIM(I35))=INDEX('2_前後測題庫'!$I$5:$I$19,7),1,0))</f>
        <v/>
      </c>
      <c r="Z35" s="13">
        <f>IF($J35="","",IF(UPPER(TRIM(J35))=INDEX('2_前後測題庫'!$I$5:$I$19,8),1,0))</f>
        <v/>
      </c>
      <c r="AA35" s="13">
        <f>IF($K35="","",IF(UPPER(TRIM(K35))=INDEX('2_前後測題庫'!$I$5:$I$19,9),1,0))</f>
        <v/>
      </c>
      <c r="AB35" s="13">
        <f>IF($L35="","",IF(UPPER(TRIM(L35))=INDEX('2_前後測題庫'!$I$5:$I$19,10),1,0))</f>
        <v/>
      </c>
      <c r="AC35" s="13">
        <f>IF($M35="","",IF(UPPER(TRIM(M35))=INDEX('2_前後測題庫'!$I$5:$I$19,11),1,0))</f>
        <v/>
      </c>
      <c r="AD35" s="13">
        <f>IF($N35="","",IF(UPPER(TRIM(N35))=INDEX('2_前後測題庫'!$I$5:$I$19,12),1,0))</f>
        <v/>
      </c>
      <c r="AE35" s="13">
        <f>IF($O35="","",IF(UPPER(TRIM(O35))=INDEX('2_前後測題庫'!$I$5:$I$19,13),1,0))</f>
        <v/>
      </c>
      <c r="AF35" s="13">
        <f>IF($P35="","",IF(UPPER(TRIM(P35))=INDEX('2_前後測題庫'!$I$5:$I$19,14),1,0))</f>
        <v/>
      </c>
      <c r="AG35" s="13">
        <f>IF($Q35="","",IF(UPPER(TRIM(Q35))=INDEX('2_前後測題庫'!$I$5:$I$19,15),1,0))</f>
        <v/>
      </c>
      <c r="AH35" s="14">
        <f>IF($A35="","",SUM(S35:AG35))</f>
        <v/>
      </c>
    </row>
    <row r="36">
      <c r="A36" s="12" t="n"/>
      <c r="B36" s="12" t="n"/>
      <c r="C36" s="12" t="n"/>
      <c r="D36" s="12" t="n"/>
      <c r="E36" s="12" t="n"/>
      <c r="F36" s="12" t="n"/>
      <c r="G36" s="12" t="n"/>
      <c r="H36" s="12" t="n"/>
      <c r="I36" s="12" t="n"/>
      <c r="J36" s="12" t="n"/>
      <c r="K36" s="12" t="n"/>
      <c r="L36" s="12" t="n"/>
      <c r="M36" s="12" t="n"/>
      <c r="N36" s="12" t="n"/>
      <c r="O36" s="12" t="n"/>
      <c r="P36" s="12" t="n"/>
      <c r="Q36" s="12" t="n"/>
      <c r="S36" s="13">
        <f>IF($C36="","",IF(UPPER(TRIM(C36))=INDEX('2_前後測題庫'!$I$5:$I$19,1),1,0))</f>
        <v/>
      </c>
      <c r="T36" s="13">
        <f>IF($D36="","",IF(UPPER(TRIM(D36))=INDEX('2_前後測題庫'!$I$5:$I$19,2),1,0))</f>
        <v/>
      </c>
      <c r="U36" s="13">
        <f>IF($E36="","",IF(UPPER(TRIM(E36))=INDEX('2_前後測題庫'!$I$5:$I$19,3),1,0))</f>
        <v/>
      </c>
      <c r="V36" s="13">
        <f>IF($F36="","",IF(UPPER(TRIM(F36))=INDEX('2_前後測題庫'!$I$5:$I$19,4),1,0))</f>
        <v/>
      </c>
      <c r="W36" s="13">
        <f>IF($G36="","",IF(UPPER(TRIM(G36))=INDEX('2_前後測題庫'!$I$5:$I$19,5),1,0))</f>
        <v/>
      </c>
      <c r="X36" s="13">
        <f>IF($H36="","",IF(UPPER(TRIM(H36))=INDEX('2_前後測題庫'!$I$5:$I$19,6),1,0))</f>
        <v/>
      </c>
      <c r="Y36" s="13">
        <f>IF($I36="","",IF(UPPER(TRIM(I36))=INDEX('2_前後測題庫'!$I$5:$I$19,7),1,0))</f>
        <v/>
      </c>
      <c r="Z36" s="13">
        <f>IF($J36="","",IF(UPPER(TRIM(J36))=INDEX('2_前後測題庫'!$I$5:$I$19,8),1,0))</f>
        <v/>
      </c>
      <c r="AA36" s="13">
        <f>IF($K36="","",IF(UPPER(TRIM(K36))=INDEX('2_前後測題庫'!$I$5:$I$19,9),1,0))</f>
        <v/>
      </c>
      <c r="AB36" s="13">
        <f>IF($L36="","",IF(UPPER(TRIM(L36))=INDEX('2_前後測題庫'!$I$5:$I$19,10),1,0))</f>
        <v/>
      </c>
      <c r="AC36" s="13">
        <f>IF($M36="","",IF(UPPER(TRIM(M36))=INDEX('2_前後測題庫'!$I$5:$I$19,11),1,0))</f>
        <v/>
      </c>
      <c r="AD36" s="13">
        <f>IF($N36="","",IF(UPPER(TRIM(N36))=INDEX('2_前後測題庫'!$I$5:$I$19,12),1,0))</f>
        <v/>
      </c>
      <c r="AE36" s="13">
        <f>IF($O36="","",IF(UPPER(TRIM(O36))=INDEX('2_前後測題庫'!$I$5:$I$19,13),1,0))</f>
        <v/>
      </c>
      <c r="AF36" s="13">
        <f>IF($P36="","",IF(UPPER(TRIM(P36))=INDEX('2_前後測題庫'!$I$5:$I$19,14),1,0))</f>
        <v/>
      </c>
      <c r="AG36" s="13">
        <f>IF($Q36="","",IF(UPPER(TRIM(Q36))=INDEX('2_前後測題庫'!$I$5:$I$19,15),1,0))</f>
        <v/>
      </c>
      <c r="AH36" s="14">
        <f>IF($A36="","",SUM(S36:AG36))</f>
        <v/>
      </c>
    </row>
    <row r="37">
      <c r="A37" s="12" t="n"/>
      <c r="B37" s="12" t="n"/>
      <c r="C37" s="12" t="n"/>
      <c r="D37" s="12" t="n"/>
      <c r="E37" s="12" t="n"/>
      <c r="F37" s="12" t="n"/>
      <c r="G37" s="12" t="n"/>
      <c r="H37" s="12" t="n"/>
      <c r="I37" s="12" t="n"/>
      <c r="J37" s="12" t="n"/>
      <c r="K37" s="12" t="n"/>
      <c r="L37" s="12" t="n"/>
      <c r="M37" s="12" t="n"/>
      <c r="N37" s="12" t="n"/>
      <c r="O37" s="12" t="n"/>
      <c r="P37" s="12" t="n"/>
      <c r="Q37" s="12" t="n"/>
      <c r="S37" s="13">
        <f>IF($C37="","",IF(UPPER(TRIM(C37))=INDEX('2_前後測題庫'!$I$5:$I$19,1),1,0))</f>
        <v/>
      </c>
      <c r="T37" s="13">
        <f>IF($D37="","",IF(UPPER(TRIM(D37))=INDEX('2_前後測題庫'!$I$5:$I$19,2),1,0))</f>
        <v/>
      </c>
      <c r="U37" s="13">
        <f>IF($E37="","",IF(UPPER(TRIM(E37))=INDEX('2_前後測題庫'!$I$5:$I$19,3),1,0))</f>
        <v/>
      </c>
      <c r="V37" s="13">
        <f>IF($F37="","",IF(UPPER(TRIM(F37))=INDEX('2_前後測題庫'!$I$5:$I$19,4),1,0))</f>
        <v/>
      </c>
      <c r="W37" s="13">
        <f>IF($G37="","",IF(UPPER(TRIM(G37))=INDEX('2_前後測題庫'!$I$5:$I$19,5),1,0))</f>
        <v/>
      </c>
      <c r="X37" s="13">
        <f>IF($H37="","",IF(UPPER(TRIM(H37))=INDEX('2_前後測題庫'!$I$5:$I$19,6),1,0))</f>
        <v/>
      </c>
      <c r="Y37" s="13">
        <f>IF($I37="","",IF(UPPER(TRIM(I37))=INDEX('2_前後測題庫'!$I$5:$I$19,7),1,0))</f>
        <v/>
      </c>
      <c r="Z37" s="13">
        <f>IF($J37="","",IF(UPPER(TRIM(J37))=INDEX('2_前後測題庫'!$I$5:$I$19,8),1,0))</f>
        <v/>
      </c>
      <c r="AA37" s="13">
        <f>IF($K37="","",IF(UPPER(TRIM(K37))=INDEX('2_前後測題庫'!$I$5:$I$19,9),1,0))</f>
        <v/>
      </c>
      <c r="AB37" s="13">
        <f>IF($L37="","",IF(UPPER(TRIM(L37))=INDEX('2_前後測題庫'!$I$5:$I$19,10),1,0))</f>
        <v/>
      </c>
      <c r="AC37" s="13">
        <f>IF($M37="","",IF(UPPER(TRIM(M37))=INDEX('2_前後測題庫'!$I$5:$I$19,11),1,0))</f>
        <v/>
      </c>
      <c r="AD37" s="13">
        <f>IF($N37="","",IF(UPPER(TRIM(N37))=INDEX('2_前後測題庫'!$I$5:$I$19,12),1,0))</f>
        <v/>
      </c>
      <c r="AE37" s="13">
        <f>IF($O37="","",IF(UPPER(TRIM(O37))=INDEX('2_前後測題庫'!$I$5:$I$19,13),1,0))</f>
        <v/>
      </c>
      <c r="AF37" s="13">
        <f>IF($P37="","",IF(UPPER(TRIM(P37))=INDEX('2_前後測題庫'!$I$5:$I$19,14),1,0))</f>
        <v/>
      </c>
      <c r="AG37" s="13">
        <f>IF($Q37="","",IF(UPPER(TRIM(Q37))=INDEX('2_前後測題庫'!$I$5:$I$19,15),1,0))</f>
        <v/>
      </c>
      <c r="AH37" s="14">
        <f>IF($A37="","",SUM(S37:AG37))</f>
        <v/>
      </c>
    </row>
    <row r="38">
      <c r="A38" s="12" t="n"/>
      <c r="B38" s="12" t="n"/>
      <c r="C38" s="12" t="n"/>
      <c r="D38" s="12" t="n"/>
      <c r="E38" s="12" t="n"/>
      <c r="F38" s="12" t="n"/>
      <c r="G38" s="12" t="n"/>
      <c r="H38" s="12" t="n"/>
      <c r="I38" s="12" t="n"/>
      <c r="J38" s="12" t="n"/>
      <c r="K38" s="12" t="n"/>
      <c r="L38" s="12" t="n"/>
      <c r="M38" s="12" t="n"/>
      <c r="N38" s="12" t="n"/>
      <c r="O38" s="12" t="n"/>
      <c r="P38" s="12" t="n"/>
      <c r="Q38" s="12" t="n"/>
      <c r="S38" s="13">
        <f>IF($C38="","",IF(UPPER(TRIM(C38))=INDEX('2_前後測題庫'!$I$5:$I$19,1),1,0))</f>
        <v/>
      </c>
      <c r="T38" s="13">
        <f>IF($D38="","",IF(UPPER(TRIM(D38))=INDEX('2_前後測題庫'!$I$5:$I$19,2),1,0))</f>
        <v/>
      </c>
      <c r="U38" s="13">
        <f>IF($E38="","",IF(UPPER(TRIM(E38))=INDEX('2_前後測題庫'!$I$5:$I$19,3),1,0))</f>
        <v/>
      </c>
      <c r="V38" s="13">
        <f>IF($F38="","",IF(UPPER(TRIM(F38))=INDEX('2_前後測題庫'!$I$5:$I$19,4),1,0))</f>
        <v/>
      </c>
      <c r="W38" s="13">
        <f>IF($G38="","",IF(UPPER(TRIM(G38))=INDEX('2_前後測題庫'!$I$5:$I$19,5),1,0))</f>
        <v/>
      </c>
      <c r="X38" s="13">
        <f>IF($H38="","",IF(UPPER(TRIM(H38))=INDEX('2_前後測題庫'!$I$5:$I$19,6),1,0))</f>
        <v/>
      </c>
      <c r="Y38" s="13">
        <f>IF($I38="","",IF(UPPER(TRIM(I38))=INDEX('2_前後測題庫'!$I$5:$I$19,7),1,0))</f>
        <v/>
      </c>
      <c r="Z38" s="13">
        <f>IF($J38="","",IF(UPPER(TRIM(J38))=INDEX('2_前後測題庫'!$I$5:$I$19,8),1,0))</f>
        <v/>
      </c>
      <c r="AA38" s="13">
        <f>IF($K38="","",IF(UPPER(TRIM(K38))=INDEX('2_前後測題庫'!$I$5:$I$19,9),1,0))</f>
        <v/>
      </c>
      <c r="AB38" s="13">
        <f>IF($L38="","",IF(UPPER(TRIM(L38))=INDEX('2_前後測題庫'!$I$5:$I$19,10),1,0))</f>
        <v/>
      </c>
      <c r="AC38" s="13">
        <f>IF($M38="","",IF(UPPER(TRIM(M38))=INDEX('2_前後測題庫'!$I$5:$I$19,11),1,0))</f>
        <v/>
      </c>
      <c r="AD38" s="13">
        <f>IF($N38="","",IF(UPPER(TRIM(N38))=INDEX('2_前後測題庫'!$I$5:$I$19,12),1,0))</f>
        <v/>
      </c>
      <c r="AE38" s="13">
        <f>IF($O38="","",IF(UPPER(TRIM(O38))=INDEX('2_前後測題庫'!$I$5:$I$19,13),1,0))</f>
        <v/>
      </c>
      <c r="AF38" s="13">
        <f>IF($P38="","",IF(UPPER(TRIM(P38))=INDEX('2_前後測題庫'!$I$5:$I$19,14),1,0))</f>
        <v/>
      </c>
      <c r="AG38" s="13">
        <f>IF($Q38="","",IF(UPPER(TRIM(Q38))=INDEX('2_前後測題庫'!$I$5:$I$19,15),1,0))</f>
        <v/>
      </c>
      <c r="AH38" s="14">
        <f>IF($A38="","",SUM(S38:AG38))</f>
        <v/>
      </c>
    </row>
    <row r="39">
      <c r="A39" s="12" t="n"/>
      <c r="B39" s="12" t="n"/>
      <c r="C39" s="12" t="n"/>
      <c r="D39" s="12" t="n"/>
      <c r="E39" s="12" t="n"/>
      <c r="F39" s="12" t="n"/>
      <c r="G39" s="12" t="n"/>
      <c r="H39" s="12" t="n"/>
      <c r="I39" s="12" t="n"/>
      <c r="J39" s="12" t="n"/>
      <c r="K39" s="12" t="n"/>
      <c r="L39" s="12" t="n"/>
      <c r="M39" s="12" t="n"/>
      <c r="N39" s="12" t="n"/>
      <c r="O39" s="12" t="n"/>
      <c r="P39" s="12" t="n"/>
      <c r="Q39" s="12" t="n"/>
      <c r="S39" s="13">
        <f>IF($C39="","",IF(UPPER(TRIM(C39))=INDEX('2_前後測題庫'!$I$5:$I$19,1),1,0))</f>
        <v/>
      </c>
      <c r="T39" s="13">
        <f>IF($D39="","",IF(UPPER(TRIM(D39))=INDEX('2_前後測題庫'!$I$5:$I$19,2),1,0))</f>
        <v/>
      </c>
      <c r="U39" s="13">
        <f>IF($E39="","",IF(UPPER(TRIM(E39))=INDEX('2_前後測題庫'!$I$5:$I$19,3),1,0))</f>
        <v/>
      </c>
      <c r="V39" s="13">
        <f>IF($F39="","",IF(UPPER(TRIM(F39))=INDEX('2_前後測題庫'!$I$5:$I$19,4),1,0))</f>
        <v/>
      </c>
      <c r="W39" s="13">
        <f>IF($G39="","",IF(UPPER(TRIM(G39))=INDEX('2_前後測題庫'!$I$5:$I$19,5),1,0))</f>
        <v/>
      </c>
      <c r="X39" s="13">
        <f>IF($H39="","",IF(UPPER(TRIM(H39))=INDEX('2_前後測題庫'!$I$5:$I$19,6),1,0))</f>
        <v/>
      </c>
      <c r="Y39" s="13">
        <f>IF($I39="","",IF(UPPER(TRIM(I39))=INDEX('2_前後測題庫'!$I$5:$I$19,7),1,0))</f>
        <v/>
      </c>
      <c r="Z39" s="13">
        <f>IF($J39="","",IF(UPPER(TRIM(J39))=INDEX('2_前後測題庫'!$I$5:$I$19,8),1,0))</f>
        <v/>
      </c>
      <c r="AA39" s="13">
        <f>IF($K39="","",IF(UPPER(TRIM(K39))=INDEX('2_前後測題庫'!$I$5:$I$19,9),1,0))</f>
        <v/>
      </c>
      <c r="AB39" s="13">
        <f>IF($L39="","",IF(UPPER(TRIM(L39))=INDEX('2_前後測題庫'!$I$5:$I$19,10),1,0))</f>
        <v/>
      </c>
      <c r="AC39" s="13">
        <f>IF($M39="","",IF(UPPER(TRIM(M39))=INDEX('2_前後測題庫'!$I$5:$I$19,11),1,0))</f>
        <v/>
      </c>
      <c r="AD39" s="13">
        <f>IF($N39="","",IF(UPPER(TRIM(N39))=INDEX('2_前後測題庫'!$I$5:$I$19,12),1,0))</f>
        <v/>
      </c>
      <c r="AE39" s="13">
        <f>IF($O39="","",IF(UPPER(TRIM(O39))=INDEX('2_前後測題庫'!$I$5:$I$19,13),1,0))</f>
        <v/>
      </c>
      <c r="AF39" s="13">
        <f>IF($P39="","",IF(UPPER(TRIM(P39))=INDEX('2_前後測題庫'!$I$5:$I$19,14),1,0))</f>
        <v/>
      </c>
      <c r="AG39" s="13">
        <f>IF($Q39="","",IF(UPPER(TRIM(Q39))=INDEX('2_前後測題庫'!$I$5:$I$19,15),1,0))</f>
        <v/>
      </c>
      <c r="AH39" s="14">
        <f>IF($A39="","",SUM(S39:AG39))</f>
        <v/>
      </c>
    </row>
    <row r="40">
      <c r="A40" s="12" t="n"/>
      <c r="B40" s="12" t="n"/>
      <c r="C40" s="12" t="n"/>
      <c r="D40" s="12" t="n"/>
      <c r="E40" s="12" t="n"/>
      <c r="F40" s="12" t="n"/>
      <c r="G40" s="12" t="n"/>
      <c r="H40" s="12" t="n"/>
      <c r="I40" s="12" t="n"/>
      <c r="J40" s="12" t="n"/>
      <c r="K40" s="12" t="n"/>
      <c r="L40" s="12" t="n"/>
      <c r="M40" s="12" t="n"/>
      <c r="N40" s="12" t="n"/>
      <c r="O40" s="12" t="n"/>
      <c r="P40" s="12" t="n"/>
      <c r="Q40" s="12" t="n"/>
      <c r="S40" s="13">
        <f>IF($C40="","",IF(UPPER(TRIM(C40))=INDEX('2_前後測題庫'!$I$5:$I$19,1),1,0))</f>
        <v/>
      </c>
      <c r="T40" s="13">
        <f>IF($D40="","",IF(UPPER(TRIM(D40))=INDEX('2_前後測題庫'!$I$5:$I$19,2),1,0))</f>
        <v/>
      </c>
      <c r="U40" s="13">
        <f>IF($E40="","",IF(UPPER(TRIM(E40))=INDEX('2_前後測題庫'!$I$5:$I$19,3),1,0))</f>
        <v/>
      </c>
      <c r="V40" s="13">
        <f>IF($F40="","",IF(UPPER(TRIM(F40))=INDEX('2_前後測題庫'!$I$5:$I$19,4),1,0))</f>
        <v/>
      </c>
      <c r="W40" s="13">
        <f>IF($G40="","",IF(UPPER(TRIM(G40))=INDEX('2_前後測題庫'!$I$5:$I$19,5),1,0))</f>
        <v/>
      </c>
      <c r="X40" s="13">
        <f>IF($H40="","",IF(UPPER(TRIM(H40))=INDEX('2_前後測題庫'!$I$5:$I$19,6),1,0))</f>
        <v/>
      </c>
      <c r="Y40" s="13">
        <f>IF($I40="","",IF(UPPER(TRIM(I40))=INDEX('2_前後測題庫'!$I$5:$I$19,7),1,0))</f>
        <v/>
      </c>
      <c r="Z40" s="13">
        <f>IF($J40="","",IF(UPPER(TRIM(J40))=INDEX('2_前後測題庫'!$I$5:$I$19,8),1,0))</f>
        <v/>
      </c>
      <c r="AA40" s="13">
        <f>IF($K40="","",IF(UPPER(TRIM(K40))=INDEX('2_前後測題庫'!$I$5:$I$19,9),1,0))</f>
        <v/>
      </c>
      <c r="AB40" s="13">
        <f>IF($L40="","",IF(UPPER(TRIM(L40))=INDEX('2_前後測題庫'!$I$5:$I$19,10),1,0))</f>
        <v/>
      </c>
      <c r="AC40" s="13">
        <f>IF($M40="","",IF(UPPER(TRIM(M40))=INDEX('2_前後測題庫'!$I$5:$I$19,11),1,0))</f>
        <v/>
      </c>
      <c r="AD40" s="13">
        <f>IF($N40="","",IF(UPPER(TRIM(N40))=INDEX('2_前後測題庫'!$I$5:$I$19,12),1,0))</f>
        <v/>
      </c>
      <c r="AE40" s="13">
        <f>IF($O40="","",IF(UPPER(TRIM(O40))=INDEX('2_前後測題庫'!$I$5:$I$19,13),1,0))</f>
        <v/>
      </c>
      <c r="AF40" s="13">
        <f>IF($P40="","",IF(UPPER(TRIM(P40))=INDEX('2_前後測題庫'!$I$5:$I$19,14),1,0))</f>
        <v/>
      </c>
      <c r="AG40" s="13">
        <f>IF($Q40="","",IF(UPPER(TRIM(Q40))=INDEX('2_前後測題庫'!$I$5:$I$19,15),1,0))</f>
        <v/>
      </c>
      <c r="AH40" s="14">
        <f>IF($A40="","",SUM(S40:AG40))</f>
        <v/>
      </c>
    </row>
    <row r="41">
      <c r="A41" s="12" t="n"/>
      <c r="B41" s="12" t="n"/>
      <c r="C41" s="12" t="n"/>
      <c r="D41" s="12" t="n"/>
      <c r="E41" s="12" t="n"/>
      <c r="F41" s="12" t="n"/>
      <c r="G41" s="12" t="n"/>
      <c r="H41" s="12" t="n"/>
      <c r="I41" s="12" t="n"/>
      <c r="J41" s="12" t="n"/>
      <c r="K41" s="12" t="n"/>
      <c r="L41" s="12" t="n"/>
      <c r="M41" s="12" t="n"/>
      <c r="N41" s="12" t="n"/>
      <c r="O41" s="12" t="n"/>
      <c r="P41" s="12" t="n"/>
      <c r="Q41" s="12" t="n"/>
      <c r="S41" s="13">
        <f>IF($C41="","",IF(UPPER(TRIM(C41))=INDEX('2_前後測題庫'!$I$5:$I$19,1),1,0))</f>
        <v/>
      </c>
      <c r="T41" s="13">
        <f>IF($D41="","",IF(UPPER(TRIM(D41))=INDEX('2_前後測題庫'!$I$5:$I$19,2),1,0))</f>
        <v/>
      </c>
      <c r="U41" s="13">
        <f>IF($E41="","",IF(UPPER(TRIM(E41))=INDEX('2_前後測題庫'!$I$5:$I$19,3),1,0))</f>
        <v/>
      </c>
      <c r="V41" s="13">
        <f>IF($F41="","",IF(UPPER(TRIM(F41))=INDEX('2_前後測題庫'!$I$5:$I$19,4),1,0))</f>
        <v/>
      </c>
      <c r="W41" s="13">
        <f>IF($G41="","",IF(UPPER(TRIM(G41))=INDEX('2_前後測題庫'!$I$5:$I$19,5),1,0))</f>
        <v/>
      </c>
      <c r="X41" s="13">
        <f>IF($H41="","",IF(UPPER(TRIM(H41))=INDEX('2_前後測題庫'!$I$5:$I$19,6),1,0))</f>
        <v/>
      </c>
      <c r="Y41" s="13">
        <f>IF($I41="","",IF(UPPER(TRIM(I41))=INDEX('2_前後測題庫'!$I$5:$I$19,7),1,0))</f>
        <v/>
      </c>
      <c r="Z41" s="13">
        <f>IF($J41="","",IF(UPPER(TRIM(J41))=INDEX('2_前後測題庫'!$I$5:$I$19,8),1,0))</f>
        <v/>
      </c>
      <c r="AA41" s="13">
        <f>IF($K41="","",IF(UPPER(TRIM(K41))=INDEX('2_前後測題庫'!$I$5:$I$19,9),1,0))</f>
        <v/>
      </c>
      <c r="AB41" s="13">
        <f>IF($L41="","",IF(UPPER(TRIM(L41))=INDEX('2_前後測題庫'!$I$5:$I$19,10),1,0))</f>
        <v/>
      </c>
      <c r="AC41" s="13">
        <f>IF($M41="","",IF(UPPER(TRIM(M41))=INDEX('2_前後測題庫'!$I$5:$I$19,11),1,0))</f>
        <v/>
      </c>
      <c r="AD41" s="13">
        <f>IF($N41="","",IF(UPPER(TRIM(N41))=INDEX('2_前後測題庫'!$I$5:$I$19,12),1,0))</f>
        <v/>
      </c>
      <c r="AE41" s="13">
        <f>IF($O41="","",IF(UPPER(TRIM(O41))=INDEX('2_前後測題庫'!$I$5:$I$19,13),1,0))</f>
        <v/>
      </c>
      <c r="AF41" s="13">
        <f>IF($P41="","",IF(UPPER(TRIM(P41))=INDEX('2_前後測題庫'!$I$5:$I$19,14),1,0))</f>
        <v/>
      </c>
      <c r="AG41" s="13">
        <f>IF($Q41="","",IF(UPPER(TRIM(Q41))=INDEX('2_前後測題庫'!$I$5:$I$19,15),1,0))</f>
        <v/>
      </c>
      <c r="AH41" s="14">
        <f>IF($A41="","",SUM(S41:AG41))</f>
        <v/>
      </c>
    </row>
    <row r="42">
      <c r="A42" s="12" t="n"/>
      <c r="B42" s="12" t="n"/>
      <c r="C42" s="12" t="n"/>
      <c r="D42" s="12" t="n"/>
      <c r="E42" s="12" t="n"/>
      <c r="F42" s="12" t="n"/>
      <c r="G42" s="12" t="n"/>
      <c r="H42" s="12" t="n"/>
      <c r="I42" s="12" t="n"/>
      <c r="J42" s="12" t="n"/>
      <c r="K42" s="12" t="n"/>
      <c r="L42" s="12" t="n"/>
      <c r="M42" s="12" t="n"/>
      <c r="N42" s="12" t="n"/>
      <c r="O42" s="12" t="n"/>
      <c r="P42" s="12" t="n"/>
      <c r="Q42" s="12" t="n"/>
      <c r="S42" s="13">
        <f>IF($C42="","",IF(UPPER(TRIM(C42))=INDEX('2_前後測題庫'!$I$5:$I$19,1),1,0))</f>
        <v/>
      </c>
      <c r="T42" s="13">
        <f>IF($D42="","",IF(UPPER(TRIM(D42))=INDEX('2_前後測題庫'!$I$5:$I$19,2),1,0))</f>
        <v/>
      </c>
      <c r="U42" s="13">
        <f>IF($E42="","",IF(UPPER(TRIM(E42))=INDEX('2_前後測題庫'!$I$5:$I$19,3),1,0))</f>
        <v/>
      </c>
      <c r="V42" s="13">
        <f>IF($F42="","",IF(UPPER(TRIM(F42))=INDEX('2_前後測題庫'!$I$5:$I$19,4),1,0))</f>
        <v/>
      </c>
      <c r="W42" s="13">
        <f>IF($G42="","",IF(UPPER(TRIM(G42))=INDEX('2_前後測題庫'!$I$5:$I$19,5),1,0))</f>
        <v/>
      </c>
      <c r="X42" s="13">
        <f>IF($H42="","",IF(UPPER(TRIM(H42))=INDEX('2_前後測題庫'!$I$5:$I$19,6),1,0))</f>
        <v/>
      </c>
      <c r="Y42" s="13">
        <f>IF($I42="","",IF(UPPER(TRIM(I42))=INDEX('2_前後測題庫'!$I$5:$I$19,7),1,0))</f>
        <v/>
      </c>
      <c r="Z42" s="13">
        <f>IF($J42="","",IF(UPPER(TRIM(J42))=INDEX('2_前後測題庫'!$I$5:$I$19,8),1,0))</f>
        <v/>
      </c>
      <c r="AA42" s="13">
        <f>IF($K42="","",IF(UPPER(TRIM(K42))=INDEX('2_前後測題庫'!$I$5:$I$19,9),1,0))</f>
        <v/>
      </c>
      <c r="AB42" s="13">
        <f>IF($L42="","",IF(UPPER(TRIM(L42))=INDEX('2_前後測題庫'!$I$5:$I$19,10),1,0))</f>
        <v/>
      </c>
      <c r="AC42" s="13">
        <f>IF($M42="","",IF(UPPER(TRIM(M42))=INDEX('2_前後測題庫'!$I$5:$I$19,11),1,0))</f>
        <v/>
      </c>
      <c r="AD42" s="13">
        <f>IF($N42="","",IF(UPPER(TRIM(N42))=INDEX('2_前後測題庫'!$I$5:$I$19,12),1,0))</f>
        <v/>
      </c>
      <c r="AE42" s="13">
        <f>IF($O42="","",IF(UPPER(TRIM(O42))=INDEX('2_前後測題庫'!$I$5:$I$19,13),1,0))</f>
        <v/>
      </c>
      <c r="AF42" s="13">
        <f>IF($P42="","",IF(UPPER(TRIM(P42))=INDEX('2_前後測題庫'!$I$5:$I$19,14),1,0))</f>
        <v/>
      </c>
      <c r="AG42" s="13">
        <f>IF($Q42="","",IF(UPPER(TRIM(Q42))=INDEX('2_前後測題庫'!$I$5:$I$19,15),1,0))</f>
        <v/>
      </c>
      <c r="AH42" s="14">
        <f>IF($A42="","",SUM(S42:AG42))</f>
        <v/>
      </c>
    </row>
    <row r="43">
      <c r="A43" s="12" t="n"/>
      <c r="B43" s="12" t="n"/>
      <c r="C43" s="12" t="n"/>
      <c r="D43" s="12" t="n"/>
      <c r="E43" s="12" t="n"/>
      <c r="F43" s="12" t="n"/>
      <c r="G43" s="12" t="n"/>
      <c r="H43" s="12" t="n"/>
      <c r="I43" s="12" t="n"/>
      <c r="J43" s="12" t="n"/>
      <c r="K43" s="12" t="n"/>
      <c r="L43" s="12" t="n"/>
      <c r="M43" s="12" t="n"/>
      <c r="N43" s="12" t="n"/>
      <c r="O43" s="12" t="n"/>
      <c r="P43" s="12" t="n"/>
      <c r="Q43" s="12" t="n"/>
      <c r="S43" s="13">
        <f>IF($C43="","",IF(UPPER(TRIM(C43))=INDEX('2_前後測題庫'!$I$5:$I$19,1),1,0))</f>
        <v/>
      </c>
      <c r="T43" s="13">
        <f>IF($D43="","",IF(UPPER(TRIM(D43))=INDEX('2_前後測題庫'!$I$5:$I$19,2),1,0))</f>
        <v/>
      </c>
      <c r="U43" s="13">
        <f>IF($E43="","",IF(UPPER(TRIM(E43))=INDEX('2_前後測題庫'!$I$5:$I$19,3),1,0))</f>
        <v/>
      </c>
      <c r="V43" s="13">
        <f>IF($F43="","",IF(UPPER(TRIM(F43))=INDEX('2_前後測題庫'!$I$5:$I$19,4),1,0))</f>
        <v/>
      </c>
      <c r="W43" s="13">
        <f>IF($G43="","",IF(UPPER(TRIM(G43))=INDEX('2_前後測題庫'!$I$5:$I$19,5),1,0))</f>
        <v/>
      </c>
      <c r="X43" s="13">
        <f>IF($H43="","",IF(UPPER(TRIM(H43))=INDEX('2_前後測題庫'!$I$5:$I$19,6),1,0))</f>
        <v/>
      </c>
      <c r="Y43" s="13">
        <f>IF($I43="","",IF(UPPER(TRIM(I43))=INDEX('2_前後測題庫'!$I$5:$I$19,7),1,0))</f>
        <v/>
      </c>
      <c r="Z43" s="13">
        <f>IF($J43="","",IF(UPPER(TRIM(J43))=INDEX('2_前後測題庫'!$I$5:$I$19,8),1,0))</f>
        <v/>
      </c>
      <c r="AA43" s="13">
        <f>IF($K43="","",IF(UPPER(TRIM(K43))=INDEX('2_前後測題庫'!$I$5:$I$19,9),1,0))</f>
        <v/>
      </c>
      <c r="AB43" s="13">
        <f>IF($L43="","",IF(UPPER(TRIM(L43))=INDEX('2_前後測題庫'!$I$5:$I$19,10),1,0))</f>
        <v/>
      </c>
      <c r="AC43" s="13">
        <f>IF($M43="","",IF(UPPER(TRIM(M43))=INDEX('2_前後測題庫'!$I$5:$I$19,11),1,0))</f>
        <v/>
      </c>
      <c r="AD43" s="13">
        <f>IF($N43="","",IF(UPPER(TRIM(N43))=INDEX('2_前後測題庫'!$I$5:$I$19,12),1,0))</f>
        <v/>
      </c>
      <c r="AE43" s="13">
        <f>IF($O43="","",IF(UPPER(TRIM(O43))=INDEX('2_前後測題庫'!$I$5:$I$19,13),1,0))</f>
        <v/>
      </c>
      <c r="AF43" s="13">
        <f>IF($P43="","",IF(UPPER(TRIM(P43))=INDEX('2_前後測題庫'!$I$5:$I$19,14),1,0))</f>
        <v/>
      </c>
      <c r="AG43" s="13">
        <f>IF($Q43="","",IF(UPPER(TRIM(Q43))=INDEX('2_前後測題庫'!$I$5:$I$19,15),1,0))</f>
        <v/>
      </c>
      <c r="AH43" s="14">
        <f>IF($A43="","",SUM(S43:AG43))</f>
        <v/>
      </c>
    </row>
    <row r="44">
      <c r="A44" s="12" t="n"/>
      <c r="B44" s="12" t="n"/>
      <c r="C44" s="12" t="n"/>
      <c r="D44" s="12" t="n"/>
      <c r="E44" s="12" t="n"/>
      <c r="F44" s="12" t="n"/>
      <c r="G44" s="12" t="n"/>
      <c r="H44" s="12" t="n"/>
      <c r="I44" s="12" t="n"/>
      <c r="J44" s="12" t="n"/>
      <c r="K44" s="12" t="n"/>
      <c r="L44" s="12" t="n"/>
      <c r="M44" s="12" t="n"/>
      <c r="N44" s="12" t="n"/>
      <c r="O44" s="12" t="n"/>
      <c r="P44" s="12" t="n"/>
      <c r="Q44" s="12" t="n"/>
      <c r="S44" s="13">
        <f>IF($C44="","",IF(UPPER(TRIM(C44))=INDEX('2_前後測題庫'!$I$5:$I$19,1),1,0))</f>
        <v/>
      </c>
      <c r="T44" s="13">
        <f>IF($D44="","",IF(UPPER(TRIM(D44))=INDEX('2_前後測題庫'!$I$5:$I$19,2),1,0))</f>
        <v/>
      </c>
      <c r="U44" s="13">
        <f>IF($E44="","",IF(UPPER(TRIM(E44))=INDEX('2_前後測題庫'!$I$5:$I$19,3),1,0))</f>
        <v/>
      </c>
      <c r="V44" s="13">
        <f>IF($F44="","",IF(UPPER(TRIM(F44))=INDEX('2_前後測題庫'!$I$5:$I$19,4),1,0))</f>
        <v/>
      </c>
      <c r="W44" s="13">
        <f>IF($G44="","",IF(UPPER(TRIM(G44))=INDEX('2_前後測題庫'!$I$5:$I$19,5),1,0))</f>
        <v/>
      </c>
      <c r="X44" s="13">
        <f>IF($H44="","",IF(UPPER(TRIM(H44))=INDEX('2_前後測題庫'!$I$5:$I$19,6),1,0))</f>
        <v/>
      </c>
      <c r="Y44" s="13">
        <f>IF($I44="","",IF(UPPER(TRIM(I44))=INDEX('2_前後測題庫'!$I$5:$I$19,7),1,0))</f>
        <v/>
      </c>
      <c r="Z44" s="13">
        <f>IF($J44="","",IF(UPPER(TRIM(J44))=INDEX('2_前後測題庫'!$I$5:$I$19,8),1,0))</f>
        <v/>
      </c>
      <c r="AA44" s="13">
        <f>IF($K44="","",IF(UPPER(TRIM(K44))=INDEX('2_前後測題庫'!$I$5:$I$19,9),1,0))</f>
        <v/>
      </c>
      <c r="AB44" s="13">
        <f>IF($L44="","",IF(UPPER(TRIM(L44))=INDEX('2_前後測題庫'!$I$5:$I$19,10),1,0))</f>
        <v/>
      </c>
      <c r="AC44" s="13">
        <f>IF($M44="","",IF(UPPER(TRIM(M44))=INDEX('2_前後測題庫'!$I$5:$I$19,11),1,0))</f>
        <v/>
      </c>
      <c r="AD44" s="13">
        <f>IF($N44="","",IF(UPPER(TRIM(N44))=INDEX('2_前後測題庫'!$I$5:$I$19,12),1,0))</f>
        <v/>
      </c>
      <c r="AE44" s="13">
        <f>IF($O44="","",IF(UPPER(TRIM(O44))=INDEX('2_前後測題庫'!$I$5:$I$19,13),1,0))</f>
        <v/>
      </c>
      <c r="AF44" s="13">
        <f>IF($P44="","",IF(UPPER(TRIM(P44))=INDEX('2_前後測題庫'!$I$5:$I$19,14),1,0))</f>
        <v/>
      </c>
      <c r="AG44" s="13">
        <f>IF($Q44="","",IF(UPPER(TRIM(Q44))=INDEX('2_前後測題庫'!$I$5:$I$19,15),1,0))</f>
        <v/>
      </c>
      <c r="AH44" s="14">
        <f>IF($A44="","",SUM(S44:AG44))</f>
        <v/>
      </c>
    </row>
    <row r="45">
      <c r="A45" s="12" t="n"/>
      <c r="B45" s="12" t="n"/>
      <c r="C45" s="12" t="n"/>
      <c r="D45" s="12" t="n"/>
      <c r="E45" s="12" t="n"/>
      <c r="F45" s="12" t="n"/>
      <c r="G45" s="12" t="n"/>
      <c r="H45" s="12" t="n"/>
      <c r="I45" s="12" t="n"/>
      <c r="J45" s="12" t="n"/>
      <c r="K45" s="12" t="n"/>
      <c r="L45" s="12" t="n"/>
      <c r="M45" s="12" t="n"/>
      <c r="N45" s="12" t="n"/>
      <c r="O45" s="12" t="n"/>
      <c r="P45" s="12" t="n"/>
      <c r="Q45" s="12" t="n"/>
      <c r="S45" s="13">
        <f>IF($C45="","",IF(UPPER(TRIM(C45))=INDEX('2_前後測題庫'!$I$5:$I$19,1),1,0))</f>
        <v/>
      </c>
      <c r="T45" s="13">
        <f>IF($D45="","",IF(UPPER(TRIM(D45))=INDEX('2_前後測題庫'!$I$5:$I$19,2),1,0))</f>
        <v/>
      </c>
      <c r="U45" s="13">
        <f>IF($E45="","",IF(UPPER(TRIM(E45))=INDEX('2_前後測題庫'!$I$5:$I$19,3),1,0))</f>
        <v/>
      </c>
      <c r="V45" s="13">
        <f>IF($F45="","",IF(UPPER(TRIM(F45))=INDEX('2_前後測題庫'!$I$5:$I$19,4),1,0))</f>
        <v/>
      </c>
      <c r="W45" s="13">
        <f>IF($G45="","",IF(UPPER(TRIM(G45))=INDEX('2_前後測題庫'!$I$5:$I$19,5),1,0))</f>
        <v/>
      </c>
      <c r="X45" s="13">
        <f>IF($H45="","",IF(UPPER(TRIM(H45))=INDEX('2_前後測題庫'!$I$5:$I$19,6),1,0))</f>
        <v/>
      </c>
      <c r="Y45" s="13">
        <f>IF($I45="","",IF(UPPER(TRIM(I45))=INDEX('2_前後測題庫'!$I$5:$I$19,7),1,0))</f>
        <v/>
      </c>
      <c r="Z45" s="13">
        <f>IF($J45="","",IF(UPPER(TRIM(J45))=INDEX('2_前後測題庫'!$I$5:$I$19,8),1,0))</f>
        <v/>
      </c>
      <c r="AA45" s="13">
        <f>IF($K45="","",IF(UPPER(TRIM(K45))=INDEX('2_前後測題庫'!$I$5:$I$19,9),1,0))</f>
        <v/>
      </c>
      <c r="AB45" s="13">
        <f>IF($L45="","",IF(UPPER(TRIM(L45))=INDEX('2_前後測題庫'!$I$5:$I$19,10),1,0))</f>
        <v/>
      </c>
      <c r="AC45" s="13">
        <f>IF($M45="","",IF(UPPER(TRIM(M45))=INDEX('2_前後測題庫'!$I$5:$I$19,11),1,0))</f>
        <v/>
      </c>
      <c r="AD45" s="13">
        <f>IF($N45="","",IF(UPPER(TRIM(N45))=INDEX('2_前後測題庫'!$I$5:$I$19,12),1,0))</f>
        <v/>
      </c>
      <c r="AE45" s="13">
        <f>IF($O45="","",IF(UPPER(TRIM(O45))=INDEX('2_前後測題庫'!$I$5:$I$19,13),1,0))</f>
        <v/>
      </c>
      <c r="AF45" s="13">
        <f>IF($P45="","",IF(UPPER(TRIM(P45))=INDEX('2_前後測題庫'!$I$5:$I$19,14),1,0))</f>
        <v/>
      </c>
      <c r="AG45" s="13">
        <f>IF($Q45="","",IF(UPPER(TRIM(Q45))=INDEX('2_前後測題庫'!$I$5:$I$19,15),1,0))</f>
        <v/>
      </c>
      <c r="AH45" s="14">
        <f>IF($A45="","",SUM(S45:AG45))</f>
        <v/>
      </c>
    </row>
    <row r="46">
      <c r="A46" s="12" t="n"/>
      <c r="B46" s="12" t="n"/>
      <c r="C46" s="12" t="n"/>
      <c r="D46" s="12" t="n"/>
      <c r="E46" s="12" t="n"/>
      <c r="F46" s="12" t="n"/>
      <c r="G46" s="12" t="n"/>
      <c r="H46" s="12" t="n"/>
      <c r="I46" s="12" t="n"/>
      <c r="J46" s="12" t="n"/>
      <c r="K46" s="12" t="n"/>
      <c r="L46" s="12" t="n"/>
      <c r="M46" s="12" t="n"/>
      <c r="N46" s="12" t="n"/>
      <c r="O46" s="12" t="n"/>
      <c r="P46" s="12" t="n"/>
      <c r="Q46" s="12" t="n"/>
      <c r="S46" s="13">
        <f>IF($C46="","",IF(UPPER(TRIM(C46))=INDEX('2_前後測題庫'!$I$5:$I$19,1),1,0))</f>
        <v/>
      </c>
      <c r="T46" s="13">
        <f>IF($D46="","",IF(UPPER(TRIM(D46))=INDEX('2_前後測題庫'!$I$5:$I$19,2),1,0))</f>
        <v/>
      </c>
      <c r="U46" s="13">
        <f>IF($E46="","",IF(UPPER(TRIM(E46))=INDEX('2_前後測題庫'!$I$5:$I$19,3),1,0))</f>
        <v/>
      </c>
      <c r="V46" s="13">
        <f>IF($F46="","",IF(UPPER(TRIM(F46))=INDEX('2_前後測題庫'!$I$5:$I$19,4),1,0))</f>
        <v/>
      </c>
      <c r="W46" s="13">
        <f>IF($G46="","",IF(UPPER(TRIM(G46))=INDEX('2_前後測題庫'!$I$5:$I$19,5),1,0))</f>
        <v/>
      </c>
      <c r="X46" s="13">
        <f>IF($H46="","",IF(UPPER(TRIM(H46))=INDEX('2_前後測題庫'!$I$5:$I$19,6),1,0))</f>
        <v/>
      </c>
      <c r="Y46" s="13">
        <f>IF($I46="","",IF(UPPER(TRIM(I46))=INDEX('2_前後測題庫'!$I$5:$I$19,7),1,0))</f>
        <v/>
      </c>
      <c r="Z46" s="13">
        <f>IF($J46="","",IF(UPPER(TRIM(J46))=INDEX('2_前後測題庫'!$I$5:$I$19,8),1,0))</f>
        <v/>
      </c>
      <c r="AA46" s="13">
        <f>IF($K46="","",IF(UPPER(TRIM(K46))=INDEX('2_前後測題庫'!$I$5:$I$19,9),1,0))</f>
        <v/>
      </c>
      <c r="AB46" s="13">
        <f>IF($L46="","",IF(UPPER(TRIM(L46))=INDEX('2_前後測題庫'!$I$5:$I$19,10),1,0))</f>
        <v/>
      </c>
      <c r="AC46" s="13">
        <f>IF($M46="","",IF(UPPER(TRIM(M46))=INDEX('2_前後測題庫'!$I$5:$I$19,11),1,0))</f>
        <v/>
      </c>
      <c r="AD46" s="13">
        <f>IF($N46="","",IF(UPPER(TRIM(N46))=INDEX('2_前後測題庫'!$I$5:$I$19,12),1,0))</f>
        <v/>
      </c>
      <c r="AE46" s="13">
        <f>IF($O46="","",IF(UPPER(TRIM(O46))=INDEX('2_前後測題庫'!$I$5:$I$19,13),1,0))</f>
        <v/>
      </c>
      <c r="AF46" s="13">
        <f>IF($P46="","",IF(UPPER(TRIM(P46))=INDEX('2_前後測題庫'!$I$5:$I$19,14),1,0))</f>
        <v/>
      </c>
      <c r="AG46" s="13">
        <f>IF($Q46="","",IF(UPPER(TRIM(Q46))=INDEX('2_前後測題庫'!$I$5:$I$19,15),1,0))</f>
        <v/>
      </c>
      <c r="AH46" s="14">
        <f>IF($A46="","",SUM(S46:AG46))</f>
        <v/>
      </c>
    </row>
    <row r="47">
      <c r="A47" s="12" t="n"/>
      <c r="B47" s="12" t="n"/>
      <c r="C47" s="12" t="n"/>
      <c r="D47" s="12" t="n"/>
      <c r="E47" s="12" t="n"/>
      <c r="F47" s="12" t="n"/>
      <c r="G47" s="12" t="n"/>
      <c r="H47" s="12" t="n"/>
      <c r="I47" s="12" t="n"/>
      <c r="J47" s="12" t="n"/>
      <c r="K47" s="12" t="n"/>
      <c r="L47" s="12" t="n"/>
      <c r="M47" s="12" t="n"/>
      <c r="N47" s="12" t="n"/>
      <c r="O47" s="12" t="n"/>
      <c r="P47" s="12" t="n"/>
      <c r="Q47" s="12" t="n"/>
      <c r="S47" s="13">
        <f>IF($C47="","",IF(UPPER(TRIM(C47))=INDEX('2_前後測題庫'!$I$5:$I$19,1),1,0))</f>
        <v/>
      </c>
      <c r="T47" s="13">
        <f>IF($D47="","",IF(UPPER(TRIM(D47))=INDEX('2_前後測題庫'!$I$5:$I$19,2),1,0))</f>
        <v/>
      </c>
      <c r="U47" s="13">
        <f>IF($E47="","",IF(UPPER(TRIM(E47))=INDEX('2_前後測題庫'!$I$5:$I$19,3),1,0))</f>
        <v/>
      </c>
      <c r="V47" s="13">
        <f>IF($F47="","",IF(UPPER(TRIM(F47))=INDEX('2_前後測題庫'!$I$5:$I$19,4),1,0))</f>
        <v/>
      </c>
      <c r="W47" s="13">
        <f>IF($G47="","",IF(UPPER(TRIM(G47))=INDEX('2_前後測題庫'!$I$5:$I$19,5),1,0))</f>
        <v/>
      </c>
      <c r="X47" s="13">
        <f>IF($H47="","",IF(UPPER(TRIM(H47))=INDEX('2_前後測題庫'!$I$5:$I$19,6),1,0))</f>
        <v/>
      </c>
      <c r="Y47" s="13">
        <f>IF($I47="","",IF(UPPER(TRIM(I47))=INDEX('2_前後測題庫'!$I$5:$I$19,7),1,0))</f>
        <v/>
      </c>
      <c r="Z47" s="13">
        <f>IF($J47="","",IF(UPPER(TRIM(J47))=INDEX('2_前後測題庫'!$I$5:$I$19,8),1,0))</f>
        <v/>
      </c>
      <c r="AA47" s="13">
        <f>IF($K47="","",IF(UPPER(TRIM(K47))=INDEX('2_前後測題庫'!$I$5:$I$19,9),1,0))</f>
        <v/>
      </c>
      <c r="AB47" s="13">
        <f>IF($L47="","",IF(UPPER(TRIM(L47))=INDEX('2_前後測題庫'!$I$5:$I$19,10),1,0))</f>
        <v/>
      </c>
      <c r="AC47" s="13">
        <f>IF($M47="","",IF(UPPER(TRIM(M47))=INDEX('2_前後測題庫'!$I$5:$I$19,11),1,0))</f>
        <v/>
      </c>
      <c r="AD47" s="13">
        <f>IF($N47="","",IF(UPPER(TRIM(N47))=INDEX('2_前後測題庫'!$I$5:$I$19,12),1,0))</f>
        <v/>
      </c>
      <c r="AE47" s="13">
        <f>IF($O47="","",IF(UPPER(TRIM(O47))=INDEX('2_前後測題庫'!$I$5:$I$19,13),1,0))</f>
        <v/>
      </c>
      <c r="AF47" s="13">
        <f>IF($P47="","",IF(UPPER(TRIM(P47))=INDEX('2_前後測題庫'!$I$5:$I$19,14),1,0))</f>
        <v/>
      </c>
      <c r="AG47" s="13">
        <f>IF($Q47="","",IF(UPPER(TRIM(Q47))=INDEX('2_前後測題庫'!$I$5:$I$19,15),1,0))</f>
        <v/>
      </c>
      <c r="AH47" s="14">
        <f>IF($A47="","",SUM(S47:AG47))</f>
        <v/>
      </c>
    </row>
    <row r="48">
      <c r="A48" s="12" t="n"/>
      <c r="B48" s="12" t="n"/>
      <c r="C48" s="12" t="n"/>
      <c r="D48" s="12" t="n"/>
      <c r="E48" s="12" t="n"/>
      <c r="F48" s="12" t="n"/>
      <c r="G48" s="12" t="n"/>
      <c r="H48" s="12" t="n"/>
      <c r="I48" s="12" t="n"/>
      <c r="J48" s="12" t="n"/>
      <c r="K48" s="12" t="n"/>
      <c r="L48" s="12" t="n"/>
      <c r="M48" s="12" t="n"/>
      <c r="N48" s="12" t="n"/>
      <c r="O48" s="12" t="n"/>
      <c r="P48" s="12" t="n"/>
      <c r="Q48" s="12" t="n"/>
      <c r="S48" s="13">
        <f>IF($C48="","",IF(UPPER(TRIM(C48))=INDEX('2_前後測題庫'!$I$5:$I$19,1),1,0))</f>
        <v/>
      </c>
      <c r="T48" s="13">
        <f>IF($D48="","",IF(UPPER(TRIM(D48))=INDEX('2_前後測題庫'!$I$5:$I$19,2),1,0))</f>
        <v/>
      </c>
      <c r="U48" s="13">
        <f>IF($E48="","",IF(UPPER(TRIM(E48))=INDEX('2_前後測題庫'!$I$5:$I$19,3),1,0))</f>
        <v/>
      </c>
      <c r="V48" s="13">
        <f>IF($F48="","",IF(UPPER(TRIM(F48))=INDEX('2_前後測題庫'!$I$5:$I$19,4),1,0))</f>
        <v/>
      </c>
      <c r="W48" s="13">
        <f>IF($G48="","",IF(UPPER(TRIM(G48))=INDEX('2_前後測題庫'!$I$5:$I$19,5),1,0))</f>
        <v/>
      </c>
      <c r="X48" s="13">
        <f>IF($H48="","",IF(UPPER(TRIM(H48))=INDEX('2_前後測題庫'!$I$5:$I$19,6),1,0))</f>
        <v/>
      </c>
      <c r="Y48" s="13">
        <f>IF($I48="","",IF(UPPER(TRIM(I48))=INDEX('2_前後測題庫'!$I$5:$I$19,7),1,0))</f>
        <v/>
      </c>
      <c r="Z48" s="13">
        <f>IF($J48="","",IF(UPPER(TRIM(J48))=INDEX('2_前後測題庫'!$I$5:$I$19,8),1,0))</f>
        <v/>
      </c>
      <c r="AA48" s="13">
        <f>IF($K48="","",IF(UPPER(TRIM(K48))=INDEX('2_前後測題庫'!$I$5:$I$19,9),1,0))</f>
        <v/>
      </c>
      <c r="AB48" s="13">
        <f>IF($L48="","",IF(UPPER(TRIM(L48))=INDEX('2_前後測題庫'!$I$5:$I$19,10),1,0))</f>
        <v/>
      </c>
      <c r="AC48" s="13">
        <f>IF($M48="","",IF(UPPER(TRIM(M48))=INDEX('2_前後測題庫'!$I$5:$I$19,11),1,0))</f>
        <v/>
      </c>
      <c r="AD48" s="13">
        <f>IF($N48="","",IF(UPPER(TRIM(N48))=INDEX('2_前後測題庫'!$I$5:$I$19,12),1,0))</f>
        <v/>
      </c>
      <c r="AE48" s="13">
        <f>IF($O48="","",IF(UPPER(TRIM(O48))=INDEX('2_前後測題庫'!$I$5:$I$19,13),1,0))</f>
        <v/>
      </c>
      <c r="AF48" s="13">
        <f>IF($P48="","",IF(UPPER(TRIM(P48))=INDEX('2_前後測題庫'!$I$5:$I$19,14),1,0))</f>
        <v/>
      </c>
      <c r="AG48" s="13">
        <f>IF($Q48="","",IF(UPPER(TRIM(Q48))=INDEX('2_前後測題庫'!$I$5:$I$19,15),1,0))</f>
        <v/>
      </c>
      <c r="AH48" s="14">
        <f>IF($A48="","",SUM(S48:AG48))</f>
        <v/>
      </c>
    </row>
    <row r="49">
      <c r="A49" s="12" t="n"/>
      <c r="B49" s="12" t="n"/>
      <c r="C49" s="12" t="n"/>
      <c r="D49" s="12" t="n"/>
      <c r="E49" s="12" t="n"/>
      <c r="F49" s="12" t="n"/>
      <c r="G49" s="12" t="n"/>
      <c r="H49" s="12" t="n"/>
      <c r="I49" s="12" t="n"/>
      <c r="J49" s="12" t="n"/>
      <c r="K49" s="12" t="n"/>
      <c r="L49" s="12" t="n"/>
      <c r="M49" s="12" t="n"/>
      <c r="N49" s="12" t="n"/>
      <c r="O49" s="12" t="n"/>
      <c r="P49" s="12" t="n"/>
      <c r="Q49" s="12" t="n"/>
      <c r="S49" s="13">
        <f>IF($C49="","",IF(UPPER(TRIM(C49))=INDEX('2_前後測題庫'!$I$5:$I$19,1),1,0))</f>
        <v/>
      </c>
      <c r="T49" s="13">
        <f>IF($D49="","",IF(UPPER(TRIM(D49))=INDEX('2_前後測題庫'!$I$5:$I$19,2),1,0))</f>
        <v/>
      </c>
      <c r="U49" s="13">
        <f>IF($E49="","",IF(UPPER(TRIM(E49))=INDEX('2_前後測題庫'!$I$5:$I$19,3),1,0))</f>
        <v/>
      </c>
      <c r="V49" s="13">
        <f>IF($F49="","",IF(UPPER(TRIM(F49))=INDEX('2_前後測題庫'!$I$5:$I$19,4),1,0))</f>
        <v/>
      </c>
      <c r="W49" s="13">
        <f>IF($G49="","",IF(UPPER(TRIM(G49))=INDEX('2_前後測題庫'!$I$5:$I$19,5),1,0))</f>
        <v/>
      </c>
      <c r="X49" s="13">
        <f>IF($H49="","",IF(UPPER(TRIM(H49))=INDEX('2_前後測題庫'!$I$5:$I$19,6),1,0))</f>
        <v/>
      </c>
      <c r="Y49" s="13">
        <f>IF($I49="","",IF(UPPER(TRIM(I49))=INDEX('2_前後測題庫'!$I$5:$I$19,7),1,0))</f>
        <v/>
      </c>
      <c r="Z49" s="13">
        <f>IF($J49="","",IF(UPPER(TRIM(J49))=INDEX('2_前後測題庫'!$I$5:$I$19,8),1,0))</f>
        <v/>
      </c>
      <c r="AA49" s="13">
        <f>IF($K49="","",IF(UPPER(TRIM(K49))=INDEX('2_前後測題庫'!$I$5:$I$19,9),1,0))</f>
        <v/>
      </c>
      <c r="AB49" s="13">
        <f>IF($L49="","",IF(UPPER(TRIM(L49))=INDEX('2_前後測題庫'!$I$5:$I$19,10),1,0))</f>
        <v/>
      </c>
      <c r="AC49" s="13">
        <f>IF($M49="","",IF(UPPER(TRIM(M49))=INDEX('2_前後測題庫'!$I$5:$I$19,11),1,0))</f>
        <v/>
      </c>
      <c r="AD49" s="13">
        <f>IF($N49="","",IF(UPPER(TRIM(N49))=INDEX('2_前後測題庫'!$I$5:$I$19,12),1,0))</f>
        <v/>
      </c>
      <c r="AE49" s="13">
        <f>IF($O49="","",IF(UPPER(TRIM(O49))=INDEX('2_前後測題庫'!$I$5:$I$19,13),1,0))</f>
        <v/>
      </c>
      <c r="AF49" s="13">
        <f>IF($P49="","",IF(UPPER(TRIM(P49))=INDEX('2_前後測題庫'!$I$5:$I$19,14),1,0))</f>
        <v/>
      </c>
      <c r="AG49" s="13">
        <f>IF($Q49="","",IF(UPPER(TRIM(Q49))=INDEX('2_前後測題庫'!$I$5:$I$19,15),1,0))</f>
        <v/>
      </c>
      <c r="AH49" s="14">
        <f>IF($A49="","",SUM(S49:AG49))</f>
        <v/>
      </c>
    </row>
    <row r="50">
      <c r="A50" s="12" t="n"/>
      <c r="B50" s="12" t="n"/>
      <c r="C50" s="12" t="n"/>
      <c r="D50" s="12" t="n"/>
      <c r="E50" s="12" t="n"/>
      <c r="F50" s="12" t="n"/>
      <c r="G50" s="12" t="n"/>
      <c r="H50" s="12" t="n"/>
      <c r="I50" s="12" t="n"/>
      <c r="J50" s="12" t="n"/>
      <c r="K50" s="12" t="n"/>
      <c r="L50" s="12" t="n"/>
      <c r="M50" s="12" t="n"/>
      <c r="N50" s="12" t="n"/>
      <c r="O50" s="12" t="n"/>
      <c r="P50" s="12" t="n"/>
      <c r="Q50" s="12" t="n"/>
      <c r="S50" s="13">
        <f>IF($C50="","",IF(UPPER(TRIM(C50))=INDEX('2_前後測題庫'!$I$5:$I$19,1),1,0))</f>
        <v/>
      </c>
      <c r="T50" s="13">
        <f>IF($D50="","",IF(UPPER(TRIM(D50))=INDEX('2_前後測題庫'!$I$5:$I$19,2),1,0))</f>
        <v/>
      </c>
      <c r="U50" s="13">
        <f>IF($E50="","",IF(UPPER(TRIM(E50))=INDEX('2_前後測題庫'!$I$5:$I$19,3),1,0))</f>
        <v/>
      </c>
      <c r="V50" s="13">
        <f>IF($F50="","",IF(UPPER(TRIM(F50))=INDEX('2_前後測題庫'!$I$5:$I$19,4),1,0))</f>
        <v/>
      </c>
      <c r="W50" s="13">
        <f>IF($G50="","",IF(UPPER(TRIM(G50))=INDEX('2_前後測題庫'!$I$5:$I$19,5),1,0))</f>
        <v/>
      </c>
      <c r="X50" s="13">
        <f>IF($H50="","",IF(UPPER(TRIM(H50))=INDEX('2_前後測題庫'!$I$5:$I$19,6),1,0))</f>
        <v/>
      </c>
      <c r="Y50" s="13">
        <f>IF($I50="","",IF(UPPER(TRIM(I50))=INDEX('2_前後測題庫'!$I$5:$I$19,7),1,0))</f>
        <v/>
      </c>
      <c r="Z50" s="13">
        <f>IF($J50="","",IF(UPPER(TRIM(J50))=INDEX('2_前後測題庫'!$I$5:$I$19,8),1,0))</f>
        <v/>
      </c>
      <c r="AA50" s="13">
        <f>IF($K50="","",IF(UPPER(TRIM(K50))=INDEX('2_前後測題庫'!$I$5:$I$19,9),1,0))</f>
        <v/>
      </c>
      <c r="AB50" s="13">
        <f>IF($L50="","",IF(UPPER(TRIM(L50))=INDEX('2_前後測題庫'!$I$5:$I$19,10),1,0))</f>
        <v/>
      </c>
      <c r="AC50" s="13">
        <f>IF($M50="","",IF(UPPER(TRIM(M50))=INDEX('2_前後測題庫'!$I$5:$I$19,11),1,0))</f>
        <v/>
      </c>
      <c r="AD50" s="13">
        <f>IF($N50="","",IF(UPPER(TRIM(N50))=INDEX('2_前後測題庫'!$I$5:$I$19,12),1,0))</f>
        <v/>
      </c>
      <c r="AE50" s="13">
        <f>IF($O50="","",IF(UPPER(TRIM(O50))=INDEX('2_前後測題庫'!$I$5:$I$19,13),1,0))</f>
        <v/>
      </c>
      <c r="AF50" s="13">
        <f>IF($P50="","",IF(UPPER(TRIM(P50))=INDEX('2_前後測題庫'!$I$5:$I$19,14),1,0))</f>
        <v/>
      </c>
      <c r="AG50" s="13">
        <f>IF($Q50="","",IF(UPPER(TRIM(Q50))=INDEX('2_前後測題庫'!$I$5:$I$19,15),1,0))</f>
        <v/>
      </c>
      <c r="AH50" s="14">
        <f>IF($A50="","",SUM(S50:AG50))</f>
        <v/>
      </c>
    </row>
    <row r="51">
      <c r="A51" s="12" t="n"/>
      <c r="B51" s="12" t="n"/>
      <c r="C51" s="12" t="n"/>
      <c r="D51" s="12" t="n"/>
      <c r="E51" s="12" t="n"/>
      <c r="F51" s="12" t="n"/>
      <c r="G51" s="12" t="n"/>
      <c r="H51" s="12" t="n"/>
      <c r="I51" s="12" t="n"/>
      <c r="J51" s="12" t="n"/>
      <c r="K51" s="12" t="n"/>
      <c r="L51" s="12" t="n"/>
      <c r="M51" s="12" t="n"/>
      <c r="N51" s="12" t="n"/>
      <c r="O51" s="12" t="n"/>
      <c r="P51" s="12" t="n"/>
      <c r="Q51" s="12" t="n"/>
      <c r="S51" s="13">
        <f>IF($C51="","",IF(UPPER(TRIM(C51))=INDEX('2_前後測題庫'!$I$5:$I$19,1),1,0))</f>
        <v/>
      </c>
      <c r="T51" s="13">
        <f>IF($D51="","",IF(UPPER(TRIM(D51))=INDEX('2_前後測題庫'!$I$5:$I$19,2),1,0))</f>
        <v/>
      </c>
      <c r="U51" s="13">
        <f>IF($E51="","",IF(UPPER(TRIM(E51))=INDEX('2_前後測題庫'!$I$5:$I$19,3),1,0))</f>
        <v/>
      </c>
      <c r="V51" s="13">
        <f>IF($F51="","",IF(UPPER(TRIM(F51))=INDEX('2_前後測題庫'!$I$5:$I$19,4),1,0))</f>
        <v/>
      </c>
      <c r="W51" s="13">
        <f>IF($G51="","",IF(UPPER(TRIM(G51))=INDEX('2_前後測題庫'!$I$5:$I$19,5),1,0))</f>
        <v/>
      </c>
      <c r="X51" s="13">
        <f>IF($H51="","",IF(UPPER(TRIM(H51))=INDEX('2_前後測題庫'!$I$5:$I$19,6),1,0))</f>
        <v/>
      </c>
      <c r="Y51" s="13">
        <f>IF($I51="","",IF(UPPER(TRIM(I51))=INDEX('2_前後測題庫'!$I$5:$I$19,7),1,0))</f>
        <v/>
      </c>
      <c r="Z51" s="13">
        <f>IF($J51="","",IF(UPPER(TRIM(J51))=INDEX('2_前後測題庫'!$I$5:$I$19,8),1,0))</f>
        <v/>
      </c>
      <c r="AA51" s="13">
        <f>IF($K51="","",IF(UPPER(TRIM(K51))=INDEX('2_前後測題庫'!$I$5:$I$19,9),1,0))</f>
        <v/>
      </c>
      <c r="AB51" s="13">
        <f>IF($L51="","",IF(UPPER(TRIM(L51))=INDEX('2_前後測題庫'!$I$5:$I$19,10),1,0))</f>
        <v/>
      </c>
      <c r="AC51" s="13">
        <f>IF($M51="","",IF(UPPER(TRIM(M51))=INDEX('2_前後測題庫'!$I$5:$I$19,11),1,0))</f>
        <v/>
      </c>
      <c r="AD51" s="13">
        <f>IF($N51="","",IF(UPPER(TRIM(N51))=INDEX('2_前後測題庫'!$I$5:$I$19,12),1,0))</f>
        <v/>
      </c>
      <c r="AE51" s="13">
        <f>IF($O51="","",IF(UPPER(TRIM(O51))=INDEX('2_前後測題庫'!$I$5:$I$19,13),1,0))</f>
        <v/>
      </c>
      <c r="AF51" s="13">
        <f>IF($P51="","",IF(UPPER(TRIM(P51))=INDEX('2_前後測題庫'!$I$5:$I$19,14),1,0))</f>
        <v/>
      </c>
      <c r="AG51" s="13">
        <f>IF($Q51="","",IF(UPPER(TRIM(Q51))=INDEX('2_前後測題庫'!$I$5:$I$19,15),1,0))</f>
        <v/>
      </c>
      <c r="AH51" s="14">
        <f>IF($A51="","",SUM(S51:AG51))</f>
        <v/>
      </c>
    </row>
    <row r="52">
      <c r="A52" s="12" t="n"/>
      <c r="B52" s="12" t="n"/>
      <c r="C52" s="12" t="n"/>
      <c r="D52" s="12" t="n"/>
      <c r="E52" s="12" t="n"/>
      <c r="F52" s="12" t="n"/>
      <c r="G52" s="12" t="n"/>
      <c r="H52" s="12" t="n"/>
      <c r="I52" s="12" t="n"/>
      <c r="J52" s="12" t="n"/>
      <c r="K52" s="12" t="n"/>
      <c r="L52" s="12" t="n"/>
      <c r="M52" s="12" t="n"/>
      <c r="N52" s="12" t="n"/>
      <c r="O52" s="12" t="n"/>
      <c r="P52" s="12" t="n"/>
      <c r="Q52" s="12" t="n"/>
      <c r="S52" s="13">
        <f>IF($C52="","",IF(UPPER(TRIM(C52))=INDEX('2_前後測題庫'!$I$5:$I$19,1),1,0))</f>
        <v/>
      </c>
      <c r="T52" s="13">
        <f>IF($D52="","",IF(UPPER(TRIM(D52))=INDEX('2_前後測題庫'!$I$5:$I$19,2),1,0))</f>
        <v/>
      </c>
      <c r="U52" s="13">
        <f>IF($E52="","",IF(UPPER(TRIM(E52))=INDEX('2_前後測題庫'!$I$5:$I$19,3),1,0))</f>
        <v/>
      </c>
      <c r="V52" s="13">
        <f>IF($F52="","",IF(UPPER(TRIM(F52))=INDEX('2_前後測題庫'!$I$5:$I$19,4),1,0))</f>
        <v/>
      </c>
      <c r="W52" s="13">
        <f>IF($G52="","",IF(UPPER(TRIM(G52))=INDEX('2_前後測題庫'!$I$5:$I$19,5),1,0))</f>
        <v/>
      </c>
      <c r="X52" s="13">
        <f>IF($H52="","",IF(UPPER(TRIM(H52))=INDEX('2_前後測題庫'!$I$5:$I$19,6),1,0))</f>
        <v/>
      </c>
      <c r="Y52" s="13">
        <f>IF($I52="","",IF(UPPER(TRIM(I52))=INDEX('2_前後測題庫'!$I$5:$I$19,7),1,0))</f>
        <v/>
      </c>
      <c r="Z52" s="13">
        <f>IF($J52="","",IF(UPPER(TRIM(J52))=INDEX('2_前後測題庫'!$I$5:$I$19,8),1,0))</f>
        <v/>
      </c>
      <c r="AA52" s="13">
        <f>IF($K52="","",IF(UPPER(TRIM(K52))=INDEX('2_前後測題庫'!$I$5:$I$19,9),1,0))</f>
        <v/>
      </c>
      <c r="AB52" s="13">
        <f>IF($L52="","",IF(UPPER(TRIM(L52))=INDEX('2_前後測題庫'!$I$5:$I$19,10),1,0))</f>
        <v/>
      </c>
      <c r="AC52" s="13">
        <f>IF($M52="","",IF(UPPER(TRIM(M52))=INDEX('2_前後測題庫'!$I$5:$I$19,11),1,0))</f>
        <v/>
      </c>
      <c r="AD52" s="13">
        <f>IF($N52="","",IF(UPPER(TRIM(N52))=INDEX('2_前後測題庫'!$I$5:$I$19,12),1,0))</f>
        <v/>
      </c>
      <c r="AE52" s="13">
        <f>IF($O52="","",IF(UPPER(TRIM(O52))=INDEX('2_前後測題庫'!$I$5:$I$19,13),1,0))</f>
        <v/>
      </c>
      <c r="AF52" s="13">
        <f>IF($P52="","",IF(UPPER(TRIM(P52))=INDEX('2_前後測題庫'!$I$5:$I$19,14),1,0))</f>
        <v/>
      </c>
      <c r="AG52" s="13">
        <f>IF($Q52="","",IF(UPPER(TRIM(Q52))=INDEX('2_前後測題庫'!$I$5:$I$19,15),1,0))</f>
        <v/>
      </c>
      <c r="AH52" s="14">
        <f>IF($A52="","",SUM(S52:AG52))</f>
        <v/>
      </c>
    </row>
    <row r="53">
      <c r="A53" s="12" t="n"/>
      <c r="B53" s="12" t="n"/>
      <c r="C53" s="12" t="n"/>
      <c r="D53" s="12" t="n"/>
      <c r="E53" s="12" t="n"/>
      <c r="F53" s="12" t="n"/>
      <c r="G53" s="12" t="n"/>
      <c r="H53" s="12" t="n"/>
      <c r="I53" s="12" t="n"/>
      <c r="J53" s="12" t="n"/>
      <c r="K53" s="12" t="n"/>
      <c r="L53" s="12" t="n"/>
      <c r="M53" s="12" t="n"/>
      <c r="N53" s="12" t="n"/>
      <c r="O53" s="12" t="n"/>
      <c r="P53" s="12" t="n"/>
      <c r="Q53" s="12" t="n"/>
      <c r="S53" s="13">
        <f>IF($C53="","",IF(UPPER(TRIM(C53))=INDEX('2_前後測題庫'!$I$5:$I$19,1),1,0))</f>
        <v/>
      </c>
      <c r="T53" s="13">
        <f>IF($D53="","",IF(UPPER(TRIM(D53))=INDEX('2_前後測題庫'!$I$5:$I$19,2),1,0))</f>
        <v/>
      </c>
      <c r="U53" s="13">
        <f>IF($E53="","",IF(UPPER(TRIM(E53))=INDEX('2_前後測題庫'!$I$5:$I$19,3),1,0))</f>
        <v/>
      </c>
      <c r="V53" s="13">
        <f>IF($F53="","",IF(UPPER(TRIM(F53))=INDEX('2_前後測題庫'!$I$5:$I$19,4),1,0))</f>
        <v/>
      </c>
      <c r="W53" s="13">
        <f>IF($G53="","",IF(UPPER(TRIM(G53))=INDEX('2_前後測題庫'!$I$5:$I$19,5),1,0))</f>
        <v/>
      </c>
      <c r="X53" s="13">
        <f>IF($H53="","",IF(UPPER(TRIM(H53))=INDEX('2_前後測題庫'!$I$5:$I$19,6),1,0))</f>
        <v/>
      </c>
      <c r="Y53" s="13">
        <f>IF($I53="","",IF(UPPER(TRIM(I53))=INDEX('2_前後測題庫'!$I$5:$I$19,7),1,0))</f>
        <v/>
      </c>
      <c r="Z53" s="13">
        <f>IF($J53="","",IF(UPPER(TRIM(J53))=INDEX('2_前後測題庫'!$I$5:$I$19,8),1,0))</f>
        <v/>
      </c>
      <c r="AA53" s="13">
        <f>IF($K53="","",IF(UPPER(TRIM(K53))=INDEX('2_前後測題庫'!$I$5:$I$19,9),1,0))</f>
        <v/>
      </c>
      <c r="AB53" s="13">
        <f>IF($L53="","",IF(UPPER(TRIM(L53))=INDEX('2_前後測題庫'!$I$5:$I$19,10),1,0))</f>
        <v/>
      </c>
      <c r="AC53" s="13">
        <f>IF($M53="","",IF(UPPER(TRIM(M53))=INDEX('2_前後測題庫'!$I$5:$I$19,11),1,0))</f>
        <v/>
      </c>
      <c r="AD53" s="13">
        <f>IF($N53="","",IF(UPPER(TRIM(N53))=INDEX('2_前後測題庫'!$I$5:$I$19,12),1,0))</f>
        <v/>
      </c>
      <c r="AE53" s="13">
        <f>IF($O53="","",IF(UPPER(TRIM(O53))=INDEX('2_前後測題庫'!$I$5:$I$19,13),1,0))</f>
        <v/>
      </c>
      <c r="AF53" s="13">
        <f>IF($P53="","",IF(UPPER(TRIM(P53))=INDEX('2_前後測題庫'!$I$5:$I$19,14),1,0))</f>
        <v/>
      </c>
      <c r="AG53" s="13">
        <f>IF($Q53="","",IF(UPPER(TRIM(Q53))=INDEX('2_前後測題庫'!$I$5:$I$19,15),1,0))</f>
        <v/>
      </c>
      <c r="AH53" s="14">
        <f>IF($A53="","",SUM(S53:AG53))</f>
        <v/>
      </c>
    </row>
    <row r="54">
      <c r="A54" s="12" t="n"/>
      <c r="B54" s="12" t="n"/>
      <c r="C54" s="12" t="n"/>
      <c r="D54" s="12" t="n"/>
      <c r="E54" s="12" t="n"/>
      <c r="F54" s="12" t="n"/>
      <c r="G54" s="12" t="n"/>
      <c r="H54" s="12" t="n"/>
      <c r="I54" s="12" t="n"/>
      <c r="J54" s="12" t="n"/>
      <c r="K54" s="12" t="n"/>
      <c r="L54" s="12" t="n"/>
      <c r="M54" s="12" t="n"/>
      <c r="N54" s="12" t="n"/>
      <c r="O54" s="12" t="n"/>
      <c r="P54" s="12" t="n"/>
      <c r="Q54" s="12" t="n"/>
      <c r="S54" s="13">
        <f>IF($C54="","",IF(UPPER(TRIM(C54))=INDEX('2_前後測題庫'!$I$5:$I$19,1),1,0))</f>
        <v/>
      </c>
      <c r="T54" s="13">
        <f>IF($D54="","",IF(UPPER(TRIM(D54))=INDEX('2_前後測題庫'!$I$5:$I$19,2),1,0))</f>
        <v/>
      </c>
      <c r="U54" s="13">
        <f>IF($E54="","",IF(UPPER(TRIM(E54))=INDEX('2_前後測題庫'!$I$5:$I$19,3),1,0))</f>
        <v/>
      </c>
      <c r="V54" s="13">
        <f>IF($F54="","",IF(UPPER(TRIM(F54))=INDEX('2_前後測題庫'!$I$5:$I$19,4),1,0))</f>
        <v/>
      </c>
      <c r="W54" s="13">
        <f>IF($G54="","",IF(UPPER(TRIM(G54))=INDEX('2_前後測題庫'!$I$5:$I$19,5),1,0))</f>
        <v/>
      </c>
      <c r="X54" s="13">
        <f>IF($H54="","",IF(UPPER(TRIM(H54))=INDEX('2_前後測題庫'!$I$5:$I$19,6),1,0))</f>
        <v/>
      </c>
      <c r="Y54" s="13">
        <f>IF($I54="","",IF(UPPER(TRIM(I54))=INDEX('2_前後測題庫'!$I$5:$I$19,7),1,0))</f>
        <v/>
      </c>
      <c r="Z54" s="13">
        <f>IF($J54="","",IF(UPPER(TRIM(J54))=INDEX('2_前後測題庫'!$I$5:$I$19,8),1,0))</f>
        <v/>
      </c>
      <c r="AA54" s="13">
        <f>IF($K54="","",IF(UPPER(TRIM(K54))=INDEX('2_前後測題庫'!$I$5:$I$19,9),1,0))</f>
        <v/>
      </c>
      <c r="AB54" s="13">
        <f>IF($L54="","",IF(UPPER(TRIM(L54))=INDEX('2_前後測題庫'!$I$5:$I$19,10),1,0))</f>
        <v/>
      </c>
      <c r="AC54" s="13">
        <f>IF($M54="","",IF(UPPER(TRIM(M54))=INDEX('2_前後測題庫'!$I$5:$I$19,11),1,0))</f>
        <v/>
      </c>
      <c r="AD54" s="13">
        <f>IF($N54="","",IF(UPPER(TRIM(N54))=INDEX('2_前後測題庫'!$I$5:$I$19,12),1,0))</f>
        <v/>
      </c>
      <c r="AE54" s="13">
        <f>IF($O54="","",IF(UPPER(TRIM(O54))=INDEX('2_前後測題庫'!$I$5:$I$19,13),1,0))</f>
        <v/>
      </c>
      <c r="AF54" s="13">
        <f>IF($P54="","",IF(UPPER(TRIM(P54))=INDEX('2_前後測題庫'!$I$5:$I$19,14),1,0))</f>
        <v/>
      </c>
      <c r="AG54" s="13">
        <f>IF($Q54="","",IF(UPPER(TRIM(Q54))=INDEX('2_前後測題庫'!$I$5:$I$19,15),1,0))</f>
        <v/>
      </c>
      <c r="AH54" s="14">
        <f>IF($A54="","",SUM(S54:AG54))</f>
        <v/>
      </c>
    </row>
    <row r="55">
      <c r="A55" s="12" t="n"/>
      <c r="B55" s="12" t="n"/>
      <c r="C55" s="12" t="n"/>
      <c r="D55" s="12" t="n"/>
      <c r="E55" s="12" t="n"/>
      <c r="F55" s="12" t="n"/>
      <c r="G55" s="12" t="n"/>
      <c r="H55" s="12" t="n"/>
      <c r="I55" s="12" t="n"/>
      <c r="J55" s="12" t="n"/>
      <c r="K55" s="12" t="n"/>
      <c r="L55" s="12" t="n"/>
      <c r="M55" s="12" t="n"/>
      <c r="N55" s="12" t="n"/>
      <c r="O55" s="12" t="n"/>
      <c r="P55" s="12" t="n"/>
      <c r="Q55" s="12" t="n"/>
      <c r="S55" s="13">
        <f>IF($C55="","",IF(UPPER(TRIM(C55))=INDEX('2_前後測題庫'!$I$5:$I$19,1),1,0))</f>
        <v/>
      </c>
      <c r="T55" s="13">
        <f>IF($D55="","",IF(UPPER(TRIM(D55))=INDEX('2_前後測題庫'!$I$5:$I$19,2),1,0))</f>
        <v/>
      </c>
      <c r="U55" s="13">
        <f>IF($E55="","",IF(UPPER(TRIM(E55))=INDEX('2_前後測題庫'!$I$5:$I$19,3),1,0))</f>
        <v/>
      </c>
      <c r="V55" s="13">
        <f>IF($F55="","",IF(UPPER(TRIM(F55))=INDEX('2_前後測題庫'!$I$5:$I$19,4),1,0))</f>
        <v/>
      </c>
      <c r="W55" s="13">
        <f>IF($G55="","",IF(UPPER(TRIM(G55))=INDEX('2_前後測題庫'!$I$5:$I$19,5),1,0))</f>
        <v/>
      </c>
      <c r="X55" s="13">
        <f>IF($H55="","",IF(UPPER(TRIM(H55))=INDEX('2_前後測題庫'!$I$5:$I$19,6),1,0))</f>
        <v/>
      </c>
      <c r="Y55" s="13">
        <f>IF($I55="","",IF(UPPER(TRIM(I55))=INDEX('2_前後測題庫'!$I$5:$I$19,7),1,0))</f>
        <v/>
      </c>
      <c r="Z55" s="13">
        <f>IF($J55="","",IF(UPPER(TRIM(J55))=INDEX('2_前後測題庫'!$I$5:$I$19,8),1,0))</f>
        <v/>
      </c>
      <c r="AA55" s="13">
        <f>IF($K55="","",IF(UPPER(TRIM(K55))=INDEX('2_前後測題庫'!$I$5:$I$19,9),1,0))</f>
        <v/>
      </c>
      <c r="AB55" s="13">
        <f>IF($L55="","",IF(UPPER(TRIM(L55))=INDEX('2_前後測題庫'!$I$5:$I$19,10),1,0))</f>
        <v/>
      </c>
      <c r="AC55" s="13">
        <f>IF($M55="","",IF(UPPER(TRIM(M55))=INDEX('2_前後測題庫'!$I$5:$I$19,11),1,0))</f>
        <v/>
      </c>
      <c r="AD55" s="13">
        <f>IF($N55="","",IF(UPPER(TRIM(N55))=INDEX('2_前後測題庫'!$I$5:$I$19,12),1,0))</f>
        <v/>
      </c>
      <c r="AE55" s="13">
        <f>IF($O55="","",IF(UPPER(TRIM(O55))=INDEX('2_前後測題庫'!$I$5:$I$19,13),1,0))</f>
        <v/>
      </c>
      <c r="AF55" s="13">
        <f>IF($P55="","",IF(UPPER(TRIM(P55))=INDEX('2_前後測題庫'!$I$5:$I$19,14),1,0))</f>
        <v/>
      </c>
      <c r="AG55" s="13">
        <f>IF($Q55="","",IF(UPPER(TRIM(Q55))=INDEX('2_前後測題庫'!$I$5:$I$19,15),1,0))</f>
        <v/>
      </c>
      <c r="AH55" s="14">
        <f>IF($A55="","",SUM(S55:AG55))</f>
        <v/>
      </c>
    </row>
    <row r="56">
      <c r="A56" s="12" t="n"/>
      <c r="B56" s="12" t="n"/>
      <c r="C56" s="12" t="n"/>
      <c r="D56" s="12" t="n"/>
      <c r="E56" s="12" t="n"/>
      <c r="F56" s="12" t="n"/>
      <c r="G56" s="12" t="n"/>
      <c r="H56" s="12" t="n"/>
      <c r="I56" s="12" t="n"/>
      <c r="J56" s="12" t="n"/>
      <c r="K56" s="12" t="n"/>
      <c r="L56" s="12" t="n"/>
      <c r="M56" s="12" t="n"/>
      <c r="N56" s="12" t="n"/>
      <c r="O56" s="12" t="n"/>
      <c r="P56" s="12" t="n"/>
      <c r="Q56" s="12" t="n"/>
      <c r="S56" s="13">
        <f>IF($C56="","",IF(UPPER(TRIM(C56))=INDEX('2_前後測題庫'!$I$5:$I$19,1),1,0))</f>
        <v/>
      </c>
      <c r="T56" s="13">
        <f>IF($D56="","",IF(UPPER(TRIM(D56))=INDEX('2_前後測題庫'!$I$5:$I$19,2),1,0))</f>
        <v/>
      </c>
      <c r="U56" s="13">
        <f>IF($E56="","",IF(UPPER(TRIM(E56))=INDEX('2_前後測題庫'!$I$5:$I$19,3),1,0))</f>
        <v/>
      </c>
      <c r="V56" s="13">
        <f>IF($F56="","",IF(UPPER(TRIM(F56))=INDEX('2_前後測題庫'!$I$5:$I$19,4),1,0))</f>
        <v/>
      </c>
      <c r="W56" s="13">
        <f>IF($G56="","",IF(UPPER(TRIM(G56))=INDEX('2_前後測題庫'!$I$5:$I$19,5),1,0))</f>
        <v/>
      </c>
      <c r="X56" s="13">
        <f>IF($H56="","",IF(UPPER(TRIM(H56))=INDEX('2_前後測題庫'!$I$5:$I$19,6),1,0))</f>
        <v/>
      </c>
      <c r="Y56" s="13">
        <f>IF($I56="","",IF(UPPER(TRIM(I56))=INDEX('2_前後測題庫'!$I$5:$I$19,7),1,0))</f>
        <v/>
      </c>
      <c r="Z56" s="13">
        <f>IF($J56="","",IF(UPPER(TRIM(J56))=INDEX('2_前後測題庫'!$I$5:$I$19,8),1,0))</f>
        <v/>
      </c>
      <c r="AA56" s="13">
        <f>IF($K56="","",IF(UPPER(TRIM(K56))=INDEX('2_前後測題庫'!$I$5:$I$19,9),1,0))</f>
        <v/>
      </c>
      <c r="AB56" s="13">
        <f>IF($L56="","",IF(UPPER(TRIM(L56))=INDEX('2_前後測題庫'!$I$5:$I$19,10),1,0))</f>
        <v/>
      </c>
      <c r="AC56" s="13">
        <f>IF($M56="","",IF(UPPER(TRIM(M56))=INDEX('2_前後測題庫'!$I$5:$I$19,11),1,0))</f>
        <v/>
      </c>
      <c r="AD56" s="13">
        <f>IF($N56="","",IF(UPPER(TRIM(N56))=INDEX('2_前後測題庫'!$I$5:$I$19,12),1,0))</f>
        <v/>
      </c>
      <c r="AE56" s="13">
        <f>IF($O56="","",IF(UPPER(TRIM(O56))=INDEX('2_前後測題庫'!$I$5:$I$19,13),1,0))</f>
        <v/>
      </c>
      <c r="AF56" s="13">
        <f>IF($P56="","",IF(UPPER(TRIM(P56))=INDEX('2_前後測題庫'!$I$5:$I$19,14),1,0))</f>
        <v/>
      </c>
      <c r="AG56" s="13">
        <f>IF($Q56="","",IF(UPPER(TRIM(Q56))=INDEX('2_前後測題庫'!$I$5:$I$19,15),1,0))</f>
        <v/>
      </c>
      <c r="AH56" s="14">
        <f>IF($A56="","",SUM(S56:AG56))</f>
        <v/>
      </c>
    </row>
    <row r="57">
      <c r="A57" s="12" t="n"/>
      <c r="B57" s="12" t="n"/>
      <c r="C57" s="12" t="n"/>
      <c r="D57" s="12" t="n"/>
      <c r="E57" s="12" t="n"/>
      <c r="F57" s="12" t="n"/>
      <c r="G57" s="12" t="n"/>
      <c r="H57" s="12" t="n"/>
      <c r="I57" s="12" t="n"/>
      <c r="J57" s="12" t="n"/>
      <c r="K57" s="12" t="n"/>
      <c r="L57" s="12" t="n"/>
      <c r="M57" s="12" t="n"/>
      <c r="N57" s="12" t="n"/>
      <c r="O57" s="12" t="n"/>
      <c r="P57" s="12" t="n"/>
      <c r="Q57" s="12" t="n"/>
      <c r="S57" s="13">
        <f>IF($C57="","",IF(UPPER(TRIM(C57))=INDEX('2_前後測題庫'!$I$5:$I$19,1),1,0))</f>
        <v/>
      </c>
      <c r="T57" s="13">
        <f>IF($D57="","",IF(UPPER(TRIM(D57))=INDEX('2_前後測題庫'!$I$5:$I$19,2),1,0))</f>
        <v/>
      </c>
      <c r="U57" s="13">
        <f>IF($E57="","",IF(UPPER(TRIM(E57))=INDEX('2_前後測題庫'!$I$5:$I$19,3),1,0))</f>
        <v/>
      </c>
      <c r="V57" s="13">
        <f>IF($F57="","",IF(UPPER(TRIM(F57))=INDEX('2_前後測題庫'!$I$5:$I$19,4),1,0))</f>
        <v/>
      </c>
      <c r="W57" s="13">
        <f>IF($G57="","",IF(UPPER(TRIM(G57))=INDEX('2_前後測題庫'!$I$5:$I$19,5),1,0))</f>
        <v/>
      </c>
      <c r="X57" s="13">
        <f>IF($H57="","",IF(UPPER(TRIM(H57))=INDEX('2_前後測題庫'!$I$5:$I$19,6),1,0))</f>
        <v/>
      </c>
      <c r="Y57" s="13">
        <f>IF($I57="","",IF(UPPER(TRIM(I57))=INDEX('2_前後測題庫'!$I$5:$I$19,7),1,0))</f>
        <v/>
      </c>
      <c r="Z57" s="13">
        <f>IF($J57="","",IF(UPPER(TRIM(J57))=INDEX('2_前後測題庫'!$I$5:$I$19,8),1,0))</f>
        <v/>
      </c>
      <c r="AA57" s="13">
        <f>IF($K57="","",IF(UPPER(TRIM(K57))=INDEX('2_前後測題庫'!$I$5:$I$19,9),1,0))</f>
        <v/>
      </c>
      <c r="AB57" s="13">
        <f>IF($L57="","",IF(UPPER(TRIM(L57))=INDEX('2_前後測題庫'!$I$5:$I$19,10),1,0))</f>
        <v/>
      </c>
      <c r="AC57" s="13">
        <f>IF($M57="","",IF(UPPER(TRIM(M57))=INDEX('2_前後測題庫'!$I$5:$I$19,11),1,0))</f>
        <v/>
      </c>
      <c r="AD57" s="13">
        <f>IF($N57="","",IF(UPPER(TRIM(N57))=INDEX('2_前後測題庫'!$I$5:$I$19,12),1,0))</f>
        <v/>
      </c>
      <c r="AE57" s="13">
        <f>IF($O57="","",IF(UPPER(TRIM(O57))=INDEX('2_前後測題庫'!$I$5:$I$19,13),1,0))</f>
        <v/>
      </c>
      <c r="AF57" s="13">
        <f>IF($P57="","",IF(UPPER(TRIM(P57))=INDEX('2_前後測題庫'!$I$5:$I$19,14),1,0))</f>
        <v/>
      </c>
      <c r="AG57" s="13">
        <f>IF($Q57="","",IF(UPPER(TRIM(Q57))=INDEX('2_前後測題庫'!$I$5:$I$19,15),1,0))</f>
        <v/>
      </c>
      <c r="AH57" s="14">
        <f>IF($A57="","",SUM(S57:AG57))</f>
        <v/>
      </c>
    </row>
    <row r="58">
      <c r="A58" s="12" t="n"/>
      <c r="B58" s="12" t="n"/>
      <c r="C58" s="12" t="n"/>
      <c r="D58" s="12" t="n"/>
      <c r="E58" s="12" t="n"/>
      <c r="F58" s="12" t="n"/>
      <c r="G58" s="12" t="n"/>
      <c r="H58" s="12" t="n"/>
      <c r="I58" s="12" t="n"/>
      <c r="J58" s="12" t="n"/>
      <c r="K58" s="12" t="n"/>
      <c r="L58" s="12" t="n"/>
      <c r="M58" s="12" t="n"/>
      <c r="N58" s="12" t="n"/>
      <c r="O58" s="12" t="n"/>
      <c r="P58" s="12" t="n"/>
      <c r="Q58" s="12" t="n"/>
      <c r="S58" s="13">
        <f>IF($C58="","",IF(UPPER(TRIM(C58))=INDEX('2_前後測題庫'!$I$5:$I$19,1),1,0))</f>
        <v/>
      </c>
      <c r="T58" s="13">
        <f>IF($D58="","",IF(UPPER(TRIM(D58))=INDEX('2_前後測題庫'!$I$5:$I$19,2),1,0))</f>
        <v/>
      </c>
      <c r="U58" s="13">
        <f>IF($E58="","",IF(UPPER(TRIM(E58))=INDEX('2_前後測題庫'!$I$5:$I$19,3),1,0))</f>
        <v/>
      </c>
      <c r="V58" s="13">
        <f>IF($F58="","",IF(UPPER(TRIM(F58))=INDEX('2_前後測題庫'!$I$5:$I$19,4),1,0))</f>
        <v/>
      </c>
      <c r="W58" s="13">
        <f>IF($G58="","",IF(UPPER(TRIM(G58))=INDEX('2_前後測題庫'!$I$5:$I$19,5),1,0))</f>
        <v/>
      </c>
      <c r="X58" s="13">
        <f>IF($H58="","",IF(UPPER(TRIM(H58))=INDEX('2_前後測題庫'!$I$5:$I$19,6),1,0))</f>
        <v/>
      </c>
      <c r="Y58" s="13">
        <f>IF($I58="","",IF(UPPER(TRIM(I58))=INDEX('2_前後測題庫'!$I$5:$I$19,7),1,0))</f>
        <v/>
      </c>
      <c r="Z58" s="13">
        <f>IF($J58="","",IF(UPPER(TRIM(J58))=INDEX('2_前後測題庫'!$I$5:$I$19,8),1,0))</f>
        <v/>
      </c>
      <c r="AA58" s="13">
        <f>IF($K58="","",IF(UPPER(TRIM(K58))=INDEX('2_前後測題庫'!$I$5:$I$19,9),1,0))</f>
        <v/>
      </c>
      <c r="AB58" s="13">
        <f>IF($L58="","",IF(UPPER(TRIM(L58))=INDEX('2_前後測題庫'!$I$5:$I$19,10),1,0))</f>
        <v/>
      </c>
      <c r="AC58" s="13">
        <f>IF($M58="","",IF(UPPER(TRIM(M58))=INDEX('2_前後測題庫'!$I$5:$I$19,11),1,0))</f>
        <v/>
      </c>
      <c r="AD58" s="13">
        <f>IF($N58="","",IF(UPPER(TRIM(N58))=INDEX('2_前後測題庫'!$I$5:$I$19,12),1,0))</f>
        <v/>
      </c>
      <c r="AE58" s="13">
        <f>IF($O58="","",IF(UPPER(TRIM(O58))=INDEX('2_前後測題庫'!$I$5:$I$19,13),1,0))</f>
        <v/>
      </c>
      <c r="AF58" s="13">
        <f>IF($P58="","",IF(UPPER(TRIM(P58))=INDEX('2_前後測題庫'!$I$5:$I$19,14),1,0))</f>
        <v/>
      </c>
      <c r="AG58" s="13">
        <f>IF($Q58="","",IF(UPPER(TRIM(Q58))=INDEX('2_前後測題庫'!$I$5:$I$19,15),1,0))</f>
        <v/>
      </c>
      <c r="AH58" s="14">
        <f>IF($A58="","",SUM(S58:AG58))</f>
        <v/>
      </c>
    </row>
    <row r="59">
      <c r="A59" s="12" t="n"/>
      <c r="B59" s="12" t="n"/>
      <c r="C59" s="12" t="n"/>
      <c r="D59" s="12" t="n"/>
      <c r="E59" s="12" t="n"/>
      <c r="F59" s="12" t="n"/>
      <c r="G59" s="12" t="n"/>
      <c r="H59" s="12" t="n"/>
      <c r="I59" s="12" t="n"/>
      <c r="J59" s="12" t="n"/>
      <c r="K59" s="12" t="n"/>
      <c r="L59" s="12" t="n"/>
      <c r="M59" s="12" t="n"/>
      <c r="N59" s="12" t="n"/>
      <c r="O59" s="12" t="n"/>
      <c r="P59" s="12" t="n"/>
      <c r="Q59" s="12" t="n"/>
      <c r="S59" s="13">
        <f>IF($C59="","",IF(UPPER(TRIM(C59))=INDEX('2_前後測題庫'!$I$5:$I$19,1),1,0))</f>
        <v/>
      </c>
      <c r="T59" s="13">
        <f>IF($D59="","",IF(UPPER(TRIM(D59))=INDEX('2_前後測題庫'!$I$5:$I$19,2),1,0))</f>
        <v/>
      </c>
      <c r="U59" s="13">
        <f>IF($E59="","",IF(UPPER(TRIM(E59))=INDEX('2_前後測題庫'!$I$5:$I$19,3),1,0))</f>
        <v/>
      </c>
      <c r="V59" s="13">
        <f>IF($F59="","",IF(UPPER(TRIM(F59))=INDEX('2_前後測題庫'!$I$5:$I$19,4),1,0))</f>
        <v/>
      </c>
      <c r="W59" s="13">
        <f>IF($G59="","",IF(UPPER(TRIM(G59))=INDEX('2_前後測題庫'!$I$5:$I$19,5),1,0))</f>
        <v/>
      </c>
      <c r="X59" s="13">
        <f>IF($H59="","",IF(UPPER(TRIM(H59))=INDEX('2_前後測題庫'!$I$5:$I$19,6),1,0))</f>
        <v/>
      </c>
      <c r="Y59" s="13">
        <f>IF($I59="","",IF(UPPER(TRIM(I59))=INDEX('2_前後測題庫'!$I$5:$I$19,7),1,0))</f>
        <v/>
      </c>
      <c r="Z59" s="13">
        <f>IF($J59="","",IF(UPPER(TRIM(J59))=INDEX('2_前後測題庫'!$I$5:$I$19,8),1,0))</f>
        <v/>
      </c>
      <c r="AA59" s="13">
        <f>IF($K59="","",IF(UPPER(TRIM(K59))=INDEX('2_前後測題庫'!$I$5:$I$19,9),1,0))</f>
        <v/>
      </c>
      <c r="AB59" s="13">
        <f>IF($L59="","",IF(UPPER(TRIM(L59))=INDEX('2_前後測題庫'!$I$5:$I$19,10),1,0))</f>
        <v/>
      </c>
      <c r="AC59" s="13">
        <f>IF($M59="","",IF(UPPER(TRIM(M59))=INDEX('2_前後測題庫'!$I$5:$I$19,11),1,0))</f>
        <v/>
      </c>
      <c r="AD59" s="13">
        <f>IF($N59="","",IF(UPPER(TRIM(N59))=INDEX('2_前後測題庫'!$I$5:$I$19,12),1,0))</f>
        <v/>
      </c>
      <c r="AE59" s="13">
        <f>IF($O59="","",IF(UPPER(TRIM(O59))=INDEX('2_前後測題庫'!$I$5:$I$19,13),1,0))</f>
        <v/>
      </c>
      <c r="AF59" s="13">
        <f>IF($P59="","",IF(UPPER(TRIM(P59))=INDEX('2_前後測題庫'!$I$5:$I$19,14),1,0))</f>
        <v/>
      </c>
      <c r="AG59" s="13">
        <f>IF($Q59="","",IF(UPPER(TRIM(Q59))=INDEX('2_前後測題庫'!$I$5:$I$19,15),1,0))</f>
        <v/>
      </c>
      <c r="AH59" s="14">
        <f>IF($A59="","",SUM(S59:AG59))</f>
        <v/>
      </c>
    </row>
    <row r="60">
      <c r="A60" s="12" t="n"/>
      <c r="B60" s="12" t="n"/>
      <c r="C60" s="12" t="n"/>
      <c r="D60" s="12" t="n"/>
      <c r="E60" s="12" t="n"/>
      <c r="F60" s="12" t="n"/>
      <c r="G60" s="12" t="n"/>
      <c r="H60" s="12" t="n"/>
      <c r="I60" s="12" t="n"/>
      <c r="J60" s="12" t="n"/>
      <c r="K60" s="12" t="n"/>
      <c r="L60" s="12" t="n"/>
      <c r="M60" s="12" t="n"/>
      <c r="N60" s="12" t="n"/>
      <c r="O60" s="12" t="n"/>
      <c r="P60" s="12" t="n"/>
      <c r="Q60" s="12" t="n"/>
      <c r="S60" s="13">
        <f>IF($C60="","",IF(UPPER(TRIM(C60))=INDEX('2_前後測題庫'!$I$5:$I$19,1),1,0))</f>
        <v/>
      </c>
      <c r="T60" s="13">
        <f>IF($D60="","",IF(UPPER(TRIM(D60))=INDEX('2_前後測題庫'!$I$5:$I$19,2),1,0))</f>
        <v/>
      </c>
      <c r="U60" s="13">
        <f>IF($E60="","",IF(UPPER(TRIM(E60))=INDEX('2_前後測題庫'!$I$5:$I$19,3),1,0))</f>
        <v/>
      </c>
      <c r="V60" s="13">
        <f>IF($F60="","",IF(UPPER(TRIM(F60))=INDEX('2_前後測題庫'!$I$5:$I$19,4),1,0))</f>
        <v/>
      </c>
      <c r="W60" s="13">
        <f>IF($G60="","",IF(UPPER(TRIM(G60))=INDEX('2_前後測題庫'!$I$5:$I$19,5),1,0))</f>
        <v/>
      </c>
      <c r="X60" s="13">
        <f>IF($H60="","",IF(UPPER(TRIM(H60))=INDEX('2_前後測題庫'!$I$5:$I$19,6),1,0))</f>
        <v/>
      </c>
      <c r="Y60" s="13">
        <f>IF($I60="","",IF(UPPER(TRIM(I60))=INDEX('2_前後測題庫'!$I$5:$I$19,7),1,0))</f>
        <v/>
      </c>
      <c r="Z60" s="13">
        <f>IF($J60="","",IF(UPPER(TRIM(J60))=INDEX('2_前後測題庫'!$I$5:$I$19,8),1,0))</f>
        <v/>
      </c>
      <c r="AA60" s="13">
        <f>IF($K60="","",IF(UPPER(TRIM(K60))=INDEX('2_前後測題庫'!$I$5:$I$19,9),1,0))</f>
        <v/>
      </c>
      <c r="AB60" s="13">
        <f>IF($L60="","",IF(UPPER(TRIM(L60))=INDEX('2_前後測題庫'!$I$5:$I$19,10),1,0))</f>
        <v/>
      </c>
      <c r="AC60" s="13">
        <f>IF($M60="","",IF(UPPER(TRIM(M60))=INDEX('2_前後測題庫'!$I$5:$I$19,11),1,0))</f>
        <v/>
      </c>
      <c r="AD60" s="13">
        <f>IF($N60="","",IF(UPPER(TRIM(N60))=INDEX('2_前後測題庫'!$I$5:$I$19,12),1,0))</f>
        <v/>
      </c>
      <c r="AE60" s="13">
        <f>IF($O60="","",IF(UPPER(TRIM(O60))=INDEX('2_前後測題庫'!$I$5:$I$19,13),1,0))</f>
        <v/>
      </c>
      <c r="AF60" s="13">
        <f>IF($P60="","",IF(UPPER(TRIM(P60))=INDEX('2_前後測題庫'!$I$5:$I$19,14),1,0))</f>
        <v/>
      </c>
      <c r="AG60" s="13">
        <f>IF($Q60="","",IF(UPPER(TRIM(Q60))=INDEX('2_前後測題庫'!$I$5:$I$19,15),1,0))</f>
        <v/>
      </c>
      <c r="AH60" s="14">
        <f>IF($A60="","",SUM(S60:AG60))</f>
        <v/>
      </c>
    </row>
    <row r="61">
      <c r="A61" s="12" t="n"/>
      <c r="B61" s="12" t="n"/>
      <c r="C61" s="12" t="n"/>
      <c r="D61" s="12" t="n"/>
      <c r="E61" s="12" t="n"/>
      <c r="F61" s="12" t="n"/>
      <c r="G61" s="12" t="n"/>
      <c r="H61" s="12" t="n"/>
      <c r="I61" s="12" t="n"/>
      <c r="J61" s="12" t="n"/>
      <c r="K61" s="12" t="n"/>
      <c r="L61" s="12" t="n"/>
      <c r="M61" s="12" t="n"/>
      <c r="N61" s="12" t="n"/>
      <c r="O61" s="12" t="n"/>
      <c r="P61" s="12" t="n"/>
      <c r="Q61" s="12" t="n"/>
      <c r="S61" s="13">
        <f>IF($C61="","",IF(UPPER(TRIM(C61))=INDEX('2_前後測題庫'!$I$5:$I$19,1),1,0))</f>
        <v/>
      </c>
      <c r="T61" s="13">
        <f>IF($D61="","",IF(UPPER(TRIM(D61))=INDEX('2_前後測題庫'!$I$5:$I$19,2),1,0))</f>
        <v/>
      </c>
      <c r="U61" s="13">
        <f>IF($E61="","",IF(UPPER(TRIM(E61))=INDEX('2_前後測題庫'!$I$5:$I$19,3),1,0))</f>
        <v/>
      </c>
      <c r="V61" s="13">
        <f>IF($F61="","",IF(UPPER(TRIM(F61))=INDEX('2_前後測題庫'!$I$5:$I$19,4),1,0))</f>
        <v/>
      </c>
      <c r="W61" s="13">
        <f>IF($G61="","",IF(UPPER(TRIM(G61))=INDEX('2_前後測題庫'!$I$5:$I$19,5),1,0))</f>
        <v/>
      </c>
      <c r="X61" s="13">
        <f>IF($H61="","",IF(UPPER(TRIM(H61))=INDEX('2_前後測題庫'!$I$5:$I$19,6),1,0))</f>
        <v/>
      </c>
      <c r="Y61" s="13">
        <f>IF($I61="","",IF(UPPER(TRIM(I61))=INDEX('2_前後測題庫'!$I$5:$I$19,7),1,0))</f>
        <v/>
      </c>
      <c r="Z61" s="13">
        <f>IF($J61="","",IF(UPPER(TRIM(J61))=INDEX('2_前後測題庫'!$I$5:$I$19,8),1,0))</f>
        <v/>
      </c>
      <c r="AA61" s="13">
        <f>IF($K61="","",IF(UPPER(TRIM(K61))=INDEX('2_前後測題庫'!$I$5:$I$19,9),1,0))</f>
        <v/>
      </c>
      <c r="AB61" s="13">
        <f>IF($L61="","",IF(UPPER(TRIM(L61))=INDEX('2_前後測題庫'!$I$5:$I$19,10),1,0))</f>
        <v/>
      </c>
      <c r="AC61" s="13">
        <f>IF($M61="","",IF(UPPER(TRIM(M61))=INDEX('2_前後測題庫'!$I$5:$I$19,11),1,0))</f>
        <v/>
      </c>
      <c r="AD61" s="13">
        <f>IF($N61="","",IF(UPPER(TRIM(N61))=INDEX('2_前後測題庫'!$I$5:$I$19,12),1,0))</f>
        <v/>
      </c>
      <c r="AE61" s="13">
        <f>IF($O61="","",IF(UPPER(TRIM(O61))=INDEX('2_前後測題庫'!$I$5:$I$19,13),1,0))</f>
        <v/>
      </c>
      <c r="AF61" s="13">
        <f>IF($P61="","",IF(UPPER(TRIM(P61))=INDEX('2_前後測題庫'!$I$5:$I$19,14),1,0))</f>
        <v/>
      </c>
      <c r="AG61" s="13">
        <f>IF($Q61="","",IF(UPPER(TRIM(Q61))=INDEX('2_前後測題庫'!$I$5:$I$19,15),1,0))</f>
        <v/>
      </c>
      <c r="AH61" s="14">
        <f>IF($A61="","",SUM(S61:AG61))</f>
        <v/>
      </c>
    </row>
    <row r="62">
      <c r="A62" s="12" t="n"/>
      <c r="B62" s="12" t="n"/>
      <c r="C62" s="12" t="n"/>
      <c r="D62" s="12" t="n"/>
      <c r="E62" s="12" t="n"/>
      <c r="F62" s="12" t="n"/>
      <c r="G62" s="12" t="n"/>
      <c r="H62" s="12" t="n"/>
      <c r="I62" s="12" t="n"/>
      <c r="J62" s="12" t="n"/>
      <c r="K62" s="12" t="n"/>
      <c r="L62" s="12" t="n"/>
      <c r="M62" s="12" t="n"/>
      <c r="N62" s="12" t="n"/>
      <c r="O62" s="12" t="n"/>
      <c r="P62" s="12" t="n"/>
      <c r="Q62" s="12" t="n"/>
      <c r="S62" s="13">
        <f>IF($C62="","",IF(UPPER(TRIM(C62))=INDEX('2_前後測題庫'!$I$5:$I$19,1),1,0))</f>
        <v/>
      </c>
      <c r="T62" s="13">
        <f>IF($D62="","",IF(UPPER(TRIM(D62))=INDEX('2_前後測題庫'!$I$5:$I$19,2),1,0))</f>
        <v/>
      </c>
      <c r="U62" s="13">
        <f>IF($E62="","",IF(UPPER(TRIM(E62))=INDEX('2_前後測題庫'!$I$5:$I$19,3),1,0))</f>
        <v/>
      </c>
      <c r="V62" s="13">
        <f>IF($F62="","",IF(UPPER(TRIM(F62))=INDEX('2_前後測題庫'!$I$5:$I$19,4),1,0))</f>
        <v/>
      </c>
      <c r="W62" s="13">
        <f>IF($G62="","",IF(UPPER(TRIM(G62))=INDEX('2_前後測題庫'!$I$5:$I$19,5),1,0))</f>
        <v/>
      </c>
      <c r="X62" s="13">
        <f>IF($H62="","",IF(UPPER(TRIM(H62))=INDEX('2_前後測題庫'!$I$5:$I$19,6),1,0))</f>
        <v/>
      </c>
      <c r="Y62" s="13">
        <f>IF($I62="","",IF(UPPER(TRIM(I62))=INDEX('2_前後測題庫'!$I$5:$I$19,7),1,0))</f>
        <v/>
      </c>
      <c r="Z62" s="13">
        <f>IF($J62="","",IF(UPPER(TRIM(J62))=INDEX('2_前後測題庫'!$I$5:$I$19,8),1,0))</f>
        <v/>
      </c>
      <c r="AA62" s="13">
        <f>IF($K62="","",IF(UPPER(TRIM(K62))=INDEX('2_前後測題庫'!$I$5:$I$19,9),1,0))</f>
        <v/>
      </c>
      <c r="AB62" s="13">
        <f>IF($L62="","",IF(UPPER(TRIM(L62))=INDEX('2_前後測題庫'!$I$5:$I$19,10),1,0))</f>
        <v/>
      </c>
      <c r="AC62" s="13">
        <f>IF($M62="","",IF(UPPER(TRIM(M62))=INDEX('2_前後測題庫'!$I$5:$I$19,11),1,0))</f>
        <v/>
      </c>
      <c r="AD62" s="13">
        <f>IF($N62="","",IF(UPPER(TRIM(N62))=INDEX('2_前後測題庫'!$I$5:$I$19,12),1,0))</f>
        <v/>
      </c>
      <c r="AE62" s="13">
        <f>IF($O62="","",IF(UPPER(TRIM(O62))=INDEX('2_前後測題庫'!$I$5:$I$19,13),1,0))</f>
        <v/>
      </c>
      <c r="AF62" s="13">
        <f>IF($P62="","",IF(UPPER(TRIM(P62))=INDEX('2_前後測題庫'!$I$5:$I$19,14),1,0))</f>
        <v/>
      </c>
      <c r="AG62" s="13">
        <f>IF($Q62="","",IF(UPPER(TRIM(Q62))=INDEX('2_前後測題庫'!$I$5:$I$19,15),1,0))</f>
        <v/>
      </c>
      <c r="AH62" s="14">
        <f>IF($A62="","",SUM(S62:AG62))</f>
        <v/>
      </c>
    </row>
    <row r="63">
      <c r="A63" s="12" t="n"/>
      <c r="B63" s="12" t="n"/>
      <c r="C63" s="12" t="n"/>
      <c r="D63" s="12" t="n"/>
      <c r="E63" s="12" t="n"/>
      <c r="F63" s="12" t="n"/>
      <c r="G63" s="12" t="n"/>
      <c r="H63" s="12" t="n"/>
      <c r="I63" s="12" t="n"/>
      <c r="J63" s="12" t="n"/>
      <c r="K63" s="12" t="n"/>
      <c r="L63" s="12" t="n"/>
      <c r="M63" s="12" t="n"/>
      <c r="N63" s="12" t="n"/>
      <c r="O63" s="12" t="n"/>
      <c r="P63" s="12" t="n"/>
      <c r="Q63" s="12" t="n"/>
      <c r="S63" s="13">
        <f>IF($C63="","",IF(UPPER(TRIM(C63))=INDEX('2_前後測題庫'!$I$5:$I$19,1),1,0))</f>
        <v/>
      </c>
      <c r="T63" s="13">
        <f>IF($D63="","",IF(UPPER(TRIM(D63))=INDEX('2_前後測題庫'!$I$5:$I$19,2),1,0))</f>
        <v/>
      </c>
      <c r="U63" s="13">
        <f>IF($E63="","",IF(UPPER(TRIM(E63))=INDEX('2_前後測題庫'!$I$5:$I$19,3),1,0))</f>
        <v/>
      </c>
      <c r="V63" s="13">
        <f>IF($F63="","",IF(UPPER(TRIM(F63))=INDEX('2_前後測題庫'!$I$5:$I$19,4),1,0))</f>
        <v/>
      </c>
      <c r="W63" s="13">
        <f>IF($G63="","",IF(UPPER(TRIM(G63))=INDEX('2_前後測題庫'!$I$5:$I$19,5),1,0))</f>
        <v/>
      </c>
      <c r="X63" s="13">
        <f>IF($H63="","",IF(UPPER(TRIM(H63))=INDEX('2_前後測題庫'!$I$5:$I$19,6),1,0))</f>
        <v/>
      </c>
      <c r="Y63" s="13">
        <f>IF($I63="","",IF(UPPER(TRIM(I63))=INDEX('2_前後測題庫'!$I$5:$I$19,7),1,0))</f>
        <v/>
      </c>
      <c r="Z63" s="13">
        <f>IF($J63="","",IF(UPPER(TRIM(J63))=INDEX('2_前後測題庫'!$I$5:$I$19,8),1,0))</f>
        <v/>
      </c>
      <c r="AA63" s="13">
        <f>IF($K63="","",IF(UPPER(TRIM(K63))=INDEX('2_前後測題庫'!$I$5:$I$19,9),1,0))</f>
        <v/>
      </c>
      <c r="AB63" s="13">
        <f>IF($L63="","",IF(UPPER(TRIM(L63))=INDEX('2_前後測題庫'!$I$5:$I$19,10),1,0))</f>
        <v/>
      </c>
      <c r="AC63" s="13">
        <f>IF($M63="","",IF(UPPER(TRIM(M63))=INDEX('2_前後測題庫'!$I$5:$I$19,11),1,0))</f>
        <v/>
      </c>
      <c r="AD63" s="13">
        <f>IF($N63="","",IF(UPPER(TRIM(N63))=INDEX('2_前後測題庫'!$I$5:$I$19,12),1,0))</f>
        <v/>
      </c>
      <c r="AE63" s="13">
        <f>IF($O63="","",IF(UPPER(TRIM(O63))=INDEX('2_前後測題庫'!$I$5:$I$19,13),1,0))</f>
        <v/>
      </c>
      <c r="AF63" s="13">
        <f>IF($P63="","",IF(UPPER(TRIM(P63))=INDEX('2_前後測題庫'!$I$5:$I$19,14),1,0))</f>
        <v/>
      </c>
      <c r="AG63" s="13">
        <f>IF($Q63="","",IF(UPPER(TRIM(Q63))=INDEX('2_前後測題庫'!$I$5:$I$19,15),1,0))</f>
        <v/>
      </c>
      <c r="AH63" s="14">
        <f>IF($A63="","",SUM(S63:AG63))</f>
        <v/>
      </c>
    </row>
    <row r="64">
      <c r="A64" s="12" t="n"/>
      <c r="B64" s="12" t="n"/>
      <c r="C64" s="12" t="n"/>
      <c r="D64" s="12" t="n"/>
      <c r="E64" s="12" t="n"/>
      <c r="F64" s="12" t="n"/>
      <c r="G64" s="12" t="n"/>
      <c r="H64" s="12" t="n"/>
      <c r="I64" s="12" t="n"/>
      <c r="J64" s="12" t="n"/>
      <c r="K64" s="12" t="n"/>
      <c r="L64" s="12" t="n"/>
      <c r="M64" s="12" t="n"/>
      <c r="N64" s="12" t="n"/>
      <c r="O64" s="12" t="n"/>
      <c r="P64" s="12" t="n"/>
      <c r="Q64" s="12" t="n"/>
      <c r="S64" s="13">
        <f>IF($C64="","",IF(UPPER(TRIM(C64))=INDEX('2_前後測題庫'!$I$5:$I$19,1),1,0))</f>
        <v/>
      </c>
      <c r="T64" s="13">
        <f>IF($D64="","",IF(UPPER(TRIM(D64))=INDEX('2_前後測題庫'!$I$5:$I$19,2),1,0))</f>
        <v/>
      </c>
      <c r="U64" s="13">
        <f>IF($E64="","",IF(UPPER(TRIM(E64))=INDEX('2_前後測題庫'!$I$5:$I$19,3),1,0))</f>
        <v/>
      </c>
      <c r="V64" s="13">
        <f>IF($F64="","",IF(UPPER(TRIM(F64))=INDEX('2_前後測題庫'!$I$5:$I$19,4),1,0))</f>
        <v/>
      </c>
      <c r="W64" s="13">
        <f>IF($G64="","",IF(UPPER(TRIM(G64))=INDEX('2_前後測題庫'!$I$5:$I$19,5),1,0))</f>
        <v/>
      </c>
      <c r="X64" s="13">
        <f>IF($H64="","",IF(UPPER(TRIM(H64))=INDEX('2_前後測題庫'!$I$5:$I$19,6),1,0))</f>
        <v/>
      </c>
      <c r="Y64" s="13">
        <f>IF($I64="","",IF(UPPER(TRIM(I64))=INDEX('2_前後測題庫'!$I$5:$I$19,7),1,0))</f>
        <v/>
      </c>
      <c r="Z64" s="13">
        <f>IF($J64="","",IF(UPPER(TRIM(J64))=INDEX('2_前後測題庫'!$I$5:$I$19,8),1,0))</f>
        <v/>
      </c>
      <c r="AA64" s="13">
        <f>IF($K64="","",IF(UPPER(TRIM(K64))=INDEX('2_前後測題庫'!$I$5:$I$19,9),1,0))</f>
        <v/>
      </c>
      <c r="AB64" s="13">
        <f>IF($L64="","",IF(UPPER(TRIM(L64))=INDEX('2_前後測題庫'!$I$5:$I$19,10),1,0))</f>
        <v/>
      </c>
      <c r="AC64" s="13">
        <f>IF($M64="","",IF(UPPER(TRIM(M64))=INDEX('2_前後測題庫'!$I$5:$I$19,11),1,0))</f>
        <v/>
      </c>
      <c r="AD64" s="13">
        <f>IF($N64="","",IF(UPPER(TRIM(N64))=INDEX('2_前後測題庫'!$I$5:$I$19,12),1,0))</f>
        <v/>
      </c>
      <c r="AE64" s="13">
        <f>IF($O64="","",IF(UPPER(TRIM(O64))=INDEX('2_前後測題庫'!$I$5:$I$19,13),1,0))</f>
        <v/>
      </c>
      <c r="AF64" s="13">
        <f>IF($P64="","",IF(UPPER(TRIM(P64))=INDEX('2_前後測題庫'!$I$5:$I$19,14),1,0))</f>
        <v/>
      </c>
      <c r="AG64" s="13">
        <f>IF($Q64="","",IF(UPPER(TRIM(Q64))=INDEX('2_前後測題庫'!$I$5:$I$19,15),1,0))</f>
        <v/>
      </c>
      <c r="AH64" s="14">
        <f>IF($A64="","",SUM(S64:AG64))</f>
        <v/>
      </c>
    </row>
  </sheetData>
  <mergeCells count="1">
    <mergeCell ref="A2:AH2"/>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tabColor rgb="00FFC000"/>
    <outlinePr summaryBelow="1" summaryRight="1"/>
    <pageSetUpPr fitToPage="1"/>
  </sheetPr>
  <dimension ref="A1:AH6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4.5"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s>
  <sheetData>
    <row r="1">
      <c r="A1" s="1" t="inlineStr">
        <is>
          <t>後測作答（W18 期末考前，不計分或計參與分）</t>
        </is>
      </c>
    </row>
    <row r="2" ht="30" customHeight="1">
      <c r="A2" s="2" t="inlineStr">
        <is>
          <t>每位學生一列，填 A/B/C/D（大小寫皆可）。Google 表單可匯出成試算表，把答案欄貼到 C5 起。右邊綠色是對錯（1/0）與總分。示範資料是模擬的，正式使用前請整塊刪除 A5:Q64。</t>
        </is>
      </c>
    </row>
    <row r="4">
      <c r="A4" s="3" t="inlineStr">
        <is>
          <t>學號</t>
        </is>
      </c>
      <c r="B4" s="3" t="inlineStr">
        <is>
          <t>姓名</t>
        </is>
      </c>
      <c r="C4" s="3" t="inlineStr">
        <is>
          <t>Q1</t>
        </is>
      </c>
      <c r="D4" s="3" t="inlineStr">
        <is>
          <t>Q2</t>
        </is>
      </c>
      <c r="E4" s="3" t="inlineStr">
        <is>
          <t>Q3</t>
        </is>
      </c>
      <c r="F4" s="3" t="inlineStr">
        <is>
          <t>Q4</t>
        </is>
      </c>
      <c r="G4" s="3" t="inlineStr">
        <is>
          <t>Q5</t>
        </is>
      </c>
      <c r="H4" s="3" t="inlineStr">
        <is>
          <t>Q6</t>
        </is>
      </c>
      <c r="I4" s="3" t="inlineStr">
        <is>
          <t>Q7</t>
        </is>
      </c>
      <c r="J4" s="3" t="inlineStr">
        <is>
          <t>Q8</t>
        </is>
      </c>
      <c r="K4" s="3" t="inlineStr">
        <is>
          <t>Q9</t>
        </is>
      </c>
      <c r="L4" s="3" t="inlineStr">
        <is>
          <t>Q10</t>
        </is>
      </c>
      <c r="M4" s="3" t="inlineStr">
        <is>
          <t>Q11</t>
        </is>
      </c>
      <c r="N4" s="3" t="inlineStr">
        <is>
          <t>Q12</t>
        </is>
      </c>
      <c r="O4" s="3" t="inlineStr">
        <is>
          <t>Q13</t>
        </is>
      </c>
      <c r="P4" s="3" t="inlineStr">
        <is>
          <t>Q14</t>
        </is>
      </c>
      <c r="Q4" s="3" t="inlineStr">
        <is>
          <t>Q15</t>
        </is>
      </c>
      <c r="R4" s="3" t="inlineStr"/>
      <c r="S4" s="3" t="inlineStr">
        <is>
          <t>對1</t>
        </is>
      </c>
      <c r="T4" s="3" t="inlineStr">
        <is>
          <t>對2</t>
        </is>
      </c>
      <c r="U4" s="3" t="inlineStr">
        <is>
          <t>對3</t>
        </is>
      </c>
      <c r="V4" s="3" t="inlineStr">
        <is>
          <t>對4</t>
        </is>
      </c>
      <c r="W4" s="3" t="inlineStr">
        <is>
          <t>對5</t>
        </is>
      </c>
      <c r="X4" s="3" t="inlineStr">
        <is>
          <t>對6</t>
        </is>
      </c>
      <c r="Y4" s="3" t="inlineStr">
        <is>
          <t>對7</t>
        </is>
      </c>
      <c r="Z4" s="3" t="inlineStr">
        <is>
          <t>對8</t>
        </is>
      </c>
      <c r="AA4" s="3" t="inlineStr">
        <is>
          <t>對9</t>
        </is>
      </c>
      <c r="AB4" s="3" t="inlineStr">
        <is>
          <t>對10</t>
        </is>
      </c>
      <c r="AC4" s="3" t="inlineStr">
        <is>
          <t>對11</t>
        </is>
      </c>
      <c r="AD4" s="3" t="inlineStr">
        <is>
          <t>對12</t>
        </is>
      </c>
      <c r="AE4" s="3" t="inlineStr">
        <is>
          <t>對13</t>
        </is>
      </c>
      <c r="AF4" s="3" t="inlineStr">
        <is>
          <t>對14</t>
        </is>
      </c>
      <c r="AG4" s="3" t="inlineStr">
        <is>
          <t>對15</t>
        </is>
      </c>
      <c r="AH4" s="3" t="inlineStr">
        <is>
          <t>總分</t>
        </is>
      </c>
    </row>
    <row r="5">
      <c r="A5" s="12" t="inlineStr">
        <is>
          <t>S01</t>
        </is>
      </c>
      <c r="B5" s="12" t="inlineStr">
        <is>
          <t>學生1</t>
        </is>
      </c>
      <c r="C5" s="10" t="inlineStr">
        <is>
          <t>C</t>
        </is>
      </c>
      <c r="D5" s="10" t="inlineStr">
        <is>
          <t>B</t>
        </is>
      </c>
      <c r="E5" s="10" t="inlineStr">
        <is>
          <t>A</t>
        </is>
      </c>
      <c r="F5" s="10" t="inlineStr">
        <is>
          <t>C</t>
        </is>
      </c>
      <c r="G5" s="10" t="inlineStr">
        <is>
          <t>C</t>
        </is>
      </c>
      <c r="H5" s="10" t="inlineStr">
        <is>
          <t>D</t>
        </is>
      </c>
      <c r="I5" s="10" t="inlineStr">
        <is>
          <t>A</t>
        </is>
      </c>
      <c r="J5" s="10" t="inlineStr">
        <is>
          <t>D</t>
        </is>
      </c>
      <c r="K5" s="10" t="inlineStr">
        <is>
          <t>D</t>
        </is>
      </c>
      <c r="L5" s="10" t="inlineStr">
        <is>
          <t>D</t>
        </is>
      </c>
      <c r="M5" s="10" t="inlineStr">
        <is>
          <t>B</t>
        </is>
      </c>
      <c r="N5" s="10" t="inlineStr">
        <is>
          <t>B</t>
        </is>
      </c>
      <c r="O5" s="10" t="inlineStr">
        <is>
          <t>A</t>
        </is>
      </c>
      <c r="P5" s="10" t="inlineStr">
        <is>
          <t>A</t>
        </is>
      </c>
      <c r="Q5" s="10" t="inlineStr">
        <is>
          <t>B</t>
        </is>
      </c>
      <c r="S5" s="13">
        <f>IF($C5="","",IF(UPPER(TRIM(C5))=INDEX('2_前後測題庫'!$I$5:$I$19,1),1,0))</f>
        <v/>
      </c>
      <c r="T5" s="13">
        <f>IF($D5="","",IF(UPPER(TRIM(D5))=INDEX('2_前後測題庫'!$I$5:$I$19,2),1,0))</f>
        <v/>
      </c>
      <c r="U5" s="13">
        <f>IF($E5="","",IF(UPPER(TRIM(E5))=INDEX('2_前後測題庫'!$I$5:$I$19,3),1,0))</f>
        <v/>
      </c>
      <c r="V5" s="13">
        <f>IF($F5="","",IF(UPPER(TRIM(F5))=INDEX('2_前後測題庫'!$I$5:$I$19,4),1,0))</f>
        <v/>
      </c>
      <c r="W5" s="13">
        <f>IF($G5="","",IF(UPPER(TRIM(G5))=INDEX('2_前後測題庫'!$I$5:$I$19,5),1,0))</f>
        <v/>
      </c>
      <c r="X5" s="13">
        <f>IF($H5="","",IF(UPPER(TRIM(H5))=INDEX('2_前後測題庫'!$I$5:$I$19,6),1,0))</f>
        <v/>
      </c>
      <c r="Y5" s="13">
        <f>IF($I5="","",IF(UPPER(TRIM(I5))=INDEX('2_前後測題庫'!$I$5:$I$19,7),1,0))</f>
        <v/>
      </c>
      <c r="Z5" s="13">
        <f>IF($J5="","",IF(UPPER(TRIM(J5))=INDEX('2_前後測題庫'!$I$5:$I$19,8),1,0))</f>
        <v/>
      </c>
      <c r="AA5" s="13">
        <f>IF($K5="","",IF(UPPER(TRIM(K5))=INDEX('2_前後測題庫'!$I$5:$I$19,9),1,0))</f>
        <v/>
      </c>
      <c r="AB5" s="13">
        <f>IF($L5="","",IF(UPPER(TRIM(L5))=INDEX('2_前後測題庫'!$I$5:$I$19,10),1,0))</f>
        <v/>
      </c>
      <c r="AC5" s="13">
        <f>IF($M5="","",IF(UPPER(TRIM(M5))=INDEX('2_前後測題庫'!$I$5:$I$19,11),1,0))</f>
        <v/>
      </c>
      <c r="AD5" s="13">
        <f>IF($N5="","",IF(UPPER(TRIM(N5))=INDEX('2_前後測題庫'!$I$5:$I$19,12),1,0))</f>
        <v/>
      </c>
      <c r="AE5" s="13">
        <f>IF($O5="","",IF(UPPER(TRIM(O5))=INDEX('2_前後測題庫'!$I$5:$I$19,13),1,0))</f>
        <v/>
      </c>
      <c r="AF5" s="13">
        <f>IF($P5="","",IF(UPPER(TRIM(P5))=INDEX('2_前後測題庫'!$I$5:$I$19,14),1,0))</f>
        <v/>
      </c>
      <c r="AG5" s="13">
        <f>IF($Q5="","",IF(UPPER(TRIM(Q5))=INDEX('2_前後測題庫'!$I$5:$I$19,15),1,0))</f>
        <v/>
      </c>
      <c r="AH5" s="14">
        <f>IF($A5="","",SUM(S5:AG5))</f>
        <v/>
      </c>
    </row>
    <row r="6">
      <c r="A6" s="12" t="inlineStr">
        <is>
          <t>S02</t>
        </is>
      </c>
      <c r="B6" s="12" t="inlineStr">
        <is>
          <t>學生2</t>
        </is>
      </c>
      <c r="C6" s="10" t="inlineStr">
        <is>
          <t>A</t>
        </is>
      </c>
      <c r="D6" s="10" t="inlineStr">
        <is>
          <t>B</t>
        </is>
      </c>
      <c r="E6" s="10" t="inlineStr">
        <is>
          <t>A</t>
        </is>
      </c>
      <c r="F6" s="10" t="inlineStr">
        <is>
          <t>C</t>
        </is>
      </c>
      <c r="G6" s="10" t="inlineStr">
        <is>
          <t>C</t>
        </is>
      </c>
      <c r="H6" s="10" t="inlineStr">
        <is>
          <t>D</t>
        </is>
      </c>
      <c r="I6" s="10" t="inlineStr">
        <is>
          <t>B</t>
        </is>
      </c>
      <c r="J6" s="10" t="inlineStr">
        <is>
          <t>D</t>
        </is>
      </c>
      <c r="K6" s="10" t="inlineStr">
        <is>
          <t>D</t>
        </is>
      </c>
      <c r="L6" s="10" t="inlineStr">
        <is>
          <t>B</t>
        </is>
      </c>
      <c r="M6" s="10" t="inlineStr">
        <is>
          <t>A</t>
        </is>
      </c>
      <c r="N6" s="10" t="inlineStr">
        <is>
          <t>B</t>
        </is>
      </c>
      <c r="O6" s="10" t="inlineStr">
        <is>
          <t>B</t>
        </is>
      </c>
      <c r="P6" s="10" t="inlineStr">
        <is>
          <t>D</t>
        </is>
      </c>
      <c r="Q6" s="10" t="inlineStr">
        <is>
          <t>B</t>
        </is>
      </c>
      <c r="S6" s="13">
        <f>IF($C6="","",IF(UPPER(TRIM(C6))=INDEX('2_前後測題庫'!$I$5:$I$19,1),1,0))</f>
        <v/>
      </c>
      <c r="T6" s="13">
        <f>IF($D6="","",IF(UPPER(TRIM(D6))=INDEX('2_前後測題庫'!$I$5:$I$19,2),1,0))</f>
        <v/>
      </c>
      <c r="U6" s="13">
        <f>IF($E6="","",IF(UPPER(TRIM(E6))=INDEX('2_前後測題庫'!$I$5:$I$19,3),1,0))</f>
        <v/>
      </c>
      <c r="V6" s="13">
        <f>IF($F6="","",IF(UPPER(TRIM(F6))=INDEX('2_前後測題庫'!$I$5:$I$19,4),1,0))</f>
        <v/>
      </c>
      <c r="W6" s="13">
        <f>IF($G6="","",IF(UPPER(TRIM(G6))=INDEX('2_前後測題庫'!$I$5:$I$19,5),1,0))</f>
        <v/>
      </c>
      <c r="X6" s="13">
        <f>IF($H6="","",IF(UPPER(TRIM(H6))=INDEX('2_前後測題庫'!$I$5:$I$19,6),1,0))</f>
        <v/>
      </c>
      <c r="Y6" s="13">
        <f>IF($I6="","",IF(UPPER(TRIM(I6))=INDEX('2_前後測題庫'!$I$5:$I$19,7),1,0))</f>
        <v/>
      </c>
      <c r="Z6" s="13">
        <f>IF($J6="","",IF(UPPER(TRIM(J6))=INDEX('2_前後測題庫'!$I$5:$I$19,8),1,0))</f>
        <v/>
      </c>
      <c r="AA6" s="13">
        <f>IF($K6="","",IF(UPPER(TRIM(K6))=INDEX('2_前後測題庫'!$I$5:$I$19,9),1,0))</f>
        <v/>
      </c>
      <c r="AB6" s="13">
        <f>IF($L6="","",IF(UPPER(TRIM(L6))=INDEX('2_前後測題庫'!$I$5:$I$19,10),1,0))</f>
        <v/>
      </c>
      <c r="AC6" s="13">
        <f>IF($M6="","",IF(UPPER(TRIM(M6))=INDEX('2_前後測題庫'!$I$5:$I$19,11),1,0))</f>
        <v/>
      </c>
      <c r="AD6" s="13">
        <f>IF($N6="","",IF(UPPER(TRIM(N6))=INDEX('2_前後測題庫'!$I$5:$I$19,12),1,0))</f>
        <v/>
      </c>
      <c r="AE6" s="13">
        <f>IF($O6="","",IF(UPPER(TRIM(O6))=INDEX('2_前後測題庫'!$I$5:$I$19,13),1,0))</f>
        <v/>
      </c>
      <c r="AF6" s="13">
        <f>IF($P6="","",IF(UPPER(TRIM(P6))=INDEX('2_前後測題庫'!$I$5:$I$19,14),1,0))</f>
        <v/>
      </c>
      <c r="AG6" s="13">
        <f>IF($Q6="","",IF(UPPER(TRIM(Q6))=INDEX('2_前後測題庫'!$I$5:$I$19,15),1,0))</f>
        <v/>
      </c>
      <c r="AH6" s="14">
        <f>IF($A6="","",SUM(S6:AG6))</f>
        <v/>
      </c>
    </row>
    <row r="7">
      <c r="A7" s="12" t="inlineStr">
        <is>
          <t>S03</t>
        </is>
      </c>
      <c r="B7" s="12" t="inlineStr">
        <is>
          <t>學生3</t>
        </is>
      </c>
      <c r="C7" s="10" t="inlineStr">
        <is>
          <t>A</t>
        </is>
      </c>
      <c r="D7" s="10" t="inlineStr">
        <is>
          <t>A</t>
        </is>
      </c>
      <c r="E7" s="10" t="inlineStr">
        <is>
          <t>B</t>
        </is>
      </c>
      <c r="F7" s="10" t="inlineStr">
        <is>
          <t>C</t>
        </is>
      </c>
      <c r="G7" s="10" t="inlineStr">
        <is>
          <t>C</t>
        </is>
      </c>
      <c r="H7" s="10" t="inlineStr">
        <is>
          <t>D</t>
        </is>
      </c>
      <c r="I7" s="10" t="inlineStr">
        <is>
          <t>B</t>
        </is>
      </c>
      <c r="J7" s="10" t="inlineStr">
        <is>
          <t>D</t>
        </is>
      </c>
      <c r="K7" s="10" t="inlineStr">
        <is>
          <t>D</t>
        </is>
      </c>
      <c r="L7" s="10" t="inlineStr">
        <is>
          <t>B</t>
        </is>
      </c>
      <c r="M7" s="10" t="inlineStr">
        <is>
          <t>A</t>
        </is>
      </c>
      <c r="N7" s="10" t="inlineStr">
        <is>
          <t>D</t>
        </is>
      </c>
      <c r="O7" s="10" t="inlineStr">
        <is>
          <t>B</t>
        </is>
      </c>
      <c r="P7" s="10" t="inlineStr">
        <is>
          <t>D</t>
        </is>
      </c>
      <c r="Q7" s="10" t="inlineStr">
        <is>
          <t>D</t>
        </is>
      </c>
      <c r="S7" s="13">
        <f>IF($C7="","",IF(UPPER(TRIM(C7))=INDEX('2_前後測題庫'!$I$5:$I$19,1),1,0))</f>
        <v/>
      </c>
      <c r="T7" s="13">
        <f>IF($D7="","",IF(UPPER(TRIM(D7))=INDEX('2_前後測題庫'!$I$5:$I$19,2),1,0))</f>
        <v/>
      </c>
      <c r="U7" s="13">
        <f>IF($E7="","",IF(UPPER(TRIM(E7))=INDEX('2_前後測題庫'!$I$5:$I$19,3),1,0))</f>
        <v/>
      </c>
      <c r="V7" s="13">
        <f>IF($F7="","",IF(UPPER(TRIM(F7))=INDEX('2_前後測題庫'!$I$5:$I$19,4),1,0))</f>
        <v/>
      </c>
      <c r="W7" s="13">
        <f>IF($G7="","",IF(UPPER(TRIM(G7))=INDEX('2_前後測題庫'!$I$5:$I$19,5),1,0))</f>
        <v/>
      </c>
      <c r="X7" s="13">
        <f>IF($H7="","",IF(UPPER(TRIM(H7))=INDEX('2_前後測題庫'!$I$5:$I$19,6),1,0))</f>
        <v/>
      </c>
      <c r="Y7" s="13">
        <f>IF($I7="","",IF(UPPER(TRIM(I7))=INDEX('2_前後測題庫'!$I$5:$I$19,7),1,0))</f>
        <v/>
      </c>
      <c r="Z7" s="13">
        <f>IF($J7="","",IF(UPPER(TRIM(J7))=INDEX('2_前後測題庫'!$I$5:$I$19,8),1,0))</f>
        <v/>
      </c>
      <c r="AA7" s="13">
        <f>IF($K7="","",IF(UPPER(TRIM(K7))=INDEX('2_前後測題庫'!$I$5:$I$19,9),1,0))</f>
        <v/>
      </c>
      <c r="AB7" s="13">
        <f>IF($L7="","",IF(UPPER(TRIM(L7))=INDEX('2_前後測題庫'!$I$5:$I$19,10),1,0))</f>
        <v/>
      </c>
      <c r="AC7" s="13">
        <f>IF($M7="","",IF(UPPER(TRIM(M7))=INDEX('2_前後測題庫'!$I$5:$I$19,11),1,0))</f>
        <v/>
      </c>
      <c r="AD7" s="13">
        <f>IF($N7="","",IF(UPPER(TRIM(N7))=INDEX('2_前後測題庫'!$I$5:$I$19,12),1,0))</f>
        <v/>
      </c>
      <c r="AE7" s="13">
        <f>IF($O7="","",IF(UPPER(TRIM(O7))=INDEX('2_前後測題庫'!$I$5:$I$19,13),1,0))</f>
        <v/>
      </c>
      <c r="AF7" s="13">
        <f>IF($P7="","",IF(UPPER(TRIM(P7))=INDEX('2_前後測題庫'!$I$5:$I$19,14),1,0))</f>
        <v/>
      </c>
      <c r="AG7" s="13">
        <f>IF($Q7="","",IF(UPPER(TRIM(Q7))=INDEX('2_前後測題庫'!$I$5:$I$19,15),1,0))</f>
        <v/>
      </c>
      <c r="AH7" s="14">
        <f>IF($A7="","",SUM(S7:AG7))</f>
        <v/>
      </c>
    </row>
    <row r="8">
      <c r="A8" s="12" t="inlineStr">
        <is>
          <t>S04</t>
        </is>
      </c>
      <c r="B8" s="12" t="inlineStr">
        <is>
          <t>學生4</t>
        </is>
      </c>
      <c r="C8" s="10" t="inlineStr">
        <is>
          <t>A</t>
        </is>
      </c>
      <c r="D8" s="10" t="inlineStr">
        <is>
          <t>B</t>
        </is>
      </c>
      <c r="E8" s="10" t="inlineStr">
        <is>
          <t>A</t>
        </is>
      </c>
      <c r="F8" s="10" t="inlineStr">
        <is>
          <t>C</t>
        </is>
      </c>
      <c r="G8" s="10" t="inlineStr">
        <is>
          <t>C</t>
        </is>
      </c>
      <c r="H8" s="10" t="inlineStr">
        <is>
          <t>D</t>
        </is>
      </c>
      <c r="I8" s="10" t="inlineStr">
        <is>
          <t>A</t>
        </is>
      </c>
      <c r="J8" s="10" t="inlineStr">
        <is>
          <t>D</t>
        </is>
      </c>
      <c r="K8" s="10" t="inlineStr">
        <is>
          <t>D</t>
        </is>
      </c>
      <c r="L8" s="10" t="inlineStr">
        <is>
          <t>B</t>
        </is>
      </c>
      <c r="M8" s="10" t="inlineStr">
        <is>
          <t>D</t>
        </is>
      </c>
      <c r="N8" s="10" t="inlineStr">
        <is>
          <t>B</t>
        </is>
      </c>
      <c r="O8" s="10" t="inlineStr">
        <is>
          <t>D</t>
        </is>
      </c>
      <c r="P8" s="10" t="inlineStr">
        <is>
          <t>D</t>
        </is>
      </c>
      <c r="Q8" s="10" t="inlineStr">
        <is>
          <t>B</t>
        </is>
      </c>
      <c r="S8" s="13">
        <f>IF($C8="","",IF(UPPER(TRIM(C8))=INDEX('2_前後測題庫'!$I$5:$I$19,1),1,0))</f>
        <v/>
      </c>
      <c r="T8" s="13">
        <f>IF($D8="","",IF(UPPER(TRIM(D8))=INDEX('2_前後測題庫'!$I$5:$I$19,2),1,0))</f>
        <v/>
      </c>
      <c r="U8" s="13">
        <f>IF($E8="","",IF(UPPER(TRIM(E8))=INDEX('2_前後測題庫'!$I$5:$I$19,3),1,0))</f>
        <v/>
      </c>
      <c r="V8" s="13">
        <f>IF($F8="","",IF(UPPER(TRIM(F8))=INDEX('2_前後測題庫'!$I$5:$I$19,4),1,0))</f>
        <v/>
      </c>
      <c r="W8" s="13">
        <f>IF($G8="","",IF(UPPER(TRIM(G8))=INDEX('2_前後測題庫'!$I$5:$I$19,5),1,0))</f>
        <v/>
      </c>
      <c r="X8" s="13">
        <f>IF($H8="","",IF(UPPER(TRIM(H8))=INDEX('2_前後測題庫'!$I$5:$I$19,6),1,0))</f>
        <v/>
      </c>
      <c r="Y8" s="13">
        <f>IF($I8="","",IF(UPPER(TRIM(I8))=INDEX('2_前後測題庫'!$I$5:$I$19,7),1,0))</f>
        <v/>
      </c>
      <c r="Z8" s="13">
        <f>IF($J8="","",IF(UPPER(TRIM(J8))=INDEX('2_前後測題庫'!$I$5:$I$19,8),1,0))</f>
        <v/>
      </c>
      <c r="AA8" s="13">
        <f>IF($K8="","",IF(UPPER(TRIM(K8))=INDEX('2_前後測題庫'!$I$5:$I$19,9),1,0))</f>
        <v/>
      </c>
      <c r="AB8" s="13">
        <f>IF($L8="","",IF(UPPER(TRIM(L8))=INDEX('2_前後測題庫'!$I$5:$I$19,10),1,0))</f>
        <v/>
      </c>
      <c r="AC8" s="13">
        <f>IF($M8="","",IF(UPPER(TRIM(M8))=INDEX('2_前後測題庫'!$I$5:$I$19,11),1,0))</f>
        <v/>
      </c>
      <c r="AD8" s="13">
        <f>IF($N8="","",IF(UPPER(TRIM(N8))=INDEX('2_前後測題庫'!$I$5:$I$19,12),1,0))</f>
        <v/>
      </c>
      <c r="AE8" s="13">
        <f>IF($O8="","",IF(UPPER(TRIM(O8))=INDEX('2_前後測題庫'!$I$5:$I$19,13),1,0))</f>
        <v/>
      </c>
      <c r="AF8" s="13">
        <f>IF($P8="","",IF(UPPER(TRIM(P8))=INDEX('2_前後測題庫'!$I$5:$I$19,14),1,0))</f>
        <v/>
      </c>
      <c r="AG8" s="13">
        <f>IF($Q8="","",IF(UPPER(TRIM(Q8))=INDEX('2_前後測題庫'!$I$5:$I$19,15),1,0))</f>
        <v/>
      </c>
      <c r="AH8" s="14">
        <f>IF($A8="","",SUM(S8:AG8))</f>
        <v/>
      </c>
    </row>
    <row r="9">
      <c r="A9" s="12" t="inlineStr">
        <is>
          <t>S05</t>
        </is>
      </c>
      <c r="B9" s="12" t="inlineStr">
        <is>
          <t>學生5</t>
        </is>
      </c>
      <c r="C9" s="10" t="inlineStr">
        <is>
          <t>D</t>
        </is>
      </c>
      <c r="D9" s="10" t="inlineStr">
        <is>
          <t>B</t>
        </is>
      </c>
      <c r="E9" s="10" t="inlineStr">
        <is>
          <t>A</t>
        </is>
      </c>
      <c r="F9" s="10" t="inlineStr">
        <is>
          <t>C</t>
        </is>
      </c>
      <c r="G9" s="10" t="inlineStr">
        <is>
          <t>C</t>
        </is>
      </c>
      <c r="H9" s="10" t="inlineStr">
        <is>
          <t>D</t>
        </is>
      </c>
      <c r="I9" s="10" t="inlineStr">
        <is>
          <t>A</t>
        </is>
      </c>
      <c r="J9" s="10" t="inlineStr">
        <is>
          <t>C</t>
        </is>
      </c>
      <c r="K9" s="10" t="inlineStr">
        <is>
          <t>C</t>
        </is>
      </c>
      <c r="L9" s="10" t="inlineStr">
        <is>
          <t>A</t>
        </is>
      </c>
      <c r="M9" s="10" t="inlineStr">
        <is>
          <t>D</t>
        </is>
      </c>
      <c r="N9" s="10" t="inlineStr">
        <is>
          <t>C</t>
        </is>
      </c>
      <c r="O9" s="10" t="inlineStr">
        <is>
          <t>B</t>
        </is>
      </c>
      <c r="P9" s="10" t="inlineStr">
        <is>
          <t>A</t>
        </is>
      </c>
      <c r="Q9" s="10" t="inlineStr">
        <is>
          <t>B</t>
        </is>
      </c>
      <c r="S9" s="13">
        <f>IF($C9="","",IF(UPPER(TRIM(C9))=INDEX('2_前後測題庫'!$I$5:$I$19,1),1,0))</f>
        <v/>
      </c>
      <c r="T9" s="13">
        <f>IF($D9="","",IF(UPPER(TRIM(D9))=INDEX('2_前後測題庫'!$I$5:$I$19,2),1,0))</f>
        <v/>
      </c>
      <c r="U9" s="13">
        <f>IF($E9="","",IF(UPPER(TRIM(E9))=INDEX('2_前後測題庫'!$I$5:$I$19,3),1,0))</f>
        <v/>
      </c>
      <c r="V9" s="13">
        <f>IF($F9="","",IF(UPPER(TRIM(F9))=INDEX('2_前後測題庫'!$I$5:$I$19,4),1,0))</f>
        <v/>
      </c>
      <c r="W9" s="13">
        <f>IF($G9="","",IF(UPPER(TRIM(G9))=INDEX('2_前後測題庫'!$I$5:$I$19,5),1,0))</f>
        <v/>
      </c>
      <c r="X9" s="13">
        <f>IF($H9="","",IF(UPPER(TRIM(H9))=INDEX('2_前後測題庫'!$I$5:$I$19,6),1,0))</f>
        <v/>
      </c>
      <c r="Y9" s="13">
        <f>IF($I9="","",IF(UPPER(TRIM(I9))=INDEX('2_前後測題庫'!$I$5:$I$19,7),1,0))</f>
        <v/>
      </c>
      <c r="Z9" s="13">
        <f>IF($J9="","",IF(UPPER(TRIM(J9))=INDEX('2_前後測題庫'!$I$5:$I$19,8),1,0))</f>
        <v/>
      </c>
      <c r="AA9" s="13">
        <f>IF($K9="","",IF(UPPER(TRIM(K9))=INDEX('2_前後測題庫'!$I$5:$I$19,9),1,0))</f>
        <v/>
      </c>
      <c r="AB9" s="13">
        <f>IF($L9="","",IF(UPPER(TRIM(L9))=INDEX('2_前後測題庫'!$I$5:$I$19,10),1,0))</f>
        <v/>
      </c>
      <c r="AC9" s="13">
        <f>IF($M9="","",IF(UPPER(TRIM(M9))=INDEX('2_前後測題庫'!$I$5:$I$19,11),1,0))</f>
        <v/>
      </c>
      <c r="AD9" s="13">
        <f>IF($N9="","",IF(UPPER(TRIM(N9))=INDEX('2_前後測題庫'!$I$5:$I$19,12),1,0))</f>
        <v/>
      </c>
      <c r="AE9" s="13">
        <f>IF($O9="","",IF(UPPER(TRIM(O9))=INDEX('2_前後測題庫'!$I$5:$I$19,13),1,0))</f>
        <v/>
      </c>
      <c r="AF9" s="13">
        <f>IF($P9="","",IF(UPPER(TRIM(P9))=INDEX('2_前後測題庫'!$I$5:$I$19,14),1,0))</f>
        <v/>
      </c>
      <c r="AG9" s="13">
        <f>IF($Q9="","",IF(UPPER(TRIM(Q9))=INDEX('2_前後測題庫'!$I$5:$I$19,15),1,0))</f>
        <v/>
      </c>
      <c r="AH9" s="14">
        <f>IF($A9="","",SUM(S9:AG9))</f>
        <v/>
      </c>
    </row>
    <row r="10">
      <c r="A10" s="12" t="inlineStr">
        <is>
          <t>S06</t>
        </is>
      </c>
      <c r="B10" s="12" t="inlineStr">
        <is>
          <t>學生6</t>
        </is>
      </c>
      <c r="C10" s="10" t="inlineStr">
        <is>
          <t>A</t>
        </is>
      </c>
      <c r="D10" s="10" t="inlineStr">
        <is>
          <t>B</t>
        </is>
      </c>
      <c r="E10" s="10" t="inlineStr">
        <is>
          <t>C</t>
        </is>
      </c>
      <c r="F10" s="10" t="inlineStr">
        <is>
          <t>C</t>
        </is>
      </c>
      <c r="G10" s="10" t="inlineStr">
        <is>
          <t>C</t>
        </is>
      </c>
      <c r="H10" s="10" t="inlineStr">
        <is>
          <t>A</t>
        </is>
      </c>
      <c r="I10" s="10" t="inlineStr">
        <is>
          <t>B</t>
        </is>
      </c>
      <c r="J10" s="10" t="inlineStr">
        <is>
          <t>A</t>
        </is>
      </c>
      <c r="K10" s="10" t="inlineStr">
        <is>
          <t>A</t>
        </is>
      </c>
      <c r="L10" s="10" t="inlineStr">
        <is>
          <t>B</t>
        </is>
      </c>
      <c r="M10" s="10" t="inlineStr">
        <is>
          <t>A</t>
        </is>
      </c>
      <c r="N10" s="10" t="inlineStr">
        <is>
          <t>A</t>
        </is>
      </c>
      <c r="O10" s="10" t="inlineStr">
        <is>
          <t>B</t>
        </is>
      </c>
      <c r="P10" s="10" t="inlineStr">
        <is>
          <t>B</t>
        </is>
      </c>
      <c r="Q10" s="10" t="inlineStr">
        <is>
          <t>D</t>
        </is>
      </c>
      <c r="S10" s="13">
        <f>IF($C10="","",IF(UPPER(TRIM(C10))=INDEX('2_前後測題庫'!$I$5:$I$19,1),1,0))</f>
        <v/>
      </c>
      <c r="T10" s="13">
        <f>IF($D10="","",IF(UPPER(TRIM(D10))=INDEX('2_前後測題庫'!$I$5:$I$19,2),1,0))</f>
        <v/>
      </c>
      <c r="U10" s="13">
        <f>IF($E10="","",IF(UPPER(TRIM(E10))=INDEX('2_前後測題庫'!$I$5:$I$19,3),1,0))</f>
        <v/>
      </c>
      <c r="V10" s="13">
        <f>IF($F10="","",IF(UPPER(TRIM(F10))=INDEX('2_前後測題庫'!$I$5:$I$19,4),1,0))</f>
        <v/>
      </c>
      <c r="W10" s="13">
        <f>IF($G10="","",IF(UPPER(TRIM(G10))=INDEX('2_前後測題庫'!$I$5:$I$19,5),1,0))</f>
        <v/>
      </c>
      <c r="X10" s="13">
        <f>IF($H10="","",IF(UPPER(TRIM(H10))=INDEX('2_前後測題庫'!$I$5:$I$19,6),1,0))</f>
        <v/>
      </c>
      <c r="Y10" s="13">
        <f>IF($I10="","",IF(UPPER(TRIM(I10))=INDEX('2_前後測題庫'!$I$5:$I$19,7),1,0))</f>
        <v/>
      </c>
      <c r="Z10" s="13">
        <f>IF($J10="","",IF(UPPER(TRIM(J10))=INDEX('2_前後測題庫'!$I$5:$I$19,8),1,0))</f>
        <v/>
      </c>
      <c r="AA10" s="13">
        <f>IF($K10="","",IF(UPPER(TRIM(K10))=INDEX('2_前後測題庫'!$I$5:$I$19,9),1,0))</f>
        <v/>
      </c>
      <c r="AB10" s="13">
        <f>IF($L10="","",IF(UPPER(TRIM(L10))=INDEX('2_前後測題庫'!$I$5:$I$19,10),1,0))</f>
        <v/>
      </c>
      <c r="AC10" s="13">
        <f>IF($M10="","",IF(UPPER(TRIM(M10))=INDEX('2_前後測題庫'!$I$5:$I$19,11),1,0))</f>
        <v/>
      </c>
      <c r="AD10" s="13">
        <f>IF($N10="","",IF(UPPER(TRIM(N10))=INDEX('2_前後測題庫'!$I$5:$I$19,12),1,0))</f>
        <v/>
      </c>
      <c r="AE10" s="13">
        <f>IF($O10="","",IF(UPPER(TRIM(O10))=INDEX('2_前後測題庫'!$I$5:$I$19,13),1,0))</f>
        <v/>
      </c>
      <c r="AF10" s="13">
        <f>IF($P10="","",IF(UPPER(TRIM(P10))=INDEX('2_前後測題庫'!$I$5:$I$19,14),1,0))</f>
        <v/>
      </c>
      <c r="AG10" s="13">
        <f>IF($Q10="","",IF(UPPER(TRIM(Q10))=INDEX('2_前後測題庫'!$I$5:$I$19,15),1,0))</f>
        <v/>
      </c>
      <c r="AH10" s="14">
        <f>IF($A10="","",SUM(S10:AG10))</f>
        <v/>
      </c>
    </row>
    <row r="11">
      <c r="A11" s="12" t="inlineStr">
        <is>
          <t>S07</t>
        </is>
      </c>
      <c r="B11" s="12" t="inlineStr">
        <is>
          <t>學生7</t>
        </is>
      </c>
      <c r="C11" s="10" t="inlineStr">
        <is>
          <t>A</t>
        </is>
      </c>
      <c r="D11" s="10" t="inlineStr">
        <is>
          <t>B</t>
        </is>
      </c>
      <c r="E11" s="10" t="inlineStr">
        <is>
          <t>A</t>
        </is>
      </c>
      <c r="F11" s="10" t="inlineStr">
        <is>
          <t>C</t>
        </is>
      </c>
      <c r="G11" s="10" t="inlineStr">
        <is>
          <t>C</t>
        </is>
      </c>
      <c r="H11" s="10" t="inlineStr">
        <is>
          <t>D</t>
        </is>
      </c>
      <c r="I11" s="10" t="inlineStr">
        <is>
          <t>C</t>
        </is>
      </c>
      <c r="J11" s="10" t="inlineStr">
        <is>
          <t>D</t>
        </is>
      </c>
      <c r="K11" s="10" t="inlineStr">
        <is>
          <t>D</t>
        </is>
      </c>
      <c r="L11" s="10" t="inlineStr">
        <is>
          <t>B</t>
        </is>
      </c>
      <c r="M11" s="10" t="inlineStr">
        <is>
          <t>A</t>
        </is>
      </c>
      <c r="N11" s="10" t="inlineStr">
        <is>
          <t>B</t>
        </is>
      </c>
      <c r="O11" s="10" t="inlineStr">
        <is>
          <t>B</t>
        </is>
      </c>
      <c r="P11" s="10" t="inlineStr">
        <is>
          <t>D</t>
        </is>
      </c>
      <c r="Q11" s="10" t="inlineStr">
        <is>
          <t>B</t>
        </is>
      </c>
      <c r="S11" s="13">
        <f>IF($C11="","",IF(UPPER(TRIM(C11))=INDEX('2_前後測題庫'!$I$5:$I$19,1),1,0))</f>
        <v/>
      </c>
      <c r="T11" s="13">
        <f>IF($D11="","",IF(UPPER(TRIM(D11))=INDEX('2_前後測題庫'!$I$5:$I$19,2),1,0))</f>
        <v/>
      </c>
      <c r="U11" s="13">
        <f>IF($E11="","",IF(UPPER(TRIM(E11))=INDEX('2_前後測題庫'!$I$5:$I$19,3),1,0))</f>
        <v/>
      </c>
      <c r="V11" s="13">
        <f>IF($F11="","",IF(UPPER(TRIM(F11))=INDEX('2_前後測題庫'!$I$5:$I$19,4),1,0))</f>
        <v/>
      </c>
      <c r="W11" s="13">
        <f>IF($G11="","",IF(UPPER(TRIM(G11))=INDEX('2_前後測題庫'!$I$5:$I$19,5),1,0))</f>
        <v/>
      </c>
      <c r="X11" s="13">
        <f>IF($H11="","",IF(UPPER(TRIM(H11))=INDEX('2_前後測題庫'!$I$5:$I$19,6),1,0))</f>
        <v/>
      </c>
      <c r="Y11" s="13">
        <f>IF($I11="","",IF(UPPER(TRIM(I11))=INDEX('2_前後測題庫'!$I$5:$I$19,7),1,0))</f>
        <v/>
      </c>
      <c r="Z11" s="13">
        <f>IF($J11="","",IF(UPPER(TRIM(J11))=INDEX('2_前後測題庫'!$I$5:$I$19,8),1,0))</f>
        <v/>
      </c>
      <c r="AA11" s="13">
        <f>IF($K11="","",IF(UPPER(TRIM(K11))=INDEX('2_前後測題庫'!$I$5:$I$19,9),1,0))</f>
        <v/>
      </c>
      <c r="AB11" s="13">
        <f>IF($L11="","",IF(UPPER(TRIM(L11))=INDEX('2_前後測題庫'!$I$5:$I$19,10),1,0))</f>
        <v/>
      </c>
      <c r="AC11" s="13">
        <f>IF($M11="","",IF(UPPER(TRIM(M11))=INDEX('2_前後測題庫'!$I$5:$I$19,11),1,0))</f>
        <v/>
      </c>
      <c r="AD11" s="13">
        <f>IF($N11="","",IF(UPPER(TRIM(N11))=INDEX('2_前後測題庫'!$I$5:$I$19,12),1,0))</f>
        <v/>
      </c>
      <c r="AE11" s="13">
        <f>IF($O11="","",IF(UPPER(TRIM(O11))=INDEX('2_前後測題庫'!$I$5:$I$19,13),1,0))</f>
        <v/>
      </c>
      <c r="AF11" s="13">
        <f>IF($P11="","",IF(UPPER(TRIM(P11))=INDEX('2_前後測題庫'!$I$5:$I$19,14),1,0))</f>
        <v/>
      </c>
      <c r="AG11" s="13">
        <f>IF($Q11="","",IF(UPPER(TRIM(Q11))=INDEX('2_前後測題庫'!$I$5:$I$19,15),1,0))</f>
        <v/>
      </c>
      <c r="AH11" s="14">
        <f>IF($A11="","",SUM(S11:AG11))</f>
        <v/>
      </c>
    </row>
    <row r="12">
      <c r="A12" s="12" t="inlineStr">
        <is>
          <t>S08</t>
        </is>
      </c>
      <c r="B12" s="12" t="inlineStr">
        <is>
          <t>學生8</t>
        </is>
      </c>
      <c r="C12" s="10" t="inlineStr">
        <is>
          <t>A</t>
        </is>
      </c>
      <c r="D12" s="10" t="inlineStr">
        <is>
          <t>B</t>
        </is>
      </c>
      <c r="E12" s="10" t="inlineStr">
        <is>
          <t>A</t>
        </is>
      </c>
      <c r="F12" s="10" t="inlineStr">
        <is>
          <t>C</t>
        </is>
      </c>
      <c r="G12" s="10" t="inlineStr">
        <is>
          <t>C</t>
        </is>
      </c>
      <c r="H12" s="10" t="inlineStr">
        <is>
          <t>D</t>
        </is>
      </c>
      <c r="I12" s="10" t="inlineStr">
        <is>
          <t>B</t>
        </is>
      </c>
      <c r="J12" s="10" t="inlineStr">
        <is>
          <t>D</t>
        </is>
      </c>
      <c r="K12" s="10" t="inlineStr">
        <is>
          <t>B</t>
        </is>
      </c>
      <c r="L12" s="10" t="inlineStr">
        <is>
          <t>B</t>
        </is>
      </c>
      <c r="M12" s="10" t="inlineStr">
        <is>
          <t>B</t>
        </is>
      </c>
      <c r="N12" s="10" t="inlineStr">
        <is>
          <t>A</t>
        </is>
      </c>
      <c r="O12" s="10" t="inlineStr">
        <is>
          <t>C</t>
        </is>
      </c>
      <c r="P12" s="10" t="inlineStr">
        <is>
          <t>D</t>
        </is>
      </c>
      <c r="Q12" s="10" t="inlineStr">
        <is>
          <t>A</t>
        </is>
      </c>
      <c r="S12" s="13">
        <f>IF($C12="","",IF(UPPER(TRIM(C12))=INDEX('2_前後測題庫'!$I$5:$I$19,1),1,0))</f>
        <v/>
      </c>
      <c r="T12" s="13">
        <f>IF($D12="","",IF(UPPER(TRIM(D12))=INDEX('2_前後測題庫'!$I$5:$I$19,2),1,0))</f>
        <v/>
      </c>
      <c r="U12" s="13">
        <f>IF($E12="","",IF(UPPER(TRIM(E12))=INDEX('2_前後測題庫'!$I$5:$I$19,3),1,0))</f>
        <v/>
      </c>
      <c r="V12" s="13">
        <f>IF($F12="","",IF(UPPER(TRIM(F12))=INDEX('2_前後測題庫'!$I$5:$I$19,4),1,0))</f>
        <v/>
      </c>
      <c r="W12" s="13">
        <f>IF($G12="","",IF(UPPER(TRIM(G12))=INDEX('2_前後測題庫'!$I$5:$I$19,5),1,0))</f>
        <v/>
      </c>
      <c r="X12" s="13">
        <f>IF($H12="","",IF(UPPER(TRIM(H12))=INDEX('2_前後測題庫'!$I$5:$I$19,6),1,0))</f>
        <v/>
      </c>
      <c r="Y12" s="13">
        <f>IF($I12="","",IF(UPPER(TRIM(I12))=INDEX('2_前後測題庫'!$I$5:$I$19,7),1,0))</f>
        <v/>
      </c>
      <c r="Z12" s="13">
        <f>IF($J12="","",IF(UPPER(TRIM(J12))=INDEX('2_前後測題庫'!$I$5:$I$19,8),1,0))</f>
        <v/>
      </c>
      <c r="AA12" s="13">
        <f>IF($K12="","",IF(UPPER(TRIM(K12))=INDEX('2_前後測題庫'!$I$5:$I$19,9),1,0))</f>
        <v/>
      </c>
      <c r="AB12" s="13">
        <f>IF($L12="","",IF(UPPER(TRIM(L12))=INDEX('2_前後測題庫'!$I$5:$I$19,10),1,0))</f>
        <v/>
      </c>
      <c r="AC12" s="13">
        <f>IF($M12="","",IF(UPPER(TRIM(M12))=INDEX('2_前後測題庫'!$I$5:$I$19,11),1,0))</f>
        <v/>
      </c>
      <c r="AD12" s="13">
        <f>IF($N12="","",IF(UPPER(TRIM(N12))=INDEX('2_前後測題庫'!$I$5:$I$19,12),1,0))</f>
        <v/>
      </c>
      <c r="AE12" s="13">
        <f>IF($O12="","",IF(UPPER(TRIM(O12))=INDEX('2_前後測題庫'!$I$5:$I$19,13),1,0))</f>
        <v/>
      </c>
      <c r="AF12" s="13">
        <f>IF($P12="","",IF(UPPER(TRIM(P12))=INDEX('2_前後測題庫'!$I$5:$I$19,14),1,0))</f>
        <v/>
      </c>
      <c r="AG12" s="13">
        <f>IF($Q12="","",IF(UPPER(TRIM(Q12))=INDEX('2_前後測題庫'!$I$5:$I$19,15),1,0))</f>
        <v/>
      </c>
      <c r="AH12" s="14">
        <f>IF($A12="","",SUM(S12:AG12))</f>
        <v/>
      </c>
    </row>
    <row r="13">
      <c r="A13" s="12" t="inlineStr">
        <is>
          <t>S09</t>
        </is>
      </c>
      <c r="B13" s="12" t="inlineStr">
        <is>
          <t>學生9</t>
        </is>
      </c>
      <c r="C13" s="10" t="inlineStr">
        <is>
          <t>A</t>
        </is>
      </c>
      <c r="D13" s="10" t="inlineStr">
        <is>
          <t>B</t>
        </is>
      </c>
      <c r="E13" s="10" t="inlineStr">
        <is>
          <t>A</t>
        </is>
      </c>
      <c r="F13" s="10" t="inlineStr">
        <is>
          <t>C</t>
        </is>
      </c>
      <c r="G13" s="10" t="inlineStr">
        <is>
          <t>C</t>
        </is>
      </c>
      <c r="H13" s="10" t="inlineStr">
        <is>
          <t>D</t>
        </is>
      </c>
      <c r="I13" s="10" t="inlineStr">
        <is>
          <t>B</t>
        </is>
      </c>
      <c r="J13" s="10" t="inlineStr">
        <is>
          <t>D</t>
        </is>
      </c>
      <c r="K13" s="10" t="inlineStr">
        <is>
          <t>D</t>
        </is>
      </c>
      <c r="L13" s="10" t="inlineStr">
        <is>
          <t>B</t>
        </is>
      </c>
      <c r="M13" s="10" t="inlineStr">
        <is>
          <t>A</t>
        </is>
      </c>
      <c r="N13" s="10" t="inlineStr">
        <is>
          <t>B</t>
        </is>
      </c>
      <c r="O13" s="10" t="inlineStr">
        <is>
          <t>D</t>
        </is>
      </c>
      <c r="P13" s="10" t="inlineStr">
        <is>
          <t>D</t>
        </is>
      </c>
      <c r="Q13" s="10" t="inlineStr">
        <is>
          <t>B</t>
        </is>
      </c>
      <c r="S13" s="13">
        <f>IF($C13="","",IF(UPPER(TRIM(C13))=INDEX('2_前後測題庫'!$I$5:$I$19,1),1,0))</f>
        <v/>
      </c>
      <c r="T13" s="13">
        <f>IF($D13="","",IF(UPPER(TRIM(D13))=INDEX('2_前後測題庫'!$I$5:$I$19,2),1,0))</f>
        <v/>
      </c>
      <c r="U13" s="13">
        <f>IF($E13="","",IF(UPPER(TRIM(E13))=INDEX('2_前後測題庫'!$I$5:$I$19,3),1,0))</f>
        <v/>
      </c>
      <c r="V13" s="13">
        <f>IF($F13="","",IF(UPPER(TRIM(F13))=INDEX('2_前後測題庫'!$I$5:$I$19,4),1,0))</f>
        <v/>
      </c>
      <c r="W13" s="13">
        <f>IF($G13="","",IF(UPPER(TRIM(G13))=INDEX('2_前後測題庫'!$I$5:$I$19,5),1,0))</f>
        <v/>
      </c>
      <c r="X13" s="13">
        <f>IF($H13="","",IF(UPPER(TRIM(H13))=INDEX('2_前後測題庫'!$I$5:$I$19,6),1,0))</f>
        <v/>
      </c>
      <c r="Y13" s="13">
        <f>IF($I13="","",IF(UPPER(TRIM(I13))=INDEX('2_前後測題庫'!$I$5:$I$19,7),1,0))</f>
        <v/>
      </c>
      <c r="Z13" s="13">
        <f>IF($J13="","",IF(UPPER(TRIM(J13))=INDEX('2_前後測題庫'!$I$5:$I$19,8),1,0))</f>
        <v/>
      </c>
      <c r="AA13" s="13">
        <f>IF($K13="","",IF(UPPER(TRIM(K13))=INDEX('2_前後測題庫'!$I$5:$I$19,9),1,0))</f>
        <v/>
      </c>
      <c r="AB13" s="13">
        <f>IF($L13="","",IF(UPPER(TRIM(L13))=INDEX('2_前後測題庫'!$I$5:$I$19,10),1,0))</f>
        <v/>
      </c>
      <c r="AC13" s="13">
        <f>IF($M13="","",IF(UPPER(TRIM(M13))=INDEX('2_前後測題庫'!$I$5:$I$19,11),1,0))</f>
        <v/>
      </c>
      <c r="AD13" s="13">
        <f>IF($N13="","",IF(UPPER(TRIM(N13))=INDEX('2_前後測題庫'!$I$5:$I$19,12),1,0))</f>
        <v/>
      </c>
      <c r="AE13" s="13">
        <f>IF($O13="","",IF(UPPER(TRIM(O13))=INDEX('2_前後測題庫'!$I$5:$I$19,13),1,0))</f>
        <v/>
      </c>
      <c r="AF13" s="13">
        <f>IF($P13="","",IF(UPPER(TRIM(P13))=INDEX('2_前後測題庫'!$I$5:$I$19,14),1,0))</f>
        <v/>
      </c>
      <c r="AG13" s="13">
        <f>IF($Q13="","",IF(UPPER(TRIM(Q13))=INDEX('2_前後測題庫'!$I$5:$I$19,15),1,0))</f>
        <v/>
      </c>
      <c r="AH13" s="14">
        <f>IF($A13="","",SUM(S13:AG13))</f>
        <v/>
      </c>
    </row>
    <row r="14">
      <c r="A14" s="12" t="inlineStr">
        <is>
          <t>S10</t>
        </is>
      </c>
      <c r="B14" s="12" t="inlineStr">
        <is>
          <t>學生10</t>
        </is>
      </c>
      <c r="C14" s="10" t="inlineStr">
        <is>
          <t>A</t>
        </is>
      </c>
      <c r="D14" s="10" t="inlineStr">
        <is>
          <t>B</t>
        </is>
      </c>
      <c r="E14" s="10" t="inlineStr">
        <is>
          <t>B</t>
        </is>
      </c>
      <c r="F14" s="10" t="inlineStr">
        <is>
          <t>B</t>
        </is>
      </c>
      <c r="G14" s="10" t="inlineStr">
        <is>
          <t>D</t>
        </is>
      </c>
      <c r="H14" s="10" t="inlineStr">
        <is>
          <t>C</t>
        </is>
      </c>
      <c r="I14" s="10" t="inlineStr">
        <is>
          <t>B</t>
        </is>
      </c>
      <c r="J14" s="10" t="inlineStr">
        <is>
          <t>D</t>
        </is>
      </c>
      <c r="K14" s="10" t="inlineStr">
        <is>
          <t>D</t>
        </is>
      </c>
      <c r="L14" s="10" t="inlineStr">
        <is>
          <t>B</t>
        </is>
      </c>
      <c r="M14" s="10" t="inlineStr">
        <is>
          <t>A</t>
        </is>
      </c>
      <c r="N14" s="10" t="inlineStr">
        <is>
          <t>C</t>
        </is>
      </c>
      <c r="O14" s="10" t="inlineStr">
        <is>
          <t>C</t>
        </is>
      </c>
      <c r="P14" s="10" t="inlineStr">
        <is>
          <t>D</t>
        </is>
      </c>
      <c r="Q14" s="10" t="inlineStr">
        <is>
          <t>D</t>
        </is>
      </c>
      <c r="S14" s="13">
        <f>IF($C14="","",IF(UPPER(TRIM(C14))=INDEX('2_前後測題庫'!$I$5:$I$19,1),1,0))</f>
        <v/>
      </c>
      <c r="T14" s="13">
        <f>IF($D14="","",IF(UPPER(TRIM(D14))=INDEX('2_前後測題庫'!$I$5:$I$19,2),1,0))</f>
        <v/>
      </c>
      <c r="U14" s="13">
        <f>IF($E14="","",IF(UPPER(TRIM(E14))=INDEX('2_前後測題庫'!$I$5:$I$19,3),1,0))</f>
        <v/>
      </c>
      <c r="V14" s="13">
        <f>IF($F14="","",IF(UPPER(TRIM(F14))=INDEX('2_前後測題庫'!$I$5:$I$19,4),1,0))</f>
        <v/>
      </c>
      <c r="W14" s="13">
        <f>IF($G14="","",IF(UPPER(TRIM(G14))=INDEX('2_前後測題庫'!$I$5:$I$19,5),1,0))</f>
        <v/>
      </c>
      <c r="X14" s="13">
        <f>IF($H14="","",IF(UPPER(TRIM(H14))=INDEX('2_前後測題庫'!$I$5:$I$19,6),1,0))</f>
        <v/>
      </c>
      <c r="Y14" s="13">
        <f>IF($I14="","",IF(UPPER(TRIM(I14))=INDEX('2_前後測題庫'!$I$5:$I$19,7),1,0))</f>
        <v/>
      </c>
      <c r="Z14" s="13">
        <f>IF($J14="","",IF(UPPER(TRIM(J14))=INDEX('2_前後測題庫'!$I$5:$I$19,8),1,0))</f>
        <v/>
      </c>
      <c r="AA14" s="13">
        <f>IF($K14="","",IF(UPPER(TRIM(K14))=INDEX('2_前後測題庫'!$I$5:$I$19,9),1,0))</f>
        <v/>
      </c>
      <c r="AB14" s="13">
        <f>IF($L14="","",IF(UPPER(TRIM(L14))=INDEX('2_前後測題庫'!$I$5:$I$19,10),1,0))</f>
        <v/>
      </c>
      <c r="AC14" s="13">
        <f>IF($M14="","",IF(UPPER(TRIM(M14))=INDEX('2_前後測題庫'!$I$5:$I$19,11),1,0))</f>
        <v/>
      </c>
      <c r="AD14" s="13">
        <f>IF($N14="","",IF(UPPER(TRIM(N14))=INDEX('2_前後測題庫'!$I$5:$I$19,12),1,0))</f>
        <v/>
      </c>
      <c r="AE14" s="13">
        <f>IF($O14="","",IF(UPPER(TRIM(O14))=INDEX('2_前後測題庫'!$I$5:$I$19,13),1,0))</f>
        <v/>
      </c>
      <c r="AF14" s="13">
        <f>IF($P14="","",IF(UPPER(TRIM(P14))=INDEX('2_前後測題庫'!$I$5:$I$19,14),1,0))</f>
        <v/>
      </c>
      <c r="AG14" s="13">
        <f>IF($Q14="","",IF(UPPER(TRIM(Q14))=INDEX('2_前後測題庫'!$I$5:$I$19,15),1,0))</f>
        <v/>
      </c>
      <c r="AH14" s="14">
        <f>IF($A14="","",SUM(S14:AG14))</f>
        <v/>
      </c>
    </row>
    <row r="15">
      <c r="A15" s="12" t="inlineStr">
        <is>
          <t>S11</t>
        </is>
      </c>
      <c r="B15" s="12" t="inlineStr">
        <is>
          <t>學生11</t>
        </is>
      </c>
      <c r="C15" s="10" t="inlineStr">
        <is>
          <t>A</t>
        </is>
      </c>
      <c r="D15" s="10" t="inlineStr">
        <is>
          <t>B</t>
        </is>
      </c>
      <c r="E15" s="10" t="inlineStr">
        <is>
          <t>A</t>
        </is>
      </c>
      <c r="F15" s="10" t="inlineStr">
        <is>
          <t>C</t>
        </is>
      </c>
      <c r="G15" s="10" t="inlineStr">
        <is>
          <t>C</t>
        </is>
      </c>
      <c r="H15" s="10" t="inlineStr">
        <is>
          <t>D</t>
        </is>
      </c>
      <c r="I15" s="10" t="inlineStr">
        <is>
          <t>D</t>
        </is>
      </c>
      <c r="J15" s="10" t="inlineStr">
        <is>
          <t>D</t>
        </is>
      </c>
      <c r="K15" s="10" t="inlineStr">
        <is>
          <t>D</t>
        </is>
      </c>
      <c r="L15" s="10" t="inlineStr">
        <is>
          <t>B</t>
        </is>
      </c>
      <c r="M15" s="10" t="inlineStr">
        <is>
          <t>A</t>
        </is>
      </c>
      <c r="N15" s="10" t="inlineStr">
        <is>
          <t>B</t>
        </is>
      </c>
      <c r="O15" s="10" t="inlineStr">
        <is>
          <t>A</t>
        </is>
      </c>
      <c r="P15" s="10" t="inlineStr">
        <is>
          <t>B</t>
        </is>
      </c>
      <c r="Q15" s="10" t="inlineStr">
        <is>
          <t>B</t>
        </is>
      </c>
      <c r="S15" s="13">
        <f>IF($C15="","",IF(UPPER(TRIM(C15))=INDEX('2_前後測題庫'!$I$5:$I$19,1),1,0))</f>
        <v/>
      </c>
      <c r="T15" s="13">
        <f>IF($D15="","",IF(UPPER(TRIM(D15))=INDEX('2_前後測題庫'!$I$5:$I$19,2),1,0))</f>
        <v/>
      </c>
      <c r="U15" s="13">
        <f>IF($E15="","",IF(UPPER(TRIM(E15))=INDEX('2_前後測題庫'!$I$5:$I$19,3),1,0))</f>
        <v/>
      </c>
      <c r="V15" s="13">
        <f>IF($F15="","",IF(UPPER(TRIM(F15))=INDEX('2_前後測題庫'!$I$5:$I$19,4),1,0))</f>
        <v/>
      </c>
      <c r="W15" s="13">
        <f>IF($G15="","",IF(UPPER(TRIM(G15))=INDEX('2_前後測題庫'!$I$5:$I$19,5),1,0))</f>
        <v/>
      </c>
      <c r="X15" s="13">
        <f>IF($H15="","",IF(UPPER(TRIM(H15))=INDEX('2_前後測題庫'!$I$5:$I$19,6),1,0))</f>
        <v/>
      </c>
      <c r="Y15" s="13">
        <f>IF($I15="","",IF(UPPER(TRIM(I15))=INDEX('2_前後測題庫'!$I$5:$I$19,7),1,0))</f>
        <v/>
      </c>
      <c r="Z15" s="13">
        <f>IF($J15="","",IF(UPPER(TRIM(J15))=INDEX('2_前後測題庫'!$I$5:$I$19,8),1,0))</f>
        <v/>
      </c>
      <c r="AA15" s="13">
        <f>IF($K15="","",IF(UPPER(TRIM(K15))=INDEX('2_前後測題庫'!$I$5:$I$19,9),1,0))</f>
        <v/>
      </c>
      <c r="AB15" s="13">
        <f>IF($L15="","",IF(UPPER(TRIM(L15))=INDEX('2_前後測題庫'!$I$5:$I$19,10),1,0))</f>
        <v/>
      </c>
      <c r="AC15" s="13">
        <f>IF($M15="","",IF(UPPER(TRIM(M15))=INDEX('2_前後測題庫'!$I$5:$I$19,11),1,0))</f>
        <v/>
      </c>
      <c r="AD15" s="13">
        <f>IF($N15="","",IF(UPPER(TRIM(N15))=INDEX('2_前後測題庫'!$I$5:$I$19,12),1,0))</f>
        <v/>
      </c>
      <c r="AE15" s="13">
        <f>IF($O15="","",IF(UPPER(TRIM(O15))=INDEX('2_前後測題庫'!$I$5:$I$19,13),1,0))</f>
        <v/>
      </c>
      <c r="AF15" s="13">
        <f>IF($P15="","",IF(UPPER(TRIM(P15))=INDEX('2_前後測題庫'!$I$5:$I$19,14),1,0))</f>
        <v/>
      </c>
      <c r="AG15" s="13">
        <f>IF($Q15="","",IF(UPPER(TRIM(Q15))=INDEX('2_前後測題庫'!$I$5:$I$19,15),1,0))</f>
        <v/>
      </c>
      <c r="AH15" s="14">
        <f>IF($A15="","",SUM(S15:AG15))</f>
        <v/>
      </c>
    </row>
    <row r="16">
      <c r="A16" s="12" t="inlineStr">
        <is>
          <t>S12</t>
        </is>
      </c>
      <c r="B16" s="12" t="inlineStr">
        <is>
          <t>學生12</t>
        </is>
      </c>
      <c r="C16" s="10" t="inlineStr">
        <is>
          <t>B</t>
        </is>
      </c>
      <c r="D16" s="10" t="inlineStr">
        <is>
          <t>B</t>
        </is>
      </c>
      <c r="E16" s="10" t="inlineStr">
        <is>
          <t>B</t>
        </is>
      </c>
      <c r="F16" s="10" t="inlineStr">
        <is>
          <t>B</t>
        </is>
      </c>
      <c r="G16" s="10" t="inlineStr">
        <is>
          <t>A</t>
        </is>
      </c>
      <c r="H16" s="10" t="inlineStr">
        <is>
          <t>B</t>
        </is>
      </c>
      <c r="I16" s="10" t="inlineStr">
        <is>
          <t>B</t>
        </is>
      </c>
      <c r="J16" s="10" t="inlineStr">
        <is>
          <t>B</t>
        </is>
      </c>
      <c r="K16" s="10" t="inlineStr">
        <is>
          <t>D</t>
        </is>
      </c>
      <c r="L16" s="10" t="inlineStr">
        <is>
          <t>C</t>
        </is>
      </c>
      <c r="M16" s="10" t="inlineStr">
        <is>
          <t>C</t>
        </is>
      </c>
      <c r="N16" s="10" t="inlineStr">
        <is>
          <t>B</t>
        </is>
      </c>
      <c r="O16" s="10" t="inlineStr">
        <is>
          <t>A</t>
        </is>
      </c>
      <c r="P16" s="10" t="inlineStr">
        <is>
          <t>B</t>
        </is>
      </c>
      <c r="Q16" s="10" t="inlineStr">
        <is>
          <t>B</t>
        </is>
      </c>
      <c r="S16" s="13">
        <f>IF($C16="","",IF(UPPER(TRIM(C16))=INDEX('2_前後測題庫'!$I$5:$I$19,1),1,0))</f>
        <v/>
      </c>
      <c r="T16" s="13">
        <f>IF($D16="","",IF(UPPER(TRIM(D16))=INDEX('2_前後測題庫'!$I$5:$I$19,2),1,0))</f>
        <v/>
      </c>
      <c r="U16" s="13">
        <f>IF($E16="","",IF(UPPER(TRIM(E16))=INDEX('2_前後測題庫'!$I$5:$I$19,3),1,0))</f>
        <v/>
      </c>
      <c r="V16" s="13">
        <f>IF($F16="","",IF(UPPER(TRIM(F16))=INDEX('2_前後測題庫'!$I$5:$I$19,4),1,0))</f>
        <v/>
      </c>
      <c r="W16" s="13">
        <f>IF($G16="","",IF(UPPER(TRIM(G16))=INDEX('2_前後測題庫'!$I$5:$I$19,5),1,0))</f>
        <v/>
      </c>
      <c r="X16" s="13">
        <f>IF($H16="","",IF(UPPER(TRIM(H16))=INDEX('2_前後測題庫'!$I$5:$I$19,6),1,0))</f>
        <v/>
      </c>
      <c r="Y16" s="13">
        <f>IF($I16="","",IF(UPPER(TRIM(I16))=INDEX('2_前後測題庫'!$I$5:$I$19,7),1,0))</f>
        <v/>
      </c>
      <c r="Z16" s="13">
        <f>IF($J16="","",IF(UPPER(TRIM(J16))=INDEX('2_前後測題庫'!$I$5:$I$19,8),1,0))</f>
        <v/>
      </c>
      <c r="AA16" s="13">
        <f>IF($K16="","",IF(UPPER(TRIM(K16))=INDEX('2_前後測題庫'!$I$5:$I$19,9),1,0))</f>
        <v/>
      </c>
      <c r="AB16" s="13">
        <f>IF($L16="","",IF(UPPER(TRIM(L16))=INDEX('2_前後測題庫'!$I$5:$I$19,10),1,0))</f>
        <v/>
      </c>
      <c r="AC16" s="13">
        <f>IF($M16="","",IF(UPPER(TRIM(M16))=INDEX('2_前後測題庫'!$I$5:$I$19,11),1,0))</f>
        <v/>
      </c>
      <c r="AD16" s="13">
        <f>IF($N16="","",IF(UPPER(TRIM(N16))=INDEX('2_前後測題庫'!$I$5:$I$19,12),1,0))</f>
        <v/>
      </c>
      <c r="AE16" s="13">
        <f>IF($O16="","",IF(UPPER(TRIM(O16))=INDEX('2_前後測題庫'!$I$5:$I$19,13),1,0))</f>
        <v/>
      </c>
      <c r="AF16" s="13">
        <f>IF($P16="","",IF(UPPER(TRIM(P16))=INDEX('2_前後測題庫'!$I$5:$I$19,14),1,0))</f>
        <v/>
      </c>
      <c r="AG16" s="13">
        <f>IF($Q16="","",IF(UPPER(TRIM(Q16))=INDEX('2_前後測題庫'!$I$5:$I$19,15),1,0))</f>
        <v/>
      </c>
      <c r="AH16" s="14">
        <f>IF($A16="","",SUM(S16:AG16))</f>
        <v/>
      </c>
    </row>
    <row r="17">
      <c r="A17" s="12" t="inlineStr">
        <is>
          <t>S13</t>
        </is>
      </c>
      <c r="B17" s="12" t="inlineStr">
        <is>
          <t>學生13</t>
        </is>
      </c>
      <c r="C17" s="10" t="inlineStr">
        <is>
          <t>A</t>
        </is>
      </c>
      <c r="D17" s="10" t="inlineStr">
        <is>
          <t>B</t>
        </is>
      </c>
      <c r="E17" s="10" t="inlineStr">
        <is>
          <t>A</t>
        </is>
      </c>
      <c r="F17" s="10" t="inlineStr">
        <is>
          <t>C</t>
        </is>
      </c>
      <c r="G17" s="10" t="inlineStr">
        <is>
          <t>C</t>
        </is>
      </c>
      <c r="H17" s="10" t="inlineStr">
        <is>
          <t>D</t>
        </is>
      </c>
      <c r="I17" s="10" t="inlineStr">
        <is>
          <t>B</t>
        </is>
      </c>
      <c r="J17" s="10" t="inlineStr">
        <is>
          <t>D</t>
        </is>
      </c>
      <c r="K17" s="10" t="inlineStr">
        <is>
          <t>D</t>
        </is>
      </c>
      <c r="L17" s="10" t="inlineStr">
        <is>
          <t>B</t>
        </is>
      </c>
      <c r="M17" s="10" t="inlineStr">
        <is>
          <t>A</t>
        </is>
      </c>
      <c r="N17" s="10" t="inlineStr">
        <is>
          <t>B</t>
        </is>
      </c>
      <c r="O17" s="10" t="inlineStr">
        <is>
          <t>B</t>
        </is>
      </c>
      <c r="P17" s="10" t="inlineStr">
        <is>
          <t>D</t>
        </is>
      </c>
      <c r="Q17" s="10" t="inlineStr">
        <is>
          <t>B</t>
        </is>
      </c>
      <c r="S17" s="13">
        <f>IF($C17="","",IF(UPPER(TRIM(C17))=INDEX('2_前後測題庫'!$I$5:$I$19,1),1,0))</f>
        <v/>
      </c>
      <c r="T17" s="13">
        <f>IF($D17="","",IF(UPPER(TRIM(D17))=INDEX('2_前後測題庫'!$I$5:$I$19,2),1,0))</f>
        <v/>
      </c>
      <c r="U17" s="13">
        <f>IF($E17="","",IF(UPPER(TRIM(E17))=INDEX('2_前後測題庫'!$I$5:$I$19,3),1,0))</f>
        <v/>
      </c>
      <c r="V17" s="13">
        <f>IF($F17="","",IF(UPPER(TRIM(F17))=INDEX('2_前後測題庫'!$I$5:$I$19,4),1,0))</f>
        <v/>
      </c>
      <c r="W17" s="13">
        <f>IF($G17="","",IF(UPPER(TRIM(G17))=INDEX('2_前後測題庫'!$I$5:$I$19,5),1,0))</f>
        <v/>
      </c>
      <c r="X17" s="13">
        <f>IF($H17="","",IF(UPPER(TRIM(H17))=INDEX('2_前後測題庫'!$I$5:$I$19,6),1,0))</f>
        <v/>
      </c>
      <c r="Y17" s="13">
        <f>IF($I17="","",IF(UPPER(TRIM(I17))=INDEX('2_前後測題庫'!$I$5:$I$19,7),1,0))</f>
        <v/>
      </c>
      <c r="Z17" s="13">
        <f>IF($J17="","",IF(UPPER(TRIM(J17))=INDEX('2_前後測題庫'!$I$5:$I$19,8),1,0))</f>
        <v/>
      </c>
      <c r="AA17" s="13">
        <f>IF($K17="","",IF(UPPER(TRIM(K17))=INDEX('2_前後測題庫'!$I$5:$I$19,9),1,0))</f>
        <v/>
      </c>
      <c r="AB17" s="13">
        <f>IF($L17="","",IF(UPPER(TRIM(L17))=INDEX('2_前後測題庫'!$I$5:$I$19,10),1,0))</f>
        <v/>
      </c>
      <c r="AC17" s="13">
        <f>IF($M17="","",IF(UPPER(TRIM(M17))=INDEX('2_前後測題庫'!$I$5:$I$19,11),1,0))</f>
        <v/>
      </c>
      <c r="AD17" s="13">
        <f>IF($N17="","",IF(UPPER(TRIM(N17))=INDEX('2_前後測題庫'!$I$5:$I$19,12),1,0))</f>
        <v/>
      </c>
      <c r="AE17" s="13">
        <f>IF($O17="","",IF(UPPER(TRIM(O17))=INDEX('2_前後測題庫'!$I$5:$I$19,13),1,0))</f>
        <v/>
      </c>
      <c r="AF17" s="13">
        <f>IF($P17="","",IF(UPPER(TRIM(P17))=INDEX('2_前後測題庫'!$I$5:$I$19,14),1,0))</f>
        <v/>
      </c>
      <c r="AG17" s="13">
        <f>IF($Q17="","",IF(UPPER(TRIM(Q17))=INDEX('2_前後測題庫'!$I$5:$I$19,15),1,0))</f>
        <v/>
      </c>
      <c r="AH17" s="14">
        <f>IF($A17="","",SUM(S17:AG17))</f>
        <v/>
      </c>
    </row>
    <row r="18">
      <c r="A18" s="12" t="inlineStr">
        <is>
          <t>S14</t>
        </is>
      </c>
      <c r="B18" s="12" t="inlineStr">
        <is>
          <t>學生14</t>
        </is>
      </c>
      <c r="C18" s="10" t="inlineStr">
        <is>
          <t>A</t>
        </is>
      </c>
      <c r="D18" s="10" t="inlineStr">
        <is>
          <t>B</t>
        </is>
      </c>
      <c r="E18" s="10" t="inlineStr">
        <is>
          <t>A</t>
        </is>
      </c>
      <c r="F18" s="10" t="inlineStr">
        <is>
          <t>C</t>
        </is>
      </c>
      <c r="G18" s="10" t="inlineStr">
        <is>
          <t>C</t>
        </is>
      </c>
      <c r="H18" s="10" t="inlineStr">
        <is>
          <t>D</t>
        </is>
      </c>
      <c r="I18" s="10" t="inlineStr">
        <is>
          <t>B</t>
        </is>
      </c>
      <c r="J18" s="10" t="inlineStr">
        <is>
          <t>D</t>
        </is>
      </c>
      <c r="K18" s="10" t="inlineStr">
        <is>
          <t>D</t>
        </is>
      </c>
      <c r="L18" s="10" t="inlineStr">
        <is>
          <t>B</t>
        </is>
      </c>
      <c r="M18" s="10" t="inlineStr">
        <is>
          <t>A</t>
        </is>
      </c>
      <c r="N18" s="10" t="inlineStr">
        <is>
          <t>B</t>
        </is>
      </c>
      <c r="O18" s="10" t="inlineStr">
        <is>
          <t>A</t>
        </is>
      </c>
      <c r="P18" s="10" t="inlineStr">
        <is>
          <t>D</t>
        </is>
      </c>
      <c r="Q18" s="10" t="inlineStr">
        <is>
          <t>B</t>
        </is>
      </c>
      <c r="S18" s="13">
        <f>IF($C18="","",IF(UPPER(TRIM(C18))=INDEX('2_前後測題庫'!$I$5:$I$19,1),1,0))</f>
        <v/>
      </c>
      <c r="T18" s="13">
        <f>IF($D18="","",IF(UPPER(TRIM(D18))=INDEX('2_前後測題庫'!$I$5:$I$19,2),1,0))</f>
        <v/>
      </c>
      <c r="U18" s="13">
        <f>IF($E18="","",IF(UPPER(TRIM(E18))=INDEX('2_前後測題庫'!$I$5:$I$19,3),1,0))</f>
        <v/>
      </c>
      <c r="V18" s="13">
        <f>IF($F18="","",IF(UPPER(TRIM(F18))=INDEX('2_前後測題庫'!$I$5:$I$19,4),1,0))</f>
        <v/>
      </c>
      <c r="W18" s="13">
        <f>IF($G18="","",IF(UPPER(TRIM(G18))=INDEX('2_前後測題庫'!$I$5:$I$19,5),1,0))</f>
        <v/>
      </c>
      <c r="X18" s="13">
        <f>IF($H18="","",IF(UPPER(TRIM(H18))=INDEX('2_前後測題庫'!$I$5:$I$19,6),1,0))</f>
        <v/>
      </c>
      <c r="Y18" s="13">
        <f>IF($I18="","",IF(UPPER(TRIM(I18))=INDEX('2_前後測題庫'!$I$5:$I$19,7),1,0))</f>
        <v/>
      </c>
      <c r="Z18" s="13">
        <f>IF($J18="","",IF(UPPER(TRIM(J18))=INDEX('2_前後測題庫'!$I$5:$I$19,8),1,0))</f>
        <v/>
      </c>
      <c r="AA18" s="13">
        <f>IF($K18="","",IF(UPPER(TRIM(K18))=INDEX('2_前後測題庫'!$I$5:$I$19,9),1,0))</f>
        <v/>
      </c>
      <c r="AB18" s="13">
        <f>IF($L18="","",IF(UPPER(TRIM(L18))=INDEX('2_前後測題庫'!$I$5:$I$19,10),1,0))</f>
        <v/>
      </c>
      <c r="AC18" s="13">
        <f>IF($M18="","",IF(UPPER(TRIM(M18))=INDEX('2_前後測題庫'!$I$5:$I$19,11),1,0))</f>
        <v/>
      </c>
      <c r="AD18" s="13">
        <f>IF($N18="","",IF(UPPER(TRIM(N18))=INDEX('2_前後測題庫'!$I$5:$I$19,12),1,0))</f>
        <v/>
      </c>
      <c r="AE18" s="13">
        <f>IF($O18="","",IF(UPPER(TRIM(O18))=INDEX('2_前後測題庫'!$I$5:$I$19,13),1,0))</f>
        <v/>
      </c>
      <c r="AF18" s="13">
        <f>IF($P18="","",IF(UPPER(TRIM(P18))=INDEX('2_前後測題庫'!$I$5:$I$19,14),1,0))</f>
        <v/>
      </c>
      <c r="AG18" s="13">
        <f>IF($Q18="","",IF(UPPER(TRIM(Q18))=INDEX('2_前後測題庫'!$I$5:$I$19,15),1,0))</f>
        <v/>
      </c>
      <c r="AH18" s="14">
        <f>IF($A18="","",SUM(S18:AG18))</f>
        <v/>
      </c>
    </row>
    <row r="19">
      <c r="A19" s="12" t="inlineStr">
        <is>
          <t>S15</t>
        </is>
      </c>
      <c r="B19" s="12" t="inlineStr">
        <is>
          <t>學生15</t>
        </is>
      </c>
      <c r="C19" s="10" t="inlineStr">
        <is>
          <t>A</t>
        </is>
      </c>
      <c r="D19" s="10" t="inlineStr">
        <is>
          <t>B</t>
        </is>
      </c>
      <c r="E19" s="10" t="inlineStr">
        <is>
          <t>A</t>
        </is>
      </c>
      <c r="F19" s="10" t="inlineStr">
        <is>
          <t>C</t>
        </is>
      </c>
      <c r="G19" s="10" t="inlineStr">
        <is>
          <t>A</t>
        </is>
      </c>
      <c r="H19" s="10" t="inlineStr">
        <is>
          <t>D</t>
        </is>
      </c>
      <c r="I19" s="10" t="inlineStr">
        <is>
          <t>B</t>
        </is>
      </c>
      <c r="J19" s="10" t="inlineStr">
        <is>
          <t>D</t>
        </is>
      </c>
      <c r="K19" s="10" t="inlineStr">
        <is>
          <t>D</t>
        </is>
      </c>
      <c r="L19" s="10" t="inlineStr">
        <is>
          <t>D</t>
        </is>
      </c>
      <c r="M19" s="10" t="inlineStr">
        <is>
          <t>B</t>
        </is>
      </c>
      <c r="N19" s="10" t="inlineStr">
        <is>
          <t>C</t>
        </is>
      </c>
      <c r="O19" s="10" t="inlineStr">
        <is>
          <t>B</t>
        </is>
      </c>
      <c r="P19" s="10" t="inlineStr">
        <is>
          <t>C</t>
        </is>
      </c>
      <c r="Q19" s="10" t="inlineStr">
        <is>
          <t>C</t>
        </is>
      </c>
      <c r="S19" s="13">
        <f>IF($C19="","",IF(UPPER(TRIM(C19))=INDEX('2_前後測題庫'!$I$5:$I$19,1),1,0))</f>
        <v/>
      </c>
      <c r="T19" s="13">
        <f>IF($D19="","",IF(UPPER(TRIM(D19))=INDEX('2_前後測題庫'!$I$5:$I$19,2),1,0))</f>
        <v/>
      </c>
      <c r="U19" s="13">
        <f>IF($E19="","",IF(UPPER(TRIM(E19))=INDEX('2_前後測題庫'!$I$5:$I$19,3),1,0))</f>
        <v/>
      </c>
      <c r="V19" s="13">
        <f>IF($F19="","",IF(UPPER(TRIM(F19))=INDEX('2_前後測題庫'!$I$5:$I$19,4),1,0))</f>
        <v/>
      </c>
      <c r="W19" s="13">
        <f>IF($G19="","",IF(UPPER(TRIM(G19))=INDEX('2_前後測題庫'!$I$5:$I$19,5),1,0))</f>
        <v/>
      </c>
      <c r="X19" s="13">
        <f>IF($H19="","",IF(UPPER(TRIM(H19))=INDEX('2_前後測題庫'!$I$5:$I$19,6),1,0))</f>
        <v/>
      </c>
      <c r="Y19" s="13">
        <f>IF($I19="","",IF(UPPER(TRIM(I19))=INDEX('2_前後測題庫'!$I$5:$I$19,7),1,0))</f>
        <v/>
      </c>
      <c r="Z19" s="13">
        <f>IF($J19="","",IF(UPPER(TRIM(J19))=INDEX('2_前後測題庫'!$I$5:$I$19,8),1,0))</f>
        <v/>
      </c>
      <c r="AA19" s="13">
        <f>IF($K19="","",IF(UPPER(TRIM(K19))=INDEX('2_前後測題庫'!$I$5:$I$19,9),1,0))</f>
        <v/>
      </c>
      <c r="AB19" s="13">
        <f>IF($L19="","",IF(UPPER(TRIM(L19))=INDEX('2_前後測題庫'!$I$5:$I$19,10),1,0))</f>
        <v/>
      </c>
      <c r="AC19" s="13">
        <f>IF($M19="","",IF(UPPER(TRIM(M19))=INDEX('2_前後測題庫'!$I$5:$I$19,11),1,0))</f>
        <v/>
      </c>
      <c r="AD19" s="13">
        <f>IF($N19="","",IF(UPPER(TRIM(N19))=INDEX('2_前後測題庫'!$I$5:$I$19,12),1,0))</f>
        <v/>
      </c>
      <c r="AE19" s="13">
        <f>IF($O19="","",IF(UPPER(TRIM(O19))=INDEX('2_前後測題庫'!$I$5:$I$19,13),1,0))</f>
        <v/>
      </c>
      <c r="AF19" s="13">
        <f>IF($P19="","",IF(UPPER(TRIM(P19))=INDEX('2_前後測題庫'!$I$5:$I$19,14),1,0))</f>
        <v/>
      </c>
      <c r="AG19" s="13">
        <f>IF($Q19="","",IF(UPPER(TRIM(Q19))=INDEX('2_前後測題庫'!$I$5:$I$19,15),1,0))</f>
        <v/>
      </c>
      <c r="AH19" s="14">
        <f>IF($A19="","",SUM(S19:AG19))</f>
        <v/>
      </c>
    </row>
    <row r="20">
      <c r="A20" s="12" t="n"/>
      <c r="B20" s="12" t="n"/>
      <c r="C20" s="12" t="n"/>
      <c r="D20" s="12" t="n"/>
      <c r="E20" s="12" t="n"/>
      <c r="F20" s="12" t="n"/>
      <c r="G20" s="12" t="n"/>
      <c r="H20" s="12" t="n"/>
      <c r="I20" s="12" t="n"/>
      <c r="J20" s="12" t="n"/>
      <c r="K20" s="12" t="n"/>
      <c r="L20" s="12" t="n"/>
      <c r="M20" s="12" t="n"/>
      <c r="N20" s="12" t="n"/>
      <c r="O20" s="12" t="n"/>
      <c r="P20" s="12" t="n"/>
      <c r="Q20" s="12" t="n"/>
      <c r="S20" s="13">
        <f>IF($C20="","",IF(UPPER(TRIM(C20))=INDEX('2_前後測題庫'!$I$5:$I$19,1),1,0))</f>
        <v/>
      </c>
      <c r="T20" s="13">
        <f>IF($D20="","",IF(UPPER(TRIM(D20))=INDEX('2_前後測題庫'!$I$5:$I$19,2),1,0))</f>
        <v/>
      </c>
      <c r="U20" s="13">
        <f>IF($E20="","",IF(UPPER(TRIM(E20))=INDEX('2_前後測題庫'!$I$5:$I$19,3),1,0))</f>
        <v/>
      </c>
      <c r="V20" s="13">
        <f>IF($F20="","",IF(UPPER(TRIM(F20))=INDEX('2_前後測題庫'!$I$5:$I$19,4),1,0))</f>
        <v/>
      </c>
      <c r="W20" s="13">
        <f>IF($G20="","",IF(UPPER(TRIM(G20))=INDEX('2_前後測題庫'!$I$5:$I$19,5),1,0))</f>
        <v/>
      </c>
      <c r="X20" s="13">
        <f>IF($H20="","",IF(UPPER(TRIM(H20))=INDEX('2_前後測題庫'!$I$5:$I$19,6),1,0))</f>
        <v/>
      </c>
      <c r="Y20" s="13">
        <f>IF($I20="","",IF(UPPER(TRIM(I20))=INDEX('2_前後測題庫'!$I$5:$I$19,7),1,0))</f>
        <v/>
      </c>
      <c r="Z20" s="13">
        <f>IF($J20="","",IF(UPPER(TRIM(J20))=INDEX('2_前後測題庫'!$I$5:$I$19,8),1,0))</f>
        <v/>
      </c>
      <c r="AA20" s="13">
        <f>IF($K20="","",IF(UPPER(TRIM(K20))=INDEX('2_前後測題庫'!$I$5:$I$19,9),1,0))</f>
        <v/>
      </c>
      <c r="AB20" s="13">
        <f>IF($L20="","",IF(UPPER(TRIM(L20))=INDEX('2_前後測題庫'!$I$5:$I$19,10),1,0))</f>
        <v/>
      </c>
      <c r="AC20" s="13">
        <f>IF($M20="","",IF(UPPER(TRIM(M20))=INDEX('2_前後測題庫'!$I$5:$I$19,11),1,0))</f>
        <v/>
      </c>
      <c r="AD20" s="13">
        <f>IF($N20="","",IF(UPPER(TRIM(N20))=INDEX('2_前後測題庫'!$I$5:$I$19,12),1,0))</f>
        <v/>
      </c>
      <c r="AE20" s="13">
        <f>IF($O20="","",IF(UPPER(TRIM(O20))=INDEX('2_前後測題庫'!$I$5:$I$19,13),1,0))</f>
        <v/>
      </c>
      <c r="AF20" s="13">
        <f>IF($P20="","",IF(UPPER(TRIM(P20))=INDEX('2_前後測題庫'!$I$5:$I$19,14),1,0))</f>
        <v/>
      </c>
      <c r="AG20" s="13">
        <f>IF($Q20="","",IF(UPPER(TRIM(Q20))=INDEX('2_前後測題庫'!$I$5:$I$19,15),1,0))</f>
        <v/>
      </c>
      <c r="AH20" s="14">
        <f>IF($A20="","",SUM(S20:AG20))</f>
        <v/>
      </c>
    </row>
    <row r="21">
      <c r="A21" s="12" t="n"/>
      <c r="B21" s="12" t="n"/>
      <c r="C21" s="12" t="n"/>
      <c r="D21" s="12" t="n"/>
      <c r="E21" s="12" t="n"/>
      <c r="F21" s="12" t="n"/>
      <c r="G21" s="12" t="n"/>
      <c r="H21" s="12" t="n"/>
      <c r="I21" s="12" t="n"/>
      <c r="J21" s="12" t="n"/>
      <c r="K21" s="12" t="n"/>
      <c r="L21" s="12" t="n"/>
      <c r="M21" s="12" t="n"/>
      <c r="N21" s="12" t="n"/>
      <c r="O21" s="12" t="n"/>
      <c r="P21" s="12" t="n"/>
      <c r="Q21" s="12" t="n"/>
      <c r="S21" s="13">
        <f>IF($C21="","",IF(UPPER(TRIM(C21))=INDEX('2_前後測題庫'!$I$5:$I$19,1),1,0))</f>
        <v/>
      </c>
      <c r="T21" s="13">
        <f>IF($D21="","",IF(UPPER(TRIM(D21))=INDEX('2_前後測題庫'!$I$5:$I$19,2),1,0))</f>
        <v/>
      </c>
      <c r="U21" s="13">
        <f>IF($E21="","",IF(UPPER(TRIM(E21))=INDEX('2_前後測題庫'!$I$5:$I$19,3),1,0))</f>
        <v/>
      </c>
      <c r="V21" s="13">
        <f>IF($F21="","",IF(UPPER(TRIM(F21))=INDEX('2_前後測題庫'!$I$5:$I$19,4),1,0))</f>
        <v/>
      </c>
      <c r="W21" s="13">
        <f>IF($G21="","",IF(UPPER(TRIM(G21))=INDEX('2_前後測題庫'!$I$5:$I$19,5),1,0))</f>
        <v/>
      </c>
      <c r="X21" s="13">
        <f>IF($H21="","",IF(UPPER(TRIM(H21))=INDEX('2_前後測題庫'!$I$5:$I$19,6),1,0))</f>
        <v/>
      </c>
      <c r="Y21" s="13">
        <f>IF($I21="","",IF(UPPER(TRIM(I21))=INDEX('2_前後測題庫'!$I$5:$I$19,7),1,0))</f>
        <v/>
      </c>
      <c r="Z21" s="13">
        <f>IF($J21="","",IF(UPPER(TRIM(J21))=INDEX('2_前後測題庫'!$I$5:$I$19,8),1,0))</f>
        <v/>
      </c>
      <c r="AA21" s="13">
        <f>IF($K21="","",IF(UPPER(TRIM(K21))=INDEX('2_前後測題庫'!$I$5:$I$19,9),1,0))</f>
        <v/>
      </c>
      <c r="AB21" s="13">
        <f>IF($L21="","",IF(UPPER(TRIM(L21))=INDEX('2_前後測題庫'!$I$5:$I$19,10),1,0))</f>
        <v/>
      </c>
      <c r="AC21" s="13">
        <f>IF($M21="","",IF(UPPER(TRIM(M21))=INDEX('2_前後測題庫'!$I$5:$I$19,11),1,0))</f>
        <v/>
      </c>
      <c r="AD21" s="13">
        <f>IF($N21="","",IF(UPPER(TRIM(N21))=INDEX('2_前後測題庫'!$I$5:$I$19,12),1,0))</f>
        <v/>
      </c>
      <c r="AE21" s="13">
        <f>IF($O21="","",IF(UPPER(TRIM(O21))=INDEX('2_前後測題庫'!$I$5:$I$19,13),1,0))</f>
        <v/>
      </c>
      <c r="AF21" s="13">
        <f>IF($P21="","",IF(UPPER(TRIM(P21))=INDEX('2_前後測題庫'!$I$5:$I$19,14),1,0))</f>
        <v/>
      </c>
      <c r="AG21" s="13">
        <f>IF($Q21="","",IF(UPPER(TRIM(Q21))=INDEX('2_前後測題庫'!$I$5:$I$19,15),1,0))</f>
        <v/>
      </c>
      <c r="AH21" s="14">
        <f>IF($A21="","",SUM(S21:AG21))</f>
        <v/>
      </c>
    </row>
    <row r="22">
      <c r="A22" s="12" t="n"/>
      <c r="B22" s="12" t="n"/>
      <c r="C22" s="12" t="n"/>
      <c r="D22" s="12" t="n"/>
      <c r="E22" s="12" t="n"/>
      <c r="F22" s="12" t="n"/>
      <c r="G22" s="12" t="n"/>
      <c r="H22" s="12" t="n"/>
      <c r="I22" s="12" t="n"/>
      <c r="J22" s="12" t="n"/>
      <c r="K22" s="12" t="n"/>
      <c r="L22" s="12" t="n"/>
      <c r="M22" s="12" t="n"/>
      <c r="N22" s="12" t="n"/>
      <c r="O22" s="12" t="n"/>
      <c r="P22" s="12" t="n"/>
      <c r="Q22" s="12" t="n"/>
      <c r="S22" s="13">
        <f>IF($C22="","",IF(UPPER(TRIM(C22))=INDEX('2_前後測題庫'!$I$5:$I$19,1),1,0))</f>
        <v/>
      </c>
      <c r="T22" s="13">
        <f>IF($D22="","",IF(UPPER(TRIM(D22))=INDEX('2_前後測題庫'!$I$5:$I$19,2),1,0))</f>
        <v/>
      </c>
      <c r="U22" s="13">
        <f>IF($E22="","",IF(UPPER(TRIM(E22))=INDEX('2_前後測題庫'!$I$5:$I$19,3),1,0))</f>
        <v/>
      </c>
      <c r="V22" s="13">
        <f>IF($F22="","",IF(UPPER(TRIM(F22))=INDEX('2_前後測題庫'!$I$5:$I$19,4),1,0))</f>
        <v/>
      </c>
      <c r="W22" s="13">
        <f>IF($G22="","",IF(UPPER(TRIM(G22))=INDEX('2_前後測題庫'!$I$5:$I$19,5),1,0))</f>
        <v/>
      </c>
      <c r="X22" s="13">
        <f>IF($H22="","",IF(UPPER(TRIM(H22))=INDEX('2_前後測題庫'!$I$5:$I$19,6),1,0))</f>
        <v/>
      </c>
      <c r="Y22" s="13">
        <f>IF($I22="","",IF(UPPER(TRIM(I22))=INDEX('2_前後測題庫'!$I$5:$I$19,7),1,0))</f>
        <v/>
      </c>
      <c r="Z22" s="13">
        <f>IF($J22="","",IF(UPPER(TRIM(J22))=INDEX('2_前後測題庫'!$I$5:$I$19,8),1,0))</f>
        <v/>
      </c>
      <c r="AA22" s="13">
        <f>IF($K22="","",IF(UPPER(TRIM(K22))=INDEX('2_前後測題庫'!$I$5:$I$19,9),1,0))</f>
        <v/>
      </c>
      <c r="AB22" s="13">
        <f>IF($L22="","",IF(UPPER(TRIM(L22))=INDEX('2_前後測題庫'!$I$5:$I$19,10),1,0))</f>
        <v/>
      </c>
      <c r="AC22" s="13">
        <f>IF($M22="","",IF(UPPER(TRIM(M22))=INDEX('2_前後測題庫'!$I$5:$I$19,11),1,0))</f>
        <v/>
      </c>
      <c r="AD22" s="13">
        <f>IF($N22="","",IF(UPPER(TRIM(N22))=INDEX('2_前後測題庫'!$I$5:$I$19,12),1,0))</f>
        <v/>
      </c>
      <c r="AE22" s="13">
        <f>IF($O22="","",IF(UPPER(TRIM(O22))=INDEX('2_前後測題庫'!$I$5:$I$19,13),1,0))</f>
        <v/>
      </c>
      <c r="AF22" s="13">
        <f>IF($P22="","",IF(UPPER(TRIM(P22))=INDEX('2_前後測題庫'!$I$5:$I$19,14),1,0))</f>
        <v/>
      </c>
      <c r="AG22" s="13">
        <f>IF($Q22="","",IF(UPPER(TRIM(Q22))=INDEX('2_前後測題庫'!$I$5:$I$19,15),1,0))</f>
        <v/>
      </c>
      <c r="AH22" s="14">
        <f>IF($A22="","",SUM(S22:AG22))</f>
        <v/>
      </c>
    </row>
    <row r="23">
      <c r="A23" s="12" t="n"/>
      <c r="B23" s="12" t="n"/>
      <c r="C23" s="12" t="n"/>
      <c r="D23" s="12" t="n"/>
      <c r="E23" s="12" t="n"/>
      <c r="F23" s="12" t="n"/>
      <c r="G23" s="12" t="n"/>
      <c r="H23" s="12" t="n"/>
      <c r="I23" s="12" t="n"/>
      <c r="J23" s="12" t="n"/>
      <c r="K23" s="12" t="n"/>
      <c r="L23" s="12" t="n"/>
      <c r="M23" s="12" t="n"/>
      <c r="N23" s="12" t="n"/>
      <c r="O23" s="12" t="n"/>
      <c r="P23" s="12" t="n"/>
      <c r="Q23" s="12" t="n"/>
      <c r="S23" s="13">
        <f>IF($C23="","",IF(UPPER(TRIM(C23))=INDEX('2_前後測題庫'!$I$5:$I$19,1),1,0))</f>
        <v/>
      </c>
      <c r="T23" s="13">
        <f>IF($D23="","",IF(UPPER(TRIM(D23))=INDEX('2_前後測題庫'!$I$5:$I$19,2),1,0))</f>
        <v/>
      </c>
      <c r="U23" s="13">
        <f>IF($E23="","",IF(UPPER(TRIM(E23))=INDEX('2_前後測題庫'!$I$5:$I$19,3),1,0))</f>
        <v/>
      </c>
      <c r="V23" s="13">
        <f>IF($F23="","",IF(UPPER(TRIM(F23))=INDEX('2_前後測題庫'!$I$5:$I$19,4),1,0))</f>
        <v/>
      </c>
      <c r="W23" s="13">
        <f>IF($G23="","",IF(UPPER(TRIM(G23))=INDEX('2_前後測題庫'!$I$5:$I$19,5),1,0))</f>
        <v/>
      </c>
      <c r="X23" s="13">
        <f>IF($H23="","",IF(UPPER(TRIM(H23))=INDEX('2_前後測題庫'!$I$5:$I$19,6),1,0))</f>
        <v/>
      </c>
      <c r="Y23" s="13">
        <f>IF($I23="","",IF(UPPER(TRIM(I23))=INDEX('2_前後測題庫'!$I$5:$I$19,7),1,0))</f>
        <v/>
      </c>
      <c r="Z23" s="13">
        <f>IF($J23="","",IF(UPPER(TRIM(J23))=INDEX('2_前後測題庫'!$I$5:$I$19,8),1,0))</f>
        <v/>
      </c>
      <c r="AA23" s="13">
        <f>IF($K23="","",IF(UPPER(TRIM(K23))=INDEX('2_前後測題庫'!$I$5:$I$19,9),1,0))</f>
        <v/>
      </c>
      <c r="AB23" s="13">
        <f>IF($L23="","",IF(UPPER(TRIM(L23))=INDEX('2_前後測題庫'!$I$5:$I$19,10),1,0))</f>
        <v/>
      </c>
      <c r="AC23" s="13">
        <f>IF($M23="","",IF(UPPER(TRIM(M23))=INDEX('2_前後測題庫'!$I$5:$I$19,11),1,0))</f>
        <v/>
      </c>
      <c r="AD23" s="13">
        <f>IF($N23="","",IF(UPPER(TRIM(N23))=INDEX('2_前後測題庫'!$I$5:$I$19,12),1,0))</f>
        <v/>
      </c>
      <c r="AE23" s="13">
        <f>IF($O23="","",IF(UPPER(TRIM(O23))=INDEX('2_前後測題庫'!$I$5:$I$19,13),1,0))</f>
        <v/>
      </c>
      <c r="AF23" s="13">
        <f>IF($P23="","",IF(UPPER(TRIM(P23))=INDEX('2_前後測題庫'!$I$5:$I$19,14),1,0))</f>
        <v/>
      </c>
      <c r="AG23" s="13">
        <f>IF($Q23="","",IF(UPPER(TRIM(Q23))=INDEX('2_前後測題庫'!$I$5:$I$19,15),1,0))</f>
        <v/>
      </c>
      <c r="AH23" s="14">
        <f>IF($A23="","",SUM(S23:AG23))</f>
        <v/>
      </c>
    </row>
    <row r="24">
      <c r="A24" s="12" t="n"/>
      <c r="B24" s="12" t="n"/>
      <c r="C24" s="12" t="n"/>
      <c r="D24" s="12" t="n"/>
      <c r="E24" s="12" t="n"/>
      <c r="F24" s="12" t="n"/>
      <c r="G24" s="12" t="n"/>
      <c r="H24" s="12" t="n"/>
      <c r="I24" s="12" t="n"/>
      <c r="J24" s="12" t="n"/>
      <c r="K24" s="12" t="n"/>
      <c r="L24" s="12" t="n"/>
      <c r="M24" s="12" t="n"/>
      <c r="N24" s="12" t="n"/>
      <c r="O24" s="12" t="n"/>
      <c r="P24" s="12" t="n"/>
      <c r="Q24" s="12" t="n"/>
      <c r="S24" s="13">
        <f>IF($C24="","",IF(UPPER(TRIM(C24))=INDEX('2_前後測題庫'!$I$5:$I$19,1),1,0))</f>
        <v/>
      </c>
      <c r="T24" s="13">
        <f>IF($D24="","",IF(UPPER(TRIM(D24))=INDEX('2_前後測題庫'!$I$5:$I$19,2),1,0))</f>
        <v/>
      </c>
      <c r="U24" s="13">
        <f>IF($E24="","",IF(UPPER(TRIM(E24))=INDEX('2_前後測題庫'!$I$5:$I$19,3),1,0))</f>
        <v/>
      </c>
      <c r="V24" s="13">
        <f>IF($F24="","",IF(UPPER(TRIM(F24))=INDEX('2_前後測題庫'!$I$5:$I$19,4),1,0))</f>
        <v/>
      </c>
      <c r="W24" s="13">
        <f>IF($G24="","",IF(UPPER(TRIM(G24))=INDEX('2_前後測題庫'!$I$5:$I$19,5),1,0))</f>
        <v/>
      </c>
      <c r="X24" s="13">
        <f>IF($H24="","",IF(UPPER(TRIM(H24))=INDEX('2_前後測題庫'!$I$5:$I$19,6),1,0))</f>
        <v/>
      </c>
      <c r="Y24" s="13">
        <f>IF($I24="","",IF(UPPER(TRIM(I24))=INDEX('2_前後測題庫'!$I$5:$I$19,7),1,0))</f>
        <v/>
      </c>
      <c r="Z24" s="13">
        <f>IF($J24="","",IF(UPPER(TRIM(J24))=INDEX('2_前後測題庫'!$I$5:$I$19,8),1,0))</f>
        <v/>
      </c>
      <c r="AA24" s="13">
        <f>IF($K24="","",IF(UPPER(TRIM(K24))=INDEX('2_前後測題庫'!$I$5:$I$19,9),1,0))</f>
        <v/>
      </c>
      <c r="AB24" s="13">
        <f>IF($L24="","",IF(UPPER(TRIM(L24))=INDEX('2_前後測題庫'!$I$5:$I$19,10),1,0))</f>
        <v/>
      </c>
      <c r="AC24" s="13">
        <f>IF($M24="","",IF(UPPER(TRIM(M24))=INDEX('2_前後測題庫'!$I$5:$I$19,11),1,0))</f>
        <v/>
      </c>
      <c r="AD24" s="13">
        <f>IF($N24="","",IF(UPPER(TRIM(N24))=INDEX('2_前後測題庫'!$I$5:$I$19,12),1,0))</f>
        <v/>
      </c>
      <c r="AE24" s="13">
        <f>IF($O24="","",IF(UPPER(TRIM(O24))=INDEX('2_前後測題庫'!$I$5:$I$19,13),1,0))</f>
        <v/>
      </c>
      <c r="AF24" s="13">
        <f>IF($P24="","",IF(UPPER(TRIM(P24))=INDEX('2_前後測題庫'!$I$5:$I$19,14),1,0))</f>
        <v/>
      </c>
      <c r="AG24" s="13">
        <f>IF($Q24="","",IF(UPPER(TRIM(Q24))=INDEX('2_前後測題庫'!$I$5:$I$19,15),1,0))</f>
        <v/>
      </c>
      <c r="AH24" s="14">
        <f>IF($A24="","",SUM(S24:AG24))</f>
        <v/>
      </c>
    </row>
    <row r="25">
      <c r="A25" s="12" t="n"/>
      <c r="B25" s="12" t="n"/>
      <c r="C25" s="12" t="n"/>
      <c r="D25" s="12" t="n"/>
      <c r="E25" s="12" t="n"/>
      <c r="F25" s="12" t="n"/>
      <c r="G25" s="12" t="n"/>
      <c r="H25" s="12" t="n"/>
      <c r="I25" s="12" t="n"/>
      <c r="J25" s="12" t="n"/>
      <c r="K25" s="12" t="n"/>
      <c r="L25" s="12" t="n"/>
      <c r="M25" s="12" t="n"/>
      <c r="N25" s="12" t="n"/>
      <c r="O25" s="12" t="n"/>
      <c r="P25" s="12" t="n"/>
      <c r="Q25" s="12" t="n"/>
      <c r="S25" s="13">
        <f>IF($C25="","",IF(UPPER(TRIM(C25))=INDEX('2_前後測題庫'!$I$5:$I$19,1),1,0))</f>
        <v/>
      </c>
      <c r="T25" s="13">
        <f>IF($D25="","",IF(UPPER(TRIM(D25))=INDEX('2_前後測題庫'!$I$5:$I$19,2),1,0))</f>
        <v/>
      </c>
      <c r="U25" s="13">
        <f>IF($E25="","",IF(UPPER(TRIM(E25))=INDEX('2_前後測題庫'!$I$5:$I$19,3),1,0))</f>
        <v/>
      </c>
      <c r="V25" s="13">
        <f>IF($F25="","",IF(UPPER(TRIM(F25))=INDEX('2_前後測題庫'!$I$5:$I$19,4),1,0))</f>
        <v/>
      </c>
      <c r="W25" s="13">
        <f>IF($G25="","",IF(UPPER(TRIM(G25))=INDEX('2_前後測題庫'!$I$5:$I$19,5),1,0))</f>
        <v/>
      </c>
      <c r="X25" s="13">
        <f>IF($H25="","",IF(UPPER(TRIM(H25))=INDEX('2_前後測題庫'!$I$5:$I$19,6),1,0))</f>
        <v/>
      </c>
      <c r="Y25" s="13">
        <f>IF($I25="","",IF(UPPER(TRIM(I25))=INDEX('2_前後測題庫'!$I$5:$I$19,7),1,0))</f>
        <v/>
      </c>
      <c r="Z25" s="13">
        <f>IF($J25="","",IF(UPPER(TRIM(J25))=INDEX('2_前後測題庫'!$I$5:$I$19,8),1,0))</f>
        <v/>
      </c>
      <c r="AA25" s="13">
        <f>IF($K25="","",IF(UPPER(TRIM(K25))=INDEX('2_前後測題庫'!$I$5:$I$19,9),1,0))</f>
        <v/>
      </c>
      <c r="AB25" s="13">
        <f>IF($L25="","",IF(UPPER(TRIM(L25))=INDEX('2_前後測題庫'!$I$5:$I$19,10),1,0))</f>
        <v/>
      </c>
      <c r="AC25" s="13">
        <f>IF($M25="","",IF(UPPER(TRIM(M25))=INDEX('2_前後測題庫'!$I$5:$I$19,11),1,0))</f>
        <v/>
      </c>
      <c r="AD25" s="13">
        <f>IF($N25="","",IF(UPPER(TRIM(N25))=INDEX('2_前後測題庫'!$I$5:$I$19,12),1,0))</f>
        <v/>
      </c>
      <c r="AE25" s="13">
        <f>IF($O25="","",IF(UPPER(TRIM(O25))=INDEX('2_前後測題庫'!$I$5:$I$19,13),1,0))</f>
        <v/>
      </c>
      <c r="AF25" s="13">
        <f>IF($P25="","",IF(UPPER(TRIM(P25))=INDEX('2_前後測題庫'!$I$5:$I$19,14),1,0))</f>
        <v/>
      </c>
      <c r="AG25" s="13">
        <f>IF($Q25="","",IF(UPPER(TRIM(Q25))=INDEX('2_前後測題庫'!$I$5:$I$19,15),1,0))</f>
        <v/>
      </c>
      <c r="AH25" s="14">
        <f>IF($A25="","",SUM(S25:AG25))</f>
        <v/>
      </c>
    </row>
    <row r="26">
      <c r="A26" s="12" t="n"/>
      <c r="B26" s="12" t="n"/>
      <c r="C26" s="12" t="n"/>
      <c r="D26" s="12" t="n"/>
      <c r="E26" s="12" t="n"/>
      <c r="F26" s="12" t="n"/>
      <c r="G26" s="12" t="n"/>
      <c r="H26" s="12" t="n"/>
      <c r="I26" s="12" t="n"/>
      <c r="J26" s="12" t="n"/>
      <c r="K26" s="12" t="n"/>
      <c r="L26" s="12" t="n"/>
      <c r="M26" s="12" t="n"/>
      <c r="N26" s="12" t="n"/>
      <c r="O26" s="12" t="n"/>
      <c r="P26" s="12" t="n"/>
      <c r="Q26" s="12" t="n"/>
      <c r="S26" s="13">
        <f>IF($C26="","",IF(UPPER(TRIM(C26))=INDEX('2_前後測題庫'!$I$5:$I$19,1),1,0))</f>
        <v/>
      </c>
      <c r="T26" s="13">
        <f>IF($D26="","",IF(UPPER(TRIM(D26))=INDEX('2_前後測題庫'!$I$5:$I$19,2),1,0))</f>
        <v/>
      </c>
      <c r="U26" s="13">
        <f>IF($E26="","",IF(UPPER(TRIM(E26))=INDEX('2_前後測題庫'!$I$5:$I$19,3),1,0))</f>
        <v/>
      </c>
      <c r="V26" s="13">
        <f>IF($F26="","",IF(UPPER(TRIM(F26))=INDEX('2_前後測題庫'!$I$5:$I$19,4),1,0))</f>
        <v/>
      </c>
      <c r="W26" s="13">
        <f>IF($G26="","",IF(UPPER(TRIM(G26))=INDEX('2_前後測題庫'!$I$5:$I$19,5),1,0))</f>
        <v/>
      </c>
      <c r="X26" s="13">
        <f>IF($H26="","",IF(UPPER(TRIM(H26))=INDEX('2_前後測題庫'!$I$5:$I$19,6),1,0))</f>
        <v/>
      </c>
      <c r="Y26" s="13">
        <f>IF($I26="","",IF(UPPER(TRIM(I26))=INDEX('2_前後測題庫'!$I$5:$I$19,7),1,0))</f>
        <v/>
      </c>
      <c r="Z26" s="13">
        <f>IF($J26="","",IF(UPPER(TRIM(J26))=INDEX('2_前後測題庫'!$I$5:$I$19,8),1,0))</f>
        <v/>
      </c>
      <c r="AA26" s="13">
        <f>IF($K26="","",IF(UPPER(TRIM(K26))=INDEX('2_前後測題庫'!$I$5:$I$19,9),1,0))</f>
        <v/>
      </c>
      <c r="AB26" s="13">
        <f>IF($L26="","",IF(UPPER(TRIM(L26))=INDEX('2_前後測題庫'!$I$5:$I$19,10),1,0))</f>
        <v/>
      </c>
      <c r="AC26" s="13">
        <f>IF($M26="","",IF(UPPER(TRIM(M26))=INDEX('2_前後測題庫'!$I$5:$I$19,11),1,0))</f>
        <v/>
      </c>
      <c r="AD26" s="13">
        <f>IF($N26="","",IF(UPPER(TRIM(N26))=INDEX('2_前後測題庫'!$I$5:$I$19,12),1,0))</f>
        <v/>
      </c>
      <c r="AE26" s="13">
        <f>IF($O26="","",IF(UPPER(TRIM(O26))=INDEX('2_前後測題庫'!$I$5:$I$19,13),1,0))</f>
        <v/>
      </c>
      <c r="AF26" s="13">
        <f>IF($P26="","",IF(UPPER(TRIM(P26))=INDEX('2_前後測題庫'!$I$5:$I$19,14),1,0))</f>
        <v/>
      </c>
      <c r="AG26" s="13">
        <f>IF($Q26="","",IF(UPPER(TRIM(Q26))=INDEX('2_前後測題庫'!$I$5:$I$19,15),1,0))</f>
        <v/>
      </c>
      <c r="AH26" s="14">
        <f>IF($A26="","",SUM(S26:AG26))</f>
        <v/>
      </c>
    </row>
    <row r="27">
      <c r="A27" s="12" t="n"/>
      <c r="B27" s="12" t="n"/>
      <c r="C27" s="12" t="n"/>
      <c r="D27" s="12" t="n"/>
      <c r="E27" s="12" t="n"/>
      <c r="F27" s="12" t="n"/>
      <c r="G27" s="12" t="n"/>
      <c r="H27" s="12" t="n"/>
      <c r="I27" s="12" t="n"/>
      <c r="J27" s="12" t="n"/>
      <c r="K27" s="12" t="n"/>
      <c r="L27" s="12" t="n"/>
      <c r="M27" s="12" t="n"/>
      <c r="N27" s="12" t="n"/>
      <c r="O27" s="12" t="n"/>
      <c r="P27" s="12" t="n"/>
      <c r="Q27" s="12" t="n"/>
      <c r="S27" s="13">
        <f>IF($C27="","",IF(UPPER(TRIM(C27))=INDEX('2_前後測題庫'!$I$5:$I$19,1),1,0))</f>
        <v/>
      </c>
      <c r="T27" s="13">
        <f>IF($D27="","",IF(UPPER(TRIM(D27))=INDEX('2_前後測題庫'!$I$5:$I$19,2),1,0))</f>
        <v/>
      </c>
      <c r="U27" s="13">
        <f>IF($E27="","",IF(UPPER(TRIM(E27))=INDEX('2_前後測題庫'!$I$5:$I$19,3),1,0))</f>
        <v/>
      </c>
      <c r="V27" s="13">
        <f>IF($F27="","",IF(UPPER(TRIM(F27))=INDEX('2_前後測題庫'!$I$5:$I$19,4),1,0))</f>
        <v/>
      </c>
      <c r="W27" s="13">
        <f>IF($G27="","",IF(UPPER(TRIM(G27))=INDEX('2_前後測題庫'!$I$5:$I$19,5),1,0))</f>
        <v/>
      </c>
      <c r="X27" s="13">
        <f>IF($H27="","",IF(UPPER(TRIM(H27))=INDEX('2_前後測題庫'!$I$5:$I$19,6),1,0))</f>
        <v/>
      </c>
      <c r="Y27" s="13">
        <f>IF($I27="","",IF(UPPER(TRIM(I27))=INDEX('2_前後測題庫'!$I$5:$I$19,7),1,0))</f>
        <v/>
      </c>
      <c r="Z27" s="13">
        <f>IF($J27="","",IF(UPPER(TRIM(J27))=INDEX('2_前後測題庫'!$I$5:$I$19,8),1,0))</f>
        <v/>
      </c>
      <c r="AA27" s="13">
        <f>IF($K27="","",IF(UPPER(TRIM(K27))=INDEX('2_前後測題庫'!$I$5:$I$19,9),1,0))</f>
        <v/>
      </c>
      <c r="AB27" s="13">
        <f>IF($L27="","",IF(UPPER(TRIM(L27))=INDEX('2_前後測題庫'!$I$5:$I$19,10),1,0))</f>
        <v/>
      </c>
      <c r="AC27" s="13">
        <f>IF($M27="","",IF(UPPER(TRIM(M27))=INDEX('2_前後測題庫'!$I$5:$I$19,11),1,0))</f>
        <v/>
      </c>
      <c r="AD27" s="13">
        <f>IF($N27="","",IF(UPPER(TRIM(N27))=INDEX('2_前後測題庫'!$I$5:$I$19,12),1,0))</f>
        <v/>
      </c>
      <c r="AE27" s="13">
        <f>IF($O27="","",IF(UPPER(TRIM(O27))=INDEX('2_前後測題庫'!$I$5:$I$19,13),1,0))</f>
        <v/>
      </c>
      <c r="AF27" s="13">
        <f>IF($P27="","",IF(UPPER(TRIM(P27))=INDEX('2_前後測題庫'!$I$5:$I$19,14),1,0))</f>
        <v/>
      </c>
      <c r="AG27" s="13">
        <f>IF($Q27="","",IF(UPPER(TRIM(Q27))=INDEX('2_前後測題庫'!$I$5:$I$19,15),1,0))</f>
        <v/>
      </c>
      <c r="AH27" s="14">
        <f>IF($A27="","",SUM(S27:AG27))</f>
        <v/>
      </c>
    </row>
    <row r="28">
      <c r="A28" s="12" t="n"/>
      <c r="B28" s="12" t="n"/>
      <c r="C28" s="12" t="n"/>
      <c r="D28" s="12" t="n"/>
      <c r="E28" s="12" t="n"/>
      <c r="F28" s="12" t="n"/>
      <c r="G28" s="12" t="n"/>
      <c r="H28" s="12" t="n"/>
      <c r="I28" s="12" t="n"/>
      <c r="J28" s="12" t="n"/>
      <c r="K28" s="12" t="n"/>
      <c r="L28" s="12" t="n"/>
      <c r="M28" s="12" t="n"/>
      <c r="N28" s="12" t="n"/>
      <c r="O28" s="12" t="n"/>
      <c r="P28" s="12" t="n"/>
      <c r="Q28" s="12" t="n"/>
      <c r="S28" s="13">
        <f>IF($C28="","",IF(UPPER(TRIM(C28))=INDEX('2_前後測題庫'!$I$5:$I$19,1),1,0))</f>
        <v/>
      </c>
      <c r="T28" s="13">
        <f>IF($D28="","",IF(UPPER(TRIM(D28))=INDEX('2_前後測題庫'!$I$5:$I$19,2),1,0))</f>
        <v/>
      </c>
      <c r="U28" s="13">
        <f>IF($E28="","",IF(UPPER(TRIM(E28))=INDEX('2_前後測題庫'!$I$5:$I$19,3),1,0))</f>
        <v/>
      </c>
      <c r="V28" s="13">
        <f>IF($F28="","",IF(UPPER(TRIM(F28))=INDEX('2_前後測題庫'!$I$5:$I$19,4),1,0))</f>
        <v/>
      </c>
      <c r="W28" s="13">
        <f>IF($G28="","",IF(UPPER(TRIM(G28))=INDEX('2_前後測題庫'!$I$5:$I$19,5),1,0))</f>
        <v/>
      </c>
      <c r="X28" s="13">
        <f>IF($H28="","",IF(UPPER(TRIM(H28))=INDEX('2_前後測題庫'!$I$5:$I$19,6),1,0))</f>
        <v/>
      </c>
      <c r="Y28" s="13">
        <f>IF($I28="","",IF(UPPER(TRIM(I28))=INDEX('2_前後測題庫'!$I$5:$I$19,7),1,0))</f>
        <v/>
      </c>
      <c r="Z28" s="13">
        <f>IF($J28="","",IF(UPPER(TRIM(J28))=INDEX('2_前後測題庫'!$I$5:$I$19,8),1,0))</f>
        <v/>
      </c>
      <c r="AA28" s="13">
        <f>IF($K28="","",IF(UPPER(TRIM(K28))=INDEX('2_前後測題庫'!$I$5:$I$19,9),1,0))</f>
        <v/>
      </c>
      <c r="AB28" s="13">
        <f>IF($L28="","",IF(UPPER(TRIM(L28))=INDEX('2_前後測題庫'!$I$5:$I$19,10),1,0))</f>
        <v/>
      </c>
      <c r="AC28" s="13">
        <f>IF($M28="","",IF(UPPER(TRIM(M28))=INDEX('2_前後測題庫'!$I$5:$I$19,11),1,0))</f>
        <v/>
      </c>
      <c r="AD28" s="13">
        <f>IF($N28="","",IF(UPPER(TRIM(N28))=INDEX('2_前後測題庫'!$I$5:$I$19,12),1,0))</f>
        <v/>
      </c>
      <c r="AE28" s="13">
        <f>IF($O28="","",IF(UPPER(TRIM(O28))=INDEX('2_前後測題庫'!$I$5:$I$19,13),1,0))</f>
        <v/>
      </c>
      <c r="AF28" s="13">
        <f>IF($P28="","",IF(UPPER(TRIM(P28))=INDEX('2_前後測題庫'!$I$5:$I$19,14),1,0))</f>
        <v/>
      </c>
      <c r="AG28" s="13">
        <f>IF($Q28="","",IF(UPPER(TRIM(Q28))=INDEX('2_前後測題庫'!$I$5:$I$19,15),1,0))</f>
        <v/>
      </c>
      <c r="AH28" s="14">
        <f>IF($A28="","",SUM(S28:AG28))</f>
        <v/>
      </c>
    </row>
    <row r="29">
      <c r="A29" s="12" t="n"/>
      <c r="B29" s="12" t="n"/>
      <c r="C29" s="12" t="n"/>
      <c r="D29" s="12" t="n"/>
      <c r="E29" s="12" t="n"/>
      <c r="F29" s="12" t="n"/>
      <c r="G29" s="12" t="n"/>
      <c r="H29" s="12" t="n"/>
      <c r="I29" s="12" t="n"/>
      <c r="J29" s="12" t="n"/>
      <c r="K29" s="12" t="n"/>
      <c r="L29" s="12" t="n"/>
      <c r="M29" s="12" t="n"/>
      <c r="N29" s="12" t="n"/>
      <c r="O29" s="12" t="n"/>
      <c r="P29" s="12" t="n"/>
      <c r="Q29" s="12" t="n"/>
      <c r="S29" s="13">
        <f>IF($C29="","",IF(UPPER(TRIM(C29))=INDEX('2_前後測題庫'!$I$5:$I$19,1),1,0))</f>
        <v/>
      </c>
      <c r="T29" s="13">
        <f>IF($D29="","",IF(UPPER(TRIM(D29))=INDEX('2_前後測題庫'!$I$5:$I$19,2),1,0))</f>
        <v/>
      </c>
      <c r="U29" s="13">
        <f>IF($E29="","",IF(UPPER(TRIM(E29))=INDEX('2_前後測題庫'!$I$5:$I$19,3),1,0))</f>
        <v/>
      </c>
      <c r="V29" s="13">
        <f>IF($F29="","",IF(UPPER(TRIM(F29))=INDEX('2_前後測題庫'!$I$5:$I$19,4),1,0))</f>
        <v/>
      </c>
      <c r="W29" s="13">
        <f>IF($G29="","",IF(UPPER(TRIM(G29))=INDEX('2_前後測題庫'!$I$5:$I$19,5),1,0))</f>
        <v/>
      </c>
      <c r="X29" s="13">
        <f>IF($H29="","",IF(UPPER(TRIM(H29))=INDEX('2_前後測題庫'!$I$5:$I$19,6),1,0))</f>
        <v/>
      </c>
      <c r="Y29" s="13">
        <f>IF($I29="","",IF(UPPER(TRIM(I29))=INDEX('2_前後測題庫'!$I$5:$I$19,7),1,0))</f>
        <v/>
      </c>
      <c r="Z29" s="13">
        <f>IF($J29="","",IF(UPPER(TRIM(J29))=INDEX('2_前後測題庫'!$I$5:$I$19,8),1,0))</f>
        <v/>
      </c>
      <c r="AA29" s="13">
        <f>IF($K29="","",IF(UPPER(TRIM(K29))=INDEX('2_前後測題庫'!$I$5:$I$19,9),1,0))</f>
        <v/>
      </c>
      <c r="AB29" s="13">
        <f>IF($L29="","",IF(UPPER(TRIM(L29))=INDEX('2_前後測題庫'!$I$5:$I$19,10),1,0))</f>
        <v/>
      </c>
      <c r="AC29" s="13">
        <f>IF($M29="","",IF(UPPER(TRIM(M29))=INDEX('2_前後測題庫'!$I$5:$I$19,11),1,0))</f>
        <v/>
      </c>
      <c r="AD29" s="13">
        <f>IF($N29="","",IF(UPPER(TRIM(N29))=INDEX('2_前後測題庫'!$I$5:$I$19,12),1,0))</f>
        <v/>
      </c>
      <c r="AE29" s="13">
        <f>IF($O29="","",IF(UPPER(TRIM(O29))=INDEX('2_前後測題庫'!$I$5:$I$19,13),1,0))</f>
        <v/>
      </c>
      <c r="AF29" s="13">
        <f>IF($P29="","",IF(UPPER(TRIM(P29))=INDEX('2_前後測題庫'!$I$5:$I$19,14),1,0))</f>
        <v/>
      </c>
      <c r="AG29" s="13">
        <f>IF($Q29="","",IF(UPPER(TRIM(Q29))=INDEX('2_前後測題庫'!$I$5:$I$19,15),1,0))</f>
        <v/>
      </c>
      <c r="AH29" s="14">
        <f>IF($A29="","",SUM(S29:AG29))</f>
        <v/>
      </c>
    </row>
    <row r="30">
      <c r="A30" s="12" t="n"/>
      <c r="B30" s="12" t="n"/>
      <c r="C30" s="12" t="n"/>
      <c r="D30" s="12" t="n"/>
      <c r="E30" s="12" t="n"/>
      <c r="F30" s="12" t="n"/>
      <c r="G30" s="12" t="n"/>
      <c r="H30" s="12" t="n"/>
      <c r="I30" s="12" t="n"/>
      <c r="J30" s="12" t="n"/>
      <c r="K30" s="12" t="n"/>
      <c r="L30" s="12" t="n"/>
      <c r="M30" s="12" t="n"/>
      <c r="N30" s="12" t="n"/>
      <c r="O30" s="12" t="n"/>
      <c r="P30" s="12" t="n"/>
      <c r="Q30" s="12" t="n"/>
      <c r="S30" s="13">
        <f>IF($C30="","",IF(UPPER(TRIM(C30))=INDEX('2_前後測題庫'!$I$5:$I$19,1),1,0))</f>
        <v/>
      </c>
      <c r="T30" s="13">
        <f>IF($D30="","",IF(UPPER(TRIM(D30))=INDEX('2_前後測題庫'!$I$5:$I$19,2),1,0))</f>
        <v/>
      </c>
      <c r="U30" s="13">
        <f>IF($E30="","",IF(UPPER(TRIM(E30))=INDEX('2_前後測題庫'!$I$5:$I$19,3),1,0))</f>
        <v/>
      </c>
      <c r="V30" s="13">
        <f>IF($F30="","",IF(UPPER(TRIM(F30))=INDEX('2_前後測題庫'!$I$5:$I$19,4),1,0))</f>
        <v/>
      </c>
      <c r="W30" s="13">
        <f>IF($G30="","",IF(UPPER(TRIM(G30))=INDEX('2_前後測題庫'!$I$5:$I$19,5),1,0))</f>
        <v/>
      </c>
      <c r="X30" s="13">
        <f>IF($H30="","",IF(UPPER(TRIM(H30))=INDEX('2_前後測題庫'!$I$5:$I$19,6),1,0))</f>
        <v/>
      </c>
      <c r="Y30" s="13">
        <f>IF($I30="","",IF(UPPER(TRIM(I30))=INDEX('2_前後測題庫'!$I$5:$I$19,7),1,0))</f>
        <v/>
      </c>
      <c r="Z30" s="13">
        <f>IF($J30="","",IF(UPPER(TRIM(J30))=INDEX('2_前後測題庫'!$I$5:$I$19,8),1,0))</f>
        <v/>
      </c>
      <c r="AA30" s="13">
        <f>IF($K30="","",IF(UPPER(TRIM(K30))=INDEX('2_前後測題庫'!$I$5:$I$19,9),1,0))</f>
        <v/>
      </c>
      <c r="AB30" s="13">
        <f>IF($L30="","",IF(UPPER(TRIM(L30))=INDEX('2_前後測題庫'!$I$5:$I$19,10),1,0))</f>
        <v/>
      </c>
      <c r="AC30" s="13">
        <f>IF($M30="","",IF(UPPER(TRIM(M30))=INDEX('2_前後測題庫'!$I$5:$I$19,11),1,0))</f>
        <v/>
      </c>
      <c r="AD30" s="13">
        <f>IF($N30="","",IF(UPPER(TRIM(N30))=INDEX('2_前後測題庫'!$I$5:$I$19,12),1,0))</f>
        <v/>
      </c>
      <c r="AE30" s="13">
        <f>IF($O30="","",IF(UPPER(TRIM(O30))=INDEX('2_前後測題庫'!$I$5:$I$19,13),1,0))</f>
        <v/>
      </c>
      <c r="AF30" s="13">
        <f>IF($P30="","",IF(UPPER(TRIM(P30))=INDEX('2_前後測題庫'!$I$5:$I$19,14),1,0))</f>
        <v/>
      </c>
      <c r="AG30" s="13">
        <f>IF($Q30="","",IF(UPPER(TRIM(Q30))=INDEX('2_前後測題庫'!$I$5:$I$19,15),1,0))</f>
        <v/>
      </c>
      <c r="AH30" s="14">
        <f>IF($A30="","",SUM(S30:AG30))</f>
        <v/>
      </c>
    </row>
    <row r="31">
      <c r="A31" s="12" t="n"/>
      <c r="B31" s="12" t="n"/>
      <c r="C31" s="12" t="n"/>
      <c r="D31" s="12" t="n"/>
      <c r="E31" s="12" t="n"/>
      <c r="F31" s="12" t="n"/>
      <c r="G31" s="12" t="n"/>
      <c r="H31" s="12" t="n"/>
      <c r="I31" s="12" t="n"/>
      <c r="J31" s="12" t="n"/>
      <c r="K31" s="12" t="n"/>
      <c r="L31" s="12" t="n"/>
      <c r="M31" s="12" t="n"/>
      <c r="N31" s="12" t="n"/>
      <c r="O31" s="12" t="n"/>
      <c r="P31" s="12" t="n"/>
      <c r="Q31" s="12" t="n"/>
      <c r="S31" s="13">
        <f>IF($C31="","",IF(UPPER(TRIM(C31))=INDEX('2_前後測題庫'!$I$5:$I$19,1),1,0))</f>
        <v/>
      </c>
      <c r="T31" s="13">
        <f>IF($D31="","",IF(UPPER(TRIM(D31))=INDEX('2_前後測題庫'!$I$5:$I$19,2),1,0))</f>
        <v/>
      </c>
      <c r="U31" s="13">
        <f>IF($E31="","",IF(UPPER(TRIM(E31))=INDEX('2_前後測題庫'!$I$5:$I$19,3),1,0))</f>
        <v/>
      </c>
      <c r="V31" s="13">
        <f>IF($F31="","",IF(UPPER(TRIM(F31))=INDEX('2_前後測題庫'!$I$5:$I$19,4),1,0))</f>
        <v/>
      </c>
      <c r="W31" s="13">
        <f>IF($G31="","",IF(UPPER(TRIM(G31))=INDEX('2_前後測題庫'!$I$5:$I$19,5),1,0))</f>
        <v/>
      </c>
      <c r="X31" s="13">
        <f>IF($H31="","",IF(UPPER(TRIM(H31))=INDEX('2_前後測題庫'!$I$5:$I$19,6),1,0))</f>
        <v/>
      </c>
      <c r="Y31" s="13">
        <f>IF($I31="","",IF(UPPER(TRIM(I31))=INDEX('2_前後測題庫'!$I$5:$I$19,7),1,0))</f>
        <v/>
      </c>
      <c r="Z31" s="13">
        <f>IF($J31="","",IF(UPPER(TRIM(J31))=INDEX('2_前後測題庫'!$I$5:$I$19,8),1,0))</f>
        <v/>
      </c>
      <c r="AA31" s="13">
        <f>IF($K31="","",IF(UPPER(TRIM(K31))=INDEX('2_前後測題庫'!$I$5:$I$19,9),1,0))</f>
        <v/>
      </c>
      <c r="AB31" s="13">
        <f>IF($L31="","",IF(UPPER(TRIM(L31))=INDEX('2_前後測題庫'!$I$5:$I$19,10),1,0))</f>
        <v/>
      </c>
      <c r="AC31" s="13">
        <f>IF($M31="","",IF(UPPER(TRIM(M31))=INDEX('2_前後測題庫'!$I$5:$I$19,11),1,0))</f>
        <v/>
      </c>
      <c r="AD31" s="13">
        <f>IF($N31="","",IF(UPPER(TRIM(N31))=INDEX('2_前後測題庫'!$I$5:$I$19,12),1,0))</f>
        <v/>
      </c>
      <c r="AE31" s="13">
        <f>IF($O31="","",IF(UPPER(TRIM(O31))=INDEX('2_前後測題庫'!$I$5:$I$19,13),1,0))</f>
        <v/>
      </c>
      <c r="AF31" s="13">
        <f>IF($P31="","",IF(UPPER(TRIM(P31))=INDEX('2_前後測題庫'!$I$5:$I$19,14),1,0))</f>
        <v/>
      </c>
      <c r="AG31" s="13">
        <f>IF($Q31="","",IF(UPPER(TRIM(Q31))=INDEX('2_前後測題庫'!$I$5:$I$19,15),1,0))</f>
        <v/>
      </c>
      <c r="AH31" s="14">
        <f>IF($A31="","",SUM(S31:AG31))</f>
        <v/>
      </c>
    </row>
    <row r="32">
      <c r="A32" s="12" t="n"/>
      <c r="B32" s="12" t="n"/>
      <c r="C32" s="12" t="n"/>
      <c r="D32" s="12" t="n"/>
      <c r="E32" s="12" t="n"/>
      <c r="F32" s="12" t="n"/>
      <c r="G32" s="12" t="n"/>
      <c r="H32" s="12" t="n"/>
      <c r="I32" s="12" t="n"/>
      <c r="J32" s="12" t="n"/>
      <c r="K32" s="12" t="n"/>
      <c r="L32" s="12" t="n"/>
      <c r="M32" s="12" t="n"/>
      <c r="N32" s="12" t="n"/>
      <c r="O32" s="12" t="n"/>
      <c r="P32" s="12" t="n"/>
      <c r="Q32" s="12" t="n"/>
      <c r="S32" s="13">
        <f>IF($C32="","",IF(UPPER(TRIM(C32))=INDEX('2_前後測題庫'!$I$5:$I$19,1),1,0))</f>
        <v/>
      </c>
      <c r="T32" s="13">
        <f>IF($D32="","",IF(UPPER(TRIM(D32))=INDEX('2_前後測題庫'!$I$5:$I$19,2),1,0))</f>
        <v/>
      </c>
      <c r="U32" s="13">
        <f>IF($E32="","",IF(UPPER(TRIM(E32))=INDEX('2_前後測題庫'!$I$5:$I$19,3),1,0))</f>
        <v/>
      </c>
      <c r="V32" s="13">
        <f>IF($F32="","",IF(UPPER(TRIM(F32))=INDEX('2_前後測題庫'!$I$5:$I$19,4),1,0))</f>
        <v/>
      </c>
      <c r="W32" s="13">
        <f>IF($G32="","",IF(UPPER(TRIM(G32))=INDEX('2_前後測題庫'!$I$5:$I$19,5),1,0))</f>
        <v/>
      </c>
      <c r="X32" s="13">
        <f>IF($H32="","",IF(UPPER(TRIM(H32))=INDEX('2_前後測題庫'!$I$5:$I$19,6),1,0))</f>
        <v/>
      </c>
      <c r="Y32" s="13">
        <f>IF($I32="","",IF(UPPER(TRIM(I32))=INDEX('2_前後測題庫'!$I$5:$I$19,7),1,0))</f>
        <v/>
      </c>
      <c r="Z32" s="13">
        <f>IF($J32="","",IF(UPPER(TRIM(J32))=INDEX('2_前後測題庫'!$I$5:$I$19,8),1,0))</f>
        <v/>
      </c>
      <c r="AA32" s="13">
        <f>IF($K32="","",IF(UPPER(TRIM(K32))=INDEX('2_前後測題庫'!$I$5:$I$19,9),1,0))</f>
        <v/>
      </c>
      <c r="AB32" s="13">
        <f>IF($L32="","",IF(UPPER(TRIM(L32))=INDEX('2_前後測題庫'!$I$5:$I$19,10),1,0))</f>
        <v/>
      </c>
      <c r="AC32" s="13">
        <f>IF($M32="","",IF(UPPER(TRIM(M32))=INDEX('2_前後測題庫'!$I$5:$I$19,11),1,0))</f>
        <v/>
      </c>
      <c r="AD32" s="13">
        <f>IF($N32="","",IF(UPPER(TRIM(N32))=INDEX('2_前後測題庫'!$I$5:$I$19,12),1,0))</f>
        <v/>
      </c>
      <c r="AE32" s="13">
        <f>IF($O32="","",IF(UPPER(TRIM(O32))=INDEX('2_前後測題庫'!$I$5:$I$19,13),1,0))</f>
        <v/>
      </c>
      <c r="AF32" s="13">
        <f>IF($P32="","",IF(UPPER(TRIM(P32))=INDEX('2_前後測題庫'!$I$5:$I$19,14),1,0))</f>
        <v/>
      </c>
      <c r="AG32" s="13">
        <f>IF($Q32="","",IF(UPPER(TRIM(Q32))=INDEX('2_前後測題庫'!$I$5:$I$19,15),1,0))</f>
        <v/>
      </c>
      <c r="AH32" s="14">
        <f>IF($A32="","",SUM(S32:AG32))</f>
        <v/>
      </c>
    </row>
    <row r="33">
      <c r="A33" s="12" t="n"/>
      <c r="B33" s="12" t="n"/>
      <c r="C33" s="12" t="n"/>
      <c r="D33" s="12" t="n"/>
      <c r="E33" s="12" t="n"/>
      <c r="F33" s="12" t="n"/>
      <c r="G33" s="12" t="n"/>
      <c r="H33" s="12" t="n"/>
      <c r="I33" s="12" t="n"/>
      <c r="J33" s="12" t="n"/>
      <c r="K33" s="12" t="n"/>
      <c r="L33" s="12" t="n"/>
      <c r="M33" s="12" t="n"/>
      <c r="N33" s="12" t="n"/>
      <c r="O33" s="12" t="n"/>
      <c r="P33" s="12" t="n"/>
      <c r="Q33" s="12" t="n"/>
      <c r="S33" s="13">
        <f>IF($C33="","",IF(UPPER(TRIM(C33))=INDEX('2_前後測題庫'!$I$5:$I$19,1),1,0))</f>
        <v/>
      </c>
      <c r="T33" s="13">
        <f>IF($D33="","",IF(UPPER(TRIM(D33))=INDEX('2_前後測題庫'!$I$5:$I$19,2),1,0))</f>
        <v/>
      </c>
      <c r="U33" s="13">
        <f>IF($E33="","",IF(UPPER(TRIM(E33))=INDEX('2_前後測題庫'!$I$5:$I$19,3),1,0))</f>
        <v/>
      </c>
      <c r="V33" s="13">
        <f>IF($F33="","",IF(UPPER(TRIM(F33))=INDEX('2_前後測題庫'!$I$5:$I$19,4),1,0))</f>
        <v/>
      </c>
      <c r="W33" s="13">
        <f>IF($G33="","",IF(UPPER(TRIM(G33))=INDEX('2_前後測題庫'!$I$5:$I$19,5),1,0))</f>
        <v/>
      </c>
      <c r="X33" s="13">
        <f>IF($H33="","",IF(UPPER(TRIM(H33))=INDEX('2_前後測題庫'!$I$5:$I$19,6),1,0))</f>
        <v/>
      </c>
      <c r="Y33" s="13">
        <f>IF($I33="","",IF(UPPER(TRIM(I33))=INDEX('2_前後測題庫'!$I$5:$I$19,7),1,0))</f>
        <v/>
      </c>
      <c r="Z33" s="13">
        <f>IF($J33="","",IF(UPPER(TRIM(J33))=INDEX('2_前後測題庫'!$I$5:$I$19,8),1,0))</f>
        <v/>
      </c>
      <c r="AA33" s="13">
        <f>IF($K33="","",IF(UPPER(TRIM(K33))=INDEX('2_前後測題庫'!$I$5:$I$19,9),1,0))</f>
        <v/>
      </c>
      <c r="AB33" s="13">
        <f>IF($L33="","",IF(UPPER(TRIM(L33))=INDEX('2_前後測題庫'!$I$5:$I$19,10),1,0))</f>
        <v/>
      </c>
      <c r="AC33" s="13">
        <f>IF($M33="","",IF(UPPER(TRIM(M33))=INDEX('2_前後測題庫'!$I$5:$I$19,11),1,0))</f>
        <v/>
      </c>
      <c r="AD33" s="13">
        <f>IF($N33="","",IF(UPPER(TRIM(N33))=INDEX('2_前後測題庫'!$I$5:$I$19,12),1,0))</f>
        <v/>
      </c>
      <c r="AE33" s="13">
        <f>IF($O33="","",IF(UPPER(TRIM(O33))=INDEX('2_前後測題庫'!$I$5:$I$19,13),1,0))</f>
        <v/>
      </c>
      <c r="AF33" s="13">
        <f>IF($P33="","",IF(UPPER(TRIM(P33))=INDEX('2_前後測題庫'!$I$5:$I$19,14),1,0))</f>
        <v/>
      </c>
      <c r="AG33" s="13">
        <f>IF($Q33="","",IF(UPPER(TRIM(Q33))=INDEX('2_前後測題庫'!$I$5:$I$19,15),1,0))</f>
        <v/>
      </c>
      <c r="AH33" s="14">
        <f>IF($A33="","",SUM(S33:AG33))</f>
        <v/>
      </c>
    </row>
    <row r="34">
      <c r="A34" s="12" t="n"/>
      <c r="B34" s="12" t="n"/>
      <c r="C34" s="12" t="n"/>
      <c r="D34" s="12" t="n"/>
      <c r="E34" s="12" t="n"/>
      <c r="F34" s="12" t="n"/>
      <c r="G34" s="12" t="n"/>
      <c r="H34" s="12" t="n"/>
      <c r="I34" s="12" t="n"/>
      <c r="J34" s="12" t="n"/>
      <c r="K34" s="12" t="n"/>
      <c r="L34" s="12" t="n"/>
      <c r="M34" s="12" t="n"/>
      <c r="N34" s="12" t="n"/>
      <c r="O34" s="12" t="n"/>
      <c r="P34" s="12" t="n"/>
      <c r="Q34" s="12" t="n"/>
      <c r="S34" s="13">
        <f>IF($C34="","",IF(UPPER(TRIM(C34))=INDEX('2_前後測題庫'!$I$5:$I$19,1),1,0))</f>
        <v/>
      </c>
      <c r="T34" s="13">
        <f>IF($D34="","",IF(UPPER(TRIM(D34))=INDEX('2_前後測題庫'!$I$5:$I$19,2),1,0))</f>
        <v/>
      </c>
      <c r="U34" s="13">
        <f>IF($E34="","",IF(UPPER(TRIM(E34))=INDEX('2_前後測題庫'!$I$5:$I$19,3),1,0))</f>
        <v/>
      </c>
      <c r="V34" s="13">
        <f>IF($F34="","",IF(UPPER(TRIM(F34))=INDEX('2_前後測題庫'!$I$5:$I$19,4),1,0))</f>
        <v/>
      </c>
      <c r="W34" s="13">
        <f>IF($G34="","",IF(UPPER(TRIM(G34))=INDEX('2_前後測題庫'!$I$5:$I$19,5),1,0))</f>
        <v/>
      </c>
      <c r="X34" s="13">
        <f>IF($H34="","",IF(UPPER(TRIM(H34))=INDEX('2_前後測題庫'!$I$5:$I$19,6),1,0))</f>
        <v/>
      </c>
      <c r="Y34" s="13">
        <f>IF($I34="","",IF(UPPER(TRIM(I34))=INDEX('2_前後測題庫'!$I$5:$I$19,7),1,0))</f>
        <v/>
      </c>
      <c r="Z34" s="13">
        <f>IF($J34="","",IF(UPPER(TRIM(J34))=INDEX('2_前後測題庫'!$I$5:$I$19,8),1,0))</f>
        <v/>
      </c>
      <c r="AA34" s="13">
        <f>IF($K34="","",IF(UPPER(TRIM(K34))=INDEX('2_前後測題庫'!$I$5:$I$19,9),1,0))</f>
        <v/>
      </c>
      <c r="AB34" s="13">
        <f>IF($L34="","",IF(UPPER(TRIM(L34))=INDEX('2_前後測題庫'!$I$5:$I$19,10),1,0))</f>
        <v/>
      </c>
      <c r="AC34" s="13">
        <f>IF($M34="","",IF(UPPER(TRIM(M34))=INDEX('2_前後測題庫'!$I$5:$I$19,11),1,0))</f>
        <v/>
      </c>
      <c r="AD34" s="13">
        <f>IF($N34="","",IF(UPPER(TRIM(N34))=INDEX('2_前後測題庫'!$I$5:$I$19,12),1,0))</f>
        <v/>
      </c>
      <c r="AE34" s="13">
        <f>IF($O34="","",IF(UPPER(TRIM(O34))=INDEX('2_前後測題庫'!$I$5:$I$19,13),1,0))</f>
        <v/>
      </c>
      <c r="AF34" s="13">
        <f>IF($P34="","",IF(UPPER(TRIM(P34))=INDEX('2_前後測題庫'!$I$5:$I$19,14),1,0))</f>
        <v/>
      </c>
      <c r="AG34" s="13">
        <f>IF($Q34="","",IF(UPPER(TRIM(Q34))=INDEX('2_前後測題庫'!$I$5:$I$19,15),1,0))</f>
        <v/>
      </c>
      <c r="AH34" s="14">
        <f>IF($A34="","",SUM(S34:AG34))</f>
        <v/>
      </c>
    </row>
    <row r="35">
      <c r="A35" s="12" t="n"/>
      <c r="B35" s="12" t="n"/>
      <c r="C35" s="12" t="n"/>
      <c r="D35" s="12" t="n"/>
      <c r="E35" s="12" t="n"/>
      <c r="F35" s="12" t="n"/>
      <c r="G35" s="12" t="n"/>
      <c r="H35" s="12" t="n"/>
      <c r="I35" s="12" t="n"/>
      <c r="J35" s="12" t="n"/>
      <c r="K35" s="12" t="n"/>
      <c r="L35" s="12" t="n"/>
      <c r="M35" s="12" t="n"/>
      <c r="N35" s="12" t="n"/>
      <c r="O35" s="12" t="n"/>
      <c r="P35" s="12" t="n"/>
      <c r="Q35" s="12" t="n"/>
      <c r="S35" s="13">
        <f>IF($C35="","",IF(UPPER(TRIM(C35))=INDEX('2_前後測題庫'!$I$5:$I$19,1),1,0))</f>
        <v/>
      </c>
      <c r="T35" s="13">
        <f>IF($D35="","",IF(UPPER(TRIM(D35))=INDEX('2_前後測題庫'!$I$5:$I$19,2),1,0))</f>
        <v/>
      </c>
      <c r="U35" s="13">
        <f>IF($E35="","",IF(UPPER(TRIM(E35))=INDEX('2_前後測題庫'!$I$5:$I$19,3),1,0))</f>
        <v/>
      </c>
      <c r="V35" s="13">
        <f>IF($F35="","",IF(UPPER(TRIM(F35))=INDEX('2_前後測題庫'!$I$5:$I$19,4),1,0))</f>
        <v/>
      </c>
      <c r="W35" s="13">
        <f>IF($G35="","",IF(UPPER(TRIM(G35))=INDEX('2_前後測題庫'!$I$5:$I$19,5),1,0))</f>
        <v/>
      </c>
      <c r="X35" s="13">
        <f>IF($H35="","",IF(UPPER(TRIM(H35))=INDEX('2_前後測題庫'!$I$5:$I$19,6),1,0))</f>
        <v/>
      </c>
      <c r="Y35" s="13">
        <f>IF($I35="","",IF(UPPER(TRIM(I35))=INDEX('2_前後測題庫'!$I$5:$I$19,7),1,0))</f>
        <v/>
      </c>
      <c r="Z35" s="13">
        <f>IF($J35="","",IF(UPPER(TRIM(J35))=INDEX('2_前後測題庫'!$I$5:$I$19,8),1,0))</f>
        <v/>
      </c>
      <c r="AA35" s="13">
        <f>IF($K35="","",IF(UPPER(TRIM(K35))=INDEX('2_前後測題庫'!$I$5:$I$19,9),1,0))</f>
        <v/>
      </c>
      <c r="AB35" s="13">
        <f>IF($L35="","",IF(UPPER(TRIM(L35))=INDEX('2_前後測題庫'!$I$5:$I$19,10),1,0))</f>
        <v/>
      </c>
      <c r="AC35" s="13">
        <f>IF($M35="","",IF(UPPER(TRIM(M35))=INDEX('2_前後測題庫'!$I$5:$I$19,11),1,0))</f>
        <v/>
      </c>
      <c r="AD35" s="13">
        <f>IF($N35="","",IF(UPPER(TRIM(N35))=INDEX('2_前後測題庫'!$I$5:$I$19,12),1,0))</f>
        <v/>
      </c>
      <c r="AE35" s="13">
        <f>IF($O35="","",IF(UPPER(TRIM(O35))=INDEX('2_前後測題庫'!$I$5:$I$19,13),1,0))</f>
        <v/>
      </c>
      <c r="AF35" s="13">
        <f>IF($P35="","",IF(UPPER(TRIM(P35))=INDEX('2_前後測題庫'!$I$5:$I$19,14),1,0))</f>
        <v/>
      </c>
      <c r="AG35" s="13">
        <f>IF($Q35="","",IF(UPPER(TRIM(Q35))=INDEX('2_前後測題庫'!$I$5:$I$19,15),1,0))</f>
        <v/>
      </c>
      <c r="AH35" s="14">
        <f>IF($A35="","",SUM(S35:AG35))</f>
        <v/>
      </c>
    </row>
    <row r="36">
      <c r="A36" s="12" t="n"/>
      <c r="B36" s="12" t="n"/>
      <c r="C36" s="12" t="n"/>
      <c r="D36" s="12" t="n"/>
      <c r="E36" s="12" t="n"/>
      <c r="F36" s="12" t="n"/>
      <c r="G36" s="12" t="n"/>
      <c r="H36" s="12" t="n"/>
      <c r="I36" s="12" t="n"/>
      <c r="J36" s="12" t="n"/>
      <c r="K36" s="12" t="n"/>
      <c r="L36" s="12" t="n"/>
      <c r="M36" s="12" t="n"/>
      <c r="N36" s="12" t="n"/>
      <c r="O36" s="12" t="n"/>
      <c r="P36" s="12" t="n"/>
      <c r="Q36" s="12" t="n"/>
      <c r="S36" s="13">
        <f>IF($C36="","",IF(UPPER(TRIM(C36))=INDEX('2_前後測題庫'!$I$5:$I$19,1),1,0))</f>
        <v/>
      </c>
      <c r="T36" s="13">
        <f>IF($D36="","",IF(UPPER(TRIM(D36))=INDEX('2_前後測題庫'!$I$5:$I$19,2),1,0))</f>
        <v/>
      </c>
      <c r="U36" s="13">
        <f>IF($E36="","",IF(UPPER(TRIM(E36))=INDEX('2_前後測題庫'!$I$5:$I$19,3),1,0))</f>
        <v/>
      </c>
      <c r="V36" s="13">
        <f>IF($F36="","",IF(UPPER(TRIM(F36))=INDEX('2_前後測題庫'!$I$5:$I$19,4),1,0))</f>
        <v/>
      </c>
      <c r="W36" s="13">
        <f>IF($G36="","",IF(UPPER(TRIM(G36))=INDEX('2_前後測題庫'!$I$5:$I$19,5),1,0))</f>
        <v/>
      </c>
      <c r="X36" s="13">
        <f>IF($H36="","",IF(UPPER(TRIM(H36))=INDEX('2_前後測題庫'!$I$5:$I$19,6),1,0))</f>
        <v/>
      </c>
      <c r="Y36" s="13">
        <f>IF($I36="","",IF(UPPER(TRIM(I36))=INDEX('2_前後測題庫'!$I$5:$I$19,7),1,0))</f>
        <v/>
      </c>
      <c r="Z36" s="13">
        <f>IF($J36="","",IF(UPPER(TRIM(J36))=INDEX('2_前後測題庫'!$I$5:$I$19,8),1,0))</f>
        <v/>
      </c>
      <c r="AA36" s="13">
        <f>IF($K36="","",IF(UPPER(TRIM(K36))=INDEX('2_前後測題庫'!$I$5:$I$19,9),1,0))</f>
        <v/>
      </c>
      <c r="AB36" s="13">
        <f>IF($L36="","",IF(UPPER(TRIM(L36))=INDEX('2_前後測題庫'!$I$5:$I$19,10),1,0))</f>
        <v/>
      </c>
      <c r="AC36" s="13">
        <f>IF($M36="","",IF(UPPER(TRIM(M36))=INDEX('2_前後測題庫'!$I$5:$I$19,11),1,0))</f>
        <v/>
      </c>
      <c r="AD36" s="13">
        <f>IF($N36="","",IF(UPPER(TRIM(N36))=INDEX('2_前後測題庫'!$I$5:$I$19,12),1,0))</f>
        <v/>
      </c>
      <c r="AE36" s="13">
        <f>IF($O36="","",IF(UPPER(TRIM(O36))=INDEX('2_前後測題庫'!$I$5:$I$19,13),1,0))</f>
        <v/>
      </c>
      <c r="AF36" s="13">
        <f>IF($P36="","",IF(UPPER(TRIM(P36))=INDEX('2_前後測題庫'!$I$5:$I$19,14),1,0))</f>
        <v/>
      </c>
      <c r="AG36" s="13">
        <f>IF($Q36="","",IF(UPPER(TRIM(Q36))=INDEX('2_前後測題庫'!$I$5:$I$19,15),1,0))</f>
        <v/>
      </c>
      <c r="AH36" s="14">
        <f>IF($A36="","",SUM(S36:AG36))</f>
        <v/>
      </c>
    </row>
    <row r="37">
      <c r="A37" s="12" t="n"/>
      <c r="B37" s="12" t="n"/>
      <c r="C37" s="12" t="n"/>
      <c r="D37" s="12" t="n"/>
      <c r="E37" s="12" t="n"/>
      <c r="F37" s="12" t="n"/>
      <c r="G37" s="12" t="n"/>
      <c r="H37" s="12" t="n"/>
      <c r="I37" s="12" t="n"/>
      <c r="J37" s="12" t="n"/>
      <c r="K37" s="12" t="n"/>
      <c r="L37" s="12" t="n"/>
      <c r="M37" s="12" t="n"/>
      <c r="N37" s="12" t="n"/>
      <c r="O37" s="12" t="n"/>
      <c r="P37" s="12" t="n"/>
      <c r="Q37" s="12" t="n"/>
      <c r="S37" s="13">
        <f>IF($C37="","",IF(UPPER(TRIM(C37))=INDEX('2_前後測題庫'!$I$5:$I$19,1),1,0))</f>
        <v/>
      </c>
      <c r="T37" s="13">
        <f>IF($D37="","",IF(UPPER(TRIM(D37))=INDEX('2_前後測題庫'!$I$5:$I$19,2),1,0))</f>
        <v/>
      </c>
      <c r="U37" s="13">
        <f>IF($E37="","",IF(UPPER(TRIM(E37))=INDEX('2_前後測題庫'!$I$5:$I$19,3),1,0))</f>
        <v/>
      </c>
      <c r="V37" s="13">
        <f>IF($F37="","",IF(UPPER(TRIM(F37))=INDEX('2_前後測題庫'!$I$5:$I$19,4),1,0))</f>
        <v/>
      </c>
      <c r="W37" s="13">
        <f>IF($G37="","",IF(UPPER(TRIM(G37))=INDEX('2_前後測題庫'!$I$5:$I$19,5),1,0))</f>
        <v/>
      </c>
      <c r="X37" s="13">
        <f>IF($H37="","",IF(UPPER(TRIM(H37))=INDEX('2_前後測題庫'!$I$5:$I$19,6),1,0))</f>
        <v/>
      </c>
      <c r="Y37" s="13">
        <f>IF($I37="","",IF(UPPER(TRIM(I37))=INDEX('2_前後測題庫'!$I$5:$I$19,7),1,0))</f>
        <v/>
      </c>
      <c r="Z37" s="13">
        <f>IF($J37="","",IF(UPPER(TRIM(J37))=INDEX('2_前後測題庫'!$I$5:$I$19,8),1,0))</f>
        <v/>
      </c>
      <c r="AA37" s="13">
        <f>IF($K37="","",IF(UPPER(TRIM(K37))=INDEX('2_前後測題庫'!$I$5:$I$19,9),1,0))</f>
        <v/>
      </c>
      <c r="AB37" s="13">
        <f>IF($L37="","",IF(UPPER(TRIM(L37))=INDEX('2_前後測題庫'!$I$5:$I$19,10),1,0))</f>
        <v/>
      </c>
      <c r="AC37" s="13">
        <f>IF($M37="","",IF(UPPER(TRIM(M37))=INDEX('2_前後測題庫'!$I$5:$I$19,11),1,0))</f>
        <v/>
      </c>
      <c r="AD37" s="13">
        <f>IF($N37="","",IF(UPPER(TRIM(N37))=INDEX('2_前後測題庫'!$I$5:$I$19,12),1,0))</f>
        <v/>
      </c>
      <c r="AE37" s="13">
        <f>IF($O37="","",IF(UPPER(TRIM(O37))=INDEX('2_前後測題庫'!$I$5:$I$19,13),1,0))</f>
        <v/>
      </c>
      <c r="AF37" s="13">
        <f>IF($P37="","",IF(UPPER(TRIM(P37))=INDEX('2_前後測題庫'!$I$5:$I$19,14),1,0))</f>
        <v/>
      </c>
      <c r="AG37" s="13">
        <f>IF($Q37="","",IF(UPPER(TRIM(Q37))=INDEX('2_前後測題庫'!$I$5:$I$19,15),1,0))</f>
        <v/>
      </c>
      <c r="AH37" s="14">
        <f>IF($A37="","",SUM(S37:AG37))</f>
        <v/>
      </c>
    </row>
    <row r="38">
      <c r="A38" s="12" t="n"/>
      <c r="B38" s="12" t="n"/>
      <c r="C38" s="12" t="n"/>
      <c r="D38" s="12" t="n"/>
      <c r="E38" s="12" t="n"/>
      <c r="F38" s="12" t="n"/>
      <c r="G38" s="12" t="n"/>
      <c r="H38" s="12" t="n"/>
      <c r="I38" s="12" t="n"/>
      <c r="J38" s="12" t="n"/>
      <c r="K38" s="12" t="n"/>
      <c r="L38" s="12" t="n"/>
      <c r="M38" s="12" t="n"/>
      <c r="N38" s="12" t="n"/>
      <c r="O38" s="12" t="n"/>
      <c r="P38" s="12" t="n"/>
      <c r="Q38" s="12" t="n"/>
      <c r="S38" s="13">
        <f>IF($C38="","",IF(UPPER(TRIM(C38))=INDEX('2_前後測題庫'!$I$5:$I$19,1),1,0))</f>
        <v/>
      </c>
      <c r="T38" s="13">
        <f>IF($D38="","",IF(UPPER(TRIM(D38))=INDEX('2_前後測題庫'!$I$5:$I$19,2),1,0))</f>
        <v/>
      </c>
      <c r="U38" s="13">
        <f>IF($E38="","",IF(UPPER(TRIM(E38))=INDEX('2_前後測題庫'!$I$5:$I$19,3),1,0))</f>
        <v/>
      </c>
      <c r="V38" s="13">
        <f>IF($F38="","",IF(UPPER(TRIM(F38))=INDEX('2_前後測題庫'!$I$5:$I$19,4),1,0))</f>
        <v/>
      </c>
      <c r="W38" s="13">
        <f>IF($G38="","",IF(UPPER(TRIM(G38))=INDEX('2_前後測題庫'!$I$5:$I$19,5),1,0))</f>
        <v/>
      </c>
      <c r="X38" s="13">
        <f>IF($H38="","",IF(UPPER(TRIM(H38))=INDEX('2_前後測題庫'!$I$5:$I$19,6),1,0))</f>
        <v/>
      </c>
      <c r="Y38" s="13">
        <f>IF($I38="","",IF(UPPER(TRIM(I38))=INDEX('2_前後測題庫'!$I$5:$I$19,7),1,0))</f>
        <v/>
      </c>
      <c r="Z38" s="13">
        <f>IF($J38="","",IF(UPPER(TRIM(J38))=INDEX('2_前後測題庫'!$I$5:$I$19,8),1,0))</f>
        <v/>
      </c>
      <c r="AA38" s="13">
        <f>IF($K38="","",IF(UPPER(TRIM(K38))=INDEX('2_前後測題庫'!$I$5:$I$19,9),1,0))</f>
        <v/>
      </c>
      <c r="AB38" s="13">
        <f>IF($L38="","",IF(UPPER(TRIM(L38))=INDEX('2_前後測題庫'!$I$5:$I$19,10),1,0))</f>
        <v/>
      </c>
      <c r="AC38" s="13">
        <f>IF($M38="","",IF(UPPER(TRIM(M38))=INDEX('2_前後測題庫'!$I$5:$I$19,11),1,0))</f>
        <v/>
      </c>
      <c r="AD38" s="13">
        <f>IF($N38="","",IF(UPPER(TRIM(N38))=INDEX('2_前後測題庫'!$I$5:$I$19,12),1,0))</f>
        <v/>
      </c>
      <c r="AE38" s="13">
        <f>IF($O38="","",IF(UPPER(TRIM(O38))=INDEX('2_前後測題庫'!$I$5:$I$19,13),1,0))</f>
        <v/>
      </c>
      <c r="AF38" s="13">
        <f>IF($P38="","",IF(UPPER(TRIM(P38))=INDEX('2_前後測題庫'!$I$5:$I$19,14),1,0))</f>
        <v/>
      </c>
      <c r="AG38" s="13">
        <f>IF($Q38="","",IF(UPPER(TRIM(Q38))=INDEX('2_前後測題庫'!$I$5:$I$19,15),1,0))</f>
        <v/>
      </c>
      <c r="AH38" s="14">
        <f>IF($A38="","",SUM(S38:AG38))</f>
        <v/>
      </c>
    </row>
    <row r="39">
      <c r="A39" s="12" t="n"/>
      <c r="B39" s="12" t="n"/>
      <c r="C39" s="12" t="n"/>
      <c r="D39" s="12" t="n"/>
      <c r="E39" s="12" t="n"/>
      <c r="F39" s="12" t="n"/>
      <c r="G39" s="12" t="n"/>
      <c r="H39" s="12" t="n"/>
      <c r="I39" s="12" t="n"/>
      <c r="J39" s="12" t="n"/>
      <c r="K39" s="12" t="n"/>
      <c r="L39" s="12" t="n"/>
      <c r="M39" s="12" t="n"/>
      <c r="N39" s="12" t="n"/>
      <c r="O39" s="12" t="n"/>
      <c r="P39" s="12" t="n"/>
      <c r="Q39" s="12" t="n"/>
      <c r="S39" s="13">
        <f>IF($C39="","",IF(UPPER(TRIM(C39))=INDEX('2_前後測題庫'!$I$5:$I$19,1),1,0))</f>
        <v/>
      </c>
      <c r="T39" s="13">
        <f>IF($D39="","",IF(UPPER(TRIM(D39))=INDEX('2_前後測題庫'!$I$5:$I$19,2),1,0))</f>
        <v/>
      </c>
      <c r="U39" s="13">
        <f>IF($E39="","",IF(UPPER(TRIM(E39))=INDEX('2_前後測題庫'!$I$5:$I$19,3),1,0))</f>
        <v/>
      </c>
      <c r="V39" s="13">
        <f>IF($F39="","",IF(UPPER(TRIM(F39))=INDEX('2_前後測題庫'!$I$5:$I$19,4),1,0))</f>
        <v/>
      </c>
      <c r="W39" s="13">
        <f>IF($G39="","",IF(UPPER(TRIM(G39))=INDEX('2_前後測題庫'!$I$5:$I$19,5),1,0))</f>
        <v/>
      </c>
      <c r="X39" s="13">
        <f>IF($H39="","",IF(UPPER(TRIM(H39))=INDEX('2_前後測題庫'!$I$5:$I$19,6),1,0))</f>
        <v/>
      </c>
      <c r="Y39" s="13">
        <f>IF($I39="","",IF(UPPER(TRIM(I39))=INDEX('2_前後測題庫'!$I$5:$I$19,7),1,0))</f>
        <v/>
      </c>
      <c r="Z39" s="13">
        <f>IF($J39="","",IF(UPPER(TRIM(J39))=INDEX('2_前後測題庫'!$I$5:$I$19,8),1,0))</f>
        <v/>
      </c>
      <c r="AA39" s="13">
        <f>IF($K39="","",IF(UPPER(TRIM(K39))=INDEX('2_前後測題庫'!$I$5:$I$19,9),1,0))</f>
        <v/>
      </c>
      <c r="AB39" s="13">
        <f>IF($L39="","",IF(UPPER(TRIM(L39))=INDEX('2_前後測題庫'!$I$5:$I$19,10),1,0))</f>
        <v/>
      </c>
      <c r="AC39" s="13">
        <f>IF($M39="","",IF(UPPER(TRIM(M39))=INDEX('2_前後測題庫'!$I$5:$I$19,11),1,0))</f>
        <v/>
      </c>
      <c r="AD39" s="13">
        <f>IF($N39="","",IF(UPPER(TRIM(N39))=INDEX('2_前後測題庫'!$I$5:$I$19,12),1,0))</f>
        <v/>
      </c>
      <c r="AE39" s="13">
        <f>IF($O39="","",IF(UPPER(TRIM(O39))=INDEX('2_前後測題庫'!$I$5:$I$19,13),1,0))</f>
        <v/>
      </c>
      <c r="AF39" s="13">
        <f>IF($P39="","",IF(UPPER(TRIM(P39))=INDEX('2_前後測題庫'!$I$5:$I$19,14),1,0))</f>
        <v/>
      </c>
      <c r="AG39" s="13">
        <f>IF($Q39="","",IF(UPPER(TRIM(Q39))=INDEX('2_前後測題庫'!$I$5:$I$19,15),1,0))</f>
        <v/>
      </c>
      <c r="AH39" s="14">
        <f>IF($A39="","",SUM(S39:AG39))</f>
        <v/>
      </c>
    </row>
    <row r="40">
      <c r="A40" s="12" t="n"/>
      <c r="B40" s="12" t="n"/>
      <c r="C40" s="12" t="n"/>
      <c r="D40" s="12" t="n"/>
      <c r="E40" s="12" t="n"/>
      <c r="F40" s="12" t="n"/>
      <c r="G40" s="12" t="n"/>
      <c r="H40" s="12" t="n"/>
      <c r="I40" s="12" t="n"/>
      <c r="J40" s="12" t="n"/>
      <c r="K40" s="12" t="n"/>
      <c r="L40" s="12" t="n"/>
      <c r="M40" s="12" t="n"/>
      <c r="N40" s="12" t="n"/>
      <c r="O40" s="12" t="n"/>
      <c r="P40" s="12" t="n"/>
      <c r="Q40" s="12" t="n"/>
      <c r="S40" s="13">
        <f>IF($C40="","",IF(UPPER(TRIM(C40))=INDEX('2_前後測題庫'!$I$5:$I$19,1),1,0))</f>
        <v/>
      </c>
      <c r="T40" s="13">
        <f>IF($D40="","",IF(UPPER(TRIM(D40))=INDEX('2_前後測題庫'!$I$5:$I$19,2),1,0))</f>
        <v/>
      </c>
      <c r="U40" s="13">
        <f>IF($E40="","",IF(UPPER(TRIM(E40))=INDEX('2_前後測題庫'!$I$5:$I$19,3),1,0))</f>
        <v/>
      </c>
      <c r="V40" s="13">
        <f>IF($F40="","",IF(UPPER(TRIM(F40))=INDEX('2_前後測題庫'!$I$5:$I$19,4),1,0))</f>
        <v/>
      </c>
      <c r="W40" s="13">
        <f>IF($G40="","",IF(UPPER(TRIM(G40))=INDEX('2_前後測題庫'!$I$5:$I$19,5),1,0))</f>
        <v/>
      </c>
      <c r="X40" s="13">
        <f>IF($H40="","",IF(UPPER(TRIM(H40))=INDEX('2_前後測題庫'!$I$5:$I$19,6),1,0))</f>
        <v/>
      </c>
      <c r="Y40" s="13">
        <f>IF($I40="","",IF(UPPER(TRIM(I40))=INDEX('2_前後測題庫'!$I$5:$I$19,7),1,0))</f>
        <v/>
      </c>
      <c r="Z40" s="13">
        <f>IF($J40="","",IF(UPPER(TRIM(J40))=INDEX('2_前後測題庫'!$I$5:$I$19,8),1,0))</f>
        <v/>
      </c>
      <c r="AA40" s="13">
        <f>IF($K40="","",IF(UPPER(TRIM(K40))=INDEX('2_前後測題庫'!$I$5:$I$19,9),1,0))</f>
        <v/>
      </c>
      <c r="AB40" s="13">
        <f>IF($L40="","",IF(UPPER(TRIM(L40))=INDEX('2_前後測題庫'!$I$5:$I$19,10),1,0))</f>
        <v/>
      </c>
      <c r="AC40" s="13">
        <f>IF($M40="","",IF(UPPER(TRIM(M40))=INDEX('2_前後測題庫'!$I$5:$I$19,11),1,0))</f>
        <v/>
      </c>
      <c r="AD40" s="13">
        <f>IF($N40="","",IF(UPPER(TRIM(N40))=INDEX('2_前後測題庫'!$I$5:$I$19,12),1,0))</f>
        <v/>
      </c>
      <c r="AE40" s="13">
        <f>IF($O40="","",IF(UPPER(TRIM(O40))=INDEX('2_前後測題庫'!$I$5:$I$19,13),1,0))</f>
        <v/>
      </c>
      <c r="AF40" s="13">
        <f>IF($P40="","",IF(UPPER(TRIM(P40))=INDEX('2_前後測題庫'!$I$5:$I$19,14),1,0))</f>
        <v/>
      </c>
      <c r="AG40" s="13">
        <f>IF($Q40="","",IF(UPPER(TRIM(Q40))=INDEX('2_前後測題庫'!$I$5:$I$19,15),1,0))</f>
        <v/>
      </c>
      <c r="AH40" s="14">
        <f>IF($A40="","",SUM(S40:AG40))</f>
        <v/>
      </c>
    </row>
    <row r="41">
      <c r="A41" s="12" t="n"/>
      <c r="B41" s="12" t="n"/>
      <c r="C41" s="12" t="n"/>
      <c r="D41" s="12" t="n"/>
      <c r="E41" s="12" t="n"/>
      <c r="F41" s="12" t="n"/>
      <c r="G41" s="12" t="n"/>
      <c r="H41" s="12" t="n"/>
      <c r="I41" s="12" t="n"/>
      <c r="J41" s="12" t="n"/>
      <c r="K41" s="12" t="n"/>
      <c r="L41" s="12" t="n"/>
      <c r="M41" s="12" t="n"/>
      <c r="N41" s="12" t="n"/>
      <c r="O41" s="12" t="n"/>
      <c r="P41" s="12" t="n"/>
      <c r="Q41" s="12" t="n"/>
      <c r="S41" s="13">
        <f>IF($C41="","",IF(UPPER(TRIM(C41))=INDEX('2_前後測題庫'!$I$5:$I$19,1),1,0))</f>
        <v/>
      </c>
      <c r="T41" s="13">
        <f>IF($D41="","",IF(UPPER(TRIM(D41))=INDEX('2_前後測題庫'!$I$5:$I$19,2),1,0))</f>
        <v/>
      </c>
      <c r="U41" s="13">
        <f>IF($E41="","",IF(UPPER(TRIM(E41))=INDEX('2_前後測題庫'!$I$5:$I$19,3),1,0))</f>
        <v/>
      </c>
      <c r="V41" s="13">
        <f>IF($F41="","",IF(UPPER(TRIM(F41))=INDEX('2_前後測題庫'!$I$5:$I$19,4),1,0))</f>
        <v/>
      </c>
      <c r="W41" s="13">
        <f>IF($G41="","",IF(UPPER(TRIM(G41))=INDEX('2_前後測題庫'!$I$5:$I$19,5),1,0))</f>
        <v/>
      </c>
      <c r="X41" s="13">
        <f>IF($H41="","",IF(UPPER(TRIM(H41))=INDEX('2_前後測題庫'!$I$5:$I$19,6),1,0))</f>
        <v/>
      </c>
      <c r="Y41" s="13">
        <f>IF($I41="","",IF(UPPER(TRIM(I41))=INDEX('2_前後測題庫'!$I$5:$I$19,7),1,0))</f>
        <v/>
      </c>
      <c r="Z41" s="13">
        <f>IF($J41="","",IF(UPPER(TRIM(J41))=INDEX('2_前後測題庫'!$I$5:$I$19,8),1,0))</f>
        <v/>
      </c>
      <c r="AA41" s="13">
        <f>IF($K41="","",IF(UPPER(TRIM(K41))=INDEX('2_前後測題庫'!$I$5:$I$19,9),1,0))</f>
        <v/>
      </c>
      <c r="AB41" s="13">
        <f>IF($L41="","",IF(UPPER(TRIM(L41))=INDEX('2_前後測題庫'!$I$5:$I$19,10),1,0))</f>
        <v/>
      </c>
      <c r="AC41" s="13">
        <f>IF($M41="","",IF(UPPER(TRIM(M41))=INDEX('2_前後測題庫'!$I$5:$I$19,11),1,0))</f>
        <v/>
      </c>
      <c r="AD41" s="13">
        <f>IF($N41="","",IF(UPPER(TRIM(N41))=INDEX('2_前後測題庫'!$I$5:$I$19,12),1,0))</f>
        <v/>
      </c>
      <c r="AE41" s="13">
        <f>IF($O41="","",IF(UPPER(TRIM(O41))=INDEX('2_前後測題庫'!$I$5:$I$19,13),1,0))</f>
        <v/>
      </c>
      <c r="AF41" s="13">
        <f>IF($P41="","",IF(UPPER(TRIM(P41))=INDEX('2_前後測題庫'!$I$5:$I$19,14),1,0))</f>
        <v/>
      </c>
      <c r="AG41" s="13">
        <f>IF($Q41="","",IF(UPPER(TRIM(Q41))=INDEX('2_前後測題庫'!$I$5:$I$19,15),1,0))</f>
        <v/>
      </c>
      <c r="AH41" s="14">
        <f>IF($A41="","",SUM(S41:AG41))</f>
        <v/>
      </c>
    </row>
    <row r="42">
      <c r="A42" s="12" t="n"/>
      <c r="B42" s="12" t="n"/>
      <c r="C42" s="12" t="n"/>
      <c r="D42" s="12" t="n"/>
      <c r="E42" s="12" t="n"/>
      <c r="F42" s="12" t="n"/>
      <c r="G42" s="12" t="n"/>
      <c r="H42" s="12" t="n"/>
      <c r="I42" s="12" t="n"/>
      <c r="J42" s="12" t="n"/>
      <c r="K42" s="12" t="n"/>
      <c r="L42" s="12" t="n"/>
      <c r="M42" s="12" t="n"/>
      <c r="N42" s="12" t="n"/>
      <c r="O42" s="12" t="n"/>
      <c r="P42" s="12" t="n"/>
      <c r="Q42" s="12" t="n"/>
      <c r="S42" s="13">
        <f>IF($C42="","",IF(UPPER(TRIM(C42))=INDEX('2_前後測題庫'!$I$5:$I$19,1),1,0))</f>
        <v/>
      </c>
      <c r="T42" s="13">
        <f>IF($D42="","",IF(UPPER(TRIM(D42))=INDEX('2_前後測題庫'!$I$5:$I$19,2),1,0))</f>
        <v/>
      </c>
      <c r="U42" s="13">
        <f>IF($E42="","",IF(UPPER(TRIM(E42))=INDEX('2_前後測題庫'!$I$5:$I$19,3),1,0))</f>
        <v/>
      </c>
      <c r="V42" s="13">
        <f>IF($F42="","",IF(UPPER(TRIM(F42))=INDEX('2_前後測題庫'!$I$5:$I$19,4),1,0))</f>
        <v/>
      </c>
      <c r="W42" s="13">
        <f>IF($G42="","",IF(UPPER(TRIM(G42))=INDEX('2_前後測題庫'!$I$5:$I$19,5),1,0))</f>
        <v/>
      </c>
      <c r="X42" s="13">
        <f>IF($H42="","",IF(UPPER(TRIM(H42))=INDEX('2_前後測題庫'!$I$5:$I$19,6),1,0))</f>
        <v/>
      </c>
      <c r="Y42" s="13">
        <f>IF($I42="","",IF(UPPER(TRIM(I42))=INDEX('2_前後測題庫'!$I$5:$I$19,7),1,0))</f>
        <v/>
      </c>
      <c r="Z42" s="13">
        <f>IF($J42="","",IF(UPPER(TRIM(J42))=INDEX('2_前後測題庫'!$I$5:$I$19,8),1,0))</f>
        <v/>
      </c>
      <c r="AA42" s="13">
        <f>IF($K42="","",IF(UPPER(TRIM(K42))=INDEX('2_前後測題庫'!$I$5:$I$19,9),1,0))</f>
        <v/>
      </c>
      <c r="AB42" s="13">
        <f>IF($L42="","",IF(UPPER(TRIM(L42))=INDEX('2_前後測題庫'!$I$5:$I$19,10),1,0))</f>
        <v/>
      </c>
      <c r="AC42" s="13">
        <f>IF($M42="","",IF(UPPER(TRIM(M42))=INDEX('2_前後測題庫'!$I$5:$I$19,11),1,0))</f>
        <v/>
      </c>
      <c r="AD42" s="13">
        <f>IF($N42="","",IF(UPPER(TRIM(N42))=INDEX('2_前後測題庫'!$I$5:$I$19,12),1,0))</f>
        <v/>
      </c>
      <c r="AE42" s="13">
        <f>IF($O42="","",IF(UPPER(TRIM(O42))=INDEX('2_前後測題庫'!$I$5:$I$19,13),1,0))</f>
        <v/>
      </c>
      <c r="AF42" s="13">
        <f>IF($P42="","",IF(UPPER(TRIM(P42))=INDEX('2_前後測題庫'!$I$5:$I$19,14),1,0))</f>
        <v/>
      </c>
      <c r="AG42" s="13">
        <f>IF($Q42="","",IF(UPPER(TRIM(Q42))=INDEX('2_前後測題庫'!$I$5:$I$19,15),1,0))</f>
        <v/>
      </c>
      <c r="AH42" s="14">
        <f>IF($A42="","",SUM(S42:AG42))</f>
        <v/>
      </c>
    </row>
    <row r="43">
      <c r="A43" s="12" t="n"/>
      <c r="B43" s="12" t="n"/>
      <c r="C43" s="12" t="n"/>
      <c r="D43" s="12" t="n"/>
      <c r="E43" s="12" t="n"/>
      <c r="F43" s="12" t="n"/>
      <c r="G43" s="12" t="n"/>
      <c r="H43" s="12" t="n"/>
      <c r="I43" s="12" t="n"/>
      <c r="J43" s="12" t="n"/>
      <c r="K43" s="12" t="n"/>
      <c r="L43" s="12" t="n"/>
      <c r="M43" s="12" t="n"/>
      <c r="N43" s="12" t="n"/>
      <c r="O43" s="12" t="n"/>
      <c r="P43" s="12" t="n"/>
      <c r="Q43" s="12" t="n"/>
      <c r="S43" s="13">
        <f>IF($C43="","",IF(UPPER(TRIM(C43))=INDEX('2_前後測題庫'!$I$5:$I$19,1),1,0))</f>
        <v/>
      </c>
      <c r="T43" s="13">
        <f>IF($D43="","",IF(UPPER(TRIM(D43))=INDEX('2_前後測題庫'!$I$5:$I$19,2),1,0))</f>
        <v/>
      </c>
      <c r="U43" s="13">
        <f>IF($E43="","",IF(UPPER(TRIM(E43))=INDEX('2_前後測題庫'!$I$5:$I$19,3),1,0))</f>
        <v/>
      </c>
      <c r="V43" s="13">
        <f>IF($F43="","",IF(UPPER(TRIM(F43))=INDEX('2_前後測題庫'!$I$5:$I$19,4),1,0))</f>
        <v/>
      </c>
      <c r="W43" s="13">
        <f>IF($G43="","",IF(UPPER(TRIM(G43))=INDEX('2_前後測題庫'!$I$5:$I$19,5),1,0))</f>
        <v/>
      </c>
      <c r="X43" s="13">
        <f>IF($H43="","",IF(UPPER(TRIM(H43))=INDEX('2_前後測題庫'!$I$5:$I$19,6),1,0))</f>
        <v/>
      </c>
      <c r="Y43" s="13">
        <f>IF($I43="","",IF(UPPER(TRIM(I43))=INDEX('2_前後測題庫'!$I$5:$I$19,7),1,0))</f>
        <v/>
      </c>
      <c r="Z43" s="13">
        <f>IF($J43="","",IF(UPPER(TRIM(J43))=INDEX('2_前後測題庫'!$I$5:$I$19,8),1,0))</f>
        <v/>
      </c>
      <c r="AA43" s="13">
        <f>IF($K43="","",IF(UPPER(TRIM(K43))=INDEX('2_前後測題庫'!$I$5:$I$19,9),1,0))</f>
        <v/>
      </c>
      <c r="AB43" s="13">
        <f>IF($L43="","",IF(UPPER(TRIM(L43))=INDEX('2_前後測題庫'!$I$5:$I$19,10),1,0))</f>
        <v/>
      </c>
      <c r="AC43" s="13">
        <f>IF($M43="","",IF(UPPER(TRIM(M43))=INDEX('2_前後測題庫'!$I$5:$I$19,11),1,0))</f>
        <v/>
      </c>
      <c r="AD43" s="13">
        <f>IF($N43="","",IF(UPPER(TRIM(N43))=INDEX('2_前後測題庫'!$I$5:$I$19,12),1,0))</f>
        <v/>
      </c>
      <c r="AE43" s="13">
        <f>IF($O43="","",IF(UPPER(TRIM(O43))=INDEX('2_前後測題庫'!$I$5:$I$19,13),1,0))</f>
        <v/>
      </c>
      <c r="AF43" s="13">
        <f>IF($P43="","",IF(UPPER(TRIM(P43))=INDEX('2_前後測題庫'!$I$5:$I$19,14),1,0))</f>
        <v/>
      </c>
      <c r="AG43" s="13">
        <f>IF($Q43="","",IF(UPPER(TRIM(Q43))=INDEX('2_前後測題庫'!$I$5:$I$19,15),1,0))</f>
        <v/>
      </c>
      <c r="AH43" s="14">
        <f>IF($A43="","",SUM(S43:AG43))</f>
        <v/>
      </c>
    </row>
    <row r="44">
      <c r="A44" s="12" t="n"/>
      <c r="B44" s="12" t="n"/>
      <c r="C44" s="12" t="n"/>
      <c r="D44" s="12" t="n"/>
      <c r="E44" s="12" t="n"/>
      <c r="F44" s="12" t="n"/>
      <c r="G44" s="12" t="n"/>
      <c r="H44" s="12" t="n"/>
      <c r="I44" s="12" t="n"/>
      <c r="J44" s="12" t="n"/>
      <c r="K44" s="12" t="n"/>
      <c r="L44" s="12" t="n"/>
      <c r="M44" s="12" t="n"/>
      <c r="N44" s="12" t="n"/>
      <c r="O44" s="12" t="n"/>
      <c r="P44" s="12" t="n"/>
      <c r="Q44" s="12" t="n"/>
      <c r="S44" s="13">
        <f>IF($C44="","",IF(UPPER(TRIM(C44))=INDEX('2_前後測題庫'!$I$5:$I$19,1),1,0))</f>
        <v/>
      </c>
      <c r="T44" s="13">
        <f>IF($D44="","",IF(UPPER(TRIM(D44))=INDEX('2_前後測題庫'!$I$5:$I$19,2),1,0))</f>
        <v/>
      </c>
      <c r="U44" s="13">
        <f>IF($E44="","",IF(UPPER(TRIM(E44))=INDEX('2_前後測題庫'!$I$5:$I$19,3),1,0))</f>
        <v/>
      </c>
      <c r="V44" s="13">
        <f>IF($F44="","",IF(UPPER(TRIM(F44))=INDEX('2_前後測題庫'!$I$5:$I$19,4),1,0))</f>
        <v/>
      </c>
      <c r="W44" s="13">
        <f>IF($G44="","",IF(UPPER(TRIM(G44))=INDEX('2_前後測題庫'!$I$5:$I$19,5),1,0))</f>
        <v/>
      </c>
      <c r="X44" s="13">
        <f>IF($H44="","",IF(UPPER(TRIM(H44))=INDEX('2_前後測題庫'!$I$5:$I$19,6),1,0))</f>
        <v/>
      </c>
      <c r="Y44" s="13">
        <f>IF($I44="","",IF(UPPER(TRIM(I44))=INDEX('2_前後測題庫'!$I$5:$I$19,7),1,0))</f>
        <v/>
      </c>
      <c r="Z44" s="13">
        <f>IF($J44="","",IF(UPPER(TRIM(J44))=INDEX('2_前後測題庫'!$I$5:$I$19,8),1,0))</f>
        <v/>
      </c>
      <c r="AA44" s="13">
        <f>IF($K44="","",IF(UPPER(TRIM(K44))=INDEX('2_前後測題庫'!$I$5:$I$19,9),1,0))</f>
        <v/>
      </c>
      <c r="AB44" s="13">
        <f>IF($L44="","",IF(UPPER(TRIM(L44))=INDEX('2_前後測題庫'!$I$5:$I$19,10),1,0))</f>
        <v/>
      </c>
      <c r="AC44" s="13">
        <f>IF($M44="","",IF(UPPER(TRIM(M44))=INDEX('2_前後測題庫'!$I$5:$I$19,11),1,0))</f>
        <v/>
      </c>
      <c r="AD44" s="13">
        <f>IF($N44="","",IF(UPPER(TRIM(N44))=INDEX('2_前後測題庫'!$I$5:$I$19,12),1,0))</f>
        <v/>
      </c>
      <c r="AE44" s="13">
        <f>IF($O44="","",IF(UPPER(TRIM(O44))=INDEX('2_前後測題庫'!$I$5:$I$19,13),1,0))</f>
        <v/>
      </c>
      <c r="AF44" s="13">
        <f>IF($P44="","",IF(UPPER(TRIM(P44))=INDEX('2_前後測題庫'!$I$5:$I$19,14),1,0))</f>
        <v/>
      </c>
      <c r="AG44" s="13">
        <f>IF($Q44="","",IF(UPPER(TRIM(Q44))=INDEX('2_前後測題庫'!$I$5:$I$19,15),1,0))</f>
        <v/>
      </c>
      <c r="AH44" s="14">
        <f>IF($A44="","",SUM(S44:AG44))</f>
        <v/>
      </c>
    </row>
    <row r="45">
      <c r="A45" s="12" t="n"/>
      <c r="B45" s="12" t="n"/>
      <c r="C45" s="12" t="n"/>
      <c r="D45" s="12" t="n"/>
      <c r="E45" s="12" t="n"/>
      <c r="F45" s="12" t="n"/>
      <c r="G45" s="12" t="n"/>
      <c r="H45" s="12" t="n"/>
      <c r="I45" s="12" t="n"/>
      <c r="J45" s="12" t="n"/>
      <c r="K45" s="12" t="n"/>
      <c r="L45" s="12" t="n"/>
      <c r="M45" s="12" t="n"/>
      <c r="N45" s="12" t="n"/>
      <c r="O45" s="12" t="n"/>
      <c r="P45" s="12" t="n"/>
      <c r="Q45" s="12" t="n"/>
      <c r="S45" s="13">
        <f>IF($C45="","",IF(UPPER(TRIM(C45))=INDEX('2_前後測題庫'!$I$5:$I$19,1),1,0))</f>
        <v/>
      </c>
      <c r="T45" s="13">
        <f>IF($D45="","",IF(UPPER(TRIM(D45))=INDEX('2_前後測題庫'!$I$5:$I$19,2),1,0))</f>
        <v/>
      </c>
      <c r="U45" s="13">
        <f>IF($E45="","",IF(UPPER(TRIM(E45))=INDEX('2_前後測題庫'!$I$5:$I$19,3),1,0))</f>
        <v/>
      </c>
      <c r="V45" s="13">
        <f>IF($F45="","",IF(UPPER(TRIM(F45))=INDEX('2_前後測題庫'!$I$5:$I$19,4),1,0))</f>
        <v/>
      </c>
      <c r="W45" s="13">
        <f>IF($G45="","",IF(UPPER(TRIM(G45))=INDEX('2_前後測題庫'!$I$5:$I$19,5),1,0))</f>
        <v/>
      </c>
      <c r="X45" s="13">
        <f>IF($H45="","",IF(UPPER(TRIM(H45))=INDEX('2_前後測題庫'!$I$5:$I$19,6),1,0))</f>
        <v/>
      </c>
      <c r="Y45" s="13">
        <f>IF($I45="","",IF(UPPER(TRIM(I45))=INDEX('2_前後測題庫'!$I$5:$I$19,7),1,0))</f>
        <v/>
      </c>
      <c r="Z45" s="13">
        <f>IF($J45="","",IF(UPPER(TRIM(J45))=INDEX('2_前後測題庫'!$I$5:$I$19,8),1,0))</f>
        <v/>
      </c>
      <c r="AA45" s="13">
        <f>IF($K45="","",IF(UPPER(TRIM(K45))=INDEX('2_前後測題庫'!$I$5:$I$19,9),1,0))</f>
        <v/>
      </c>
      <c r="AB45" s="13">
        <f>IF($L45="","",IF(UPPER(TRIM(L45))=INDEX('2_前後測題庫'!$I$5:$I$19,10),1,0))</f>
        <v/>
      </c>
      <c r="AC45" s="13">
        <f>IF($M45="","",IF(UPPER(TRIM(M45))=INDEX('2_前後測題庫'!$I$5:$I$19,11),1,0))</f>
        <v/>
      </c>
      <c r="AD45" s="13">
        <f>IF($N45="","",IF(UPPER(TRIM(N45))=INDEX('2_前後測題庫'!$I$5:$I$19,12),1,0))</f>
        <v/>
      </c>
      <c r="AE45" s="13">
        <f>IF($O45="","",IF(UPPER(TRIM(O45))=INDEX('2_前後測題庫'!$I$5:$I$19,13),1,0))</f>
        <v/>
      </c>
      <c r="AF45" s="13">
        <f>IF($P45="","",IF(UPPER(TRIM(P45))=INDEX('2_前後測題庫'!$I$5:$I$19,14),1,0))</f>
        <v/>
      </c>
      <c r="AG45" s="13">
        <f>IF($Q45="","",IF(UPPER(TRIM(Q45))=INDEX('2_前後測題庫'!$I$5:$I$19,15),1,0))</f>
        <v/>
      </c>
      <c r="AH45" s="14">
        <f>IF($A45="","",SUM(S45:AG45))</f>
        <v/>
      </c>
    </row>
    <row r="46">
      <c r="A46" s="12" t="n"/>
      <c r="B46" s="12" t="n"/>
      <c r="C46" s="12" t="n"/>
      <c r="D46" s="12" t="n"/>
      <c r="E46" s="12" t="n"/>
      <c r="F46" s="12" t="n"/>
      <c r="G46" s="12" t="n"/>
      <c r="H46" s="12" t="n"/>
      <c r="I46" s="12" t="n"/>
      <c r="J46" s="12" t="n"/>
      <c r="K46" s="12" t="n"/>
      <c r="L46" s="12" t="n"/>
      <c r="M46" s="12" t="n"/>
      <c r="N46" s="12" t="n"/>
      <c r="O46" s="12" t="n"/>
      <c r="P46" s="12" t="n"/>
      <c r="Q46" s="12" t="n"/>
      <c r="S46" s="13">
        <f>IF($C46="","",IF(UPPER(TRIM(C46))=INDEX('2_前後測題庫'!$I$5:$I$19,1),1,0))</f>
        <v/>
      </c>
      <c r="T46" s="13">
        <f>IF($D46="","",IF(UPPER(TRIM(D46))=INDEX('2_前後測題庫'!$I$5:$I$19,2),1,0))</f>
        <v/>
      </c>
      <c r="U46" s="13">
        <f>IF($E46="","",IF(UPPER(TRIM(E46))=INDEX('2_前後測題庫'!$I$5:$I$19,3),1,0))</f>
        <v/>
      </c>
      <c r="V46" s="13">
        <f>IF($F46="","",IF(UPPER(TRIM(F46))=INDEX('2_前後測題庫'!$I$5:$I$19,4),1,0))</f>
        <v/>
      </c>
      <c r="W46" s="13">
        <f>IF($G46="","",IF(UPPER(TRIM(G46))=INDEX('2_前後測題庫'!$I$5:$I$19,5),1,0))</f>
        <v/>
      </c>
      <c r="X46" s="13">
        <f>IF($H46="","",IF(UPPER(TRIM(H46))=INDEX('2_前後測題庫'!$I$5:$I$19,6),1,0))</f>
        <v/>
      </c>
      <c r="Y46" s="13">
        <f>IF($I46="","",IF(UPPER(TRIM(I46))=INDEX('2_前後測題庫'!$I$5:$I$19,7),1,0))</f>
        <v/>
      </c>
      <c r="Z46" s="13">
        <f>IF($J46="","",IF(UPPER(TRIM(J46))=INDEX('2_前後測題庫'!$I$5:$I$19,8),1,0))</f>
        <v/>
      </c>
      <c r="AA46" s="13">
        <f>IF($K46="","",IF(UPPER(TRIM(K46))=INDEX('2_前後測題庫'!$I$5:$I$19,9),1,0))</f>
        <v/>
      </c>
      <c r="AB46" s="13">
        <f>IF($L46="","",IF(UPPER(TRIM(L46))=INDEX('2_前後測題庫'!$I$5:$I$19,10),1,0))</f>
        <v/>
      </c>
      <c r="AC46" s="13">
        <f>IF($M46="","",IF(UPPER(TRIM(M46))=INDEX('2_前後測題庫'!$I$5:$I$19,11),1,0))</f>
        <v/>
      </c>
      <c r="AD46" s="13">
        <f>IF($N46="","",IF(UPPER(TRIM(N46))=INDEX('2_前後測題庫'!$I$5:$I$19,12),1,0))</f>
        <v/>
      </c>
      <c r="AE46" s="13">
        <f>IF($O46="","",IF(UPPER(TRIM(O46))=INDEX('2_前後測題庫'!$I$5:$I$19,13),1,0))</f>
        <v/>
      </c>
      <c r="AF46" s="13">
        <f>IF($P46="","",IF(UPPER(TRIM(P46))=INDEX('2_前後測題庫'!$I$5:$I$19,14),1,0))</f>
        <v/>
      </c>
      <c r="AG46" s="13">
        <f>IF($Q46="","",IF(UPPER(TRIM(Q46))=INDEX('2_前後測題庫'!$I$5:$I$19,15),1,0))</f>
        <v/>
      </c>
      <c r="AH46" s="14">
        <f>IF($A46="","",SUM(S46:AG46))</f>
        <v/>
      </c>
    </row>
    <row r="47">
      <c r="A47" s="12" t="n"/>
      <c r="B47" s="12" t="n"/>
      <c r="C47" s="12" t="n"/>
      <c r="D47" s="12" t="n"/>
      <c r="E47" s="12" t="n"/>
      <c r="F47" s="12" t="n"/>
      <c r="G47" s="12" t="n"/>
      <c r="H47" s="12" t="n"/>
      <c r="I47" s="12" t="n"/>
      <c r="J47" s="12" t="n"/>
      <c r="K47" s="12" t="n"/>
      <c r="L47" s="12" t="n"/>
      <c r="M47" s="12" t="n"/>
      <c r="N47" s="12" t="n"/>
      <c r="O47" s="12" t="n"/>
      <c r="P47" s="12" t="n"/>
      <c r="Q47" s="12" t="n"/>
      <c r="S47" s="13">
        <f>IF($C47="","",IF(UPPER(TRIM(C47))=INDEX('2_前後測題庫'!$I$5:$I$19,1),1,0))</f>
        <v/>
      </c>
      <c r="T47" s="13">
        <f>IF($D47="","",IF(UPPER(TRIM(D47))=INDEX('2_前後測題庫'!$I$5:$I$19,2),1,0))</f>
        <v/>
      </c>
      <c r="U47" s="13">
        <f>IF($E47="","",IF(UPPER(TRIM(E47))=INDEX('2_前後測題庫'!$I$5:$I$19,3),1,0))</f>
        <v/>
      </c>
      <c r="V47" s="13">
        <f>IF($F47="","",IF(UPPER(TRIM(F47))=INDEX('2_前後測題庫'!$I$5:$I$19,4),1,0))</f>
        <v/>
      </c>
      <c r="W47" s="13">
        <f>IF($G47="","",IF(UPPER(TRIM(G47))=INDEX('2_前後測題庫'!$I$5:$I$19,5),1,0))</f>
        <v/>
      </c>
      <c r="X47" s="13">
        <f>IF($H47="","",IF(UPPER(TRIM(H47))=INDEX('2_前後測題庫'!$I$5:$I$19,6),1,0))</f>
        <v/>
      </c>
      <c r="Y47" s="13">
        <f>IF($I47="","",IF(UPPER(TRIM(I47))=INDEX('2_前後測題庫'!$I$5:$I$19,7),1,0))</f>
        <v/>
      </c>
      <c r="Z47" s="13">
        <f>IF($J47="","",IF(UPPER(TRIM(J47))=INDEX('2_前後測題庫'!$I$5:$I$19,8),1,0))</f>
        <v/>
      </c>
      <c r="AA47" s="13">
        <f>IF($K47="","",IF(UPPER(TRIM(K47))=INDEX('2_前後測題庫'!$I$5:$I$19,9),1,0))</f>
        <v/>
      </c>
      <c r="AB47" s="13">
        <f>IF($L47="","",IF(UPPER(TRIM(L47))=INDEX('2_前後測題庫'!$I$5:$I$19,10),1,0))</f>
        <v/>
      </c>
      <c r="AC47" s="13">
        <f>IF($M47="","",IF(UPPER(TRIM(M47))=INDEX('2_前後測題庫'!$I$5:$I$19,11),1,0))</f>
        <v/>
      </c>
      <c r="AD47" s="13">
        <f>IF($N47="","",IF(UPPER(TRIM(N47))=INDEX('2_前後測題庫'!$I$5:$I$19,12),1,0))</f>
        <v/>
      </c>
      <c r="AE47" s="13">
        <f>IF($O47="","",IF(UPPER(TRIM(O47))=INDEX('2_前後測題庫'!$I$5:$I$19,13),1,0))</f>
        <v/>
      </c>
      <c r="AF47" s="13">
        <f>IF($P47="","",IF(UPPER(TRIM(P47))=INDEX('2_前後測題庫'!$I$5:$I$19,14),1,0))</f>
        <v/>
      </c>
      <c r="AG47" s="13">
        <f>IF($Q47="","",IF(UPPER(TRIM(Q47))=INDEX('2_前後測題庫'!$I$5:$I$19,15),1,0))</f>
        <v/>
      </c>
      <c r="AH47" s="14">
        <f>IF($A47="","",SUM(S47:AG47))</f>
        <v/>
      </c>
    </row>
    <row r="48">
      <c r="A48" s="12" t="n"/>
      <c r="B48" s="12" t="n"/>
      <c r="C48" s="12" t="n"/>
      <c r="D48" s="12" t="n"/>
      <c r="E48" s="12" t="n"/>
      <c r="F48" s="12" t="n"/>
      <c r="G48" s="12" t="n"/>
      <c r="H48" s="12" t="n"/>
      <c r="I48" s="12" t="n"/>
      <c r="J48" s="12" t="n"/>
      <c r="K48" s="12" t="n"/>
      <c r="L48" s="12" t="n"/>
      <c r="M48" s="12" t="n"/>
      <c r="N48" s="12" t="n"/>
      <c r="O48" s="12" t="n"/>
      <c r="P48" s="12" t="n"/>
      <c r="Q48" s="12" t="n"/>
      <c r="S48" s="13">
        <f>IF($C48="","",IF(UPPER(TRIM(C48))=INDEX('2_前後測題庫'!$I$5:$I$19,1),1,0))</f>
        <v/>
      </c>
      <c r="T48" s="13">
        <f>IF($D48="","",IF(UPPER(TRIM(D48))=INDEX('2_前後測題庫'!$I$5:$I$19,2),1,0))</f>
        <v/>
      </c>
      <c r="U48" s="13">
        <f>IF($E48="","",IF(UPPER(TRIM(E48))=INDEX('2_前後測題庫'!$I$5:$I$19,3),1,0))</f>
        <v/>
      </c>
      <c r="V48" s="13">
        <f>IF($F48="","",IF(UPPER(TRIM(F48))=INDEX('2_前後測題庫'!$I$5:$I$19,4),1,0))</f>
        <v/>
      </c>
      <c r="W48" s="13">
        <f>IF($G48="","",IF(UPPER(TRIM(G48))=INDEX('2_前後測題庫'!$I$5:$I$19,5),1,0))</f>
        <v/>
      </c>
      <c r="X48" s="13">
        <f>IF($H48="","",IF(UPPER(TRIM(H48))=INDEX('2_前後測題庫'!$I$5:$I$19,6),1,0))</f>
        <v/>
      </c>
      <c r="Y48" s="13">
        <f>IF($I48="","",IF(UPPER(TRIM(I48))=INDEX('2_前後測題庫'!$I$5:$I$19,7),1,0))</f>
        <v/>
      </c>
      <c r="Z48" s="13">
        <f>IF($J48="","",IF(UPPER(TRIM(J48))=INDEX('2_前後測題庫'!$I$5:$I$19,8),1,0))</f>
        <v/>
      </c>
      <c r="AA48" s="13">
        <f>IF($K48="","",IF(UPPER(TRIM(K48))=INDEX('2_前後測題庫'!$I$5:$I$19,9),1,0))</f>
        <v/>
      </c>
      <c r="AB48" s="13">
        <f>IF($L48="","",IF(UPPER(TRIM(L48))=INDEX('2_前後測題庫'!$I$5:$I$19,10),1,0))</f>
        <v/>
      </c>
      <c r="AC48" s="13">
        <f>IF($M48="","",IF(UPPER(TRIM(M48))=INDEX('2_前後測題庫'!$I$5:$I$19,11),1,0))</f>
        <v/>
      </c>
      <c r="AD48" s="13">
        <f>IF($N48="","",IF(UPPER(TRIM(N48))=INDEX('2_前後測題庫'!$I$5:$I$19,12),1,0))</f>
        <v/>
      </c>
      <c r="AE48" s="13">
        <f>IF($O48="","",IF(UPPER(TRIM(O48))=INDEX('2_前後測題庫'!$I$5:$I$19,13),1,0))</f>
        <v/>
      </c>
      <c r="AF48" s="13">
        <f>IF($P48="","",IF(UPPER(TRIM(P48))=INDEX('2_前後測題庫'!$I$5:$I$19,14),1,0))</f>
        <v/>
      </c>
      <c r="AG48" s="13">
        <f>IF($Q48="","",IF(UPPER(TRIM(Q48))=INDEX('2_前後測題庫'!$I$5:$I$19,15),1,0))</f>
        <v/>
      </c>
      <c r="AH48" s="14">
        <f>IF($A48="","",SUM(S48:AG48))</f>
        <v/>
      </c>
    </row>
    <row r="49">
      <c r="A49" s="12" t="n"/>
      <c r="B49" s="12" t="n"/>
      <c r="C49" s="12" t="n"/>
      <c r="D49" s="12" t="n"/>
      <c r="E49" s="12" t="n"/>
      <c r="F49" s="12" t="n"/>
      <c r="G49" s="12" t="n"/>
      <c r="H49" s="12" t="n"/>
      <c r="I49" s="12" t="n"/>
      <c r="J49" s="12" t="n"/>
      <c r="K49" s="12" t="n"/>
      <c r="L49" s="12" t="n"/>
      <c r="M49" s="12" t="n"/>
      <c r="N49" s="12" t="n"/>
      <c r="O49" s="12" t="n"/>
      <c r="P49" s="12" t="n"/>
      <c r="Q49" s="12" t="n"/>
      <c r="S49" s="13">
        <f>IF($C49="","",IF(UPPER(TRIM(C49))=INDEX('2_前後測題庫'!$I$5:$I$19,1),1,0))</f>
        <v/>
      </c>
      <c r="T49" s="13">
        <f>IF($D49="","",IF(UPPER(TRIM(D49))=INDEX('2_前後測題庫'!$I$5:$I$19,2),1,0))</f>
        <v/>
      </c>
      <c r="U49" s="13">
        <f>IF($E49="","",IF(UPPER(TRIM(E49))=INDEX('2_前後測題庫'!$I$5:$I$19,3),1,0))</f>
        <v/>
      </c>
      <c r="V49" s="13">
        <f>IF($F49="","",IF(UPPER(TRIM(F49))=INDEX('2_前後測題庫'!$I$5:$I$19,4),1,0))</f>
        <v/>
      </c>
      <c r="W49" s="13">
        <f>IF($G49="","",IF(UPPER(TRIM(G49))=INDEX('2_前後測題庫'!$I$5:$I$19,5),1,0))</f>
        <v/>
      </c>
      <c r="X49" s="13">
        <f>IF($H49="","",IF(UPPER(TRIM(H49))=INDEX('2_前後測題庫'!$I$5:$I$19,6),1,0))</f>
        <v/>
      </c>
      <c r="Y49" s="13">
        <f>IF($I49="","",IF(UPPER(TRIM(I49))=INDEX('2_前後測題庫'!$I$5:$I$19,7),1,0))</f>
        <v/>
      </c>
      <c r="Z49" s="13">
        <f>IF($J49="","",IF(UPPER(TRIM(J49))=INDEX('2_前後測題庫'!$I$5:$I$19,8),1,0))</f>
        <v/>
      </c>
      <c r="AA49" s="13">
        <f>IF($K49="","",IF(UPPER(TRIM(K49))=INDEX('2_前後測題庫'!$I$5:$I$19,9),1,0))</f>
        <v/>
      </c>
      <c r="AB49" s="13">
        <f>IF($L49="","",IF(UPPER(TRIM(L49))=INDEX('2_前後測題庫'!$I$5:$I$19,10),1,0))</f>
        <v/>
      </c>
      <c r="AC49" s="13">
        <f>IF($M49="","",IF(UPPER(TRIM(M49))=INDEX('2_前後測題庫'!$I$5:$I$19,11),1,0))</f>
        <v/>
      </c>
      <c r="AD49" s="13">
        <f>IF($N49="","",IF(UPPER(TRIM(N49))=INDEX('2_前後測題庫'!$I$5:$I$19,12),1,0))</f>
        <v/>
      </c>
      <c r="AE49" s="13">
        <f>IF($O49="","",IF(UPPER(TRIM(O49))=INDEX('2_前後測題庫'!$I$5:$I$19,13),1,0))</f>
        <v/>
      </c>
      <c r="AF49" s="13">
        <f>IF($P49="","",IF(UPPER(TRIM(P49))=INDEX('2_前後測題庫'!$I$5:$I$19,14),1,0))</f>
        <v/>
      </c>
      <c r="AG49" s="13">
        <f>IF($Q49="","",IF(UPPER(TRIM(Q49))=INDEX('2_前後測題庫'!$I$5:$I$19,15),1,0))</f>
        <v/>
      </c>
      <c r="AH49" s="14">
        <f>IF($A49="","",SUM(S49:AG49))</f>
        <v/>
      </c>
    </row>
    <row r="50">
      <c r="A50" s="12" t="n"/>
      <c r="B50" s="12" t="n"/>
      <c r="C50" s="12" t="n"/>
      <c r="D50" s="12" t="n"/>
      <c r="E50" s="12" t="n"/>
      <c r="F50" s="12" t="n"/>
      <c r="G50" s="12" t="n"/>
      <c r="H50" s="12" t="n"/>
      <c r="I50" s="12" t="n"/>
      <c r="J50" s="12" t="n"/>
      <c r="K50" s="12" t="n"/>
      <c r="L50" s="12" t="n"/>
      <c r="M50" s="12" t="n"/>
      <c r="N50" s="12" t="n"/>
      <c r="O50" s="12" t="n"/>
      <c r="P50" s="12" t="n"/>
      <c r="Q50" s="12" t="n"/>
      <c r="S50" s="13">
        <f>IF($C50="","",IF(UPPER(TRIM(C50))=INDEX('2_前後測題庫'!$I$5:$I$19,1),1,0))</f>
        <v/>
      </c>
      <c r="T50" s="13">
        <f>IF($D50="","",IF(UPPER(TRIM(D50))=INDEX('2_前後測題庫'!$I$5:$I$19,2),1,0))</f>
        <v/>
      </c>
      <c r="U50" s="13">
        <f>IF($E50="","",IF(UPPER(TRIM(E50))=INDEX('2_前後測題庫'!$I$5:$I$19,3),1,0))</f>
        <v/>
      </c>
      <c r="V50" s="13">
        <f>IF($F50="","",IF(UPPER(TRIM(F50))=INDEX('2_前後測題庫'!$I$5:$I$19,4),1,0))</f>
        <v/>
      </c>
      <c r="W50" s="13">
        <f>IF($G50="","",IF(UPPER(TRIM(G50))=INDEX('2_前後測題庫'!$I$5:$I$19,5),1,0))</f>
        <v/>
      </c>
      <c r="X50" s="13">
        <f>IF($H50="","",IF(UPPER(TRIM(H50))=INDEX('2_前後測題庫'!$I$5:$I$19,6),1,0))</f>
        <v/>
      </c>
      <c r="Y50" s="13">
        <f>IF($I50="","",IF(UPPER(TRIM(I50))=INDEX('2_前後測題庫'!$I$5:$I$19,7),1,0))</f>
        <v/>
      </c>
      <c r="Z50" s="13">
        <f>IF($J50="","",IF(UPPER(TRIM(J50))=INDEX('2_前後測題庫'!$I$5:$I$19,8),1,0))</f>
        <v/>
      </c>
      <c r="AA50" s="13">
        <f>IF($K50="","",IF(UPPER(TRIM(K50))=INDEX('2_前後測題庫'!$I$5:$I$19,9),1,0))</f>
        <v/>
      </c>
      <c r="AB50" s="13">
        <f>IF($L50="","",IF(UPPER(TRIM(L50))=INDEX('2_前後測題庫'!$I$5:$I$19,10),1,0))</f>
        <v/>
      </c>
      <c r="AC50" s="13">
        <f>IF($M50="","",IF(UPPER(TRIM(M50))=INDEX('2_前後測題庫'!$I$5:$I$19,11),1,0))</f>
        <v/>
      </c>
      <c r="AD50" s="13">
        <f>IF($N50="","",IF(UPPER(TRIM(N50))=INDEX('2_前後測題庫'!$I$5:$I$19,12),1,0))</f>
        <v/>
      </c>
      <c r="AE50" s="13">
        <f>IF($O50="","",IF(UPPER(TRIM(O50))=INDEX('2_前後測題庫'!$I$5:$I$19,13),1,0))</f>
        <v/>
      </c>
      <c r="AF50" s="13">
        <f>IF($P50="","",IF(UPPER(TRIM(P50))=INDEX('2_前後測題庫'!$I$5:$I$19,14),1,0))</f>
        <v/>
      </c>
      <c r="AG50" s="13">
        <f>IF($Q50="","",IF(UPPER(TRIM(Q50))=INDEX('2_前後測題庫'!$I$5:$I$19,15),1,0))</f>
        <v/>
      </c>
      <c r="AH50" s="14">
        <f>IF($A50="","",SUM(S50:AG50))</f>
        <v/>
      </c>
    </row>
    <row r="51">
      <c r="A51" s="12" t="n"/>
      <c r="B51" s="12" t="n"/>
      <c r="C51" s="12" t="n"/>
      <c r="D51" s="12" t="n"/>
      <c r="E51" s="12" t="n"/>
      <c r="F51" s="12" t="n"/>
      <c r="G51" s="12" t="n"/>
      <c r="H51" s="12" t="n"/>
      <c r="I51" s="12" t="n"/>
      <c r="J51" s="12" t="n"/>
      <c r="K51" s="12" t="n"/>
      <c r="L51" s="12" t="n"/>
      <c r="M51" s="12" t="n"/>
      <c r="N51" s="12" t="n"/>
      <c r="O51" s="12" t="n"/>
      <c r="P51" s="12" t="n"/>
      <c r="Q51" s="12" t="n"/>
      <c r="S51" s="13">
        <f>IF($C51="","",IF(UPPER(TRIM(C51))=INDEX('2_前後測題庫'!$I$5:$I$19,1),1,0))</f>
        <v/>
      </c>
      <c r="T51" s="13">
        <f>IF($D51="","",IF(UPPER(TRIM(D51))=INDEX('2_前後測題庫'!$I$5:$I$19,2),1,0))</f>
        <v/>
      </c>
      <c r="U51" s="13">
        <f>IF($E51="","",IF(UPPER(TRIM(E51))=INDEX('2_前後測題庫'!$I$5:$I$19,3),1,0))</f>
        <v/>
      </c>
      <c r="V51" s="13">
        <f>IF($F51="","",IF(UPPER(TRIM(F51))=INDEX('2_前後測題庫'!$I$5:$I$19,4),1,0))</f>
        <v/>
      </c>
      <c r="W51" s="13">
        <f>IF($G51="","",IF(UPPER(TRIM(G51))=INDEX('2_前後測題庫'!$I$5:$I$19,5),1,0))</f>
        <v/>
      </c>
      <c r="X51" s="13">
        <f>IF($H51="","",IF(UPPER(TRIM(H51))=INDEX('2_前後測題庫'!$I$5:$I$19,6),1,0))</f>
        <v/>
      </c>
      <c r="Y51" s="13">
        <f>IF($I51="","",IF(UPPER(TRIM(I51))=INDEX('2_前後測題庫'!$I$5:$I$19,7),1,0))</f>
        <v/>
      </c>
      <c r="Z51" s="13">
        <f>IF($J51="","",IF(UPPER(TRIM(J51))=INDEX('2_前後測題庫'!$I$5:$I$19,8),1,0))</f>
        <v/>
      </c>
      <c r="AA51" s="13">
        <f>IF($K51="","",IF(UPPER(TRIM(K51))=INDEX('2_前後測題庫'!$I$5:$I$19,9),1,0))</f>
        <v/>
      </c>
      <c r="AB51" s="13">
        <f>IF($L51="","",IF(UPPER(TRIM(L51))=INDEX('2_前後測題庫'!$I$5:$I$19,10),1,0))</f>
        <v/>
      </c>
      <c r="AC51" s="13">
        <f>IF($M51="","",IF(UPPER(TRIM(M51))=INDEX('2_前後測題庫'!$I$5:$I$19,11),1,0))</f>
        <v/>
      </c>
      <c r="AD51" s="13">
        <f>IF($N51="","",IF(UPPER(TRIM(N51))=INDEX('2_前後測題庫'!$I$5:$I$19,12),1,0))</f>
        <v/>
      </c>
      <c r="AE51" s="13">
        <f>IF($O51="","",IF(UPPER(TRIM(O51))=INDEX('2_前後測題庫'!$I$5:$I$19,13),1,0))</f>
        <v/>
      </c>
      <c r="AF51" s="13">
        <f>IF($P51="","",IF(UPPER(TRIM(P51))=INDEX('2_前後測題庫'!$I$5:$I$19,14),1,0))</f>
        <v/>
      </c>
      <c r="AG51" s="13">
        <f>IF($Q51="","",IF(UPPER(TRIM(Q51))=INDEX('2_前後測題庫'!$I$5:$I$19,15),1,0))</f>
        <v/>
      </c>
      <c r="AH51" s="14">
        <f>IF($A51="","",SUM(S51:AG51))</f>
        <v/>
      </c>
    </row>
    <row r="52">
      <c r="A52" s="12" t="n"/>
      <c r="B52" s="12" t="n"/>
      <c r="C52" s="12" t="n"/>
      <c r="D52" s="12" t="n"/>
      <c r="E52" s="12" t="n"/>
      <c r="F52" s="12" t="n"/>
      <c r="G52" s="12" t="n"/>
      <c r="H52" s="12" t="n"/>
      <c r="I52" s="12" t="n"/>
      <c r="J52" s="12" t="n"/>
      <c r="K52" s="12" t="n"/>
      <c r="L52" s="12" t="n"/>
      <c r="M52" s="12" t="n"/>
      <c r="N52" s="12" t="n"/>
      <c r="O52" s="12" t="n"/>
      <c r="P52" s="12" t="n"/>
      <c r="Q52" s="12" t="n"/>
      <c r="S52" s="13">
        <f>IF($C52="","",IF(UPPER(TRIM(C52))=INDEX('2_前後測題庫'!$I$5:$I$19,1),1,0))</f>
        <v/>
      </c>
      <c r="T52" s="13">
        <f>IF($D52="","",IF(UPPER(TRIM(D52))=INDEX('2_前後測題庫'!$I$5:$I$19,2),1,0))</f>
        <v/>
      </c>
      <c r="U52" s="13">
        <f>IF($E52="","",IF(UPPER(TRIM(E52))=INDEX('2_前後測題庫'!$I$5:$I$19,3),1,0))</f>
        <v/>
      </c>
      <c r="V52" s="13">
        <f>IF($F52="","",IF(UPPER(TRIM(F52))=INDEX('2_前後測題庫'!$I$5:$I$19,4),1,0))</f>
        <v/>
      </c>
      <c r="W52" s="13">
        <f>IF($G52="","",IF(UPPER(TRIM(G52))=INDEX('2_前後測題庫'!$I$5:$I$19,5),1,0))</f>
        <v/>
      </c>
      <c r="X52" s="13">
        <f>IF($H52="","",IF(UPPER(TRIM(H52))=INDEX('2_前後測題庫'!$I$5:$I$19,6),1,0))</f>
        <v/>
      </c>
      <c r="Y52" s="13">
        <f>IF($I52="","",IF(UPPER(TRIM(I52))=INDEX('2_前後測題庫'!$I$5:$I$19,7),1,0))</f>
        <v/>
      </c>
      <c r="Z52" s="13">
        <f>IF($J52="","",IF(UPPER(TRIM(J52))=INDEX('2_前後測題庫'!$I$5:$I$19,8),1,0))</f>
        <v/>
      </c>
      <c r="AA52" s="13">
        <f>IF($K52="","",IF(UPPER(TRIM(K52))=INDEX('2_前後測題庫'!$I$5:$I$19,9),1,0))</f>
        <v/>
      </c>
      <c r="AB52" s="13">
        <f>IF($L52="","",IF(UPPER(TRIM(L52))=INDEX('2_前後測題庫'!$I$5:$I$19,10),1,0))</f>
        <v/>
      </c>
      <c r="AC52" s="13">
        <f>IF($M52="","",IF(UPPER(TRIM(M52))=INDEX('2_前後測題庫'!$I$5:$I$19,11),1,0))</f>
        <v/>
      </c>
      <c r="AD52" s="13">
        <f>IF($N52="","",IF(UPPER(TRIM(N52))=INDEX('2_前後測題庫'!$I$5:$I$19,12),1,0))</f>
        <v/>
      </c>
      <c r="AE52" s="13">
        <f>IF($O52="","",IF(UPPER(TRIM(O52))=INDEX('2_前後測題庫'!$I$5:$I$19,13),1,0))</f>
        <v/>
      </c>
      <c r="AF52" s="13">
        <f>IF($P52="","",IF(UPPER(TRIM(P52))=INDEX('2_前後測題庫'!$I$5:$I$19,14),1,0))</f>
        <v/>
      </c>
      <c r="AG52" s="13">
        <f>IF($Q52="","",IF(UPPER(TRIM(Q52))=INDEX('2_前後測題庫'!$I$5:$I$19,15),1,0))</f>
        <v/>
      </c>
      <c r="AH52" s="14">
        <f>IF($A52="","",SUM(S52:AG52))</f>
        <v/>
      </c>
    </row>
    <row r="53">
      <c r="A53" s="12" t="n"/>
      <c r="B53" s="12" t="n"/>
      <c r="C53" s="12" t="n"/>
      <c r="D53" s="12" t="n"/>
      <c r="E53" s="12" t="n"/>
      <c r="F53" s="12" t="n"/>
      <c r="G53" s="12" t="n"/>
      <c r="H53" s="12" t="n"/>
      <c r="I53" s="12" t="n"/>
      <c r="J53" s="12" t="n"/>
      <c r="K53" s="12" t="n"/>
      <c r="L53" s="12" t="n"/>
      <c r="M53" s="12" t="n"/>
      <c r="N53" s="12" t="n"/>
      <c r="O53" s="12" t="n"/>
      <c r="P53" s="12" t="n"/>
      <c r="Q53" s="12" t="n"/>
      <c r="S53" s="13">
        <f>IF($C53="","",IF(UPPER(TRIM(C53))=INDEX('2_前後測題庫'!$I$5:$I$19,1),1,0))</f>
        <v/>
      </c>
      <c r="T53" s="13">
        <f>IF($D53="","",IF(UPPER(TRIM(D53))=INDEX('2_前後測題庫'!$I$5:$I$19,2),1,0))</f>
        <v/>
      </c>
      <c r="U53" s="13">
        <f>IF($E53="","",IF(UPPER(TRIM(E53))=INDEX('2_前後測題庫'!$I$5:$I$19,3),1,0))</f>
        <v/>
      </c>
      <c r="V53" s="13">
        <f>IF($F53="","",IF(UPPER(TRIM(F53))=INDEX('2_前後測題庫'!$I$5:$I$19,4),1,0))</f>
        <v/>
      </c>
      <c r="W53" s="13">
        <f>IF($G53="","",IF(UPPER(TRIM(G53))=INDEX('2_前後測題庫'!$I$5:$I$19,5),1,0))</f>
        <v/>
      </c>
      <c r="X53" s="13">
        <f>IF($H53="","",IF(UPPER(TRIM(H53))=INDEX('2_前後測題庫'!$I$5:$I$19,6),1,0))</f>
        <v/>
      </c>
      <c r="Y53" s="13">
        <f>IF($I53="","",IF(UPPER(TRIM(I53))=INDEX('2_前後測題庫'!$I$5:$I$19,7),1,0))</f>
        <v/>
      </c>
      <c r="Z53" s="13">
        <f>IF($J53="","",IF(UPPER(TRIM(J53))=INDEX('2_前後測題庫'!$I$5:$I$19,8),1,0))</f>
        <v/>
      </c>
      <c r="AA53" s="13">
        <f>IF($K53="","",IF(UPPER(TRIM(K53))=INDEX('2_前後測題庫'!$I$5:$I$19,9),1,0))</f>
        <v/>
      </c>
      <c r="AB53" s="13">
        <f>IF($L53="","",IF(UPPER(TRIM(L53))=INDEX('2_前後測題庫'!$I$5:$I$19,10),1,0))</f>
        <v/>
      </c>
      <c r="AC53" s="13">
        <f>IF($M53="","",IF(UPPER(TRIM(M53))=INDEX('2_前後測題庫'!$I$5:$I$19,11),1,0))</f>
        <v/>
      </c>
      <c r="AD53" s="13">
        <f>IF($N53="","",IF(UPPER(TRIM(N53))=INDEX('2_前後測題庫'!$I$5:$I$19,12),1,0))</f>
        <v/>
      </c>
      <c r="AE53" s="13">
        <f>IF($O53="","",IF(UPPER(TRIM(O53))=INDEX('2_前後測題庫'!$I$5:$I$19,13),1,0))</f>
        <v/>
      </c>
      <c r="AF53" s="13">
        <f>IF($P53="","",IF(UPPER(TRIM(P53))=INDEX('2_前後測題庫'!$I$5:$I$19,14),1,0))</f>
        <v/>
      </c>
      <c r="AG53" s="13">
        <f>IF($Q53="","",IF(UPPER(TRIM(Q53))=INDEX('2_前後測題庫'!$I$5:$I$19,15),1,0))</f>
        <v/>
      </c>
      <c r="AH53" s="14">
        <f>IF($A53="","",SUM(S53:AG53))</f>
        <v/>
      </c>
    </row>
    <row r="54">
      <c r="A54" s="12" t="n"/>
      <c r="B54" s="12" t="n"/>
      <c r="C54" s="12" t="n"/>
      <c r="D54" s="12" t="n"/>
      <c r="E54" s="12" t="n"/>
      <c r="F54" s="12" t="n"/>
      <c r="G54" s="12" t="n"/>
      <c r="H54" s="12" t="n"/>
      <c r="I54" s="12" t="n"/>
      <c r="J54" s="12" t="n"/>
      <c r="K54" s="12" t="n"/>
      <c r="L54" s="12" t="n"/>
      <c r="M54" s="12" t="n"/>
      <c r="N54" s="12" t="n"/>
      <c r="O54" s="12" t="n"/>
      <c r="P54" s="12" t="n"/>
      <c r="Q54" s="12" t="n"/>
      <c r="S54" s="13">
        <f>IF($C54="","",IF(UPPER(TRIM(C54))=INDEX('2_前後測題庫'!$I$5:$I$19,1),1,0))</f>
        <v/>
      </c>
      <c r="T54" s="13">
        <f>IF($D54="","",IF(UPPER(TRIM(D54))=INDEX('2_前後測題庫'!$I$5:$I$19,2),1,0))</f>
        <v/>
      </c>
      <c r="U54" s="13">
        <f>IF($E54="","",IF(UPPER(TRIM(E54))=INDEX('2_前後測題庫'!$I$5:$I$19,3),1,0))</f>
        <v/>
      </c>
      <c r="V54" s="13">
        <f>IF($F54="","",IF(UPPER(TRIM(F54))=INDEX('2_前後測題庫'!$I$5:$I$19,4),1,0))</f>
        <v/>
      </c>
      <c r="W54" s="13">
        <f>IF($G54="","",IF(UPPER(TRIM(G54))=INDEX('2_前後測題庫'!$I$5:$I$19,5),1,0))</f>
        <v/>
      </c>
      <c r="X54" s="13">
        <f>IF($H54="","",IF(UPPER(TRIM(H54))=INDEX('2_前後測題庫'!$I$5:$I$19,6),1,0))</f>
        <v/>
      </c>
      <c r="Y54" s="13">
        <f>IF($I54="","",IF(UPPER(TRIM(I54))=INDEX('2_前後測題庫'!$I$5:$I$19,7),1,0))</f>
        <v/>
      </c>
      <c r="Z54" s="13">
        <f>IF($J54="","",IF(UPPER(TRIM(J54))=INDEX('2_前後測題庫'!$I$5:$I$19,8),1,0))</f>
        <v/>
      </c>
      <c r="AA54" s="13">
        <f>IF($K54="","",IF(UPPER(TRIM(K54))=INDEX('2_前後測題庫'!$I$5:$I$19,9),1,0))</f>
        <v/>
      </c>
      <c r="AB54" s="13">
        <f>IF($L54="","",IF(UPPER(TRIM(L54))=INDEX('2_前後測題庫'!$I$5:$I$19,10),1,0))</f>
        <v/>
      </c>
      <c r="AC54" s="13">
        <f>IF($M54="","",IF(UPPER(TRIM(M54))=INDEX('2_前後測題庫'!$I$5:$I$19,11),1,0))</f>
        <v/>
      </c>
      <c r="AD54" s="13">
        <f>IF($N54="","",IF(UPPER(TRIM(N54))=INDEX('2_前後測題庫'!$I$5:$I$19,12),1,0))</f>
        <v/>
      </c>
      <c r="AE54" s="13">
        <f>IF($O54="","",IF(UPPER(TRIM(O54))=INDEX('2_前後測題庫'!$I$5:$I$19,13),1,0))</f>
        <v/>
      </c>
      <c r="AF54" s="13">
        <f>IF($P54="","",IF(UPPER(TRIM(P54))=INDEX('2_前後測題庫'!$I$5:$I$19,14),1,0))</f>
        <v/>
      </c>
      <c r="AG54" s="13">
        <f>IF($Q54="","",IF(UPPER(TRIM(Q54))=INDEX('2_前後測題庫'!$I$5:$I$19,15),1,0))</f>
        <v/>
      </c>
      <c r="AH54" s="14">
        <f>IF($A54="","",SUM(S54:AG54))</f>
        <v/>
      </c>
    </row>
    <row r="55">
      <c r="A55" s="12" t="n"/>
      <c r="B55" s="12" t="n"/>
      <c r="C55" s="12" t="n"/>
      <c r="D55" s="12" t="n"/>
      <c r="E55" s="12" t="n"/>
      <c r="F55" s="12" t="n"/>
      <c r="G55" s="12" t="n"/>
      <c r="H55" s="12" t="n"/>
      <c r="I55" s="12" t="n"/>
      <c r="J55" s="12" t="n"/>
      <c r="K55" s="12" t="n"/>
      <c r="L55" s="12" t="n"/>
      <c r="M55" s="12" t="n"/>
      <c r="N55" s="12" t="n"/>
      <c r="O55" s="12" t="n"/>
      <c r="P55" s="12" t="n"/>
      <c r="Q55" s="12" t="n"/>
      <c r="S55" s="13">
        <f>IF($C55="","",IF(UPPER(TRIM(C55))=INDEX('2_前後測題庫'!$I$5:$I$19,1),1,0))</f>
        <v/>
      </c>
      <c r="T55" s="13">
        <f>IF($D55="","",IF(UPPER(TRIM(D55))=INDEX('2_前後測題庫'!$I$5:$I$19,2),1,0))</f>
        <v/>
      </c>
      <c r="U55" s="13">
        <f>IF($E55="","",IF(UPPER(TRIM(E55))=INDEX('2_前後測題庫'!$I$5:$I$19,3),1,0))</f>
        <v/>
      </c>
      <c r="V55" s="13">
        <f>IF($F55="","",IF(UPPER(TRIM(F55))=INDEX('2_前後測題庫'!$I$5:$I$19,4),1,0))</f>
        <v/>
      </c>
      <c r="W55" s="13">
        <f>IF($G55="","",IF(UPPER(TRIM(G55))=INDEX('2_前後測題庫'!$I$5:$I$19,5),1,0))</f>
        <v/>
      </c>
      <c r="X55" s="13">
        <f>IF($H55="","",IF(UPPER(TRIM(H55))=INDEX('2_前後測題庫'!$I$5:$I$19,6),1,0))</f>
        <v/>
      </c>
      <c r="Y55" s="13">
        <f>IF($I55="","",IF(UPPER(TRIM(I55))=INDEX('2_前後測題庫'!$I$5:$I$19,7),1,0))</f>
        <v/>
      </c>
      <c r="Z55" s="13">
        <f>IF($J55="","",IF(UPPER(TRIM(J55))=INDEX('2_前後測題庫'!$I$5:$I$19,8),1,0))</f>
        <v/>
      </c>
      <c r="AA55" s="13">
        <f>IF($K55="","",IF(UPPER(TRIM(K55))=INDEX('2_前後測題庫'!$I$5:$I$19,9),1,0))</f>
        <v/>
      </c>
      <c r="AB55" s="13">
        <f>IF($L55="","",IF(UPPER(TRIM(L55))=INDEX('2_前後測題庫'!$I$5:$I$19,10),1,0))</f>
        <v/>
      </c>
      <c r="AC55" s="13">
        <f>IF($M55="","",IF(UPPER(TRIM(M55))=INDEX('2_前後測題庫'!$I$5:$I$19,11),1,0))</f>
        <v/>
      </c>
      <c r="AD55" s="13">
        <f>IF($N55="","",IF(UPPER(TRIM(N55))=INDEX('2_前後測題庫'!$I$5:$I$19,12),1,0))</f>
        <v/>
      </c>
      <c r="AE55" s="13">
        <f>IF($O55="","",IF(UPPER(TRIM(O55))=INDEX('2_前後測題庫'!$I$5:$I$19,13),1,0))</f>
        <v/>
      </c>
      <c r="AF55" s="13">
        <f>IF($P55="","",IF(UPPER(TRIM(P55))=INDEX('2_前後測題庫'!$I$5:$I$19,14),1,0))</f>
        <v/>
      </c>
      <c r="AG55" s="13">
        <f>IF($Q55="","",IF(UPPER(TRIM(Q55))=INDEX('2_前後測題庫'!$I$5:$I$19,15),1,0))</f>
        <v/>
      </c>
      <c r="AH55" s="14">
        <f>IF($A55="","",SUM(S55:AG55))</f>
        <v/>
      </c>
    </row>
    <row r="56">
      <c r="A56" s="12" t="n"/>
      <c r="B56" s="12" t="n"/>
      <c r="C56" s="12" t="n"/>
      <c r="D56" s="12" t="n"/>
      <c r="E56" s="12" t="n"/>
      <c r="F56" s="12" t="n"/>
      <c r="G56" s="12" t="n"/>
      <c r="H56" s="12" t="n"/>
      <c r="I56" s="12" t="n"/>
      <c r="J56" s="12" t="n"/>
      <c r="K56" s="12" t="n"/>
      <c r="L56" s="12" t="n"/>
      <c r="M56" s="12" t="n"/>
      <c r="N56" s="12" t="n"/>
      <c r="O56" s="12" t="n"/>
      <c r="P56" s="12" t="n"/>
      <c r="Q56" s="12" t="n"/>
      <c r="S56" s="13">
        <f>IF($C56="","",IF(UPPER(TRIM(C56))=INDEX('2_前後測題庫'!$I$5:$I$19,1),1,0))</f>
        <v/>
      </c>
      <c r="T56" s="13">
        <f>IF($D56="","",IF(UPPER(TRIM(D56))=INDEX('2_前後測題庫'!$I$5:$I$19,2),1,0))</f>
        <v/>
      </c>
      <c r="U56" s="13">
        <f>IF($E56="","",IF(UPPER(TRIM(E56))=INDEX('2_前後測題庫'!$I$5:$I$19,3),1,0))</f>
        <v/>
      </c>
      <c r="V56" s="13">
        <f>IF($F56="","",IF(UPPER(TRIM(F56))=INDEX('2_前後測題庫'!$I$5:$I$19,4),1,0))</f>
        <v/>
      </c>
      <c r="W56" s="13">
        <f>IF($G56="","",IF(UPPER(TRIM(G56))=INDEX('2_前後測題庫'!$I$5:$I$19,5),1,0))</f>
        <v/>
      </c>
      <c r="X56" s="13">
        <f>IF($H56="","",IF(UPPER(TRIM(H56))=INDEX('2_前後測題庫'!$I$5:$I$19,6),1,0))</f>
        <v/>
      </c>
      <c r="Y56" s="13">
        <f>IF($I56="","",IF(UPPER(TRIM(I56))=INDEX('2_前後測題庫'!$I$5:$I$19,7),1,0))</f>
        <v/>
      </c>
      <c r="Z56" s="13">
        <f>IF($J56="","",IF(UPPER(TRIM(J56))=INDEX('2_前後測題庫'!$I$5:$I$19,8),1,0))</f>
        <v/>
      </c>
      <c r="AA56" s="13">
        <f>IF($K56="","",IF(UPPER(TRIM(K56))=INDEX('2_前後測題庫'!$I$5:$I$19,9),1,0))</f>
        <v/>
      </c>
      <c r="AB56" s="13">
        <f>IF($L56="","",IF(UPPER(TRIM(L56))=INDEX('2_前後測題庫'!$I$5:$I$19,10),1,0))</f>
        <v/>
      </c>
      <c r="AC56" s="13">
        <f>IF($M56="","",IF(UPPER(TRIM(M56))=INDEX('2_前後測題庫'!$I$5:$I$19,11),1,0))</f>
        <v/>
      </c>
      <c r="AD56" s="13">
        <f>IF($N56="","",IF(UPPER(TRIM(N56))=INDEX('2_前後測題庫'!$I$5:$I$19,12),1,0))</f>
        <v/>
      </c>
      <c r="AE56" s="13">
        <f>IF($O56="","",IF(UPPER(TRIM(O56))=INDEX('2_前後測題庫'!$I$5:$I$19,13),1,0))</f>
        <v/>
      </c>
      <c r="AF56" s="13">
        <f>IF($P56="","",IF(UPPER(TRIM(P56))=INDEX('2_前後測題庫'!$I$5:$I$19,14),1,0))</f>
        <v/>
      </c>
      <c r="AG56" s="13">
        <f>IF($Q56="","",IF(UPPER(TRIM(Q56))=INDEX('2_前後測題庫'!$I$5:$I$19,15),1,0))</f>
        <v/>
      </c>
      <c r="AH56" s="14">
        <f>IF($A56="","",SUM(S56:AG56))</f>
        <v/>
      </c>
    </row>
    <row r="57">
      <c r="A57" s="12" t="n"/>
      <c r="B57" s="12" t="n"/>
      <c r="C57" s="12" t="n"/>
      <c r="D57" s="12" t="n"/>
      <c r="E57" s="12" t="n"/>
      <c r="F57" s="12" t="n"/>
      <c r="G57" s="12" t="n"/>
      <c r="H57" s="12" t="n"/>
      <c r="I57" s="12" t="n"/>
      <c r="J57" s="12" t="n"/>
      <c r="K57" s="12" t="n"/>
      <c r="L57" s="12" t="n"/>
      <c r="M57" s="12" t="n"/>
      <c r="N57" s="12" t="n"/>
      <c r="O57" s="12" t="n"/>
      <c r="P57" s="12" t="n"/>
      <c r="Q57" s="12" t="n"/>
      <c r="S57" s="13">
        <f>IF($C57="","",IF(UPPER(TRIM(C57))=INDEX('2_前後測題庫'!$I$5:$I$19,1),1,0))</f>
        <v/>
      </c>
      <c r="T57" s="13">
        <f>IF($D57="","",IF(UPPER(TRIM(D57))=INDEX('2_前後測題庫'!$I$5:$I$19,2),1,0))</f>
        <v/>
      </c>
      <c r="U57" s="13">
        <f>IF($E57="","",IF(UPPER(TRIM(E57))=INDEX('2_前後測題庫'!$I$5:$I$19,3),1,0))</f>
        <v/>
      </c>
      <c r="V57" s="13">
        <f>IF($F57="","",IF(UPPER(TRIM(F57))=INDEX('2_前後測題庫'!$I$5:$I$19,4),1,0))</f>
        <v/>
      </c>
      <c r="W57" s="13">
        <f>IF($G57="","",IF(UPPER(TRIM(G57))=INDEX('2_前後測題庫'!$I$5:$I$19,5),1,0))</f>
        <v/>
      </c>
      <c r="X57" s="13">
        <f>IF($H57="","",IF(UPPER(TRIM(H57))=INDEX('2_前後測題庫'!$I$5:$I$19,6),1,0))</f>
        <v/>
      </c>
      <c r="Y57" s="13">
        <f>IF($I57="","",IF(UPPER(TRIM(I57))=INDEX('2_前後測題庫'!$I$5:$I$19,7),1,0))</f>
        <v/>
      </c>
      <c r="Z57" s="13">
        <f>IF($J57="","",IF(UPPER(TRIM(J57))=INDEX('2_前後測題庫'!$I$5:$I$19,8),1,0))</f>
        <v/>
      </c>
      <c r="AA57" s="13">
        <f>IF($K57="","",IF(UPPER(TRIM(K57))=INDEX('2_前後測題庫'!$I$5:$I$19,9),1,0))</f>
        <v/>
      </c>
      <c r="AB57" s="13">
        <f>IF($L57="","",IF(UPPER(TRIM(L57))=INDEX('2_前後測題庫'!$I$5:$I$19,10),1,0))</f>
        <v/>
      </c>
      <c r="AC57" s="13">
        <f>IF($M57="","",IF(UPPER(TRIM(M57))=INDEX('2_前後測題庫'!$I$5:$I$19,11),1,0))</f>
        <v/>
      </c>
      <c r="AD57" s="13">
        <f>IF($N57="","",IF(UPPER(TRIM(N57))=INDEX('2_前後測題庫'!$I$5:$I$19,12),1,0))</f>
        <v/>
      </c>
      <c r="AE57" s="13">
        <f>IF($O57="","",IF(UPPER(TRIM(O57))=INDEX('2_前後測題庫'!$I$5:$I$19,13),1,0))</f>
        <v/>
      </c>
      <c r="AF57" s="13">
        <f>IF($P57="","",IF(UPPER(TRIM(P57))=INDEX('2_前後測題庫'!$I$5:$I$19,14),1,0))</f>
        <v/>
      </c>
      <c r="AG57" s="13">
        <f>IF($Q57="","",IF(UPPER(TRIM(Q57))=INDEX('2_前後測題庫'!$I$5:$I$19,15),1,0))</f>
        <v/>
      </c>
      <c r="AH57" s="14">
        <f>IF($A57="","",SUM(S57:AG57))</f>
        <v/>
      </c>
    </row>
    <row r="58">
      <c r="A58" s="12" t="n"/>
      <c r="B58" s="12" t="n"/>
      <c r="C58" s="12" t="n"/>
      <c r="D58" s="12" t="n"/>
      <c r="E58" s="12" t="n"/>
      <c r="F58" s="12" t="n"/>
      <c r="G58" s="12" t="n"/>
      <c r="H58" s="12" t="n"/>
      <c r="I58" s="12" t="n"/>
      <c r="J58" s="12" t="n"/>
      <c r="K58" s="12" t="n"/>
      <c r="L58" s="12" t="n"/>
      <c r="M58" s="12" t="n"/>
      <c r="N58" s="12" t="n"/>
      <c r="O58" s="12" t="n"/>
      <c r="P58" s="12" t="n"/>
      <c r="Q58" s="12" t="n"/>
      <c r="S58" s="13">
        <f>IF($C58="","",IF(UPPER(TRIM(C58))=INDEX('2_前後測題庫'!$I$5:$I$19,1),1,0))</f>
        <v/>
      </c>
      <c r="T58" s="13">
        <f>IF($D58="","",IF(UPPER(TRIM(D58))=INDEX('2_前後測題庫'!$I$5:$I$19,2),1,0))</f>
        <v/>
      </c>
      <c r="U58" s="13">
        <f>IF($E58="","",IF(UPPER(TRIM(E58))=INDEX('2_前後測題庫'!$I$5:$I$19,3),1,0))</f>
        <v/>
      </c>
      <c r="V58" s="13">
        <f>IF($F58="","",IF(UPPER(TRIM(F58))=INDEX('2_前後測題庫'!$I$5:$I$19,4),1,0))</f>
        <v/>
      </c>
      <c r="W58" s="13">
        <f>IF($G58="","",IF(UPPER(TRIM(G58))=INDEX('2_前後測題庫'!$I$5:$I$19,5),1,0))</f>
        <v/>
      </c>
      <c r="X58" s="13">
        <f>IF($H58="","",IF(UPPER(TRIM(H58))=INDEX('2_前後測題庫'!$I$5:$I$19,6),1,0))</f>
        <v/>
      </c>
      <c r="Y58" s="13">
        <f>IF($I58="","",IF(UPPER(TRIM(I58))=INDEX('2_前後測題庫'!$I$5:$I$19,7),1,0))</f>
        <v/>
      </c>
      <c r="Z58" s="13">
        <f>IF($J58="","",IF(UPPER(TRIM(J58))=INDEX('2_前後測題庫'!$I$5:$I$19,8),1,0))</f>
        <v/>
      </c>
      <c r="AA58" s="13">
        <f>IF($K58="","",IF(UPPER(TRIM(K58))=INDEX('2_前後測題庫'!$I$5:$I$19,9),1,0))</f>
        <v/>
      </c>
      <c r="AB58" s="13">
        <f>IF($L58="","",IF(UPPER(TRIM(L58))=INDEX('2_前後測題庫'!$I$5:$I$19,10),1,0))</f>
        <v/>
      </c>
      <c r="AC58" s="13">
        <f>IF($M58="","",IF(UPPER(TRIM(M58))=INDEX('2_前後測題庫'!$I$5:$I$19,11),1,0))</f>
        <v/>
      </c>
      <c r="AD58" s="13">
        <f>IF($N58="","",IF(UPPER(TRIM(N58))=INDEX('2_前後測題庫'!$I$5:$I$19,12),1,0))</f>
        <v/>
      </c>
      <c r="AE58" s="13">
        <f>IF($O58="","",IF(UPPER(TRIM(O58))=INDEX('2_前後測題庫'!$I$5:$I$19,13),1,0))</f>
        <v/>
      </c>
      <c r="AF58" s="13">
        <f>IF($P58="","",IF(UPPER(TRIM(P58))=INDEX('2_前後測題庫'!$I$5:$I$19,14),1,0))</f>
        <v/>
      </c>
      <c r="AG58" s="13">
        <f>IF($Q58="","",IF(UPPER(TRIM(Q58))=INDEX('2_前後測題庫'!$I$5:$I$19,15),1,0))</f>
        <v/>
      </c>
      <c r="AH58" s="14">
        <f>IF($A58="","",SUM(S58:AG58))</f>
        <v/>
      </c>
    </row>
    <row r="59">
      <c r="A59" s="12" t="n"/>
      <c r="B59" s="12" t="n"/>
      <c r="C59" s="12" t="n"/>
      <c r="D59" s="12" t="n"/>
      <c r="E59" s="12" t="n"/>
      <c r="F59" s="12" t="n"/>
      <c r="G59" s="12" t="n"/>
      <c r="H59" s="12" t="n"/>
      <c r="I59" s="12" t="n"/>
      <c r="J59" s="12" t="n"/>
      <c r="K59" s="12" t="n"/>
      <c r="L59" s="12" t="n"/>
      <c r="M59" s="12" t="n"/>
      <c r="N59" s="12" t="n"/>
      <c r="O59" s="12" t="n"/>
      <c r="P59" s="12" t="n"/>
      <c r="Q59" s="12" t="n"/>
      <c r="S59" s="13">
        <f>IF($C59="","",IF(UPPER(TRIM(C59))=INDEX('2_前後測題庫'!$I$5:$I$19,1),1,0))</f>
        <v/>
      </c>
      <c r="T59" s="13">
        <f>IF($D59="","",IF(UPPER(TRIM(D59))=INDEX('2_前後測題庫'!$I$5:$I$19,2),1,0))</f>
        <v/>
      </c>
      <c r="U59" s="13">
        <f>IF($E59="","",IF(UPPER(TRIM(E59))=INDEX('2_前後測題庫'!$I$5:$I$19,3),1,0))</f>
        <v/>
      </c>
      <c r="V59" s="13">
        <f>IF($F59="","",IF(UPPER(TRIM(F59))=INDEX('2_前後測題庫'!$I$5:$I$19,4),1,0))</f>
        <v/>
      </c>
      <c r="W59" s="13">
        <f>IF($G59="","",IF(UPPER(TRIM(G59))=INDEX('2_前後測題庫'!$I$5:$I$19,5),1,0))</f>
        <v/>
      </c>
      <c r="X59" s="13">
        <f>IF($H59="","",IF(UPPER(TRIM(H59))=INDEX('2_前後測題庫'!$I$5:$I$19,6),1,0))</f>
        <v/>
      </c>
      <c r="Y59" s="13">
        <f>IF($I59="","",IF(UPPER(TRIM(I59))=INDEX('2_前後測題庫'!$I$5:$I$19,7),1,0))</f>
        <v/>
      </c>
      <c r="Z59" s="13">
        <f>IF($J59="","",IF(UPPER(TRIM(J59))=INDEX('2_前後測題庫'!$I$5:$I$19,8),1,0))</f>
        <v/>
      </c>
      <c r="AA59" s="13">
        <f>IF($K59="","",IF(UPPER(TRIM(K59))=INDEX('2_前後測題庫'!$I$5:$I$19,9),1,0))</f>
        <v/>
      </c>
      <c r="AB59" s="13">
        <f>IF($L59="","",IF(UPPER(TRIM(L59))=INDEX('2_前後測題庫'!$I$5:$I$19,10),1,0))</f>
        <v/>
      </c>
      <c r="AC59" s="13">
        <f>IF($M59="","",IF(UPPER(TRIM(M59))=INDEX('2_前後測題庫'!$I$5:$I$19,11),1,0))</f>
        <v/>
      </c>
      <c r="AD59" s="13">
        <f>IF($N59="","",IF(UPPER(TRIM(N59))=INDEX('2_前後測題庫'!$I$5:$I$19,12),1,0))</f>
        <v/>
      </c>
      <c r="AE59" s="13">
        <f>IF($O59="","",IF(UPPER(TRIM(O59))=INDEX('2_前後測題庫'!$I$5:$I$19,13),1,0))</f>
        <v/>
      </c>
      <c r="AF59" s="13">
        <f>IF($P59="","",IF(UPPER(TRIM(P59))=INDEX('2_前後測題庫'!$I$5:$I$19,14),1,0))</f>
        <v/>
      </c>
      <c r="AG59" s="13">
        <f>IF($Q59="","",IF(UPPER(TRIM(Q59))=INDEX('2_前後測題庫'!$I$5:$I$19,15),1,0))</f>
        <v/>
      </c>
      <c r="AH59" s="14">
        <f>IF($A59="","",SUM(S59:AG59))</f>
        <v/>
      </c>
    </row>
    <row r="60">
      <c r="A60" s="12" t="n"/>
      <c r="B60" s="12" t="n"/>
      <c r="C60" s="12" t="n"/>
      <c r="D60" s="12" t="n"/>
      <c r="E60" s="12" t="n"/>
      <c r="F60" s="12" t="n"/>
      <c r="G60" s="12" t="n"/>
      <c r="H60" s="12" t="n"/>
      <c r="I60" s="12" t="n"/>
      <c r="J60" s="12" t="n"/>
      <c r="K60" s="12" t="n"/>
      <c r="L60" s="12" t="n"/>
      <c r="M60" s="12" t="n"/>
      <c r="N60" s="12" t="n"/>
      <c r="O60" s="12" t="n"/>
      <c r="P60" s="12" t="n"/>
      <c r="Q60" s="12" t="n"/>
      <c r="S60" s="13">
        <f>IF($C60="","",IF(UPPER(TRIM(C60))=INDEX('2_前後測題庫'!$I$5:$I$19,1),1,0))</f>
        <v/>
      </c>
      <c r="T60" s="13">
        <f>IF($D60="","",IF(UPPER(TRIM(D60))=INDEX('2_前後測題庫'!$I$5:$I$19,2),1,0))</f>
        <v/>
      </c>
      <c r="U60" s="13">
        <f>IF($E60="","",IF(UPPER(TRIM(E60))=INDEX('2_前後測題庫'!$I$5:$I$19,3),1,0))</f>
        <v/>
      </c>
      <c r="V60" s="13">
        <f>IF($F60="","",IF(UPPER(TRIM(F60))=INDEX('2_前後測題庫'!$I$5:$I$19,4),1,0))</f>
        <v/>
      </c>
      <c r="W60" s="13">
        <f>IF($G60="","",IF(UPPER(TRIM(G60))=INDEX('2_前後測題庫'!$I$5:$I$19,5),1,0))</f>
        <v/>
      </c>
      <c r="X60" s="13">
        <f>IF($H60="","",IF(UPPER(TRIM(H60))=INDEX('2_前後測題庫'!$I$5:$I$19,6),1,0))</f>
        <v/>
      </c>
      <c r="Y60" s="13">
        <f>IF($I60="","",IF(UPPER(TRIM(I60))=INDEX('2_前後測題庫'!$I$5:$I$19,7),1,0))</f>
        <v/>
      </c>
      <c r="Z60" s="13">
        <f>IF($J60="","",IF(UPPER(TRIM(J60))=INDEX('2_前後測題庫'!$I$5:$I$19,8),1,0))</f>
        <v/>
      </c>
      <c r="AA60" s="13">
        <f>IF($K60="","",IF(UPPER(TRIM(K60))=INDEX('2_前後測題庫'!$I$5:$I$19,9),1,0))</f>
        <v/>
      </c>
      <c r="AB60" s="13">
        <f>IF($L60="","",IF(UPPER(TRIM(L60))=INDEX('2_前後測題庫'!$I$5:$I$19,10),1,0))</f>
        <v/>
      </c>
      <c r="AC60" s="13">
        <f>IF($M60="","",IF(UPPER(TRIM(M60))=INDEX('2_前後測題庫'!$I$5:$I$19,11),1,0))</f>
        <v/>
      </c>
      <c r="AD60" s="13">
        <f>IF($N60="","",IF(UPPER(TRIM(N60))=INDEX('2_前後測題庫'!$I$5:$I$19,12),1,0))</f>
        <v/>
      </c>
      <c r="AE60" s="13">
        <f>IF($O60="","",IF(UPPER(TRIM(O60))=INDEX('2_前後測題庫'!$I$5:$I$19,13),1,0))</f>
        <v/>
      </c>
      <c r="AF60" s="13">
        <f>IF($P60="","",IF(UPPER(TRIM(P60))=INDEX('2_前後測題庫'!$I$5:$I$19,14),1,0))</f>
        <v/>
      </c>
      <c r="AG60" s="13">
        <f>IF($Q60="","",IF(UPPER(TRIM(Q60))=INDEX('2_前後測題庫'!$I$5:$I$19,15),1,0))</f>
        <v/>
      </c>
      <c r="AH60" s="14">
        <f>IF($A60="","",SUM(S60:AG60))</f>
        <v/>
      </c>
    </row>
    <row r="61">
      <c r="A61" s="12" t="n"/>
      <c r="B61" s="12" t="n"/>
      <c r="C61" s="12" t="n"/>
      <c r="D61" s="12" t="n"/>
      <c r="E61" s="12" t="n"/>
      <c r="F61" s="12" t="n"/>
      <c r="G61" s="12" t="n"/>
      <c r="H61" s="12" t="n"/>
      <c r="I61" s="12" t="n"/>
      <c r="J61" s="12" t="n"/>
      <c r="K61" s="12" t="n"/>
      <c r="L61" s="12" t="n"/>
      <c r="M61" s="12" t="n"/>
      <c r="N61" s="12" t="n"/>
      <c r="O61" s="12" t="n"/>
      <c r="P61" s="12" t="n"/>
      <c r="Q61" s="12" t="n"/>
      <c r="S61" s="13">
        <f>IF($C61="","",IF(UPPER(TRIM(C61))=INDEX('2_前後測題庫'!$I$5:$I$19,1),1,0))</f>
        <v/>
      </c>
      <c r="T61" s="13">
        <f>IF($D61="","",IF(UPPER(TRIM(D61))=INDEX('2_前後測題庫'!$I$5:$I$19,2),1,0))</f>
        <v/>
      </c>
      <c r="U61" s="13">
        <f>IF($E61="","",IF(UPPER(TRIM(E61))=INDEX('2_前後測題庫'!$I$5:$I$19,3),1,0))</f>
        <v/>
      </c>
      <c r="V61" s="13">
        <f>IF($F61="","",IF(UPPER(TRIM(F61))=INDEX('2_前後測題庫'!$I$5:$I$19,4),1,0))</f>
        <v/>
      </c>
      <c r="W61" s="13">
        <f>IF($G61="","",IF(UPPER(TRIM(G61))=INDEX('2_前後測題庫'!$I$5:$I$19,5),1,0))</f>
        <v/>
      </c>
      <c r="X61" s="13">
        <f>IF($H61="","",IF(UPPER(TRIM(H61))=INDEX('2_前後測題庫'!$I$5:$I$19,6),1,0))</f>
        <v/>
      </c>
      <c r="Y61" s="13">
        <f>IF($I61="","",IF(UPPER(TRIM(I61))=INDEX('2_前後測題庫'!$I$5:$I$19,7),1,0))</f>
        <v/>
      </c>
      <c r="Z61" s="13">
        <f>IF($J61="","",IF(UPPER(TRIM(J61))=INDEX('2_前後測題庫'!$I$5:$I$19,8),1,0))</f>
        <v/>
      </c>
      <c r="AA61" s="13">
        <f>IF($K61="","",IF(UPPER(TRIM(K61))=INDEX('2_前後測題庫'!$I$5:$I$19,9),1,0))</f>
        <v/>
      </c>
      <c r="AB61" s="13">
        <f>IF($L61="","",IF(UPPER(TRIM(L61))=INDEX('2_前後測題庫'!$I$5:$I$19,10),1,0))</f>
        <v/>
      </c>
      <c r="AC61" s="13">
        <f>IF($M61="","",IF(UPPER(TRIM(M61))=INDEX('2_前後測題庫'!$I$5:$I$19,11),1,0))</f>
        <v/>
      </c>
      <c r="AD61" s="13">
        <f>IF($N61="","",IF(UPPER(TRIM(N61))=INDEX('2_前後測題庫'!$I$5:$I$19,12),1,0))</f>
        <v/>
      </c>
      <c r="AE61" s="13">
        <f>IF($O61="","",IF(UPPER(TRIM(O61))=INDEX('2_前後測題庫'!$I$5:$I$19,13),1,0))</f>
        <v/>
      </c>
      <c r="AF61" s="13">
        <f>IF($P61="","",IF(UPPER(TRIM(P61))=INDEX('2_前後測題庫'!$I$5:$I$19,14),1,0))</f>
        <v/>
      </c>
      <c r="AG61" s="13">
        <f>IF($Q61="","",IF(UPPER(TRIM(Q61))=INDEX('2_前後測題庫'!$I$5:$I$19,15),1,0))</f>
        <v/>
      </c>
      <c r="AH61" s="14">
        <f>IF($A61="","",SUM(S61:AG61))</f>
        <v/>
      </c>
    </row>
    <row r="62">
      <c r="A62" s="12" t="n"/>
      <c r="B62" s="12" t="n"/>
      <c r="C62" s="12" t="n"/>
      <c r="D62" s="12" t="n"/>
      <c r="E62" s="12" t="n"/>
      <c r="F62" s="12" t="n"/>
      <c r="G62" s="12" t="n"/>
      <c r="H62" s="12" t="n"/>
      <c r="I62" s="12" t="n"/>
      <c r="J62" s="12" t="n"/>
      <c r="K62" s="12" t="n"/>
      <c r="L62" s="12" t="n"/>
      <c r="M62" s="12" t="n"/>
      <c r="N62" s="12" t="n"/>
      <c r="O62" s="12" t="n"/>
      <c r="P62" s="12" t="n"/>
      <c r="Q62" s="12" t="n"/>
      <c r="S62" s="13">
        <f>IF($C62="","",IF(UPPER(TRIM(C62))=INDEX('2_前後測題庫'!$I$5:$I$19,1),1,0))</f>
        <v/>
      </c>
      <c r="T62" s="13">
        <f>IF($D62="","",IF(UPPER(TRIM(D62))=INDEX('2_前後測題庫'!$I$5:$I$19,2),1,0))</f>
        <v/>
      </c>
      <c r="U62" s="13">
        <f>IF($E62="","",IF(UPPER(TRIM(E62))=INDEX('2_前後測題庫'!$I$5:$I$19,3),1,0))</f>
        <v/>
      </c>
      <c r="V62" s="13">
        <f>IF($F62="","",IF(UPPER(TRIM(F62))=INDEX('2_前後測題庫'!$I$5:$I$19,4),1,0))</f>
        <v/>
      </c>
      <c r="W62" s="13">
        <f>IF($G62="","",IF(UPPER(TRIM(G62))=INDEX('2_前後測題庫'!$I$5:$I$19,5),1,0))</f>
        <v/>
      </c>
      <c r="X62" s="13">
        <f>IF($H62="","",IF(UPPER(TRIM(H62))=INDEX('2_前後測題庫'!$I$5:$I$19,6),1,0))</f>
        <v/>
      </c>
      <c r="Y62" s="13">
        <f>IF($I62="","",IF(UPPER(TRIM(I62))=INDEX('2_前後測題庫'!$I$5:$I$19,7),1,0))</f>
        <v/>
      </c>
      <c r="Z62" s="13">
        <f>IF($J62="","",IF(UPPER(TRIM(J62))=INDEX('2_前後測題庫'!$I$5:$I$19,8),1,0))</f>
        <v/>
      </c>
      <c r="AA62" s="13">
        <f>IF($K62="","",IF(UPPER(TRIM(K62))=INDEX('2_前後測題庫'!$I$5:$I$19,9),1,0))</f>
        <v/>
      </c>
      <c r="AB62" s="13">
        <f>IF($L62="","",IF(UPPER(TRIM(L62))=INDEX('2_前後測題庫'!$I$5:$I$19,10),1,0))</f>
        <v/>
      </c>
      <c r="AC62" s="13">
        <f>IF($M62="","",IF(UPPER(TRIM(M62))=INDEX('2_前後測題庫'!$I$5:$I$19,11),1,0))</f>
        <v/>
      </c>
      <c r="AD62" s="13">
        <f>IF($N62="","",IF(UPPER(TRIM(N62))=INDEX('2_前後測題庫'!$I$5:$I$19,12),1,0))</f>
        <v/>
      </c>
      <c r="AE62" s="13">
        <f>IF($O62="","",IF(UPPER(TRIM(O62))=INDEX('2_前後測題庫'!$I$5:$I$19,13),1,0))</f>
        <v/>
      </c>
      <c r="AF62" s="13">
        <f>IF($P62="","",IF(UPPER(TRIM(P62))=INDEX('2_前後測題庫'!$I$5:$I$19,14),1,0))</f>
        <v/>
      </c>
      <c r="AG62" s="13">
        <f>IF($Q62="","",IF(UPPER(TRIM(Q62))=INDEX('2_前後測題庫'!$I$5:$I$19,15),1,0))</f>
        <v/>
      </c>
      <c r="AH62" s="14">
        <f>IF($A62="","",SUM(S62:AG62))</f>
        <v/>
      </c>
    </row>
    <row r="63">
      <c r="A63" s="12" t="n"/>
      <c r="B63" s="12" t="n"/>
      <c r="C63" s="12" t="n"/>
      <c r="D63" s="12" t="n"/>
      <c r="E63" s="12" t="n"/>
      <c r="F63" s="12" t="n"/>
      <c r="G63" s="12" t="n"/>
      <c r="H63" s="12" t="n"/>
      <c r="I63" s="12" t="n"/>
      <c r="J63" s="12" t="n"/>
      <c r="K63" s="12" t="n"/>
      <c r="L63" s="12" t="n"/>
      <c r="M63" s="12" t="n"/>
      <c r="N63" s="12" t="n"/>
      <c r="O63" s="12" t="n"/>
      <c r="P63" s="12" t="n"/>
      <c r="Q63" s="12" t="n"/>
      <c r="S63" s="13">
        <f>IF($C63="","",IF(UPPER(TRIM(C63))=INDEX('2_前後測題庫'!$I$5:$I$19,1),1,0))</f>
        <v/>
      </c>
      <c r="T63" s="13">
        <f>IF($D63="","",IF(UPPER(TRIM(D63))=INDEX('2_前後測題庫'!$I$5:$I$19,2),1,0))</f>
        <v/>
      </c>
      <c r="U63" s="13">
        <f>IF($E63="","",IF(UPPER(TRIM(E63))=INDEX('2_前後測題庫'!$I$5:$I$19,3),1,0))</f>
        <v/>
      </c>
      <c r="V63" s="13">
        <f>IF($F63="","",IF(UPPER(TRIM(F63))=INDEX('2_前後測題庫'!$I$5:$I$19,4),1,0))</f>
        <v/>
      </c>
      <c r="W63" s="13">
        <f>IF($G63="","",IF(UPPER(TRIM(G63))=INDEX('2_前後測題庫'!$I$5:$I$19,5),1,0))</f>
        <v/>
      </c>
      <c r="X63" s="13">
        <f>IF($H63="","",IF(UPPER(TRIM(H63))=INDEX('2_前後測題庫'!$I$5:$I$19,6),1,0))</f>
        <v/>
      </c>
      <c r="Y63" s="13">
        <f>IF($I63="","",IF(UPPER(TRIM(I63))=INDEX('2_前後測題庫'!$I$5:$I$19,7),1,0))</f>
        <v/>
      </c>
      <c r="Z63" s="13">
        <f>IF($J63="","",IF(UPPER(TRIM(J63))=INDEX('2_前後測題庫'!$I$5:$I$19,8),1,0))</f>
        <v/>
      </c>
      <c r="AA63" s="13">
        <f>IF($K63="","",IF(UPPER(TRIM(K63))=INDEX('2_前後測題庫'!$I$5:$I$19,9),1,0))</f>
        <v/>
      </c>
      <c r="AB63" s="13">
        <f>IF($L63="","",IF(UPPER(TRIM(L63))=INDEX('2_前後測題庫'!$I$5:$I$19,10),1,0))</f>
        <v/>
      </c>
      <c r="AC63" s="13">
        <f>IF($M63="","",IF(UPPER(TRIM(M63))=INDEX('2_前後測題庫'!$I$5:$I$19,11),1,0))</f>
        <v/>
      </c>
      <c r="AD63" s="13">
        <f>IF($N63="","",IF(UPPER(TRIM(N63))=INDEX('2_前後測題庫'!$I$5:$I$19,12),1,0))</f>
        <v/>
      </c>
      <c r="AE63" s="13">
        <f>IF($O63="","",IF(UPPER(TRIM(O63))=INDEX('2_前後測題庫'!$I$5:$I$19,13),1,0))</f>
        <v/>
      </c>
      <c r="AF63" s="13">
        <f>IF($P63="","",IF(UPPER(TRIM(P63))=INDEX('2_前後測題庫'!$I$5:$I$19,14),1,0))</f>
        <v/>
      </c>
      <c r="AG63" s="13">
        <f>IF($Q63="","",IF(UPPER(TRIM(Q63))=INDEX('2_前後測題庫'!$I$5:$I$19,15),1,0))</f>
        <v/>
      </c>
      <c r="AH63" s="14">
        <f>IF($A63="","",SUM(S63:AG63))</f>
        <v/>
      </c>
    </row>
    <row r="64">
      <c r="A64" s="12" t="n"/>
      <c r="B64" s="12" t="n"/>
      <c r="C64" s="12" t="n"/>
      <c r="D64" s="12" t="n"/>
      <c r="E64" s="12" t="n"/>
      <c r="F64" s="12" t="n"/>
      <c r="G64" s="12" t="n"/>
      <c r="H64" s="12" t="n"/>
      <c r="I64" s="12" t="n"/>
      <c r="J64" s="12" t="n"/>
      <c r="K64" s="12" t="n"/>
      <c r="L64" s="12" t="n"/>
      <c r="M64" s="12" t="n"/>
      <c r="N64" s="12" t="n"/>
      <c r="O64" s="12" t="n"/>
      <c r="P64" s="12" t="n"/>
      <c r="Q64" s="12" t="n"/>
      <c r="S64" s="13">
        <f>IF($C64="","",IF(UPPER(TRIM(C64))=INDEX('2_前後測題庫'!$I$5:$I$19,1),1,0))</f>
        <v/>
      </c>
      <c r="T64" s="13">
        <f>IF($D64="","",IF(UPPER(TRIM(D64))=INDEX('2_前後測題庫'!$I$5:$I$19,2),1,0))</f>
        <v/>
      </c>
      <c r="U64" s="13">
        <f>IF($E64="","",IF(UPPER(TRIM(E64))=INDEX('2_前後測題庫'!$I$5:$I$19,3),1,0))</f>
        <v/>
      </c>
      <c r="V64" s="13">
        <f>IF($F64="","",IF(UPPER(TRIM(F64))=INDEX('2_前後測題庫'!$I$5:$I$19,4),1,0))</f>
        <v/>
      </c>
      <c r="W64" s="13">
        <f>IF($G64="","",IF(UPPER(TRIM(G64))=INDEX('2_前後測題庫'!$I$5:$I$19,5),1,0))</f>
        <v/>
      </c>
      <c r="X64" s="13">
        <f>IF($H64="","",IF(UPPER(TRIM(H64))=INDEX('2_前後測題庫'!$I$5:$I$19,6),1,0))</f>
        <v/>
      </c>
      <c r="Y64" s="13">
        <f>IF($I64="","",IF(UPPER(TRIM(I64))=INDEX('2_前後測題庫'!$I$5:$I$19,7),1,0))</f>
        <v/>
      </c>
      <c r="Z64" s="13">
        <f>IF($J64="","",IF(UPPER(TRIM(J64))=INDEX('2_前後測題庫'!$I$5:$I$19,8),1,0))</f>
        <v/>
      </c>
      <c r="AA64" s="13">
        <f>IF($K64="","",IF(UPPER(TRIM(K64))=INDEX('2_前後測題庫'!$I$5:$I$19,9),1,0))</f>
        <v/>
      </c>
      <c r="AB64" s="13">
        <f>IF($L64="","",IF(UPPER(TRIM(L64))=INDEX('2_前後測題庫'!$I$5:$I$19,10),1,0))</f>
        <v/>
      </c>
      <c r="AC64" s="13">
        <f>IF($M64="","",IF(UPPER(TRIM(M64))=INDEX('2_前後測題庫'!$I$5:$I$19,11),1,0))</f>
        <v/>
      </c>
      <c r="AD64" s="13">
        <f>IF($N64="","",IF(UPPER(TRIM(N64))=INDEX('2_前後測題庫'!$I$5:$I$19,12),1,0))</f>
        <v/>
      </c>
      <c r="AE64" s="13">
        <f>IF($O64="","",IF(UPPER(TRIM(O64))=INDEX('2_前後測題庫'!$I$5:$I$19,13),1,0))</f>
        <v/>
      </c>
      <c r="AF64" s="13">
        <f>IF($P64="","",IF(UPPER(TRIM(P64))=INDEX('2_前後測題庫'!$I$5:$I$19,14),1,0))</f>
        <v/>
      </c>
      <c r="AG64" s="13">
        <f>IF($Q64="","",IF(UPPER(TRIM(Q64))=INDEX('2_前後測題庫'!$I$5:$I$19,15),1,0))</f>
        <v/>
      </c>
      <c r="AH64" s="14">
        <f>IF($A64="","",SUM(S64:AG64))</f>
        <v/>
      </c>
    </row>
  </sheetData>
  <mergeCells count="1">
    <mergeCell ref="A2:AH2"/>
  </mergeCells>
  <pageMargins left="0.75" right="0.75" top="1" bottom="1" header="0.5" footer="0.5"/>
  <pageSetup orientation="landscape" paperSize="9" fitToHeight="0" fitToWidth="1"/>
</worksheet>
</file>

<file path=xl/worksheets/sheet6.xml><?xml version="1.0" encoding="utf-8"?>
<worksheet xmlns="http://schemas.openxmlformats.org/spreadsheetml/2006/main">
  <sheetPr>
    <tabColor rgb="004E8F5A"/>
    <outlinePr summaryBelow="1" summaryRight="1"/>
    <pageSetUpPr fitToPage="1"/>
  </sheetPr>
  <dimension ref="A1:K6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9" customWidth="1" min="3" max="3"/>
    <col width="9" customWidth="1" min="4" max="4"/>
    <col width="9" customWidth="1" min="5" max="5"/>
    <col width="11" customWidth="1" min="6" max="6"/>
    <col width="16" customWidth="1" min="7" max="7"/>
    <col width="3" customWidth="1" min="8" max="8"/>
    <col width="34" customWidth="1" min="9" max="9"/>
    <col width="14" customWidth="1" min="10" max="10"/>
    <col width="50" customWidth="1" min="11" max="11"/>
  </cols>
  <sheetData>
    <row r="1">
      <c r="A1" s="1" t="inlineStr">
        <is>
          <t>學習成效：前後測進步與標準化增益 g</t>
        </is>
      </c>
    </row>
    <row r="2" ht="30" customHeight="1">
      <c r="A2" s="2" t="inlineStr">
        <is>
          <t>標準化增益 g = (後測 − 前測) ÷ (滿分 − 前測)，表示「還沒學會的部分，學會了多少」。Hake (1998)：g &lt; 0.3 低、0.3–0.7 中、&gt; 0.7 高。前測已接近滿分的學生，g 不穩定，看原始分數即可。</t>
        </is>
      </c>
    </row>
    <row r="4">
      <c r="A4" s="3" t="inlineStr">
        <is>
          <t>學號</t>
        </is>
      </c>
      <c r="B4" s="3" t="inlineStr">
        <is>
          <t>姓名</t>
        </is>
      </c>
      <c r="C4" s="3" t="inlineStr">
        <is>
          <t>前測</t>
        </is>
      </c>
      <c r="D4" s="3" t="inlineStr">
        <is>
          <t>後測</t>
        </is>
      </c>
      <c r="E4" s="3" t="inlineStr">
        <is>
          <t>進步</t>
        </is>
      </c>
      <c r="F4" s="3" t="inlineStr">
        <is>
          <t>個人 g</t>
        </is>
      </c>
      <c r="G4" s="3" t="inlineStr">
        <is>
          <t>等級</t>
        </is>
      </c>
    </row>
    <row r="5">
      <c r="A5" s="15">
        <f>IF('3_前測作答'!A5="","",'3_前測作答'!A5)</f>
        <v/>
      </c>
      <c r="B5" s="15">
        <f>IF(A5="","",'3_前測作答'!B5)</f>
        <v/>
      </c>
      <c r="C5" s="13">
        <f>IF(A5="","",'3_前測作答'!AH5)</f>
        <v/>
      </c>
      <c r="D5" s="13">
        <f>IF(A5="","",IFERROR(INDEX('4_後測作答'!$AH$5:$AH$64,MATCH(A5,'4_後測作答'!$A$5:$A$64,0)),""))</f>
        <v/>
      </c>
      <c r="E5" s="16">
        <f>IF(OR(C5="",D5=""),"",D5-C5)</f>
        <v/>
      </c>
      <c r="F5" s="17">
        <f>IF(OR(C5="",D5=""),"",IF(C5=$J$5,"",(D5-C5)/($J$5-C5)))</f>
        <v/>
      </c>
      <c r="G5" s="15">
        <f>IF(F5="","",IF(F5&lt;0,"退步",IF(F5&lt;0.3,"低",IF(F5&lt;=0.7,"中","高"))))</f>
        <v/>
      </c>
      <c r="I5" s="18" t="inlineStr">
        <is>
          <t>滿分</t>
        </is>
      </c>
      <c r="J5" s="13">
        <f>15</f>
        <v/>
      </c>
      <c r="K5" s="2" t="inlineStr">
        <is>
          <t>題數；改題數時這格自動跟著變。</t>
        </is>
      </c>
    </row>
    <row r="6">
      <c r="A6" s="15">
        <f>IF('3_前測作答'!A6="","",'3_前測作答'!A6)</f>
        <v/>
      </c>
      <c r="B6" s="15">
        <f>IF(A6="","",'3_前測作答'!B6)</f>
        <v/>
      </c>
      <c r="C6" s="13">
        <f>IF(A6="","",'3_前測作答'!AH6)</f>
        <v/>
      </c>
      <c r="D6" s="13">
        <f>IF(A6="","",IFERROR(INDEX('4_後測作答'!$AH$5:$AH$64,MATCH(A6,'4_後測作答'!$A$5:$A$64,0)),""))</f>
        <v/>
      </c>
      <c r="E6" s="16">
        <f>IF(OR(C6="",D6=""),"",D6-C6)</f>
        <v/>
      </c>
      <c r="F6" s="17">
        <f>IF(OR(C6="",D6=""),"",IF(C6=$J$5,"",(D6-C6)/($J$5-C6)))</f>
        <v/>
      </c>
      <c r="G6" s="15">
        <f>IF(F6="","",IF(F6&lt;0,"退步",IF(F6&lt;0.3,"低",IF(F6&lt;=0.7,"中","高"))))</f>
        <v/>
      </c>
      <c r="I6" s="18" t="inlineStr">
        <is>
          <t>有前後測的人數</t>
        </is>
      </c>
      <c r="J6" s="13">
        <f>COUNT(E5:E64)</f>
        <v/>
      </c>
      <c r="K6" s="2" t="inlineStr"/>
    </row>
    <row r="7">
      <c r="A7" s="15">
        <f>IF('3_前測作答'!A7="","",'3_前測作答'!A7)</f>
        <v/>
      </c>
      <c r="B7" s="15">
        <f>IF(A7="","",'3_前測作答'!B7)</f>
        <v/>
      </c>
      <c r="C7" s="13">
        <f>IF(A7="","",'3_前測作答'!AH7)</f>
        <v/>
      </c>
      <c r="D7" s="13">
        <f>IF(A7="","",IFERROR(INDEX('4_後測作答'!$AH$5:$AH$64,MATCH(A7,'4_後測作答'!$A$5:$A$64,0)),""))</f>
        <v/>
      </c>
      <c r="E7" s="16">
        <f>IF(OR(C7="",D7=""),"",D7-C7)</f>
        <v/>
      </c>
      <c r="F7" s="17">
        <f>IF(OR(C7="",D7=""),"",IF(C7=$J$5,"",(D7-C7)/($J$5-C7)))</f>
        <v/>
      </c>
      <c r="G7" s="15">
        <f>IF(F7="","",IF(F7&lt;0,"退步",IF(F7&lt;0.3,"低",IF(F7&lt;=0.7,"中","高"))))</f>
        <v/>
      </c>
      <c r="I7" s="18" t="inlineStr">
        <is>
          <t>前測平均</t>
        </is>
      </c>
      <c r="J7" s="17">
        <f>AVERAGE(C5:C64)</f>
        <v/>
      </c>
      <c r="K7" s="2" t="inlineStr"/>
    </row>
    <row r="8">
      <c r="A8" s="15">
        <f>IF('3_前測作答'!A8="","",'3_前測作答'!A8)</f>
        <v/>
      </c>
      <c r="B8" s="15">
        <f>IF(A8="","",'3_前測作答'!B8)</f>
        <v/>
      </c>
      <c r="C8" s="13">
        <f>IF(A8="","",'3_前測作答'!AH8)</f>
        <v/>
      </c>
      <c r="D8" s="13">
        <f>IF(A8="","",IFERROR(INDEX('4_後測作答'!$AH$5:$AH$64,MATCH(A8,'4_後測作答'!$A$5:$A$64,0)),""))</f>
        <v/>
      </c>
      <c r="E8" s="16">
        <f>IF(OR(C8="",D8=""),"",D8-C8)</f>
        <v/>
      </c>
      <c r="F8" s="17">
        <f>IF(OR(C8="",D8=""),"",IF(C8=$J$5,"",(D8-C8)/($J$5-C8)))</f>
        <v/>
      </c>
      <c r="G8" s="15">
        <f>IF(F8="","",IF(F8&lt;0,"退步",IF(F8&lt;0.3,"低",IF(F8&lt;=0.7,"中","高"))))</f>
        <v/>
      </c>
      <c r="I8" s="18" t="inlineStr">
        <is>
          <t>後測平均</t>
        </is>
      </c>
      <c r="J8" s="17">
        <f>AVERAGE(D5:D64)</f>
        <v/>
      </c>
      <c r="K8" s="2" t="inlineStr"/>
    </row>
    <row r="9">
      <c r="A9" s="15">
        <f>IF('3_前測作答'!A9="","",'3_前測作答'!A9)</f>
        <v/>
      </c>
      <c r="B9" s="15">
        <f>IF(A9="","",'3_前測作答'!B9)</f>
        <v/>
      </c>
      <c r="C9" s="13">
        <f>IF(A9="","",'3_前測作答'!AH9)</f>
        <v/>
      </c>
      <c r="D9" s="13">
        <f>IF(A9="","",IFERROR(INDEX('4_後測作答'!$AH$5:$AH$64,MATCH(A9,'4_後測作答'!$A$5:$A$64,0)),""))</f>
        <v/>
      </c>
      <c r="E9" s="16">
        <f>IF(OR(C9="",D9=""),"",D9-C9)</f>
        <v/>
      </c>
      <c r="F9" s="17">
        <f>IF(OR(C9="",D9=""),"",IF(C9=$J$5,"",(D9-C9)/($J$5-C9)))</f>
        <v/>
      </c>
      <c r="G9" s="15">
        <f>IF(F9="","",IF(F9&lt;0,"退步",IF(F9&lt;0.3,"低",IF(F9&lt;=0.7,"中","高"))))</f>
        <v/>
      </c>
      <c r="I9" s="18" t="inlineStr">
        <is>
          <t>全班標準化增益 &lt;g&gt;</t>
        </is>
      </c>
      <c r="J9" s="19">
        <f>(J8-J7)/(J5-J7)</f>
        <v/>
      </c>
      <c r="K9" s="2" t="inlineStr">
        <is>
          <t>用全班平均算（Hake 的定義），比平均個人 g 穩定。</t>
        </is>
      </c>
    </row>
    <row r="10">
      <c r="A10" s="15">
        <f>IF('3_前測作答'!A10="","",'3_前測作答'!A10)</f>
        <v/>
      </c>
      <c r="B10" s="15">
        <f>IF(A10="","",'3_前測作答'!B10)</f>
        <v/>
      </c>
      <c r="C10" s="13">
        <f>IF(A10="","",'3_前測作答'!AH10)</f>
        <v/>
      </c>
      <c r="D10" s="13">
        <f>IF(A10="","",IFERROR(INDEX('4_後測作答'!$AH$5:$AH$64,MATCH(A10,'4_後測作答'!$A$5:$A$64,0)),""))</f>
        <v/>
      </c>
      <c r="E10" s="16">
        <f>IF(OR(C10="",D10=""),"",D10-C10)</f>
        <v/>
      </c>
      <c r="F10" s="17">
        <f>IF(OR(C10="",D10=""),"",IF(C10=$J$5,"",(D10-C10)/($J$5-C10)))</f>
        <v/>
      </c>
      <c r="G10" s="15">
        <f>IF(F10="","",IF(F10&lt;0,"退步",IF(F10&lt;0.3,"低",IF(F10&lt;=0.7,"中","高"))))</f>
        <v/>
      </c>
      <c r="I10" s="18" t="inlineStr">
        <is>
          <t>等級</t>
        </is>
      </c>
      <c r="J10" s="15">
        <f>IF(J9&lt;0.3,"低",IF(J9&lt;=0.7,"中","高"))</f>
        <v/>
      </c>
      <c r="K10" s="2" t="inlineStr"/>
    </row>
    <row r="11">
      <c r="A11" s="15">
        <f>IF('3_前測作答'!A11="","",'3_前測作答'!A11)</f>
        <v/>
      </c>
      <c r="B11" s="15">
        <f>IF(A11="","",'3_前測作答'!B11)</f>
        <v/>
      </c>
      <c r="C11" s="13">
        <f>IF(A11="","",'3_前測作答'!AH11)</f>
        <v/>
      </c>
      <c r="D11" s="13">
        <f>IF(A11="","",IFERROR(INDEX('4_後測作答'!$AH$5:$AH$64,MATCH(A11,'4_後測作答'!$A$5:$A$64,0)),""))</f>
        <v/>
      </c>
      <c r="E11" s="16">
        <f>IF(OR(C11="",D11=""),"",D11-C11)</f>
        <v/>
      </c>
      <c r="F11" s="17">
        <f>IF(OR(C11="",D11=""),"",IF(C11=$J$5,"",(D11-C11)/($J$5-C11)))</f>
        <v/>
      </c>
      <c r="G11" s="15">
        <f>IF(F11="","",IF(F11&lt;0,"退步",IF(F11&lt;0.3,"低",IF(F11&lt;=0.7,"中","高"))))</f>
        <v/>
      </c>
      <c r="I11" s="18" t="inlineStr">
        <is>
          <t>配對 t 檢定 p 值</t>
        </is>
      </c>
      <c r="J11" s="20">
        <f>_xlfn.T.TEST(C5:C64,D5:D64,2,1)</f>
        <v/>
      </c>
      <c r="K11" s="2" t="inlineStr">
        <is>
          <t>同一群學生前後比較，用配對（type = 1）。空白列會被忽略。</t>
        </is>
      </c>
    </row>
    <row r="12">
      <c r="A12" s="15">
        <f>IF('3_前測作答'!A12="","",'3_前測作答'!A12)</f>
        <v/>
      </c>
      <c r="B12" s="15">
        <f>IF(A12="","",'3_前測作答'!B12)</f>
        <v/>
      </c>
      <c r="C12" s="13">
        <f>IF(A12="","",'3_前測作答'!AH12)</f>
        <v/>
      </c>
      <c r="D12" s="13">
        <f>IF(A12="","",IFERROR(INDEX('4_後測作答'!$AH$5:$AH$64,MATCH(A12,'4_後測作答'!$A$5:$A$64,0)),""))</f>
        <v/>
      </c>
      <c r="E12" s="16">
        <f>IF(OR(C12="",D12=""),"",D12-C12)</f>
        <v/>
      </c>
      <c r="F12" s="17">
        <f>IF(OR(C12="",D12=""),"",IF(C12=$J$5,"",(D12-C12)/($J$5-C12)))</f>
        <v/>
      </c>
      <c r="G12" s="15">
        <f>IF(F12="","",IF(F12&lt;0,"退步",IF(F12&lt;0.3,"低",IF(F12&lt;=0.7,"中","高"))))</f>
        <v/>
      </c>
      <c r="I12" s="18" t="inlineStr">
        <is>
          <t>效果量 Cohen's d（配對）</t>
        </is>
      </c>
      <c r="J12" s="19">
        <f>AVERAGE(E5:E64)/_xlfn.STDEV.S(E5:E64)</f>
        <v/>
      </c>
      <c r="K12" s="2" t="inlineStr">
        <is>
          <t>= 平均進步 ÷ 進步的 SD；0.2 小、0.5 中、0.8 大。</t>
        </is>
      </c>
    </row>
    <row r="13">
      <c r="A13" s="15">
        <f>IF('3_前測作答'!A13="","",'3_前測作答'!A13)</f>
        <v/>
      </c>
      <c r="B13" s="15">
        <f>IF(A13="","",'3_前測作答'!B13)</f>
        <v/>
      </c>
      <c r="C13" s="13">
        <f>IF(A13="","",'3_前測作答'!AH13)</f>
        <v/>
      </c>
      <c r="D13" s="13">
        <f>IF(A13="","",IFERROR(INDEX('4_後測作答'!$AH$5:$AH$64,MATCH(A13,'4_後測作答'!$A$5:$A$64,0)),""))</f>
        <v/>
      </c>
      <c r="E13" s="16">
        <f>IF(OR(C13="",D13=""),"",D13-C13)</f>
        <v/>
      </c>
      <c r="F13" s="17">
        <f>IF(OR(C13="",D13=""),"",IF(C13=$J$5,"",(D13-C13)/($J$5-C13)))</f>
        <v/>
      </c>
      <c r="G13" s="15">
        <f>IF(F13="","",IF(F13&lt;0,"退步",IF(F13&lt;0.3,"低",IF(F13&lt;=0.7,"中","高"))))</f>
        <v/>
      </c>
    </row>
    <row r="14" ht="30" customHeight="1">
      <c r="A14" s="15">
        <f>IF('3_前測作答'!A14="","",'3_前測作答'!A14)</f>
        <v/>
      </c>
      <c r="B14" s="15">
        <f>IF(A14="","",'3_前測作答'!B14)</f>
        <v/>
      </c>
      <c r="C14" s="13">
        <f>IF(A14="","",'3_前測作答'!AH14)</f>
        <v/>
      </c>
      <c r="D14" s="13">
        <f>IF(A14="","",IFERROR(INDEX('4_後測作答'!$AH$5:$AH$64,MATCH(A14,'4_後測作答'!$A$5:$A$64,0)),""))</f>
        <v/>
      </c>
      <c r="E14" s="16">
        <f>IF(OR(C14="",D14=""),"",D14-C14)</f>
        <v/>
      </c>
      <c r="F14" s="17">
        <f>IF(OR(C14="",D14=""),"",IF(C14=$J$5,"",(D14-C14)/($J$5-C14)))</f>
        <v/>
      </c>
      <c r="G14" s="15">
        <f>IF(F14="","",IF(F14&lt;0,"退步",IF(F14&lt;0.3,"低",IF(F14&lt;=0.7,"中","高"))))</f>
        <v/>
      </c>
      <c r="I14" s="2" t="inlineStr">
        <is>
          <t>怎麼用這些數字：&lt;g&gt; 用來和往年比較教學改變的效果；配對 t 與效果量告訴你進步是不是真的；最重要的是下一張「6_試題分析」，找出全班後測仍然答錯的觀念，下學期加強。</t>
        </is>
      </c>
    </row>
    <row r="15">
      <c r="A15" s="15">
        <f>IF('3_前測作答'!A15="","",'3_前測作答'!A15)</f>
        <v/>
      </c>
      <c r="B15" s="15">
        <f>IF(A15="","",'3_前測作答'!B15)</f>
        <v/>
      </c>
      <c r="C15" s="13">
        <f>IF(A15="","",'3_前測作答'!AH15)</f>
        <v/>
      </c>
      <c r="D15" s="13">
        <f>IF(A15="","",IFERROR(INDEX('4_後測作答'!$AH$5:$AH$64,MATCH(A15,'4_後測作答'!$A$5:$A$64,0)),""))</f>
        <v/>
      </c>
      <c r="E15" s="16">
        <f>IF(OR(C15="",D15=""),"",D15-C15)</f>
        <v/>
      </c>
      <c r="F15" s="17">
        <f>IF(OR(C15="",D15=""),"",IF(C15=$J$5,"",(D15-C15)/($J$5-C15)))</f>
        <v/>
      </c>
      <c r="G15" s="15">
        <f>IF(F15="","",IF(F15&lt;0,"退步",IF(F15&lt;0.3,"低",IF(F15&lt;=0.7,"中","高"))))</f>
        <v/>
      </c>
    </row>
    <row r="16">
      <c r="A16" s="15">
        <f>IF('3_前測作答'!A16="","",'3_前測作答'!A16)</f>
        <v/>
      </c>
      <c r="B16" s="15">
        <f>IF(A16="","",'3_前測作答'!B16)</f>
        <v/>
      </c>
      <c r="C16" s="13">
        <f>IF(A16="","",'3_前測作答'!AH16)</f>
        <v/>
      </c>
      <c r="D16" s="13">
        <f>IF(A16="","",IFERROR(INDEX('4_後測作答'!$AH$5:$AH$64,MATCH(A16,'4_後測作答'!$A$5:$A$64,0)),""))</f>
        <v/>
      </c>
      <c r="E16" s="16">
        <f>IF(OR(C16="",D16=""),"",D16-C16)</f>
        <v/>
      </c>
      <c r="F16" s="17">
        <f>IF(OR(C16="",D16=""),"",IF(C16=$J$5,"",(D16-C16)/($J$5-C16)))</f>
        <v/>
      </c>
      <c r="G16" s="15">
        <f>IF(F16="","",IF(F16&lt;0,"退步",IF(F16&lt;0.3,"低",IF(F16&lt;=0.7,"中","高"))))</f>
        <v/>
      </c>
    </row>
    <row r="17">
      <c r="A17" s="15">
        <f>IF('3_前測作答'!A17="","",'3_前測作答'!A17)</f>
        <v/>
      </c>
      <c r="B17" s="15">
        <f>IF(A17="","",'3_前測作答'!B17)</f>
        <v/>
      </c>
      <c r="C17" s="13">
        <f>IF(A17="","",'3_前測作答'!AH17)</f>
        <v/>
      </c>
      <c r="D17" s="13">
        <f>IF(A17="","",IFERROR(INDEX('4_後測作答'!$AH$5:$AH$64,MATCH(A17,'4_後測作答'!$A$5:$A$64,0)),""))</f>
        <v/>
      </c>
      <c r="E17" s="16">
        <f>IF(OR(C17="",D17=""),"",D17-C17)</f>
        <v/>
      </c>
      <c r="F17" s="17">
        <f>IF(OR(C17="",D17=""),"",IF(C17=$J$5,"",(D17-C17)/($J$5-C17)))</f>
        <v/>
      </c>
      <c r="G17" s="15">
        <f>IF(F17="","",IF(F17&lt;0,"退步",IF(F17&lt;0.3,"低",IF(F17&lt;=0.7,"中","高"))))</f>
        <v/>
      </c>
    </row>
    <row r="18">
      <c r="A18" s="15">
        <f>IF('3_前測作答'!A18="","",'3_前測作答'!A18)</f>
        <v/>
      </c>
      <c r="B18" s="15">
        <f>IF(A18="","",'3_前測作答'!B18)</f>
        <v/>
      </c>
      <c r="C18" s="13">
        <f>IF(A18="","",'3_前測作答'!AH18)</f>
        <v/>
      </c>
      <c r="D18" s="13">
        <f>IF(A18="","",IFERROR(INDEX('4_後測作答'!$AH$5:$AH$64,MATCH(A18,'4_後測作答'!$A$5:$A$64,0)),""))</f>
        <v/>
      </c>
      <c r="E18" s="16">
        <f>IF(OR(C18="",D18=""),"",D18-C18)</f>
        <v/>
      </c>
      <c r="F18" s="17">
        <f>IF(OR(C18="",D18=""),"",IF(C18=$J$5,"",(D18-C18)/($J$5-C18)))</f>
        <v/>
      </c>
      <c r="G18" s="15">
        <f>IF(F18="","",IF(F18&lt;0,"退步",IF(F18&lt;0.3,"低",IF(F18&lt;=0.7,"中","高"))))</f>
        <v/>
      </c>
    </row>
    <row r="19">
      <c r="A19" s="15">
        <f>IF('3_前測作答'!A19="","",'3_前測作答'!A19)</f>
        <v/>
      </c>
      <c r="B19" s="15">
        <f>IF(A19="","",'3_前測作答'!B19)</f>
        <v/>
      </c>
      <c r="C19" s="13">
        <f>IF(A19="","",'3_前測作答'!AH19)</f>
        <v/>
      </c>
      <c r="D19" s="13">
        <f>IF(A19="","",IFERROR(INDEX('4_後測作答'!$AH$5:$AH$64,MATCH(A19,'4_後測作答'!$A$5:$A$64,0)),""))</f>
        <v/>
      </c>
      <c r="E19" s="16">
        <f>IF(OR(C19="",D19=""),"",D19-C19)</f>
        <v/>
      </c>
      <c r="F19" s="17">
        <f>IF(OR(C19="",D19=""),"",IF(C19=$J$5,"",(D19-C19)/($J$5-C19)))</f>
        <v/>
      </c>
      <c r="G19" s="15">
        <f>IF(F19="","",IF(F19&lt;0,"退步",IF(F19&lt;0.3,"低",IF(F19&lt;=0.7,"中","高"))))</f>
        <v/>
      </c>
    </row>
    <row r="20">
      <c r="A20" s="15">
        <f>IF('3_前測作答'!A20="","",'3_前測作答'!A20)</f>
        <v/>
      </c>
      <c r="B20" s="15">
        <f>IF(A20="","",'3_前測作答'!B20)</f>
        <v/>
      </c>
      <c r="C20" s="13">
        <f>IF(A20="","",'3_前測作答'!AH20)</f>
        <v/>
      </c>
      <c r="D20" s="13">
        <f>IF(A20="","",IFERROR(INDEX('4_後測作答'!$AH$5:$AH$64,MATCH(A20,'4_後測作答'!$A$5:$A$64,0)),""))</f>
        <v/>
      </c>
      <c r="E20" s="16">
        <f>IF(OR(C20="",D20=""),"",D20-C20)</f>
        <v/>
      </c>
      <c r="F20" s="17">
        <f>IF(OR(C20="",D20=""),"",IF(C20=$J$5,"",(D20-C20)/($J$5-C20)))</f>
        <v/>
      </c>
      <c r="G20" s="15">
        <f>IF(F20="","",IF(F20&lt;0,"退步",IF(F20&lt;0.3,"低",IF(F20&lt;=0.7,"中","高"))))</f>
        <v/>
      </c>
    </row>
    <row r="21">
      <c r="A21" s="15">
        <f>IF('3_前測作答'!A21="","",'3_前測作答'!A21)</f>
        <v/>
      </c>
      <c r="B21" s="15">
        <f>IF(A21="","",'3_前測作答'!B21)</f>
        <v/>
      </c>
      <c r="C21" s="13">
        <f>IF(A21="","",'3_前測作答'!AH21)</f>
        <v/>
      </c>
      <c r="D21" s="13">
        <f>IF(A21="","",IFERROR(INDEX('4_後測作答'!$AH$5:$AH$64,MATCH(A21,'4_後測作答'!$A$5:$A$64,0)),""))</f>
        <v/>
      </c>
      <c r="E21" s="16">
        <f>IF(OR(C21="",D21=""),"",D21-C21)</f>
        <v/>
      </c>
      <c r="F21" s="17">
        <f>IF(OR(C21="",D21=""),"",IF(C21=$J$5,"",(D21-C21)/($J$5-C21)))</f>
        <v/>
      </c>
      <c r="G21" s="15">
        <f>IF(F21="","",IF(F21&lt;0,"退步",IF(F21&lt;0.3,"低",IF(F21&lt;=0.7,"中","高"))))</f>
        <v/>
      </c>
    </row>
    <row r="22">
      <c r="A22" s="15">
        <f>IF('3_前測作答'!A22="","",'3_前測作答'!A22)</f>
        <v/>
      </c>
      <c r="B22" s="15">
        <f>IF(A22="","",'3_前測作答'!B22)</f>
        <v/>
      </c>
      <c r="C22" s="13">
        <f>IF(A22="","",'3_前測作答'!AH22)</f>
        <v/>
      </c>
      <c r="D22" s="13">
        <f>IF(A22="","",IFERROR(INDEX('4_後測作答'!$AH$5:$AH$64,MATCH(A22,'4_後測作答'!$A$5:$A$64,0)),""))</f>
        <v/>
      </c>
      <c r="E22" s="16">
        <f>IF(OR(C22="",D22=""),"",D22-C22)</f>
        <v/>
      </c>
      <c r="F22" s="17">
        <f>IF(OR(C22="",D22=""),"",IF(C22=$J$5,"",(D22-C22)/($J$5-C22)))</f>
        <v/>
      </c>
      <c r="G22" s="15">
        <f>IF(F22="","",IF(F22&lt;0,"退步",IF(F22&lt;0.3,"低",IF(F22&lt;=0.7,"中","高"))))</f>
        <v/>
      </c>
    </row>
    <row r="23">
      <c r="A23" s="15">
        <f>IF('3_前測作答'!A23="","",'3_前測作答'!A23)</f>
        <v/>
      </c>
      <c r="B23" s="15">
        <f>IF(A23="","",'3_前測作答'!B23)</f>
        <v/>
      </c>
      <c r="C23" s="13">
        <f>IF(A23="","",'3_前測作答'!AH23)</f>
        <v/>
      </c>
      <c r="D23" s="13">
        <f>IF(A23="","",IFERROR(INDEX('4_後測作答'!$AH$5:$AH$64,MATCH(A23,'4_後測作答'!$A$5:$A$64,0)),""))</f>
        <v/>
      </c>
      <c r="E23" s="16">
        <f>IF(OR(C23="",D23=""),"",D23-C23)</f>
        <v/>
      </c>
      <c r="F23" s="17">
        <f>IF(OR(C23="",D23=""),"",IF(C23=$J$5,"",(D23-C23)/($J$5-C23)))</f>
        <v/>
      </c>
      <c r="G23" s="15">
        <f>IF(F23="","",IF(F23&lt;0,"退步",IF(F23&lt;0.3,"低",IF(F23&lt;=0.7,"中","高"))))</f>
        <v/>
      </c>
    </row>
    <row r="24">
      <c r="A24" s="15">
        <f>IF('3_前測作答'!A24="","",'3_前測作答'!A24)</f>
        <v/>
      </c>
      <c r="B24" s="15">
        <f>IF(A24="","",'3_前測作答'!B24)</f>
        <v/>
      </c>
      <c r="C24" s="13">
        <f>IF(A24="","",'3_前測作答'!AH24)</f>
        <v/>
      </c>
      <c r="D24" s="13">
        <f>IF(A24="","",IFERROR(INDEX('4_後測作答'!$AH$5:$AH$64,MATCH(A24,'4_後測作答'!$A$5:$A$64,0)),""))</f>
        <v/>
      </c>
      <c r="E24" s="16">
        <f>IF(OR(C24="",D24=""),"",D24-C24)</f>
        <v/>
      </c>
      <c r="F24" s="17">
        <f>IF(OR(C24="",D24=""),"",IF(C24=$J$5,"",(D24-C24)/($J$5-C24)))</f>
        <v/>
      </c>
      <c r="G24" s="15">
        <f>IF(F24="","",IF(F24&lt;0,"退步",IF(F24&lt;0.3,"低",IF(F24&lt;=0.7,"中","高"))))</f>
        <v/>
      </c>
    </row>
    <row r="25">
      <c r="A25" s="15">
        <f>IF('3_前測作答'!A25="","",'3_前測作答'!A25)</f>
        <v/>
      </c>
      <c r="B25" s="15">
        <f>IF(A25="","",'3_前測作答'!B25)</f>
        <v/>
      </c>
      <c r="C25" s="13">
        <f>IF(A25="","",'3_前測作答'!AH25)</f>
        <v/>
      </c>
      <c r="D25" s="13">
        <f>IF(A25="","",IFERROR(INDEX('4_後測作答'!$AH$5:$AH$64,MATCH(A25,'4_後測作答'!$A$5:$A$64,0)),""))</f>
        <v/>
      </c>
      <c r="E25" s="16">
        <f>IF(OR(C25="",D25=""),"",D25-C25)</f>
        <v/>
      </c>
      <c r="F25" s="17">
        <f>IF(OR(C25="",D25=""),"",IF(C25=$J$5,"",(D25-C25)/($J$5-C25)))</f>
        <v/>
      </c>
      <c r="G25" s="15">
        <f>IF(F25="","",IF(F25&lt;0,"退步",IF(F25&lt;0.3,"低",IF(F25&lt;=0.7,"中","高"))))</f>
        <v/>
      </c>
    </row>
    <row r="26">
      <c r="A26" s="15">
        <f>IF('3_前測作答'!A26="","",'3_前測作答'!A26)</f>
        <v/>
      </c>
      <c r="B26" s="15">
        <f>IF(A26="","",'3_前測作答'!B26)</f>
        <v/>
      </c>
      <c r="C26" s="13">
        <f>IF(A26="","",'3_前測作答'!AH26)</f>
        <v/>
      </c>
      <c r="D26" s="13">
        <f>IF(A26="","",IFERROR(INDEX('4_後測作答'!$AH$5:$AH$64,MATCH(A26,'4_後測作答'!$A$5:$A$64,0)),""))</f>
        <v/>
      </c>
      <c r="E26" s="16">
        <f>IF(OR(C26="",D26=""),"",D26-C26)</f>
        <v/>
      </c>
      <c r="F26" s="17">
        <f>IF(OR(C26="",D26=""),"",IF(C26=$J$5,"",(D26-C26)/($J$5-C26)))</f>
        <v/>
      </c>
      <c r="G26" s="15">
        <f>IF(F26="","",IF(F26&lt;0,"退步",IF(F26&lt;0.3,"低",IF(F26&lt;=0.7,"中","高"))))</f>
        <v/>
      </c>
    </row>
    <row r="27">
      <c r="A27" s="15">
        <f>IF('3_前測作答'!A27="","",'3_前測作答'!A27)</f>
        <v/>
      </c>
      <c r="B27" s="15">
        <f>IF(A27="","",'3_前測作答'!B27)</f>
        <v/>
      </c>
      <c r="C27" s="13">
        <f>IF(A27="","",'3_前測作答'!AH27)</f>
        <v/>
      </c>
      <c r="D27" s="13">
        <f>IF(A27="","",IFERROR(INDEX('4_後測作答'!$AH$5:$AH$64,MATCH(A27,'4_後測作答'!$A$5:$A$64,0)),""))</f>
        <v/>
      </c>
      <c r="E27" s="16">
        <f>IF(OR(C27="",D27=""),"",D27-C27)</f>
        <v/>
      </c>
      <c r="F27" s="17">
        <f>IF(OR(C27="",D27=""),"",IF(C27=$J$5,"",(D27-C27)/($J$5-C27)))</f>
        <v/>
      </c>
      <c r="G27" s="15">
        <f>IF(F27="","",IF(F27&lt;0,"退步",IF(F27&lt;0.3,"低",IF(F27&lt;=0.7,"中","高"))))</f>
        <v/>
      </c>
    </row>
    <row r="28">
      <c r="A28" s="15">
        <f>IF('3_前測作答'!A28="","",'3_前測作答'!A28)</f>
        <v/>
      </c>
      <c r="B28" s="15">
        <f>IF(A28="","",'3_前測作答'!B28)</f>
        <v/>
      </c>
      <c r="C28" s="13">
        <f>IF(A28="","",'3_前測作答'!AH28)</f>
        <v/>
      </c>
      <c r="D28" s="13">
        <f>IF(A28="","",IFERROR(INDEX('4_後測作答'!$AH$5:$AH$64,MATCH(A28,'4_後測作答'!$A$5:$A$64,0)),""))</f>
        <v/>
      </c>
      <c r="E28" s="16">
        <f>IF(OR(C28="",D28=""),"",D28-C28)</f>
        <v/>
      </c>
      <c r="F28" s="17">
        <f>IF(OR(C28="",D28=""),"",IF(C28=$J$5,"",(D28-C28)/($J$5-C28)))</f>
        <v/>
      </c>
      <c r="G28" s="15">
        <f>IF(F28="","",IF(F28&lt;0,"退步",IF(F28&lt;0.3,"低",IF(F28&lt;=0.7,"中","高"))))</f>
        <v/>
      </c>
    </row>
    <row r="29">
      <c r="A29" s="15">
        <f>IF('3_前測作答'!A29="","",'3_前測作答'!A29)</f>
        <v/>
      </c>
      <c r="B29" s="15">
        <f>IF(A29="","",'3_前測作答'!B29)</f>
        <v/>
      </c>
      <c r="C29" s="13">
        <f>IF(A29="","",'3_前測作答'!AH29)</f>
        <v/>
      </c>
      <c r="D29" s="13">
        <f>IF(A29="","",IFERROR(INDEX('4_後測作答'!$AH$5:$AH$64,MATCH(A29,'4_後測作答'!$A$5:$A$64,0)),""))</f>
        <v/>
      </c>
      <c r="E29" s="16">
        <f>IF(OR(C29="",D29=""),"",D29-C29)</f>
        <v/>
      </c>
      <c r="F29" s="17">
        <f>IF(OR(C29="",D29=""),"",IF(C29=$J$5,"",(D29-C29)/($J$5-C29)))</f>
        <v/>
      </c>
      <c r="G29" s="15">
        <f>IF(F29="","",IF(F29&lt;0,"退步",IF(F29&lt;0.3,"低",IF(F29&lt;=0.7,"中","高"))))</f>
        <v/>
      </c>
    </row>
    <row r="30">
      <c r="A30" s="15">
        <f>IF('3_前測作答'!A30="","",'3_前測作答'!A30)</f>
        <v/>
      </c>
      <c r="B30" s="15">
        <f>IF(A30="","",'3_前測作答'!B30)</f>
        <v/>
      </c>
      <c r="C30" s="13">
        <f>IF(A30="","",'3_前測作答'!AH30)</f>
        <v/>
      </c>
      <c r="D30" s="13">
        <f>IF(A30="","",IFERROR(INDEX('4_後測作答'!$AH$5:$AH$64,MATCH(A30,'4_後測作答'!$A$5:$A$64,0)),""))</f>
        <v/>
      </c>
      <c r="E30" s="16">
        <f>IF(OR(C30="",D30=""),"",D30-C30)</f>
        <v/>
      </c>
      <c r="F30" s="17">
        <f>IF(OR(C30="",D30=""),"",IF(C30=$J$5,"",(D30-C30)/($J$5-C30)))</f>
        <v/>
      </c>
      <c r="G30" s="15">
        <f>IF(F30="","",IF(F30&lt;0,"退步",IF(F30&lt;0.3,"低",IF(F30&lt;=0.7,"中","高"))))</f>
        <v/>
      </c>
    </row>
    <row r="31">
      <c r="A31" s="15">
        <f>IF('3_前測作答'!A31="","",'3_前測作答'!A31)</f>
        <v/>
      </c>
      <c r="B31" s="15">
        <f>IF(A31="","",'3_前測作答'!B31)</f>
        <v/>
      </c>
      <c r="C31" s="13">
        <f>IF(A31="","",'3_前測作答'!AH31)</f>
        <v/>
      </c>
      <c r="D31" s="13">
        <f>IF(A31="","",IFERROR(INDEX('4_後測作答'!$AH$5:$AH$64,MATCH(A31,'4_後測作答'!$A$5:$A$64,0)),""))</f>
        <v/>
      </c>
      <c r="E31" s="16">
        <f>IF(OR(C31="",D31=""),"",D31-C31)</f>
        <v/>
      </c>
      <c r="F31" s="17">
        <f>IF(OR(C31="",D31=""),"",IF(C31=$J$5,"",(D31-C31)/($J$5-C31)))</f>
        <v/>
      </c>
      <c r="G31" s="15">
        <f>IF(F31="","",IF(F31&lt;0,"退步",IF(F31&lt;0.3,"低",IF(F31&lt;=0.7,"中","高"))))</f>
        <v/>
      </c>
    </row>
    <row r="32">
      <c r="A32" s="15">
        <f>IF('3_前測作答'!A32="","",'3_前測作答'!A32)</f>
        <v/>
      </c>
      <c r="B32" s="15">
        <f>IF(A32="","",'3_前測作答'!B32)</f>
        <v/>
      </c>
      <c r="C32" s="13">
        <f>IF(A32="","",'3_前測作答'!AH32)</f>
        <v/>
      </c>
      <c r="D32" s="13">
        <f>IF(A32="","",IFERROR(INDEX('4_後測作答'!$AH$5:$AH$64,MATCH(A32,'4_後測作答'!$A$5:$A$64,0)),""))</f>
        <v/>
      </c>
      <c r="E32" s="16">
        <f>IF(OR(C32="",D32=""),"",D32-C32)</f>
        <v/>
      </c>
      <c r="F32" s="17">
        <f>IF(OR(C32="",D32=""),"",IF(C32=$J$5,"",(D32-C32)/($J$5-C32)))</f>
        <v/>
      </c>
      <c r="G32" s="15">
        <f>IF(F32="","",IF(F32&lt;0,"退步",IF(F32&lt;0.3,"低",IF(F32&lt;=0.7,"中","高"))))</f>
        <v/>
      </c>
    </row>
    <row r="33">
      <c r="A33" s="15">
        <f>IF('3_前測作答'!A33="","",'3_前測作答'!A33)</f>
        <v/>
      </c>
      <c r="B33" s="15">
        <f>IF(A33="","",'3_前測作答'!B33)</f>
        <v/>
      </c>
      <c r="C33" s="13">
        <f>IF(A33="","",'3_前測作答'!AH33)</f>
        <v/>
      </c>
      <c r="D33" s="13">
        <f>IF(A33="","",IFERROR(INDEX('4_後測作答'!$AH$5:$AH$64,MATCH(A33,'4_後測作答'!$A$5:$A$64,0)),""))</f>
        <v/>
      </c>
      <c r="E33" s="16">
        <f>IF(OR(C33="",D33=""),"",D33-C33)</f>
        <v/>
      </c>
      <c r="F33" s="17">
        <f>IF(OR(C33="",D33=""),"",IF(C33=$J$5,"",(D33-C33)/($J$5-C33)))</f>
        <v/>
      </c>
      <c r="G33" s="15">
        <f>IF(F33="","",IF(F33&lt;0,"退步",IF(F33&lt;0.3,"低",IF(F33&lt;=0.7,"中","高"))))</f>
        <v/>
      </c>
    </row>
    <row r="34">
      <c r="A34" s="15">
        <f>IF('3_前測作答'!A34="","",'3_前測作答'!A34)</f>
        <v/>
      </c>
      <c r="B34" s="15">
        <f>IF(A34="","",'3_前測作答'!B34)</f>
        <v/>
      </c>
      <c r="C34" s="13">
        <f>IF(A34="","",'3_前測作答'!AH34)</f>
        <v/>
      </c>
      <c r="D34" s="13">
        <f>IF(A34="","",IFERROR(INDEX('4_後測作答'!$AH$5:$AH$64,MATCH(A34,'4_後測作答'!$A$5:$A$64,0)),""))</f>
        <v/>
      </c>
      <c r="E34" s="16">
        <f>IF(OR(C34="",D34=""),"",D34-C34)</f>
        <v/>
      </c>
      <c r="F34" s="17">
        <f>IF(OR(C34="",D34=""),"",IF(C34=$J$5,"",(D34-C34)/($J$5-C34)))</f>
        <v/>
      </c>
      <c r="G34" s="15">
        <f>IF(F34="","",IF(F34&lt;0,"退步",IF(F34&lt;0.3,"低",IF(F34&lt;=0.7,"中","高"))))</f>
        <v/>
      </c>
    </row>
    <row r="35">
      <c r="A35" s="15">
        <f>IF('3_前測作答'!A35="","",'3_前測作答'!A35)</f>
        <v/>
      </c>
      <c r="B35" s="15">
        <f>IF(A35="","",'3_前測作答'!B35)</f>
        <v/>
      </c>
      <c r="C35" s="13">
        <f>IF(A35="","",'3_前測作答'!AH35)</f>
        <v/>
      </c>
      <c r="D35" s="13">
        <f>IF(A35="","",IFERROR(INDEX('4_後測作答'!$AH$5:$AH$64,MATCH(A35,'4_後測作答'!$A$5:$A$64,0)),""))</f>
        <v/>
      </c>
      <c r="E35" s="16">
        <f>IF(OR(C35="",D35=""),"",D35-C35)</f>
        <v/>
      </c>
      <c r="F35" s="17">
        <f>IF(OR(C35="",D35=""),"",IF(C35=$J$5,"",(D35-C35)/($J$5-C35)))</f>
        <v/>
      </c>
      <c r="G35" s="15">
        <f>IF(F35="","",IF(F35&lt;0,"退步",IF(F35&lt;0.3,"低",IF(F35&lt;=0.7,"中","高"))))</f>
        <v/>
      </c>
    </row>
    <row r="36">
      <c r="A36" s="15">
        <f>IF('3_前測作答'!A36="","",'3_前測作答'!A36)</f>
        <v/>
      </c>
      <c r="B36" s="15">
        <f>IF(A36="","",'3_前測作答'!B36)</f>
        <v/>
      </c>
      <c r="C36" s="13">
        <f>IF(A36="","",'3_前測作答'!AH36)</f>
        <v/>
      </c>
      <c r="D36" s="13">
        <f>IF(A36="","",IFERROR(INDEX('4_後測作答'!$AH$5:$AH$64,MATCH(A36,'4_後測作答'!$A$5:$A$64,0)),""))</f>
        <v/>
      </c>
      <c r="E36" s="16">
        <f>IF(OR(C36="",D36=""),"",D36-C36)</f>
        <v/>
      </c>
      <c r="F36" s="17">
        <f>IF(OR(C36="",D36=""),"",IF(C36=$J$5,"",(D36-C36)/($J$5-C36)))</f>
        <v/>
      </c>
      <c r="G36" s="15">
        <f>IF(F36="","",IF(F36&lt;0,"退步",IF(F36&lt;0.3,"低",IF(F36&lt;=0.7,"中","高"))))</f>
        <v/>
      </c>
    </row>
    <row r="37">
      <c r="A37" s="15">
        <f>IF('3_前測作答'!A37="","",'3_前測作答'!A37)</f>
        <v/>
      </c>
      <c r="B37" s="15">
        <f>IF(A37="","",'3_前測作答'!B37)</f>
        <v/>
      </c>
      <c r="C37" s="13">
        <f>IF(A37="","",'3_前測作答'!AH37)</f>
        <v/>
      </c>
      <c r="D37" s="13">
        <f>IF(A37="","",IFERROR(INDEX('4_後測作答'!$AH$5:$AH$64,MATCH(A37,'4_後測作答'!$A$5:$A$64,0)),""))</f>
        <v/>
      </c>
      <c r="E37" s="16">
        <f>IF(OR(C37="",D37=""),"",D37-C37)</f>
        <v/>
      </c>
      <c r="F37" s="17">
        <f>IF(OR(C37="",D37=""),"",IF(C37=$J$5,"",(D37-C37)/($J$5-C37)))</f>
        <v/>
      </c>
      <c r="G37" s="15">
        <f>IF(F37="","",IF(F37&lt;0,"退步",IF(F37&lt;0.3,"低",IF(F37&lt;=0.7,"中","高"))))</f>
        <v/>
      </c>
    </row>
    <row r="38">
      <c r="A38" s="15">
        <f>IF('3_前測作答'!A38="","",'3_前測作答'!A38)</f>
        <v/>
      </c>
      <c r="B38" s="15">
        <f>IF(A38="","",'3_前測作答'!B38)</f>
        <v/>
      </c>
      <c r="C38" s="13">
        <f>IF(A38="","",'3_前測作答'!AH38)</f>
        <v/>
      </c>
      <c r="D38" s="13">
        <f>IF(A38="","",IFERROR(INDEX('4_後測作答'!$AH$5:$AH$64,MATCH(A38,'4_後測作答'!$A$5:$A$64,0)),""))</f>
        <v/>
      </c>
      <c r="E38" s="16">
        <f>IF(OR(C38="",D38=""),"",D38-C38)</f>
        <v/>
      </c>
      <c r="F38" s="17">
        <f>IF(OR(C38="",D38=""),"",IF(C38=$J$5,"",(D38-C38)/($J$5-C38)))</f>
        <v/>
      </c>
      <c r="G38" s="15">
        <f>IF(F38="","",IF(F38&lt;0,"退步",IF(F38&lt;0.3,"低",IF(F38&lt;=0.7,"中","高"))))</f>
        <v/>
      </c>
    </row>
    <row r="39">
      <c r="A39" s="15">
        <f>IF('3_前測作答'!A39="","",'3_前測作答'!A39)</f>
        <v/>
      </c>
      <c r="B39" s="15">
        <f>IF(A39="","",'3_前測作答'!B39)</f>
        <v/>
      </c>
      <c r="C39" s="13">
        <f>IF(A39="","",'3_前測作答'!AH39)</f>
        <v/>
      </c>
      <c r="D39" s="13">
        <f>IF(A39="","",IFERROR(INDEX('4_後測作答'!$AH$5:$AH$64,MATCH(A39,'4_後測作答'!$A$5:$A$64,0)),""))</f>
        <v/>
      </c>
      <c r="E39" s="16">
        <f>IF(OR(C39="",D39=""),"",D39-C39)</f>
        <v/>
      </c>
      <c r="F39" s="17">
        <f>IF(OR(C39="",D39=""),"",IF(C39=$J$5,"",(D39-C39)/($J$5-C39)))</f>
        <v/>
      </c>
      <c r="G39" s="15">
        <f>IF(F39="","",IF(F39&lt;0,"退步",IF(F39&lt;0.3,"低",IF(F39&lt;=0.7,"中","高"))))</f>
        <v/>
      </c>
    </row>
    <row r="40">
      <c r="A40" s="15">
        <f>IF('3_前測作答'!A40="","",'3_前測作答'!A40)</f>
        <v/>
      </c>
      <c r="B40" s="15">
        <f>IF(A40="","",'3_前測作答'!B40)</f>
        <v/>
      </c>
      <c r="C40" s="13">
        <f>IF(A40="","",'3_前測作答'!AH40)</f>
        <v/>
      </c>
      <c r="D40" s="13">
        <f>IF(A40="","",IFERROR(INDEX('4_後測作答'!$AH$5:$AH$64,MATCH(A40,'4_後測作答'!$A$5:$A$64,0)),""))</f>
        <v/>
      </c>
      <c r="E40" s="16">
        <f>IF(OR(C40="",D40=""),"",D40-C40)</f>
        <v/>
      </c>
      <c r="F40" s="17">
        <f>IF(OR(C40="",D40=""),"",IF(C40=$J$5,"",(D40-C40)/($J$5-C40)))</f>
        <v/>
      </c>
      <c r="G40" s="15">
        <f>IF(F40="","",IF(F40&lt;0,"退步",IF(F40&lt;0.3,"低",IF(F40&lt;=0.7,"中","高"))))</f>
        <v/>
      </c>
    </row>
    <row r="41">
      <c r="A41" s="15">
        <f>IF('3_前測作答'!A41="","",'3_前測作答'!A41)</f>
        <v/>
      </c>
      <c r="B41" s="15">
        <f>IF(A41="","",'3_前測作答'!B41)</f>
        <v/>
      </c>
      <c r="C41" s="13">
        <f>IF(A41="","",'3_前測作答'!AH41)</f>
        <v/>
      </c>
      <c r="D41" s="13">
        <f>IF(A41="","",IFERROR(INDEX('4_後測作答'!$AH$5:$AH$64,MATCH(A41,'4_後測作答'!$A$5:$A$64,0)),""))</f>
        <v/>
      </c>
      <c r="E41" s="16">
        <f>IF(OR(C41="",D41=""),"",D41-C41)</f>
        <v/>
      </c>
      <c r="F41" s="17">
        <f>IF(OR(C41="",D41=""),"",IF(C41=$J$5,"",(D41-C41)/($J$5-C41)))</f>
        <v/>
      </c>
      <c r="G41" s="15">
        <f>IF(F41="","",IF(F41&lt;0,"退步",IF(F41&lt;0.3,"低",IF(F41&lt;=0.7,"中","高"))))</f>
        <v/>
      </c>
    </row>
    <row r="42">
      <c r="A42" s="15">
        <f>IF('3_前測作答'!A42="","",'3_前測作答'!A42)</f>
        <v/>
      </c>
      <c r="B42" s="15">
        <f>IF(A42="","",'3_前測作答'!B42)</f>
        <v/>
      </c>
      <c r="C42" s="13">
        <f>IF(A42="","",'3_前測作答'!AH42)</f>
        <v/>
      </c>
      <c r="D42" s="13">
        <f>IF(A42="","",IFERROR(INDEX('4_後測作答'!$AH$5:$AH$64,MATCH(A42,'4_後測作答'!$A$5:$A$64,0)),""))</f>
        <v/>
      </c>
      <c r="E42" s="16">
        <f>IF(OR(C42="",D42=""),"",D42-C42)</f>
        <v/>
      </c>
      <c r="F42" s="17">
        <f>IF(OR(C42="",D42=""),"",IF(C42=$J$5,"",(D42-C42)/($J$5-C42)))</f>
        <v/>
      </c>
      <c r="G42" s="15">
        <f>IF(F42="","",IF(F42&lt;0,"退步",IF(F42&lt;0.3,"低",IF(F42&lt;=0.7,"中","高"))))</f>
        <v/>
      </c>
    </row>
    <row r="43">
      <c r="A43" s="15">
        <f>IF('3_前測作答'!A43="","",'3_前測作答'!A43)</f>
        <v/>
      </c>
      <c r="B43" s="15">
        <f>IF(A43="","",'3_前測作答'!B43)</f>
        <v/>
      </c>
      <c r="C43" s="13">
        <f>IF(A43="","",'3_前測作答'!AH43)</f>
        <v/>
      </c>
      <c r="D43" s="13">
        <f>IF(A43="","",IFERROR(INDEX('4_後測作答'!$AH$5:$AH$64,MATCH(A43,'4_後測作答'!$A$5:$A$64,0)),""))</f>
        <v/>
      </c>
      <c r="E43" s="16">
        <f>IF(OR(C43="",D43=""),"",D43-C43)</f>
        <v/>
      </c>
      <c r="F43" s="17">
        <f>IF(OR(C43="",D43=""),"",IF(C43=$J$5,"",(D43-C43)/($J$5-C43)))</f>
        <v/>
      </c>
      <c r="G43" s="15">
        <f>IF(F43="","",IF(F43&lt;0,"退步",IF(F43&lt;0.3,"低",IF(F43&lt;=0.7,"中","高"))))</f>
        <v/>
      </c>
    </row>
    <row r="44">
      <c r="A44" s="15">
        <f>IF('3_前測作答'!A44="","",'3_前測作答'!A44)</f>
        <v/>
      </c>
      <c r="B44" s="15">
        <f>IF(A44="","",'3_前測作答'!B44)</f>
        <v/>
      </c>
      <c r="C44" s="13">
        <f>IF(A44="","",'3_前測作答'!AH44)</f>
        <v/>
      </c>
      <c r="D44" s="13">
        <f>IF(A44="","",IFERROR(INDEX('4_後測作答'!$AH$5:$AH$64,MATCH(A44,'4_後測作答'!$A$5:$A$64,0)),""))</f>
        <v/>
      </c>
      <c r="E44" s="16">
        <f>IF(OR(C44="",D44=""),"",D44-C44)</f>
        <v/>
      </c>
      <c r="F44" s="17">
        <f>IF(OR(C44="",D44=""),"",IF(C44=$J$5,"",(D44-C44)/($J$5-C44)))</f>
        <v/>
      </c>
      <c r="G44" s="15">
        <f>IF(F44="","",IF(F44&lt;0,"退步",IF(F44&lt;0.3,"低",IF(F44&lt;=0.7,"中","高"))))</f>
        <v/>
      </c>
    </row>
    <row r="45">
      <c r="A45" s="15">
        <f>IF('3_前測作答'!A45="","",'3_前測作答'!A45)</f>
        <v/>
      </c>
      <c r="B45" s="15">
        <f>IF(A45="","",'3_前測作答'!B45)</f>
        <v/>
      </c>
      <c r="C45" s="13">
        <f>IF(A45="","",'3_前測作答'!AH45)</f>
        <v/>
      </c>
      <c r="D45" s="13">
        <f>IF(A45="","",IFERROR(INDEX('4_後測作答'!$AH$5:$AH$64,MATCH(A45,'4_後測作答'!$A$5:$A$64,0)),""))</f>
        <v/>
      </c>
      <c r="E45" s="16">
        <f>IF(OR(C45="",D45=""),"",D45-C45)</f>
        <v/>
      </c>
      <c r="F45" s="17">
        <f>IF(OR(C45="",D45=""),"",IF(C45=$J$5,"",(D45-C45)/($J$5-C45)))</f>
        <v/>
      </c>
      <c r="G45" s="15">
        <f>IF(F45="","",IF(F45&lt;0,"退步",IF(F45&lt;0.3,"低",IF(F45&lt;=0.7,"中","高"))))</f>
        <v/>
      </c>
    </row>
    <row r="46">
      <c r="A46" s="15">
        <f>IF('3_前測作答'!A46="","",'3_前測作答'!A46)</f>
        <v/>
      </c>
      <c r="B46" s="15">
        <f>IF(A46="","",'3_前測作答'!B46)</f>
        <v/>
      </c>
      <c r="C46" s="13">
        <f>IF(A46="","",'3_前測作答'!AH46)</f>
        <v/>
      </c>
      <c r="D46" s="13">
        <f>IF(A46="","",IFERROR(INDEX('4_後測作答'!$AH$5:$AH$64,MATCH(A46,'4_後測作答'!$A$5:$A$64,0)),""))</f>
        <v/>
      </c>
      <c r="E46" s="16">
        <f>IF(OR(C46="",D46=""),"",D46-C46)</f>
        <v/>
      </c>
      <c r="F46" s="17">
        <f>IF(OR(C46="",D46=""),"",IF(C46=$J$5,"",(D46-C46)/($J$5-C46)))</f>
        <v/>
      </c>
      <c r="G46" s="15">
        <f>IF(F46="","",IF(F46&lt;0,"退步",IF(F46&lt;0.3,"低",IF(F46&lt;=0.7,"中","高"))))</f>
        <v/>
      </c>
    </row>
    <row r="47">
      <c r="A47" s="15">
        <f>IF('3_前測作答'!A47="","",'3_前測作答'!A47)</f>
        <v/>
      </c>
      <c r="B47" s="15">
        <f>IF(A47="","",'3_前測作答'!B47)</f>
        <v/>
      </c>
      <c r="C47" s="13">
        <f>IF(A47="","",'3_前測作答'!AH47)</f>
        <v/>
      </c>
      <c r="D47" s="13">
        <f>IF(A47="","",IFERROR(INDEX('4_後測作答'!$AH$5:$AH$64,MATCH(A47,'4_後測作答'!$A$5:$A$64,0)),""))</f>
        <v/>
      </c>
      <c r="E47" s="16">
        <f>IF(OR(C47="",D47=""),"",D47-C47)</f>
        <v/>
      </c>
      <c r="F47" s="17">
        <f>IF(OR(C47="",D47=""),"",IF(C47=$J$5,"",(D47-C47)/($J$5-C47)))</f>
        <v/>
      </c>
      <c r="G47" s="15">
        <f>IF(F47="","",IF(F47&lt;0,"退步",IF(F47&lt;0.3,"低",IF(F47&lt;=0.7,"中","高"))))</f>
        <v/>
      </c>
    </row>
    <row r="48">
      <c r="A48" s="15">
        <f>IF('3_前測作答'!A48="","",'3_前測作答'!A48)</f>
        <v/>
      </c>
      <c r="B48" s="15">
        <f>IF(A48="","",'3_前測作答'!B48)</f>
        <v/>
      </c>
      <c r="C48" s="13">
        <f>IF(A48="","",'3_前測作答'!AH48)</f>
        <v/>
      </c>
      <c r="D48" s="13">
        <f>IF(A48="","",IFERROR(INDEX('4_後測作答'!$AH$5:$AH$64,MATCH(A48,'4_後測作答'!$A$5:$A$64,0)),""))</f>
        <v/>
      </c>
      <c r="E48" s="16">
        <f>IF(OR(C48="",D48=""),"",D48-C48)</f>
        <v/>
      </c>
      <c r="F48" s="17">
        <f>IF(OR(C48="",D48=""),"",IF(C48=$J$5,"",(D48-C48)/($J$5-C48)))</f>
        <v/>
      </c>
      <c r="G48" s="15">
        <f>IF(F48="","",IF(F48&lt;0,"退步",IF(F48&lt;0.3,"低",IF(F48&lt;=0.7,"中","高"))))</f>
        <v/>
      </c>
    </row>
    <row r="49">
      <c r="A49" s="15">
        <f>IF('3_前測作答'!A49="","",'3_前測作答'!A49)</f>
        <v/>
      </c>
      <c r="B49" s="15">
        <f>IF(A49="","",'3_前測作答'!B49)</f>
        <v/>
      </c>
      <c r="C49" s="13">
        <f>IF(A49="","",'3_前測作答'!AH49)</f>
        <v/>
      </c>
      <c r="D49" s="13">
        <f>IF(A49="","",IFERROR(INDEX('4_後測作答'!$AH$5:$AH$64,MATCH(A49,'4_後測作答'!$A$5:$A$64,0)),""))</f>
        <v/>
      </c>
      <c r="E49" s="16">
        <f>IF(OR(C49="",D49=""),"",D49-C49)</f>
        <v/>
      </c>
      <c r="F49" s="17">
        <f>IF(OR(C49="",D49=""),"",IF(C49=$J$5,"",(D49-C49)/($J$5-C49)))</f>
        <v/>
      </c>
      <c r="G49" s="15">
        <f>IF(F49="","",IF(F49&lt;0,"退步",IF(F49&lt;0.3,"低",IF(F49&lt;=0.7,"中","高"))))</f>
        <v/>
      </c>
    </row>
    <row r="50">
      <c r="A50" s="15">
        <f>IF('3_前測作答'!A50="","",'3_前測作答'!A50)</f>
        <v/>
      </c>
      <c r="B50" s="15">
        <f>IF(A50="","",'3_前測作答'!B50)</f>
        <v/>
      </c>
      <c r="C50" s="13">
        <f>IF(A50="","",'3_前測作答'!AH50)</f>
        <v/>
      </c>
      <c r="D50" s="13">
        <f>IF(A50="","",IFERROR(INDEX('4_後測作答'!$AH$5:$AH$64,MATCH(A50,'4_後測作答'!$A$5:$A$64,0)),""))</f>
        <v/>
      </c>
      <c r="E50" s="16">
        <f>IF(OR(C50="",D50=""),"",D50-C50)</f>
        <v/>
      </c>
      <c r="F50" s="17">
        <f>IF(OR(C50="",D50=""),"",IF(C50=$J$5,"",(D50-C50)/($J$5-C50)))</f>
        <v/>
      </c>
      <c r="G50" s="15">
        <f>IF(F50="","",IF(F50&lt;0,"退步",IF(F50&lt;0.3,"低",IF(F50&lt;=0.7,"中","高"))))</f>
        <v/>
      </c>
    </row>
    <row r="51">
      <c r="A51" s="15">
        <f>IF('3_前測作答'!A51="","",'3_前測作答'!A51)</f>
        <v/>
      </c>
      <c r="B51" s="15">
        <f>IF(A51="","",'3_前測作答'!B51)</f>
        <v/>
      </c>
      <c r="C51" s="13">
        <f>IF(A51="","",'3_前測作答'!AH51)</f>
        <v/>
      </c>
      <c r="D51" s="13">
        <f>IF(A51="","",IFERROR(INDEX('4_後測作答'!$AH$5:$AH$64,MATCH(A51,'4_後測作答'!$A$5:$A$64,0)),""))</f>
        <v/>
      </c>
      <c r="E51" s="16">
        <f>IF(OR(C51="",D51=""),"",D51-C51)</f>
        <v/>
      </c>
      <c r="F51" s="17">
        <f>IF(OR(C51="",D51=""),"",IF(C51=$J$5,"",(D51-C51)/($J$5-C51)))</f>
        <v/>
      </c>
      <c r="G51" s="15">
        <f>IF(F51="","",IF(F51&lt;0,"退步",IF(F51&lt;0.3,"低",IF(F51&lt;=0.7,"中","高"))))</f>
        <v/>
      </c>
    </row>
    <row r="52">
      <c r="A52" s="15">
        <f>IF('3_前測作答'!A52="","",'3_前測作答'!A52)</f>
        <v/>
      </c>
      <c r="B52" s="15">
        <f>IF(A52="","",'3_前測作答'!B52)</f>
        <v/>
      </c>
      <c r="C52" s="13">
        <f>IF(A52="","",'3_前測作答'!AH52)</f>
        <v/>
      </c>
      <c r="D52" s="13">
        <f>IF(A52="","",IFERROR(INDEX('4_後測作答'!$AH$5:$AH$64,MATCH(A52,'4_後測作答'!$A$5:$A$64,0)),""))</f>
        <v/>
      </c>
      <c r="E52" s="16">
        <f>IF(OR(C52="",D52=""),"",D52-C52)</f>
        <v/>
      </c>
      <c r="F52" s="17">
        <f>IF(OR(C52="",D52=""),"",IF(C52=$J$5,"",(D52-C52)/($J$5-C52)))</f>
        <v/>
      </c>
      <c r="G52" s="15">
        <f>IF(F52="","",IF(F52&lt;0,"退步",IF(F52&lt;0.3,"低",IF(F52&lt;=0.7,"中","高"))))</f>
        <v/>
      </c>
    </row>
    <row r="53">
      <c r="A53" s="15">
        <f>IF('3_前測作答'!A53="","",'3_前測作答'!A53)</f>
        <v/>
      </c>
      <c r="B53" s="15">
        <f>IF(A53="","",'3_前測作答'!B53)</f>
        <v/>
      </c>
      <c r="C53" s="13">
        <f>IF(A53="","",'3_前測作答'!AH53)</f>
        <v/>
      </c>
      <c r="D53" s="13">
        <f>IF(A53="","",IFERROR(INDEX('4_後測作答'!$AH$5:$AH$64,MATCH(A53,'4_後測作答'!$A$5:$A$64,0)),""))</f>
        <v/>
      </c>
      <c r="E53" s="16">
        <f>IF(OR(C53="",D53=""),"",D53-C53)</f>
        <v/>
      </c>
      <c r="F53" s="17">
        <f>IF(OR(C53="",D53=""),"",IF(C53=$J$5,"",(D53-C53)/($J$5-C53)))</f>
        <v/>
      </c>
      <c r="G53" s="15">
        <f>IF(F53="","",IF(F53&lt;0,"退步",IF(F53&lt;0.3,"低",IF(F53&lt;=0.7,"中","高"))))</f>
        <v/>
      </c>
    </row>
    <row r="54">
      <c r="A54" s="15">
        <f>IF('3_前測作答'!A54="","",'3_前測作答'!A54)</f>
        <v/>
      </c>
      <c r="B54" s="15">
        <f>IF(A54="","",'3_前測作答'!B54)</f>
        <v/>
      </c>
      <c r="C54" s="13">
        <f>IF(A54="","",'3_前測作答'!AH54)</f>
        <v/>
      </c>
      <c r="D54" s="13">
        <f>IF(A54="","",IFERROR(INDEX('4_後測作答'!$AH$5:$AH$64,MATCH(A54,'4_後測作答'!$A$5:$A$64,0)),""))</f>
        <v/>
      </c>
      <c r="E54" s="16">
        <f>IF(OR(C54="",D54=""),"",D54-C54)</f>
        <v/>
      </c>
      <c r="F54" s="17">
        <f>IF(OR(C54="",D54=""),"",IF(C54=$J$5,"",(D54-C54)/($J$5-C54)))</f>
        <v/>
      </c>
      <c r="G54" s="15">
        <f>IF(F54="","",IF(F54&lt;0,"退步",IF(F54&lt;0.3,"低",IF(F54&lt;=0.7,"中","高"))))</f>
        <v/>
      </c>
    </row>
    <row r="55">
      <c r="A55" s="15">
        <f>IF('3_前測作答'!A55="","",'3_前測作答'!A55)</f>
        <v/>
      </c>
      <c r="B55" s="15">
        <f>IF(A55="","",'3_前測作答'!B55)</f>
        <v/>
      </c>
      <c r="C55" s="13">
        <f>IF(A55="","",'3_前測作答'!AH55)</f>
        <v/>
      </c>
      <c r="D55" s="13">
        <f>IF(A55="","",IFERROR(INDEX('4_後測作答'!$AH$5:$AH$64,MATCH(A55,'4_後測作答'!$A$5:$A$64,0)),""))</f>
        <v/>
      </c>
      <c r="E55" s="16">
        <f>IF(OR(C55="",D55=""),"",D55-C55)</f>
        <v/>
      </c>
      <c r="F55" s="17">
        <f>IF(OR(C55="",D55=""),"",IF(C55=$J$5,"",(D55-C55)/($J$5-C55)))</f>
        <v/>
      </c>
      <c r="G55" s="15">
        <f>IF(F55="","",IF(F55&lt;0,"退步",IF(F55&lt;0.3,"低",IF(F55&lt;=0.7,"中","高"))))</f>
        <v/>
      </c>
    </row>
    <row r="56">
      <c r="A56" s="15">
        <f>IF('3_前測作答'!A56="","",'3_前測作答'!A56)</f>
        <v/>
      </c>
      <c r="B56" s="15">
        <f>IF(A56="","",'3_前測作答'!B56)</f>
        <v/>
      </c>
      <c r="C56" s="13">
        <f>IF(A56="","",'3_前測作答'!AH56)</f>
        <v/>
      </c>
      <c r="D56" s="13">
        <f>IF(A56="","",IFERROR(INDEX('4_後測作答'!$AH$5:$AH$64,MATCH(A56,'4_後測作答'!$A$5:$A$64,0)),""))</f>
        <v/>
      </c>
      <c r="E56" s="16">
        <f>IF(OR(C56="",D56=""),"",D56-C56)</f>
        <v/>
      </c>
      <c r="F56" s="17">
        <f>IF(OR(C56="",D56=""),"",IF(C56=$J$5,"",(D56-C56)/($J$5-C56)))</f>
        <v/>
      </c>
      <c r="G56" s="15">
        <f>IF(F56="","",IF(F56&lt;0,"退步",IF(F56&lt;0.3,"低",IF(F56&lt;=0.7,"中","高"))))</f>
        <v/>
      </c>
    </row>
    <row r="57">
      <c r="A57" s="15">
        <f>IF('3_前測作答'!A57="","",'3_前測作答'!A57)</f>
        <v/>
      </c>
      <c r="B57" s="15">
        <f>IF(A57="","",'3_前測作答'!B57)</f>
        <v/>
      </c>
      <c r="C57" s="13">
        <f>IF(A57="","",'3_前測作答'!AH57)</f>
        <v/>
      </c>
      <c r="D57" s="13">
        <f>IF(A57="","",IFERROR(INDEX('4_後測作答'!$AH$5:$AH$64,MATCH(A57,'4_後測作答'!$A$5:$A$64,0)),""))</f>
        <v/>
      </c>
      <c r="E57" s="16">
        <f>IF(OR(C57="",D57=""),"",D57-C57)</f>
        <v/>
      </c>
      <c r="F57" s="17">
        <f>IF(OR(C57="",D57=""),"",IF(C57=$J$5,"",(D57-C57)/($J$5-C57)))</f>
        <v/>
      </c>
      <c r="G57" s="15">
        <f>IF(F57="","",IF(F57&lt;0,"退步",IF(F57&lt;0.3,"低",IF(F57&lt;=0.7,"中","高"))))</f>
        <v/>
      </c>
    </row>
    <row r="58">
      <c r="A58" s="15">
        <f>IF('3_前測作答'!A58="","",'3_前測作答'!A58)</f>
        <v/>
      </c>
      <c r="B58" s="15">
        <f>IF(A58="","",'3_前測作答'!B58)</f>
        <v/>
      </c>
      <c r="C58" s="13">
        <f>IF(A58="","",'3_前測作答'!AH58)</f>
        <v/>
      </c>
      <c r="D58" s="13">
        <f>IF(A58="","",IFERROR(INDEX('4_後測作答'!$AH$5:$AH$64,MATCH(A58,'4_後測作答'!$A$5:$A$64,0)),""))</f>
        <v/>
      </c>
      <c r="E58" s="16">
        <f>IF(OR(C58="",D58=""),"",D58-C58)</f>
        <v/>
      </c>
      <c r="F58" s="17">
        <f>IF(OR(C58="",D58=""),"",IF(C58=$J$5,"",(D58-C58)/($J$5-C58)))</f>
        <v/>
      </c>
      <c r="G58" s="15">
        <f>IF(F58="","",IF(F58&lt;0,"退步",IF(F58&lt;0.3,"低",IF(F58&lt;=0.7,"中","高"))))</f>
        <v/>
      </c>
    </row>
    <row r="59">
      <c r="A59" s="15">
        <f>IF('3_前測作答'!A59="","",'3_前測作答'!A59)</f>
        <v/>
      </c>
      <c r="B59" s="15">
        <f>IF(A59="","",'3_前測作答'!B59)</f>
        <v/>
      </c>
      <c r="C59" s="13">
        <f>IF(A59="","",'3_前測作答'!AH59)</f>
        <v/>
      </c>
      <c r="D59" s="13">
        <f>IF(A59="","",IFERROR(INDEX('4_後測作答'!$AH$5:$AH$64,MATCH(A59,'4_後測作答'!$A$5:$A$64,0)),""))</f>
        <v/>
      </c>
      <c r="E59" s="16">
        <f>IF(OR(C59="",D59=""),"",D59-C59)</f>
        <v/>
      </c>
      <c r="F59" s="17">
        <f>IF(OR(C59="",D59=""),"",IF(C59=$J$5,"",(D59-C59)/($J$5-C59)))</f>
        <v/>
      </c>
      <c r="G59" s="15">
        <f>IF(F59="","",IF(F59&lt;0,"退步",IF(F59&lt;0.3,"低",IF(F59&lt;=0.7,"中","高"))))</f>
        <v/>
      </c>
    </row>
    <row r="60">
      <c r="A60" s="15">
        <f>IF('3_前測作答'!A60="","",'3_前測作答'!A60)</f>
        <v/>
      </c>
      <c r="B60" s="15">
        <f>IF(A60="","",'3_前測作答'!B60)</f>
        <v/>
      </c>
      <c r="C60" s="13">
        <f>IF(A60="","",'3_前測作答'!AH60)</f>
        <v/>
      </c>
      <c r="D60" s="13">
        <f>IF(A60="","",IFERROR(INDEX('4_後測作答'!$AH$5:$AH$64,MATCH(A60,'4_後測作答'!$A$5:$A$64,0)),""))</f>
        <v/>
      </c>
      <c r="E60" s="16">
        <f>IF(OR(C60="",D60=""),"",D60-C60)</f>
        <v/>
      </c>
      <c r="F60" s="17">
        <f>IF(OR(C60="",D60=""),"",IF(C60=$J$5,"",(D60-C60)/($J$5-C60)))</f>
        <v/>
      </c>
      <c r="G60" s="15">
        <f>IF(F60="","",IF(F60&lt;0,"退步",IF(F60&lt;0.3,"低",IF(F60&lt;=0.7,"中","高"))))</f>
        <v/>
      </c>
    </row>
    <row r="61">
      <c r="A61" s="15">
        <f>IF('3_前測作答'!A61="","",'3_前測作答'!A61)</f>
        <v/>
      </c>
      <c r="B61" s="15">
        <f>IF(A61="","",'3_前測作答'!B61)</f>
        <v/>
      </c>
      <c r="C61" s="13">
        <f>IF(A61="","",'3_前測作答'!AH61)</f>
        <v/>
      </c>
      <c r="D61" s="13">
        <f>IF(A61="","",IFERROR(INDEX('4_後測作答'!$AH$5:$AH$64,MATCH(A61,'4_後測作答'!$A$5:$A$64,0)),""))</f>
        <v/>
      </c>
      <c r="E61" s="16">
        <f>IF(OR(C61="",D61=""),"",D61-C61)</f>
        <v/>
      </c>
      <c r="F61" s="17">
        <f>IF(OR(C61="",D61=""),"",IF(C61=$J$5,"",(D61-C61)/($J$5-C61)))</f>
        <v/>
      </c>
      <c r="G61" s="15">
        <f>IF(F61="","",IF(F61&lt;0,"退步",IF(F61&lt;0.3,"低",IF(F61&lt;=0.7,"中","高"))))</f>
        <v/>
      </c>
    </row>
    <row r="62">
      <c r="A62" s="15">
        <f>IF('3_前測作答'!A62="","",'3_前測作答'!A62)</f>
        <v/>
      </c>
      <c r="B62" s="15">
        <f>IF(A62="","",'3_前測作答'!B62)</f>
        <v/>
      </c>
      <c r="C62" s="13">
        <f>IF(A62="","",'3_前測作答'!AH62)</f>
        <v/>
      </c>
      <c r="D62" s="13">
        <f>IF(A62="","",IFERROR(INDEX('4_後測作答'!$AH$5:$AH$64,MATCH(A62,'4_後測作答'!$A$5:$A$64,0)),""))</f>
        <v/>
      </c>
      <c r="E62" s="16">
        <f>IF(OR(C62="",D62=""),"",D62-C62)</f>
        <v/>
      </c>
      <c r="F62" s="17">
        <f>IF(OR(C62="",D62=""),"",IF(C62=$J$5,"",(D62-C62)/($J$5-C62)))</f>
        <v/>
      </c>
      <c r="G62" s="15">
        <f>IF(F62="","",IF(F62&lt;0,"退步",IF(F62&lt;0.3,"低",IF(F62&lt;=0.7,"中","高"))))</f>
        <v/>
      </c>
    </row>
    <row r="63">
      <c r="A63" s="15">
        <f>IF('3_前測作答'!A63="","",'3_前測作答'!A63)</f>
        <v/>
      </c>
      <c r="B63" s="15">
        <f>IF(A63="","",'3_前測作答'!B63)</f>
        <v/>
      </c>
      <c r="C63" s="13">
        <f>IF(A63="","",'3_前測作答'!AH63)</f>
        <v/>
      </c>
      <c r="D63" s="13">
        <f>IF(A63="","",IFERROR(INDEX('4_後測作答'!$AH$5:$AH$64,MATCH(A63,'4_後測作答'!$A$5:$A$64,0)),""))</f>
        <v/>
      </c>
      <c r="E63" s="16">
        <f>IF(OR(C63="",D63=""),"",D63-C63)</f>
        <v/>
      </c>
      <c r="F63" s="17">
        <f>IF(OR(C63="",D63=""),"",IF(C63=$J$5,"",(D63-C63)/($J$5-C63)))</f>
        <v/>
      </c>
      <c r="G63" s="15">
        <f>IF(F63="","",IF(F63&lt;0,"退步",IF(F63&lt;0.3,"低",IF(F63&lt;=0.7,"中","高"))))</f>
        <v/>
      </c>
    </row>
    <row r="64">
      <c r="A64" s="15">
        <f>IF('3_前測作答'!A64="","",'3_前測作答'!A64)</f>
        <v/>
      </c>
      <c r="B64" s="15">
        <f>IF(A64="","",'3_前測作答'!B64)</f>
        <v/>
      </c>
      <c r="C64" s="13">
        <f>IF(A64="","",'3_前測作答'!AH64)</f>
        <v/>
      </c>
      <c r="D64" s="13">
        <f>IF(A64="","",IFERROR(INDEX('4_後測作答'!$AH$5:$AH$64,MATCH(A64,'4_後測作答'!$A$5:$A$64,0)),""))</f>
        <v/>
      </c>
      <c r="E64" s="16">
        <f>IF(OR(C64="",D64=""),"",D64-C64)</f>
        <v/>
      </c>
      <c r="F64" s="17">
        <f>IF(OR(C64="",D64=""),"",IF(C64=$J$5,"",(D64-C64)/($J$5-C64)))</f>
        <v/>
      </c>
      <c r="G64" s="15">
        <f>IF(F64="","",IF(F64&lt;0,"退步",IF(F64&lt;0.3,"低",IF(F64&lt;=0.7,"中","高"))))</f>
        <v/>
      </c>
    </row>
  </sheetData>
  <mergeCells count="2">
    <mergeCell ref="A2:K2"/>
    <mergeCell ref="I14:K16"/>
  </mergeCells>
  <pageMargins left="0.75" right="0.75" top="1" bottom="1" header="0.5" footer="0.5"/>
  <pageSetup orientation="landscape" paperSize="9" fitToHeight="0" fitToWidth="1"/>
  <drawing xmlns:r="http://schemas.openxmlformats.org/officeDocument/2006/relationships" r:id="rId1"/>
</worksheet>
</file>

<file path=xl/worksheets/sheet7.xml><?xml version="1.0" encoding="utf-8"?>
<worksheet xmlns="http://schemas.openxmlformats.org/spreadsheetml/2006/main">
  <sheetPr>
    <tabColor rgb="004E8F5A"/>
    <outlinePr summaryBelow="1" summaryRight="1"/>
    <pageSetUpPr fitToPage="1"/>
  </sheetPr>
  <dimension ref="A1:J25"/>
  <sheetViews>
    <sheetView showGridLines="0" workbookViewId="0">
      <selection activeCell="A1" sqref="A1"/>
    </sheetView>
  </sheetViews>
  <sheetFormatPr baseColWidth="8" defaultRowHeight="15"/>
  <cols>
    <col width="6" customWidth="1" min="1" max="1"/>
    <col width="8" customWidth="1" min="2" max="2"/>
    <col width="7" customWidth="1" min="3" max="3"/>
    <col width="46" customWidth="1" min="4" max="4"/>
    <col width="11" customWidth="1" min="5" max="5"/>
    <col width="11" customWidth="1" min="6" max="6"/>
    <col width="11" customWidth="1" min="7" max="7"/>
    <col width="13" customWidth="1" min="8" max="8"/>
    <col width="13" customWidth="1" min="9" max="9"/>
    <col width="30" customWidth="1" min="10" max="10"/>
  </cols>
  <sheetData>
    <row r="1">
      <c r="A1" s="1" t="inlineStr">
        <is>
          <t>試題分析：每一題的答對率與鑑別度</t>
        </is>
      </c>
    </row>
    <row r="2" ht="30" customHeight="1">
      <c r="A2" s="2" t="inlineStr">
        <is>
          <t>答對率 P：0.3–0.8 最理想；後測仍 &lt; 0.5 的題目＝全班還沒學會的觀念。鑑別度 r：該題對錯與後測總分的相關，&lt; 0.2 表示題目可能有問題（太難、太簡單或題意不清）。</t>
        </is>
      </c>
    </row>
    <row r="4" ht="30" customHeight="1">
      <c r="A4" s="3" t="inlineStr">
        <is>
          <t>題號</t>
        </is>
      </c>
      <c r="B4" s="3" t="inlineStr">
        <is>
          <t>週次</t>
        </is>
      </c>
      <c r="C4" s="3" t="inlineStr">
        <is>
          <t>目標</t>
        </is>
      </c>
      <c r="D4" s="3" t="inlineStr">
        <is>
          <t>題目</t>
        </is>
      </c>
      <c r="E4" s="3" t="inlineStr">
        <is>
          <t>前測答對率</t>
        </is>
      </c>
      <c r="F4" s="3" t="inlineStr">
        <is>
          <t>後測答對率</t>
        </is>
      </c>
      <c r="G4" s="3" t="inlineStr">
        <is>
          <t>進步</t>
        </is>
      </c>
      <c r="H4" s="3" t="inlineStr">
        <is>
          <t>後測鑑別度 r</t>
        </is>
      </c>
      <c r="I4" s="3" t="inlineStr">
        <is>
          <t>判讀</t>
        </is>
      </c>
      <c r="J4" s="3" t="inlineStr">
        <is>
          <t>建議</t>
        </is>
      </c>
    </row>
    <row r="5" ht="30" customHeight="1">
      <c r="A5" s="11" t="n">
        <v>1</v>
      </c>
      <c r="B5" s="15">
        <f>'2_前後測題庫'!B5</f>
        <v/>
      </c>
      <c r="C5" s="15">
        <f>'2_前後測題庫'!C5</f>
        <v/>
      </c>
      <c r="D5" s="21">
        <f>'2_前後測題庫'!D5</f>
        <v/>
      </c>
      <c r="E5" s="17">
        <f>AVERAGE('3_前測作答'!S5:S64)</f>
        <v/>
      </c>
      <c r="F5" s="19">
        <f>AVERAGE('4_後測作答'!S5:S64)</f>
        <v/>
      </c>
      <c r="G5" s="22">
        <f>F5-E5</f>
        <v/>
      </c>
      <c r="H5" s="17">
        <f>IFERROR(CORREL('4_後測作答'!S5:S64,'4_後測作答'!AH5:AH64),"")</f>
        <v/>
      </c>
      <c r="I5" s="15">
        <f>IF(F5&lt;0.5,"仍待加強",IF(F5&gt;0.9,"太簡單","理想"))</f>
        <v/>
      </c>
      <c r="J5" s="15">
        <f>IF(H5="","",IF(H5&lt;0.2,"檢查題意或選項",IF(G5&lt;0.1,"教法需調整","")))</f>
        <v/>
      </c>
    </row>
    <row r="6" ht="30" customHeight="1">
      <c r="A6" s="11" t="n">
        <v>2</v>
      </c>
      <c r="B6" s="15">
        <f>'2_前後測題庫'!B6</f>
        <v/>
      </c>
      <c r="C6" s="15">
        <f>'2_前後測題庫'!C6</f>
        <v/>
      </c>
      <c r="D6" s="21">
        <f>'2_前後測題庫'!D6</f>
        <v/>
      </c>
      <c r="E6" s="17">
        <f>AVERAGE('3_前測作答'!T5:T64)</f>
        <v/>
      </c>
      <c r="F6" s="19">
        <f>AVERAGE('4_後測作答'!T5:T64)</f>
        <v/>
      </c>
      <c r="G6" s="22">
        <f>F6-E6</f>
        <v/>
      </c>
      <c r="H6" s="17">
        <f>IFERROR(CORREL('4_後測作答'!T5:T64,'4_後測作答'!AH5:AH64),"")</f>
        <v/>
      </c>
      <c r="I6" s="15">
        <f>IF(F6&lt;0.5,"仍待加強",IF(F6&gt;0.9,"太簡單","理想"))</f>
        <v/>
      </c>
      <c r="J6" s="15">
        <f>IF(H6="","",IF(H6&lt;0.2,"檢查題意或選項",IF(G6&lt;0.1,"教法需調整","")))</f>
        <v/>
      </c>
    </row>
    <row r="7" ht="30" customHeight="1">
      <c r="A7" s="11" t="n">
        <v>3</v>
      </c>
      <c r="B7" s="15">
        <f>'2_前後測題庫'!B7</f>
        <v/>
      </c>
      <c r="C7" s="15">
        <f>'2_前後測題庫'!C7</f>
        <v/>
      </c>
      <c r="D7" s="21">
        <f>'2_前後測題庫'!D7</f>
        <v/>
      </c>
      <c r="E7" s="17">
        <f>AVERAGE('3_前測作答'!U5:U64)</f>
        <v/>
      </c>
      <c r="F7" s="19">
        <f>AVERAGE('4_後測作答'!U5:U64)</f>
        <v/>
      </c>
      <c r="G7" s="22">
        <f>F7-E7</f>
        <v/>
      </c>
      <c r="H7" s="17">
        <f>IFERROR(CORREL('4_後測作答'!U5:U64,'4_後測作答'!AH5:AH64),"")</f>
        <v/>
      </c>
      <c r="I7" s="15">
        <f>IF(F7&lt;0.5,"仍待加強",IF(F7&gt;0.9,"太簡單","理想"))</f>
        <v/>
      </c>
      <c r="J7" s="15">
        <f>IF(H7="","",IF(H7&lt;0.2,"檢查題意或選項",IF(G7&lt;0.1,"教法需調整","")))</f>
        <v/>
      </c>
    </row>
    <row r="8" ht="30" customHeight="1">
      <c r="A8" s="11" t="n">
        <v>4</v>
      </c>
      <c r="B8" s="15">
        <f>'2_前後測題庫'!B8</f>
        <v/>
      </c>
      <c r="C8" s="15">
        <f>'2_前後測題庫'!C8</f>
        <v/>
      </c>
      <c r="D8" s="21">
        <f>'2_前後測題庫'!D8</f>
        <v/>
      </c>
      <c r="E8" s="17">
        <f>AVERAGE('3_前測作答'!V5:V64)</f>
        <v/>
      </c>
      <c r="F8" s="19">
        <f>AVERAGE('4_後測作答'!V5:V64)</f>
        <v/>
      </c>
      <c r="G8" s="22">
        <f>F8-E8</f>
        <v/>
      </c>
      <c r="H8" s="17">
        <f>IFERROR(CORREL('4_後測作答'!V5:V64,'4_後測作答'!AH5:AH64),"")</f>
        <v/>
      </c>
      <c r="I8" s="15">
        <f>IF(F8&lt;0.5,"仍待加強",IF(F8&gt;0.9,"太簡單","理想"))</f>
        <v/>
      </c>
      <c r="J8" s="15">
        <f>IF(H8="","",IF(H8&lt;0.2,"檢查題意或選項",IF(G8&lt;0.1,"教法需調整","")))</f>
        <v/>
      </c>
    </row>
    <row r="9" ht="30" customHeight="1">
      <c r="A9" s="11" t="n">
        <v>5</v>
      </c>
      <c r="B9" s="15">
        <f>'2_前後測題庫'!B9</f>
        <v/>
      </c>
      <c r="C9" s="15">
        <f>'2_前後測題庫'!C9</f>
        <v/>
      </c>
      <c r="D9" s="21">
        <f>'2_前後測題庫'!D9</f>
        <v/>
      </c>
      <c r="E9" s="17">
        <f>AVERAGE('3_前測作答'!W5:W64)</f>
        <v/>
      </c>
      <c r="F9" s="19">
        <f>AVERAGE('4_後測作答'!W5:W64)</f>
        <v/>
      </c>
      <c r="G9" s="22">
        <f>F9-E9</f>
        <v/>
      </c>
      <c r="H9" s="17">
        <f>IFERROR(CORREL('4_後測作答'!W5:W64,'4_後測作答'!AH5:AH64),"")</f>
        <v/>
      </c>
      <c r="I9" s="15">
        <f>IF(F9&lt;0.5,"仍待加強",IF(F9&gt;0.9,"太簡單","理想"))</f>
        <v/>
      </c>
      <c r="J9" s="15">
        <f>IF(H9="","",IF(H9&lt;0.2,"檢查題意或選項",IF(G9&lt;0.1,"教法需調整","")))</f>
        <v/>
      </c>
    </row>
    <row r="10" ht="30" customHeight="1">
      <c r="A10" s="11" t="n">
        <v>6</v>
      </c>
      <c r="B10" s="15">
        <f>'2_前後測題庫'!B10</f>
        <v/>
      </c>
      <c r="C10" s="15">
        <f>'2_前後測題庫'!C10</f>
        <v/>
      </c>
      <c r="D10" s="21">
        <f>'2_前後測題庫'!D10</f>
        <v/>
      </c>
      <c r="E10" s="17">
        <f>AVERAGE('3_前測作答'!X5:X64)</f>
        <v/>
      </c>
      <c r="F10" s="19">
        <f>AVERAGE('4_後測作答'!X5:X64)</f>
        <v/>
      </c>
      <c r="G10" s="22">
        <f>F10-E10</f>
        <v/>
      </c>
      <c r="H10" s="17">
        <f>IFERROR(CORREL('4_後測作答'!X5:X64,'4_後測作答'!AH5:AH64),"")</f>
        <v/>
      </c>
      <c r="I10" s="15">
        <f>IF(F10&lt;0.5,"仍待加強",IF(F10&gt;0.9,"太簡單","理想"))</f>
        <v/>
      </c>
      <c r="J10" s="15">
        <f>IF(H10="","",IF(H10&lt;0.2,"檢查題意或選項",IF(G10&lt;0.1,"教法需調整","")))</f>
        <v/>
      </c>
    </row>
    <row r="11" ht="30" customHeight="1">
      <c r="A11" s="11" t="n">
        <v>7</v>
      </c>
      <c r="B11" s="15">
        <f>'2_前後測題庫'!B11</f>
        <v/>
      </c>
      <c r="C11" s="15">
        <f>'2_前後測題庫'!C11</f>
        <v/>
      </c>
      <c r="D11" s="21">
        <f>'2_前後測題庫'!D11</f>
        <v/>
      </c>
      <c r="E11" s="17">
        <f>AVERAGE('3_前測作答'!Y5:Y64)</f>
        <v/>
      </c>
      <c r="F11" s="19">
        <f>AVERAGE('4_後測作答'!Y5:Y64)</f>
        <v/>
      </c>
      <c r="G11" s="22">
        <f>F11-E11</f>
        <v/>
      </c>
      <c r="H11" s="17">
        <f>IFERROR(CORREL('4_後測作答'!Y5:Y64,'4_後測作答'!AH5:AH64),"")</f>
        <v/>
      </c>
      <c r="I11" s="15">
        <f>IF(F11&lt;0.5,"仍待加強",IF(F11&gt;0.9,"太簡單","理想"))</f>
        <v/>
      </c>
      <c r="J11" s="15">
        <f>IF(H11="","",IF(H11&lt;0.2,"檢查題意或選項",IF(G11&lt;0.1,"教法需調整","")))</f>
        <v/>
      </c>
    </row>
    <row r="12" ht="30" customHeight="1">
      <c r="A12" s="11" t="n">
        <v>8</v>
      </c>
      <c r="B12" s="15">
        <f>'2_前後測題庫'!B12</f>
        <v/>
      </c>
      <c r="C12" s="15">
        <f>'2_前後測題庫'!C12</f>
        <v/>
      </c>
      <c r="D12" s="21">
        <f>'2_前後測題庫'!D12</f>
        <v/>
      </c>
      <c r="E12" s="17">
        <f>AVERAGE('3_前測作答'!Z5:Z64)</f>
        <v/>
      </c>
      <c r="F12" s="19">
        <f>AVERAGE('4_後測作答'!Z5:Z64)</f>
        <v/>
      </c>
      <c r="G12" s="22">
        <f>F12-E12</f>
        <v/>
      </c>
      <c r="H12" s="17">
        <f>IFERROR(CORREL('4_後測作答'!Z5:Z64,'4_後測作答'!AH5:AH64),"")</f>
        <v/>
      </c>
      <c r="I12" s="15">
        <f>IF(F12&lt;0.5,"仍待加強",IF(F12&gt;0.9,"太簡單","理想"))</f>
        <v/>
      </c>
      <c r="J12" s="15">
        <f>IF(H12="","",IF(H12&lt;0.2,"檢查題意或選項",IF(G12&lt;0.1,"教法需調整","")))</f>
        <v/>
      </c>
    </row>
    <row r="13" ht="30" customHeight="1">
      <c r="A13" s="11" t="n">
        <v>9</v>
      </c>
      <c r="B13" s="15">
        <f>'2_前後測題庫'!B13</f>
        <v/>
      </c>
      <c r="C13" s="15">
        <f>'2_前後測題庫'!C13</f>
        <v/>
      </c>
      <c r="D13" s="21">
        <f>'2_前後測題庫'!D13</f>
        <v/>
      </c>
      <c r="E13" s="17">
        <f>AVERAGE('3_前測作答'!AA5:AA64)</f>
        <v/>
      </c>
      <c r="F13" s="19">
        <f>AVERAGE('4_後測作答'!AA5:AA64)</f>
        <v/>
      </c>
      <c r="G13" s="22">
        <f>F13-E13</f>
        <v/>
      </c>
      <c r="H13" s="17">
        <f>IFERROR(CORREL('4_後測作答'!AA5:AA64,'4_後測作答'!AH5:AH64),"")</f>
        <v/>
      </c>
      <c r="I13" s="15">
        <f>IF(F13&lt;0.5,"仍待加強",IF(F13&gt;0.9,"太簡單","理想"))</f>
        <v/>
      </c>
      <c r="J13" s="15">
        <f>IF(H13="","",IF(H13&lt;0.2,"檢查題意或選項",IF(G13&lt;0.1,"教法需調整","")))</f>
        <v/>
      </c>
    </row>
    <row r="14" ht="30" customHeight="1">
      <c r="A14" s="11" t="n">
        <v>10</v>
      </c>
      <c r="B14" s="15">
        <f>'2_前後測題庫'!B14</f>
        <v/>
      </c>
      <c r="C14" s="15">
        <f>'2_前後測題庫'!C14</f>
        <v/>
      </c>
      <c r="D14" s="21">
        <f>'2_前後測題庫'!D14</f>
        <v/>
      </c>
      <c r="E14" s="17">
        <f>AVERAGE('3_前測作答'!AB5:AB64)</f>
        <v/>
      </c>
      <c r="F14" s="19">
        <f>AVERAGE('4_後測作答'!AB5:AB64)</f>
        <v/>
      </c>
      <c r="G14" s="22">
        <f>F14-E14</f>
        <v/>
      </c>
      <c r="H14" s="17">
        <f>IFERROR(CORREL('4_後測作答'!AB5:AB64,'4_後測作答'!AH5:AH64),"")</f>
        <v/>
      </c>
      <c r="I14" s="15">
        <f>IF(F14&lt;0.5,"仍待加強",IF(F14&gt;0.9,"太簡單","理想"))</f>
        <v/>
      </c>
      <c r="J14" s="15">
        <f>IF(H14="","",IF(H14&lt;0.2,"檢查題意或選項",IF(G14&lt;0.1,"教法需調整","")))</f>
        <v/>
      </c>
    </row>
    <row r="15" ht="30" customHeight="1">
      <c r="A15" s="11" t="n">
        <v>11</v>
      </c>
      <c r="B15" s="15">
        <f>'2_前後測題庫'!B15</f>
        <v/>
      </c>
      <c r="C15" s="15">
        <f>'2_前後測題庫'!C15</f>
        <v/>
      </c>
      <c r="D15" s="21">
        <f>'2_前後測題庫'!D15</f>
        <v/>
      </c>
      <c r="E15" s="17">
        <f>AVERAGE('3_前測作答'!AC5:AC64)</f>
        <v/>
      </c>
      <c r="F15" s="19">
        <f>AVERAGE('4_後測作答'!AC5:AC64)</f>
        <v/>
      </c>
      <c r="G15" s="22">
        <f>F15-E15</f>
        <v/>
      </c>
      <c r="H15" s="17">
        <f>IFERROR(CORREL('4_後測作答'!AC5:AC64,'4_後測作答'!AH5:AH64),"")</f>
        <v/>
      </c>
      <c r="I15" s="15">
        <f>IF(F15&lt;0.5,"仍待加強",IF(F15&gt;0.9,"太簡單","理想"))</f>
        <v/>
      </c>
      <c r="J15" s="15">
        <f>IF(H15="","",IF(H15&lt;0.2,"檢查題意或選項",IF(G15&lt;0.1,"教法需調整","")))</f>
        <v/>
      </c>
    </row>
    <row r="16" ht="30" customHeight="1">
      <c r="A16" s="11" t="n">
        <v>12</v>
      </c>
      <c r="B16" s="15">
        <f>'2_前後測題庫'!B16</f>
        <v/>
      </c>
      <c r="C16" s="15">
        <f>'2_前後測題庫'!C16</f>
        <v/>
      </c>
      <c r="D16" s="21">
        <f>'2_前後測題庫'!D16</f>
        <v/>
      </c>
      <c r="E16" s="17">
        <f>AVERAGE('3_前測作答'!AD5:AD64)</f>
        <v/>
      </c>
      <c r="F16" s="19">
        <f>AVERAGE('4_後測作答'!AD5:AD64)</f>
        <v/>
      </c>
      <c r="G16" s="22">
        <f>F16-E16</f>
        <v/>
      </c>
      <c r="H16" s="17">
        <f>IFERROR(CORREL('4_後測作答'!AD5:AD64,'4_後測作答'!AH5:AH64),"")</f>
        <v/>
      </c>
      <c r="I16" s="15">
        <f>IF(F16&lt;0.5,"仍待加強",IF(F16&gt;0.9,"太簡單","理想"))</f>
        <v/>
      </c>
      <c r="J16" s="15">
        <f>IF(H16="","",IF(H16&lt;0.2,"檢查題意或選項",IF(G16&lt;0.1,"教法需調整","")))</f>
        <v/>
      </c>
    </row>
    <row r="17" ht="30" customHeight="1">
      <c r="A17" s="11" t="n">
        <v>13</v>
      </c>
      <c r="B17" s="15">
        <f>'2_前後測題庫'!B17</f>
        <v/>
      </c>
      <c r="C17" s="15">
        <f>'2_前後測題庫'!C17</f>
        <v/>
      </c>
      <c r="D17" s="21">
        <f>'2_前後測題庫'!D17</f>
        <v/>
      </c>
      <c r="E17" s="17">
        <f>AVERAGE('3_前測作答'!AE5:AE64)</f>
        <v/>
      </c>
      <c r="F17" s="19">
        <f>AVERAGE('4_後測作答'!AE5:AE64)</f>
        <v/>
      </c>
      <c r="G17" s="22">
        <f>F17-E17</f>
        <v/>
      </c>
      <c r="H17" s="17">
        <f>IFERROR(CORREL('4_後測作答'!AE5:AE64,'4_後測作答'!AH5:AH64),"")</f>
        <v/>
      </c>
      <c r="I17" s="15">
        <f>IF(F17&lt;0.5,"仍待加強",IF(F17&gt;0.9,"太簡單","理想"))</f>
        <v/>
      </c>
      <c r="J17" s="15">
        <f>IF(H17="","",IF(H17&lt;0.2,"檢查題意或選項",IF(G17&lt;0.1,"教法需調整","")))</f>
        <v/>
      </c>
    </row>
    <row r="18" ht="30" customHeight="1">
      <c r="A18" s="11" t="n">
        <v>14</v>
      </c>
      <c r="B18" s="15">
        <f>'2_前後測題庫'!B18</f>
        <v/>
      </c>
      <c r="C18" s="15">
        <f>'2_前後測題庫'!C18</f>
        <v/>
      </c>
      <c r="D18" s="21">
        <f>'2_前後測題庫'!D18</f>
        <v/>
      </c>
      <c r="E18" s="17">
        <f>AVERAGE('3_前測作答'!AF5:AF64)</f>
        <v/>
      </c>
      <c r="F18" s="19">
        <f>AVERAGE('4_後測作答'!AF5:AF64)</f>
        <v/>
      </c>
      <c r="G18" s="22">
        <f>F18-E18</f>
        <v/>
      </c>
      <c r="H18" s="17">
        <f>IFERROR(CORREL('4_後測作答'!AF5:AF64,'4_後測作答'!AH5:AH64),"")</f>
        <v/>
      </c>
      <c r="I18" s="15">
        <f>IF(F18&lt;0.5,"仍待加強",IF(F18&gt;0.9,"太簡單","理想"))</f>
        <v/>
      </c>
      <c r="J18" s="15">
        <f>IF(H18="","",IF(H18&lt;0.2,"檢查題意或選項",IF(G18&lt;0.1,"教法需調整","")))</f>
        <v/>
      </c>
    </row>
    <row r="19" ht="30" customHeight="1">
      <c r="A19" s="11" t="n">
        <v>15</v>
      </c>
      <c r="B19" s="15">
        <f>'2_前後測題庫'!B19</f>
        <v/>
      </c>
      <c r="C19" s="15">
        <f>'2_前後測題庫'!C19</f>
        <v/>
      </c>
      <c r="D19" s="21">
        <f>'2_前後測題庫'!D19</f>
        <v/>
      </c>
      <c r="E19" s="17">
        <f>AVERAGE('3_前測作答'!AG5:AG64)</f>
        <v/>
      </c>
      <c r="F19" s="19">
        <f>AVERAGE('4_後測作答'!AG5:AG64)</f>
        <v/>
      </c>
      <c r="G19" s="22">
        <f>F19-E19</f>
        <v/>
      </c>
      <c r="H19" s="17">
        <f>IFERROR(CORREL('4_後測作答'!AG5:AG64,'4_後測作答'!AH5:AH64),"")</f>
        <v/>
      </c>
      <c r="I19" s="15">
        <f>IF(F19&lt;0.5,"仍待加強",IF(F19&gt;0.9,"太簡單","理想"))</f>
        <v/>
      </c>
      <c r="J19" s="15">
        <f>IF(H19="","",IF(H19&lt;0.2,"檢查題意或選項",IF(G19&lt;0.1,"教法需調整","")))</f>
        <v/>
      </c>
    </row>
    <row r="21">
      <c r="A21" s="6" t="inlineStr">
        <is>
          <t>依學習目標彙整</t>
        </is>
      </c>
    </row>
    <row r="22">
      <c r="C22" s="3" t="inlineStr">
        <is>
          <t>目標</t>
        </is>
      </c>
      <c r="D22" s="3" t="inlineStr"/>
      <c r="E22" s="3" t="inlineStr">
        <is>
          <t>前測答對率</t>
        </is>
      </c>
      <c r="F22" s="3" t="inlineStr">
        <is>
          <t>後測答對率</t>
        </is>
      </c>
      <c r="G22" s="3" t="inlineStr">
        <is>
          <t>進步</t>
        </is>
      </c>
    </row>
    <row r="23">
      <c r="C23" s="18" t="inlineStr">
        <is>
          <t>CLO1</t>
        </is>
      </c>
      <c r="D23" s="18" t="inlineStr">
        <is>
          <t>正確操作一般成分分析並完成計算</t>
        </is>
      </c>
      <c r="E23" s="17">
        <f>AVERAGEIF($C$5:$C$19,C23,$E$5:$E$19)</f>
        <v/>
      </c>
      <c r="F23" s="19">
        <f>AVERAGEIF($C$5:$C$19,C23,$F$5:$F$19)</f>
        <v/>
      </c>
      <c r="G23" s="22">
        <f>F23-E23</f>
        <v/>
      </c>
    </row>
    <row r="24">
      <c r="C24" s="18" t="inlineStr">
        <is>
          <t>CLO2</t>
        </is>
      </c>
      <c r="D24" s="18" t="inlineStr">
        <is>
          <t>用統計判斷數據品質並下結論</t>
        </is>
      </c>
      <c r="E24" s="17">
        <f>AVERAGEIF($C$5:$C$19,C24,$E$5:$E$19)</f>
        <v/>
      </c>
      <c r="F24" s="19">
        <f>AVERAGEIF($C$5:$C$19,C24,$F$5:$F$19)</f>
        <v/>
      </c>
      <c r="G24" s="22">
        <f>F24-E24</f>
        <v/>
      </c>
    </row>
    <row r="25">
      <c r="C25" s="18" t="inlineStr">
        <is>
          <t>CLO3</t>
        </is>
      </c>
      <c r="D25" s="18" t="inlineStr">
        <is>
          <t>建立與評估光譜化學計量模型</t>
        </is>
      </c>
      <c r="E25" s="17">
        <f>AVERAGEIF($C$5:$C$19,C25,$E$5:$E$19)</f>
        <v/>
      </c>
      <c r="F25" s="19">
        <f>AVERAGEIF($C$5:$C$19,C25,$F$5:$F$19)</f>
        <v/>
      </c>
      <c r="G25" s="22">
        <f>F25-E25</f>
        <v/>
      </c>
    </row>
  </sheetData>
  <mergeCells count="1">
    <mergeCell ref="A2:J2"/>
  </mergeCells>
  <conditionalFormatting sqref="F5:F19">
    <cfRule type="colorScale" priority="1">
      <colorScale>
        <cfvo type="num" val="0.3"/>
        <cfvo type="num" val="0.6"/>
        <cfvo type="num" val="0.9"/>
        <color rgb="00F8CBAD"/>
        <color rgb="00FFF2CC"/>
        <color rgb="00C6E0B4"/>
      </colorScale>
    </cfRule>
  </conditionalFormatting>
  <pageMargins left="0.75" right="0.75" top="1" bottom="1" header="0.5" footer="0.5"/>
  <pageSetup orientation="landscape" paperSize="9" fitToHeight="0" fitToWidth="1"/>
</worksheet>
</file>

<file path=xl/worksheets/sheet8.xml><?xml version="1.0" encoding="utf-8"?>
<worksheet xmlns="http://schemas.openxmlformats.org/spreadsheetml/2006/main">
  <sheetPr>
    <tabColor rgb="004E8F5A"/>
    <outlinePr summaryBelow="1" summaryRight="1"/>
    <pageSetUpPr fitToPage="1"/>
  </sheetPr>
  <dimension ref="A1:H16"/>
  <sheetViews>
    <sheetView showGridLines="0" workbookViewId="0">
      <selection activeCell="A1" sqref="A1"/>
    </sheetView>
  </sheetViews>
  <sheetFormatPr baseColWidth="8" defaultRowHeight="15"/>
  <cols>
    <col width="5" customWidth="1" min="1" max="1"/>
    <col width="46" customWidth="1" min="2" max="2"/>
    <col width="12" customWidth="1" min="3" max="3"/>
    <col width="12" customWidth="1" min="4" max="4"/>
    <col width="12" customWidth="1" min="5" max="5"/>
    <col width="12" customWidth="1" min="6" max="6"/>
    <col width="3" customWidth="1" min="7" max="7"/>
    <col width="60" customWidth="1" min="8" max="8"/>
  </cols>
  <sheetData>
    <row r="1">
      <c r="A1" s="1" t="inlineStr">
        <is>
          <t>資料分析自我效能問卷（W1、W9、W18 各填一次）</t>
        </is>
      </c>
    </row>
    <row r="2" ht="44" customHeight="1">
      <c r="A2" s="2" t="inlineStr">
        <is>
          <t>1 = 完全沒信心 … 5 = 非常有信心。用 Google 表單收，匯出後在下面黃色格子貼上「每題的全班平均」即可（或在表單的摘要頁直接看平均）。示範數字是模擬的。自我效能不等於能力，要和前後測一起看：信心高但後測錯，就是迷思。</t>
        </is>
      </c>
    </row>
    <row r="4">
      <c r="A4" s="3" t="inlineStr">
        <is>
          <t>題</t>
        </is>
      </c>
      <c r="B4" s="3" t="inlineStr">
        <is>
          <t>題目</t>
        </is>
      </c>
      <c r="C4" s="3" t="inlineStr">
        <is>
          <t>W1 平均</t>
        </is>
      </c>
      <c r="D4" s="3" t="inlineStr">
        <is>
          <t>W9 平均</t>
        </is>
      </c>
      <c r="E4" s="3" t="inlineStr">
        <is>
          <t>W18 平均</t>
        </is>
      </c>
      <c r="F4" s="3" t="inlineStr">
        <is>
          <t>W1→W18</t>
        </is>
      </c>
    </row>
    <row r="5" ht="22" customHeight="1">
      <c r="A5" s="11" t="n">
        <v>1</v>
      </c>
      <c r="B5" s="9" t="inlineStr">
        <is>
          <t>我能用平均、SD、RSD 描述重複量測的結果</t>
        </is>
      </c>
      <c r="C5" s="23" t="n">
        <v>1.98</v>
      </c>
      <c r="D5" s="23" t="n">
        <v>3</v>
      </c>
      <c r="E5" s="23" t="n">
        <v>3.55</v>
      </c>
      <c r="F5" s="24">
        <f>E5-C5</f>
        <v/>
      </c>
      <c r="H5" s="2" t="inlineStr">
        <is>
          <t>第 6–8 題是後半學期的內容，W9 分數不會動，正常。第 9 題直接對應「工具選擇」這個目標（CLO4）。</t>
        </is>
      </c>
    </row>
    <row r="6" ht="22" customHeight="1">
      <c r="A6" s="11" t="n">
        <v>2</v>
      </c>
      <c r="B6" s="9" t="inlineStr">
        <is>
          <t>我能判斷一個結果是否準確、是否精密</t>
        </is>
      </c>
      <c r="C6" s="23" t="n">
        <v>1.67</v>
      </c>
      <c r="D6" s="23" t="n">
        <v>3.09</v>
      </c>
      <c r="E6" s="23" t="n">
        <v>3.57</v>
      </c>
      <c r="F6" s="24">
        <f>E6-C6</f>
        <v/>
      </c>
    </row>
    <row r="7" ht="22" customHeight="1">
      <c r="A7" s="11" t="n">
        <v>3</v>
      </c>
      <c r="B7" s="9" t="inlineStr">
        <is>
          <t>我能建立檢量線並檢查殘差</t>
        </is>
      </c>
      <c r="C7" s="23" t="n">
        <v>1.62</v>
      </c>
      <c r="D7" s="23" t="n">
        <v>3.08</v>
      </c>
      <c r="E7" s="23" t="n">
        <v>3.4</v>
      </c>
      <c r="F7" s="24">
        <f>E7-C7</f>
        <v/>
      </c>
    </row>
    <row r="8" ht="22" customHeight="1">
      <c r="A8" s="11" t="n">
        <v>4</v>
      </c>
      <c r="B8" s="9" t="inlineStr">
        <is>
          <t>我能用統計檢定判斷兩種方法或各組有沒有差異</t>
        </is>
      </c>
      <c r="C8" s="23" t="n">
        <v>1.91</v>
      </c>
      <c r="D8" s="23" t="n">
        <v>2.97</v>
      </c>
      <c r="E8" s="23" t="n">
        <v>4.05</v>
      </c>
      <c r="F8" s="24">
        <f>E8-C8</f>
        <v/>
      </c>
    </row>
    <row r="9" ht="22" customHeight="1">
      <c r="A9" s="11" t="n">
        <v>5</v>
      </c>
      <c r="B9" s="9" t="inlineStr">
        <is>
          <t>我能讀懂管制圖與 z-score 並做出判定</t>
        </is>
      </c>
      <c r="C9" s="23" t="n">
        <v>2.14</v>
      </c>
      <c r="D9" s="23" t="n">
        <v>3.25</v>
      </c>
      <c r="E9" s="23" t="n">
        <v>4.25</v>
      </c>
      <c r="F9" s="24">
        <f>E9-C9</f>
        <v/>
      </c>
    </row>
    <row r="10" ht="22" customHeight="1">
      <c r="A10" s="11" t="n">
        <v>6</v>
      </c>
      <c r="B10" s="9" t="inlineStr">
        <is>
          <t>我能說明光譜為什麼要做前處理</t>
        </is>
      </c>
      <c r="C10" s="23" t="n">
        <v>1.89</v>
      </c>
      <c r="D10" s="23" t="n">
        <v>1.85</v>
      </c>
      <c r="E10" s="23" t="n">
        <v>3.3</v>
      </c>
      <c r="F10" s="24">
        <f>E10-C10</f>
        <v/>
      </c>
    </row>
    <row r="11" ht="22" customHeight="1">
      <c r="A11" s="11" t="n">
        <v>7</v>
      </c>
      <c r="B11" s="9" t="inlineStr">
        <is>
          <t>我能用 PCA 分數圖與 loadings 解釋分群</t>
        </is>
      </c>
      <c r="C11" s="23" t="n">
        <v>1.51</v>
      </c>
      <c r="D11" s="23" t="n">
        <v>1.9</v>
      </c>
      <c r="E11" s="23" t="n">
        <v>3.49</v>
      </c>
      <c r="F11" s="24">
        <f>E11-C11</f>
        <v/>
      </c>
    </row>
    <row r="12" ht="22" customHeight="1">
      <c r="A12" s="11" t="n">
        <v>8</v>
      </c>
      <c r="B12" s="9" t="inlineStr">
        <is>
          <t>我能建立 PLS 模型並用 RMSECV、RMSEP 評估</t>
        </is>
      </c>
      <c r="C12" s="23" t="n">
        <v>1.81</v>
      </c>
      <c r="D12" s="23" t="n">
        <v>1.95</v>
      </c>
      <c r="E12" s="23" t="n">
        <v>3.65</v>
      </c>
      <c r="F12" s="24">
        <f>E12-C12</f>
        <v/>
      </c>
    </row>
    <row r="13" ht="22" customHeight="1">
      <c r="A13" s="11" t="n">
        <v>9</v>
      </c>
      <c r="B13" s="9" t="inlineStr">
        <is>
          <t>遇到新數據，我知道該用 Excel、Orange 還是 Colab</t>
        </is>
      </c>
      <c r="C13" s="23" t="n">
        <v>1.68</v>
      </c>
      <c r="D13" s="23" t="n">
        <v>2</v>
      </c>
      <c r="E13" s="23" t="n">
        <v>3.65</v>
      </c>
      <c r="F13" s="24">
        <f>E13-C13</f>
        <v/>
      </c>
    </row>
    <row r="14" ht="22" customHeight="1">
      <c r="A14" s="11" t="n">
        <v>10</v>
      </c>
      <c r="B14" s="9" t="inlineStr">
        <is>
          <t>我能用數據寫出有根據的結論</t>
        </is>
      </c>
      <c r="C14" s="23" t="n">
        <v>1.94</v>
      </c>
      <c r="D14" s="23" t="n">
        <v>2.05</v>
      </c>
      <c r="E14" s="23" t="n">
        <v>3.63</v>
      </c>
      <c r="F14" s="24">
        <f>E14-C14</f>
        <v/>
      </c>
    </row>
    <row r="16">
      <c r="B16" s="4" t="inlineStr">
        <is>
          <t>平均</t>
        </is>
      </c>
      <c r="C16" s="19">
        <f>AVERAGE(C5:C14)</f>
        <v/>
      </c>
      <c r="D16" s="19">
        <f>AVERAGE(D5:D14)</f>
        <v/>
      </c>
      <c r="E16" s="19">
        <f>AVERAGE(E5:E14)</f>
        <v/>
      </c>
      <c r="F16" s="19">
        <f>AVERAGE(F5:F14)</f>
        <v/>
      </c>
    </row>
  </sheetData>
  <mergeCells count="1">
    <mergeCell ref="A2:H2"/>
  </mergeCells>
  <pageMargins left="0.75" right="0.75" top="1" bottom="1" header="0.5" footer="0.5"/>
  <pageSetup orientation="landscape" paperSize="9" fitToHeight="0" fitToWidth="1"/>
  <drawing xmlns:r="http://schemas.openxmlformats.org/officeDocument/2006/relationships" r:id="rId1"/>
</worksheet>
</file>

<file path=xl/worksheets/sheet9.xml><?xml version="1.0" encoding="utf-8"?>
<worksheet xmlns="http://schemas.openxmlformats.org/spreadsheetml/2006/main">
  <sheetPr>
    <tabColor rgb="00B3306A"/>
    <outlinePr summaryBelow="1" summaryRight="1"/>
    <pageSetUpPr fitToPage="1"/>
  </sheetPr>
  <dimension ref="A1:G54"/>
  <sheetViews>
    <sheetView showGridLines="0" workbookViewId="0">
      <selection activeCell="A1" sqref="A1"/>
    </sheetView>
  </sheetViews>
  <sheetFormatPr baseColWidth="8" defaultRowHeight="15"/>
  <cols>
    <col width="22" customWidth="1" min="1" max="1"/>
    <col width="14" customWidth="1" min="2" max="2"/>
    <col width="34" customWidth="1" min="3" max="3"/>
    <col width="34" customWidth="1" min="4" max="4"/>
    <col width="34" customWidth="1" min="5" max="5"/>
    <col width="34" customWidth="1" min="6" max="6"/>
  </cols>
  <sheetData>
    <row r="1">
      <c r="A1" s="1" t="inlineStr">
        <is>
          <t>每週數據作業／實驗報告評分規準（不論用 Excel、Orange 或 Colab，標準都一樣）</t>
        </is>
      </c>
    </row>
    <row r="2">
      <c r="A2" s="2" t="inlineStr">
        <is>
          <t>評的是「數字對不對、判斷有沒有根據、結論講不講得清楚」，不是用了哪個軟體。學期初就發給學生，讓他們知道好的報告長什麼樣子。</t>
        </is>
      </c>
    </row>
    <row r="4" ht="24" customHeight="1">
      <c r="A4" s="3" t="inlineStr">
        <is>
          <t>面向</t>
        </is>
      </c>
      <c r="B4" s="3" t="inlineStr">
        <is>
          <t>權重 %</t>
        </is>
      </c>
      <c r="C4" s="3" t="inlineStr">
        <is>
          <t>4 優秀</t>
        </is>
      </c>
      <c r="D4" s="3" t="inlineStr">
        <is>
          <t>3 良好</t>
        </is>
      </c>
      <c r="E4" s="3" t="inlineStr">
        <is>
          <t>2 待加強</t>
        </is>
      </c>
      <c r="F4" s="3" t="inlineStr">
        <is>
          <t>1 不足</t>
        </is>
      </c>
    </row>
    <row r="5" ht="50" customHeight="1">
      <c r="A5" s="25" t="inlineStr">
        <is>
          <t>計算正確</t>
        </is>
      </c>
      <c r="B5" s="10" t="n">
        <v>25</v>
      </c>
      <c r="C5" s="9" t="inlineStr">
        <is>
          <t>數值、單位、有效位數都正確；和 Colab/Excel 對答案一致</t>
        </is>
      </c>
      <c r="D5" s="9" t="inlineStr">
        <is>
          <t>有 1 處小錯，不影響結論</t>
        </is>
      </c>
      <c r="E5" s="9" t="inlineStr">
        <is>
          <t>有錯誤且影響部分結論</t>
        </is>
      </c>
      <c r="F5" s="9" t="inlineStr">
        <is>
          <t>主要數值錯誤或缺漏</t>
        </is>
      </c>
    </row>
    <row r="6" ht="50" customHeight="1">
      <c r="A6" s="25" t="inlineStr">
        <is>
          <t>品管判斷</t>
        </is>
      </c>
      <c r="B6" s="10" t="n">
        <v>25</v>
      </c>
      <c r="C6" s="9" t="inlineStr">
        <is>
          <t>每個判斷（準確/精密、異常值、檢定、放行）都引用數據與門檻</t>
        </is>
      </c>
      <c r="D6" s="9" t="inlineStr">
        <is>
          <t>判斷大致正確，少數缺依據</t>
        </is>
      </c>
      <c r="E6" s="9" t="inlineStr">
        <is>
          <t>只寫結論沒有依據，或用錯方法（例如用 r 比較兩方法）</t>
        </is>
      </c>
      <c r="F6" s="9" t="inlineStr">
        <is>
          <t>沒有做判斷</t>
        </is>
      </c>
    </row>
    <row r="7" ht="50" customHeight="1">
      <c r="A7" s="25" t="inlineStr">
        <is>
          <t>圖表</t>
        </is>
      </c>
      <c r="B7" s="10" t="n">
        <v>15</v>
      </c>
      <c r="C7" s="9" t="inlineStr">
        <is>
          <t>圖的種類恰當；座標軸、單位、誤差線、圖說完整</t>
        </is>
      </c>
      <c r="D7" s="9" t="inlineStr">
        <is>
          <t>圖正確，缺少部分標示</t>
        </is>
      </c>
      <c r="E7" s="9" t="inlineStr">
        <is>
          <t>圖不恰當（長條圖從非零開始、誤差線不明）</t>
        </is>
      </c>
      <c r="F7" s="9" t="inlineStr">
        <is>
          <t>沒有圖或無法閱讀</t>
        </is>
      </c>
    </row>
    <row r="8" ht="50" customHeight="1">
      <c r="A8" s="25" t="inlineStr">
        <is>
          <t>結論與誤差討論</t>
        </is>
      </c>
      <c r="B8" s="10" t="n">
        <v>25</v>
      </c>
      <c r="C8" s="9" t="inlineStr">
        <is>
          <t>分出系統與隨機誤差，指出最大來源並提出可行改進</t>
        </is>
      </c>
      <c r="D8" s="9" t="inlineStr">
        <is>
          <t>有討論誤差來源，但未區分或未提改進</t>
        </is>
      </c>
      <c r="E8" s="9" t="inlineStr">
        <is>
          <t>只寫「人為誤差」等空泛原因</t>
        </is>
      </c>
      <c r="F8" s="9" t="inlineStr">
        <is>
          <t>沒有討論</t>
        </is>
      </c>
    </row>
    <row r="9" ht="50" customHeight="1">
      <c r="A9" s="25" t="inlineStr">
        <is>
          <t>紀錄與可重現</t>
        </is>
      </c>
      <c r="B9" s="10" t="n">
        <v>10</v>
      </c>
      <c r="C9" s="9" t="inlineStr">
        <is>
          <t>附原始數據、校正紀錄、使用的檔案；別人能重算出同樣結果</t>
        </is>
      </c>
      <c r="D9" s="9" t="inlineStr">
        <is>
          <t>資料齊全但檔案命名或欄位不清</t>
        </is>
      </c>
      <c r="E9" s="9" t="inlineStr">
        <is>
          <t>缺原始數據或校正紀錄</t>
        </is>
      </c>
      <c r="F9" s="9" t="inlineStr">
        <is>
          <t>無法追溯</t>
        </is>
      </c>
    </row>
    <row r="10">
      <c r="A10" s="26" t="inlineStr">
        <is>
          <t>權重合計</t>
        </is>
      </c>
      <c r="B10" s="13">
        <f>SUM(B5:B9)</f>
        <v/>
      </c>
    </row>
    <row r="12">
      <c r="A12" s="6" t="inlineStr">
        <is>
          <t>評分試算：</t>
        </is>
      </c>
    </row>
    <row r="13">
      <c r="A13" s="3" t="inlineStr">
        <is>
          <t>學號</t>
        </is>
      </c>
      <c r="B13" s="3" t="inlineStr">
        <is>
          <t>計算正確</t>
        </is>
      </c>
      <c r="C13" s="3" t="inlineStr">
        <is>
          <t>品管判斷</t>
        </is>
      </c>
      <c r="D13" s="3" t="inlineStr">
        <is>
          <t>圖表</t>
        </is>
      </c>
      <c r="E13" s="3" t="inlineStr">
        <is>
          <t>結論與誤差討論</t>
        </is>
      </c>
      <c r="F13" s="3" t="inlineStr">
        <is>
          <t>紀錄與可重現</t>
        </is>
      </c>
      <c r="G13" s="3" t="inlineStr">
        <is>
          <t>總分 (0–100)</t>
        </is>
      </c>
    </row>
    <row r="14">
      <c r="A14" s="12" t="inlineStr">
        <is>
          <t>S01</t>
        </is>
      </c>
      <c r="B14" s="12" t="n">
        <v>4</v>
      </c>
      <c r="C14" s="12" t="n">
        <v>3</v>
      </c>
      <c r="D14" s="12" t="n">
        <v>3</v>
      </c>
      <c r="E14" s="12" t="n">
        <v>2</v>
      </c>
      <c r="F14" s="12" t="n">
        <v>4</v>
      </c>
      <c r="G14" s="27">
        <f>IF(COUNT(B14:F14)&lt;5,"",(B14*$B$5+C14*$B$6+D14*$B$7+E14*$B$8+F14*$B$9)/4)</f>
        <v/>
      </c>
    </row>
    <row r="15">
      <c r="A15" s="12" t="inlineStr">
        <is>
          <t>S02</t>
        </is>
      </c>
      <c r="B15" s="12" t="n">
        <v>3</v>
      </c>
      <c r="C15" s="12" t="n">
        <v>3</v>
      </c>
      <c r="D15" s="12" t="n">
        <v>2</v>
      </c>
      <c r="E15" s="12" t="n">
        <v>3</v>
      </c>
      <c r="F15" s="12" t="n">
        <v>3</v>
      </c>
      <c r="G15" s="27">
        <f>IF(COUNT(B15:F15)&lt;5,"",(B15*$B$5+C15*$B$6+D15*$B$7+E15*$B$8+F15*$B$9)/4)</f>
        <v/>
      </c>
    </row>
    <row r="16">
      <c r="A16" s="12" t="inlineStr">
        <is>
          <t>S03</t>
        </is>
      </c>
      <c r="B16" s="12" t="n">
        <v>2</v>
      </c>
      <c r="C16" s="12" t="n">
        <v>2</v>
      </c>
      <c r="D16" s="12" t="n">
        <v>3</v>
      </c>
      <c r="E16" s="12" t="n">
        <v>2</v>
      </c>
      <c r="F16" s="12" t="n">
        <v>2</v>
      </c>
      <c r="G16" s="27">
        <f>IF(COUNT(B16:F16)&lt;5,"",(B16*$B$5+C16*$B$6+D16*$B$7+E16*$B$8+F16*$B$9)/4)</f>
        <v/>
      </c>
    </row>
    <row r="17">
      <c r="A17" s="12" t="n"/>
      <c r="B17" s="12" t="n"/>
      <c r="C17" s="12" t="n"/>
      <c r="D17" s="12" t="n"/>
      <c r="E17" s="12" t="n"/>
      <c r="F17" s="12" t="n"/>
      <c r="G17" s="27">
        <f>IF(COUNT(B17:F17)&lt;5,"",(B17*$B$5+C17*$B$6+D17*$B$7+E17*$B$8+F17*$B$9)/4)</f>
        <v/>
      </c>
    </row>
    <row r="18">
      <c r="A18" s="12" t="n"/>
      <c r="B18" s="12" t="n"/>
      <c r="C18" s="12" t="n"/>
      <c r="D18" s="12" t="n"/>
      <c r="E18" s="12" t="n"/>
      <c r="F18" s="12" t="n"/>
      <c r="G18" s="27">
        <f>IF(COUNT(B18:F18)&lt;5,"",(B18*$B$5+C18*$B$6+D18*$B$7+E18*$B$8+F18*$B$9)/4)</f>
        <v/>
      </c>
    </row>
    <row r="19">
      <c r="A19" s="12" t="n"/>
      <c r="B19" s="12" t="n"/>
      <c r="C19" s="12" t="n"/>
      <c r="D19" s="12" t="n"/>
      <c r="E19" s="12" t="n"/>
      <c r="F19" s="12" t="n"/>
      <c r="G19" s="27">
        <f>IF(COUNT(B19:F19)&lt;5,"",(B19*$B$5+C19*$B$6+D19*$B$7+E19*$B$8+F19*$B$9)/4)</f>
        <v/>
      </c>
    </row>
    <row r="20">
      <c r="A20" s="12" t="n"/>
      <c r="B20" s="12" t="n"/>
      <c r="C20" s="12" t="n"/>
      <c r="D20" s="12" t="n"/>
      <c r="E20" s="12" t="n"/>
      <c r="F20" s="12" t="n"/>
      <c r="G20" s="27">
        <f>IF(COUNT(B20:F20)&lt;5,"",(B20*$B$5+C20*$B$6+D20*$B$7+E20*$B$8+F20*$B$9)/4)</f>
        <v/>
      </c>
    </row>
    <row r="21">
      <c r="A21" s="12" t="n"/>
      <c r="B21" s="12" t="n"/>
      <c r="C21" s="12" t="n"/>
      <c r="D21" s="12" t="n"/>
      <c r="E21" s="12" t="n"/>
      <c r="F21" s="12" t="n"/>
      <c r="G21" s="27">
        <f>IF(COUNT(B21:F21)&lt;5,"",(B21*$B$5+C21*$B$6+D21*$B$7+E21*$B$8+F21*$B$9)/4)</f>
        <v/>
      </c>
    </row>
    <row r="22">
      <c r="A22" s="12" t="n"/>
      <c r="B22" s="12" t="n"/>
      <c r="C22" s="12" t="n"/>
      <c r="D22" s="12" t="n"/>
      <c r="E22" s="12" t="n"/>
      <c r="F22" s="12" t="n"/>
      <c r="G22" s="27">
        <f>IF(COUNT(B22:F22)&lt;5,"",(B22*$B$5+C22*$B$6+D22*$B$7+E22*$B$8+F22*$B$9)/4)</f>
        <v/>
      </c>
    </row>
    <row r="23">
      <c r="A23" s="12" t="n"/>
      <c r="B23" s="12" t="n"/>
      <c r="C23" s="12" t="n"/>
      <c r="D23" s="12" t="n"/>
      <c r="E23" s="12" t="n"/>
      <c r="F23" s="12" t="n"/>
      <c r="G23" s="27">
        <f>IF(COUNT(B23:F23)&lt;5,"",(B23*$B$5+C23*$B$6+D23*$B$7+E23*$B$8+F23*$B$9)/4)</f>
        <v/>
      </c>
    </row>
    <row r="24">
      <c r="A24" s="12" t="n"/>
      <c r="B24" s="12" t="n"/>
      <c r="C24" s="12" t="n"/>
      <c r="D24" s="12" t="n"/>
      <c r="E24" s="12" t="n"/>
      <c r="F24" s="12" t="n"/>
      <c r="G24" s="27">
        <f>IF(COUNT(B24:F24)&lt;5,"",(B24*$B$5+C24*$B$6+D24*$B$7+E24*$B$8+F24*$B$9)/4)</f>
        <v/>
      </c>
    </row>
    <row r="25">
      <c r="A25" s="12" t="n"/>
      <c r="B25" s="12" t="n"/>
      <c r="C25" s="12" t="n"/>
      <c r="D25" s="12" t="n"/>
      <c r="E25" s="12" t="n"/>
      <c r="F25" s="12" t="n"/>
      <c r="G25" s="27">
        <f>IF(COUNT(B25:F25)&lt;5,"",(B25*$B$5+C25*$B$6+D25*$B$7+E25*$B$8+F25*$B$9)/4)</f>
        <v/>
      </c>
    </row>
    <row r="26">
      <c r="A26" s="12" t="n"/>
      <c r="B26" s="12" t="n"/>
      <c r="C26" s="12" t="n"/>
      <c r="D26" s="12" t="n"/>
      <c r="E26" s="12" t="n"/>
      <c r="F26" s="12" t="n"/>
      <c r="G26" s="27">
        <f>IF(COUNT(B26:F26)&lt;5,"",(B26*$B$5+C26*$B$6+D26*$B$7+E26*$B$8+F26*$B$9)/4)</f>
        <v/>
      </c>
    </row>
    <row r="27">
      <c r="A27" s="12" t="n"/>
      <c r="B27" s="12" t="n"/>
      <c r="C27" s="12" t="n"/>
      <c r="D27" s="12" t="n"/>
      <c r="E27" s="12" t="n"/>
      <c r="F27" s="12" t="n"/>
      <c r="G27" s="27">
        <f>IF(COUNT(B27:F27)&lt;5,"",(B27*$B$5+C27*$B$6+D27*$B$7+E27*$B$8+F27*$B$9)/4)</f>
        <v/>
      </c>
    </row>
    <row r="28">
      <c r="A28" s="12" t="n"/>
      <c r="B28" s="12" t="n"/>
      <c r="C28" s="12" t="n"/>
      <c r="D28" s="12" t="n"/>
      <c r="E28" s="12" t="n"/>
      <c r="F28" s="12" t="n"/>
      <c r="G28" s="27">
        <f>IF(COUNT(B28:F28)&lt;5,"",(B28*$B$5+C28*$B$6+D28*$B$7+E28*$B$8+F28*$B$9)/4)</f>
        <v/>
      </c>
    </row>
    <row r="29">
      <c r="A29" s="12" t="n"/>
      <c r="B29" s="12" t="n"/>
      <c r="C29" s="12" t="n"/>
      <c r="D29" s="12" t="n"/>
      <c r="E29" s="12" t="n"/>
      <c r="F29" s="12" t="n"/>
      <c r="G29" s="27">
        <f>IF(COUNT(B29:F29)&lt;5,"",(B29*$B$5+C29*$B$6+D29*$B$7+E29*$B$8+F29*$B$9)/4)</f>
        <v/>
      </c>
    </row>
    <row r="30">
      <c r="A30" s="12" t="n"/>
      <c r="B30" s="12" t="n"/>
      <c r="C30" s="12" t="n"/>
      <c r="D30" s="12" t="n"/>
      <c r="E30" s="12" t="n"/>
      <c r="F30" s="12" t="n"/>
      <c r="G30" s="27">
        <f>IF(COUNT(B30:F30)&lt;5,"",(B30*$B$5+C30*$B$6+D30*$B$7+E30*$B$8+F30*$B$9)/4)</f>
        <v/>
      </c>
    </row>
    <row r="31">
      <c r="A31" s="12" t="n"/>
      <c r="B31" s="12" t="n"/>
      <c r="C31" s="12" t="n"/>
      <c r="D31" s="12" t="n"/>
      <c r="E31" s="12" t="n"/>
      <c r="F31" s="12" t="n"/>
      <c r="G31" s="27">
        <f>IF(COUNT(B31:F31)&lt;5,"",(B31*$B$5+C31*$B$6+D31*$B$7+E31*$B$8+F31*$B$9)/4)</f>
        <v/>
      </c>
    </row>
    <row r="32">
      <c r="A32" s="12" t="n"/>
      <c r="B32" s="12" t="n"/>
      <c r="C32" s="12" t="n"/>
      <c r="D32" s="12" t="n"/>
      <c r="E32" s="12" t="n"/>
      <c r="F32" s="12" t="n"/>
      <c r="G32" s="27">
        <f>IF(COUNT(B32:F32)&lt;5,"",(B32*$B$5+C32*$B$6+D32*$B$7+E32*$B$8+F32*$B$9)/4)</f>
        <v/>
      </c>
    </row>
    <row r="33">
      <c r="A33" s="12" t="n"/>
      <c r="B33" s="12" t="n"/>
      <c r="C33" s="12" t="n"/>
      <c r="D33" s="12" t="n"/>
      <c r="E33" s="12" t="n"/>
      <c r="F33" s="12" t="n"/>
      <c r="G33" s="27">
        <f>IF(COUNT(B33:F33)&lt;5,"",(B33*$B$5+C33*$B$6+D33*$B$7+E33*$B$8+F33*$B$9)/4)</f>
        <v/>
      </c>
    </row>
    <row r="34">
      <c r="A34" s="12" t="n"/>
      <c r="B34" s="12" t="n"/>
      <c r="C34" s="12" t="n"/>
      <c r="D34" s="12" t="n"/>
      <c r="E34" s="12" t="n"/>
      <c r="F34" s="12" t="n"/>
      <c r="G34" s="27">
        <f>IF(COUNT(B34:F34)&lt;5,"",(B34*$B$5+C34*$B$6+D34*$B$7+E34*$B$8+F34*$B$9)/4)</f>
        <v/>
      </c>
    </row>
    <row r="35">
      <c r="A35" s="12" t="n"/>
      <c r="B35" s="12" t="n"/>
      <c r="C35" s="12" t="n"/>
      <c r="D35" s="12" t="n"/>
      <c r="E35" s="12" t="n"/>
      <c r="F35" s="12" t="n"/>
      <c r="G35" s="27">
        <f>IF(COUNT(B35:F35)&lt;5,"",(B35*$B$5+C35*$B$6+D35*$B$7+E35*$B$8+F35*$B$9)/4)</f>
        <v/>
      </c>
    </row>
    <row r="36">
      <c r="A36" s="12" t="n"/>
      <c r="B36" s="12" t="n"/>
      <c r="C36" s="12" t="n"/>
      <c r="D36" s="12" t="n"/>
      <c r="E36" s="12" t="n"/>
      <c r="F36" s="12" t="n"/>
      <c r="G36" s="27">
        <f>IF(COUNT(B36:F36)&lt;5,"",(B36*$B$5+C36*$B$6+D36*$B$7+E36*$B$8+F36*$B$9)/4)</f>
        <v/>
      </c>
    </row>
    <row r="37">
      <c r="A37" s="12" t="n"/>
      <c r="B37" s="12" t="n"/>
      <c r="C37" s="12" t="n"/>
      <c r="D37" s="12" t="n"/>
      <c r="E37" s="12" t="n"/>
      <c r="F37" s="12" t="n"/>
      <c r="G37" s="27">
        <f>IF(COUNT(B37:F37)&lt;5,"",(B37*$B$5+C37*$B$6+D37*$B$7+E37*$B$8+F37*$B$9)/4)</f>
        <v/>
      </c>
    </row>
    <row r="38">
      <c r="A38" s="12" t="n"/>
      <c r="B38" s="12" t="n"/>
      <c r="C38" s="12" t="n"/>
      <c r="D38" s="12" t="n"/>
      <c r="E38" s="12" t="n"/>
      <c r="F38" s="12" t="n"/>
      <c r="G38" s="27">
        <f>IF(COUNT(B38:F38)&lt;5,"",(B38*$B$5+C38*$B$6+D38*$B$7+E38*$B$8+F38*$B$9)/4)</f>
        <v/>
      </c>
    </row>
    <row r="39">
      <c r="A39" s="12" t="n"/>
      <c r="B39" s="12" t="n"/>
      <c r="C39" s="12" t="n"/>
      <c r="D39" s="12" t="n"/>
      <c r="E39" s="12" t="n"/>
      <c r="F39" s="12" t="n"/>
      <c r="G39" s="27">
        <f>IF(COUNT(B39:F39)&lt;5,"",(B39*$B$5+C39*$B$6+D39*$B$7+E39*$B$8+F39*$B$9)/4)</f>
        <v/>
      </c>
    </row>
    <row r="40">
      <c r="A40" s="12" t="n"/>
      <c r="B40" s="12" t="n"/>
      <c r="C40" s="12" t="n"/>
      <c r="D40" s="12" t="n"/>
      <c r="E40" s="12" t="n"/>
      <c r="F40" s="12" t="n"/>
      <c r="G40" s="27">
        <f>IF(COUNT(B40:F40)&lt;5,"",(B40*$B$5+C40*$B$6+D40*$B$7+E40*$B$8+F40*$B$9)/4)</f>
        <v/>
      </c>
    </row>
    <row r="41">
      <c r="A41" s="12" t="n"/>
      <c r="B41" s="12" t="n"/>
      <c r="C41" s="12" t="n"/>
      <c r="D41" s="12" t="n"/>
      <c r="E41" s="12" t="n"/>
      <c r="F41" s="12" t="n"/>
      <c r="G41" s="27">
        <f>IF(COUNT(B41:F41)&lt;5,"",(B41*$B$5+C41*$B$6+D41*$B$7+E41*$B$8+F41*$B$9)/4)</f>
        <v/>
      </c>
    </row>
    <row r="42">
      <c r="A42" s="12" t="n"/>
      <c r="B42" s="12" t="n"/>
      <c r="C42" s="12" t="n"/>
      <c r="D42" s="12" t="n"/>
      <c r="E42" s="12" t="n"/>
      <c r="F42" s="12" t="n"/>
      <c r="G42" s="27">
        <f>IF(COUNT(B42:F42)&lt;5,"",(B42*$B$5+C42*$B$6+D42*$B$7+E42*$B$8+F42*$B$9)/4)</f>
        <v/>
      </c>
    </row>
    <row r="43">
      <c r="A43" s="12" t="n"/>
      <c r="B43" s="12" t="n"/>
      <c r="C43" s="12" t="n"/>
      <c r="D43" s="12" t="n"/>
      <c r="E43" s="12" t="n"/>
      <c r="F43" s="12" t="n"/>
      <c r="G43" s="27">
        <f>IF(COUNT(B43:F43)&lt;5,"",(B43*$B$5+C43*$B$6+D43*$B$7+E43*$B$8+F43*$B$9)/4)</f>
        <v/>
      </c>
    </row>
    <row r="45">
      <c r="A45" s="2" t="inlineStr">
        <is>
          <t>總分 = Σ(等級 × 權重) ÷ 4，四個面向都拿 4 就是 100 分。等級只能填 1–4。</t>
        </is>
      </c>
    </row>
    <row r="48">
      <c r="A48" s="1" t="inlineStr">
        <is>
          <t>期中／期末實作考規準（給一組沒看過的數據，工具任選）</t>
        </is>
      </c>
    </row>
    <row r="49" ht="24" customHeight="1">
      <c r="A49" s="3" t="inlineStr">
        <is>
          <t>面向</t>
        </is>
      </c>
      <c r="B49" s="3" t="inlineStr">
        <is>
          <t>權重 %</t>
        </is>
      </c>
      <c r="C49" s="3" t="inlineStr">
        <is>
          <t>4 優秀</t>
        </is>
      </c>
      <c r="D49" s="3" t="inlineStr">
        <is>
          <t>3 良好</t>
        </is>
      </c>
      <c r="E49" s="3" t="inlineStr">
        <is>
          <t>2 待加強</t>
        </is>
      </c>
      <c r="F49" s="3" t="inlineStr">
        <is>
          <t>1 不足</t>
        </is>
      </c>
    </row>
    <row r="50" ht="44" customHeight="1">
      <c r="A50" s="25" t="inlineStr">
        <is>
          <t>資料整理</t>
        </is>
      </c>
      <c r="B50" s="10" t="n">
        <v>15</v>
      </c>
      <c r="C50" s="9" t="inlineStr">
        <is>
          <t>正確讀入、分組、處理單位與缺值</t>
        </is>
      </c>
      <c r="D50" s="9" t="inlineStr">
        <is>
          <t>小錯自行更正</t>
        </is>
      </c>
      <c r="E50" s="9" t="inlineStr">
        <is>
          <t>需要提示才完成</t>
        </is>
      </c>
      <c r="F50" s="9" t="inlineStr">
        <is>
          <t>無法讀入或整理</t>
        </is>
      </c>
    </row>
    <row r="51" ht="44" customHeight="1">
      <c r="A51" s="25" t="inlineStr">
        <is>
          <t>方法選擇</t>
        </is>
      </c>
      <c r="B51" s="10" t="n">
        <v>25</v>
      </c>
      <c r="C51" s="9" t="inlineStr">
        <is>
          <t>選對方法並說明理由（例如配對設計→配對 t；重複量測→分組交叉驗證）</t>
        </is>
      </c>
      <c r="D51" s="9" t="inlineStr">
        <is>
          <t>方法對，理由不完整</t>
        </is>
      </c>
      <c r="E51" s="9" t="inlineStr">
        <is>
          <t>方法不恰當但有嘗試</t>
        </is>
      </c>
      <c r="F51" s="9" t="inlineStr">
        <is>
          <t>沒有方法</t>
        </is>
      </c>
    </row>
    <row r="52" ht="44" customHeight="1">
      <c r="A52" s="25" t="inlineStr">
        <is>
          <t>結果數值</t>
        </is>
      </c>
      <c r="B52" s="10" t="n">
        <v>25</v>
      </c>
      <c r="C52" s="9" t="inlineStr">
        <is>
          <t>關鍵數值正確（與標準答案差 &lt; 1%）</t>
        </is>
      </c>
      <c r="D52" s="9" t="inlineStr">
        <is>
          <t>大致正確，1 個數值有誤</t>
        </is>
      </c>
      <c r="E52" s="9" t="inlineStr">
        <is>
          <t>多個數值錯誤</t>
        </is>
      </c>
      <c r="F52" s="9" t="inlineStr">
        <is>
          <t>沒有結果</t>
        </is>
      </c>
    </row>
    <row r="53" ht="44" customHeight="1">
      <c r="A53" s="25" t="inlineStr">
        <is>
          <t>解讀與結論</t>
        </is>
      </c>
      <c r="B53" s="10" t="n">
        <v>25</v>
      </c>
      <c r="C53" s="9" t="inlineStr">
        <is>
          <t>結論回答題目、引用數值、指出限制</t>
        </is>
      </c>
      <c r="D53" s="9" t="inlineStr">
        <is>
          <t>結論正確但缺限制</t>
        </is>
      </c>
      <c r="E53" s="9" t="inlineStr">
        <is>
          <t>結論與數據不符</t>
        </is>
      </c>
      <c r="F53" s="9" t="inlineStr">
        <is>
          <t>沒有結論</t>
        </is>
      </c>
    </row>
    <row r="54" ht="44" customHeight="1">
      <c r="A54" s="25" t="inlineStr">
        <is>
          <t>交叉核對</t>
        </is>
      </c>
      <c r="B54" s="10" t="n">
        <v>10</v>
      </c>
      <c r="C54" s="9" t="inlineStr">
        <is>
          <t>用第二種方式（另一個工具或手算）驗證 1 個數值</t>
        </is>
      </c>
      <c r="D54" s="9" t="inlineStr">
        <is>
          <t>有核對但未說明</t>
        </is>
      </c>
      <c r="E54" s="9" t="inlineStr">
        <is>
          <t>只用一種方式</t>
        </is>
      </c>
      <c r="F54" s="9" t="inlineStr">
        <is>
          <t>—</t>
        </is>
      </c>
    </row>
  </sheetData>
  <mergeCells count="2">
    <mergeCell ref="A2:F2"/>
    <mergeCell ref="A45:F45"/>
  </mergeCells>
  <dataValidations count="1">
    <dataValidation sqref="B14 B15 B16 B17 B18 B19 B20 B21 B22 B23 B24 B25 B26 B27 B28 B29 B30 B31 B32 B33 B34 B35 B36 B37 B38 B39 B40 B41 B42 B43 C14 C15 C16 C17 C18 C19 C20 C21 C22 C23 C24 C25 C26 C27 C28 C29 C30 C31 C32 C33 C34 C35 C36 C37 C38 C39 C40 C41 C42 C43 D14 D15 D16 D17 D18 D19 D20 D21 D22 D23 D24 D25 D26 D27 D28 D29 D30 D31 D32 D33 D34 D35 D36 D37 D38 D39 D40 D41 D42 D43 E14 E15 E16 E17 E18 E19 E20 E21 E22 E23 E24 E25 E26 E27 E28 E29 E30 E31 E32 E33 E34 E35 E36 E37 E38 E39 E40 E41 E42 E43 F14 F15 F16 F17 F18 F19 F20 F21 F22 F23 F24 F25 F26 F27 F28 F29 F30 F31 F32 F33 F34 F35 F36 F37 F38 F39 F40 F41 F42 F43" showDropDown="0" showInputMessage="0" showErrorMessage="0" allowBlank="1" type="whole" operator="between">
      <formula1>1</formula1>
      <formula2>4</formula2>
    </dataValidation>
  </dataValidations>
  <pageMargins left="0.75" right="0.75" top="1" bottom="1" header="0.5" footer="0.5"/>
  <pageSetup orientation="landscape" paperSize="9" fitToHeight="0" fitToWidth="1"/>
</worksheet>
</file>

<file path=xl/worksheets/sheet10.xml><?xml version="1.0" encoding="utf-8"?>
<worksheet xmlns="http://schemas.openxmlformats.org/spreadsheetml/2006/main">
  <sheetPr>
    <tabColor rgb="00B3306A"/>
    <outlinePr summaryBelow="1" summaryRight="1"/>
    <pageSetUpPr fitToPage="1"/>
  </sheetPr>
  <dimension ref="A1:L6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3" customWidth="1" min="11" max="11"/>
    <col width="56" customWidth="1" min="12" max="12"/>
  </cols>
  <sheetData>
    <row r="1">
      <c r="A1" s="1" t="inlineStr">
        <is>
          <t>學期成績總表</t>
        </is>
      </c>
    </row>
    <row r="2" ht="30" customHeight="1">
      <c r="A2" s="2" t="inlineStr">
        <is>
          <t>權重（第 4 列，黃色）可以改。前後測與自我效能問卷不計入成績，學生才會照實作答。進階加分最多 5 分，給用 Colab/Jupyter 完成進階題的同學，總分上限 100。</t>
        </is>
      </c>
    </row>
    <row r="3">
      <c r="A3" s="3" t="inlineStr">
        <is>
          <t>學號</t>
        </is>
      </c>
      <c r="B3" s="3" t="inlineStr">
        <is>
          <t>姓名</t>
        </is>
      </c>
      <c r="C3" s="3" t="inlineStr">
        <is>
          <t>實驗報告</t>
        </is>
      </c>
      <c r="D3" s="3" t="inlineStr">
        <is>
          <t>每週數據作業</t>
        </is>
      </c>
      <c r="E3" s="3" t="inlineStr">
        <is>
          <t>期中考</t>
        </is>
      </c>
      <c r="F3" s="3" t="inlineStr">
        <is>
          <t>期末考</t>
        </is>
      </c>
      <c r="G3" s="3" t="inlineStr">
        <is>
          <t>代糖專題</t>
        </is>
      </c>
      <c r="H3" s="3" t="inlineStr">
        <is>
          <t>進階加分</t>
        </is>
      </c>
      <c r="I3" s="3" t="inlineStr">
        <is>
          <t>總分</t>
        </is>
      </c>
      <c r="J3" s="3" t="inlineStr">
        <is>
          <t>等第</t>
        </is>
      </c>
    </row>
    <row r="4">
      <c r="A4" s="4" t="inlineStr">
        <is>
          <t>權重 %</t>
        </is>
      </c>
      <c r="C4" s="12" t="n">
        <v>35</v>
      </c>
      <c r="D4" s="12" t="n">
        <v>15</v>
      </c>
      <c r="E4" s="12" t="n">
        <v>15</v>
      </c>
      <c r="F4" s="12" t="n">
        <v>15</v>
      </c>
      <c r="G4" s="12" t="n">
        <v>20</v>
      </c>
      <c r="H4" s="13">
        <f>SUM(C4:G4)</f>
        <v/>
      </c>
      <c r="L4" s="2" t="inlineStr">
        <is>
          <t>權重合計應為 100（H4）。</t>
        </is>
      </c>
    </row>
    <row r="5">
      <c r="A5" s="12" t="inlineStr">
        <is>
          <t>S01</t>
        </is>
      </c>
      <c r="B5" s="12" t="inlineStr">
        <is>
          <t>學生1</t>
        </is>
      </c>
      <c r="C5" s="12" t="n">
        <v>75</v>
      </c>
      <c r="D5" s="12" t="n">
        <v>81</v>
      </c>
      <c r="E5" s="12" t="n">
        <v>68</v>
      </c>
      <c r="F5" s="12" t="n">
        <v>63</v>
      </c>
      <c r="G5" s="12" t="n">
        <v>83</v>
      </c>
      <c r="H5" s="12" t="n">
        <v>3</v>
      </c>
      <c r="I5" s="27">
        <f>IF(A5="","",MIN(100,SUMPRODUCT(C5:G5,$C$4:$G$4)/100+N(H5)))</f>
        <v/>
      </c>
      <c r="J5" s="15">
        <f>IF(I5="","",IF(I5&gt;=90,"A+",IF(I5&gt;=85,"A",IF(I5&gt;=80,"A-",IF(I5&gt;=77,"B+",IF(I5&gt;=73,"B",IF(I5&gt;=70,"B-",IF(I5&gt;=60,"C","F"))))))))</f>
        <v/>
      </c>
      <c r="L5" s="2" t="inlineStr">
        <is>
          <t>等第切點是一般台灣大學的百分制對照，請依學校規定修改 J 欄公式。</t>
        </is>
      </c>
    </row>
    <row r="6">
      <c r="A6" s="12" t="inlineStr">
        <is>
          <t>S02</t>
        </is>
      </c>
      <c r="B6" s="12" t="inlineStr">
        <is>
          <t>學生2</t>
        </is>
      </c>
      <c r="C6" s="12" t="n">
        <v>77</v>
      </c>
      <c r="D6" s="12" t="n">
        <v>80</v>
      </c>
      <c r="E6" s="12" t="n">
        <v>62</v>
      </c>
      <c r="F6" s="12" t="n">
        <v>74</v>
      </c>
      <c r="G6" s="12" t="n">
        <v>72</v>
      </c>
      <c r="H6" s="12" t="n">
        <v>0</v>
      </c>
      <c r="I6" s="27">
        <f>IF(A6="","",MIN(100,SUMPRODUCT(C6:G6,$C$4:$G$4)/100+N(H6)))</f>
        <v/>
      </c>
      <c r="J6" s="15">
        <f>IF(I6="","",IF(I6&gt;=90,"A+",IF(I6&gt;=85,"A",IF(I6&gt;=80,"A-",IF(I6&gt;=77,"B+",IF(I6&gt;=73,"B",IF(I6&gt;=70,"B-",IF(I6&gt;=60,"C","F"))))))))</f>
        <v/>
      </c>
    </row>
    <row r="7">
      <c r="A7" s="12" t="inlineStr">
        <is>
          <t>S03</t>
        </is>
      </c>
      <c r="B7" s="12" t="inlineStr">
        <is>
          <t>學生3</t>
        </is>
      </c>
      <c r="C7" s="12" t="n">
        <v>57</v>
      </c>
      <c r="D7" s="12" t="n">
        <v>74</v>
      </c>
      <c r="E7" s="12" t="n">
        <v>86</v>
      </c>
      <c r="F7" s="12" t="n">
        <v>81</v>
      </c>
      <c r="G7" s="12" t="n">
        <v>72</v>
      </c>
      <c r="H7" s="12" t="n">
        <v>3</v>
      </c>
      <c r="I7" s="27">
        <f>IF(A7="","",MIN(100,SUMPRODUCT(C7:G7,$C$4:$G$4)/100+N(H7)))</f>
        <v/>
      </c>
      <c r="J7" s="15">
        <f>IF(I7="","",IF(I7&gt;=90,"A+",IF(I7&gt;=85,"A",IF(I7&gt;=80,"A-",IF(I7&gt;=77,"B+",IF(I7&gt;=73,"B",IF(I7&gt;=70,"B-",IF(I7&gt;=60,"C","F"))))))))</f>
        <v/>
      </c>
    </row>
    <row r="8">
      <c r="A8" s="12" t="inlineStr">
        <is>
          <t>S04</t>
        </is>
      </c>
      <c r="B8" s="12" t="inlineStr">
        <is>
          <t>學生4</t>
        </is>
      </c>
      <c r="C8" s="12" t="n">
        <v>77</v>
      </c>
      <c r="D8" s="12" t="n">
        <v>84</v>
      </c>
      <c r="E8" s="12" t="n">
        <v>53</v>
      </c>
      <c r="F8" s="12" t="n">
        <v>76</v>
      </c>
      <c r="G8" s="12" t="n">
        <v>82</v>
      </c>
      <c r="H8" s="12" t="n">
        <v>2</v>
      </c>
      <c r="I8" s="27">
        <f>IF(A8="","",MIN(100,SUMPRODUCT(C8:G8,$C$4:$G$4)/100+N(H8)))</f>
        <v/>
      </c>
      <c r="J8" s="15">
        <f>IF(I8="","",IF(I8&gt;=90,"A+",IF(I8&gt;=85,"A",IF(I8&gt;=80,"A-",IF(I8&gt;=77,"B+",IF(I8&gt;=73,"B",IF(I8&gt;=70,"B-",IF(I8&gt;=60,"C","F"))))))))</f>
        <v/>
      </c>
    </row>
    <row r="9">
      <c r="A9" s="12" t="inlineStr">
        <is>
          <t>S05</t>
        </is>
      </c>
      <c r="B9" s="12" t="inlineStr">
        <is>
          <t>學生5</t>
        </is>
      </c>
      <c r="C9" s="12" t="n">
        <v>93</v>
      </c>
      <c r="D9" s="12" t="n">
        <v>88</v>
      </c>
      <c r="E9" s="12" t="n">
        <v>80</v>
      </c>
      <c r="F9" s="12" t="n">
        <v>80</v>
      </c>
      <c r="G9" s="12" t="n">
        <v>85</v>
      </c>
      <c r="H9" s="12" t="n">
        <v>2</v>
      </c>
      <c r="I9" s="27">
        <f>IF(A9="","",MIN(100,SUMPRODUCT(C9:G9,$C$4:$G$4)/100+N(H9)))</f>
        <v/>
      </c>
      <c r="J9" s="15">
        <f>IF(I9="","",IF(I9&gt;=90,"A+",IF(I9&gt;=85,"A",IF(I9&gt;=80,"A-",IF(I9&gt;=77,"B+",IF(I9&gt;=73,"B",IF(I9&gt;=70,"B-",IF(I9&gt;=60,"C","F"))))))))</f>
        <v/>
      </c>
    </row>
    <row r="10">
      <c r="A10" s="12" t="inlineStr">
        <is>
          <t>S06</t>
        </is>
      </c>
      <c r="B10" s="12" t="inlineStr">
        <is>
          <t>學生6</t>
        </is>
      </c>
      <c r="C10" s="12" t="n">
        <v>73</v>
      </c>
      <c r="D10" s="12" t="n">
        <v>77</v>
      </c>
      <c r="E10" s="12" t="n">
        <v>86</v>
      </c>
      <c r="F10" s="12" t="n">
        <v>95</v>
      </c>
      <c r="G10" s="12" t="n">
        <v>76</v>
      </c>
      <c r="H10" s="12" t="n">
        <v>3</v>
      </c>
      <c r="I10" s="27">
        <f>IF(A10="","",MIN(100,SUMPRODUCT(C10:G10,$C$4:$G$4)/100+N(H10)))</f>
        <v/>
      </c>
      <c r="J10" s="15">
        <f>IF(I10="","",IF(I10&gt;=90,"A+",IF(I10&gt;=85,"A",IF(I10&gt;=80,"A-",IF(I10&gt;=77,"B+",IF(I10&gt;=73,"B",IF(I10&gt;=70,"B-",IF(I10&gt;=60,"C","F"))))))))</f>
        <v/>
      </c>
    </row>
    <row r="11">
      <c r="A11" s="12" t="inlineStr">
        <is>
          <t>S07</t>
        </is>
      </c>
      <c r="B11" s="12" t="inlineStr">
        <is>
          <t>學生7</t>
        </is>
      </c>
      <c r="C11" s="12" t="n">
        <v>79</v>
      </c>
      <c r="D11" s="12" t="n">
        <v>90</v>
      </c>
      <c r="E11" s="12" t="n">
        <v>77</v>
      </c>
      <c r="F11" s="12" t="n">
        <v>91</v>
      </c>
      <c r="G11" s="12" t="n">
        <v>69</v>
      </c>
      <c r="H11" s="12" t="n">
        <v>3</v>
      </c>
      <c r="I11" s="27">
        <f>IF(A11="","",MIN(100,SUMPRODUCT(C11:G11,$C$4:$G$4)/100+N(H11)))</f>
        <v/>
      </c>
      <c r="J11" s="15">
        <f>IF(I11="","",IF(I11&gt;=90,"A+",IF(I11&gt;=85,"A",IF(I11&gt;=80,"A-",IF(I11&gt;=77,"B+",IF(I11&gt;=73,"B",IF(I11&gt;=70,"B-",IF(I11&gt;=60,"C","F"))))))))</f>
        <v/>
      </c>
    </row>
    <row r="12">
      <c r="A12" s="12" t="inlineStr">
        <is>
          <t>S08</t>
        </is>
      </c>
      <c r="B12" s="12" t="inlineStr">
        <is>
          <t>學生8</t>
        </is>
      </c>
      <c r="C12" s="12" t="n">
        <v>76</v>
      </c>
      <c r="D12" s="12" t="n">
        <v>76</v>
      </c>
      <c r="E12" s="12" t="n">
        <v>85</v>
      </c>
      <c r="F12" s="12" t="n">
        <v>87</v>
      </c>
      <c r="G12" s="12" t="n">
        <v>64</v>
      </c>
      <c r="H12" s="12" t="n">
        <v>5</v>
      </c>
      <c r="I12" s="27">
        <f>IF(A12="","",MIN(100,SUMPRODUCT(C12:G12,$C$4:$G$4)/100+N(H12)))</f>
        <v/>
      </c>
      <c r="J12" s="15">
        <f>IF(I12="","",IF(I12&gt;=90,"A+",IF(I12&gt;=85,"A",IF(I12&gt;=80,"A-",IF(I12&gt;=77,"B+",IF(I12&gt;=73,"B",IF(I12&gt;=70,"B-",IF(I12&gt;=60,"C","F"))))))))</f>
        <v/>
      </c>
    </row>
    <row r="13">
      <c r="A13" s="12" t="inlineStr">
        <is>
          <t>S09</t>
        </is>
      </c>
      <c r="B13" s="12" t="inlineStr">
        <is>
          <t>學生9</t>
        </is>
      </c>
      <c r="C13" s="12" t="n">
        <v>81</v>
      </c>
      <c r="D13" s="12" t="n">
        <v>72</v>
      </c>
      <c r="E13" s="12" t="n">
        <v>64</v>
      </c>
      <c r="F13" s="12" t="n">
        <v>87</v>
      </c>
      <c r="G13" s="12" t="n">
        <v>82</v>
      </c>
      <c r="H13" s="12" t="n">
        <v>3</v>
      </c>
      <c r="I13" s="27">
        <f>IF(A13="","",MIN(100,SUMPRODUCT(C13:G13,$C$4:$G$4)/100+N(H13)))</f>
        <v/>
      </c>
      <c r="J13" s="15">
        <f>IF(I13="","",IF(I13&gt;=90,"A+",IF(I13&gt;=85,"A",IF(I13&gt;=80,"A-",IF(I13&gt;=77,"B+",IF(I13&gt;=73,"B",IF(I13&gt;=70,"B-",IF(I13&gt;=60,"C","F"))))))))</f>
        <v/>
      </c>
    </row>
    <row r="14">
      <c r="A14" s="12" t="inlineStr">
        <is>
          <t>S10</t>
        </is>
      </c>
      <c r="B14" s="12" t="inlineStr">
        <is>
          <t>學生10</t>
        </is>
      </c>
      <c r="C14" s="12" t="n">
        <v>82</v>
      </c>
      <c r="D14" s="12" t="n">
        <v>73</v>
      </c>
      <c r="E14" s="12" t="n">
        <v>87</v>
      </c>
      <c r="F14" s="12" t="n">
        <v>75</v>
      </c>
      <c r="G14" s="12" t="n">
        <v>87</v>
      </c>
      <c r="H14" s="12" t="n">
        <v>3</v>
      </c>
      <c r="I14" s="27">
        <f>IF(A14="","",MIN(100,SUMPRODUCT(C14:G14,$C$4:$G$4)/100+N(H14)))</f>
        <v/>
      </c>
      <c r="J14" s="15">
        <f>IF(I14="","",IF(I14&gt;=90,"A+",IF(I14&gt;=85,"A",IF(I14&gt;=80,"A-",IF(I14&gt;=77,"B+",IF(I14&gt;=73,"B",IF(I14&gt;=70,"B-",IF(I14&gt;=60,"C","F"))))))))</f>
        <v/>
      </c>
    </row>
    <row r="15">
      <c r="A15" s="12" t="inlineStr">
        <is>
          <t>S11</t>
        </is>
      </c>
      <c r="B15" s="12" t="inlineStr">
        <is>
          <t>學生11</t>
        </is>
      </c>
      <c r="C15" s="12" t="n">
        <v>70</v>
      </c>
      <c r="D15" s="12" t="n">
        <v>79</v>
      </c>
      <c r="E15" s="12" t="n">
        <v>71</v>
      </c>
      <c r="F15" s="12" t="n">
        <v>84</v>
      </c>
      <c r="G15" s="12" t="n">
        <v>80</v>
      </c>
      <c r="H15" s="12" t="n">
        <v>0</v>
      </c>
      <c r="I15" s="27">
        <f>IF(A15="","",MIN(100,SUMPRODUCT(C15:G15,$C$4:$G$4)/100+N(H15)))</f>
        <v/>
      </c>
      <c r="J15" s="15">
        <f>IF(I15="","",IF(I15&gt;=90,"A+",IF(I15&gt;=85,"A",IF(I15&gt;=80,"A-",IF(I15&gt;=77,"B+",IF(I15&gt;=73,"B",IF(I15&gt;=70,"B-",IF(I15&gt;=60,"C","F"))))))))</f>
        <v/>
      </c>
    </row>
    <row r="16">
      <c r="A16" s="12" t="inlineStr">
        <is>
          <t>S12</t>
        </is>
      </c>
      <c r="B16" s="12" t="inlineStr">
        <is>
          <t>學生12</t>
        </is>
      </c>
      <c r="C16" s="12" t="n">
        <v>69</v>
      </c>
      <c r="D16" s="12" t="n">
        <v>78</v>
      </c>
      <c r="E16" s="12" t="n">
        <v>74</v>
      </c>
      <c r="F16" s="12" t="n">
        <v>86</v>
      </c>
      <c r="G16" s="12" t="n">
        <v>72</v>
      </c>
      <c r="H16" s="12" t="n">
        <v>0</v>
      </c>
      <c r="I16" s="27">
        <f>IF(A16="","",MIN(100,SUMPRODUCT(C16:G16,$C$4:$G$4)/100+N(H16)))</f>
        <v/>
      </c>
      <c r="J16" s="15">
        <f>IF(I16="","",IF(I16&gt;=90,"A+",IF(I16&gt;=85,"A",IF(I16&gt;=80,"A-",IF(I16&gt;=77,"B+",IF(I16&gt;=73,"B",IF(I16&gt;=70,"B-",IF(I16&gt;=60,"C","F"))))))))</f>
        <v/>
      </c>
    </row>
    <row r="17">
      <c r="A17" s="12" t="inlineStr">
        <is>
          <t>S13</t>
        </is>
      </c>
      <c r="B17" s="12" t="inlineStr">
        <is>
          <t>學生13</t>
        </is>
      </c>
      <c r="C17" s="12" t="n">
        <v>88</v>
      </c>
      <c r="D17" s="12" t="n">
        <v>98</v>
      </c>
      <c r="E17" s="12" t="n">
        <v>95</v>
      </c>
      <c r="F17" s="12" t="n">
        <v>78</v>
      </c>
      <c r="G17" s="12" t="n">
        <v>79</v>
      </c>
      <c r="H17" s="12" t="n">
        <v>0</v>
      </c>
      <c r="I17" s="27">
        <f>IF(A17="","",MIN(100,SUMPRODUCT(C17:G17,$C$4:$G$4)/100+N(H17)))</f>
        <v/>
      </c>
      <c r="J17" s="15">
        <f>IF(I17="","",IF(I17&gt;=90,"A+",IF(I17&gt;=85,"A",IF(I17&gt;=80,"A-",IF(I17&gt;=77,"B+",IF(I17&gt;=73,"B",IF(I17&gt;=70,"B-",IF(I17&gt;=60,"C","F"))))))))</f>
        <v/>
      </c>
    </row>
    <row r="18">
      <c r="A18" s="12" t="inlineStr">
        <is>
          <t>S14</t>
        </is>
      </c>
      <c r="B18" s="12" t="inlineStr">
        <is>
          <t>學生14</t>
        </is>
      </c>
      <c r="C18" s="12" t="n">
        <v>91</v>
      </c>
      <c r="D18" s="12" t="n">
        <v>76</v>
      </c>
      <c r="E18" s="12" t="n">
        <v>69</v>
      </c>
      <c r="F18" s="12" t="n">
        <v>79</v>
      </c>
      <c r="G18" s="12" t="n">
        <v>82</v>
      </c>
      <c r="H18" s="12" t="n">
        <v>0</v>
      </c>
      <c r="I18" s="27">
        <f>IF(A18="","",MIN(100,SUMPRODUCT(C18:G18,$C$4:$G$4)/100+N(H18)))</f>
        <v/>
      </c>
      <c r="J18" s="15">
        <f>IF(I18="","",IF(I18&gt;=90,"A+",IF(I18&gt;=85,"A",IF(I18&gt;=80,"A-",IF(I18&gt;=77,"B+",IF(I18&gt;=73,"B",IF(I18&gt;=70,"B-",IF(I18&gt;=60,"C","F"))))))))</f>
        <v/>
      </c>
    </row>
    <row r="19">
      <c r="A19" s="12" t="inlineStr">
        <is>
          <t>S15</t>
        </is>
      </c>
      <c r="B19" s="12" t="inlineStr">
        <is>
          <t>學生15</t>
        </is>
      </c>
      <c r="C19" s="12" t="n">
        <v>63</v>
      </c>
      <c r="D19" s="12" t="n">
        <v>65</v>
      </c>
      <c r="E19" s="12" t="n">
        <v>83</v>
      </c>
      <c r="F19" s="12" t="n">
        <v>71</v>
      </c>
      <c r="G19" s="12" t="n">
        <v>76</v>
      </c>
      <c r="H19" s="12" t="n">
        <v>0</v>
      </c>
      <c r="I19" s="27">
        <f>IF(A19="","",MIN(100,SUMPRODUCT(C19:G19,$C$4:$G$4)/100+N(H19)))</f>
        <v/>
      </c>
      <c r="J19" s="15">
        <f>IF(I19="","",IF(I19&gt;=90,"A+",IF(I19&gt;=85,"A",IF(I19&gt;=80,"A-",IF(I19&gt;=77,"B+",IF(I19&gt;=73,"B",IF(I19&gt;=70,"B-",IF(I19&gt;=60,"C","F"))))))))</f>
        <v/>
      </c>
    </row>
    <row r="20">
      <c r="A20" s="12" t="n"/>
      <c r="B20" s="12" t="n"/>
      <c r="C20" s="12" t="n"/>
      <c r="D20" s="12" t="n"/>
      <c r="E20" s="12" t="n"/>
      <c r="F20" s="12" t="n"/>
      <c r="G20" s="12" t="n"/>
      <c r="H20" s="12" t="n"/>
      <c r="I20" s="27">
        <f>IF(A20="","",MIN(100,SUMPRODUCT(C20:G20,$C$4:$G$4)/100+N(H20)))</f>
        <v/>
      </c>
      <c r="J20" s="15">
        <f>IF(I20="","",IF(I20&gt;=90,"A+",IF(I20&gt;=85,"A",IF(I20&gt;=80,"A-",IF(I20&gt;=77,"B+",IF(I20&gt;=73,"B",IF(I20&gt;=70,"B-",IF(I20&gt;=60,"C","F"))))))))</f>
        <v/>
      </c>
    </row>
    <row r="21">
      <c r="A21" s="12" t="n"/>
      <c r="B21" s="12" t="n"/>
      <c r="C21" s="12" t="n"/>
      <c r="D21" s="12" t="n"/>
      <c r="E21" s="12" t="n"/>
      <c r="F21" s="12" t="n"/>
      <c r="G21" s="12" t="n"/>
      <c r="H21" s="12" t="n"/>
      <c r="I21" s="27">
        <f>IF(A21="","",MIN(100,SUMPRODUCT(C21:G21,$C$4:$G$4)/100+N(H21)))</f>
        <v/>
      </c>
      <c r="J21" s="15">
        <f>IF(I21="","",IF(I21&gt;=90,"A+",IF(I21&gt;=85,"A",IF(I21&gt;=80,"A-",IF(I21&gt;=77,"B+",IF(I21&gt;=73,"B",IF(I21&gt;=70,"B-",IF(I21&gt;=60,"C","F"))))))))</f>
        <v/>
      </c>
    </row>
    <row r="22">
      <c r="A22" s="12" t="n"/>
      <c r="B22" s="12" t="n"/>
      <c r="C22" s="12" t="n"/>
      <c r="D22" s="12" t="n"/>
      <c r="E22" s="12" t="n"/>
      <c r="F22" s="12" t="n"/>
      <c r="G22" s="12" t="n"/>
      <c r="H22" s="12" t="n"/>
      <c r="I22" s="27">
        <f>IF(A22="","",MIN(100,SUMPRODUCT(C22:G22,$C$4:$G$4)/100+N(H22)))</f>
        <v/>
      </c>
      <c r="J22" s="15">
        <f>IF(I22="","",IF(I22&gt;=90,"A+",IF(I22&gt;=85,"A",IF(I22&gt;=80,"A-",IF(I22&gt;=77,"B+",IF(I22&gt;=73,"B",IF(I22&gt;=70,"B-",IF(I22&gt;=60,"C","F"))))))))</f>
        <v/>
      </c>
    </row>
    <row r="23">
      <c r="A23" s="12" t="n"/>
      <c r="B23" s="12" t="n"/>
      <c r="C23" s="12" t="n"/>
      <c r="D23" s="12" t="n"/>
      <c r="E23" s="12" t="n"/>
      <c r="F23" s="12" t="n"/>
      <c r="G23" s="12" t="n"/>
      <c r="H23" s="12" t="n"/>
      <c r="I23" s="27">
        <f>IF(A23="","",MIN(100,SUMPRODUCT(C23:G23,$C$4:$G$4)/100+N(H23)))</f>
        <v/>
      </c>
      <c r="J23" s="15">
        <f>IF(I23="","",IF(I23&gt;=90,"A+",IF(I23&gt;=85,"A",IF(I23&gt;=80,"A-",IF(I23&gt;=77,"B+",IF(I23&gt;=73,"B",IF(I23&gt;=70,"B-",IF(I23&gt;=60,"C","F"))))))))</f>
        <v/>
      </c>
    </row>
    <row r="24">
      <c r="A24" s="12" t="n"/>
      <c r="B24" s="12" t="n"/>
      <c r="C24" s="12" t="n"/>
      <c r="D24" s="12" t="n"/>
      <c r="E24" s="12" t="n"/>
      <c r="F24" s="12" t="n"/>
      <c r="G24" s="12" t="n"/>
      <c r="H24" s="12" t="n"/>
      <c r="I24" s="27">
        <f>IF(A24="","",MIN(100,SUMPRODUCT(C24:G24,$C$4:$G$4)/100+N(H24)))</f>
        <v/>
      </c>
      <c r="J24" s="15">
        <f>IF(I24="","",IF(I24&gt;=90,"A+",IF(I24&gt;=85,"A",IF(I24&gt;=80,"A-",IF(I24&gt;=77,"B+",IF(I24&gt;=73,"B",IF(I24&gt;=70,"B-",IF(I24&gt;=60,"C","F"))))))))</f>
        <v/>
      </c>
    </row>
    <row r="25">
      <c r="A25" s="12" t="n"/>
      <c r="B25" s="12" t="n"/>
      <c r="C25" s="12" t="n"/>
      <c r="D25" s="12" t="n"/>
      <c r="E25" s="12" t="n"/>
      <c r="F25" s="12" t="n"/>
      <c r="G25" s="12" t="n"/>
      <c r="H25" s="12" t="n"/>
      <c r="I25" s="27">
        <f>IF(A25="","",MIN(100,SUMPRODUCT(C25:G25,$C$4:$G$4)/100+N(H25)))</f>
        <v/>
      </c>
      <c r="J25" s="15">
        <f>IF(I25="","",IF(I25&gt;=90,"A+",IF(I25&gt;=85,"A",IF(I25&gt;=80,"A-",IF(I25&gt;=77,"B+",IF(I25&gt;=73,"B",IF(I25&gt;=70,"B-",IF(I25&gt;=60,"C","F"))))))))</f>
        <v/>
      </c>
    </row>
    <row r="26">
      <c r="A26" s="12" t="n"/>
      <c r="B26" s="12" t="n"/>
      <c r="C26" s="12" t="n"/>
      <c r="D26" s="12" t="n"/>
      <c r="E26" s="12" t="n"/>
      <c r="F26" s="12" t="n"/>
      <c r="G26" s="12" t="n"/>
      <c r="H26" s="12" t="n"/>
      <c r="I26" s="27">
        <f>IF(A26="","",MIN(100,SUMPRODUCT(C26:G26,$C$4:$G$4)/100+N(H26)))</f>
        <v/>
      </c>
      <c r="J26" s="15">
        <f>IF(I26="","",IF(I26&gt;=90,"A+",IF(I26&gt;=85,"A",IF(I26&gt;=80,"A-",IF(I26&gt;=77,"B+",IF(I26&gt;=73,"B",IF(I26&gt;=70,"B-",IF(I26&gt;=60,"C","F"))))))))</f>
        <v/>
      </c>
    </row>
    <row r="27">
      <c r="A27" s="12" t="n"/>
      <c r="B27" s="12" t="n"/>
      <c r="C27" s="12" t="n"/>
      <c r="D27" s="12" t="n"/>
      <c r="E27" s="12" t="n"/>
      <c r="F27" s="12" t="n"/>
      <c r="G27" s="12" t="n"/>
      <c r="H27" s="12" t="n"/>
      <c r="I27" s="27">
        <f>IF(A27="","",MIN(100,SUMPRODUCT(C27:G27,$C$4:$G$4)/100+N(H27)))</f>
        <v/>
      </c>
      <c r="J27" s="15">
        <f>IF(I27="","",IF(I27&gt;=90,"A+",IF(I27&gt;=85,"A",IF(I27&gt;=80,"A-",IF(I27&gt;=77,"B+",IF(I27&gt;=73,"B",IF(I27&gt;=70,"B-",IF(I27&gt;=60,"C","F"))))))))</f>
        <v/>
      </c>
    </row>
    <row r="28">
      <c r="A28" s="12" t="n"/>
      <c r="B28" s="12" t="n"/>
      <c r="C28" s="12" t="n"/>
      <c r="D28" s="12" t="n"/>
      <c r="E28" s="12" t="n"/>
      <c r="F28" s="12" t="n"/>
      <c r="G28" s="12" t="n"/>
      <c r="H28" s="12" t="n"/>
      <c r="I28" s="27">
        <f>IF(A28="","",MIN(100,SUMPRODUCT(C28:G28,$C$4:$G$4)/100+N(H28)))</f>
        <v/>
      </c>
      <c r="J28" s="15">
        <f>IF(I28="","",IF(I28&gt;=90,"A+",IF(I28&gt;=85,"A",IF(I28&gt;=80,"A-",IF(I28&gt;=77,"B+",IF(I28&gt;=73,"B",IF(I28&gt;=70,"B-",IF(I28&gt;=60,"C","F"))))))))</f>
        <v/>
      </c>
    </row>
    <row r="29">
      <c r="A29" s="12" t="n"/>
      <c r="B29" s="12" t="n"/>
      <c r="C29" s="12" t="n"/>
      <c r="D29" s="12" t="n"/>
      <c r="E29" s="12" t="n"/>
      <c r="F29" s="12" t="n"/>
      <c r="G29" s="12" t="n"/>
      <c r="H29" s="12" t="n"/>
      <c r="I29" s="27">
        <f>IF(A29="","",MIN(100,SUMPRODUCT(C29:G29,$C$4:$G$4)/100+N(H29)))</f>
        <v/>
      </c>
      <c r="J29" s="15">
        <f>IF(I29="","",IF(I29&gt;=90,"A+",IF(I29&gt;=85,"A",IF(I29&gt;=80,"A-",IF(I29&gt;=77,"B+",IF(I29&gt;=73,"B",IF(I29&gt;=70,"B-",IF(I29&gt;=60,"C","F"))))))))</f>
        <v/>
      </c>
    </row>
    <row r="30">
      <c r="A30" s="12" t="n"/>
      <c r="B30" s="12" t="n"/>
      <c r="C30" s="12" t="n"/>
      <c r="D30" s="12" t="n"/>
      <c r="E30" s="12" t="n"/>
      <c r="F30" s="12" t="n"/>
      <c r="G30" s="12" t="n"/>
      <c r="H30" s="12" t="n"/>
      <c r="I30" s="27">
        <f>IF(A30="","",MIN(100,SUMPRODUCT(C30:G30,$C$4:$G$4)/100+N(H30)))</f>
        <v/>
      </c>
      <c r="J30" s="15">
        <f>IF(I30="","",IF(I30&gt;=90,"A+",IF(I30&gt;=85,"A",IF(I30&gt;=80,"A-",IF(I30&gt;=77,"B+",IF(I30&gt;=73,"B",IF(I30&gt;=70,"B-",IF(I30&gt;=60,"C","F"))))))))</f>
        <v/>
      </c>
    </row>
    <row r="31">
      <c r="A31" s="12" t="n"/>
      <c r="B31" s="12" t="n"/>
      <c r="C31" s="12" t="n"/>
      <c r="D31" s="12" t="n"/>
      <c r="E31" s="12" t="n"/>
      <c r="F31" s="12" t="n"/>
      <c r="G31" s="12" t="n"/>
      <c r="H31" s="12" t="n"/>
      <c r="I31" s="27">
        <f>IF(A31="","",MIN(100,SUMPRODUCT(C31:G31,$C$4:$G$4)/100+N(H31)))</f>
        <v/>
      </c>
      <c r="J31" s="15">
        <f>IF(I31="","",IF(I31&gt;=90,"A+",IF(I31&gt;=85,"A",IF(I31&gt;=80,"A-",IF(I31&gt;=77,"B+",IF(I31&gt;=73,"B",IF(I31&gt;=70,"B-",IF(I31&gt;=60,"C","F"))))))))</f>
        <v/>
      </c>
    </row>
    <row r="32">
      <c r="A32" s="12" t="n"/>
      <c r="B32" s="12" t="n"/>
      <c r="C32" s="12" t="n"/>
      <c r="D32" s="12" t="n"/>
      <c r="E32" s="12" t="n"/>
      <c r="F32" s="12" t="n"/>
      <c r="G32" s="12" t="n"/>
      <c r="H32" s="12" t="n"/>
      <c r="I32" s="27">
        <f>IF(A32="","",MIN(100,SUMPRODUCT(C32:G32,$C$4:$G$4)/100+N(H32)))</f>
        <v/>
      </c>
      <c r="J32" s="15">
        <f>IF(I32="","",IF(I32&gt;=90,"A+",IF(I32&gt;=85,"A",IF(I32&gt;=80,"A-",IF(I32&gt;=77,"B+",IF(I32&gt;=73,"B",IF(I32&gt;=70,"B-",IF(I32&gt;=60,"C","F"))))))))</f>
        <v/>
      </c>
    </row>
    <row r="33">
      <c r="A33" s="12" t="n"/>
      <c r="B33" s="12" t="n"/>
      <c r="C33" s="12" t="n"/>
      <c r="D33" s="12" t="n"/>
      <c r="E33" s="12" t="n"/>
      <c r="F33" s="12" t="n"/>
      <c r="G33" s="12" t="n"/>
      <c r="H33" s="12" t="n"/>
      <c r="I33" s="27">
        <f>IF(A33="","",MIN(100,SUMPRODUCT(C33:G33,$C$4:$G$4)/100+N(H33)))</f>
        <v/>
      </c>
      <c r="J33" s="15">
        <f>IF(I33="","",IF(I33&gt;=90,"A+",IF(I33&gt;=85,"A",IF(I33&gt;=80,"A-",IF(I33&gt;=77,"B+",IF(I33&gt;=73,"B",IF(I33&gt;=70,"B-",IF(I33&gt;=60,"C","F"))))))))</f>
        <v/>
      </c>
    </row>
    <row r="34">
      <c r="A34" s="12" t="n"/>
      <c r="B34" s="12" t="n"/>
      <c r="C34" s="12" t="n"/>
      <c r="D34" s="12" t="n"/>
      <c r="E34" s="12" t="n"/>
      <c r="F34" s="12" t="n"/>
      <c r="G34" s="12" t="n"/>
      <c r="H34" s="12" t="n"/>
      <c r="I34" s="27">
        <f>IF(A34="","",MIN(100,SUMPRODUCT(C34:G34,$C$4:$G$4)/100+N(H34)))</f>
        <v/>
      </c>
      <c r="J34" s="15">
        <f>IF(I34="","",IF(I34&gt;=90,"A+",IF(I34&gt;=85,"A",IF(I34&gt;=80,"A-",IF(I34&gt;=77,"B+",IF(I34&gt;=73,"B",IF(I34&gt;=70,"B-",IF(I34&gt;=60,"C","F"))))))))</f>
        <v/>
      </c>
    </row>
    <row r="35">
      <c r="A35" s="12" t="n"/>
      <c r="B35" s="12" t="n"/>
      <c r="C35" s="12" t="n"/>
      <c r="D35" s="12" t="n"/>
      <c r="E35" s="12" t="n"/>
      <c r="F35" s="12" t="n"/>
      <c r="G35" s="12" t="n"/>
      <c r="H35" s="12" t="n"/>
      <c r="I35" s="27">
        <f>IF(A35="","",MIN(100,SUMPRODUCT(C35:G35,$C$4:$G$4)/100+N(H35)))</f>
        <v/>
      </c>
      <c r="J35" s="15">
        <f>IF(I35="","",IF(I35&gt;=90,"A+",IF(I35&gt;=85,"A",IF(I35&gt;=80,"A-",IF(I35&gt;=77,"B+",IF(I35&gt;=73,"B",IF(I35&gt;=70,"B-",IF(I35&gt;=60,"C","F"))))))))</f>
        <v/>
      </c>
    </row>
    <row r="36">
      <c r="A36" s="12" t="n"/>
      <c r="B36" s="12" t="n"/>
      <c r="C36" s="12" t="n"/>
      <c r="D36" s="12" t="n"/>
      <c r="E36" s="12" t="n"/>
      <c r="F36" s="12" t="n"/>
      <c r="G36" s="12" t="n"/>
      <c r="H36" s="12" t="n"/>
      <c r="I36" s="27">
        <f>IF(A36="","",MIN(100,SUMPRODUCT(C36:G36,$C$4:$G$4)/100+N(H36)))</f>
        <v/>
      </c>
      <c r="J36" s="15">
        <f>IF(I36="","",IF(I36&gt;=90,"A+",IF(I36&gt;=85,"A",IF(I36&gt;=80,"A-",IF(I36&gt;=77,"B+",IF(I36&gt;=73,"B",IF(I36&gt;=70,"B-",IF(I36&gt;=60,"C","F"))))))))</f>
        <v/>
      </c>
    </row>
    <row r="37">
      <c r="A37" s="12" t="n"/>
      <c r="B37" s="12" t="n"/>
      <c r="C37" s="12" t="n"/>
      <c r="D37" s="12" t="n"/>
      <c r="E37" s="12" t="n"/>
      <c r="F37" s="12" t="n"/>
      <c r="G37" s="12" t="n"/>
      <c r="H37" s="12" t="n"/>
      <c r="I37" s="27">
        <f>IF(A37="","",MIN(100,SUMPRODUCT(C37:G37,$C$4:$G$4)/100+N(H37)))</f>
        <v/>
      </c>
      <c r="J37" s="15">
        <f>IF(I37="","",IF(I37&gt;=90,"A+",IF(I37&gt;=85,"A",IF(I37&gt;=80,"A-",IF(I37&gt;=77,"B+",IF(I37&gt;=73,"B",IF(I37&gt;=70,"B-",IF(I37&gt;=60,"C","F"))))))))</f>
        <v/>
      </c>
    </row>
    <row r="38">
      <c r="A38" s="12" t="n"/>
      <c r="B38" s="12" t="n"/>
      <c r="C38" s="12" t="n"/>
      <c r="D38" s="12" t="n"/>
      <c r="E38" s="12" t="n"/>
      <c r="F38" s="12" t="n"/>
      <c r="G38" s="12" t="n"/>
      <c r="H38" s="12" t="n"/>
      <c r="I38" s="27">
        <f>IF(A38="","",MIN(100,SUMPRODUCT(C38:G38,$C$4:$G$4)/100+N(H38)))</f>
        <v/>
      </c>
      <c r="J38" s="15">
        <f>IF(I38="","",IF(I38&gt;=90,"A+",IF(I38&gt;=85,"A",IF(I38&gt;=80,"A-",IF(I38&gt;=77,"B+",IF(I38&gt;=73,"B",IF(I38&gt;=70,"B-",IF(I38&gt;=60,"C","F"))))))))</f>
        <v/>
      </c>
    </row>
    <row r="39">
      <c r="A39" s="12" t="n"/>
      <c r="B39" s="12" t="n"/>
      <c r="C39" s="12" t="n"/>
      <c r="D39" s="12" t="n"/>
      <c r="E39" s="12" t="n"/>
      <c r="F39" s="12" t="n"/>
      <c r="G39" s="12" t="n"/>
      <c r="H39" s="12" t="n"/>
      <c r="I39" s="27">
        <f>IF(A39="","",MIN(100,SUMPRODUCT(C39:G39,$C$4:$G$4)/100+N(H39)))</f>
        <v/>
      </c>
      <c r="J39" s="15">
        <f>IF(I39="","",IF(I39&gt;=90,"A+",IF(I39&gt;=85,"A",IF(I39&gt;=80,"A-",IF(I39&gt;=77,"B+",IF(I39&gt;=73,"B",IF(I39&gt;=70,"B-",IF(I39&gt;=60,"C","F"))))))))</f>
        <v/>
      </c>
    </row>
    <row r="40">
      <c r="A40" s="12" t="n"/>
      <c r="B40" s="12" t="n"/>
      <c r="C40" s="12" t="n"/>
      <c r="D40" s="12" t="n"/>
      <c r="E40" s="12" t="n"/>
      <c r="F40" s="12" t="n"/>
      <c r="G40" s="12" t="n"/>
      <c r="H40" s="12" t="n"/>
      <c r="I40" s="27">
        <f>IF(A40="","",MIN(100,SUMPRODUCT(C40:G40,$C$4:$G$4)/100+N(H40)))</f>
        <v/>
      </c>
      <c r="J40" s="15">
        <f>IF(I40="","",IF(I40&gt;=90,"A+",IF(I40&gt;=85,"A",IF(I40&gt;=80,"A-",IF(I40&gt;=77,"B+",IF(I40&gt;=73,"B",IF(I40&gt;=70,"B-",IF(I40&gt;=60,"C","F"))))))))</f>
        <v/>
      </c>
    </row>
    <row r="41">
      <c r="A41" s="12" t="n"/>
      <c r="B41" s="12" t="n"/>
      <c r="C41" s="12" t="n"/>
      <c r="D41" s="12" t="n"/>
      <c r="E41" s="12" t="n"/>
      <c r="F41" s="12" t="n"/>
      <c r="G41" s="12" t="n"/>
      <c r="H41" s="12" t="n"/>
      <c r="I41" s="27">
        <f>IF(A41="","",MIN(100,SUMPRODUCT(C41:G41,$C$4:$G$4)/100+N(H41)))</f>
        <v/>
      </c>
      <c r="J41" s="15">
        <f>IF(I41="","",IF(I41&gt;=90,"A+",IF(I41&gt;=85,"A",IF(I41&gt;=80,"A-",IF(I41&gt;=77,"B+",IF(I41&gt;=73,"B",IF(I41&gt;=70,"B-",IF(I41&gt;=60,"C","F"))))))))</f>
        <v/>
      </c>
    </row>
    <row r="42">
      <c r="A42" s="12" t="n"/>
      <c r="B42" s="12" t="n"/>
      <c r="C42" s="12" t="n"/>
      <c r="D42" s="12" t="n"/>
      <c r="E42" s="12" t="n"/>
      <c r="F42" s="12" t="n"/>
      <c r="G42" s="12" t="n"/>
      <c r="H42" s="12" t="n"/>
      <c r="I42" s="27">
        <f>IF(A42="","",MIN(100,SUMPRODUCT(C42:G42,$C$4:$G$4)/100+N(H42)))</f>
        <v/>
      </c>
      <c r="J42" s="15">
        <f>IF(I42="","",IF(I42&gt;=90,"A+",IF(I42&gt;=85,"A",IF(I42&gt;=80,"A-",IF(I42&gt;=77,"B+",IF(I42&gt;=73,"B",IF(I42&gt;=70,"B-",IF(I42&gt;=60,"C","F"))))))))</f>
        <v/>
      </c>
    </row>
    <row r="43">
      <c r="A43" s="12" t="n"/>
      <c r="B43" s="12" t="n"/>
      <c r="C43" s="12" t="n"/>
      <c r="D43" s="12" t="n"/>
      <c r="E43" s="12" t="n"/>
      <c r="F43" s="12" t="n"/>
      <c r="G43" s="12" t="n"/>
      <c r="H43" s="12" t="n"/>
      <c r="I43" s="27">
        <f>IF(A43="","",MIN(100,SUMPRODUCT(C43:G43,$C$4:$G$4)/100+N(H43)))</f>
        <v/>
      </c>
      <c r="J43" s="15">
        <f>IF(I43="","",IF(I43&gt;=90,"A+",IF(I43&gt;=85,"A",IF(I43&gt;=80,"A-",IF(I43&gt;=77,"B+",IF(I43&gt;=73,"B",IF(I43&gt;=70,"B-",IF(I43&gt;=60,"C","F"))))))))</f>
        <v/>
      </c>
    </row>
    <row r="44">
      <c r="A44" s="12" t="n"/>
      <c r="B44" s="12" t="n"/>
      <c r="C44" s="12" t="n"/>
      <c r="D44" s="12" t="n"/>
      <c r="E44" s="12" t="n"/>
      <c r="F44" s="12" t="n"/>
      <c r="G44" s="12" t="n"/>
      <c r="H44" s="12" t="n"/>
      <c r="I44" s="27">
        <f>IF(A44="","",MIN(100,SUMPRODUCT(C44:G44,$C$4:$G$4)/100+N(H44)))</f>
        <v/>
      </c>
      <c r="J44" s="15">
        <f>IF(I44="","",IF(I44&gt;=90,"A+",IF(I44&gt;=85,"A",IF(I44&gt;=80,"A-",IF(I44&gt;=77,"B+",IF(I44&gt;=73,"B",IF(I44&gt;=70,"B-",IF(I44&gt;=60,"C","F"))))))))</f>
        <v/>
      </c>
    </row>
    <row r="45">
      <c r="A45" s="12" t="n"/>
      <c r="B45" s="12" t="n"/>
      <c r="C45" s="12" t="n"/>
      <c r="D45" s="12" t="n"/>
      <c r="E45" s="12" t="n"/>
      <c r="F45" s="12" t="n"/>
      <c r="G45" s="12" t="n"/>
      <c r="H45" s="12" t="n"/>
      <c r="I45" s="27">
        <f>IF(A45="","",MIN(100,SUMPRODUCT(C45:G45,$C$4:$G$4)/100+N(H45)))</f>
        <v/>
      </c>
      <c r="J45" s="15">
        <f>IF(I45="","",IF(I45&gt;=90,"A+",IF(I45&gt;=85,"A",IF(I45&gt;=80,"A-",IF(I45&gt;=77,"B+",IF(I45&gt;=73,"B",IF(I45&gt;=70,"B-",IF(I45&gt;=60,"C","F"))))))))</f>
        <v/>
      </c>
    </row>
    <row r="46">
      <c r="A46" s="12" t="n"/>
      <c r="B46" s="12" t="n"/>
      <c r="C46" s="12" t="n"/>
      <c r="D46" s="12" t="n"/>
      <c r="E46" s="12" t="n"/>
      <c r="F46" s="12" t="n"/>
      <c r="G46" s="12" t="n"/>
      <c r="H46" s="12" t="n"/>
      <c r="I46" s="27">
        <f>IF(A46="","",MIN(100,SUMPRODUCT(C46:G46,$C$4:$G$4)/100+N(H46)))</f>
        <v/>
      </c>
      <c r="J46" s="15">
        <f>IF(I46="","",IF(I46&gt;=90,"A+",IF(I46&gt;=85,"A",IF(I46&gt;=80,"A-",IF(I46&gt;=77,"B+",IF(I46&gt;=73,"B",IF(I46&gt;=70,"B-",IF(I46&gt;=60,"C","F"))))))))</f>
        <v/>
      </c>
    </row>
    <row r="47">
      <c r="A47" s="12" t="n"/>
      <c r="B47" s="12" t="n"/>
      <c r="C47" s="12" t="n"/>
      <c r="D47" s="12" t="n"/>
      <c r="E47" s="12" t="n"/>
      <c r="F47" s="12" t="n"/>
      <c r="G47" s="12" t="n"/>
      <c r="H47" s="12" t="n"/>
      <c r="I47" s="27">
        <f>IF(A47="","",MIN(100,SUMPRODUCT(C47:G47,$C$4:$G$4)/100+N(H47)))</f>
        <v/>
      </c>
      <c r="J47" s="15">
        <f>IF(I47="","",IF(I47&gt;=90,"A+",IF(I47&gt;=85,"A",IF(I47&gt;=80,"A-",IF(I47&gt;=77,"B+",IF(I47&gt;=73,"B",IF(I47&gt;=70,"B-",IF(I47&gt;=60,"C","F"))))))))</f>
        <v/>
      </c>
    </row>
    <row r="48">
      <c r="A48" s="12" t="n"/>
      <c r="B48" s="12" t="n"/>
      <c r="C48" s="12" t="n"/>
      <c r="D48" s="12" t="n"/>
      <c r="E48" s="12" t="n"/>
      <c r="F48" s="12" t="n"/>
      <c r="G48" s="12" t="n"/>
      <c r="H48" s="12" t="n"/>
      <c r="I48" s="27">
        <f>IF(A48="","",MIN(100,SUMPRODUCT(C48:G48,$C$4:$G$4)/100+N(H48)))</f>
        <v/>
      </c>
      <c r="J48" s="15">
        <f>IF(I48="","",IF(I48&gt;=90,"A+",IF(I48&gt;=85,"A",IF(I48&gt;=80,"A-",IF(I48&gt;=77,"B+",IF(I48&gt;=73,"B",IF(I48&gt;=70,"B-",IF(I48&gt;=60,"C","F"))))))))</f>
        <v/>
      </c>
    </row>
    <row r="49">
      <c r="A49" s="12" t="n"/>
      <c r="B49" s="12" t="n"/>
      <c r="C49" s="12" t="n"/>
      <c r="D49" s="12" t="n"/>
      <c r="E49" s="12" t="n"/>
      <c r="F49" s="12" t="n"/>
      <c r="G49" s="12" t="n"/>
      <c r="H49" s="12" t="n"/>
      <c r="I49" s="27">
        <f>IF(A49="","",MIN(100,SUMPRODUCT(C49:G49,$C$4:$G$4)/100+N(H49)))</f>
        <v/>
      </c>
      <c r="J49" s="15">
        <f>IF(I49="","",IF(I49&gt;=90,"A+",IF(I49&gt;=85,"A",IF(I49&gt;=80,"A-",IF(I49&gt;=77,"B+",IF(I49&gt;=73,"B",IF(I49&gt;=70,"B-",IF(I49&gt;=60,"C","F"))))))))</f>
        <v/>
      </c>
    </row>
    <row r="50">
      <c r="A50" s="12" t="n"/>
      <c r="B50" s="12" t="n"/>
      <c r="C50" s="12" t="n"/>
      <c r="D50" s="12" t="n"/>
      <c r="E50" s="12" t="n"/>
      <c r="F50" s="12" t="n"/>
      <c r="G50" s="12" t="n"/>
      <c r="H50" s="12" t="n"/>
      <c r="I50" s="27">
        <f>IF(A50="","",MIN(100,SUMPRODUCT(C50:G50,$C$4:$G$4)/100+N(H50)))</f>
        <v/>
      </c>
      <c r="J50" s="15">
        <f>IF(I50="","",IF(I50&gt;=90,"A+",IF(I50&gt;=85,"A",IF(I50&gt;=80,"A-",IF(I50&gt;=77,"B+",IF(I50&gt;=73,"B",IF(I50&gt;=70,"B-",IF(I50&gt;=60,"C","F"))))))))</f>
        <v/>
      </c>
    </row>
    <row r="51">
      <c r="A51" s="12" t="n"/>
      <c r="B51" s="12" t="n"/>
      <c r="C51" s="12" t="n"/>
      <c r="D51" s="12" t="n"/>
      <c r="E51" s="12" t="n"/>
      <c r="F51" s="12" t="n"/>
      <c r="G51" s="12" t="n"/>
      <c r="H51" s="12" t="n"/>
      <c r="I51" s="27">
        <f>IF(A51="","",MIN(100,SUMPRODUCT(C51:G51,$C$4:$G$4)/100+N(H51)))</f>
        <v/>
      </c>
      <c r="J51" s="15">
        <f>IF(I51="","",IF(I51&gt;=90,"A+",IF(I51&gt;=85,"A",IF(I51&gt;=80,"A-",IF(I51&gt;=77,"B+",IF(I51&gt;=73,"B",IF(I51&gt;=70,"B-",IF(I51&gt;=60,"C","F"))))))))</f>
        <v/>
      </c>
    </row>
    <row r="52">
      <c r="A52" s="12" t="n"/>
      <c r="B52" s="12" t="n"/>
      <c r="C52" s="12" t="n"/>
      <c r="D52" s="12" t="n"/>
      <c r="E52" s="12" t="n"/>
      <c r="F52" s="12" t="n"/>
      <c r="G52" s="12" t="n"/>
      <c r="H52" s="12" t="n"/>
      <c r="I52" s="27">
        <f>IF(A52="","",MIN(100,SUMPRODUCT(C52:G52,$C$4:$G$4)/100+N(H52)))</f>
        <v/>
      </c>
      <c r="J52" s="15">
        <f>IF(I52="","",IF(I52&gt;=90,"A+",IF(I52&gt;=85,"A",IF(I52&gt;=80,"A-",IF(I52&gt;=77,"B+",IF(I52&gt;=73,"B",IF(I52&gt;=70,"B-",IF(I52&gt;=60,"C","F"))))))))</f>
        <v/>
      </c>
    </row>
    <row r="53">
      <c r="A53" s="12" t="n"/>
      <c r="B53" s="12" t="n"/>
      <c r="C53" s="12" t="n"/>
      <c r="D53" s="12" t="n"/>
      <c r="E53" s="12" t="n"/>
      <c r="F53" s="12" t="n"/>
      <c r="G53" s="12" t="n"/>
      <c r="H53" s="12" t="n"/>
      <c r="I53" s="27">
        <f>IF(A53="","",MIN(100,SUMPRODUCT(C53:G53,$C$4:$G$4)/100+N(H53)))</f>
        <v/>
      </c>
      <c r="J53" s="15">
        <f>IF(I53="","",IF(I53&gt;=90,"A+",IF(I53&gt;=85,"A",IF(I53&gt;=80,"A-",IF(I53&gt;=77,"B+",IF(I53&gt;=73,"B",IF(I53&gt;=70,"B-",IF(I53&gt;=60,"C","F"))))))))</f>
        <v/>
      </c>
    </row>
    <row r="54">
      <c r="A54" s="12" t="n"/>
      <c r="B54" s="12" t="n"/>
      <c r="C54" s="12" t="n"/>
      <c r="D54" s="12" t="n"/>
      <c r="E54" s="12" t="n"/>
      <c r="F54" s="12" t="n"/>
      <c r="G54" s="12" t="n"/>
      <c r="H54" s="12" t="n"/>
      <c r="I54" s="27">
        <f>IF(A54="","",MIN(100,SUMPRODUCT(C54:G54,$C$4:$G$4)/100+N(H54)))</f>
        <v/>
      </c>
      <c r="J54" s="15">
        <f>IF(I54="","",IF(I54&gt;=90,"A+",IF(I54&gt;=85,"A",IF(I54&gt;=80,"A-",IF(I54&gt;=77,"B+",IF(I54&gt;=73,"B",IF(I54&gt;=70,"B-",IF(I54&gt;=60,"C","F"))))))))</f>
        <v/>
      </c>
    </row>
    <row r="55">
      <c r="A55" s="12" t="n"/>
      <c r="B55" s="12" t="n"/>
      <c r="C55" s="12" t="n"/>
      <c r="D55" s="12" t="n"/>
      <c r="E55" s="12" t="n"/>
      <c r="F55" s="12" t="n"/>
      <c r="G55" s="12" t="n"/>
      <c r="H55" s="12" t="n"/>
      <c r="I55" s="27">
        <f>IF(A55="","",MIN(100,SUMPRODUCT(C55:G55,$C$4:$G$4)/100+N(H55)))</f>
        <v/>
      </c>
      <c r="J55" s="15">
        <f>IF(I55="","",IF(I55&gt;=90,"A+",IF(I55&gt;=85,"A",IF(I55&gt;=80,"A-",IF(I55&gt;=77,"B+",IF(I55&gt;=73,"B",IF(I55&gt;=70,"B-",IF(I55&gt;=60,"C","F"))))))))</f>
        <v/>
      </c>
    </row>
    <row r="56">
      <c r="A56" s="12" t="n"/>
      <c r="B56" s="12" t="n"/>
      <c r="C56" s="12" t="n"/>
      <c r="D56" s="12" t="n"/>
      <c r="E56" s="12" t="n"/>
      <c r="F56" s="12" t="n"/>
      <c r="G56" s="12" t="n"/>
      <c r="H56" s="12" t="n"/>
      <c r="I56" s="27">
        <f>IF(A56="","",MIN(100,SUMPRODUCT(C56:G56,$C$4:$G$4)/100+N(H56)))</f>
        <v/>
      </c>
      <c r="J56" s="15">
        <f>IF(I56="","",IF(I56&gt;=90,"A+",IF(I56&gt;=85,"A",IF(I56&gt;=80,"A-",IF(I56&gt;=77,"B+",IF(I56&gt;=73,"B",IF(I56&gt;=70,"B-",IF(I56&gt;=60,"C","F"))))))))</f>
        <v/>
      </c>
    </row>
    <row r="57">
      <c r="A57" s="12" t="n"/>
      <c r="B57" s="12" t="n"/>
      <c r="C57" s="12" t="n"/>
      <c r="D57" s="12" t="n"/>
      <c r="E57" s="12" t="n"/>
      <c r="F57" s="12" t="n"/>
      <c r="G57" s="12" t="n"/>
      <c r="H57" s="12" t="n"/>
      <c r="I57" s="27">
        <f>IF(A57="","",MIN(100,SUMPRODUCT(C57:G57,$C$4:$G$4)/100+N(H57)))</f>
        <v/>
      </c>
      <c r="J57" s="15">
        <f>IF(I57="","",IF(I57&gt;=90,"A+",IF(I57&gt;=85,"A",IF(I57&gt;=80,"A-",IF(I57&gt;=77,"B+",IF(I57&gt;=73,"B",IF(I57&gt;=70,"B-",IF(I57&gt;=60,"C","F"))))))))</f>
        <v/>
      </c>
    </row>
    <row r="58">
      <c r="A58" s="12" t="n"/>
      <c r="B58" s="12" t="n"/>
      <c r="C58" s="12" t="n"/>
      <c r="D58" s="12" t="n"/>
      <c r="E58" s="12" t="n"/>
      <c r="F58" s="12" t="n"/>
      <c r="G58" s="12" t="n"/>
      <c r="H58" s="12" t="n"/>
      <c r="I58" s="27">
        <f>IF(A58="","",MIN(100,SUMPRODUCT(C58:G58,$C$4:$G$4)/100+N(H58)))</f>
        <v/>
      </c>
      <c r="J58" s="15">
        <f>IF(I58="","",IF(I58&gt;=90,"A+",IF(I58&gt;=85,"A",IF(I58&gt;=80,"A-",IF(I58&gt;=77,"B+",IF(I58&gt;=73,"B",IF(I58&gt;=70,"B-",IF(I58&gt;=60,"C","F"))))))))</f>
        <v/>
      </c>
    </row>
    <row r="59">
      <c r="A59" s="12" t="n"/>
      <c r="B59" s="12" t="n"/>
      <c r="C59" s="12" t="n"/>
      <c r="D59" s="12" t="n"/>
      <c r="E59" s="12" t="n"/>
      <c r="F59" s="12" t="n"/>
      <c r="G59" s="12" t="n"/>
      <c r="H59" s="12" t="n"/>
      <c r="I59" s="27">
        <f>IF(A59="","",MIN(100,SUMPRODUCT(C59:G59,$C$4:$G$4)/100+N(H59)))</f>
        <v/>
      </c>
      <c r="J59" s="15">
        <f>IF(I59="","",IF(I59&gt;=90,"A+",IF(I59&gt;=85,"A",IF(I59&gt;=80,"A-",IF(I59&gt;=77,"B+",IF(I59&gt;=73,"B",IF(I59&gt;=70,"B-",IF(I59&gt;=60,"C","F"))))))))</f>
        <v/>
      </c>
    </row>
    <row r="60">
      <c r="A60" s="12" t="n"/>
      <c r="B60" s="12" t="n"/>
      <c r="C60" s="12" t="n"/>
      <c r="D60" s="12" t="n"/>
      <c r="E60" s="12" t="n"/>
      <c r="F60" s="12" t="n"/>
      <c r="G60" s="12" t="n"/>
      <c r="H60" s="12" t="n"/>
      <c r="I60" s="27">
        <f>IF(A60="","",MIN(100,SUMPRODUCT(C60:G60,$C$4:$G$4)/100+N(H60)))</f>
        <v/>
      </c>
      <c r="J60" s="15">
        <f>IF(I60="","",IF(I60&gt;=90,"A+",IF(I60&gt;=85,"A",IF(I60&gt;=80,"A-",IF(I60&gt;=77,"B+",IF(I60&gt;=73,"B",IF(I60&gt;=70,"B-",IF(I60&gt;=60,"C","F"))))))))</f>
        <v/>
      </c>
    </row>
    <row r="61">
      <c r="A61" s="12" t="n"/>
      <c r="B61" s="12" t="n"/>
      <c r="C61" s="12" t="n"/>
      <c r="D61" s="12" t="n"/>
      <c r="E61" s="12" t="n"/>
      <c r="F61" s="12" t="n"/>
      <c r="G61" s="12" t="n"/>
      <c r="H61" s="12" t="n"/>
      <c r="I61" s="27">
        <f>IF(A61="","",MIN(100,SUMPRODUCT(C61:G61,$C$4:$G$4)/100+N(H61)))</f>
        <v/>
      </c>
      <c r="J61" s="15">
        <f>IF(I61="","",IF(I61&gt;=90,"A+",IF(I61&gt;=85,"A",IF(I61&gt;=80,"A-",IF(I61&gt;=77,"B+",IF(I61&gt;=73,"B",IF(I61&gt;=70,"B-",IF(I61&gt;=60,"C","F"))))))))</f>
        <v/>
      </c>
    </row>
    <row r="62">
      <c r="A62" s="12" t="n"/>
      <c r="B62" s="12" t="n"/>
      <c r="C62" s="12" t="n"/>
      <c r="D62" s="12" t="n"/>
      <c r="E62" s="12" t="n"/>
      <c r="F62" s="12" t="n"/>
      <c r="G62" s="12" t="n"/>
      <c r="H62" s="12" t="n"/>
      <c r="I62" s="27">
        <f>IF(A62="","",MIN(100,SUMPRODUCT(C62:G62,$C$4:$G$4)/100+N(H62)))</f>
        <v/>
      </c>
      <c r="J62" s="15">
        <f>IF(I62="","",IF(I62&gt;=90,"A+",IF(I62&gt;=85,"A",IF(I62&gt;=80,"A-",IF(I62&gt;=77,"B+",IF(I62&gt;=73,"B",IF(I62&gt;=70,"B-",IF(I62&gt;=60,"C","F"))))))))</f>
        <v/>
      </c>
    </row>
    <row r="63">
      <c r="A63" s="12" t="n"/>
      <c r="B63" s="12" t="n"/>
      <c r="C63" s="12" t="n"/>
      <c r="D63" s="12" t="n"/>
      <c r="E63" s="12" t="n"/>
      <c r="F63" s="12" t="n"/>
      <c r="G63" s="12" t="n"/>
      <c r="H63" s="12" t="n"/>
      <c r="I63" s="27">
        <f>IF(A63="","",MIN(100,SUMPRODUCT(C63:G63,$C$4:$G$4)/100+N(H63)))</f>
        <v/>
      </c>
      <c r="J63" s="15">
        <f>IF(I63="","",IF(I63&gt;=90,"A+",IF(I63&gt;=85,"A",IF(I63&gt;=80,"A-",IF(I63&gt;=77,"B+",IF(I63&gt;=73,"B",IF(I63&gt;=70,"B-",IF(I63&gt;=60,"C","F"))))))))</f>
        <v/>
      </c>
    </row>
    <row r="64">
      <c r="A64" s="12" t="n"/>
      <c r="B64" s="12" t="n"/>
      <c r="C64" s="12" t="n"/>
      <c r="D64" s="12" t="n"/>
      <c r="E64" s="12" t="n"/>
      <c r="F64" s="12" t="n"/>
      <c r="G64" s="12" t="n"/>
      <c r="H64" s="12" t="n"/>
      <c r="I64" s="27">
        <f>IF(A64="","",MIN(100,SUMPRODUCT(C64:G64,$C$4:$G$4)/100+N(H64)))</f>
        <v/>
      </c>
      <c r="J64" s="15">
        <f>IF(I64="","",IF(I64&gt;=90,"A+",IF(I64&gt;=85,"A",IF(I64&gt;=80,"A-",IF(I64&gt;=77,"B+",IF(I64&gt;=73,"B",IF(I64&gt;=70,"B-",IF(I64&gt;=60,"C","F"))))))))</f>
        <v/>
      </c>
    </row>
    <row r="67">
      <c r="H67" s="26" t="inlineStr">
        <is>
          <t>全班平均</t>
        </is>
      </c>
      <c r="I67" s="27">
        <f>AVERAGE(I5:I64)</f>
        <v/>
      </c>
    </row>
  </sheetData>
  <mergeCells count="1">
    <mergeCell ref="A2:L2"/>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2026-09-27T19:22:40Z</dcterms:created>
  <dcterms:modified xsi:type="dcterms:W3CDTF">2026-09-27T19:22:40Z</dcterms:modified>
</cp:coreProperties>
</file>