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粗脂肪" sheetId="3" state="visible" r:id="rId3"/>
    <sheet name="3_濕基換算" sheetId="4" state="visible" r:id="rId4"/>
    <sheet name="4_精密度與回收率" sheetId="5" state="visible" r:id="rId5"/>
    <sheet name="5_盲樣偏差" sheetId="6" state="visible" r:id="rId6"/>
    <sheet name="6_Pearson方塊" sheetId="7" state="visible" r:id="rId7"/>
    <sheet name="練習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"/>
    <numFmt numFmtId="166" formatCode="0.0"/>
    <numFmt numFmtId="167" formatCode="+0.00;-0.00;0.00"/>
    <numFmt numFmtId="168" formatCode="0.00000"/>
    <numFmt numFmtId="169" formatCode="+0.000;-0.000"/>
  </numFmts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E6B66"/>
      <sz val="12"/>
    </font>
    <font>
      <name val="Microsoft JhengHei"/>
      <color rgb="005B6964"/>
      <sz val="10"/>
    </font>
    <font>
      <name val="Microsoft JhengHei"/>
      <b val="1"/>
      <color rgb="001E6B66"/>
      <sz val="16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6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0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 vertical="center"/>
    </xf>
    <xf numFmtId="164" fontId="2" fillId="0" borderId="1" pivotButton="0" quotePrefix="0" xfId="0"/>
    <xf numFmtId="0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5" fontId="2" fillId="0" borderId="1" pivotButton="0" quotePrefix="0" xfId="0"/>
    <xf numFmtId="2" fontId="2" fillId="4" borderId="1" applyAlignment="1" pivotButton="0" quotePrefix="0" xfId="0">
      <alignment horizontal="right" vertical="center"/>
    </xf>
    <xf numFmtId="2" fontId="2" fillId="0" borderId="1" pivotButton="0" quotePrefix="0" xfId="0"/>
    <xf numFmtId="169" fontId="2" fillId="4" borderId="1" applyAlignment="1" pivotButton="0" quotePrefix="0" xfId="0">
      <alignment horizontal="right" vertical="center"/>
    </xf>
    <xf numFmtId="16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3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6" fillId="5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right" vertical="center"/>
    </xf>
    <xf numFmtId="166" fontId="2" fillId="3" borderId="1" pivotButton="0" quotePrefix="0" xfId="0"/>
    <xf numFmtId="166" fontId="6" fillId="5" borderId="1" applyAlignment="1" pivotButton="0" quotePrefix="0" xfId="0">
      <alignment horizontal="right" vertical="center"/>
    </xf>
    <xf numFmtId="1" fontId="2" fillId="3" borderId="1" pivotButton="0" quotePrefix="0" xfId="0"/>
    <xf numFmtId="0" fontId="6" fillId="5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8" fontId="2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2" fontId="2" fillId="3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Potato chips: crude fat, dry vs wet basis</a:t>
            </a:r>
          </a:p>
        </rich>
      </tx>
    </title>
    <plotArea>
      <barChart>
        <barDir val="col"/>
        <grouping val="clustered"/>
        <ser>
          <idx val="0"/>
          <order val="0"/>
          <tx>
            <v>dry basis</v>
          </tx>
          <spPr>
            <a:solidFill>
              <a:srgbClr val="4A6FA5"/>
            </a:solidFill>
            <a:ln>
              <a:solidFill>
                <a:srgbClr val="4A6FA5"/>
              </a:solidFill>
              <a:prstDash val="solid"/>
            </a:ln>
          </spPr>
          <cat>
            <numRef>
              <f>'3_濕基換算'!$C$8:$C$12</f>
            </numRef>
          </cat>
          <val>
            <numRef>
              <f>'3_濕基換算'!$D$8:$D$12</f>
            </numRef>
          </val>
        </ser>
        <ser>
          <idx val="1"/>
          <order val="1"/>
          <tx>
            <v>wet basis</v>
          </tx>
          <spPr>
            <a:solidFill>
              <a:srgbClr val="D08A1E"/>
            </a:solidFill>
            <a:ln>
              <a:solidFill>
                <a:srgbClr val="D08A1E"/>
              </a:solidFill>
              <a:prstDash val="solid"/>
            </a:ln>
          </spPr>
          <cat>
            <numRef>
              <f>'3_濕基換算'!$C$8:$C$12</f>
            </numRef>
          </cat>
          <val>
            <numRef>
              <f>'3_濕基換算'!$E$8:$E$12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Crude fat 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Why direct Soxhlet (no hydrolysis) reads low on milk powder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E6B66"/>
            </a:solidFill>
            <a:ln>
              <a:prstDash val="solid"/>
            </a:ln>
          </spPr>
          <dPt>
            <idx val="0"/>
            <spPr>
              <a:solidFill>
                <a:srgbClr val="5B6964"/>
              </a:solidFill>
              <a:ln>
                <a:prstDash val="solid"/>
              </a:ln>
            </spPr>
          </dPt>
          <dPt>
            <idx val="1"/>
            <spPr>
              <a:solidFill>
                <a:srgbClr val="4E8F5A"/>
              </a:solidFill>
              <a:ln>
                <a:prstDash val="solid"/>
              </a:ln>
            </spPr>
          </dPt>
          <dPt>
            <idx val="2"/>
            <spPr>
              <a:solidFill>
                <a:srgbClr val="4A6FA5"/>
              </a:solidFill>
              <a:ln>
                <a:prstDash val="solid"/>
              </a:ln>
            </spPr>
          </dPt>
          <errBars>
            <errDir val="y"/>
            <errBarType val="both"/>
            <errValType val="cust"/>
            <noEndCap val="0"/>
            <minus>
              <numRef>
                <f>'5_盲樣偏差'!$Q$5:$Q$7</f>
              </numRef>
            </minus>
            <plus>
              <numRef>
                <f>'5_盲樣偏差'!$Q$5:$Q$7</f>
              </numRef>
            </plus>
          </errBars>
          <cat>
            <numRef>
              <f>'5_盲樣偏差'!$O$5:$O$7</f>
            </numRef>
          </cat>
          <val>
            <numRef>
              <f>'5_盲樣偏差'!$P$5:$P$7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Fat % in whole milk powder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6_fat/index.html" TargetMode="External" Id="rId1" /><Relationship Type="http://schemas.openxmlformats.org/officeDocument/2006/relationships/hyperlink" Target="https://colab.research.google.com/github/Tai-ShengYeh/food-analysis-lab/blob/main/notebooks/NB06_fat_soxhlet.ipynb" TargetMode="External" Id="rId2" /><Relationship Type="http://schemas.openxmlformats.org/officeDocument/2006/relationships/hyperlink" Target="https://tai-shengyeh.github.io/food-analysis-lab/tools.html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EX06｜W6 粗脂肪（Soxhlet 與酸水解）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用秤重公式算粗脂肪 %，分清楚「以乾樣品計（乾基）」與「以濕樣品計（濕基）」，並做乾基 → 濕基換算。</t>
        </is>
      </c>
    </row>
    <row r="6">
      <c r="B6" s="4" t="inlineStr">
        <is>
          <t>•  用 STDEV.S 算三重複的 RSD%，判斷精密度。</t>
        </is>
      </c>
    </row>
    <row r="7">
      <c r="B7" s="4" t="inlineStr">
        <is>
          <t>•  用已知脂肪對照品算回收率，用 95–105% 判斷操作是否合格；理解溶劑空白的意義。</t>
        </is>
      </c>
    </row>
    <row r="8">
      <c r="B8" s="4" t="inlineStr">
        <is>
          <t>•  用全班盲樣（全脂奶粉）看到直接 Soxhlet 相對 Röse–Gottlieb 偏低的系統誤差（bias），並說明為什麼要先酸水解。</t>
        </is>
      </c>
    </row>
    <row r="9">
      <c r="B9" s="4" t="inlineStr">
        <is>
          <t>•  用 Pearson 方塊算牛奶標準化所需的鮮奶油與脫脂乳重量，並驗算質量平衡。</t>
        </is>
      </c>
    </row>
    <row r="11">
      <c r="B11" s="3" t="inlineStr">
        <is>
          <t>顏色代表什麼</t>
        </is>
      </c>
    </row>
    <row r="12">
      <c r="B12" s="5" t="inlineStr"/>
      <c r="C12" s="6" t="inlineStr">
        <is>
          <t>黃色：輸入或貼上數據的地方</t>
        </is>
      </c>
    </row>
    <row r="13">
      <c r="B13" s="7" t="inlineStr"/>
      <c r="C13" s="6" t="inlineStr">
        <is>
          <t>綠色：公式，會自動計算，不要改</t>
        </is>
      </c>
    </row>
    <row r="14">
      <c r="B14" s="8" t="inlineStr"/>
      <c r="C14" s="6" t="inlineStr">
        <is>
          <t>橘色：重點結果，寫報告時用</t>
        </is>
      </c>
    </row>
    <row r="16">
      <c r="B16" s="3" t="inlineStr">
        <is>
          <t>操作步驟</t>
        </is>
      </c>
    </row>
    <row r="17" ht="15" customHeight="1">
      <c r="B17" s="4" t="inlineStr">
        <is>
          <t>1. 看「1_原始數據」：一列是一次秤重或一個結果（item 說明它是什麼）。</t>
        </is>
      </c>
    </row>
    <row r="18" ht="15" customHeight="1">
      <c r="B18" s="4" t="inlineStr">
        <is>
          <t>2. 看「2_粗脂肪」：各組的空瓶、樣品、瓶+脂肪 → 脂肪重 → 粗脂肪 %（乾基）。</t>
        </is>
      </c>
    </row>
    <row r="19" ht="15" customHeight="1">
      <c r="B19" s="4" t="inlineStr">
        <is>
          <t>3. 看「3_濕基換算」：用 W2 的水分換成濕基，看長條圖。</t>
        </is>
      </c>
    </row>
    <row r="20" ht="15" customHeight="1">
      <c r="B20" s="4" t="inlineStr">
        <is>
          <t>4. 看「4_精密度與回收率」：三重複 RSD、已知對照品回收率與合格判定、溶劑空白。</t>
        </is>
      </c>
    </row>
    <row r="21" ht="15" customHeight="1">
      <c r="B21" s="4" t="inlineStr">
        <is>
          <t>5. 看「5_盲樣偏差」：各組三重複 → 組平均 → 班級平均，和 Röse–Gottlieb、標示值比較。</t>
        </is>
      </c>
    </row>
    <row r="22" ht="15" customHeight="1">
      <c r="B22" s="4" t="inlineStr">
        <is>
          <t>6. 看「6_Pearson方塊」：講義範例，並在 D 欄做自己的題目。</t>
        </is>
      </c>
    </row>
    <row r="23" ht="15" customHeight="1">
      <c r="B23" s="4" t="inlineStr">
        <is>
          <t>7. 完成「練習題」。</t>
        </is>
      </c>
    </row>
    <row r="24" ht="30" customHeight="1">
      <c r="B24" s="4" t="inlineStr">
        <is>
          <t>8. 換成班級數據：把共用 Google Sheet 的數據貼到「1_原始數據」A2 起；組別不同就改「2_粗脂肪」與「5_盲樣偏差」B 欄。</t>
        </is>
      </c>
    </row>
    <row r="26">
      <c r="B26" s="3" t="inlineStr">
        <is>
          <t>對答案：用內建範例數據時，你的結果應該等於</t>
        </is>
      </c>
    </row>
    <row r="27">
      <c r="B27" s="9" t="inlineStr">
        <is>
          <t>項目</t>
        </is>
      </c>
      <c r="C27" s="9" t="inlineStr">
        <is>
          <t>本檔計算值</t>
        </is>
      </c>
      <c r="D27" s="9" t="inlineStr">
        <is>
          <t>Colab 筆記本的值</t>
        </is>
      </c>
      <c r="E27" s="9" t="inlineStr">
        <is>
          <t>一致？</t>
        </is>
      </c>
    </row>
    <row r="28">
      <c r="B28" s="10" t="inlineStr">
        <is>
          <t>第 1 組粗脂肪 %（乾基）</t>
        </is>
      </c>
      <c r="C28" s="11">
        <f>'2_粗脂肪'!H7</f>
        <v/>
      </c>
      <c r="D28" s="12" t="n">
        <v>35.75181891673472</v>
      </c>
      <c r="E28" s="13">
        <f>IF(ABS(C28-D28)&lt;=0.003575182891673472,"✔ 一致","✘ 不一致（換成班級數據後本來就會不同）")</f>
        <v/>
      </c>
    </row>
    <row r="29">
      <c r="B29" s="10" t="inlineStr">
        <is>
          <t>第 1 組粗脂肪 %（濕基）</t>
        </is>
      </c>
      <c r="C29" s="11">
        <f>'3_濕基換算'!E8</f>
        <v/>
      </c>
      <c r="D29" s="12" t="n">
        <v>35.03678253840003</v>
      </c>
      <c r="E29" s="13">
        <f>IF(ABS(C29-D29)&lt;=0.003503679253840003,"✔ 一致","✘ 不一致（換成班級數據後本來就會不同）")</f>
        <v/>
      </c>
    </row>
    <row r="30">
      <c r="B30" s="10" t="inlineStr">
        <is>
          <t>三重複 RSD (%)</t>
        </is>
      </c>
      <c r="C30" s="14">
        <f>'4_精密度與回收率'!C10</f>
        <v/>
      </c>
      <c r="D30" s="15" t="n">
        <v>0.7224721947627519</v>
      </c>
      <c r="E30" s="13">
        <f>IF(ABS(C30-D30)&lt;=7.22482194762752e-05,"✔ 一致","✘ 不一致（換成班級數據後本來就會不同）")</f>
        <v/>
      </c>
    </row>
    <row r="31">
      <c r="B31" s="10" t="inlineStr">
        <is>
          <t>已知對照品回收率 (%)</t>
        </is>
      </c>
      <c r="C31" s="16">
        <f>'4_精密度與回收率'!C16</f>
        <v/>
      </c>
      <c r="D31" s="17" t="n">
        <v>97.34999999999999</v>
      </c>
      <c r="E31" s="13">
        <f>IF(ABS(C31-D31)&lt;=0.009735001,"✔ 一致","✘ 不一致（換成班級數據後本來就會不同）")</f>
        <v/>
      </c>
    </row>
    <row r="32">
      <c r="B32" s="10" t="inlineStr">
        <is>
          <t>盲樣班級平均 (%)</t>
        </is>
      </c>
      <c r="C32" s="14">
        <f>'5_盲樣偏差'!K6</f>
        <v/>
      </c>
      <c r="D32" s="15" t="n">
        <v>21.28</v>
      </c>
      <c r="E32" s="13">
        <f>IF(ABS(C32-D32)&lt;=0.002128001,"✔ 一致","✘ 不一致（換成班級數據後本來就會不同）")</f>
        <v/>
      </c>
    </row>
    <row r="33">
      <c r="B33" s="10" t="inlineStr">
        <is>
          <t>盲樣組間 SD (%)</t>
        </is>
      </c>
      <c r="C33" s="14">
        <f>'5_盲樣偏差'!K7</f>
        <v/>
      </c>
      <c r="D33" s="15" t="n">
        <v>0.4261455150532492</v>
      </c>
      <c r="E33" s="13">
        <f>IF(ABS(C33-D33)&lt;=4.261555150532492e-05,"✔ 一致","✘ 不一致（換成班級數據後本來就會不同）")</f>
        <v/>
      </c>
    </row>
    <row r="34">
      <c r="B34" s="10" t="inlineStr">
        <is>
          <t>bias vs RG（百分點）</t>
        </is>
      </c>
      <c r="C34" s="18">
        <f>'5_盲樣偏差'!K10</f>
        <v/>
      </c>
      <c r="D34" s="19" t="n">
        <v>-4.419999999999998</v>
      </c>
      <c r="E34" s="13">
        <f>IF(ABS(C34-D34)&lt;=0.00044200099999999986,"✔ 一致","✘ 不一致（換成班級數據後本來就會不同）")</f>
        <v/>
      </c>
    </row>
    <row r="35">
      <c r="B35" s="10" t="inlineStr">
        <is>
          <t>Pearson 方塊：鮮奶油 (kg)</t>
        </is>
      </c>
      <c r="C35" s="14">
        <f>'6_Pearson方塊'!C12</f>
        <v/>
      </c>
      <c r="D35" s="15" t="n">
        <v>8.774373259052926</v>
      </c>
      <c r="E35" s="13">
        <f>IF(ABS(C35-D35)&lt;=0.0008774383259052926,"✔ 一致","✘ 不一致（換成班級數據後本來就會不同）")</f>
        <v/>
      </c>
    </row>
    <row r="36">
      <c r="B36" s="20" t="inlineStr">
        <is>
          <t>「Colab 筆記本的值」是用內建模擬數據算出的答案；換成全班數據後，這一欄就不再適用。</t>
        </is>
      </c>
    </row>
    <row r="38">
      <c r="B38" s="3" t="inlineStr">
        <is>
          <t>相關連結</t>
        </is>
      </c>
    </row>
    <row r="39">
      <c r="B39" s="21" t="inlineStr">
        <is>
          <t>本週實驗投影片</t>
        </is>
      </c>
      <c r="C39" s="2" t="inlineStr">
        <is>
          <t>https://tai-shengyeh.github.io/food-analysis-lab/labs/w06_fat/index.html</t>
        </is>
      </c>
    </row>
    <row r="40">
      <c r="B40" s="21" t="inlineStr">
        <is>
          <t>進階：Colab 筆記本（Python）</t>
        </is>
      </c>
      <c r="C40" s="2" t="inlineStr">
        <is>
          <t>https://colab.research.google.com/github/Tai-ShengYeh/food-analysis-lab/blob/main/notebooks/NB06_fat_soxhlet.ipynb</t>
        </is>
      </c>
    </row>
    <row r="41">
      <c r="B41" s="21" t="inlineStr">
        <is>
          <t>數據分析工具指南（Excel／Orange／Colab）</t>
        </is>
      </c>
      <c r="C41" s="2" t="inlineStr">
        <is>
          <t>https://tai-shengyeh.github.io/food-analysis-lab/tools.html</t>
        </is>
      </c>
    </row>
    <row r="43">
      <c r="B43" s="3" t="inlineStr">
        <is>
          <t>小提醒</t>
        </is>
      </c>
    </row>
    <row r="44" ht="15" customHeight="1">
      <c r="B44" s="4" t="inlineStr">
        <is>
          <t>•  本週的酸水解（美乃滋）由助教示範，沒有數據要算；Colab 筆記本也一樣。盲樣偏低就是「沒有先水解」的後果。</t>
        </is>
      </c>
    </row>
    <row r="45" ht="15" customHeight="1">
      <c r="B45" s="4" t="inlineStr">
        <is>
          <t>•  「5_盲樣偏差」的單樣本 t 檢定是本檔額外加的，Colab 筆記本沒有做；它只是幫你確認偏差不是隨機誤差。</t>
        </is>
      </c>
    </row>
    <row r="46" ht="15" customHeight="1">
      <c r="B46" s="4" t="inlineStr">
        <is>
          <t>•  Google 試算表也能開這個檔（檔案 → 匯入），公式都一樣能用。</t>
        </is>
      </c>
    </row>
    <row r="47" ht="15" customHeight="1">
      <c r="B47" s="4" t="inlineStr">
        <is>
          <t>•  看到 #NAME? 表示 Excel 版本太舊（2007 以前），請改用 Google 試算表。</t>
        </is>
      </c>
    </row>
  </sheetData>
  <mergeCells count="18">
    <mergeCell ref="B20:E20"/>
    <mergeCell ref="B45:E45"/>
    <mergeCell ref="B17:E17"/>
    <mergeCell ref="B9:E9"/>
    <mergeCell ref="B18:E18"/>
    <mergeCell ref="B8:E8"/>
    <mergeCell ref="B23:E23"/>
    <mergeCell ref="B36:E36"/>
    <mergeCell ref="B6:E6"/>
    <mergeCell ref="B21:E21"/>
    <mergeCell ref="B44:E44"/>
    <mergeCell ref="B7:E7"/>
    <mergeCell ref="B24:E24"/>
    <mergeCell ref="B5:E5"/>
    <mergeCell ref="B19:E19"/>
    <mergeCell ref="B47:E47"/>
    <mergeCell ref="B46:E46"/>
    <mergeCell ref="B22:E22"/>
  </mergeCells>
  <hyperlinks>
    <hyperlink xmlns:r="http://schemas.openxmlformats.org/officeDocument/2006/relationships" ref="B39" r:id="rId1"/>
    <hyperlink xmlns:r="http://schemas.openxmlformats.org/officeDocument/2006/relationships" ref="B40" r:id="rId2"/>
    <hyperlink xmlns:r="http://schemas.openxmlformats.org/officeDocument/2006/relationships" ref="B41" r:id="rId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10" max="10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note</t>
        </is>
      </c>
      <c r="J1" s="3" t="inlineStr">
        <is>
          <t>這張工作表怎麼用</t>
        </is>
      </c>
    </row>
    <row r="2" ht="135" customHeight="1">
      <c r="A2" s="22" t="n">
        <v>1</v>
      </c>
      <c r="B2" s="22" t="inlineStr">
        <is>
          <t>G1</t>
        </is>
      </c>
      <c r="C2" s="22" t="inlineStr">
        <is>
          <t>chips_flask_empty_g</t>
        </is>
      </c>
      <c r="D2" s="22" t="n">
        <v>1</v>
      </c>
      <c r="E2" s="22" t="n">
        <v>132.4056</v>
      </c>
      <c r="F2" s="22" t="inlineStr">
        <is>
          <t>g</t>
        </is>
      </c>
      <c r="G2" s="22" t="n"/>
      <c r="H2" s="22" t="inlineStr">
        <is>
          <t>萃取瓶(含止爆石)已烘至恆重</t>
        </is>
      </c>
      <c r="J2" s="20" t="inlineStr">
        <is>
          <t>本週 item：chips_flask_empty_g＝空萃取瓶（已恆重）；chips_sample_dry_g＝乾燥洋芋片樣品重；chips_flask_fat_g＝萃取、烘乾至恆重後的瓶＋脂肪；fat_replicate_demo＝TA 示範三重複 (%)；known_fat_reference_measured＝已知脂肪對照品測值 (%)；solvent_blank_residue_g＝溶劑空白殘留 (g)；milk_blind_fat_pct＝全脂奶粉盲樣直接 Soxhlet (%)；milk_blind_RG_reference＝Röse–Gottlieb 參考值；milk_blind_label＝標示值；chips_moisture_pct_wet＝W2 測的洋芋片水分（濕基 %）。</t>
        </is>
      </c>
    </row>
    <row r="3" ht="30" customHeight="1">
      <c r="A3" s="22" t="n">
        <v>1</v>
      </c>
      <c r="B3" s="22" t="inlineStr">
        <is>
          <t>G1</t>
        </is>
      </c>
      <c r="C3" s="22" t="inlineStr">
        <is>
          <t>chips_sample_dry_g</t>
        </is>
      </c>
      <c r="D3" s="22" t="n">
        <v>1</v>
      </c>
      <c r="E3" s="22" t="n">
        <v>2.9688</v>
      </c>
      <c r="F3" s="22" t="inlineStr">
        <is>
          <t>g</t>
        </is>
      </c>
      <c r="G3" s="22" t="n"/>
      <c r="H3" s="22" t="inlineStr">
        <is>
          <t>已乾燥、磨細的洋芋片樣品(沿用 W2 乾燥樣品)</t>
        </is>
      </c>
      <c r="J3" s="20" t="inlineStr">
        <is>
          <t>group = 0 代表 TA 或全班共用的數據。本週沒有額外的計算欄，計算都在後面的工作表。</t>
        </is>
      </c>
    </row>
    <row r="4" ht="30" customHeight="1">
      <c r="A4" s="22" t="n">
        <v>1</v>
      </c>
      <c r="B4" s="22" t="inlineStr">
        <is>
          <t>G1</t>
        </is>
      </c>
      <c r="C4" s="22" t="inlineStr">
        <is>
          <t>chips_flask_fat_g</t>
        </is>
      </c>
      <c r="D4" s="22" t="n">
        <v>1</v>
      </c>
      <c r="E4" s="22" t="n">
        <v>133.467</v>
      </c>
      <c r="F4" s="22" t="inlineStr">
        <is>
          <t>g</t>
        </is>
      </c>
      <c r="G4" s="22" t="n"/>
      <c r="H4" s="22" t="inlineStr">
        <is>
          <t>萃取＋烘乾至恆重後，瓶+脂肪</t>
        </is>
      </c>
      <c r="J4" s="20" t="inlineStr">
        <is>
          <t>黃色欄位＝原始數據。換成全班數據時：從共用 Google Sheet 複製，貼到 A2（欄位順序必須一樣），舊資料多出來的列要整列刪除。</t>
        </is>
      </c>
    </row>
    <row r="5" ht="15" customHeight="1">
      <c r="A5" s="22" t="n">
        <v>2</v>
      </c>
      <c r="B5" s="22" t="inlineStr">
        <is>
          <t>G2</t>
        </is>
      </c>
      <c r="C5" s="22" t="inlineStr">
        <is>
          <t>chips_flask_empty_g</t>
        </is>
      </c>
      <c r="D5" s="22" t="n">
        <v>1</v>
      </c>
      <c r="E5" s="22" t="n">
        <v>132.4069</v>
      </c>
      <c r="F5" s="22" t="inlineStr">
        <is>
          <t>g</t>
        </is>
      </c>
      <c r="G5" s="22" t="n"/>
      <c r="H5" s="22" t="inlineStr">
        <is>
          <t>萃取瓶(含止爆石)已烘至恆重</t>
        </is>
      </c>
      <c r="J5" s="20" t="inlineStr">
        <is>
          <t>綠色欄位＝公式，會自動算到第 1000 列，不要手動修改。</t>
        </is>
      </c>
    </row>
    <row r="6">
      <c r="A6" s="22" t="n">
        <v>2</v>
      </c>
      <c r="B6" s="22" t="inlineStr">
        <is>
          <t>G2</t>
        </is>
      </c>
      <c r="C6" s="22" t="inlineStr">
        <is>
          <t>chips_sample_dry_g</t>
        </is>
      </c>
      <c r="D6" s="22" t="n">
        <v>1</v>
      </c>
      <c r="E6" s="22" t="n">
        <v>2.9415</v>
      </c>
      <c r="F6" s="22" t="inlineStr">
        <is>
          <t>g</t>
        </is>
      </c>
      <c r="G6" s="22" t="n"/>
      <c r="H6" s="22" t="inlineStr">
        <is>
          <t>已乾燥、磨細的洋芋片樣品(沿用 W2 乾燥樣品)</t>
        </is>
      </c>
    </row>
    <row r="7">
      <c r="A7" s="22" t="n">
        <v>2</v>
      </c>
      <c r="B7" s="22" t="inlineStr">
        <is>
          <t>G2</t>
        </is>
      </c>
      <c r="C7" s="22" t="inlineStr">
        <is>
          <t>chips_flask_fat_g</t>
        </is>
      </c>
      <c r="D7" s="22" t="n">
        <v>1</v>
      </c>
      <c r="E7" s="22" t="n">
        <v>133.3981</v>
      </c>
      <c r="F7" s="22" t="inlineStr">
        <is>
          <t>g</t>
        </is>
      </c>
      <c r="G7" s="22" t="n"/>
      <c r="H7" s="22" t="inlineStr">
        <is>
          <t>萃取＋烘乾至恆重後，瓶+脂肪</t>
        </is>
      </c>
    </row>
    <row r="8">
      <c r="A8" s="22" t="n">
        <v>3</v>
      </c>
      <c r="B8" s="22" t="inlineStr">
        <is>
          <t>G3</t>
        </is>
      </c>
      <c r="C8" s="22" t="inlineStr">
        <is>
          <t>chips_flask_empty_g</t>
        </is>
      </c>
      <c r="D8" s="22" t="n">
        <v>1</v>
      </c>
      <c r="E8" s="22" t="n">
        <v>132.4053</v>
      </c>
      <c r="F8" s="22" t="inlineStr">
        <is>
          <t>g</t>
        </is>
      </c>
      <c r="G8" s="22" t="n"/>
      <c r="H8" s="22" t="inlineStr">
        <is>
          <t>萃取瓶(含止爆石)已烘至恆重</t>
        </is>
      </c>
    </row>
    <row r="9">
      <c r="A9" s="22" t="n">
        <v>3</v>
      </c>
      <c r="B9" s="22" t="inlineStr">
        <is>
          <t>G3</t>
        </is>
      </c>
      <c r="C9" s="22" t="inlineStr">
        <is>
          <t>chips_sample_dry_g</t>
        </is>
      </c>
      <c r="D9" s="22" t="n">
        <v>1</v>
      </c>
      <c r="E9" s="22" t="n">
        <v>2.9905</v>
      </c>
      <c r="F9" s="22" t="inlineStr">
        <is>
          <t>g</t>
        </is>
      </c>
      <c r="G9" s="22" t="n"/>
      <c r="H9" s="22" t="inlineStr">
        <is>
          <t>已乾燥、磨細的洋芋片樣品(沿用 W2 乾燥樣品)</t>
        </is>
      </c>
    </row>
    <row r="10">
      <c r="A10" s="22" t="n">
        <v>3</v>
      </c>
      <c r="B10" s="22" t="inlineStr">
        <is>
          <t>G3</t>
        </is>
      </c>
      <c r="C10" s="22" t="inlineStr">
        <is>
          <t>chips_flask_fat_g</t>
        </is>
      </c>
      <c r="D10" s="22" t="n">
        <v>1</v>
      </c>
      <c r="E10" s="22" t="n">
        <v>133.4515</v>
      </c>
      <c r="F10" s="22" t="inlineStr">
        <is>
          <t>g</t>
        </is>
      </c>
      <c r="G10" s="22" t="n"/>
      <c r="H10" s="22" t="inlineStr">
        <is>
          <t>萃取＋烘乾至恆重後，瓶+脂肪</t>
        </is>
      </c>
    </row>
    <row r="11">
      <c r="A11" s="22" t="n">
        <v>4</v>
      </c>
      <c r="B11" s="22" t="inlineStr">
        <is>
          <t>G4</t>
        </is>
      </c>
      <c r="C11" s="22" t="inlineStr">
        <is>
          <t>chips_flask_empty_g</t>
        </is>
      </c>
      <c r="D11" s="22" t="n">
        <v>1</v>
      </c>
      <c r="E11" s="22" t="n">
        <v>132.4033</v>
      </c>
      <c r="F11" s="22" t="inlineStr">
        <is>
          <t>g</t>
        </is>
      </c>
      <c r="G11" s="22" t="n"/>
      <c r="H11" s="22" t="inlineStr">
        <is>
          <t>萃取瓶(含止爆石)已烘至恆重</t>
        </is>
      </c>
    </row>
    <row r="12">
      <c r="A12" s="22" t="n">
        <v>4</v>
      </c>
      <c r="B12" s="22" t="inlineStr">
        <is>
          <t>G4</t>
        </is>
      </c>
      <c r="C12" s="22" t="inlineStr">
        <is>
          <t>chips_sample_dry_g</t>
        </is>
      </c>
      <c r="D12" s="22" t="n">
        <v>1</v>
      </c>
      <c r="E12" s="22" t="n">
        <v>3.0264</v>
      </c>
      <c r="F12" s="22" t="inlineStr">
        <is>
          <t>g</t>
        </is>
      </c>
      <c r="G12" s="22" t="n"/>
      <c r="H12" s="22" t="inlineStr">
        <is>
          <t>已乾燥、磨細的洋芋片樣品(沿用 W2 乾燥樣品)</t>
        </is>
      </c>
    </row>
    <row r="13">
      <c r="A13" s="22" t="n">
        <v>4</v>
      </c>
      <c r="B13" s="22" t="inlineStr">
        <is>
          <t>G4</t>
        </is>
      </c>
      <c r="C13" s="22" t="inlineStr">
        <is>
          <t>chips_flask_fat_g</t>
        </is>
      </c>
      <c r="D13" s="22" t="n">
        <v>1</v>
      </c>
      <c r="E13" s="22" t="n">
        <v>133.4861</v>
      </c>
      <c r="F13" s="22" t="inlineStr">
        <is>
          <t>g</t>
        </is>
      </c>
      <c r="G13" s="22" t="n"/>
      <c r="H13" s="22" t="inlineStr">
        <is>
          <t>萃取＋烘乾至恆重後，瓶+脂肪</t>
        </is>
      </c>
    </row>
    <row r="14">
      <c r="A14" s="22" t="n">
        <v>5</v>
      </c>
      <c r="B14" s="22" t="inlineStr">
        <is>
          <t>G5</t>
        </is>
      </c>
      <c r="C14" s="22" t="inlineStr">
        <is>
          <t>chips_flask_empty_g</t>
        </is>
      </c>
      <c r="D14" s="22" t="n">
        <v>1</v>
      </c>
      <c r="E14" s="22" t="n">
        <v>132.4051</v>
      </c>
      <c r="F14" s="22" t="inlineStr">
        <is>
          <t>g</t>
        </is>
      </c>
      <c r="G14" s="22" t="n"/>
      <c r="H14" s="22" t="inlineStr">
        <is>
          <t>萃取瓶(含止爆石)已烘至恆重</t>
        </is>
      </c>
    </row>
    <row r="15">
      <c r="A15" s="22" t="n">
        <v>5</v>
      </c>
      <c r="B15" s="22" t="inlineStr">
        <is>
          <t>G5</t>
        </is>
      </c>
      <c r="C15" s="22" t="inlineStr">
        <is>
          <t>chips_sample_dry_g</t>
        </is>
      </c>
      <c r="D15" s="22" t="n">
        <v>1</v>
      </c>
      <c r="E15" s="22" t="n">
        <v>3.0338</v>
      </c>
      <c r="F15" s="22" t="inlineStr">
        <is>
          <t>g</t>
        </is>
      </c>
      <c r="G15" s="22" t="n"/>
      <c r="H15" s="22" t="inlineStr">
        <is>
          <t>已乾燥、磨細的洋芋片樣品(沿用 W2 乾燥樣品)</t>
        </is>
      </c>
    </row>
    <row r="16">
      <c r="A16" s="22" t="n">
        <v>5</v>
      </c>
      <c r="B16" s="22" t="inlineStr">
        <is>
          <t>G5</t>
        </is>
      </c>
      <c r="C16" s="22" t="inlineStr">
        <is>
          <t>chips_flask_fat_g</t>
        </is>
      </c>
      <c r="D16" s="22" t="n">
        <v>1</v>
      </c>
      <c r="E16" s="22" t="n">
        <v>133.4811</v>
      </c>
      <c r="F16" s="22" t="inlineStr">
        <is>
          <t>g</t>
        </is>
      </c>
      <c r="G16" s="22" t="n"/>
      <c r="H16" s="22" t="inlineStr">
        <is>
          <t>萃取＋烘乾至恆重後，瓶+脂肪</t>
        </is>
      </c>
    </row>
    <row r="17">
      <c r="A17" s="22" t="n">
        <v>0</v>
      </c>
      <c r="B17" s="22" t="inlineStr">
        <is>
          <t>TA_demo</t>
        </is>
      </c>
      <c r="C17" s="22" t="inlineStr">
        <is>
          <t>fat_replicate_demo</t>
        </is>
      </c>
      <c r="D17" s="22" t="n">
        <v>1</v>
      </c>
      <c r="E17" s="22" t="n">
        <v>34.8</v>
      </c>
      <c r="F17" s="22" t="inlineStr">
        <is>
          <t>%</t>
        </is>
      </c>
      <c r="G17" s="22" t="n"/>
      <c r="H17" s="22" t="inlineStr">
        <is>
          <t>示範同一樣品三重複，用於教你算 RSD，非全班分組數據</t>
        </is>
      </c>
    </row>
    <row r="18">
      <c r="A18" s="22" t="n">
        <v>0</v>
      </c>
      <c r="B18" s="22" t="inlineStr">
        <is>
          <t>TA_demo</t>
        </is>
      </c>
      <c r="C18" s="22" t="inlineStr">
        <is>
          <t>fat_replicate_demo</t>
        </is>
      </c>
      <c r="D18" s="22" t="n">
        <v>2</v>
      </c>
      <c r="E18" s="22" t="n">
        <v>35.1</v>
      </c>
      <c r="F18" s="22" t="inlineStr">
        <is>
          <t>%</t>
        </is>
      </c>
      <c r="G18" s="22" t="n"/>
      <c r="H18" s="22" t="inlineStr">
        <is>
          <t>示範同一樣品三重複，用於教你算 RSD，非全班分組數據</t>
        </is>
      </c>
    </row>
    <row r="19">
      <c r="A19" s="22" t="n">
        <v>0</v>
      </c>
      <c r="B19" s="22" t="inlineStr">
        <is>
          <t>TA_demo</t>
        </is>
      </c>
      <c r="C19" s="22" t="inlineStr">
        <is>
          <t>fat_replicate_demo</t>
        </is>
      </c>
      <c r="D19" s="22" t="n">
        <v>3</v>
      </c>
      <c r="E19" s="22" t="n">
        <v>34.6</v>
      </c>
      <c r="F19" s="22" t="inlineStr">
        <is>
          <t>%</t>
        </is>
      </c>
      <c r="G19" s="22" t="n"/>
      <c r="H19" s="22" t="inlineStr">
        <is>
          <t>示範同一樣品三重複，用於教你算 RSD，非全班分組數據</t>
        </is>
      </c>
    </row>
    <row r="20">
      <c r="A20" s="22" t="n">
        <v>0</v>
      </c>
      <c r="B20" s="22" t="inlineStr">
        <is>
          <t>TA</t>
        </is>
      </c>
      <c r="C20" s="22" t="inlineStr">
        <is>
          <t>known_fat_reference_measured</t>
        </is>
      </c>
      <c r="D20" s="22" t="n">
        <v>1</v>
      </c>
      <c r="E20" s="22" t="n">
        <v>19.47</v>
      </c>
      <c r="F20" s="22" t="inlineStr">
        <is>
          <t>%</t>
        </is>
      </c>
      <c r="G20" s="22" t="n"/>
      <c r="H20" s="22" t="inlineStr">
        <is>
          <t>已知脂肪對照品，證書標示含量 20.0%</t>
        </is>
      </c>
    </row>
    <row r="21">
      <c r="A21" s="22" t="n">
        <v>0</v>
      </c>
      <c r="B21" s="22" t="inlineStr">
        <is>
          <t>TA</t>
        </is>
      </c>
      <c r="C21" s="22" t="inlineStr">
        <is>
          <t>solvent_blank_residue_g</t>
        </is>
      </c>
      <c r="D21" s="22" t="n">
        <v>1</v>
      </c>
      <c r="E21" s="22" t="n">
        <v>0.0007</v>
      </c>
      <c r="F21" s="22" t="inlineStr">
        <is>
          <t>g</t>
        </is>
      </c>
      <c r="G21" s="22" t="n"/>
      <c r="H21" s="22" t="inlineStr">
        <is>
          <t>只蒸乾溶劑、不含樣品，理論上應趨近於 0</t>
        </is>
      </c>
    </row>
    <row r="22">
      <c r="A22" s="22" t="n">
        <v>1</v>
      </c>
      <c r="B22" s="22" t="inlineStr">
        <is>
          <t>G1</t>
        </is>
      </c>
      <c r="C22" s="22" t="inlineStr">
        <is>
          <t>milk_blind_fat_pct</t>
        </is>
      </c>
      <c r="D22" s="22" t="n">
        <v>1</v>
      </c>
      <c r="E22" s="22" t="n">
        <v>21.13</v>
      </c>
      <c r="F22" s="22" t="inlineStr">
        <is>
          <t>%</t>
        </is>
      </c>
      <c r="G22" s="22" t="n"/>
      <c r="H22" s="22" t="inlineStr">
        <is>
          <t>全脂奶粉盲樣，直接 Soxhlet(未水解)，每組三重複</t>
        </is>
      </c>
    </row>
    <row r="23">
      <c r="A23" s="22" t="n">
        <v>1</v>
      </c>
      <c r="B23" s="22" t="inlineStr">
        <is>
          <t>G1</t>
        </is>
      </c>
      <c r="C23" s="22" t="inlineStr">
        <is>
          <t>milk_blind_fat_pct</t>
        </is>
      </c>
      <c r="D23" s="22" t="n">
        <v>2</v>
      </c>
      <c r="E23" s="22" t="n">
        <v>20.78</v>
      </c>
      <c r="F23" s="22" t="inlineStr">
        <is>
          <t>%</t>
        </is>
      </c>
      <c r="G23" s="22" t="n"/>
      <c r="H23" s="22" t="inlineStr">
        <is>
          <t>全脂奶粉盲樣，直接 Soxhlet(未水解)，每組三重複</t>
        </is>
      </c>
    </row>
    <row r="24">
      <c r="A24" s="22" t="n">
        <v>1</v>
      </c>
      <c r="B24" s="22" t="inlineStr">
        <is>
          <t>G1</t>
        </is>
      </c>
      <c r="C24" s="22" t="inlineStr">
        <is>
          <t>milk_blind_fat_pct</t>
        </is>
      </c>
      <c r="D24" s="22" t="n">
        <v>3</v>
      </c>
      <c r="E24" s="22" t="n">
        <v>20.55</v>
      </c>
      <c r="F24" s="22" t="inlineStr">
        <is>
          <t>%</t>
        </is>
      </c>
      <c r="G24" s="22" t="n"/>
      <c r="H24" s="22" t="inlineStr">
        <is>
          <t>全脂奶粉盲樣，直接 Soxhlet(未水解)，每組三重複</t>
        </is>
      </c>
    </row>
    <row r="25">
      <c r="A25" s="22" t="n">
        <v>2</v>
      </c>
      <c r="B25" s="22" t="inlineStr">
        <is>
          <t>G2</t>
        </is>
      </c>
      <c r="C25" s="22" t="inlineStr">
        <is>
          <t>milk_blind_fat_pct</t>
        </is>
      </c>
      <c r="D25" s="22" t="n">
        <v>1</v>
      </c>
      <c r="E25" s="22" t="n">
        <v>21.84</v>
      </c>
      <c r="F25" s="22" t="inlineStr">
        <is>
          <t>%</t>
        </is>
      </c>
      <c r="G25" s="22" t="n"/>
      <c r="H25" s="22" t="inlineStr">
        <is>
          <t>全脂奶粉盲樣，直接 Soxhlet(未水解)，每組三重複</t>
        </is>
      </c>
    </row>
    <row r="26">
      <c r="A26" s="22" t="n">
        <v>2</v>
      </c>
      <c r="B26" s="22" t="inlineStr">
        <is>
          <t>G2</t>
        </is>
      </c>
      <c r="C26" s="22" t="inlineStr">
        <is>
          <t>milk_blind_fat_pct</t>
        </is>
      </c>
      <c r="D26" s="22" t="n">
        <v>2</v>
      </c>
      <c r="E26" s="22" t="n">
        <v>22.06</v>
      </c>
      <c r="F26" s="22" t="inlineStr">
        <is>
          <t>%</t>
        </is>
      </c>
      <c r="G26" s="22" t="n"/>
      <c r="H26" s="22" t="inlineStr">
        <is>
          <t>全脂奶粉盲樣，直接 Soxhlet(未水解)，每組三重複</t>
        </is>
      </c>
    </row>
    <row r="27">
      <c r="A27" s="22" t="n">
        <v>2</v>
      </c>
      <c r="B27" s="22" t="inlineStr">
        <is>
          <t>G2</t>
        </is>
      </c>
      <c r="C27" s="22" t="inlineStr">
        <is>
          <t>milk_blind_fat_pct</t>
        </is>
      </c>
      <c r="D27" s="22" t="n">
        <v>3</v>
      </c>
      <c r="E27" s="22" t="n">
        <v>21.89</v>
      </c>
      <c r="F27" s="22" t="inlineStr">
        <is>
          <t>%</t>
        </is>
      </c>
      <c r="G27" s="22" t="n"/>
      <c r="H27" s="22" t="inlineStr">
        <is>
          <t>全脂奶粉盲樣，直接 Soxhlet(未水解)，每組三重複</t>
        </is>
      </c>
    </row>
    <row r="28">
      <c r="A28" s="22" t="n">
        <v>3</v>
      </c>
      <c r="B28" s="22" t="inlineStr">
        <is>
          <t>G3</t>
        </is>
      </c>
      <c r="C28" s="22" t="inlineStr">
        <is>
          <t>milk_blind_fat_pct</t>
        </is>
      </c>
      <c r="D28" s="22" t="n">
        <v>1</v>
      </c>
      <c r="E28" s="22" t="n">
        <v>21.47</v>
      </c>
      <c r="F28" s="22" t="inlineStr">
        <is>
          <t>%</t>
        </is>
      </c>
      <c r="G28" s="22" t="n"/>
      <c r="H28" s="22" t="inlineStr">
        <is>
          <t>全脂奶粉盲樣，直接 Soxhlet(未水解)，每組三重複</t>
        </is>
      </c>
    </row>
    <row r="29">
      <c r="A29" s="22" t="n">
        <v>3</v>
      </c>
      <c r="B29" s="22" t="inlineStr">
        <is>
          <t>G3</t>
        </is>
      </c>
      <c r="C29" s="22" t="inlineStr">
        <is>
          <t>milk_blind_fat_pct</t>
        </is>
      </c>
      <c r="D29" s="22" t="n">
        <v>2</v>
      </c>
      <c r="E29" s="22" t="n">
        <v>21.48</v>
      </c>
      <c r="F29" s="22" t="inlineStr">
        <is>
          <t>%</t>
        </is>
      </c>
      <c r="G29" s="22" t="n"/>
      <c r="H29" s="22" t="inlineStr">
        <is>
          <t>全脂奶粉盲樣，直接 Soxhlet(未水解)，每組三重複</t>
        </is>
      </c>
    </row>
    <row r="30">
      <c r="A30" s="22" t="n">
        <v>3</v>
      </c>
      <c r="B30" s="22" t="inlineStr">
        <is>
          <t>G3</t>
        </is>
      </c>
      <c r="C30" s="22" t="inlineStr">
        <is>
          <t>milk_blind_fat_pct</t>
        </is>
      </c>
      <c r="D30" s="22" t="n">
        <v>3</v>
      </c>
      <c r="E30" s="22" t="n">
        <v>21.16</v>
      </c>
      <c r="F30" s="22" t="inlineStr">
        <is>
          <t>%</t>
        </is>
      </c>
      <c r="G30" s="22" t="n"/>
      <c r="H30" s="22" t="inlineStr">
        <is>
          <t>全脂奶粉盲樣，直接 Soxhlet(未水解)，每組三重複</t>
        </is>
      </c>
    </row>
    <row r="31">
      <c r="A31" s="22" t="n">
        <v>4</v>
      </c>
      <c r="B31" s="22" t="inlineStr">
        <is>
          <t>G4</t>
        </is>
      </c>
      <c r="C31" s="22" t="inlineStr">
        <is>
          <t>milk_blind_fat_pct</t>
        </is>
      </c>
      <c r="D31" s="22" t="n">
        <v>1</v>
      </c>
      <c r="E31" s="22" t="n">
        <v>21.19</v>
      </c>
      <c r="F31" s="22" t="inlineStr">
        <is>
          <t>%</t>
        </is>
      </c>
      <c r="G31" s="22" t="n"/>
      <c r="H31" s="22" t="inlineStr">
        <is>
          <t>全脂奶粉盲樣，直接 Soxhlet(未水解)，每組三重複</t>
        </is>
      </c>
    </row>
    <row r="32">
      <c r="A32" s="22" t="n">
        <v>4</v>
      </c>
      <c r="B32" s="22" t="inlineStr">
        <is>
          <t>G4</t>
        </is>
      </c>
      <c r="C32" s="22" t="inlineStr">
        <is>
          <t>milk_blind_fat_pct</t>
        </is>
      </c>
      <c r="D32" s="22" t="n">
        <v>2</v>
      </c>
      <c r="E32" s="22" t="n">
        <v>21.16</v>
      </c>
      <c r="F32" s="22" t="inlineStr">
        <is>
          <t>%</t>
        </is>
      </c>
      <c r="G32" s="22" t="n"/>
      <c r="H32" s="22" t="inlineStr">
        <is>
          <t>全脂奶粉盲樣，直接 Soxhlet(未水解)，每組三重複</t>
        </is>
      </c>
    </row>
    <row r="33">
      <c r="A33" s="22" t="n">
        <v>4</v>
      </c>
      <c r="B33" s="22" t="inlineStr">
        <is>
          <t>G4</t>
        </is>
      </c>
      <c r="C33" s="22" t="inlineStr">
        <is>
          <t>milk_blind_fat_pct</t>
        </is>
      </c>
      <c r="D33" s="22" t="n">
        <v>3</v>
      </c>
      <c r="E33" s="22" t="n">
        <v>21.52</v>
      </c>
      <c r="F33" s="22" t="inlineStr">
        <is>
          <t>%</t>
        </is>
      </c>
      <c r="G33" s="22" t="n"/>
      <c r="H33" s="22" t="inlineStr">
        <is>
          <t>全脂奶粉盲樣，直接 Soxhlet(未水解)，每組三重複</t>
        </is>
      </c>
    </row>
    <row r="34">
      <c r="A34" s="22" t="n">
        <v>5</v>
      </c>
      <c r="B34" s="22" t="inlineStr">
        <is>
          <t>G5</t>
        </is>
      </c>
      <c r="C34" s="22" t="inlineStr">
        <is>
          <t>milk_blind_fat_pct</t>
        </is>
      </c>
      <c r="D34" s="22" t="n">
        <v>1</v>
      </c>
      <c r="E34" s="22" t="n">
        <v>21.14</v>
      </c>
      <c r="F34" s="22" t="inlineStr">
        <is>
          <t>%</t>
        </is>
      </c>
      <c r="G34" s="22" t="n"/>
      <c r="H34" s="22" t="inlineStr">
        <is>
          <t>全脂奶粉盲樣，直接 Soxhlet(未水解)，每組三重複</t>
        </is>
      </c>
    </row>
    <row r="35">
      <c r="A35" s="22" t="n">
        <v>5</v>
      </c>
      <c r="B35" s="22" t="inlineStr">
        <is>
          <t>G5</t>
        </is>
      </c>
      <c r="C35" s="22" t="inlineStr">
        <is>
          <t>milk_blind_fat_pct</t>
        </is>
      </c>
      <c r="D35" s="22" t="n">
        <v>2</v>
      </c>
      <c r="E35" s="22" t="n">
        <v>21.27</v>
      </c>
      <c r="F35" s="22" t="inlineStr">
        <is>
          <t>%</t>
        </is>
      </c>
      <c r="G35" s="22" t="n"/>
      <c r="H35" s="22" t="inlineStr">
        <is>
          <t>全脂奶粉盲樣，直接 Soxhlet(未水解)，每組三重複</t>
        </is>
      </c>
    </row>
    <row r="36">
      <c r="A36" s="22" t="n">
        <v>5</v>
      </c>
      <c r="B36" s="22" t="inlineStr">
        <is>
          <t>G5</t>
        </is>
      </c>
      <c r="C36" s="22" t="inlineStr">
        <is>
          <t>milk_blind_fat_pct</t>
        </is>
      </c>
      <c r="D36" s="22" t="n">
        <v>3</v>
      </c>
      <c r="E36" s="22" t="n">
        <v>20.56</v>
      </c>
      <c r="F36" s="22" t="inlineStr">
        <is>
          <t>%</t>
        </is>
      </c>
      <c r="G36" s="22" t="n"/>
      <c r="H36" s="22" t="inlineStr">
        <is>
          <t>全脂奶粉盲樣，直接 Soxhlet(未水解)，每組三重複</t>
        </is>
      </c>
    </row>
    <row r="37">
      <c r="A37" s="22" t="n">
        <v>0</v>
      </c>
      <c r="B37" s="22" t="inlineStr">
        <is>
          <t>reference_lab</t>
        </is>
      </c>
      <c r="C37" s="22" t="inlineStr">
        <is>
          <t>milk_blind_RG_reference</t>
        </is>
      </c>
      <c r="D37" s="22" t="n">
        <v>1</v>
      </c>
      <c r="E37" s="22" t="n">
        <v>25.7</v>
      </c>
      <c r="F37" s="22" t="inlineStr">
        <is>
          <t>%</t>
        </is>
      </c>
      <c r="G37" s="22" t="n"/>
      <c r="H37" s="22" t="inlineStr">
        <is>
          <t>Röse-Gottlieb 參考法數值，TA/參考實驗室提供，非本班本週測值</t>
        </is>
      </c>
    </row>
    <row r="38">
      <c r="A38" s="22" t="n">
        <v>0</v>
      </c>
      <c r="B38" s="22" t="inlineStr">
        <is>
          <t>label</t>
        </is>
      </c>
      <c r="C38" s="22" t="inlineStr">
        <is>
          <t>milk_blind_label</t>
        </is>
      </c>
      <c r="D38" s="22" t="n">
        <v>1</v>
      </c>
      <c r="E38" s="22" t="n">
        <v>26</v>
      </c>
      <c r="F38" s="22" t="inlineStr">
        <is>
          <t>%</t>
        </is>
      </c>
      <c r="G38" s="22" t="n"/>
      <c r="H38" s="22" t="inlineStr">
        <is>
          <t>產品標示值</t>
        </is>
      </c>
    </row>
    <row r="39">
      <c r="A39" s="22" t="n">
        <v>0</v>
      </c>
      <c r="B39" s="22" t="inlineStr">
        <is>
          <t>shared</t>
        </is>
      </c>
      <c r="C39" s="22" t="inlineStr">
        <is>
          <t>chips_moisture_pct_wet</t>
        </is>
      </c>
      <c r="D39" s="22" t="n">
        <v>1</v>
      </c>
      <c r="E39" s="22" t="n">
        <v>2</v>
      </c>
      <c r="F39" s="22" t="inlineStr">
        <is>
          <t>%</t>
        </is>
      </c>
      <c r="G39" s="22" t="n"/>
      <c r="H39" s="22" t="inlineStr">
        <is>
          <t>取自 W2 該批洋芋片的濕基水分測定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13" customWidth="1" min="4" max="4"/>
    <col width="13" customWidth="1" min="5" max="5"/>
    <col width="13" customWidth="1" min="6" max="6"/>
    <col width="12" customWidth="1" min="7" max="7"/>
    <col width="13" customWidth="1" min="8" max="8"/>
    <col width="15" customWidth="1" min="9" max="9"/>
    <col width="3" customWidth="1" min="10" max="10"/>
    <col width="60" customWidth="1" min="11" max="11"/>
  </cols>
  <sheetData>
    <row r="1">
      <c r="B1" s="1" t="inlineStr">
        <is>
          <t>步驟 1　洋芋片粗脂肪 %（以乾樣品計）</t>
        </is>
      </c>
    </row>
    <row r="2" ht="32" customHeight="1">
      <c r="B2" s="20" t="inlineStr">
        <is>
          <t>粗脂肪 % = [W(瓶+脂肪) − W(空瓶)] ÷ W(樣品) × 100。樣品秤入套管前已經乾燥過，所以分母是「乾樣品」，得到的是乾基的 %。兩個瓶重都必須是恆重（連續兩次秤重穩定）。</t>
        </is>
      </c>
    </row>
    <row r="4">
      <c r="B4" s="23" t="inlineStr">
        <is>
          <t>溶劑空白殘留 (g)</t>
        </is>
      </c>
      <c r="C4" s="24" t="n"/>
      <c r="D4" s="25" t="n"/>
      <c r="E4" s="11">
        <f>IF(COUNTIFS('1_原始數據'!$C$2:$C$1000,"solvent_blank_residue_g")=0,"",AVERAGEIFS('1_原始數據'!$E$2:$E$1000,'1_原始數據'!$C$2:$C$1000,"solvent_blank_residue_g"))</f>
        <v/>
      </c>
      <c r="K4" s="20" t="inlineStr">
        <is>
          <t>只蒸乾溶劑、不放樣品的殘留重，理論上應趨近於 0。I 欄示範把它從脂肪重扣掉（練習題 1 用）。</t>
        </is>
      </c>
    </row>
    <row r="5"/>
    <row r="6" ht="36" customHeight="1">
      <c r="B6" s="9" t="inlineStr">
        <is>
          <t>組別</t>
        </is>
      </c>
      <c r="C6" s="9" t="inlineStr">
        <is>
          <t>學生</t>
        </is>
      </c>
      <c r="D6" s="9" t="inlineStr">
        <is>
          <t>空瓶 (g)</t>
        </is>
      </c>
      <c r="E6" s="9" t="inlineStr">
        <is>
          <t>樣品乾重 (g)</t>
        </is>
      </c>
      <c r="F6" s="9" t="inlineStr">
        <is>
          <t>瓶+脂肪 (g)</t>
        </is>
      </c>
      <c r="G6" s="9" t="inlineStr">
        <is>
          <t>脂肪重 (g)</t>
        </is>
      </c>
      <c r="H6" s="9" t="inlineStr">
        <is>
          <t>粗脂肪 %
(乾基)</t>
        </is>
      </c>
      <c r="I6" s="9" t="inlineStr">
        <is>
          <t>扣除溶劑空白後
粗脂肪 % (乾基)</t>
        </is>
      </c>
    </row>
    <row r="7">
      <c r="B7" s="5" t="n">
        <v>1</v>
      </c>
      <c r="C7" s="13">
        <f>IF(B7="","",IFERROR(INDEX('1_原始數據'!$B$2:$B$1000,MATCH(B7,'1_原始數據'!$A$2:$A$1000,0)),""))</f>
        <v/>
      </c>
      <c r="D7" s="11">
        <f>IF(B7="","",IF(COUNTIFS('1_原始數據'!$A$2:$A$1000,B7,'1_原始數據'!$C$2:$C$1000,"chips_flask_empty_g")=0,"",AVERAGEIFS('1_原始數據'!$E$2:$E$1000,'1_原始數據'!$A$2:$A$1000,B7,'1_原始數據'!$C$2:$C$1000,"chips_flask_empty_g")))</f>
        <v/>
      </c>
      <c r="E7" s="11">
        <f>IF(B7="","",IF(COUNTIFS('1_原始數據'!$A$2:$A$1000,B7,'1_原始數據'!$C$2:$C$1000,"chips_sample_dry_g")=0,"",AVERAGEIFS('1_原始數據'!$E$2:$E$1000,'1_原始數據'!$A$2:$A$1000,B7,'1_原始數據'!$C$2:$C$1000,"chips_sample_dry_g")))</f>
        <v/>
      </c>
      <c r="F7" s="11">
        <f>IF(B7="","",IF(COUNTIFS('1_原始數據'!$A$2:$A$1000,B7,'1_原始數據'!$C$2:$C$1000,"chips_flask_fat_g")=0,"",AVERAGEIFS('1_原始數據'!$E$2:$E$1000,'1_原始數據'!$A$2:$A$1000,B7,'1_原始數據'!$C$2:$C$1000,"chips_flask_fat_g")))</f>
        <v/>
      </c>
      <c r="G7" s="11">
        <f>IF(OR(D7="",F7=""),"",F7-D7)</f>
        <v/>
      </c>
      <c r="H7" s="26">
        <f>IF(OR(G7="",E7=""),"",G7/E7*100)</f>
        <v/>
      </c>
      <c r="I7" s="16">
        <f>IF(H7="","",(G7-$E$4)/E7*100)</f>
        <v/>
      </c>
      <c r="K7" s="20" t="inlineStr">
        <is>
          <t>D–F 欄用 AVERAGEIFS（依條件平均）從原始數據抓「這一組、這個 item」的秤重。每組只秤一次，所以平均就是那個值。C 欄用 INDEX/MATCH 找這一組的學生代號。</t>
        </is>
      </c>
    </row>
    <row r="8">
      <c r="B8" s="5" t="n">
        <v>2</v>
      </c>
      <c r="C8" s="13">
        <f>IF(B8="","",IFERROR(INDEX('1_原始數據'!$B$2:$B$1000,MATCH(B8,'1_原始數據'!$A$2:$A$1000,0)),""))</f>
        <v/>
      </c>
      <c r="D8" s="11">
        <f>IF(B8="","",IF(COUNTIFS('1_原始數據'!$A$2:$A$1000,B8,'1_原始數據'!$C$2:$C$1000,"chips_flask_empty_g")=0,"",AVERAGEIFS('1_原始數據'!$E$2:$E$1000,'1_原始數據'!$A$2:$A$1000,B8,'1_原始數據'!$C$2:$C$1000,"chips_flask_empty_g")))</f>
        <v/>
      </c>
      <c r="E8" s="11">
        <f>IF(B8="","",IF(COUNTIFS('1_原始數據'!$A$2:$A$1000,B8,'1_原始數據'!$C$2:$C$1000,"chips_sample_dry_g")=0,"",AVERAGEIFS('1_原始數據'!$E$2:$E$1000,'1_原始數據'!$A$2:$A$1000,B8,'1_原始數據'!$C$2:$C$1000,"chips_sample_dry_g")))</f>
        <v/>
      </c>
      <c r="F8" s="11">
        <f>IF(B8="","",IF(COUNTIFS('1_原始數據'!$A$2:$A$1000,B8,'1_原始數據'!$C$2:$C$1000,"chips_flask_fat_g")=0,"",AVERAGEIFS('1_原始數據'!$E$2:$E$1000,'1_原始數據'!$A$2:$A$1000,B8,'1_原始數據'!$C$2:$C$1000,"chips_flask_fat_g")))</f>
        <v/>
      </c>
      <c r="G8" s="11">
        <f>IF(OR(D8="",F8=""),"",F8-D8)</f>
        <v/>
      </c>
      <c r="H8" s="26">
        <f>IF(OR(G8="",E8=""),"",G8/E8*100)</f>
        <v/>
      </c>
      <c r="I8" s="16">
        <f>IF(H8="","",(G8-$E$4)/E8*100)</f>
        <v/>
      </c>
    </row>
    <row r="9">
      <c r="B9" s="5" t="n">
        <v>3</v>
      </c>
      <c r="C9" s="13">
        <f>IF(B9="","",IFERROR(INDEX('1_原始數據'!$B$2:$B$1000,MATCH(B9,'1_原始數據'!$A$2:$A$1000,0)),""))</f>
        <v/>
      </c>
      <c r="D9" s="11">
        <f>IF(B9="","",IF(COUNTIFS('1_原始數據'!$A$2:$A$1000,B9,'1_原始數據'!$C$2:$C$1000,"chips_flask_empty_g")=0,"",AVERAGEIFS('1_原始數據'!$E$2:$E$1000,'1_原始數據'!$A$2:$A$1000,B9,'1_原始數據'!$C$2:$C$1000,"chips_flask_empty_g")))</f>
        <v/>
      </c>
      <c r="E9" s="11">
        <f>IF(B9="","",IF(COUNTIFS('1_原始數據'!$A$2:$A$1000,B9,'1_原始數據'!$C$2:$C$1000,"chips_sample_dry_g")=0,"",AVERAGEIFS('1_原始數據'!$E$2:$E$1000,'1_原始數據'!$A$2:$A$1000,B9,'1_原始數據'!$C$2:$C$1000,"chips_sample_dry_g")))</f>
        <v/>
      </c>
      <c r="F9" s="11">
        <f>IF(B9="","",IF(COUNTIFS('1_原始數據'!$A$2:$A$1000,B9,'1_原始數據'!$C$2:$C$1000,"chips_flask_fat_g")=0,"",AVERAGEIFS('1_原始數據'!$E$2:$E$1000,'1_原始數據'!$A$2:$A$1000,B9,'1_原始數據'!$C$2:$C$1000,"chips_flask_fat_g")))</f>
        <v/>
      </c>
      <c r="G9" s="11">
        <f>IF(OR(D9="",F9=""),"",F9-D9)</f>
        <v/>
      </c>
      <c r="H9" s="26">
        <f>IF(OR(G9="",E9=""),"",G9/E9*100)</f>
        <v/>
      </c>
      <c r="I9" s="16">
        <f>IF(H9="","",(G9-$E$4)/E9*100)</f>
        <v/>
      </c>
    </row>
    <row r="10">
      <c r="B10" s="5" t="n">
        <v>4</v>
      </c>
      <c r="C10" s="13">
        <f>IF(B10="","",IFERROR(INDEX('1_原始數據'!$B$2:$B$1000,MATCH(B10,'1_原始數據'!$A$2:$A$1000,0)),""))</f>
        <v/>
      </c>
      <c r="D10" s="11">
        <f>IF(B10="","",IF(COUNTIFS('1_原始數據'!$A$2:$A$1000,B10,'1_原始數據'!$C$2:$C$1000,"chips_flask_empty_g")=0,"",AVERAGEIFS('1_原始數據'!$E$2:$E$1000,'1_原始數據'!$A$2:$A$1000,B10,'1_原始數據'!$C$2:$C$1000,"chips_flask_empty_g")))</f>
        <v/>
      </c>
      <c r="E10" s="11">
        <f>IF(B10="","",IF(COUNTIFS('1_原始數據'!$A$2:$A$1000,B10,'1_原始數據'!$C$2:$C$1000,"chips_sample_dry_g")=0,"",AVERAGEIFS('1_原始數據'!$E$2:$E$1000,'1_原始數據'!$A$2:$A$1000,B10,'1_原始數據'!$C$2:$C$1000,"chips_sample_dry_g")))</f>
        <v/>
      </c>
      <c r="F10" s="11">
        <f>IF(B10="","",IF(COUNTIFS('1_原始數據'!$A$2:$A$1000,B10,'1_原始數據'!$C$2:$C$1000,"chips_flask_fat_g")=0,"",AVERAGEIFS('1_原始數據'!$E$2:$E$1000,'1_原始數據'!$A$2:$A$1000,B10,'1_原始數據'!$C$2:$C$1000,"chips_flask_fat_g")))</f>
        <v/>
      </c>
      <c r="G10" s="11">
        <f>IF(OR(D10="",F10=""),"",F10-D10)</f>
        <v/>
      </c>
      <c r="H10" s="26">
        <f>IF(OR(G10="",E10=""),"",G10/E10*100)</f>
        <v/>
      </c>
      <c r="I10" s="16">
        <f>IF(H10="","",(G10-$E$4)/E10*100)</f>
        <v/>
      </c>
      <c r="K10" s="20" t="inlineStr">
        <is>
          <t>G＝脂肪重＝瓶+脂肪 − 空瓶；H＝G ÷ 樣品乾重 × 100。組數比較多時在 B 欄空白黃色格補上組別。</t>
        </is>
      </c>
    </row>
    <row r="11">
      <c r="B11" s="5" t="n">
        <v>5</v>
      </c>
      <c r="C11" s="13">
        <f>IF(B11="","",IFERROR(INDEX('1_原始數據'!$B$2:$B$1000,MATCH(B11,'1_原始數據'!$A$2:$A$1000,0)),""))</f>
        <v/>
      </c>
      <c r="D11" s="11">
        <f>IF(B11="","",IF(COUNTIFS('1_原始數據'!$A$2:$A$1000,B11,'1_原始數據'!$C$2:$C$1000,"chips_flask_empty_g")=0,"",AVERAGEIFS('1_原始數據'!$E$2:$E$1000,'1_原始數據'!$A$2:$A$1000,B11,'1_原始數據'!$C$2:$C$1000,"chips_flask_empty_g")))</f>
        <v/>
      </c>
      <c r="E11" s="11">
        <f>IF(B11="","",IF(COUNTIFS('1_原始數據'!$A$2:$A$1000,B11,'1_原始數據'!$C$2:$C$1000,"chips_sample_dry_g")=0,"",AVERAGEIFS('1_原始數據'!$E$2:$E$1000,'1_原始數據'!$A$2:$A$1000,B11,'1_原始數據'!$C$2:$C$1000,"chips_sample_dry_g")))</f>
        <v/>
      </c>
      <c r="F11" s="11">
        <f>IF(B11="","",IF(COUNTIFS('1_原始數據'!$A$2:$A$1000,B11,'1_原始數據'!$C$2:$C$1000,"chips_flask_fat_g")=0,"",AVERAGEIFS('1_原始數據'!$E$2:$E$1000,'1_原始數據'!$A$2:$A$1000,B11,'1_原始數據'!$C$2:$C$1000,"chips_flask_fat_g")))</f>
        <v/>
      </c>
      <c r="G11" s="11">
        <f>IF(OR(D11="",F11=""),"",F11-D11)</f>
        <v/>
      </c>
      <c r="H11" s="26">
        <f>IF(OR(G11="",E11=""),"",G11/E11*100)</f>
        <v/>
      </c>
      <c r="I11" s="16">
        <f>IF(H11="","",(G11-$E$4)/E11*100)</f>
        <v/>
      </c>
    </row>
    <row r="12">
      <c r="B12" s="5" t="n"/>
      <c r="C12" s="13">
        <f>IF(B12="","",IFERROR(INDEX('1_原始數據'!$B$2:$B$1000,MATCH(B12,'1_原始數據'!$A$2:$A$1000,0)),""))</f>
        <v/>
      </c>
      <c r="D12" s="11">
        <f>IF(B12="","",IF(COUNTIFS('1_原始數據'!$A$2:$A$1000,B12,'1_原始數據'!$C$2:$C$1000,"chips_flask_empty_g")=0,"",AVERAGEIFS('1_原始數據'!$E$2:$E$1000,'1_原始數據'!$A$2:$A$1000,B12,'1_原始數據'!$C$2:$C$1000,"chips_flask_empty_g")))</f>
        <v/>
      </c>
      <c r="E12" s="11">
        <f>IF(B12="","",IF(COUNTIFS('1_原始數據'!$A$2:$A$1000,B12,'1_原始數據'!$C$2:$C$1000,"chips_sample_dry_g")=0,"",AVERAGEIFS('1_原始數據'!$E$2:$E$1000,'1_原始數據'!$A$2:$A$1000,B12,'1_原始數據'!$C$2:$C$1000,"chips_sample_dry_g")))</f>
        <v/>
      </c>
      <c r="F12" s="11">
        <f>IF(B12="","",IF(COUNTIFS('1_原始數據'!$A$2:$A$1000,B12,'1_原始數據'!$C$2:$C$1000,"chips_flask_fat_g")=0,"",AVERAGEIFS('1_原始數據'!$E$2:$E$1000,'1_原始數據'!$A$2:$A$1000,B12,'1_原始數據'!$C$2:$C$1000,"chips_flask_fat_g")))</f>
        <v/>
      </c>
      <c r="G12" s="11">
        <f>IF(OR(D12="",F12=""),"",F12-D12)</f>
        <v/>
      </c>
      <c r="H12" s="26">
        <f>IF(OR(G12="",E12=""),"",G12/E12*100)</f>
        <v/>
      </c>
      <c r="I12" s="16">
        <f>IF(H12="","",(G12-$E$4)/E12*100)</f>
        <v/>
      </c>
    </row>
    <row r="13">
      <c r="B13" s="5" t="n"/>
      <c r="C13" s="13">
        <f>IF(B13="","",IFERROR(INDEX('1_原始數據'!$B$2:$B$1000,MATCH(B13,'1_原始數據'!$A$2:$A$1000,0)),""))</f>
        <v/>
      </c>
      <c r="D13" s="11">
        <f>IF(B13="","",IF(COUNTIFS('1_原始數據'!$A$2:$A$1000,B13,'1_原始數據'!$C$2:$C$1000,"chips_flask_empty_g")=0,"",AVERAGEIFS('1_原始數據'!$E$2:$E$1000,'1_原始數據'!$A$2:$A$1000,B13,'1_原始數據'!$C$2:$C$1000,"chips_flask_empty_g")))</f>
        <v/>
      </c>
      <c r="E13" s="11">
        <f>IF(B13="","",IF(COUNTIFS('1_原始數據'!$A$2:$A$1000,B13,'1_原始數據'!$C$2:$C$1000,"chips_sample_dry_g")=0,"",AVERAGEIFS('1_原始數據'!$E$2:$E$1000,'1_原始數據'!$A$2:$A$1000,B13,'1_原始數據'!$C$2:$C$1000,"chips_sample_dry_g")))</f>
        <v/>
      </c>
      <c r="F13" s="11">
        <f>IF(B13="","",IF(COUNTIFS('1_原始數據'!$A$2:$A$1000,B13,'1_原始數據'!$C$2:$C$1000,"chips_flask_fat_g")=0,"",AVERAGEIFS('1_原始數據'!$E$2:$E$1000,'1_原始數據'!$A$2:$A$1000,B13,'1_原始數據'!$C$2:$C$1000,"chips_flask_fat_g")))</f>
        <v/>
      </c>
      <c r="G13" s="11">
        <f>IF(OR(D13="",F13=""),"",F13-D13)</f>
        <v/>
      </c>
      <c r="H13" s="26">
        <f>IF(OR(G13="",E13=""),"",G13/E13*100)</f>
        <v/>
      </c>
      <c r="I13" s="16">
        <f>IF(H13="","",(G13-$E$4)/E13*100)</f>
        <v/>
      </c>
    </row>
    <row r="14">
      <c r="B14" s="5" t="n"/>
      <c r="C14" s="13">
        <f>IF(B14="","",IFERROR(INDEX('1_原始數據'!$B$2:$B$1000,MATCH(B14,'1_原始數據'!$A$2:$A$1000,0)),""))</f>
        <v/>
      </c>
      <c r="D14" s="11">
        <f>IF(B14="","",IF(COUNTIFS('1_原始數據'!$A$2:$A$1000,B14,'1_原始數據'!$C$2:$C$1000,"chips_flask_empty_g")=0,"",AVERAGEIFS('1_原始數據'!$E$2:$E$1000,'1_原始數據'!$A$2:$A$1000,B14,'1_原始數據'!$C$2:$C$1000,"chips_flask_empty_g")))</f>
        <v/>
      </c>
      <c r="E14" s="11">
        <f>IF(B14="","",IF(COUNTIFS('1_原始數據'!$A$2:$A$1000,B14,'1_原始數據'!$C$2:$C$1000,"chips_sample_dry_g")=0,"",AVERAGEIFS('1_原始數據'!$E$2:$E$1000,'1_原始數據'!$A$2:$A$1000,B14,'1_原始數據'!$C$2:$C$1000,"chips_sample_dry_g")))</f>
        <v/>
      </c>
      <c r="F14" s="11">
        <f>IF(B14="","",IF(COUNTIFS('1_原始數據'!$A$2:$A$1000,B14,'1_原始數據'!$C$2:$C$1000,"chips_flask_fat_g")=0,"",AVERAGEIFS('1_原始數據'!$E$2:$E$1000,'1_原始數據'!$A$2:$A$1000,B14,'1_原始數據'!$C$2:$C$1000,"chips_flask_fat_g")))</f>
        <v/>
      </c>
      <c r="G14" s="11">
        <f>IF(OR(D14="",F14=""),"",F14-D14)</f>
        <v/>
      </c>
      <c r="H14" s="26">
        <f>IF(OR(G14="",E14=""),"",G14/E14*100)</f>
        <v/>
      </c>
      <c r="I14" s="16">
        <f>IF(H14="","",(G14-$E$4)/E14*100)</f>
        <v/>
      </c>
    </row>
    <row r="16">
      <c r="B16" s="3" t="inlineStr">
        <is>
          <t>全班（各組一個值）</t>
        </is>
      </c>
    </row>
    <row r="17">
      <c r="B17" s="23" t="inlineStr">
        <is>
          <t>組數</t>
        </is>
      </c>
      <c r="C17" s="24" t="n"/>
      <c r="D17" s="25" t="n"/>
      <c r="E17" s="27">
        <f>COUNT(H7:H14)</f>
        <v/>
      </c>
      <c r="K17" s="20" t="inlineStr">
        <is>
          <t>COUNT：數有幾個數字。</t>
        </is>
      </c>
    </row>
    <row r="18">
      <c r="B18" s="23" t="inlineStr">
        <is>
          <t>平均 (%)</t>
        </is>
      </c>
      <c r="C18" s="24" t="n"/>
      <c r="D18" s="25" t="n"/>
      <c r="E18" s="26">
        <f>AVERAGE(H7:H14)</f>
        <v/>
      </c>
      <c r="K18" s="20" t="inlineStr">
        <is>
          <t>各組粗脂肪 %（乾基）的平均。</t>
        </is>
      </c>
    </row>
    <row r="19">
      <c r="B19" s="23" t="inlineStr">
        <is>
          <t>SD (%)</t>
        </is>
      </c>
      <c r="C19" s="24" t="n"/>
      <c r="D19" s="25" t="n"/>
      <c r="E19" s="26">
        <f>_xlfn.STDEV.S(H7:H14)</f>
        <v/>
      </c>
      <c r="K19" s="20" t="inlineStr">
        <is>
          <t>STDEV.S：樣本標準差（除以 n−1），代表組與組之間差多少。</t>
        </is>
      </c>
    </row>
    <row r="20">
      <c r="B20" s="23" t="inlineStr">
        <is>
          <t>RSD (%)</t>
        </is>
      </c>
      <c r="C20" s="24" t="n"/>
      <c r="D20" s="25" t="n"/>
      <c r="E20" s="16">
        <f>E19/E18*100</f>
        <v/>
      </c>
      <c r="K20" s="20" t="inlineStr">
        <is>
          <t>RSD = SD ÷ 平均 × 100。</t>
        </is>
      </c>
    </row>
  </sheetData>
  <mergeCells count="9">
    <mergeCell ref="K10:K12"/>
    <mergeCell ref="B19:D19"/>
    <mergeCell ref="K7:K9"/>
    <mergeCell ref="B4:D4"/>
    <mergeCell ref="K4:K5"/>
    <mergeCell ref="B17:D17"/>
    <mergeCell ref="B18:D18"/>
    <mergeCell ref="B2:K2"/>
    <mergeCell ref="B20:D20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H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3" customWidth="1" min="7" max="7"/>
    <col width="60" customWidth="1" min="8" max="8"/>
  </cols>
  <sheetData>
    <row r="1">
      <c r="B1" s="1" t="inlineStr">
        <is>
          <t>步驟 2　乾基換算回濕基</t>
        </is>
      </c>
    </row>
    <row r="2" ht="32" customHeight="1">
      <c r="B2" s="20" t="inlineStr">
        <is>
          <t>樣品是先乾燥才萃取的，所以步驟 1 的 % 是「每 100 g 乾樣品」的脂肪。要換回「每 100 g 原本（濕）樣品」，要乘上乾物質的比例（1 − 水分%）。水分用 W2 對同一批洋芋片的濕基測定值。</t>
        </is>
      </c>
    </row>
    <row r="4">
      <c r="B4" s="23" t="inlineStr">
        <is>
          <t>水分 %（濕基，取自 W2）</t>
        </is>
      </c>
      <c r="C4" s="24" t="n"/>
      <c r="D4" s="25" t="n"/>
      <c r="E4" s="16">
        <f>IF(COUNTIFS('1_原始數據'!$C$2:$C$1000,"chips_moisture_pct_wet")=0,"",AVERAGEIFS('1_原始數據'!$E$2:$E$1000,'1_原始數據'!$C$2:$C$1000,"chips_moisture_pct_wet"))</f>
        <v/>
      </c>
      <c r="H4" s="20" t="inlineStr">
        <is>
          <t>從原始數據 item = chips_moisture_pct_wet 那一列抓。</t>
        </is>
      </c>
    </row>
    <row r="5">
      <c r="B5" s="23" t="inlineStr">
        <is>
          <t>乾物質比例 = 1 − 水分% ÷ 100</t>
        </is>
      </c>
      <c r="C5" s="24" t="n"/>
      <c r="D5" s="25" t="n"/>
      <c r="E5" s="11">
        <f>1-E4/100</f>
        <v/>
      </c>
      <c r="H5" s="20" t="inlineStr">
        <is>
          <t>公式：粗脂肪 %(濕基) = 粗脂肪 %(乾基) × (1 − 水分 %)。水分越高，濕基的脂肪 % 越低。</t>
        </is>
      </c>
    </row>
    <row r="7" ht="30" customHeight="1">
      <c r="B7" s="9" t="inlineStr">
        <is>
          <t>組別</t>
        </is>
      </c>
      <c r="C7" s="9" t="inlineStr">
        <is>
          <t>學生</t>
        </is>
      </c>
      <c r="D7" s="9" t="inlineStr">
        <is>
          <t>粗脂肪 % (乾基)</t>
        </is>
      </c>
      <c r="E7" s="9" t="inlineStr">
        <is>
          <t>粗脂肪 % (濕基)</t>
        </is>
      </c>
      <c r="F7" s="9" t="inlineStr">
        <is>
          <t>差 (百分點)</t>
        </is>
      </c>
    </row>
    <row r="8">
      <c r="B8" s="27">
        <f>IF('2_粗脂肪'!B7="","",'2_粗脂肪'!B7)</f>
        <v/>
      </c>
      <c r="C8" s="13">
        <f>'2_粗脂肪'!C7</f>
        <v/>
      </c>
      <c r="D8" s="16">
        <f>'2_粗脂肪'!H7</f>
        <v/>
      </c>
      <c r="E8" s="26">
        <f>IF(D8="","",D8*$E$5)</f>
        <v/>
      </c>
      <c r="F8" s="16">
        <f>IF(D8="","",D8-E8)</f>
        <v/>
      </c>
      <c r="H8" s="20" t="inlineStr">
        <is>
          <t>B–D 欄直接連到「2_粗脂肪」。E 欄 = D × 乾物質比例（$E$5 的 $ 代表往下複製時固定參照 E5）。</t>
        </is>
      </c>
    </row>
    <row r="9">
      <c r="B9" s="27">
        <f>IF('2_粗脂肪'!B8="","",'2_粗脂肪'!B8)</f>
        <v/>
      </c>
      <c r="C9" s="13">
        <f>'2_粗脂肪'!C8</f>
        <v/>
      </c>
      <c r="D9" s="16">
        <f>'2_粗脂肪'!H8</f>
        <v/>
      </c>
      <c r="E9" s="26">
        <f>IF(D9="","",D9*$E$5)</f>
        <v/>
      </c>
      <c r="F9" s="16">
        <f>IF(D9="","",D9-E9)</f>
        <v/>
      </c>
    </row>
    <row r="10">
      <c r="B10" s="27">
        <f>IF('2_粗脂肪'!B9="","",'2_粗脂肪'!B9)</f>
        <v/>
      </c>
      <c r="C10" s="13">
        <f>'2_粗脂肪'!C9</f>
        <v/>
      </c>
      <c r="D10" s="16">
        <f>'2_粗脂肪'!H9</f>
        <v/>
      </c>
      <c r="E10" s="26">
        <f>IF(D10="","",D10*$E$5)</f>
        <v/>
      </c>
      <c r="F10" s="16">
        <f>IF(D10="","",D10-E10)</f>
        <v/>
      </c>
    </row>
    <row r="11">
      <c r="B11" s="27">
        <f>IF('2_粗脂肪'!B10="","",'2_粗脂肪'!B10)</f>
        <v/>
      </c>
      <c r="C11" s="13">
        <f>'2_粗脂肪'!C10</f>
        <v/>
      </c>
      <c r="D11" s="16">
        <f>'2_粗脂肪'!H10</f>
        <v/>
      </c>
      <c r="E11" s="26">
        <f>IF(D11="","",D11*$E$5)</f>
        <v/>
      </c>
      <c r="F11" s="16">
        <f>IF(D11="","",D11-E11)</f>
        <v/>
      </c>
    </row>
    <row r="12">
      <c r="B12" s="27">
        <f>IF('2_粗脂肪'!B11="","",'2_粗脂肪'!B11)</f>
        <v/>
      </c>
      <c r="C12" s="13">
        <f>'2_粗脂肪'!C11</f>
        <v/>
      </c>
      <c r="D12" s="16">
        <f>'2_粗脂肪'!H11</f>
        <v/>
      </c>
      <c r="E12" s="26">
        <f>IF(D12="","",D12*$E$5)</f>
        <v/>
      </c>
      <c r="F12" s="16">
        <f>IF(D12="","",D12-E12)</f>
        <v/>
      </c>
    </row>
    <row r="13">
      <c r="B13" s="27">
        <f>IF('2_粗脂肪'!B12="","",'2_粗脂肪'!B12)</f>
        <v/>
      </c>
      <c r="C13" s="13">
        <f>'2_粗脂肪'!C12</f>
        <v/>
      </c>
      <c r="D13" s="16">
        <f>'2_粗脂肪'!H12</f>
        <v/>
      </c>
      <c r="E13" s="26">
        <f>IF(D13="","",D13*$E$5)</f>
        <v/>
      </c>
      <c r="F13" s="16">
        <f>IF(D13="","",D13-E13)</f>
        <v/>
      </c>
    </row>
    <row r="14">
      <c r="B14" s="27">
        <f>IF('2_粗脂肪'!B13="","",'2_粗脂肪'!B13)</f>
        <v/>
      </c>
      <c r="C14" s="13">
        <f>'2_粗脂肪'!C13</f>
        <v/>
      </c>
      <c r="D14" s="16">
        <f>'2_粗脂肪'!H13</f>
        <v/>
      </c>
      <c r="E14" s="26">
        <f>IF(D14="","",D14*$E$5)</f>
        <v/>
      </c>
      <c r="F14" s="16">
        <f>IF(D14="","",D14-E14)</f>
        <v/>
      </c>
    </row>
    <row r="15">
      <c r="B15" s="27">
        <f>IF('2_粗脂肪'!B14="","",'2_粗脂肪'!B14)</f>
        <v/>
      </c>
      <c r="C15" s="13">
        <f>'2_粗脂肪'!C14</f>
        <v/>
      </c>
      <c r="D15" s="16">
        <f>'2_粗脂肪'!H14</f>
        <v/>
      </c>
      <c r="E15" s="26">
        <f>IF(D15="","",D15*$E$5)</f>
        <v/>
      </c>
      <c r="F15" s="16">
        <f>IF(D15="","",D15-E15)</f>
        <v/>
      </c>
    </row>
    <row r="17" ht="30" customHeight="1">
      <c r="B17" s="23" t="inlineStr">
        <is>
          <t>全班平均</t>
        </is>
      </c>
      <c r="C17" s="25" t="n"/>
      <c r="D17" s="16">
        <f>AVERAGE(D8:D15)</f>
        <v/>
      </c>
      <c r="E17" s="26">
        <f>AVERAGE(E8:E15)</f>
        <v/>
      </c>
      <c r="F17" s="16">
        <f>D17-E17</f>
        <v/>
      </c>
      <c r="H17" s="20" t="inlineStr">
        <is>
          <t>報告要寫清楚是哪一種基準：「粗脂肪 35.1%（濕基）」。洋芋片水分只有 2%，兩者差不到 1 個百分點；水分高的食品差很多。</t>
        </is>
      </c>
    </row>
    <row r="37">
      <c r="B37" s="20" t="inlineStr">
        <is>
          <t>注意 y 軸不一定從 0 開始，差距看起來會被放大，要看數字。組數不同時，在圖上按右鍵 →「選取資料」調整範圍。</t>
        </is>
      </c>
    </row>
  </sheetData>
  <mergeCells count="6">
    <mergeCell ref="B5:D5"/>
    <mergeCell ref="B4:D4"/>
    <mergeCell ref="B2:H2"/>
    <mergeCell ref="B17:C17"/>
    <mergeCell ref="B37:H37"/>
    <mergeCell ref="H8:H10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3" customWidth="1" min="4" max="4"/>
    <col width="64" customWidth="1" min="5" max="5"/>
  </cols>
  <sheetData>
    <row r="1">
      <c r="B1" s="1" t="inlineStr">
        <is>
          <t>步驟 3　精密度（RSD）與準確度（回收率）</t>
        </is>
      </c>
    </row>
    <row r="3">
      <c r="B3" s="3" t="inlineStr">
        <is>
          <t>3-1 精密度：同一樣品三重複（TA 示範）</t>
        </is>
      </c>
    </row>
    <row r="4">
      <c r="B4" s="9" t="inlineStr">
        <is>
          <t>重複</t>
        </is>
      </c>
      <c r="C4" s="9" t="inlineStr">
        <is>
          <t>粗脂肪 (%)</t>
        </is>
      </c>
    </row>
    <row r="5">
      <c r="B5" s="23" t="inlineStr">
        <is>
          <t>第 1 次</t>
        </is>
      </c>
      <c r="C5" s="16">
        <f>IF(COUNTIFS('1_原始數據'!$C$2:$C$1000,"fat_replicate_demo",'1_原始數據'!$D$2:$D$1000,1)=0,"",AVERAGEIFS('1_原始數據'!$E$2:$E$1000,'1_原始數據'!$C$2:$C$1000,"fat_replicate_demo",'1_原始數據'!$D$2:$D$1000,1))</f>
        <v/>
      </c>
      <c r="E5" s="20" t="inlineStr">
        <is>
          <t>完整 Soxhlet 萃取要好幾個小時，本週每組只做 1 次，所以用 TA 示範的三重複學 RSD。</t>
        </is>
      </c>
    </row>
    <row r="6">
      <c r="B6" s="23" t="inlineStr">
        <is>
          <t>第 2 次</t>
        </is>
      </c>
      <c r="C6" s="16">
        <f>IF(COUNTIFS('1_原始數據'!$C$2:$C$1000,"fat_replicate_demo",'1_原始數據'!$D$2:$D$1000,2)=0,"",AVERAGEIFS('1_原始數據'!$E$2:$E$1000,'1_原始數據'!$C$2:$C$1000,"fat_replicate_demo",'1_原始數據'!$D$2:$D$1000,2))</f>
        <v/>
      </c>
    </row>
    <row r="7">
      <c r="B7" s="23" t="inlineStr">
        <is>
          <t>第 3 次</t>
        </is>
      </c>
      <c r="C7" s="16">
        <f>IF(COUNTIFS('1_原始數據'!$C$2:$C$1000,"fat_replicate_demo",'1_原始數據'!$D$2:$D$1000,3)=0,"",AVERAGEIFS('1_原始數據'!$E$2:$E$1000,'1_原始數據'!$C$2:$C$1000,"fat_replicate_demo",'1_原始數據'!$D$2:$D$1000,3))</f>
        <v/>
      </c>
    </row>
    <row r="8">
      <c r="B8" s="23" t="inlineStr">
        <is>
          <t>平均 (%)</t>
        </is>
      </c>
      <c r="C8" s="16">
        <f>AVERAGE(C5:C7)</f>
        <v/>
      </c>
      <c r="E8" s="20" t="inlineStr">
        <is>
          <t>AVERAGE：平均值。</t>
        </is>
      </c>
    </row>
    <row r="9">
      <c r="B9" s="23" t="inlineStr">
        <is>
          <t>SD (%)</t>
        </is>
      </c>
      <c r="C9" s="14">
        <f>_xlfn.STDEV.S(C5:C7)</f>
        <v/>
      </c>
      <c r="E9" s="20" t="inlineStr">
        <is>
          <t>STDEV.S：樣本標準差，除以 n−1（n = 3）。</t>
        </is>
      </c>
    </row>
    <row r="10">
      <c r="B10" s="23" t="inlineStr">
        <is>
          <t>RSD (%)</t>
        </is>
      </c>
      <c r="C10" s="26">
        <f>C9/C8*100</f>
        <v/>
      </c>
      <c r="E10" s="20" t="inlineStr">
        <is>
          <t>RSD = SD ÷ 平均 × 100。RSD 越小，重複性（精密度）越好。</t>
        </is>
      </c>
    </row>
    <row r="11">
      <c r="B11" s="20" t="inlineStr">
        <is>
          <t>精密度好不代表準確——請對照「5_盲樣偏差」：三重複很穩定，平均卻可能整個偏低。</t>
        </is>
      </c>
    </row>
    <row r="13">
      <c r="B13" s="3" t="inlineStr">
        <is>
          <t>3-2 準確度：已知脂肪對照品的回收率</t>
        </is>
      </c>
    </row>
    <row r="14">
      <c r="B14" s="23" t="inlineStr">
        <is>
          <t>證書標示值 (%)</t>
        </is>
      </c>
      <c r="C14" s="28" t="n">
        <v>20</v>
      </c>
      <c r="E14" s="20" t="inlineStr">
        <is>
          <t>證書值寫在原始數據 note 欄（20.0%），請確認和這格一樣。</t>
        </is>
      </c>
    </row>
    <row r="15">
      <c r="B15" s="23" t="inlineStr">
        <is>
          <t>Soxhlet 測得 (%)</t>
        </is>
      </c>
      <c r="C15" s="16">
        <f>IF(COUNTIFS('1_原始數據'!$C$2:$C$1000,"known_fat_reference_measured")=0,"",AVERAGEIFS('1_原始數據'!$E$2:$E$1000,'1_原始數據'!$C$2:$C$1000,"known_fat_reference_measured"))</f>
        <v/>
      </c>
    </row>
    <row r="16">
      <c r="B16" s="23" t="inlineStr">
        <is>
          <t>回收率 (%) = 測得 ÷ 證書值 × 100</t>
        </is>
      </c>
      <c r="C16" s="29">
        <f>C15/C14*100</f>
        <v/>
      </c>
      <c r="E16" s="20" t="inlineStr">
        <is>
          <t>回收率回答「這個方法、今天的操作，能不能把已知量的脂肪完整測回來」。</t>
        </is>
      </c>
    </row>
    <row r="17">
      <c r="B17" s="23" t="inlineStr">
        <is>
          <t>合格範圍下限 (%)</t>
        </is>
      </c>
      <c r="C17" s="30" t="n">
        <v>95</v>
      </c>
    </row>
    <row r="18">
      <c r="B18" s="23" t="inlineStr">
        <is>
          <t>合格範圍上限 (%)</t>
        </is>
      </c>
      <c r="C18" s="30" t="n">
        <v>105</v>
      </c>
    </row>
    <row r="19">
      <c r="B19" s="23" t="inlineStr">
        <is>
          <t>判定</t>
        </is>
      </c>
      <c r="C19" s="31">
        <f>IF(AND(C16&gt;=C17,C16&lt;=C18),"合格：操作正常","不合格：檢討操作條件")</f>
        <v/>
      </c>
      <c r="E19" s="20" t="inlineStr">
        <is>
          <t>IF(AND(條件1, 條件2), 是, 否)：兩個條件都成立才算合格。實驗室 SOP 常用 95–105%。</t>
        </is>
      </c>
    </row>
    <row r="21">
      <c r="B21" s="3" t="inlineStr">
        <is>
          <t>3-3 溶劑空白</t>
        </is>
      </c>
    </row>
    <row r="22">
      <c r="B22" s="23" t="inlineStr">
        <is>
          <t>溶劑空白殘留 (g)</t>
        </is>
      </c>
      <c r="C22" s="11">
        <f>'2_粗脂肪'!E4</f>
        <v/>
      </c>
      <c r="E22" s="20" t="inlineStr">
        <is>
          <t>空白偏高代表溶劑或玻璃器皿有污染，會讓所有樣品的脂肪 % 虛高，要先扣除。</t>
        </is>
      </c>
    </row>
    <row r="23">
      <c r="B23" s="23" t="inlineStr">
        <is>
          <t>相當於第 1 組脂肪 % 的多少百分點</t>
        </is>
      </c>
      <c r="C23" s="14">
        <f>'2_粗脂肪'!H7-'2_粗脂肪'!I7</f>
        <v/>
      </c>
      <c r="E23" s="20" t="inlineStr">
        <is>
          <t>= 殘留 ÷ 樣品乾重 × 100（就是「2_粗脂肪」H 欄減 I 欄）。練習題 1 用。</t>
        </is>
      </c>
    </row>
  </sheetData>
  <mergeCells count="2">
    <mergeCell ref="B11:E11"/>
    <mergeCell ref="E5:E7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Q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3" customWidth="1" min="9" max="9"/>
    <col width="34" customWidth="1" min="10" max="10"/>
    <col width="13" customWidth="1" min="11" max="11"/>
    <col width="3" customWidth="1" min="12" max="12"/>
    <col width="55" customWidth="1" min="13" max="13"/>
    <col width="24" customWidth="1" min="15" max="15"/>
  </cols>
  <sheetData>
    <row r="1">
      <c r="B1" s="1" t="inlineStr">
        <is>
          <t>步驟 4　盲樣：全脂奶粉直接 Soxhlet 為什麼偏低？</t>
        </is>
      </c>
    </row>
    <row r="2" ht="32" customHeight="1">
      <c r="B2" s="20" t="inlineStr">
        <is>
          <t>5 組各對同一份全脂奶粉盲樣做直接 Soxhlet（未水解），每組三重複。先算各組三重複平均（組是量測的單位），再用 5 組平均算班級平均與組間 SD（n = 5），和 Röse–Gottlieb 參考法、標示值比較。</t>
        </is>
      </c>
    </row>
    <row r="3">
      <c r="O3" s="2" t="inlineStr">
        <is>
          <t>圖用輔助數據</t>
        </is>
      </c>
    </row>
    <row r="4" ht="30" customHeight="1">
      <c r="B4" s="9" t="inlineStr">
        <is>
          <t>組別</t>
        </is>
      </c>
      <c r="C4" s="9" t="inlineStr">
        <is>
          <t>學生</t>
        </is>
      </c>
      <c r="D4" s="9" t="inlineStr">
        <is>
          <t>第 1 次 (%)</t>
        </is>
      </c>
      <c r="E4" s="9" t="inlineStr">
        <is>
          <t>第 2 次 (%)</t>
        </is>
      </c>
      <c r="F4" s="9" t="inlineStr">
        <is>
          <t>第 3 次 (%)</t>
        </is>
      </c>
      <c r="G4" s="9" t="inlineStr">
        <is>
          <t>組平均 (%)</t>
        </is>
      </c>
      <c r="H4" s="9" t="inlineStr">
        <is>
          <t>組內 SD (%)</t>
        </is>
      </c>
      <c r="J4" s="3" t="inlineStr">
        <is>
          <t>4-1 班級結果與偏差</t>
        </is>
      </c>
      <c r="O4" s="9" t="inlineStr">
        <is>
          <t>方法</t>
        </is>
      </c>
      <c r="P4" s="9" t="inlineStr">
        <is>
          <t>脂肪 %</t>
        </is>
      </c>
      <c r="Q4" s="9" t="inlineStr">
        <is>
          <t>誤差線 (SD)</t>
        </is>
      </c>
    </row>
    <row r="5">
      <c r="B5" s="5" t="n">
        <v>1</v>
      </c>
      <c r="C5" s="13">
        <f>IF(B5="","",IFERROR(INDEX('1_原始數據'!$B$2:$B$1000,MATCH(B5,'1_原始數據'!$A$2:$A$1000,0)),""))</f>
        <v/>
      </c>
      <c r="D5" s="16">
        <f>IF(B5="","",IF(COUNTIFS('1_原始數據'!$A$2:$A$1000,B5,'1_原始數據'!$C$2:$C$1000,"milk_blind_fat_pct",'1_原始數據'!$D$2:$D$1000,1)=0,"",SUMIFS('1_原始數據'!$E$2:$E$1000,'1_原始數據'!$A$2:$A$1000,B5,'1_原始數據'!$C$2:$C$1000,"milk_blind_fat_pct",'1_原始數據'!$D$2:$D$1000,1)))</f>
        <v/>
      </c>
      <c r="E5" s="16">
        <f>IF(B5="","",IF(COUNTIFS('1_原始數據'!$A$2:$A$1000,B5,'1_原始數據'!$C$2:$C$1000,"milk_blind_fat_pct",'1_原始數據'!$D$2:$D$1000,2)=0,"",SUMIFS('1_原始數據'!$E$2:$E$1000,'1_原始數據'!$A$2:$A$1000,B5,'1_原始數據'!$C$2:$C$1000,"milk_blind_fat_pct",'1_原始數據'!$D$2:$D$1000,2)))</f>
        <v/>
      </c>
      <c r="F5" s="16">
        <f>IF(B5="","",IF(COUNTIFS('1_原始數據'!$A$2:$A$1000,B5,'1_原始數據'!$C$2:$C$1000,"milk_blind_fat_pct",'1_原始數據'!$D$2:$D$1000,3)=0,"",SUMIFS('1_原始數據'!$E$2:$E$1000,'1_原始數據'!$A$2:$A$1000,B5,'1_原始數據'!$C$2:$C$1000,"milk_blind_fat_pct",'1_原始數據'!$D$2:$D$1000,3)))</f>
        <v/>
      </c>
      <c r="G5" s="26">
        <f>IF(COUNT(D5:F5)=0,"",AVERAGE(D5:F5))</f>
        <v/>
      </c>
      <c r="H5" s="16">
        <f>IF(COUNT(D5:F5)&lt;2,"",_xlfn.STDEV.S(D5:F5))</f>
        <v/>
      </c>
      <c r="J5" s="10" t="inlineStr">
        <is>
          <t>組數 n</t>
        </is>
      </c>
      <c r="K5" s="27">
        <f>COUNT(G5:G12)</f>
        <v/>
      </c>
      <c r="M5" s="20" t="inlineStr">
        <is>
          <t>每組一個平均值，所以 n = 組數，不是 15 次。</t>
        </is>
      </c>
      <c r="O5" s="23" t="inlineStr">
        <is>
          <t>Label</t>
        </is>
      </c>
      <c r="P5" s="16">
        <f>K9</f>
        <v/>
      </c>
      <c r="Q5" s="16">
        <f>0</f>
        <v/>
      </c>
    </row>
    <row r="6">
      <c r="B6" s="5" t="n">
        <v>2</v>
      </c>
      <c r="C6" s="13">
        <f>IF(B6="","",IFERROR(INDEX('1_原始數據'!$B$2:$B$1000,MATCH(B6,'1_原始數據'!$A$2:$A$1000,0)),""))</f>
        <v/>
      </c>
      <c r="D6" s="16">
        <f>IF(B6="","",IF(COUNTIFS('1_原始數據'!$A$2:$A$1000,B6,'1_原始數據'!$C$2:$C$1000,"milk_blind_fat_pct",'1_原始數據'!$D$2:$D$1000,1)=0,"",SUMIFS('1_原始數據'!$E$2:$E$1000,'1_原始數據'!$A$2:$A$1000,B6,'1_原始數據'!$C$2:$C$1000,"milk_blind_fat_pct",'1_原始數據'!$D$2:$D$1000,1)))</f>
        <v/>
      </c>
      <c r="E6" s="16">
        <f>IF(B6="","",IF(COUNTIFS('1_原始數據'!$A$2:$A$1000,B6,'1_原始數據'!$C$2:$C$1000,"milk_blind_fat_pct",'1_原始數據'!$D$2:$D$1000,2)=0,"",SUMIFS('1_原始數據'!$E$2:$E$1000,'1_原始數據'!$A$2:$A$1000,B6,'1_原始數據'!$C$2:$C$1000,"milk_blind_fat_pct",'1_原始數據'!$D$2:$D$1000,2)))</f>
        <v/>
      </c>
      <c r="F6" s="16">
        <f>IF(B6="","",IF(COUNTIFS('1_原始數據'!$A$2:$A$1000,B6,'1_原始數據'!$C$2:$C$1000,"milk_blind_fat_pct",'1_原始數據'!$D$2:$D$1000,3)=0,"",SUMIFS('1_原始數據'!$E$2:$E$1000,'1_原始數據'!$A$2:$A$1000,B6,'1_原始數據'!$C$2:$C$1000,"milk_blind_fat_pct",'1_原始數據'!$D$2:$D$1000,3)))</f>
        <v/>
      </c>
      <c r="G6" s="26">
        <f>IF(COUNT(D6:F6)=0,"",AVERAGE(D6:F6))</f>
        <v/>
      </c>
      <c r="H6" s="16">
        <f>IF(COUNT(D6:F6)&lt;2,"",_xlfn.STDEV.S(D6:F6))</f>
        <v/>
      </c>
      <c r="J6" s="10" t="inlineStr">
        <is>
          <t>班級平均（直接 Soxhlet, %）</t>
        </is>
      </c>
      <c r="K6" s="26">
        <f>AVERAGE(G5:G12)</f>
        <v/>
      </c>
      <c r="M6" s="20" t="inlineStr">
        <is>
          <t>5 組平均的平均。</t>
        </is>
      </c>
      <c r="O6" s="23" t="inlineStr">
        <is>
          <t>Rose-Gottlieb (reference)</t>
        </is>
      </c>
      <c r="P6" s="16">
        <f>K8</f>
        <v/>
      </c>
      <c r="Q6" s="16">
        <f>0</f>
        <v/>
      </c>
    </row>
    <row r="7">
      <c r="B7" s="5" t="n">
        <v>3</v>
      </c>
      <c r="C7" s="13">
        <f>IF(B7="","",IFERROR(INDEX('1_原始數據'!$B$2:$B$1000,MATCH(B7,'1_原始數據'!$A$2:$A$1000,0)),""))</f>
        <v/>
      </c>
      <c r="D7" s="16">
        <f>IF(B7="","",IF(COUNTIFS('1_原始數據'!$A$2:$A$1000,B7,'1_原始數據'!$C$2:$C$1000,"milk_blind_fat_pct",'1_原始數據'!$D$2:$D$1000,1)=0,"",SUMIFS('1_原始數據'!$E$2:$E$1000,'1_原始數據'!$A$2:$A$1000,B7,'1_原始數據'!$C$2:$C$1000,"milk_blind_fat_pct",'1_原始數據'!$D$2:$D$1000,1)))</f>
        <v/>
      </c>
      <c r="E7" s="16">
        <f>IF(B7="","",IF(COUNTIFS('1_原始數據'!$A$2:$A$1000,B7,'1_原始數據'!$C$2:$C$1000,"milk_blind_fat_pct",'1_原始數據'!$D$2:$D$1000,2)=0,"",SUMIFS('1_原始數據'!$E$2:$E$1000,'1_原始數據'!$A$2:$A$1000,B7,'1_原始數據'!$C$2:$C$1000,"milk_blind_fat_pct",'1_原始數據'!$D$2:$D$1000,2)))</f>
        <v/>
      </c>
      <c r="F7" s="16">
        <f>IF(B7="","",IF(COUNTIFS('1_原始數據'!$A$2:$A$1000,B7,'1_原始數據'!$C$2:$C$1000,"milk_blind_fat_pct",'1_原始數據'!$D$2:$D$1000,3)=0,"",SUMIFS('1_原始數據'!$E$2:$E$1000,'1_原始數據'!$A$2:$A$1000,B7,'1_原始數據'!$C$2:$C$1000,"milk_blind_fat_pct",'1_原始數據'!$D$2:$D$1000,3)))</f>
        <v/>
      </c>
      <c r="G7" s="26">
        <f>IF(COUNT(D7:F7)=0,"",AVERAGE(D7:F7))</f>
        <v/>
      </c>
      <c r="H7" s="16">
        <f>IF(COUNT(D7:F7)&lt;2,"",_xlfn.STDEV.S(D7:F7))</f>
        <v/>
      </c>
      <c r="J7" s="10" t="inlineStr">
        <is>
          <t>組間 SD (%)</t>
        </is>
      </c>
      <c r="K7" s="26">
        <f>_xlfn.STDEV.S(G5:G12)</f>
        <v/>
      </c>
      <c r="M7" s="20" t="inlineStr">
        <is>
          <t>5 個組平均的樣本標準差。</t>
        </is>
      </c>
      <c r="O7" s="23" t="inlineStr">
        <is>
          <t>Soxhlet (class mean)</t>
        </is>
      </c>
      <c r="P7" s="16">
        <f>K6</f>
        <v/>
      </c>
      <c r="Q7" s="16">
        <f>K7</f>
        <v/>
      </c>
    </row>
    <row r="8">
      <c r="B8" s="5" t="n">
        <v>4</v>
      </c>
      <c r="C8" s="13">
        <f>IF(B8="","",IFERROR(INDEX('1_原始數據'!$B$2:$B$1000,MATCH(B8,'1_原始數據'!$A$2:$A$1000,0)),""))</f>
        <v/>
      </c>
      <c r="D8" s="16">
        <f>IF(B8="","",IF(COUNTIFS('1_原始數據'!$A$2:$A$1000,B8,'1_原始數據'!$C$2:$C$1000,"milk_blind_fat_pct",'1_原始數據'!$D$2:$D$1000,1)=0,"",SUMIFS('1_原始數據'!$E$2:$E$1000,'1_原始數據'!$A$2:$A$1000,B8,'1_原始數據'!$C$2:$C$1000,"milk_blind_fat_pct",'1_原始數據'!$D$2:$D$1000,1)))</f>
        <v/>
      </c>
      <c r="E8" s="16">
        <f>IF(B8="","",IF(COUNTIFS('1_原始數據'!$A$2:$A$1000,B8,'1_原始數據'!$C$2:$C$1000,"milk_blind_fat_pct",'1_原始數據'!$D$2:$D$1000,2)=0,"",SUMIFS('1_原始數據'!$E$2:$E$1000,'1_原始數據'!$A$2:$A$1000,B8,'1_原始數據'!$C$2:$C$1000,"milk_blind_fat_pct",'1_原始數據'!$D$2:$D$1000,2)))</f>
        <v/>
      </c>
      <c r="F8" s="16">
        <f>IF(B8="","",IF(COUNTIFS('1_原始數據'!$A$2:$A$1000,B8,'1_原始數據'!$C$2:$C$1000,"milk_blind_fat_pct",'1_原始數據'!$D$2:$D$1000,3)=0,"",SUMIFS('1_原始數據'!$E$2:$E$1000,'1_原始數據'!$A$2:$A$1000,B8,'1_原始數據'!$C$2:$C$1000,"milk_blind_fat_pct",'1_原始數據'!$D$2:$D$1000,3)))</f>
        <v/>
      </c>
      <c r="G8" s="26">
        <f>IF(COUNT(D8:F8)=0,"",AVERAGE(D8:F8))</f>
        <v/>
      </c>
      <c r="H8" s="16">
        <f>IF(COUNT(D8:F8)&lt;2,"",_xlfn.STDEV.S(D8:F8))</f>
        <v/>
      </c>
      <c r="J8" s="10" t="inlineStr">
        <is>
          <t>Röse–Gottlieb 參考值 (%)</t>
        </is>
      </c>
      <c r="K8" s="32">
        <f>IF(COUNTIFS('1_原始數據'!$C$2:$C$1000,"milk_blind_RG_reference")=0,"",AVERAGEIFS('1_原始數據'!$E$2:$E$1000,'1_原始數據'!$C$2:$C$1000,"milk_blind_RG_reference"))</f>
        <v/>
      </c>
      <c r="M8" s="20" t="inlineStr">
        <is>
          <t>TA／參考實驗室提供，乳品脂肪公認的參考方法。</t>
        </is>
      </c>
    </row>
    <row r="9">
      <c r="B9" s="5" t="n">
        <v>5</v>
      </c>
      <c r="C9" s="13">
        <f>IF(B9="","",IFERROR(INDEX('1_原始數據'!$B$2:$B$1000,MATCH(B9,'1_原始數據'!$A$2:$A$1000,0)),""))</f>
        <v/>
      </c>
      <c r="D9" s="16">
        <f>IF(B9="","",IF(COUNTIFS('1_原始數據'!$A$2:$A$1000,B9,'1_原始數據'!$C$2:$C$1000,"milk_blind_fat_pct",'1_原始數據'!$D$2:$D$1000,1)=0,"",SUMIFS('1_原始數據'!$E$2:$E$1000,'1_原始數據'!$A$2:$A$1000,B9,'1_原始數據'!$C$2:$C$1000,"milk_blind_fat_pct",'1_原始數據'!$D$2:$D$1000,1)))</f>
        <v/>
      </c>
      <c r="E9" s="16">
        <f>IF(B9="","",IF(COUNTIFS('1_原始數據'!$A$2:$A$1000,B9,'1_原始數據'!$C$2:$C$1000,"milk_blind_fat_pct",'1_原始數據'!$D$2:$D$1000,2)=0,"",SUMIFS('1_原始數據'!$E$2:$E$1000,'1_原始數據'!$A$2:$A$1000,B9,'1_原始數據'!$C$2:$C$1000,"milk_blind_fat_pct",'1_原始數據'!$D$2:$D$1000,2)))</f>
        <v/>
      </c>
      <c r="F9" s="16">
        <f>IF(B9="","",IF(COUNTIFS('1_原始數據'!$A$2:$A$1000,B9,'1_原始數據'!$C$2:$C$1000,"milk_blind_fat_pct",'1_原始數據'!$D$2:$D$1000,3)=0,"",SUMIFS('1_原始數據'!$E$2:$E$1000,'1_原始數據'!$A$2:$A$1000,B9,'1_原始數據'!$C$2:$C$1000,"milk_blind_fat_pct",'1_原始數據'!$D$2:$D$1000,3)))</f>
        <v/>
      </c>
      <c r="G9" s="26">
        <f>IF(COUNT(D9:F9)=0,"",AVERAGE(D9:F9))</f>
        <v/>
      </c>
      <c r="H9" s="16">
        <f>IF(COUNT(D9:F9)&lt;2,"",_xlfn.STDEV.S(D9:F9))</f>
        <v/>
      </c>
      <c r="J9" s="10" t="inlineStr">
        <is>
          <t>標示值 (%)</t>
        </is>
      </c>
      <c r="K9" s="32">
        <f>IF(COUNTIFS('1_原始數據'!$C$2:$C$1000,"milk_blind_label")=0,"",AVERAGEIFS('1_原始數據'!$E$2:$E$1000,'1_原始數據'!$C$2:$C$1000,"milk_blind_label"))</f>
        <v/>
      </c>
      <c r="M9" s="20" t="inlineStr">
        <is>
          <t>產品包裝上的數字。</t>
        </is>
      </c>
    </row>
    <row r="10">
      <c r="B10" s="5" t="n"/>
      <c r="C10" s="13">
        <f>IF(B10="","",IFERROR(INDEX('1_原始數據'!$B$2:$B$1000,MATCH(B10,'1_原始數據'!$A$2:$A$1000,0)),""))</f>
        <v/>
      </c>
      <c r="D10" s="16">
        <f>IF(B10="","",IF(COUNTIFS('1_原始數據'!$A$2:$A$1000,B10,'1_原始數據'!$C$2:$C$1000,"milk_blind_fat_pct",'1_原始數據'!$D$2:$D$1000,1)=0,"",SUMIFS('1_原始數據'!$E$2:$E$1000,'1_原始數據'!$A$2:$A$1000,B10,'1_原始數據'!$C$2:$C$1000,"milk_blind_fat_pct",'1_原始數據'!$D$2:$D$1000,1)))</f>
        <v/>
      </c>
      <c r="E10" s="16">
        <f>IF(B10="","",IF(COUNTIFS('1_原始數據'!$A$2:$A$1000,B10,'1_原始數據'!$C$2:$C$1000,"milk_blind_fat_pct",'1_原始數據'!$D$2:$D$1000,2)=0,"",SUMIFS('1_原始數據'!$E$2:$E$1000,'1_原始數據'!$A$2:$A$1000,B10,'1_原始數據'!$C$2:$C$1000,"milk_blind_fat_pct",'1_原始數據'!$D$2:$D$1000,2)))</f>
        <v/>
      </c>
      <c r="F10" s="16">
        <f>IF(B10="","",IF(COUNTIFS('1_原始數據'!$A$2:$A$1000,B10,'1_原始數據'!$C$2:$C$1000,"milk_blind_fat_pct",'1_原始數據'!$D$2:$D$1000,3)=0,"",SUMIFS('1_原始數據'!$E$2:$E$1000,'1_原始數據'!$A$2:$A$1000,B10,'1_原始數據'!$C$2:$C$1000,"milk_blind_fat_pct",'1_原始數據'!$D$2:$D$1000,3)))</f>
        <v/>
      </c>
      <c r="G10" s="26">
        <f>IF(COUNT(D10:F10)=0,"",AVERAGE(D10:F10))</f>
        <v/>
      </c>
      <c r="H10" s="16">
        <f>IF(COUNT(D10:F10)&lt;2,"",_xlfn.STDEV.S(D10:F10))</f>
        <v/>
      </c>
      <c r="J10" s="10" t="inlineStr">
        <is>
          <t>bias vs RG（百分點）= 平均 − RG</t>
        </is>
      </c>
      <c r="K10" s="33">
        <f>K6-K8</f>
        <v/>
      </c>
      <c r="M10" s="20" t="inlineStr">
        <is>
          <t>負的＝偏低。單位是「百分點」（% 相減），不是 %。</t>
        </is>
      </c>
    </row>
    <row r="11">
      <c r="B11" s="5" t="n"/>
      <c r="C11" s="13">
        <f>IF(B11="","",IFERROR(INDEX('1_原始數據'!$B$2:$B$1000,MATCH(B11,'1_原始數據'!$A$2:$A$1000,0)),""))</f>
        <v/>
      </c>
      <c r="D11" s="16">
        <f>IF(B11="","",IF(COUNTIFS('1_原始數據'!$A$2:$A$1000,B11,'1_原始數據'!$C$2:$C$1000,"milk_blind_fat_pct",'1_原始數據'!$D$2:$D$1000,1)=0,"",SUMIFS('1_原始數據'!$E$2:$E$1000,'1_原始數據'!$A$2:$A$1000,B11,'1_原始數據'!$C$2:$C$1000,"milk_blind_fat_pct",'1_原始數據'!$D$2:$D$1000,1)))</f>
        <v/>
      </c>
      <c r="E11" s="16">
        <f>IF(B11="","",IF(COUNTIFS('1_原始數據'!$A$2:$A$1000,B11,'1_原始數據'!$C$2:$C$1000,"milk_blind_fat_pct",'1_原始數據'!$D$2:$D$1000,2)=0,"",SUMIFS('1_原始數據'!$E$2:$E$1000,'1_原始數據'!$A$2:$A$1000,B11,'1_原始數據'!$C$2:$C$1000,"milk_blind_fat_pct",'1_原始數據'!$D$2:$D$1000,2)))</f>
        <v/>
      </c>
      <c r="F11" s="16">
        <f>IF(B11="","",IF(COUNTIFS('1_原始數據'!$A$2:$A$1000,B11,'1_原始數據'!$C$2:$C$1000,"milk_blind_fat_pct",'1_原始數據'!$D$2:$D$1000,3)=0,"",SUMIFS('1_原始數據'!$E$2:$E$1000,'1_原始數據'!$A$2:$A$1000,B11,'1_原始數據'!$C$2:$C$1000,"milk_blind_fat_pct",'1_原始數據'!$D$2:$D$1000,3)))</f>
        <v/>
      </c>
      <c r="G11" s="26">
        <f>IF(COUNT(D11:F11)=0,"",AVERAGE(D11:F11))</f>
        <v/>
      </c>
      <c r="H11" s="16">
        <f>IF(COUNT(D11:F11)&lt;2,"",_xlfn.STDEV.S(D11:F11))</f>
        <v/>
      </c>
      <c r="J11" s="10" t="inlineStr">
        <is>
          <t>回收率 vs RG (%) = 平均 ÷ RG × 100</t>
        </is>
      </c>
      <c r="K11" s="29">
        <f>K6/K8*100</f>
        <v/>
      </c>
      <c r="M11" s="20" t="inlineStr">
        <is>
          <t>只測回了約八成的脂肪。</t>
        </is>
      </c>
    </row>
    <row r="12">
      <c r="B12" s="5" t="n"/>
      <c r="C12" s="13">
        <f>IF(B12="","",IFERROR(INDEX('1_原始數據'!$B$2:$B$1000,MATCH(B12,'1_原始數據'!$A$2:$A$1000,0)),""))</f>
        <v/>
      </c>
      <c r="D12" s="16">
        <f>IF(B12="","",IF(COUNTIFS('1_原始數據'!$A$2:$A$1000,B12,'1_原始數據'!$C$2:$C$1000,"milk_blind_fat_pct",'1_原始數據'!$D$2:$D$1000,1)=0,"",SUMIFS('1_原始數據'!$E$2:$E$1000,'1_原始數據'!$A$2:$A$1000,B12,'1_原始數據'!$C$2:$C$1000,"milk_blind_fat_pct",'1_原始數據'!$D$2:$D$1000,1)))</f>
        <v/>
      </c>
      <c r="E12" s="16">
        <f>IF(B12="","",IF(COUNTIFS('1_原始數據'!$A$2:$A$1000,B12,'1_原始數據'!$C$2:$C$1000,"milk_blind_fat_pct",'1_原始數據'!$D$2:$D$1000,2)=0,"",SUMIFS('1_原始數據'!$E$2:$E$1000,'1_原始數據'!$A$2:$A$1000,B12,'1_原始數據'!$C$2:$C$1000,"milk_blind_fat_pct",'1_原始數據'!$D$2:$D$1000,2)))</f>
        <v/>
      </c>
      <c r="F12" s="16">
        <f>IF(B12="","",IF(COUNTIFS('1_原始數據'!$A$2:$A$1000,B12,'1_原始數據'!$C$2:$C$1000,"milk_blind_fat_pct",'1_原始數據'!$D$2:$D$1000,3)=0,"",SUMIFS('1_原始數據'!$E$2:$E$1000,'1_原始數據'!$A$2:$A$1000,B12,'1_原始數據'!$C$2:$C$1000,"milk_blind_fat_pct",'1_原始數據'!$D$2:$D$1000,3)))</f>
        <v/>
      </c>
      <c r="G12" s="26">
        <f>IF(COUNT(D12:F12)=0,"",AVERAGE(D12:F12))</f>
        <v/>
      </c>
      <c r="H12" s="16">
        <f>IF(COUNT(D12:F12)&lt;2,"",_xlfn.STDEV.S(D12:F12))</f>
        <v/>
      </c>
      <c r="J12" s="10" t="inlineStr">
        <is>
          <t>bias vs 標示值（百分點）</t>
        </is>
      </c>
      <c r="K12" s="34">
        <f>K6-K9</f>
        <v/>
      </c>
      <c r="M12" s="20" t="inlineStr">
        <is>
          <t>練習題 2 用。</t>
        </is>
      </c>
    </row>
    <row r="13" ht="30" customHeight="1">
      <c r="B13" s="20" t="inlineStr">
        <is>
          <t>D–F 欄用 SUMIFS 依「組別、item、rep」抓每一次的值；G = AVERAGE 三重複。組數較多時在 B 欄空白黃色格補上組別。</t>
        </is>
      </c>
      <c r="J13" s="10" t="inlineStr">
        <is>
          <t>回收率 vs 標示值 (%)</t>
        </is>
      </c>
      <c r="K13" s="32">
        <f>K6/K9*100</f>
        <v/>
      </c>
    </row>
    <row r="15">
      <c r="J15" s="3" t="inlineStr">
        <is>
          <t>4-2 偏差是不是真的？（單樣本 t 檢定，對 RG）</t>
        </is>
      </c>
    </row>
    <row r="16">
      <c r="J16" s="10" t="inlineStr">
        <is>
          <t>t = (平均 − RG) ÷ (SD/√n)</t>
        </is>
      </c>
      <c r="K16" s="16">
        <f>(K6-K8)/(K7/SQRT(K5))</f>
        <v/>
      </c>
      <c r="M16" s="20" t="inlineStr">
        <is>
          <t>和 EX01 的單樣本 t 檢定一樣。|t| 越大，偏差越不可能是隨機誤差。</t>
        </is>
      </c>
    </row>
    <row r="17">
      <c r="J17" s="10" t="inlineStr">
        <is>
          <t>p 值（雙尾）</t>
        </is>
      </c>
      <c r="K17" s="35">
        <f>_xlfn.T.DIST.2T(ABS(K16),K5-1)</f>
        <v/>
      </c>
      <c r="M17" s="20" t="inlineStr">
        <is>
          <t>T.DIST.2T(|t|, 自由度 n−1)。</t>
        </is>
      </c>
    </row>
    <row r="18">
      <c r="J18" s="10" t="inlineStr">
        <is>
          <t>結論（α = 0.05）</t>
        </is>
      </c>
      <c r="K18" s="36">
        <f>IF(K17&lt;0.05,"顯著偏低：系統誤差","沒有足夠證據說有偏差")</f>
        <v/>
      </c>
    </row>
    <row r="20">
      <c r="J20" s="20" t="inlineStr">
        <is>
          <t>為什麼偏低：奶粉的脂肪被蛋白質與乳糖包覆（encapsulated fat），乙醚接觸不到。三重複很穩定（精密），但平均整個偏低（不準確）——這是方法的系統誤差，不是操作失誤。解法：先酸水解（或用 Röse–Gottlieb／Mojonnier 鹼性醇解）把包覆打開再萃取。這 5 組數據會帶到 W8 能力試驗，影響差減法算出的碳水化合物。</t>
        </is>
      </c>
    </row>
    <row r="21"/>
    <row r="22"/>
    <row r="23"/>
    <row r="44" ht="30" customHeight="1">
      <c r="B44" s="20" t="inlineStr">
        <is>
          <t>看圖：藍色柱（班級直接 Soxhlet，誤差線 = 組間 SD）比 Röse–Gottlieb 與標示值低約 4 個百分點；誤差線很短，表示這不是隨機誤差。</t>
        </is>
      </c>
    </row>
  </sheetData>
  <mergeCells count="4">
    <mergeCell ref="B13:H13"/>
    <mergeCell ref="B2:M2"/>
    <mergeCell ref="B44:M44"/>
    <mergeCell ref="J20:M2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5" customWidth="1" min="3" max="3"/>
    <col width="15" customWidth="1" min="4" max="4"/>
    <col width="3" customWidth="1" min="5" max="5"/>
    <col width="12" customWidth="1" min="6" max="6"/>
    <col width="12" customWidth="1" min="7" max="7"/>
    <col width="12" customWidth="1" min="8" max="8"/>
    <col width="3" customWidth="1" min="9" max="9"/>
    <col width="55" customWidth="1" min="10" max="10"/>
  </cols>
  <sheetData>
    <row r="1">
      <c r="B1" s="1" t="inlineStr">
        <is>
          <t>步驟 5　Pearson 方塊：牛奶脂肪標準化</t>
        </is>
      </c>
    </row>
    <row r="2" ht="32" customHeight="1">
      <c r="B2" s="20" t="inlineStr">
        <is>
          <t>工廠把牛奶先脫脂，再依比例加回鮮奶油，調成指定脂肪 % 的產品。用的是質量平衡：W高脂 = (目標% − 低脂%) ÷ (高脂% − 低脂%) × W總；W低脂 = W總 − W高脂。</t>
        </is>
      </c>
    </row>
    <row r="4">
      <c r="B4" s="9" t="inlineStr"/>
      <c r="C4" s="9" t="inlineStr">
        <is>
          <t>講義範例</t>
        </is>
      </c>
      <c r="D4" s="9" t="inlineStr">
        <is>
          <t>自己的題目</t>
        </is>
      </c>
      <c r="F4" s="3" t="inlineStr">
        <is>
          <t>Pearson 方塊（講義範例）</t>
        </is>
      </c>
    </row>
    <row r="5">
      <c r="B5" s="23" t="inlineStr">
        <is>
          <t>高脂成分（鮮奶油）脂肪 %</t>
        </is>
      </c>
      <c r="C5" s="37" t="n">
        <v>36</v>
      </c>
      <c r="D5" s="37" t="n"/>
      <c r="F5" s="16">
        <f>C5</f>
        <v/>
      </c>
      <c r="H5" s="16">
        <f>C10</f>
        <v/>
      </c>
      <c r="J5" s="20" t="inlineStr">
        <is>
          <t>C 欄是講義範例（36% 鮮奶油 + 0.1% 脫脂乳 → 100 kg 的 3.25% 全脂乳）。D 欄空白黃色格填自己的題目（練習題 3）。</t>
        </is>
      </c>
    </row>
    <row r="6">
      <c r="B6" s="23" t="inlineStr">
        <is>
          <t>低脂成分（脫脂乳）脂肪 %</t>
        </is>
      </c>
      <c r="C6" s="37" t="n">
        <v>0.1</v>
      </c>
      <c r="D6" s="37" t="n"/>
      <c r="F6" s="20" t="inlineStr">
        <is>
          <t>高脂 %</t>
        </is>
      </c>
      <c r="G6" s="38" t="inlineStr">
        <is>
          <t>↘       ↗</t>
        </is>
      </c>
      <c r="H6" s="20" t="inlineStr">
        <is>
          <t>份（高脂）</t>
        </is>
      </c>
    </row>
    <row r="7">
      <c r="B7" s="23" t="inlineStr">
        <is>
          <t>目標脂肪 %</t>
        </is>
      </c>
      <c r="C7" s="37" t="n">
        <v>3.25</v>
      </c>
      <c r="D7" s="37" t="n"/>
      <c r="G7" s="26">
        <f>C7</f>
        <v/>
      </c>
    </row>
    <row r="8">
      <c r="B8" s="23" t="inlineStr">
        <is>
          <t>總重 W總 (kg)</t>
        </is>
      </c>
      <c r="C8" s="37" t="n">
        <v>100</v>
      </c>
      <c r="D8" s="37" t="n"/>
      <c r="G8" s="38" t="inlineStr">
        <is>
          <t>↗       ↘</t>
        </is>
      </c>
    </row>
    <row r="9">
      <c r="B9" s="23" t="inlineStr">
        <is>
          <t>目標在兩者之間嗎？</t>
        </is>
      </c>
      <c r="C9" s="13">
        <f>IF(COUNT(C5:C8)&lt;4,"",IF(AND(C6&lt;C7,C7&lt;C5),"可以","不行：目標必須介於低脂與高脂之間"))</f>
        <v/>
      </c>
      <c r="D9" s="13">
        <f>IF(COUNT(D5:D8)&lt;4,"",IF(AND(D6&lt;D7,D7&lt;D5),"可以","不行：目標必須介於低脂與高脂之間"))</f>
        <v/>
      </c>
      <c r="F9" s="16">
        <f>C6</f>
        <v/>
      </c>
      <c r="H9" s="16">
        <f>C11</f>
        <v/>
      </c>
      <c r="J9" s="20" t="inlineStr">
        <is>
          <t>AND(低 &lt; 目標, 目標 &lt; 高)：目標如果不在中間，怎麼混都調不出來。</t>
        </is>
      </c>
    </row>
    <row r="10">
      <c r="B10" s="23" t="inlineStr">
        <is>
          <t>高脂成分份數 = 目標 − 低脂</t>
        </is>
      </c>
      <c r="C10" s="16">
        <f>IF(C9&lt;&gt;"可以","",C7-C6)</f>
        <v/>
      </c>
      <c r="D10" s="16">
        <f>IF(D9&lt;&gt;"可以","",D7-D6)</f>
        <v/>
      </c>
      <c r="F10" s="20" t="inlineStr">
        <is>
          <t>低脂 %</t>
        </is>
      </c>
      <c r="H10" s="20" t="inlineStr">
        <is>
          <t>份（低脂）</t>
        </is>
      </c>
      <c r="J10" s="20" t="inlineStr">
        <is>
          <t>Pearson 方塊的「份數」：沿對角線相減取絕對值。高脂的份數 ÷ 總份數，就是高脂成分佔的比例；和上面的公式完全相同。</t>
        </is>
      </c>
    </row>
    <row r="11">
      <c r="B11" s="23" t="inlineStr">
        <is>
          <t>低脂成分份數 = 高脂 − 目標</t>
        </is>
      </c>
      <c r="C11" s="16">
        <f>IF(C9&lt;&gt;"可以","",C5-C7)</f>
        <v/>
      </c>
      <c r="D11" s="16">
        <f>IF(D9&lt;&gt;"可以","",D5-D7)</f>
        <v/>
      </c>
    </row>
    <row r="12">
      <c r="B12" s="23" t="inlineStr">
        <is>
          <t>高脂成分（鮮奶油）(kg)</t>
        </is>
      </c>
      <c r="C12" s="26">
        <f>IF(C9&lt;&gt;"可以","",C10/(C10+C11)*C8)</f>
        <v/>
      </c>
      <c r="D12" s="26">
        <f>IF(D9&lt;&gt;"可以","",D10/(D10+D11)*D8)</f>
        <v/>
      </c>
    </row>
    <row r="13">
      <c r="B13" s="23" t="inlineStr">
        <is>
          <t>低脂成分（脫脂乳）(kg)</t>
        </is>
      </c>
      <c r="C13" s="26">
        <f>IF(C9&lt;&gt;"可以","",C8-C12)</f>
        <v/>
      </c>
      <c r="D13" s="26">
        <f>IF(D9&lt;&gt;"可以","",D8-D12)</f>
        <v/>
      </c>
    </row>
    <row r="14">
      <c r="B14" s="23" t="inlineStr">
        <is>
          <t>驗算：混合後脂肪 (kg)</t>
        </is>
      </c>
      <c r="C14" s="14">
        <f>IF(C9&lt;&gt;"可以","",C12*C5/100+C13*C6/100)</f>
        <v/>
      </c>
      <c r="D14" s="14">
        <f>IF(D9&lt;&gt;"可以","",D12*D5/100+D13*D6/100)</f>
        <v/>
      </c>
      <c r="J14" s="20" t="inlineStr">
        <is>
          <t>驗算：每個成分的重量 × 它的脂肪 %，加起來要等於目標的脂肪總重。</t>
        </is>
      </c>
    </row>
    <row r="15">
      <c r="B15" s="23" t="inlineStr">
        <is>
          <t>應該等於：目標% × W總 (kg)</t>
        </is>
      </c>
      <c r="C15" s="14">
        <f>IF(C9&lt;&gt;"可以","",C7/100*C8)</f>
        <v/>
      </c>
      <c r="D15" s="14">
        <f>IF(D9&lt;&gt;"可以","",D7/100*D8)</f>
        <v/>
      </c>
    </row>
    <row r="16">
      <c r="B16" s="23" t="inlineStr">
        <is>
          <t>質量平衡通過？</t>
        </is>
      </c>
      <c r="C16" s="13">
        <f>IF(C9&lt;&gt;"可以","",IF(ABS(C14-C15)&lt;0.0005,"✔ 通過","✘ 檢查"))</f>
        <v/>
      </c>
      <c r="D16" s="13">
        <f>IF(D9&lt;&gt;"可以","",IF(ABS(D14-D15)&lt;0.0005,"✔ 通過","✘ 檢查"))</f>
        <v/>
      </c>
    </row>
  </sheetData>
  <mergeCells count="4">
    <mergeCell ref="J5:J8"/>
    <mergeCell ref="J14:J15"/>
    <mergeCell ref="B2:J2"/>
    <mergeCell ref="J10:J1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16" customHeight="1">
      <c r="B3" s="39" t="inlineStr">
        <is>
          <t>問題 1：如果忘記做溶劑空白校正，你們這組洋芋片的粗脂肪 % 會被高估多少？請寫出百分點與相對 %。</t>
        </is>
      </c>
    </row>
    <row r="4" ht="30" customHeight="1">
      <c r="B4" s="20" t="inlineStr">
        <is>
          <t>提示：「2_粗脂肪」H 欄（未扣空白）與 I 欄（扣除空白）相減就是百分點；再 ÷ I 欄 × 100 就是相對 %。第 1 組也可看「4_精密度與回收率」C23。</t>
        </is>
      </c>
    </row>
    <row r="5" ht="60" customHeight="1">
      <c r="B5" s="40" t="inlineStr"/>
    </row>
    <row r="7" ht="32" customHeight="1">
      <c r="B7" s="39" t="inlineStr">
        <is>
          <t>問題 2：用班級直接 Soxhlet 平均，分別算相對 Röse–Gottlieb 與標示值的 bias 與回收率，並用一到兩句話解釋為什麼方向是「偏低」而不是「偏高」。</t>
        </is>
      </c>
    </row>
    <row r="8" ht="15" customHeight="1">
      <c r="B8" s="20" t="inlineStr">
        <is>
          <t>提示：看「5_盲樣偏差」K10–K13。</t>
        </is>
      </c>
    </row>
    <row r="9" ht="60" customHeight="1">
      <c r="B9" s="40" t="inlineStr"/>
    </row>
    <row r="11" ht="16" customHeight="1">
      <c r="B11" s="39" t="inlineStr">
        <is>
          <t>問題 3：用 40% 鮮奶油 + 0.5% 脫脂乳，調配 200 kg 的 2% 低脂乳，各需要多少 kg？並驗算質量平衡。</t>
        </is>
      </c>
    </row>
    <row r="12" ht="15" customHeight="1">
      <c r="B12" s="20" t="inlineStr">
        <is>
          <t>提示：在「6_Pearson方塊」D5–D8 填入 40、0.5、2、200。</t>
        </is>
      </c>
    </row>
    <row r="13" ht="60" customHeight="1">
      <c r="B13" s="40" t="inlineStr"/>
    </row>
    <row r="15" ht="16" customHeight="1">
      <c r="B15" s="39" t="inlineStr">
        <is>
          <t>問題 4：如果某組把洋芋片磨得不夠細、顆粒偏大，對粗脂肪 %（相對真實值）會有什麼影響（偏高／偏低）？為什麼？</t>
        </is>
      </c>
    </row>
    <row r="16" ht="60" customHeight="1">
      <c r="B16" s="40" t="inlineStr"/>
    </row>
    <row r="18" ht="32" customHeight="1">
      <c r="B18" s="39" t="inlineStr">
        <is>
          <t>問題 5：已知對照品的回收率如果落在 95–105% 之外，SOP 會判定這批操作不合格。你們的回收率合格嗎？若不合格，列出兩個可能的原因。</t>
        </is>
      </c>
    </row>
    <row r="19" ht="15" customHeight="1">
      <c r="B19" s="20" t="inlineStr">
        <is>
          <t>提示：看「4_精密度與回收率」C16、C19。</t>
        </is>
      </c>
    </row>
    <row r="20" ht="60" customHeight="1">
      <c r="B20" s="40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2026-09-27T18:57:28Z</dcterms:created>
  <dcterms:modified xsi:type="dcterms:W3CDTF">2026-09-27T18:57:28Z</dcterms:modified>
</cp:coreProperties>
</file>