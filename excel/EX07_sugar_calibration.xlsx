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說明" sheetId="1" state="visible" r:id="rId1"/>
    <sheet name="1_原始數據" sheetId="2" state="visible" r:id="rId2"/>
    <sheet name="2_標準曲線" sheetId="3" state="visible" r:id="rId3"/>
    <sheet name="3_缺適性檢定" sheetId="4" state="visible" r:id="rId4"/>
    <sheet name="4_LOD_LOQ" sheetId="5" state="visible" r:id="rId5"/>
    <sheet name="5_樣品換算" sheetId="6" state="visible" r:id="rId6"/>
    <sheet name="6_Brix比較" sheetId="7" state="visible" r:id="rId7"/>
    <sheet name="7_楓糖漿質量守恆" sheetId="8" state="visible" r:id="rId8"/>
    <sheet name="8_銅還原法概念" sheetId="9" state="visible" r:id="rId9"/>
    <sheet name="練習題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000"/>
    <numFmt numFmtId="166" formatCode="+0.0000;-0.0000;0.0000"/>
    <numFmt numFmtId="167" formatCode="0.000000"/>
    <numFmt numFmtId="168" formatCode="0.00000"/>
    <numFmt numFmtId="169" formatCode="0.0000000"/>
    <numFmt numFmtId="170" formatCode="0.000"/>
  </numFmts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1"/>
    </font>
    <font>
      <name val="Microsoft JhengHei"/>
      <b val="1"/>
      <color rgb="001E6B66"/>
      <sz val="12"/>
    </font>
    <font>
      <name val="Microsoft JhengHei"/>
      <color rgb="005B6964"/>
      <sz val="10"/>
    </font>
    <font>
      <name val="Microsoft JhengHei"/>
      <b val="1"/>
      <color rgb="001E6B66"/>
      <sz val="16"/>
    </font>
    <font>
      <name val="Microsoft JhengHei"/>
      <b val="1"/>
      <sz val="11"/>
    </font>
    <font>
      <name val="Microsoft JhengHei"/>
      <color rgb="001E6B66"/>
      <sz val="11"/>
      <u val="single"/>
    </font>
  </fonts>
  <fills count="7">
    <fill>
      <patternFill/>
    </fill>
    <fill>
      <patternFill patternType="gray125"/>
    </fill>
    <fill>
      <patternFill patternType="solid">
        <fgColor rgb="001E6B66"/>
      </patternFill>
    </fill>
    <fill>
      <patternFill patternType="solid">
        <fgColor rgb="00FFF2CC"/>
      </patternFill>
    </fill>
    <fill>
      <patternFill patternType="solid">
        <fgColor rgb="004E8F5A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C9D3CF"/>
      </left>
      <right style="thin">
        <color rgb="00C9D3CF"/>
      </right>
      <top style="thin">
        <color rgb="00C9D3CF"/>
      </top>
      <bottom style="thin">
        <color rgb="00C9D3CF"/>
      </bottom>
    </border>
    <border>
      <left/>
      <right/>
      <top style="thin">
        <color rgb="00C9D3CF"/>
      </top>
      <bottom/>
      <diagonal/>
    </border>
    <border>
      <left/>
      <right style="thin">
        <color rgb="00C9D3CF"/>
      </right>
      <top style="thin">
        <color rgb="00C9D3CF"/>
      </top>
      <bottom/>
      <diagonal/>
    </border>
    <border>
      <left/>
      <right/>
      <top style="thin">
        <color rgb="00C9D3CF"/>
      </top>
      <bottom style="thin">
        <color rgb="00C9D3CF"/>
      </bottom>
      <diagonal/>
    </border>
    <border>
      <left/>
      <right style="thin">
        <color rgb="00C9D3CF"/>
      </right>
      <top style="thin">
        <color rgb="00C9D3CF"/>
      </top>
      <bottom style="thin">
        <color rgb="00C9D3CF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1" pivotButton="0" quotePrefix="0" xfId="0"/>
    <xf numFmtId="0" fontId="2" fillId="0" borderId="0" pivotButton="0" quotePrefix="0" xfId="0"/>
    <xf numFmtId="0" fontId="2" fillId="5" borderId="1" pivotButton="0" quotePrefix="0" xfId="0"/>
    <xf numFmtId="0" fontId="2" fillId="6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7" fontId="2" fillId="5" borderId="1" applyAlignment="1" pivotButton="0" quotePrefix="0" xfId="0">
      <alignment horizontal="right" vertical="center"/>
    </xf>
    <xf numFmtId="167" fontId="2" fillId="0" borderId="1" pivotButton="0" quotePrefix="0" xfId="0"/>
    <xf numFmtId="0" fontId="2" fillId="5" borderId="1" applyAlignment="1" pivotButton="0" quotePrefix="0" xfId="0">
      <alignment horizontal="right" vertical="center"/>
    </xf>
    <xf numFmtId="168" fontId="2" fillId="5" borderId="1" applyAlignment="1" pivotButton="0" quotePrefix="0" xfId="0">
      <alignment horizontal="right" vertical="center"/>
    </xf>
    <xf numFmtId="168" fontId="2" fillId="0" borderId="1" pivotButton="0" quotePrefix="0" xfId="0"/>
    <xf numFmtId="170" fontId="2" fillId="5" borderId="1" applyAlignment="1" pivotButton="0" quotePrefix="0" xfId="0">
      <alignment horizontal="right" vertical="center"/>
    </xf>
    <xf numFmtId="170" fontId="2" fillId="0" borderId="1" pivotButton="0" quotePrefix="0" xfId="0"/>
    <xf numFmtId="165" fontId="2" fillId="5" borderId="1" applyAlignment="1" pivotButton="0" quotePrefix="0" xfId="0">
      <alignment horizontal="right" vertical="center"/>
    </xf>
    <xf numFmtId="165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2" fillId="3" borderId="0" pivotButton="0" quotePrefix="0" xfId="0"/>
    <xf numFmtId="2" fontId="2" fillId="5" borderId="0" pivotButton="0" quotePrefix="0" xfId="0"/>
    <xf numFmtId="0" fontId="6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" fontId="2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right" vertical="center"/>
    </xf>
    <xf numFmtId="166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1" fontId="2" fillId="5" borderId="1" applyAlignment="1" pivotButton="0" quotePrefix="0" xfId="0">
      <alignment horizontal="right" vertical="center"/>
    </xf>
    <xf numFmtId="167" fontId="6" fillId="6" borderId="1" applyAlignment="1" pivotButton="0" quotePrefix="0" xfId="0">
      <alignment horizontal="right" vertical="center"/>
    </xf>
    <xf numFmtId="168" fontId="6" fillId="6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169" fontId="2" fillId="5" borderId="1" applyAlignment="1" pivotButton="0" quotePrefix="0" xfId="0">
      <alignment horizontal="right" vertical="center"/>
    </xf>
    <xf numFmtId="170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2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2" fillId="0" borderId="1" pivotButton="0" quotePrefix="0" xfId="0"/>
    <xf numFmtId="170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65" fontId="2" fillId="3" borderId="1" pivotButton="0" quotePrefix="0" xfId="0"/>
    <xf numFmtId="0" fontId="6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Phenol-sulfuric standard curve</a:t>
            </a:r>
          </a:p>
        </rich>
      </tx>
    </title>
    <plotArea>
      <scatterChart>
        <scatterStyle val="lineMarker"/>
        <ser>
          <idx val="0"/>
          <order val="0"/>
          <tx>
            <v>measured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4A6FA5"/>
              </a:solidFill>
              <a:ln>
                <a:solidFill>
                  <a:srgbClr val="4A6FA5"/>
                </a:solidFill>
                <a:prstDash val="solid"/>
              </a:ln>
            </spPr>
          </marker>
          <xVal>
            <numRef>
              <f>'2_標準曲線'!$N$7:$N$16</f>
            </numRef>
          </xVal>
          <yVal>
            <numRef>
              <f>'2_標準曲線'!$O$7:$O$16</f>
            </numRef>
          </yVal>
          <smooth val="0"/>
        </ser>
        <ser>
          <idx val="1"/>
          <order val="1"/>
          <tx>
            <v>linear fit</v>
          </tx>
          <spPr>
            <a:ln w="19050">
              <a:solidFill>
                <a:srgbClr val="D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'2_標準曲線'!$Q$7:$Q$8</f>
            </numRef>
          </xVal>
          <yVal>
            <numRef>
              <f>'2_標準曲線'!$R$7:$R$8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Glucose concentration (ug/mL)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Absorbance at 490 nm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10"/>
        <crosses val="min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Residual plot</a:t>
            </a:r>
          </a:p>
        </rich>
      </tx>
    </title>
    <plotArea>
      <scatterChart>
        <scatterStyle val="lineMarker"/>
        <ser>
          <idx val="0"/>
          <order val="0"/>
          <tx>
            <v>residual</v>
          </tx>
          <spPr>
            <a:ln w="19050">
              <a:solidFill>
                <a:srgbClr val="B3306A"/>
              </a:solidFill>
              <a:prstDash val="solid"/>
            </a:ln>
          </spPr>
          <marker>
            <symbol val="circle"/>
            <size val="7"/>
            <spPr>
              <a:solidFill>
                <a:srgbClr val="B3306A"/>
              </a:solidFill>
              <a:ln>
                <a:solidFill>
                  <a:srgbClr val="B3306A"/>
                </a:solidFill>
                <a:prstDash val="solid"/>
              </a:ln>
            </spPr>
          </marker>
          <xVal>
            <numRef>
              <f>'2_標準曲線'!$N$7:$N$16</f>
            </numRef>
          </xVal>
          <yVal>
            <numRef>
              <f>'2_標準曲線'!$P$7:$P$16</f>
            </numRef>
          </yVal>
          <smooth val="0"/>
        </ser>
        <ser>
          <idx val="1"/>
          <order val="1"/>
          <tx>
            <v>zero</v>
          </tx>
          <spPr>
            <a:ln w="19050">
              <a:solidFill>
                <a:srgbClr val="5B6964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'2_標準曲線'!$Q$7:$Q$8</f>
            </numRef>
          </xVal>
          <yVal>
            <numRef>
              <f>'2_標準曲線'!$S$7:$S$8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Glucose concentration (ug/mL)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(AU)</a:t>
                </a:r>
              </a:p>
            </rich>
          </tx>
        </title>
        <numFmt formatCode="0.000" sourceLinked="0"/>
        <majorTickMark val="none"/>
        <minorTickMark val="none"/>
        <tickLblPos val="low"/>
        <crossAx val="10"/>
        <crosses val="min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Orange juice: Brix vs total sugar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E6B66"/>
            </a:solidFill>
            <a:ln>
              <a:prstDash val="solid"/>
            </a:ln>
          </spPr>
          <cat>
            <numRef>
              <f>'6_Brix比較'!$G$6:$G$7</f>
            </numRef>
          </cat>
          <val>
            <numRef>
              <f>'6_Brix比較'!$H$6:$H$7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45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33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ai-shengyeh.github.io/food-analysis-lab/labs/w07_sugar/index.html" TargetMode="External" Id="rId1" /><Relationship Type="http://schemas.openxmlformats.org/officeDocument/2006/relationships/hyperlink" Target="https://colab.research.google.com/github/Tai-ShengYeh/food-analysis-lab/blob/main/notebooks/NB07_sugar_phenolsulfuric.ipynb" TargetMode="External" Id="rId2" /><Relationship Type="http://schemas.openxmlformats.org/officeDocument/2006/relationships/hyperlink" Target="https://tai-shengyeh.github.io/food-analysis-lab/tools.html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E6B66"/>
    <outlinePr summaryBelow="1" summaryRight="1"/>
    <pageSetUpPr fitToPage="1"/>
  </sheetPr>
  <dimension ref="B1:E4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22" customWidth="1" min="4" max="4"/>
    <col width="40" customWidth="1" min="5" max="5"/>
  </cols>
  <sheetData>
    <row r="1" ht="28" customHeight="1">
      <c r="B1" s="1" t="inlineStr">
        <is>
          <t>EX07｜W7 糖：Brix 與酚硫酸法</t>
        </is>
      </c>
    </row>
    <row r="2">
      <c r="B2" s="2" t="inlineStr">
        <is>
          <t>食品分析實驗・入門數據分析（Excel 版）。不用寫程式；同一份數據在 Colab 筆記本做進階分析，答案應該一致。</t>
        </is>
      </c>
    </row>
    <row r="4">
      <c r="B4" s="3" t="inlineStr">
        <is>
          <t>學習目標</t>
        </is>
      </c>
    </row>
    <row r="5">
      <c r="B5" s="4" t="inlineStr">
        <is>
          <t>•  用 SLOPE、INTERCEPT、RSQ、STEYX、LINEST 做酚硫酸法標準曲線的線性迴歸，並畫殘差圖。</t>
        </is>
      </c>
    </row>
    <row r="6">
      <c r="B6" s="4" t="inlineStr">
        <is>
          <t>•  理解「R² 高不代表直線對」，用重複測量做缺適性（lack-of-fit）F 檢定。</t>
        </is>
      </c>
    </row>
    <row r="7">
      <c r="B7" s="4" t="inlineStr">
        <is>
          <t>•  用兩種 σ（迴歸殘差 SD、試劑空白 SD）算 LOD = 3.3σ/斜率 與 LOQ = 10σ/斜率。</t>
        </is>
      </c>
    </row>
    <row r="8">
      <c r="B8" s="4" t="inlineStr">
        <is>
          <t>•  把未知樣品的吸光值換算成 g/100 mL 葡萄糖當量（含稀釋倍數、樣品空白），並估計預測不確定度。</t>
        </is>
      </c>
    </row>
    <row r="9">
      <c r="B9" s="4" t="inlineStr">
        <is>
          <t>•  比較柳橙汁 Brix 與酚硫酸法總醣，並用質量守恆驗算楓糖漿的 40：1。</t>
        </is>
      </c>
    </row>
    <row r="11">
      <c r="B11" s="3" t="inlineStr">
        <is>
          <t>顏色代表什麼</t>
        </is>
      </c>
    </row>
    <row r="12">
      <c r="B12" s="5" t="inlineStr"/>
      <c r="C12" s="6" t="inlineStr">
        <is>
          <t>黃色：輸入或貼上數據的地方</t>
        </is>
      </c>
    </row>
    <row r="13">
      <c r="B13" s="7" t="inlineStr"/>
      <c r="C13" s="6" t="inlineStr">
        <is>
          <t>綠色：公式，會自動計算，不要改</t>
        </is>
      </c>
    </row>
    <row r="14">
      <c r="B14" s="8" t="inlineStr"/>
      <c r="C14" s="6" t="inlineStr">
        <is>
          <t>橘色：重點結果，寫報告時用</t>
        </is>
      </c>
    </row>
    <row r="16">
      <c r="B16" s="3" t="inlineStr">
        <is>
          <t>操作步驟</t>
        </is>
      </c>
    </row>
    <row r="17" ht="15" customHeight="1">
      <c r="B17" s="4" t="inlineStr">
        <is>
          <t>1. 看「1_原始數據」：一列是一次讀值。右邊兩個綠色欄是用標準曲線反算的濃度與（未扣空白的）總醣。</t>
        </is>
      </c>
    </row>
    <row r="18" ht="15" customHeight="1">
      <c r="B18" s="4" t="inlineStr">
        <is>
          <t>2. 「2_標準曲線」：斜率、截距、R²、STEYX、LINEST 標準誤，往下捲看標準曲線圖與殘差圖。</t>
        </is>
      </c>
    </row>
    <row r="19" ht="15" customHeight="1">
      <c r="B19" s="4" t="inlineStr">
        <is>
          <t>3. 「3_缺適性檢定」：兩個重複合併，F 檢定判斷直線夠不夠好。</t>
        </is>
      </c>
    </row>
    <row r="20" ht="15" customHeight="1">
      <c r="B20" s="4" t="inlineStr">
        <is>
          <t>4. 「4_LOD_LOQ」：兩種 σ 的 LOD／LOQ 比較。</t>
        </is>
      </c>
    </row>
    <row r="21" ht="15" customHeight="1">
      <c r="B21" s="4" t="inlineStr">
        <is>
          <t>5. 「5_樣品換算」：未知樣品的總醣 ± SD，冬瓜茶扣樣品空白，稀釋倍數反推。</t>
        </is>
      </c>
    </row>
    <row r="22" ht="30" customHeight="1">
      <c r="B22" s="4" t="inlineStr">
        <is>
          <t>6. 「6_Brix比較」、「7_楓糖漿質量守恆」、「8_銅還原法概念」：Brix 與總醣、質量守恆、乙級方法計算。</t>
        </is>
      </c>
    </row>
    <row r="23" ht="15" customHeight="1">
      <c r="B23" s="4" t="inlineStr">
        <is>
          <t>7. 完成「練習題」。</t>
        </is>
      </c>
    </row>
    <row r="24" ht="45" customHeight="1">
      <c r="B24" s="4" t="inlineStr">
        <is>
          <t>8. 換成班級數據：把共用 Google Sheet 的數據貼到「1_原始數據」A2 起（欄位順序一樣，std_curve 的 conc_ug_mL 與 unknown_* 的 dilution_factor 一定要填）。樣品名稱不同就改「5_樣品換算」A、B 欄。</t>
        </is>
      </c>
    </row>
    <row r="26">
      <c r="B26" s="3" t="inlineStr">
        <is>
          <t>對答案：用內建範例數據時，你的結果應該等於</t>
        </is>
      </c>
    </row>
    <row r="27">
      <c r="B27" s="9" t="inlineStr">
        <is>
          <t>項目</t>
        </is>
      </c>
      <c r="C27" s="9" t="inlineStr">
        <is>
          <t>本檔計算值</t>
        </is>
      </c>
      <c r="D27" s="9" t="inlineStr">
        <is>
          <t>Colab 筆記本的值</t>
        </is>
      </c>
      <c r="E27" s="9" t="inlineStr">
        <is>
          <t>一致？</t>
        </is>
      </c>
    </row>
    <row r="28">
      <c r="B28" s="10" t="inlineStr">
        <is>
          <t>標準曲線斜率 m</t>
        </is>
      </c>
      <c r="C28" s="11">
        <f>'2_標準曲線'!I8</f>
        <v/>
      </c>
      <c r="D28" s="12" t="n">
        <v>0.01010714285714285</v>
      </c>
      <c r="E28" s="13">
        <f>IF(ABS(C28-D28)&lt;=1.0117142857142856e-06,"✔ 一致","✘ 不一致（換成班級數據後本來就會不同）")</f>
        <v/>
      </c>
    </row>
    <row r="29">
      <c r="B29" s="10" t="inlineStr">
        <is>
          <t>R²</t>
        </is>
      </c>
      <c r="C29" s="14">
        <f>'2_標準曲線'!I10</f>
        <v/>
      </c>
      <c r="D29" s="15" t="n">
        <v>0.9993564641331074</v>
      </c>
      <c r="E29" s="13">
        <f>IF(ABS(C29-D29)&lt;=9.993664641331075e-05,"✔ 一致","✘ 不一致（換成班級數據後本來就會不同）")</f>
        <v/>
      </c>
    </row>
    <row r="30">
      <c r="B30" s="10" t="inlineStr">
        <is>
          <t>缺適性 F</t>
        </is>
      </c>
      <c r="C30" s="16">
        <f>'3_缺適性檢定'!M28</f>
        <v/>
      </c>
      <c r="D30" s="17" t="n">
        <v>4.880310821796913</v>
      </c>
      <c r="E30" s="13">
        <f>IF(ABS(C30-D30)&lt;=0.00048803208217969133,"✔ 一致","✘ 不一致（換成班級數據後本來就會不同）")</f>
        <v/>
      </c>
    </row>
    <row r="31">
      <c r="B31" s="10" t="inlineStr">
        <is>
          <t>缺適性 p 值</t>
        </is>
      </c>
      <c r="C31" s="18">
        <f>'3_缺適性檢定'!N28</f>
        <v/>
      </c>
      <c r="D31" s="19" t="n">
        <v>0.04281193237527568</v>
      </c>
      <c r="E31" s="13">
        <f>IF(ABS(C31-D31)&lt;=4.282193237527568e-06,"✔ 一致","✘ 不一致（換成班級數據後本來就會不同）")</f>
        <v/>
      </c>
    </row>
    <row r="32">
      <c r="B32" s="10" t="inlineStr">
        <is>
          <t>LOD，殘差 SD 法 (µg/mL)</t>
        </is>
      </c>
      <c r="C32" s="16">
        <f>'4_LOD_LOQ'!C11</f>
        <v/>
      </c>
      <c r="D32" s="17" t="n">
        <v>3.503153195113212</v>
      </c>
      <c r="E32" s="13">
        <f>IF(ABS(C32-D32)&lt;=0.0003503163195113213,"✔ 一致","✘ 不一致（換成班級數據後本來就會不同）")</f>
        <v/>
      </c>
    </row>
    <row r="33">
      <c r="B33" s="10" t="inlineStr">
        <is>
          <t>LOD，空白 SD 法 (µg/mL)</t>
        </is>
      </c>
      <c r="C33" s="16">
        <f>'4_LOD_LOQ'!D11</f>
        <v/>
      </c>
      <c r="D33" s="17" t="n">
        <v>0.8674380112247558</v>
      </c>
      <c r="E33" s="13">
        <f>IF(ABS(C33-D33)&lt;=8.674480112247559e-05,"✔ 一致","✘ 不一致（換成班級數據後本來就會不同）")</f>
        <v/>
      </c>
    </row>
    <row r="34">
      <c r="B34" s="10" t="inlineStr">
        <is>
          <t>冬瓜茶扣空白後總醣 (g/100 mL)</t>
        </is>
      </c>
      <c r="C34" s="16">
        <f>'5_樣品換算'!K9</f>
        <v/>
      </c>
      <c r="D34" s="17" t="n">
        <v>8.999387514723205</v>
      </c>
      <c r="E34" s="13">
        <f>IF(ABS(C34-D34)&lt;=0.0008999397514723206,"✔ 一致","✘ 不一致（換成班級數據後本來就會不同）")</f>
        <v/>
      </c>
    </row>
    <row r="35">
      <c r="B35" s="10" t="inlineStr">
        <is>
          <t>柳橙汁 Brix − 總醣</t>
        </is>
      </c>
      <c r="C35" s="16">
        <f>'6_Brix比較'!C9</f>
        <v/>
      </c>
      <c r="D35" s="17" t="n">
        <v>1.999976442873967</v>
      </c>
      <c r="E35" s="13">
        <f>IF(ABS(C35-D35)&lt;=0.00019999864428739671,"✔ 一致","✘ 不一致（換成班級數據後本來就會不同）")</f>
        <v/>
      </c>
    </row>
    <row r="36">
      <c r="B36" s="20" t="inlineStr">
        <is>
          <t>「Colab 筆記本的值」是用內建模擬數據算出的答案；換成全班數據後，這一欄就不再適用。</t>
        </is>
      </c>
    </row>
    <row r="38">
      <c r="B38" s="3" t="inlineStr">
        <is>
          <t>相關連結</t>
        </is>
      </c>
    </row>
    <row r="39">
      <c r="B39" s="21" t="inlineStr">
        <is>
          <t>本週實驗投影片</t>
        </is>
      </c>
      <c r="C39" s="2" t="inlineStr">
        <is>
          <t>https://tai-shengyeh.github.io/food-analysis-lab/labs/w07_sugar/index.html</t>
        </is>
      </c>
    </row>
    <row r="40">
      <c r="B40" s="21" t="inlineStr">
        <is>
          <t>進階：Colab 筆記本（Python）</t>
        </is>
      </c>
      <c r="C40" s="2" t="inlineStr">
        <is>
          <t>https://colab.research.google.com/github/Tai-ShengYeh/food-analysis-lab/blob/main/notebooks/NB07_sugar_phenolsulfuric.ipynb</t>
        </is>
      </c>
    </row>
    <row r="41">
      <c r="B41" s="21" t="inlineStr">
        <is>
          <t>數據分析工具指南（Excel／Orange／Colab）</t>
        </is>
      </c>
      <c r="C41" s="2" t="inlineStr">
        <is>
          <t>https://tai-shengyeh.github.io/food-analysis-lab/tools.html</t>
        </is>
      </c>
    </row>
    <row r="43">
      <c r="B43" s="3" t="inlineStr">
        <is>
          <t>小提醒</t>
        </is>
      </c>
    </row>
    <row r="44" ht="30" customHeight="1">
      <c r="B44" s="4" t="inlineStr">
        <is>
          <t>•  大括號 {=…} 的格子是陣列公式。自己輸入時，舊版 Excel 要按 Ctrl+Shift+Enter；Excel 365 與 Google 試算表直接 Enter。</t>
        </is>
      </c>
    </row>
    <row r="45" ht="30" customHeight="1">
      <c r="B45" s="4" t="inlineStr">
        <is>
          <t>•  迴歸也可以用「資料 → 資料分析 → 迴歸」（分析工具箱），會得到同樣的係數、標準誤與殘差；但它不會做缺適性檢定，也不會隨數據自動更新。</t>
        </is>
      </c>
    </row>
    <row r="46" ht="15" customHeight="1">
      <c r="B46" s="4" t="inlineStr">
        <is>
          <t>•  Colab 筆記本最後把結果匯出成 CSV；這裡直接把橘色格子抄進報告即可。</t>
        </is>
      </c>
    </row>
    <row r="47" ht="30" customHeight="1">
      <c r="B47" s="4" t="inlineStr">
        <is>
          <t>•  Mac 版 Numbers 不支援部分函式，請用 Excel、Google 試算表或 LibreOffice。</t>
        </is>
      </c>
    </row>
  </sheetData>
  <mergeCells count="18">
    <mergeCell ref="B20:E20"/>
    <mergeCell ref="B45:E45"/>
    <mergeCell ref="B17:E17"/>
    <mergeCell ref="B9:E9"/>
    <mergeCell ref="B18:E18"/>
    <mergeCell ref="B8:E8"/>
    <mergeCell ref="B23:E23"/>
    <mergeCell ref="B36:E36"/>
    <mergeCell ref="B6:E6"/>
    <mergeCell ref="B21:E21"/>
    <mergeCell ref="B44:E44"/>
    <mergeCell ref="B7:E7"/>
    <mergeCell ref="B24:E24"/>
    <mergeCell ref="B5:E5"/>
    <mergeCell ref="B19:E19"/>
    <mergeCell ref="B47:E47"/>
    <mergeCell ref="B46:E46"/>
    <mergeCell ref="B22:E22"/>
  </mergeCells>
  <hyperlinks>
    <hyperlink xmlns:r="http://schemas.openxmlformats.org/officeDocument/2006/relationships" ref="B39" r:id="rId1"/>
    <hyperlink xmlns:r="http://schemas.openxmlformats.org/officeDocument/2006/relationships" ref="B40" r:id="rId2"/>
    <hyperlink xmlns:r="http://schemas.openxmlformats.org/officeDocument/2006/relationships" ref="B41" r:id="rId3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 fitToPage="0"/>
  </sheetPr>
  <dimension ref="A1:N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60" customWidth="1" min="14" max="14"/>
  </cols>
  <sheetData>
    <row r="1">
      <c r="A1" s="9" t="inlineStr">
        <is>
          <t>group</t>
        </is>
      </c>
      <c r="B1" s="9" t="inlineStr">
        <is>
          <t>student</t>
        </is>
      </c>
      <c r="C1" s="9" t="inlineStr">
        <is>
          <t>item</t>
        </is>
      </c>
      <c r="D1" s="9" t="inlineStr">
        <is>
          <t>rep</t>
        </is>
      </c>
      <c r="E1" s="9" t="inlineStr">
        <is>
          <t>value</t>
        </is>
      </c>
      <c r="F1" s="9" t="inlineStr">
        <is>
          <t>unit</t>
        </is>
      </c>
      <c r="G1" s="9" t="inlineStr">
        <is>
          <t>temp_C</t>
        </is>
      </c>
      <c r="H1" s="9" t="inlineStr">
        <is>
          <t>conc_ug_mL</t>
        </is>
      </c>
      <c r="I1" s="9" t="inlineStr">
        <is>
          <t>dilution_factor</t>
        </is>
      </c>
      <c r="J1" s="9" t="inlineStr">
        <is>
          <t>note</t>
        </is>
      </c>
      <c r="K1" s="22" t="inlineStr">
        <is>
          <t>反算濃度_ug_mL</t>
        </is>
      </c>
      <c r="L1" s="22" t="inlineStr">
        <is>
          <t>總醣_g_100mL_未扣空白</t>
        </is>
      </c>
      <c r="N1" s="3" t="inlineStr">
        <is>
          <t>這張工作表怎麼用</t>
        </is>
      </c>
    </row>
    <row r="2" ht="75" customHeight="1">
      <c r="A2" s="23" t="n">
        <v>0</v>
      </c>
      <c r="B2" s="23" t="inlineStr">
        <is>
          <t>class_curve</t>
        </is>
      </c>
      <c r="C2" s="23" t="inlineStr">
        <is>
          <t>std_curve</t>
        </is>
      </c>
      <c r="D2" s="23" t="n">
        <v>1</v>
      </c>
      <c r="E2" s="23" t="n">
        <v>0.021</v>
      </c>
      <c r="F2" s="23" t="inlineStr">
        <is>
          <t>AU</t>
        </is>
      </c>
      <c r="G2" s="23" t="n"/>
      <c r="H2" s="23" t="n">
        <v>0</v>
      </c>
      <c r="I2" s="23" t="n"/>
      <c r="J2" s="23" t="inlineStr">
        <is>
          <t>標準曲線第 1 重複，本班的正式檢量線</t>
        </is>
      </c>
      <c r="K2" s="24">
        <f>IF($A2="","",IF(F2="AU",(E2-'2_標準曲線'!$I$9)/'2_標準曲線'!$I$8,""))</f>
        <v/>
      </c>
      <c r="L2" s="24">
        <f>IF($A2="","",IF(ISNUMBER(I2),K2*I2*1E-4,""))</f>
        <v/>
      </c>
      <c r="N2" s="20" t="inlineStr">
        <is>
          <t>本週欄位：item＝量測項目（std_curve 標準曲線、reagent_blank_490nm 試劑空白、unknown_* 未知樣品、orange_juice_brix 折射計讀值…）；value＝吸光值 (AU) 或 Brix 讀值 (°Brix)；conc_ug_mL＝標準品已知濃度（只有 std_curve 有）；dilution_factor＝未知樣品稀釋倍數。</t>
        </is>
      </c>
    </row>
    <row r="3" ht="30" customHeight="1">
      <c r="A3" s="23" t="n">
        <v>0</v>
      </c>
      <c r="B3" s="23" t="inlineStr">
        <is>
          <t>class_curve</t>
        </is>
      </c>
      <c r="C3" s="23" t="inlineStr">
        <is>
          <t>std_curve</t>
        </is>
      </c>
      <c r="D3" s="23" t="n">
        <v>1</v>
      </c>
      <c r="E3" s="23" t="n">
        <v>0.233</v>
      </c>
      <c r="F3" s="23" t="inlineStr">
        <is>
          <t>AU</t>
        </is>
      </c>
      <c r="G3" s="23" t="n"/>
      <c r="H3" s="23" t="n">
        <v>20</v>
      </c>
      <c r="I3" s="23" t="n"/>
      <c r="J3" s="23" t="inlineStr">
        <is>
          <t>標準曲線第 1 重複，本班的正式檢量線</t>
        </is>
      </c>
      <c r="K3" s="24">
        <f>IF($A3="","",IF(F3="AU",(E3-'2_標準曲線'!$I$9)/'2_標準曲線'!$I$8,""))</f>
        <v/>
      </c>
      <c r="L3" s="24">
        <f>IF($A3="","",IF(ISNUMBER(I3),K3*I3*1E-4,""))</f>
        <v/>
      </c>
      <c r="N3" s="20" t="inlineStr">
        <is>
          <t>rep＝重複次數。標準曲線第 1 重複是本班正式檢量線；第 2 重複是為了做缺適性（lack-of-fit）檢定。</t>
        </is>
      </c>
    </row>
    <row r="4" ht="15" customHeight="1">
      <c r="A4" s="23" t="n">
        <v>0</v>
      </c>
      <c r="B4" s="23" t="inlineStr">
        <is>
          <t>class_curve</t>
        </is>
      </c>
      <c r="C4" s="23" t="inlineStr">
        <is>
          <t>std_curve</t>
        </is>
      </c>
      <c r="D4" s="23" t="n">
        <v>1</v>
      </c>
      <c r="E4" s="23" t="n">
        <v>0.447</v>
      </c>
      <c r="F4" s="23" t="inlineStr">
        <is>
          <t>AU</t>
        </is>
      </c>
      <c r="G4" s="23" t="n"/>
      <c r="H4" s="23" t="n">
        <v>40</v>
      </c>
      <c r="I4" s="23" t="n"/>
      <c r="J4" s="23" t="inlineStr">
        <is>
          <t>標準曲線第 1 重複，本班的正式檢量線</t>
        </is>
      </c>
      <c r="K4" s="24">
        <f>IF($A4="","",IF(F4="AU",(E4-'2_標準曲線'!$I$9)/'2_標準曲線'!$I$8,""))</f>
        <v/>
      </c>
      <c r="L4" s="24">
        <f>IF($A4="","",IF(ISNUMBER(I4),K4*I4*1E-4,""))</f>
        <v/>
      </c>
      <c r="N4" s="20" t="inlineStr">
        <is>
          <t>⚠ 內建數據是模擬教學資料，不是真實量測值。</t>
        </is>
      </c>
    </row>
    <row r="5" ht="30" customHeight="1">
      <c r="A5" s="23" t="n">
        <v>0</v>
      </c>
      <c r="B5" s="23" t="inlineStr">
        <is>
          <t>class_curve</t>
        </is>
      </c>
      <c r="C5" s="23" t="inlineStr">
        <is>
          <t>std_curve</t>
        </is>
      </c>
      <c r="D5" s="23" t="n">
        <v>1</v>
      </c>
      <c r="E5" s="23" t="n">
        <v>0.64</v>
      </c>
      <c r="F5" s="23" t="inlineStr">
        <is>
          <t>AU</t>
        </is>
      </c>
      <c r="G5" s="23" t="n"/>
      <c r="H5" s="23" t="n">
        <v>60</v>
      </c>
      <c r="I5" s="23" t="n"/>
      <c r="J5" s="23" t="inlineStr">
        <is>
          <t>標準曲線第 1 重複，本班的正式檢量線</t>
        </is>
      </c>
      <c r="K5" s="24">
        <f>IF($A5="","",IF(F5="AU",(E5-'2_標準曲線'!$I$9)/'2_標準曲線'!$I$8,""))</f>
        <v/>
      </c>
      <c r="L5" s="24">
        <f>IF($A5="","",IF(ISNUMBER(I5),K5*I5*1E-4,""))</f>
        <v/>
      </c>
      <c r="N5" s="20" t="inlineStr">
        <is>
          <t>黃色欄位＝原始數據。換成全班數據時：從共用 Google Sheet 複製，貼到 A2（欄位順序必須一樣），舊資料多出來的列要整列刪除。</t>
        </is>
      </c>
    </row>
    <row r="6" ht="15" customHeight="1">
      <c r="A6" s="23" t="n">
        <v>0</v>
      </c>
      <c r="B6" s="23" t="inlineStr">
        <is>
          <t>class_curve</t>
        </is>
      </c>
      <c r="C6" s="23" t="inlineStr">
        <is>
          <t>std_curve</t>
        </is>
      </c>
      <c r="D6" s="23" t="n">
        <v>1</v>
      </c>
      <c r="E6" s="23" t="n">
        <v>0.847</v>
      </c>
      <c r="F6" s="23" t="inlineStr">
        <is>
          <t>AU</t>
        </is>
      </c>
      <c r="G6" s="23" t="n"/>
      <c r="H6" s="23" t="n">
        <v>80</v>
      </c>
      <c r="I6" s="23" t="n"/>
      <c r="J6" s="23" t="inlineStr">
        <is>
          <t>標準曲線第 1 重複，本班的正式檢量線</t>
        </is>
      </c>
      <c r="K6" s="24">
        <f>IF($A6="","",IF(F6="AU",(E6-'2_標準曲線'!$I$9)/'2_標準曲線'!$I$8,""))</f>
        <v/>
      </c>
      <c r="L6" s="24">
        <f>IF($A6="","",IF(ISNUMBER(I6),K6*I6*1E-4,""))</f>
        <v/>
      </c>
      <c r="N6" s="20" t="inlineStr">
        <is>
          <t>綠色欄位＝公式，會自動算到第 1000 列，不要手動修改。</t>
        </is>
      </c>
    </row>
    <row r="7" ht="45" customHeight="1">
      <c r="A7" s="23" t="n">
        <v>0</v>
      </c>
      <c r="B7" s="23" t="inlineStr">
        <is>
          <t>class_curve</t>
        </is>
      </c>
      <c r="C7" s="23" t="inlineStr">
        <is>
          <t>std_curve</t>
        </is>
      </c>
      <c r="D7" s="23" t="n">
        <v>1</v>
      </c>
      <c r="E7" s="23" t="n">
        <v>1.029</v>
      </c>
      <c r="F7" s="23" t="inlineStr">
        <is>
          <t>AU</t>
        </is>
      </c>
      <c r="G7" s="23" t="n"/>
      <c r="H7" s="23" t="n">
        <v>100</v>
      </c>
      <c r="I7" s="23" t="n"/>
      <c r="J7" s="23" t="inlineStr">
        <is>
          <t>標準曲線第 1 重複，本班的正式檢量線</t>
        </is>
      </c>
      <c r="K7" s="24">
        <f>IF($A7="","",IF(F7="AU",(E7-'2_標準曲線'!$I$9)/'2_標準曲線'!$I$8,""))</f>
        <v/>
      </c>
      <c r="L7" s="24">
        <f>IF($A7="","",IF(ISNUMBER(I7),K7*I7*1E-4,""))</f>
        <v/>
      </c>
      <c r="N7" s="20" t="inlineStr">
        <is>
          <t>「反算濃度_ug_mL」：吸光值 (AU) 用「2_標準曲線」的直線反算成反應液濃度 (µg/mL)＝(A − b) ÷ m。標準品那幾列可以拿來和已知濃度 conc_ug_mL 比，看標準曲線回推得準不準。</t>
        </is>
      </c>
    </row>
    <row r="8" ht="45" customHeight="1">
      <c r="A8" s="23" t="n">
        <v>0</v>
      </c>
      <c r="B8" s="23" t="inlineStr">
        <is>
          <t>class_curve</t>
        </is>
      </c>
      <c r="C8" s="23" t="inlineStr">
        <is>
          <t>std_curve</t>
        </is>
      </c>
      <c r="D8" s="23" t="n">
        <v>2</v>
      </c>
      <c r="E8" s="23" t="n">
        <v>0.0227</v>
      </c>
      <c r="F8" s="23" t="inlineStr">
        <is>
          <t>AU</t>
        </is>
      </c>
      <c r="G8" s="23" t="n"/>
      <c r="H8" s="23" t="n">
        <v>0</v>
      </c>
      <c r="I8" s="23" t="n"/>
      <c r="J8" s="23" t="inlineStr">
        <is>
          <t>標準曲線第 2 重複，用於示範 lack-of-fit 檢定（需要重複才能估計純誤差）</t>
        </is>
      </c>
      <c r="K8" s="24">
        <f>IF($A8="","",IF(F8="AU",(E8-'2_標準曲線'!$I$9)/'2_標準曲線'!$I$8,""))</f>
        <v/>
      </c>
      <c r="L8" s="24">
        <f>IF($A8="","",IF(ISNUMBER(I8),K8*I8*1E-4,""))</f>
        <v/>
      </c>
      <c r="N8" s="20" t="inlineStr">
        <is>
          <t>「總醣_g_100mL_未扣空白」：有稀釋倍數的列：反算濃度 × 稀釋倍數 × 10⁻⁴。注意這裡還沒扣樣品空白（冬瓜茶會高估），正式結果請看「5_樣品換算」。</t>
        </is>
      </c>
    </row>
    <row r="9">
      <c r="A9" s="23" t="n">
        <v>0</v>
      </c>
      <c r="B9" s="23" t="inlineStr">
        <is>
          <t>class_curve</t>
        </is>
      </c>
      <c r="C9" s="23" t="inlineStr">
        <is>
          <t>std_curve</t>
        </is>
      </c>
      <c r="D9" s="23" t="n">
        <v>2</v>
      </c>
      <c r="E9" s="23" t="n">
        <v>0.2268</v>
      </c>
      <c r="F9" s="23" t="inlineStr">
        <is>
          <t>AU</t>
        </is>
      </c>
      <c r="G9" s="23" t="n"/>
      <c r="H9" s="23" t="n">
        <v>20</v>
      </c>
      <c r="I9" s="23" t="n"/>
      <c r="J9" s="23" t="inlineStr">
        <is>
          <t>標準曲線第 2 重複，用於示範 lack-of-fit 檢定（需要重複才能估計純誤差）</t>
        </is>
      </c>
      <c r="K9" s="24">
        <f>IF($A9="","",IF(F9="AU",(E9-'2_標準曲線'!$I$9)/'2_標準曲線'!$I$8,""))</f>
        <v/>
      </c>
      <c r="L9" s="24">
        <f>IF($A9="","",IF(ISNUMBER(I9),K9*I9*1E-4,""))</f>
        <v/>
      </c>
    </row>
    <row r="10">
      <c r="A10" s="23" t="n">
        <v>0</v>
      </c>
      <c r="B10" s="23" t="inlineStr">
        <is>
          <t>class_curve</t>
        </is>
      </c>
      <c r="C10" s="23" t="inlineStr">
        <is>
          <t>std_curve</t>
        </is>
      </c>
      <c r="D10" s="23" t="n">
        <v>2</v>
      </c>
      <c r="E10" s="23" t="n">
        <v>0.4496</v>
      </c>
      <c r="F10" s="23" t="inlineStr">
        <is>
          <t>AU</t>
        </is>
      </c>
      <c r="G10" s="23" t="n"/>
      <c r="H10" s="23" t="n">
        <v>40</v>
      </c>
      <c r="I10" s="23" t="n"/>
      <c r="J10" s="23" t="inlineStr">
        <is>
          <t>標準曲線第 2 重複，用於示範 lack-of-fit 檢定（需要重複才能估計純誤差）</t>
        </is>
      </c>
      <c r="K10" s="24">
        <f>IF($A10="","",IF(F10="AU",(E10-'2_標準曲線'!$I$9)/'2_標準曲線'!$I$8,""))</f>
        <v/>
      </c>
      <c r="L10" s="24">
        <f>IF($A10="","",IF(ISNUMBER(I10),K10*I10*1E-4,""))</f>
        <v/>
      </c>
    </row>
    <row r="11">
      <c r="A11" s="23" t="n">
        <v>0</v>
      </c>
      <c r="B11" s="23" t="inlineStr">
        <is>
          <t>class_curve</t>
        </is>
      </c>
      <c r="C11" s="23" t="inlineStr">
        <is>
          <t>std_curve</t>
        </is>
      </c>
      <c r="D11" s="23" t="n">
        <v>2</v>
      </c>
      <c r="E11" s="23" t="n">
        <v>0.6532</v>
      </c>
      <c r="F11" s="23" t="inlineStr">
        <is>
          <t>AU</t>
        </is>
      </c>
      <c r="G11" s="23" t="n"/>
      <c r="H11" s="23" t="n">
        <v>60</v>
      </c>
      <c r="I11" s="23" t="n"/>
      <c r="J11" s="23" t="inlineStr">
        <is>
          <t>標準曲線第 2 重複，用於示範 lack-of-fit 檢定（需要重複才能估計純誤差）</t>
        </is>
      </c>
      <c r="K11" s="24">
        <f>IF($A11="","",IF(F11="AU",(E11-'2_標準曲線'!$I$9)/'2_標準曲線'!$I$8,""))</f>
        <v/>
      </c>
      <c r="L11" s="24">
        <f>IF($A11="","",IF(ISNUMBER(I11),K11*I11*1E-4,""))</f>
        <v/>
      </c>
    </row>
    <row r="12">
      <c r="A12" s="23" t="n">
        <v>0</v>
      </c>
      <c r="B12" s="23" t="inlineStr">
        <is>
          <t>class_curve</t>
        </is>
      </c>
      <c r="C12" s="23" t="inlineStr">
        <is>
          <t>std_curve</t>
        </is>
      </c>
      <c r="D12" s="23" t="n">
        <v>2</v>
      </c>
      <c r="E12" s="23" t="n">
        <v>0.8259</v>
      </c>
      <c r="F12" s="23" t="inlineStr">
        <is>
          <t>AU</t>
        </is>
      </c>
      <c r="G12" s="23" t="n"/>
      <c r="H12" s="23" t="n">
        <v>80</v>
      </c>
      <c r="I12" s="23" t="n"/>
      <c r="J12" s="23" t="inlineStr">
        <is>
          <t>標準曲線第 2 重複，用於示範 lack-of-fit 檢定（需要重複才能估計純誤差）</t>
        </is>
      </c>
      <c r="K12" s="24">
        <f>IF($A12="","",IF(F12="AU",(E12-'2_標準曲線'!$I$9)/'2_標準曲線'!$I$8,""))</f>
        <v/>
      </c>
      <c r="L12" s="24">
        <f>IF($A12="","",IF(ISNUMBER(I12),K12*I12*1E-4,""))</f>
        <v/>
      </c>
    </row>
    <row r="13">
      <c r="A13" s="23" t="n">
        <v>0</v>
      </c>
      <c r="B13" s="23" t="inlineStr">
        <is>
          <t>class_curve</t>
        </is>
      </c>
      <c r="C13" s="23" t="inlineStr">
        <is>
          <t>std_curve</t>
        </is>
      </c>
      <c r="D13" s="23" t="n">
        <v>2</v>
      </c>
      <c r="E13" s="23" t="n">
        <v>1.0205</v>
      </c>
      <c r="F13" s="23" t="inlineStr">
        <is>
          <t>AU</t>
        </is>
      </c>
      <c r="G13" s="23" t="n"/>
      <c r="H13" s="23" t="n">
        <v>100</v>
      </c>
      <c r="I13" s="23" t="n"/>
      <c r="J13" s="23" t="inlineStr">
        <is>
          <t>標準曲線第 2 重複，用於示範 lack-of-fit 檢定（需要重複才能估計純誤差）</t>
        </is>
      </c>
      <c r="K13" s="24">
        <f>IF($A13="","",IF(F13="AU",(E13-'2_標準曲線'!$I$9)/'2_標準曲線'!$I$8,""))</f>
        <v/>
      </c>
      <c r="L13" s="24">
        <f>IF($A13="","",IF(ISNUMBER(I13),K13*I13*1E-4,""))</f>
        <v/>
      </c>
    </row>
    <row r="14">
      <c r="A14" s="23" t="n">
        <v>0</v>
      </c>
      <c r="B14" s="23" t="inlineStr">
        <is>
          <t>class_blank</t>
        </is>
      </c>
      <c r="C14" s="23" t="inlineStr">
        <is>
          <t>reagent_blank_490nm</t>
        </is>
      </c>
      <c r="D14" s="23" t="n">
        <v>1</v>
      </c>
      <c r="E14" s="23" t="n">
        <v>0.0205</v>
      </c>
      <c r="F14" s="23" t="inlineStr">
        <is>
          <t>AU</t>
        </is>
      </c>
      <c r="G14" s="23" t="n"/>
      <c r="H14" s="23" t="n"/>
      <c r="I14" s="23" t="n"/>
      <c r="J14" s="23" t="inlineStr">
        <is>
          <t>試劑空白重複讀值，用於估計 blank SD（LOD 的另一種算法）</t>
        </is>
      </c>
      <c r="K14" s="24">
        <f>IF($A14="","",IF(F14="AU",(E14-'2_標準曲線'!$I$9)/'2_標準曲線'!$I$8,""))</f>
        <v/>
      </c>
      <c r="L14" s="24">
        <f>IF($A14="","",IF(ISNUMBER(I14),K14*I14*1E-4,""))</f>
        <v/>
      </c>
    </row>
    <row r="15">
      <c r="A15" s="23" t="n">
        <v>0</v>
      </c>
      <c r="B15" s="23" t="inlineStr">
        <is>
          <t>class_blank</t>
        </is>
      </c>
      <c r="C15" s="23" t="inlineStr">
        <is>
          <t>reagent_blank_490nm</t>
        </is>
      </c>
      <c r="D15" s="23" t="n">
        <v>2</v>
      </c>
      <c r="E15" s="23" t="n">
        <v>0.0187</v>
      </c>
      <c r="F15" s="23" t="inlineStr">
        <is>
          <t>AU</t>
        </is>
      </c>
      <c r="G15" s="23" t="n"/>
      <c r="H15" s="23" t="n"/>
      <c r="I15" s="23" t="n"/>
      <c r="J15" s="23" t="inlineStr">
        <is>
          <t>試劑空白重複讀值，用於估計 blank SD（LOD 的另一種算法）</t>
        </is>
      </c>
      <c r="K15" s="24">
        <f>IF($A15="","",IF(F15="AU",(E15-'2_標準曲線'!$I$9)/'2_標準曲線'!$I$8,""))</f>
        <v/>
      </c>
      <c r="L15" s="24">
        <f>IF($A15="","",IF(ISNUMBER(I15),K15*I15*1E-4,""))</f>
        <v/>
      </c>
    </row>
    <row r="16">
      <c r="A16" s="23" t="n">
        <v>0</v>
      </c>
      <c r="B16" s="23" t="inlineStr">
        <is>
          <t>class_blank</t>
        </is>
      </c>
      <c r="C16" s="23" t="inlineStr">
        <is>
          <t>reagent_blank_490nm</t>
        </is>
      </c>
      <c r="D16" s="23" t="n">
        <v>3</v>
      </c>
      <c r="E16" s="23" t="n">
        <v>0.0199</v>
      </c>
      <c r="F16" s="23" t="inlineStr">
        <is>
          <t>AU</t>
        </is>
      </c>
      <c r="G16" s="23" t="n"/>
      <c r="H16" s="23" t="n"/>
      <c r="I16" s="23" t="n"/>
      <c r="J16" s="23" t="inlineStr">
        <is>
          <t>試劑空白重複讀值，用於估計 blank SD（LOD 的另一種算法）</t>
        </is>
      </c>
      <c r="K16" s="24">
        <f>IF($A16="","",IF(F16="AU",(E16-'2_標準曲線'!$I$9)/'2_標準曲線'!$I$8,""))</f>
        <v/>
      </c>
      <c r="L16" s="24">
        <f>IF($A16="","",IF(ISNUMBER(I16),K16*I16*1E-4,""))</f>
        <v/>
      </c>
    </row>
    <row r="17">
      <c r="A17" s="23" t="n">
        <v>0</v>
      </c>
      <c r="B17" s="23" t="inlineStr">
        <is>
          <t>class_blank</t>
        </is>
      </c>
      <c r="C17" s="23" t="inlineStr">
        <is>
          <t>reagent_blank_490nm</t>
        </is>
      </c>
      <c r="D17" s="23" t="n">
        <v>4</v>
      </c>
      <c r="E17" s="23" t="n">
        <v>0.0166</v>
      </c>
      <c r="F17" s="23" t="inlineStr">
        <is>
          <t>AU</t>
        </is>
      </c>
      <c r="G17" s="23" t="n"/>
      <c r="H17" s="23" t="n"/>
      <c r="I17" s="23" t="n"/>
      <c r="J17" s="23" t="inlineStr">
        <is>
          <t>試劑空白重複讀值，用於估計 blank SD（LOD 的另一種算法）</t>
        </is>
      </c>
      <c r="K17" s="24">
        <f>IF($A17="","",IF(F17="AU",(E17-'2_標準曲線'!$I$9)/'2_標準曲線'!$I$8,""))</f>
        <v/>
      </c>
      <c r="L17" s="24">
        <f>IF($A17="","",IF(ISNUMBER(I17),K17*I17*1E-4,""))</f>
        <v/>
      </c>
    </row>
    <row r="18">
      <c r="A18" s="23" t="n">
        <v>0</v>
      </c>
      <c r="B18" s="23" t="inlineStr">
        <is>
          <t>class_blank</t>
        </is>
      </c>
      <c r="C18" s="23" t="inlineStr">
        <is>
          <t>reagent_blank_490nm</t>
        </is>
      </c>
      <c r="D18" s="23" t="n">
        <v>5</v>
      </c>
      <c r="E18" s="23" t="n">
        <v>0.0235</v>
      </c>
      <c r="F18" s="23" t="inlineStr">
        <is>
          <t>AU</t>
        </is>
      </c>
      <c r="G18" s="23" t="n"/>
      <c r="H18" s="23" t="n"/>
      <c r="I18" s="23" t="n"/>
      <c r="J18" s="23" t="inlineStr">
        <is>
          <t>試劑空白重複讀值，用於估計 blank SD（LOD 的另一種算法）</t>
        </is>
      </c>
      <c r="K18" s="24">
        <f>IF($A18="","",IF(F18="AU",(E18-'2_標準曲線'!$I$9)/'2_標準曲線'!$I$8,""))</f>
        <v/>
      </c>
      <c r="L18" s="24">
        <f>IF($A18="","",IF(ISNUMBER(I18),K18*I18*1E-4,""))</f>
        <v/>
      </c>
    </row>
    <row r="19">
      <c r="A19" s="23" t="n">
        <v>0</v>
      </c>
      <c r="B19" s="23" t="inlineStr">
        <is>
          <t>class_blank</t>
        </is>
      </c>
      <c r="C19" s="23" t="inlineStr">
        <is>
          <t>reagent_blank_490nm</t>
        </is>
      </c>
      <c r="D19" s="23" t="n">
        <v>6</v>
      </c>
      <c r="E19" s="23" t="n">
        <v>0.0231</v>
      </c>
      <c r="F19" s="23" t="inlineStr">
        <is>
          <t>AU</t>
        </is>
      </c>
      <c r="G19" s="23" t="n"/>
      <c r="H19" s="23" t="n"/>
      <c r="I19" s="23" t="n"/>
      <c r="J19" s="23" t="inlineStr">
        <is>
          <t>試劑空白重複讀值，用於估計 blank SD（LOD 的另一種算法）</t>
        </is>
      </c>
      <c r="K19" s="24">
        <f>IF($A19="","",IF(F19="AU",(E19-'2_標準曲線'!$I$9)/'2_標準曲線'!$I$8,""))</f>
        <v/>
      </c>
      <c r="L19" s="24">
        <f>IF($A19="","",IF(ISNUMBER(I19),K19*I19*1E-4,""))</f>
        <v/>
      </c>
    </row>
    <row r="20">
      <c r="A20" s="23" t="n">
        <v>0</v>
      </c>
      <c r="B20" s="23" t="inlineStr">
        <is>
          <t>class_blank</t>
        </is>
      </c>
      <c r="C20" s="23" t="inlineStr">
        <is>
          <t>reagent_blank_490nm</t>
        </is>
      </c>
      <c r="D20" s="23" t="n">
        <v>7</v>
      </c>
      <c r="E20" s="23" t="n">
        <v>0.0203</v>
      </c>
      <c r="F20" s="23" t="inlineStr">
        <is>
          <t>AU</t>
        </is>
      </c>
      <c r="G20" s="23" t="n"/>
      <c r="H20" s="23" t="n"/>
      <c r="I20" s="23" t="n"/>
      <c r="J20" s="23" t="inlineStr">
        <is>
          <t>試劑空白重複讀值，用於估計 blank SD（LOD 的另一種算法）</t>
        </is>
      </c>
      <c r="K20" s="24">
        <f>IF($A20="","",IF(F20="AU",(E20-'2_標準曲線'!$I$9)/'2_標準曲線'!$I$8,""))</f>
        <v/>
      </c>
      <c r="L20" s="24">
        <f>IF($A20="","",IF(ISNUMBER(I20),K20*I20*1E-4,""))</f>
        <v/>
      </c>
    </row>
    <row r="21">
      <c r="A21" s="23" t="n">
        <v>0</v>
      </c>
      <c r="B21" s="23" t="inlineStr">
        <is>
          <t>class_blank</t>
        </is>
      </c>
      <c r="C21" s="23" t="inlineStr">
        <is>
          <t>reagent_blank_490nm</t>
        </is>
      </c>
      <c r="D21" s="23" t="n">
        <v>8</v>
      </c>
      <c r="E21" s="23" t="n">
        <v>0.0245</v>
      </c>
      <c r="F21" s="23" t="inlineStr">
        <is>
          <t>AU</t>
        </is>
      </c>
      <c r="G21" s="23" t="n"/>
      <c r="H21" s="23" t="n"/>
      <c r="I21" s="23" t="n"/>
      <c r="J21" s="23" t="inlineStr">
        <is>
          <t>試劑空白重複讀值，用於估計 blank SD（LOD 的另一種算法）</t>
        </is>
      </c>
      <c r="K21" s="24">
        <f>IF($A21="","",IF(F21="AU",(E21-'2_標準曲線'!$I$9)/'2_標準曲線'!$I$8,""))</f>
        <v/>
      </c>
      <c r="L21" s="24">
        <f>IF($A21="","",IF(ISNUMBER(I21),K21*I21*1E-4,""))</f>
        <v/>
      </c>
    </row>
    <row r="22">
      <c r="A22" s="23" t="n">
        <v>1</v>
      </c>
      <c r="B22" s="23" t="inlineStr">
        <is>
          <t>G1</t>
        </is>
      </c>
      <c r="C22" s="23" t="inlineStr">
        <is>
          <t>unknown_sports_drink</t>
        </is>
      </c>
      <c r="D22" s="23" t="n">
        <v>1</v>
      </c>
      <c r="E22" s="23" t="n">
        <v>0.637</v>
      </c>
      <c r="F22" s="23" t="inlineStr">
        <is>
          <t>AU</t>
        </is>
      </c>
      <c r="G22" s="23" t="n"/>
      <c r="H22" s="23" t="n"/>
      <c r="I22" s="23" t="n">
        <v>1000</v>
      </c>
      <c r="J22" s="23" t="inlineStr">
        <is>
          <t>運動飲料，已知標準曲線範例（W7 課堂計算闖關）</t>
        </is>
      </c>
      <c r="K22" s="24">
        <f>IF($A22="","",IF(F22="AU",(E22-'2_標準曲線'!$I$9)/'2_標準曲線'!$I$8,""))</f>
        <v/>
      </c>
      <c r="L22" s="24">
        <f>IF($A22="","",IF(ISNUMBER(I22),K22*I22*1E-4,""))</f>
        <v/>
      </c>
    </row>
    <row r="23">
      <c r="A23" s="23" t="n">
        <v>2</v>
      </c>
      <c r="B23" s="23" t="inlineStr">
        <is>
          <t>G2</t>
        </is>
      </c>
      <c r="C23" s="23" t="inlineStr">
        <is>
          <t>unknown_orange_juice_phenol</t>
        </is>
      </c>
      <c r="D23" s="23" t="n">
        <v>1</v>
      </c>
      <c r="E23" s="23" t="n">
        <v>0.5109</v>
      </c>
      <c r="F23" s="23" t="inlineStr">
        <is>
          <t>AU</t>
        </is>
      </c>
      <c r="G23" s="23" t="n"/>
      <c r="H23" s="23" t="n"/>
      <c r="I23" s="23" t="n">
        <v>2000</v>
      </c>
      <c r="J23" s="23" t="inlineStr">
        <is>
          <t>柳橙汁，酚硫酸法總醣</t>
        </is>
      </c>
      <c r="K23" s="24">
        <f>IF($A23="","",IF(F23="AU",(E23-'2_標準曲線'!$I$9)/'2_標準曲線'!$I$8,""))</f>
        <v/>
      </c>
      <c r="L23" s="24">
        <f>IF($A23="","",IF(ISNUMBER(I23),K23*I23*1E-4,""))</f>
        <v/>
      </c>
    </row>
    <row r="24">
      <c r="A24" s="23" t="n">
        <v>2</v>
      </c>
      <c r="B24" s="23" t="inlineStr">
        <is>
          <t>G2</t>
        </is>
      </c>
      <c r="C24" s="23" t="inlineStr">
        <is>
          <t>orange_juice_brix</t>
        </is>
      </c>
      <c r="D24" s="23" t="n">
        <v>1</v>
      </c>
      <c r="E24" s="23" t="n">
        <v>11.5</v>
      </c>
      <c r="F24" s="23" t="inlineStr">
        <is>
          <t>degBrix</t>
        </is>
      </c>
      <c r="G24" s="23" t="n"/>
      <c r="H24" s="23" t="n"/>
      <c r="I24" s="23" t="n"/>
      <c r="J24" s="23" t="inlineStr">
        <is>
          <t>柳橙汁，折射計 Brix 讀值（20°C 對照，未做溫度校正）</t>
        </is>
      </c>
      <c r="K24" s="24">
        <f>IF($A24="","",IF(F24="AU",(E24-'2_標準曲線'!$I$9)/'2_標準曲線'!$I$8,""))</f>
        <v/>
      </c>
      <c r="L24" s="24">
        <f>IF($A24="","",IF(ISNUMBER(I24),K24*I24*1E-4,""))</f>
        <v/>
      </c>
    </row>
    <row r="25">
      <c r="A25" s="23" t="n">
        <v>3</v>
      </c>
      <c r="B25" s="23" t="inlineStr">
        <is>
          <t>G3</t>
        </is>
      </c>
      <c r="C25" s="23" t="inlineStr">
        <is>
          <t>unknown_maple_syrup</t>
        </is>
      </c>
      <c r="D25" s="23" t="n">
        <v>1</v>
      </c>
      <c r="E25" s="23" t="n">
        <v>0.5377999999999999</v>
      </c>
      <c r="F25" s="23" t="inlineStr">
        <is>
          <t>AU</t>
        </is>
      </c>
      <c r="G25" s="23" t="n"/>
      <c r="H25" s="23" t="n"/>
      <c r="I25" s="23" t="n">
        <v>17500</v>
      </c>
      <c r="J25" s="23" t="inlineStr">
        <is>
          <t>楓糖漿，酚硫酸法總醣，稀釋倍數很大(原液濃度高)</t>
        </is>
      </c>
      <c r="K25" s="24">
        <f>IF($A25="","",IF(F25="AU",(E25-'2_標準曲線'!$I$9)/'2_標準曲線'!$I$8,""))</f>
        <v/>
      </c>
      <c r="L25" s="24">
        <f>IF($A25="","",IF(ISNUMBER(I25),K25*I25*1E-4,""))</f>
        <v/>
      </c>
    </row>
    <row r="26">
      <c r="A26" s="23" t="n">
        <v>4</v>
      </c>
      <c r="B26" s="23" t="inlineStr">
        <is>
          <t>G4</t>
        </is>
      </c>
      <c r="C26" s="23" t="inlineStr">
        <is>
          <t>unknown_winter_melon_tea</t>
        </is>
      </c>
      <c r="D26" s="23" t="n">
        <v>1</v>
      </c>
      <c r="E26" s="23" t="n">
        <v>0.5306</v>
      </c>
      <c r="F26" s="23" t="inlineStr">
        <is>
          <t>AU</t>
        </is>
      </c>
      <c r="G26" s="23" t="n"/>
      <c r="H26" s="23" t="n"/>
      <c r="I26" s="23" t="n">
        <v>2000</v>
      </c>
      <c r="J26" s="23" t="inlineStr">
        <is>
          <t>冬瓜茶，樣品本身顏色深，讀值含顏色干擾(尚未扣除樣品空白)</t>
        </is>
      </c>
      <c r="K26" s="24">
        <f>IF($A26="","",IF(F26="AU",(E26-'2_標準曲線'!$I$9)/'2_標準曲線'!$I$8,""))</f>
        <v/>
      </c>
      <c r="L26" s="24">
        <f>IF($A26="","",IF(ISNUMBER(I26),K26*I26*1E-4,""))</f>
        <v/>
      </c>
    </row>
    <row r="27">
      <c r="A27" s="23" t="n">
        <v>4</v>
      </c>
      <c r="B27" s="23" t="inlineStr">
        <is>
          <t>G4</t>
        </is>
      </c>
      <c r="C27" s="23" t="inlineStr">
        <is>
          <t>winter_melon_tea_sample_blank</t>
        </is>
      </c>
      <c r="D27" s="23" t="n">
        <v>1</v>
      </c>
      <c r="E27" s="23" t="n">
        <v>0.045</v>
      </c>
      <c r="F27" s="23" t="inlineStr">
        <is>
          <t>AU</t>
        </is>
      </c>
      <c r="G27" s="23" t="n"/>
      <c r="H27" s="23" t="n"/>
      <c r="I27" s="23" t="n">
        <v>2000</v>
      </c>
      <c r="J27" s="23" t="inlineStr">
        <is>
          <t>冬瓜茶樣品本身的顏色空白(同稀釋倍數，不加酚/硫酸或以水代替糖反應)，用於扣除色素干擾</t>
        </is>
      </c>
      <c r="K27" s="24">
        <f>IF($A27="","",IF(F27="AU",(E27-'2_標準曲線'!$I$9)/'2_標準曲線'!$I$8,""))</f>
        <v/>
      </c>
      <c r="L27" s="24">
        <f>IF($A27="","",IF(ISNUMBER(I27),K27*I27*1E-4,""))</f>
        <v/>
      </c>
    </row>
    <row r="28">
      <c r="K28" s="24">
        <f>IF($A28="","",IF(F28="AU",(E28-'2_標準曲線'!$I$9)/'2_標準曲線'!$I$8,""))</f>
        <v/>
      </c>
      <c r="L28" s="24">
        <f>IF($A28="","",IF(ISNUMBER(I28),K28*I28*1E-4,""))</f>
        <v/>
      </c>
    </row>
    <row r="29">
      <c r="K29" s="24">
        <f>IF($A29="","",IF(F29="AU",(E29-'2_標準曲線'!$I$9)/'2_標準曲線'!$I$8,""))</f>
        <v/>
      </c>
      <c r="L29" s="24">
        <f>IF($A29="","",IF(ISNUMBER(I29),K29*I29*1E-4,""))</f>
        <v/>
      </c>
    </row>
    <row r="30">
      <c r="K30" s="24">
        <f>IF($A30="","",IF(F30="AU",(E30-'2_標準曲線'!$I$9)/'2_標準曲線'!$I$8,""))</f>
        <v/>
      </c>
      <c r="L30" s="24">
        <f>IF($A30="","",IF(ISNUMBER(I30),K30*I30*1E-4,""))</f>
        <v/>
      </c>
    </row>
    <row r="31">
      <c r="K31" s="24">
        <f>IF($A31="","",IF(F31="AU",(E31-'2_標準曲線'!$I$9)/'2_標準曲線'!$I$8,""))</f>
        <v/>
      </c>
      <c r="L31" s="24">
        <f>IF($A31="","",IF(ISNUMBER(I31),K31*I31*1E-4,""))</f>
        <v/>
      </c>
    </row>
    <row r="32">
      <c r="K32" s="24">
        <f>IF($A32="","",IF(F32="AU",(E32-'2_標準曲線'!$I$9)/'2_標準曲線'!$I$8,""))</f>
        <v/>
      </c>
      <c r="L32" s="24">
        <f>IF($A32="","",IF(ISNUMBER(I32),K32*I32*1E-4,""))</f>
        <v/>
      </c>
    </row>
    <row r="33">
      <c r="K33" s="24">
        <f>IF($A33="","",IF(F33="AU",(E33-'2_標準曲線'!$I$9)/'2_標準曲線'!$I$8,""))</f>
        <v/>
      </c>
      <c r="L33" s="24">
        <f>IF($A33="","",IF(ISNUMBER(I33),K33*I33*1E-4,""))</f>
        <v/>
      </c>
    </row>
    <row r="34">
      <c r="K34" s="24">
        <f>IF($A34="","",IF(F34="AU",(E34-'2_標準曲線'!$I$9)/'2_標準曲線'!$I$8,""))</f>
        <v/>
      </c>
      <c r="L34" s="24">
        <f>IF($A34="","",IF(ISNUMBER(I34),K34*I34*1E-4,""))</f>
        <v/>
      </c>
    </row>
    <row r="35">
      <c r="K35" s="24">
        <f>IF($A35="","",IF(F35="AU",(E35-'2_標準曲線'!$I$9)/'2_標準曲線'!$I$8,""))</f>
        <v/>
      </c>
      <c r="L35" s="24">
        <f>IF($A35="","",IF(ISNUMBER(I35),K35*I35*1E-4,""))</f>
        <v/>
      </c>
    </row>
    <row r="36">
      <c r="K36" s="24">
        <f>IF($A36="","",IF(F36="AU",(E36-'2_標準曲線'!$I$9)/'2_標準曲線'!$I$8,""))</f>
        <v/>
      </c>
      <c r="L36" s="24">
        <f>IF($A36="","",IF(ISNUMBER(I36),K36*I36*1E-4,""))</f>
        <v/>
      </c>
    </row>
    <row r="37">
      <c r="K37" s="24">
        <f>IF($A37="","",IF(F37="AU",(E37-'2_標準曲線'!$I$9)/'2_標準曲線'!$I$8,""))</f>
        <v/>
      </c>
      <c r="L37" s="24">
        <f>IF($A37="","",IF(ISNUMBER(I37),K37*I37*1E-4,""))</f>
        <v/>
      </c>
    </row>
    <row r="38">
      <c r="K38" s="24">
        <f>IF($A38="","",IF(F38="AU",(E38-'2_標準曲線'!$I$9)/'2_標準曲線'!$I$8,""))</f>
        <v/>
      </c>
      <c r="L38" s="24">
        <f>IF($A38="","",IF(ISNUMBER(I38),K38*I38*1E-4,""))</f>
        <v/>
      </c>
    </row>
    <row r="39">
      <c r="K39" s="24">
        <f>IF($A39="","",IF(F39="AU",(E39-'2_標準曲線'!$I$9)/'2_標準曲線'!$I$8,""))</f>
        <v/>
      </c>
      <c r="L39" s="24">
        <f>IF($A39="","",IF(ISNUMBER(I39),K39*I39*1E-4,""))</f>
        <v/>
      </c>
    </row>
    <row r="40">
      <c r="K40" s="24">
        <f>IF($A40="","",IF(F40="AU",(E40-'2_標準曲線'!$I$9)/'2_標準曲線'!$I$8,""))</f>
        <v/>
      </c>
      <c r="L40" s="24">
        <f>IF($A40="","",IF(ISNUMBER(I40),K40*I40*1E-4,""))</f>
        <v/>
      </c>
    </row>
    <row r="41">
      <c r="K41" s="24">
        <f>IF($A41="","",IF(F41="AU",(E41-'2_標準曲線'!$I$9)/'2_標準曲線'!$I$8,""))</f>
        <v/>
      </c>
      <c r="L41" s="24">
        <f>IF($A41="","",IF(ISNUMBER(I41),K41*I41*1E-4,""))</f>
        <v/>
      </c>
    </row>
    <row r="42">
      <c r="K42" s="24">
        <f>IF($A42="","",IF(F42="AU",(E42-'2_標準曲線'!$I$9)/'2_標準曲線'!$I$8,""))</f>
        <v/>
      </c>
      <c r="L42" s="24">
        <f>IF($A42="","",IF(ISNUMBER(I42),K42*I42*1E-4,""))</f>
        <v/>
      </c>
    </row>
    <row r="43">
      <c r="K43" s="24">
        <f>IF($A43="","",IF(F43="AU",(E43-'2_標準曲線'!$I$9)/'2_標準曲線'!$I$8,""))</f>
        <v/>
      </c>
      <c r="L43" s="24">
        <f>IF($A43="","",IF(ISNUMBER(I43),K43*I43*1E-4,""))</f>
        <v/>
      </c>
    </row>
    <row r="44">
      <c r="K44" s="24">
        <f>IF($A44="","",IF(F44="AU",(E44-'2_標準曲線'!$I$9)/'2_標準曲線'!$I$8,""))</f>
        <v/>
      </c>
      <c r="L44" s="24">
        <f>IF($A44="","",IF(ISNUMBER(I44),K44*I44*1E-4,""))</f>
        <v/>
      </c>
    </row>
    <row r="45">
      <c r="K45" s="24">
        <f>IF($A45="","",IF(F45="AU",(E45-'2_標準曲線'!$I$9)/'2_標準曲線'!$I$8,""))</f>
        <v/>
      </c>
      <c r="L45" s="24">
        <f>IF($A45="","",IF(ISNUMBER(I45),K45*I45*1E-4,""))</f>
        <v/>
      </c>
    </row>
    <row r="46">
      <c r="K46" s="24">
        <f>IF($A46="","",IF(F46="AU",(E46-'2_標準曲線'!$I$9)/'2_標準曲線'!$I$8,""))</f>
        <v/>
      </c>
      <c r="L46" s="24">
        <f>IF($A46="","",IF(ISNUMBER(I46),K46*I46*1E-4,""))</f>
        <v/>
      </c>
    </row>
    <row r="47">
      <c r="K47" s="24">
        <f>IF($A47="","",IF(F47="AU",(E47-'2_標準曲線'!$I$9)/'2_標準曲線'!$I$8,""))</f>
        <v/>
      </c>
      <c r="L47" s="24">
        <f>IF($A47="","",IF(ISNUMBER(I47),K47*I47*1E-4,""))</f>
        <v/>
      </c>
    </row>
    <row r="48">
      <c r="K48" s="24">
        <f>IF($A48="","",IF(F48="AU",(E48-'2_標準曲線'!$I$9)/'2_標準曲線'!$I$8,""))</f>
        <v/>
      </c>
      <c r="L48" s="24">
        <f>IF($A48="","",IF(ISNUMBER(I48),K48*I48*1E-4,""))</f>
        <v/>
      </c>
    </row>
    <row r="49">
      <c r="K49" s="24">
        <f>IF($A49="","",IF(F49="AU",(E49-'2_標準曲線'!$I$9)/'2_標準曲線'!$I$8,""))</f>
        <v/>
      </c>
      <c r="L49" s="24">
        <f>IF($A49="","",IF(ISNUMBER(I49),K49*I49*1E-4,""))</f>
        <v/>
      </c>
    </row>
    <row r="50">
      <c r="K50" s="24">
        <f>IF($A50="","",IF(F50="AU",(E50-'2_標準曲線'!$I$9)/'2_標準曲線'!$I$8,""))</f>
        <v/>
      </c>
      <c r="L50" s="24">
        <f>IF($A50="","",IF(ISNUMBER(I50),K50*I50*1E-4,""))</f>
        <v/>
      </c>
    </row>
    <row r="51">
      <c r="K51" s="24">
        <f>IF($A51="","",IF(F51="AU",(E51-'2_標準曲線'!$I$9)/'2_標準曲線'!$I$8,""))</f>
        <v/>
      </c>
      <c r="L51" s="24">
        <f>IF($A51="","",IF(ISNUMBER(I51),K51*I51*1E-4,""))</f>
        <v/>
      </c>
    </row>
    <row r="52">
      <c r="K52" s="24">
        <f>IF($A52="","",IF(F52="AU",(E52-'2_標準曲線'!$I$9)/'2_標準曲線'!$I$8,""))</f>
        <v/>
      </c>
      <c r="L52" s="24">
        <f>IF($A52="","",IF(ISNUMBER(I52),K52*I52*1E-4,""))</f>
        <v/>
      </c>
    </row>
    <row r="53">
      <c r="K53" s="24">
        <f>IF($A53="","",IF(F53="AU",(E53-'2_標準曲線'!$I$9)/'2_標準曲線'!$I$8,""))</f>
        <v/>
      </c>
      <c r="L53" s="24">
        <f>IF($A53="","",IF(ISNUMBER(I53),K53*I53*1E-4,""))</f>
        <v/>
      </c>
    </row>
    <row r="54">
      <c r="K54" s="24">
        <f>IF($A54="","",IF(F54="AU",(E54-'2_標準曲線'!$I$9)/'2_標準曲線'!$I$8,""))</f>
        <v/>
      </c>
      <c r="L54" s="24">
        <f>IF($A54="","",IF(ISNUMBER(I54),K54*I54*1E-4,""))</f>
        <v/>
      </c>
    </row>
    <row r="55">
      <c r="K55" s="24">
        <f>IF($A55="","",IF(F55="AU",(E55-'2_標準曲線'!$I$9)/'2_標準曲線'!$I$8,""))</f>
        <v/>
      </c>
      <c r="L55" s="24">
        <f>IF($A55="","",IF(ISNUMBER(I55),K55*I55*1E-4,""))</f>
        <v/>
      </c>
    </row>
    <row r="56">
      <c r="K56" s="24">
        <f>IF($A56="","",IF(F56="AU",(E56-'2_標準曲線'!$I$9)/'2_標準曲線'!$I$8,""))</f>
        <v/>
      </c>
      <c r="L56" s="24">
        <f>IF($A56="","",IF(ISNUMBER(I56),K56*I56*1E-4,""))</f>
        <v/>
      </c>
    </row>
    <row r="57">
      <c r="K57" s="24">
        <f>IF($A57="","",IF(F57="AU",(E57-'2_標準曲線'!$I$9)/'2_標準曲線'!$I$8,""))</f>
        <v/>
      </c>
      <c r="L57" s="24">
        <f>IF($A57="","",IF(ISNUMBER(I57),K57*I57*1E-4,""))</f>
        <v/>
      </c>
    </row>
    <row r="58">
      <c r="K58" s="24">
        <f>IF($A58="","",IF(F58="AU",(E58-'2_標準曲線'!$I$9)/'2_標準曲線'!$I$8,""))</f>
        <v/>
      </c>
      <c r="L58" s="24">
        <f>IF($A58="","",IF(ISNUMBER(I58),K58*I58*1E-4,""))</f>
        <v/>
      </c>
    </row>
    <row r="59">
      <c r="K59" s="24">
        <f>IF($A59="","",IF(F59="AU",(E59-'2_標準曲線'!$I$9)/'2_標準曲線'!$I$8,""))</f>
        <v/>
      </c>
      <c r="L59" s="24">
        <f>IF($A59="","",IF(ISNUMBER(I59),K59*I59*1E-4,""))</f>
        <v/>
      </c>
    </row>
    <row r="60">
      <c r="K60" s="24">
        <f>IF($A60="","",IF(F60="AU",(E60-'2_標準曲線'!$I$9)/'2_標準曲線'!$I$8,""))</f>
        <v/>
      </c>
      <c r="L60" s="24">
        <f>IF($A60="","",IF(ISNUMBER(I60),K60*I60*1E-4,""))</f>
        <v/>
      </c>
    </row>
    <row r="61">
      <c r="K61" s="24">
        <f>IF($A61="","",IF(F61="AU",(E61-'2_標準曲線'!$I$9)/'2_標準曲線'!$I$8,""))</f>
        <v/>
      </c>
      <c r="L61" s="24">
        <f>IF($A61="","",IF(ISNUMBER(I61),K61*I61*1E-4,""))</f>
        <v/>
      </c>
    </row>
    <row r="62">
      <c r="K62" s="24">
        <f>IF($A62="","",IF(F62="AU",(E62-'2_標準曲線'!$I$9)/'2_標準曲線'!$I$8,""))</f>
        <v/>
      </c>
      <c r="L62" s="24">
        <f>IF($A62="","",IF(ISNUMBER(I62),K62*I62*1E-4,""))</f>
        <v/>
      </c>
    </row>
    <row r="63">
      <c r="K63" s="24">
        <f>IF($A63="","",IF(F63="AU",(E63-'2_標準曲線'!$I$9)/'2_標準曲線'!$I$8,""))</f>
        <v/>
      </c>
      <c r="L63" s="24">
        <f>IF($A63="","",IF(ISNUMBER(I63),K63*I63*1E-4,""))</f>
        <v/>
      </c>
    </row>
    <row r="64">
      <c r="K64" s="24">
        <f>IF($A64="","",IF(F64="AU",(E64-'2_標準曲線'!$I$9)/'2_標準曲線'!$I$8,""))</f>
        <v/>
      </c>
      <c r="L64" s="24">
        <f>IF($A64="","",IF(ISNUMBER(I64),K64*I64*1E-4,""))</f>
        <v/>
      </c>
    </row>
    <row r="65">
      <c r="K65" s="24">
        <f>IF($A65="","",IF(F65="AU",(E65-'2_標準曲線'!$I$9)/'2_標準曲線'!$I$8,""))</f>
        <v/>
      </c>
      <c r="L65" s="24">
        <f>IF($A65="","",IF(ISNUMBER(I65),K65*I65*1E-4,""))</f>
        <v/>
      </c>
    </row>
    <row r="66">
      <c r="K66" s="24">
        <f>IF($A66="","",IF(F66="AU",(E66-'2_標準曲線'!$I$9)/'2_標準曲線'!$I$8,""))</f>
        <v/>
      </c>
      <c r="L66" s="24">
        <f>IF($A66="","",IF(ISNUMBER(I66),K66*I66*1E-4,""))</f>
        <v/>
      </c>
    </row>
    <row r="67">
      <c r="K67" s="24">
        <f>IF($A67="","",IF(F67="AU",(E67-'2_標準曲線'!$I$9)/'2_標準曲線'!$I$8,""))</f>
        <v/>
      </c>
      <c r="L67" s="24">
        <f>IF($A67="","",IF(ISNUMBER(I67),K67*I67*1E-4,""))</f>
        <v/>
      </c>
    </row>
    <row r="68">
      <c r="K68" s="24">
        <f>IF($A68="","",IF(F68="AU",(E68-'2_標準曲線'!$I$9)/'2_標準曲線'!$I$8,""))</f>
        <v/>
      </c>
      <c r="L68" s="24">
        <f>IF($A68="","",IF(ISNUMBER(I68),K68*I68*1E-4,""))</f>
        <v/>
      </c>
    </row>
    <row r="69">
      <c r="K69" s="24">
        <f>IF($A69="","",IF(F69="AU",(E69-'2_標準曲線'!$I$9)/'2_標準曲線'!$I$8,""))</f>
        <v/>
      </c>
      <c r="L69" s="24">
        <f>IF($A69="","",IF(ISNUMBER(I69),K69*I69*1E-4,""))</f>
        <v/>
      </c>
    </row>
    <row r="70">
      <c r="K70" s="24">
        <f>IF($A70="","",IF(F70="AU",(E70-'2_標準曲線'!$I$9)/'2_標準曲線'!$I$8,""))</f>
        <v/>
      </c>
      <c r="L70" s="24">
        <f>IF($A70="","",IF(ISNUMBER(I70),K70*I70*1E-4,""))</f>
        <v/>
      </c>
    </row>
    <row r="71">
      <c r="K71" s="24">
        <f>IF($A71="","",IF(F71="AU",(E71-'2_標準曲線'!$I$9)/'2_標準曲線'!$I$8,""))</f>
        <v/>
      </c>
      <c r="L71" s="24">
        <f>IF($A71="","",IF(ISNUMBER(I71),K71*I71*1E-4,""))</f>
        <v/>
      </c>
    </row>
    <row r="72">
      <c r="K72" s="24">
        <f>IF($A72="","",IF(F72="AU",(E72-'2_標準曲線'!$I$9)/'2_標準曲線'!$I$8,""))</f>
        <v/>
      </c>
      <c r="L72" s="24">
        <f>IF($A72="","",IF(ISNUMBER(I72),K72*I72*1E-4,""))</f>
        <v/>
      </c>
    </row>
    <row r="73">
      <c r="K73" s="24">
        <f>IF($A73="","",IF(F73="AU",(E73-'2_標準曲線'!$I$9)/'2_標準曲線'!$I$8,""))</f>
        <v/>
      </c>
      <c r="L73" s="24">
        <f>IF($A73="","",IF(ISNUMBER(I73),K73*I73*1E-4,""))</f>
        <v/>
      </c>
    </row>
    <row r="74">
      <c r="K74" s="24">
        <f>IF($A74="","",IF(F74="AU",(E74-'2_標準曲線'!$I$9)/'2_標準曲線'!$I$8,""))</f>
        <v/>
      </c>
      <c r="L74" s="24">
        <f>IF($A74="","",IF(ISNUMBER(I74),K74*I74*1E-4,""))</f>
        <v/>
      </c>
    </row>
    <row r="75">
      <c r="K75" s="24">
        <f>IF($A75="","",IF(F75="AU",(E75-'2_標準曲線'!$I$9)/'2_標準曲線'!$I$8,""))</f>
        <v/>
      </c>
      <c r="L75" s="24">
        <f>IF($A75="","",IF(ISNUMBER(I75),K75*I75*1E-4,""))</f>
        <v/>
      </c>
    </row>
    <row r="76">
      <c r="K76" s="24">
        <f>IF($A76="","",IF(F76="AU",(E76-'2_標準曲線'!$I$9)/'2_標準曲線'!$I$8,""))</f>
        <v/>
      </c>
      <c r="L76" s="24">
        <f>IF($A76="","",IF(ISNUMBER(I76),K76*I76*1E-4,""))</f>
        <v/>
      </c>
    </row>
    <row r="77">
      <c r="K77" s="24">
        <f>IF($A77="","",IF(F77="AU",(E77-'2_標準曲線'!$I$9)/'2_標準曲線'!$I$8,""))</f>
        <v/>
      </c>
      <c r="L77" s="24">
        <f>IF($A77="","",IF(ISNUMBER(I77),K77*I77*1E-4,""))</f>
        <v/>
      </c>
    </row>
    <row r="78">
      <c r="K78" s="24">
        <f>IF($A78="","",IF(F78="AU",(E78-'2_標準曲線'!$I$9)/'2_標準曲線'!$I$8,""))</f>
        <v/>
      </c>
      <c r="L78" s="24">
        <f>IF($A78="","",IF(ISNUMBER(I78),K78*I78*1E-4,""))</f>
        <v/>
      </c>
    </row>
    <row r="79">
      <c r="K79" s="24">
        <f>IF($A79="","",IF(F79="AU",(E79-'2_標準曲線'!$I$9)/'2_標準曲線'!$I$8,""))</f>
        <v/>
      </c>
      <c r="L79" s="24">
        <f>IF($A79="","",IF(ISNUMBER(I79),K79*I79*1E-4,""))</f>
        <v/>
      </c>
    </row>
    <row r="80">
      <c r="K80" s="24">
        <f>IF($A80="","",IF(F80="AU",(E80-'2_標準曲線'!$I$9)/'2_標準曲線'!$I$8,""))</f>
        <v/>
      </c>
      <c r="L80" s="24">
        <f>IF($A80="","",IF(ISNUMBER(I80),K80*I80*1E-4,""))</f>
        <v/>
      </c>
    </row>
    <row r="81">
      <c r="K81" s="24">
        <f>IF($A81="","",IF(F81="AU",(E81-'2_標準曲線'!$I$9)/'2_標準曲線'!$I$8,""))</f>
        <v/>
      </c>
      <c r="L81" s="24">
        <f>IF($A81="","",IF(ISNUMBER(I81),K81*I81*1E-4,""))</f>
        <v/>
      </c>
    </row>
    <row r="82">
      <c r="K82" s="24">
        <f>IF($A82="","",IF(F82="AU",(E82-'2_標準曲線'!$I$9)/'2_標準曲線'!$I$8,""))</f>
        <v/>
      </c>
      <c r="L82" s="24">
        <f>IF($A82="","",IF(ISNUMBER(I82),K82*I82*1E-4,""))</f>
        <v/>
      </c>
    </row>
    <row r="83">
      <c r="K83" s="24">
        <f>IF($A83="","",IF(F83="AU",(E83-'2_標準曲線'!$I$9)/'2_標準曲線'!$I$8,""))</f>
        <v/>
      </c>
      <c r="L83" s="24">
        <f>IF($A83="","",IF(ISNUMBER(I83),K83*I83*1E-4,""))</f>
        <v/>
      </c>
    </row>
    <row r="84">
      <c r="K84" s="24">
        <f>IF($A84="","",IF(F84="AU",(E84-'2_標準曲線'!$I$9)/'2_標準曲線'!$I$8,""))</f>
        <v/>
      </c>
      <c r="L84" s="24">
        <f>IF($A84="","",IF(ISNUMBER(I84),K84*I84*1E-4,""))</f>
        <v/>
      </c>
    </row>
    <row r="85">
      <c r="K85" s="24">
        <f>IF($A85="","",IF(F85="AU",(E85-'2_標準曲線'!$I$9)/'2_標準曲線'!$I$8,""))</f>
        <v/>
      </c>
      <c r="L85" s="24">
        <f>IF($A85="","",IF(ISNUMBER(I85),K85*I85*1E-4,""))</f>
        <v/>
      </c>
    </row>
    <row r="86">
      <c r="K86" s="24">
        <f>IF($A86="","",IF(F86="AU",(E86-'2_標準曲線'!$I$9)/'2_標準曲線'!$I$8,""))</f>
        <v/>
      </c>
      <c r="L86" s="24">
        <f>IF($A86="","",IF(ISNUMBER(I86),K86*I86*1E-4,""))</f>
        <v/>
      </c>
    </row>
    <row r="87">
      <c r="K87" s="24">
        <f>IF($A87="","",IF(F87="AU",(E87-'2_標準曲線'!$I$9)/'2_標準曲線'!$I$8,""))</f>
        <v/>
      </c>
      <c r="L87" s="24">
        <f>IF($A87="","",IF(ISNUMBER(I87),K87*I87*1E-4,""))</f>
        <v/>
      </c>
    </row>
    <row r="88">
      <c r="K88" s="24">
        <f>IF($A88="","",IF(F88="AU",(E88-'2_標準曲線'!$I$9)/'2_標準曲線'!$I$8,""))</f>
        <v/>
      </c>
      <c r="L88" s="24">
        <f>IF($A88="","",IF(ISNUMBER(I88),K88*I88*1E-4,""))</f>
        <v/>
      </c>
    </row>
    <row r="89">
      <c r="K89" s="24">
        <f>IF($A89="","",IF(F89="AU",(E89-'2_標準曲線'!$I$9)/'2_標準曲線'!$I$8,""))</f>
        <v/>
      </c>
      <c r="L89" s="24">
        <f>IF($A89="","",IF(ISNUMBER(I89),K89*I89*1E-4,""))</f>
        <v/>
      </c>
    </row>
    <row r="90">
      <c r="K90" s="24">
        <f>IF($A90="","",IF(F90="AU",(E90-'2_標準曲線'!$I$9)/'2_標準曲線'!$I$8,""))</f>
        <v/>
      </c>
      <c r="L90" s="24">
        <f>IF($A90="","",IF(ISNUMBER(I90),K90*I90*1E-4,""))</f>
        <v/>
      </c>
    </row>
    <row r="91">
      <c r="K91" s="24">
        <f>IF($A91="","",IF(F91="AU",(E91-'2_標準曲線'!$I$9)/'2_標準曲線'!$I$8,""))</f>
        <v/>
      </c>
      <c r="L91" s="24">
        <f>IF($A91="","",IF(ISNUMBER(I91),K91*I91*1E-4,""))</f>
        <v/>
      </c>
    </row>
    <row r="92">
      <c r="K92" s="24">
        <f>IF($A92="","",IF(F92="AU",(E92-'2_標準曲線'!$I$9)/'2_標準曲線'!$I$8,""))</f>
        <v/>
      </c>
      <c r="L92" s="24">
        <f>IF($A92="","",IF(ISNUMBER(I92),K92*I92*1E-4,""))</f>
        <v/>
      </c>
    </row>
    <row r="93">
      <c r="K93" s="24">
        <f>IF($A93="","",IF(F93="AU",(E93-'2_標準曲線'!$I$9)/'2_標準曲線'!$I$8,""))</f>
        <v/>
      </c>
      <c r="L93" s="24">
        <f>IF($A93="","",IF(ISNUMBER(I93),K93*I93*1E-4,""))</f>
        <v/>
      </c>
    </row>
    <row r="94">
      <c r="K94" s="24">
        <f>IF($A94="","",IF(F94="AU",(E94-'2_標準曲線'!$I$9)/'2_標準曲線'!$I$8,""))</f>
        <v/>
      </c>
      <c r="L94" s="24">
        <f>IF($A94="","",IF(ISNUMBER(I94),K94*I94*1E-4,""))</f>
        <v/>
      </c>
    </row>
    <row r="95">
      <c r="K95" s="24">
        <f>IF($A95="","",IF(F95="AU",(E95-'2_標準曲線'!$I$9)/'2_標準曲線'!$I$8,""))</f>
        <v/>
      </c>
      <c r="L95" s="24">
        <f>IF($A95="","",IF(ISNUMBER(I95),K95*I95*1E-4,""))</f>
        <v/>
      </c>
    </row>
    <row r="96">
      <c r="K96" s="24">
        <f>IF($A96="","",IF(F96="AU",(E96-'2_標準曲線'!$I$9)/'2_標準曲線'!$I$8,""))</f>
        <v/>
      </c>
      <c r="L96" s="24">
        <f>IF($A96="","",IF(ISNUMBER(I96),K96*I96*1E-4,""))</f>
        <v/>
      </c>
    </row>
    <row r="97">
      <c r="K97" s="24">
        <f>IF($A97="","",IF(F97="AU",(E97-'2_標準曲線'!$I$9)/'2_標準曲線'!$I$8,""))</f>
        <v/>
      </c>
      <c r="L97" s="24">
        <f>IF($A97="","",IF(ISNUMBER(I97),K97*I97*1E-4,""))</f>
        <v/>
      </c>
    </row>
    <row r="98">
      <c r="K98" s="24">
        <f>IF($A98="","",IF(F98="AU",(E98-'2_標準曲線'!$I$9)/'2_標準曲線'!$I$8,""))</f>
        <v/>
      </c>
      <c r="L98" s="24">
        <f>IF($A98="","",IF(ISNUMBER(I98),K98*I98*1E-4,""))</f>
        <v/>
      </c>
    </row>
    <row r="99">
      <c r="K99" s="24">
        <f>IF($A99="","",IF(F99="AU",(E99-'2_標準曲線'!$I$9)/'2_標準曲線'!$I$8,""))</f>
        <v/>
      </c>
      <c r="L99" s="24">
        <f>IF($A99="","",IF(ISNUMBER(I99),K99*I99*1E-4,""))</f>
        <v/>
      </c>
    </row>
    <row r="100">
      <c r="K100" s="24">
        <f>IF($A100="","",IF(F100="AU",(E100-'2_標準曲線'!$I$9)/'2_標準曲線'!$I$8,""))</f>
        <v/>
      </c>
      <c r="L100" s="24">
        <f>IF($A100="","",IF(ISNUMBER(I100),K100*I100*1E-4,""))</f>
        <v/>
      </c>
    </row>
    <row r="101">
      <c r="K101" s="24">
        <f>IF($A101="","",IF(F101="AU",(E101-'2_標準曲線'!$I$9)/'2_標準曲線'!$I$8,""))</f>
        <v/>
      </c>
      <c r="L101" s="24">
        <f>IF($A101="","",IF(ISNUMBER(I101),K101*I101*1E-4,""))</f>
        <v/>
      </c>
    </row>
    <row r="102">
      <c r="K102" s="24">
        <f>IF($A102="","",IF(F102="AU",(E102-'2_標準曲線'!$I$9)/'2_標準曲線'!$I$8,""))</f>
        <v/>
      </c>
      <c r="L102" s="24">
        <f>IF($A102="","",IF(ISNUMBER(I102),K102*I102*1E-4,""))</f>
        <v/>
      </c>
    </row>
    <row r="103">
      <c r="K103" s="24">
        <f>IF($A103="","",IF(F103="AU",(E103-'2_標準曲線'!$I$9)/'2_標準曲線'!$I$8,""))</f>
        <v/>
      </c>
      <c r="L103" s="24">
        <f>IF($A103="","",IF(ISNUMBER(I103),K103*I103*1E-4,""))</f>
        <v/>
      </c>
    </row>
    <row r="104">
      <c r="K104" s="24">
        <f>IF($A104="","",IF(F104="AU",(E104-'2_標準曲線'!$I$9)/'2_標準曲線'!$I$8,""))</f>
        <v/>
      </c>
      <c r="L104" s="24">
        <f>IF($A104="","",IF(ISNUMBER(I104),K104*I104*1E-4,""))</f>
        <v/>
      </c>
    </row>
    <row r="105">
      <c r="K105" s="24">
        <f>IF($A105="","",IF(F105="AU",(E105-'2_標準曲線'!$I$9)/'2_標準曲線'!$I$8,""))</f>
        <v/>
      </c>
      <c r="L105" s="24">
        <f>IF($A105="","",IF(ISNUMBER(I105),K105*I105*1E-4,""))</f>
        <v/>
      </c>
    </row>
    <row r="106">
      <c r="K106" s="24">
        <f>IF($A106="","",IF(F106="AU",(E106-'2_標準曲線'!$I$9)/'2_標準曲線'!$I$8,""))</f>
        <v/>
      </c>
      <c r="L106" s="24">
        <f>IF($A106="","",IF(ISNUMBER(I106),K106*I106*1E-4,""))</f>
        <v/>
      </c>
    </row>
    <row r="107">
      <c r="K107" s="24">
        <f>IF($A107="","",IF(F107="AU",(E107-'2_標準曲線'!$I$9)/'2_標準曲線'!$I$8,""))</f>
        <v/>
      </c>
      <c r="L107" s="24">
        <f>IF($A107="","",IF(ISNUMBER(I107),K107*I107*1E-4,""))</f>
        <v/>
      </c>
    </row>
    <row r="108">
      <c r="K108" s="24">
        <f>IF($A108="","",IF(F108="AU",(E108-'2_標準曲線'!$I$9)/'2_標準曲線'!$I$8,""))</f>
        <v/>
      </c>
      <c r="L108" s="24">
        <f>IF($A108="","",IF(ISNUMBER(I108),K108*I108*1E-4,""))</f>
        <v/>
      </c>
    </row>
    <row r="109">
      <c r="K109" s="24">
        <f>IF($A109="","",IF(F109="AU",(E109-'2_標準曲線'!$I$9)/'2_標準曲線'!$I$8,""))</f>
        <v/>
      </c>
      <c r="L109" s="24">
        <f>IF($A109="","",IF(ISNUMBER(I109),K109*I109*1E-4,""))</f>
        <v/>
      </c>
    </row>
    <row r="110">
      <c r="K110" s="24">
        <f>IF($A110="","",IF(F110="AU",(E110-'2_標準曲線'!$I$9)/'2_標準曲線'!$I$8,""))</f>
        <v/>
      </c>
      <c r="L110" s="24">
        <f>IF($A110="","",IF(ISNUMBER(I110),K110*I110*1E-4,""))</f>
        <v/>
      </c>
    </row>
    <row r="111">
      <c r="K111" s="24">
        <f>IF($A111="","",IF(F111="AU",(E111-'2_標準曲線'!$I$9)/'2_標準曲線'!$I$8,""))</f>
        <v/>
      </c>
      <c r="L111" s="24">
        <f>IF($A111="","",IF(ISNUMBER(I111),K111*I111*1E-4,""))</f>
        <v/>
      </c>
    </row>
    <row r="112">
      <c r="K112" s="24">
        <f>IF($A112="","",IF(F112="AU",(E112-'2_標準曲線'!$I$9)/'2_標準曲線'!$I$8,""))</f>
        <v/>
      </c>
      <c r="L112" s="24">
        <f>IF($A112="","",IF(ISNUMBER(I112),K112*I112*1E-4,""))</f>
        <v/>
      </c>
    </row>
    <row r="113">
      <c r="K113" s="24">
        <f>IF($A113="","",IF(F113="AU",(E113-'2_標準曲線'!$I$9)/'2_標準曲線'!$I$8,""))</f>
        <v/>
      </c>
      <c r="L113" s="24">
        <f>IF($A113="","",IF(ISNUMBER(I113),K113*I113*1E-4,""))</f>
        <v/>
      </c>
    </row>
    <row r="114">
      <c r="K114" s="24">
        <f>IF($A114="","",IF(F114="AU",(E114-'2_標準曲線'!$I$9)/'2_標準曲線'!$I$8,""))</f>
        <v/>
      </c>
      <c r="L114" s="24">
        <f>IF($A114="","",IF(ISNUMBER(I114),K114*I114*1E-4,""))</f>
        <v/>
      </c>
    </row>
    <row r="115">
      <c r="K115" s="24">
        <f>IF($A115="","",IF(F115="AU",(E115-'2_標準曲線'!$I$9)/'2_標準曲線'!$I$8,""))</f>
        <v/>
      </c>
      <c r="L115" s="24">
        <f>IF($A115="","",IF(ISNUMBER(I115),K115*I115*1E-4,""))</f>
        <v/>
      </c>
    </row>
    <row r="116">
      <c r="K116" s="24">
        <f>IF($A116="","",IF(F116="AU",(E116-'2_標準曲線'!$I$9)/'2_標準曲線'!$I$8,""))</f>
        <v/>
      </c>
      <c r="L116" s="24">
        <f>IF($A116="","",IF(ISNUMBER(I116),K116*I116*1E-4,""))</f>
        <v/>
      </c>
    </row>
    <row r="117">
      <c r="K117" s="24">
        <f>IF($A117="","",IF(F117="AU",(E117-'2_標準曲線'!$I$9)/'2_標準曲線'!$I$8,""))</f>
        <v/>
      </c>
      <c r="L117" s="24">
        <f>IF($A117="","",IF(ISNUMBER(I117),K117*I117*1E-4,""))</f>
        <v/>
      </c>
    </row>
    <row r="118">
      <c r="K118" s="24">
        <f>IF($A118="","",IF(F118="AU",(E118-'2_標準曲線'!$I$9)/'2_標準曲線'!$I$8,""))</f>
        <v/>
      </c>
      <c r="L118" s="24">
        <f>IF($A118="","",IF(ISNUMBER(I118),K118*I118*1E-4,""))</f>
        <v/>
      </c>
    </row>
    <row r="119">
      <c r="K119" s="24">
        <f>IF($A119="","",IF(F119="AU",(E119-'2_標準曲線'!$I$9)/'2_標準曲線'!$I$8,""))</f>
        <v/>
      </c>
      <c r="L119" s="24">
        <f>IF($A119="","",IF(ISNUMBER(I119),K119*I119*1E-4,""))</f>
        <v/>
      </c>
    </row>
    <row r="120">
      <c r="K120" s="24">
        <f>IF($A120="","",IF(F120="AU",(E120-'2_標準曲線'!$I$9)/'2_標準曲線'!$I$8,""))</f>
        <v/>
      </c>
      <c r="L120" s="24">
        <f>IF($A120="","",IF(ISNUMBER(I120),K120*I120*1E-4,""))</f>
        <v/>
      </c>
    </row>
    <row r="121">
      <c r="K121" s="24">
        <f>IF($A121="","",IF(F121="AU",(E121-'2_標準曲線'!$I$9)/'2_標準曲線'!$I$8,""))</f>
        <v/>
      </c>
      <c r="L121" s="24">
        <f>IF($A121="","",IF(ISNUMBER(I121),K121*I121*1E-4,""))</f>
        <v/>
      </c>
    </row>
    <row r="122">
      <c r="K122" s="24">
        <f>IF($A122="","",IF(F122="AU",(E122-'2_標準曲線'!$I$9)/'2_標準曲線'!$I$8,""))</f>
        <v/>
      </c>
      <c r="L122" s="24">
        <f>IF($A122="","",IF(ISNUMBER(I122),K122*I122*1E-4,""))</f>
        <v/>
      </c>
    </row>
    <row r="123">
      <c r="K123" s="24">
        <f>IF($A123="","",IF(F123="AU",(E123-'2_標準曲線'!$I$9)/'2_標準曲線'!$I$8,""))</f>
        <v/>
      </c>
      <c r="L123" s="24">
        <f>IF($A123="","",IF(ISNUMBER(I123),K123*I123*1E-4,""))</f>
        <v/>
      </c>
    </row>
    <row r="124">
      <c r="K124" s="24">
        <f>IF($A124="","",IF(F124="AU",(E124-'2_標準曲線'!$I$9)/'2_標準曲線'!$I$8,""))</f>
        <v/>
      </c>
      <c r="L124" s="24">
        <f>IF($A124="","",IF(ISNUMBER(I124),K124*I124*1E-4,""))</f>
        <v/>
      </c>
    </row>
    <row r="125">
      <c r="K125" s="24">
        <f>IF($A125="","",IF(F125="AU",(E125-'2_標準曲線'!$I$9)/'2_標準曲線'!$I$8,""))</f>
        <v/>
      </c>
      <c r="L125" s="24">
        <f>IF($A125="","",IF(ISNUMBER(I125),K125*I125*1E-4,""))</f>
        <v/>
      </c>
    </row>
    <row r="126">
      <c r="K126" s="24">
        <f>IF($A126="","",IF(F126="AU",(E126-'2_標準曲線'!$I$9)/'2_標準曲線'!$I$8,""))</f>
        <v/>
      </c>
      <c r="L126" s="24">
        <f>IF($A126="","",IF(ISNUMBER(I126),K126*I126*1E-4,""))</f>
        <v/>
      </c>
    </row>
    <row r="127">
      <c r="K127" s="24">
        <f>IF($A127="","",IF(F127="AU",(E127-'2_標準曲線'!$I$9)/'2_標準曲線'!$I$8,""))</f>
        <v/>
      </c>
      <c r="L127" s="24">
        <f>IF($A127="","",IF(ISNUMBER(I127),K127*I127*1E-4,""))</f>
        <v/>
      </c>
    </row>
    <row r="128">
      <c r="K128" s="24">
        <f>IF($A128="","",IF(F128="AU",(E128-'2_標準曲線'!$I$9)/'2_標準曲線'!$I$8,""))</f>
        <v/>
      </c>
      <c r="L128" s="24">
        <f>IF($A128="","",IF(ISNUMBER(I128),K128*I128*1E-4,""))</f>
        <v/>
      </c>
    </row>
    <row r="129">
      <c r="K129" s="24">
        <f>IF($A129="","",IF(F129="AU",(E129-'2_標準曲線'!$I$9)/'2_標準曲線'!$I$8,""))</f>
        <v/>
      </c>
      <c r="L129" s="24">
        <f>IF($A129="","",IF(ISNUMBER(I129),K129*I129*1E-4,""))</f>
        <v/>
      </c>
    </row>
    <row r="130">
      <c r="K130" s="24">
        <f>IF($A130="","",IF(F130="AU",(E130-'2_標準曲線'!$I$9)/'2_標準曲線'!$I$8,""))</f>
        <v/>
      </c>
      <c r="L130" s="24">
        <f>IF($A130="","",IF(ISNUMBER(I130),K130*I130*1E-4,""))</f>
        <v/>
      </c>
    </row>
    <row r="131">
      <c r="K131" s="24">
        <f>IF($A131="","",IF(F131="AU",(E131-'2_標準曲線'!$I$9)/'2_標準曲線'!$I$8,""))</f>
        <v/>
      </c>
      <c r="L131" s="24">
        <f>IF($A131="","",IF(ISNUMBER(I131),K131*I131*1E-4,""))</f>
        <v/>
      </c>
    </row>
    <row r="132">
      <c r="K132" s="24">
        <f>IF($A132="","",IF(F132="AU",(E132-'2_標準曲線'!$I$9)/'2_標準曲線'!$I$8,""))</f>
        <v/>
      </c>
      <c r="L132" s="24">
        <f>IF($A132="","",IF(ISNUMBER(I132),K132*I132*1E-4,""))</f>
        <v/>
      </c>
    </row>
    <row r="133">
      <c r="K133" s="24">
        <f>IF($A133="","",IF(F133="AU",(E133-'2_標準曲線'!$I$9)/'2_標準曲線'!$I$8,""))</f>
        <v/>
      </c>
      <c r="L133" s="24">
        <f>IF($A133="","",IF(ISNUMBER(I133),K133*I133*1E-4,""))</f>
        <v/>
      </c>
    </row>
    <row r="134">
      <c r="K134" s="24">
        <f>IF($A134="","",IF(F134="AU",(E134-'2_標準曲線'!$I$9)/'2_標準曲線'!$I$8,""))</f>
        <v/>
      </c>
      <c r="L134" s="24">
        <f>IF($A134="","",IF(ISNUMBER(I134),K134*I134*1E-4,""))</f>
        <v/>
      </c>
    </row>
    <row r="135">
      <c r="K135" s="24">
        <f>IF($A135="","",IF(F135="AU",(E135-'2_標準曲線'!$I$9)/'2_標準曲線'!$I$8,""))</f>
        <v/>
      </c>
      <c r="L135" s="24">
        <f>IF($A135="","",IF(ISNUMBER(I135),K135*I135*1E-4,""))</f>
        <v/>
      </c>
    </row>
    <row r="136">
      <c r="K136" s="24">
        <f>IF($A136="","",IF(F136="AU",(E136-'2_標準曲線'!$I$9)/'2_標準曲線'!$I$8,""))</f>
        <v/>
      </c>
      <c r="L136" s="24">
        <f>IF($A136="","",IF(ISNUMBER(I136),K136*I136*1E-4,""))</f>
        <v/>
      </c>
    </row>
    <row r="137">
      <c r="K137" s="24">
        <f>IF($A137="","",IF(F137="AU",(E137-'2_標準曲線'!$I$9)/'2_標準曲線'!$I$8,""))</f>
        <v/>
      </c>
      <c r="L137" s="24">
        <f>IF($A137="","",IF(ISNUMBER(I137),K137*I137*1E-4,""))</f>
        <v/>
      </c>
    </row>
    <row r="138">
      <c r="K138" s="24">
        <f>IF($A138="","",IF(F138="AU",(E138-'2_標準曲線'!$I$9)/'2_標準曲線'!$I$8,""))</f>
        <v/>
      </c>
      <c r="L138" s="24">
        <f>IF($A138="","",IF(ISNUMBER(I138),K138*I138*1E-4,""))</f>
        <v/>
      </c>
    </row>
    <row r="139">
      <c r="K139" s="24">
        <f>IF($A139="","",IF(F139="AU",(E139-'2_標準曲線'!$I$9)/'2_標準曲線'!$I$8,""))</f>
        <v/>
      </c>
      <c r="L139" s="24">
        <f>IF($A139="","",IF(ISNUMBER(I139),K139*I139*1E-4,""))</f>
        <v/>
      </c>
    </row>
    <row r="140">
      <c r="K140" s="24">
        <f>IF($A140="","",IF(F140="AU",(E140-'2_標準曲線'!$I$9)/'2_標準曲線'!$I$8,""))</f>
        <v/>
      </c>
      <c r="L140" s="24">
        <f>IF($A140="","",IF(ISNUMBER(I140),K140*I140*1E-4,""))</f>
        <v/>
      </c>
    </row>
    <row r="141">
      <c r="K141" s="24">
        <f>IF($A141="","",IF(F141="AU",(E141-'2_標準曲線'!$I$9)/'2_標準曲線'!$I$8,""))</f>
        <v/>
      </c>
      <c r="L141" s="24">
        <f>IF($A141="","",IF(ISNUMBER(I141),K141*I141*1E-4,""))</f>
        <v/>
      </c>
    </row>
    <row r="142">
      <c r="K142" s="24">
        <f>IF($A142="","",IF(F142="AU",(E142-'2_標準曲線'!$I$9)/'2_標準曲線'!$I$8,""))</f>
        <v/>
      </c>
      <c r="L142" s="24">
        <f>IF($A142="","",IF(ISNUMBER(I142),K142*I142*1E-4,""))</f>
        <v/>
      </c>
    </row>
    <row r="143">
      <c r="K143" s="24">
        <f>IF($A143="","",IF(F143="AU",(E143-'2_標準曲線'!$I$9)/'2_標準曲線'!$I$8,""))</f>
        <v/>
      </c>
      <c r="L143" s="24">
        <f>IF($A143="","",IF(ISNUMBER(I143),K143*I143*1E-4,""))</f>
        <v/>
      </c>
    </row>
    <row r="144">
      <c r="K144" s="24">
        <f>IF($A144="","",IF(F144="AU",(E144-'2_標準曲線'!$I$9)/'2_標準曲線'!$I$8,""))</f>
        <v/>
      </c>
      <c r="L144" s="24">
        <f>IF($A144="","",IF(ISNUMBER(I144),K144*I144*1E-4,""))</f>
        <v/>
      </c>
    </row>
    <row r="145">
      <c r="K145" s="24">
        <f>IF($A145="","",IF(F145="AU",(E145-'2_標準曲線'!$I$9)/'2_標準曲線'!$I$8,""))</f>
        <v/>
      </c>
      <c r="L145" s="24">
        <f>IF($A145="","",IF(ISNUMBER(I145),K145*I145*1E-4,""))</f>
        <v/>
      </c>
    </row>
    <row r="146">
      <c r="K146" s="24">
        <f>IF($A146="","",IF(F146="AU",(E146-'2_標準曲線'!$I$9)/'2_標準曲線'!$I$8,""))</f>
        <v/>
      </c>
      <c r="L146" s="24">
        <f>IF($A146="","",IF(ISNUMBER(I146),K146*I146*1E-4,""))</f>
        <v/>
      </c>
    </row>
    <row r="147">
      <c r="K147" s="24">
        <f>IF($A147="","",IF(F147="AU",(E147-'2_標準曲線'!$I$9)/'2_標準曲線'!$I$8,""))</f>
        <v/>
      </c>
      <c r="L147" s="24">
        <f>IF($A147="","",IF(ISNUMBER(I147),K147*I147*1E-4,""))</f>
        <v/>
      </c>
    </row>
    <row r="148">
      <c r="K148" s="24">
        <f>IF($A148="","",IF(F148="AU",(E148-'2_標準曲線'!$I$9)/'2_標準曲線'!$I$8,""))</f>
        <v/>
      </c>
      <c r="L148" s="24">
        <f>IF($A148="","",IF(ISNUMBER(I148),K148*I148*1E-4,""))</f>
        <v/>
      </c>
    </row>
    <row r="149">
      <c r="K149" s="24">
        <f>IF($A149="","",IF(F149="AU",(E149-'2_標準曲線'!$I$9)/'2_標準曲線'!$I$8,""))</f>
        <v/>
      </c>
      <c r="L149" s="24">
        <f>IF($A149="","",IF(ISNUMBER(I149),K149*I149*1E-4,""))</f>
        <v/>
      </c>
    </row>
    <row r="150">
      <c r="K150" s="24">
        <f>IF($A150="","",IF(F150="AU",(E150-'2_標準曲線'!$I$9)/'2_標準曲線'!$I$8,""))</f>
        <v/>
      </c>
      <c r="L150" s="24">
        <f>IF($A150="","",IF(ISNUMBER(I150),K150*I150*1E-4,""))</f>
        <v/>
      </c>
    </row>
    <row r="151">
      <c r="K151" s="24">
        <f>IF($A151="","",IF(F151="AU",(E151-'2_標準曲線'!$I$9)/'2_標準曲線'!$I$8,""))</f>
        <v/>
      </c>
      <c r="L151" s="24">
        <f>IF($A151="","",IF(ISNUMBER(I151),K151*I151*1E-4,""))</f>
        <v/>
      </c>
    </row>
    <row r="152">
      <c r="K152" s="24">
        <f>IF($A152="","",IF(F152="AU",(E152-'2_標準曲線'!$I$9)/'2_標準曲線'!$I$8,""))</f>
        <v/>
      </c>
      <c r="L152" s="24">
        <f>IF($A152="","",IF(ISNUMBER(I152),K152*I152*1E-4,""))</f>
        <v/>
      </c>
    </row>
    <row r="153">
      <c r="K153" s="24">
        <f>IF($A153="","",IF(F153="AU",(E153-'2_標準曲線'!$I$9)/'2_標準曲線'!$I$8,""))</f>
        <v/>
      </c>
      <c r="L153" s="24">
        <f>IF($A153="","",IF(ISNUMBER(I153),K153*I153*1E-4,""))</f>
        <v/>
      </c>
    </row>
    <row r="154">
      <c r="K154" s="24">
        <f>IF($A154="","",IF(F154="AU",(E154-'2_標準曲線'!$I$9)/'2_標準曲線'!$I$8,""))</f>
        <v/>
      </c>
      <c r="L154" s="24">
        <f>IF($A154="","",IF(ISNUMBER(I154),K154*I154*1E-4,""))</f>
        <v/>
      </c>
    </row>
    <row r="155">
      <c r="K155" s="24">
        <f>IF($A155="","",IF(F155="AU",(E155-'2_標準曲線'!$I$9)/'2_標準曲線'!$I$8,""))</f>
        <v/>
      </c>
      <c r="L155" s="24">
        <f>IF($A155="","",IF(ISNUMBER(I155),K155*I155*1E-4,""))</f>
        <v/>
      </c>
    </row>
    <row r="156">
      <c r="K156" s="24">
        <f>IF($A156="","",IF(F156="AU",(E156-'2_標準曲線'!$I$9)/'2_標準曲線'!$I$8,""))</f>
        <v/>
      </c>
      <c r="L156" s="24">
        <f>IF($A156="","",IF(ISNUMBER(I156),K156*I156*1E-4,""))</f>
        <v/>
      </c>
    </row>
    <row r="157">
      <c r="K157" s="24">
        <f>IF($A157="","",IF(F157="AU",(E157-'2_標準曲線'!$I$9)/'2_標準曲線'!$I$8,""))</f>
        <v/>
      </c>
      <c r="L157" s="24">
        <f>IF($A157="","",IF(ISNUMBER(I157),K157*I157*1E-4,""))</f>
        <v/>
      </c>
    </row>
    <row r="158">
      <c r="K158" s="24">
        <f>IF($A158="","",IF(F158="AU",(E158-'2_標準曲線'!$I$9)/'2_標準曲線'!$I$8,""))</f>
        <v/>
      </c>
      <c r="L158" s="24">
        <f>IF($A158="","",IF(ISNUMBER(I158),K158*I158*1E-4,""))</f>
        <v/>
      </c>
    </row>
    <row r="159">
      <c r="K159" s="24">
        <f>IF($A159="","",IF(F159="AU",(E159-'2_標準曲線'!$I$9)/'2_標準曲線'!$I$8,""))</f>
        <v/>
      </c>
      <c r="L159" s="24">
        <f>IF($A159="","",IF(ISNUMBER(I159),K159*I159*1E-4,""))</f>
        <v/>
      </c>
    </row>
    <row r="160">
      <c r="K160" s="24">
        <f>IF($A160="","",IF(F160="AU",(E160-'2_標準曲線'!$I$9)/'2_標準曲線'!$I$8,""))</f>
        <v/>
      </c>
      <c r="L160" s="24">
        <f>IF($A160="","",IF(ISNUMBER(I160),K160*I160*1E-4,""))</f>
        <v/>
      </c>
    </row>
    <row r="161">
      <c r="K161" s="24">
        <f>IF($A161="","",IF(F161="AU",(E161-'2_標準曲線'!$I$9)/'2_標準曲線'!$I$8,""))</f>
        <v/>
      </c>
      <c r="L161" s="24">
        <f>IF($A161="","",IF(ISNUMBER(I161),K161*I161*1E-4,""))</f>
        <v/>
      </c>
    </row>
    <row r="162">
      <c r="K162" s="24">
        <f>IF($A162="","",IF(F162="AU",(E162-'2_標準曲線'!$I$9)/'2_標準曲線'!$I$8,""))</f>
        <v/>
      </c>
      <c r="L162" s="24">
        <f>IF($A162="","",IF(ISNUMBER(I162),K162*I162*1E-4,""))</f>
        <v/>
      </c>
    </row>
    <row r="163">
      <c r="K163" s="24">
        <f>IF($A163="","",IF(F163="AU",(E163-'2_標準曲線'!$I$9)/'2_標準曲線'!$I$8,""))</f>
        <v/>
      </c>
      <c r="L163" s="24">
        <f>IF($A163="","",IF(ISNUMBER(I163),K163*I163*1E-4,""))</f>
        <v/>
      </c>
    </row>
    <row r="164">
      <c r="K164" s="24">
        <f>IF($A164="","",IF(F164="AU",(E164-'2_標準曲線'!$I$9)/'2_標準曲線'!$I$8,""))</f>
        <v/>
      </c>
      <c r="L164" s="24">
        <f>IF($A164="","",IF(ISNUMBER(I164),K164*I164*1E-4,""))</f>
        <v/>
      </c>
    </row>
    <row r="165">
      <c r="K165" s="24">
        <f>IF($A165="","",IF(F165="AU",(E165-'2_標準曲線'!$I$9)/'2_標準曲線'!$I$8,""))</f>
        <v/>
      </c>
      <c r="L165" s="24">
        <f>IF($A165="","",IF(ISNUMBER(I165),K165*I165*1E-4,""))</f>
        <v/>
      </c>
    </row>
    <row r="166">
      <c r="K166" s="24">
        <f>IF($A166="","",IF(F166="AU",(E166-'2_標準曲線'!$I$9)/'2_標準曲線'!$I$8,""))</f>
        <v/>
      </c>
      <c r="L166" s="24">
        <f>IF($A166="","",IF(ISNUMBER(I166),K166*I166*1E-4,""))</f>
        <v/>
      </c>
    </row>
    <row r="167">
      <c r="K167" s="24">
        <f>IF($A167="","",IF(F167="AU",(E167-'2_標準曲線'!$I$9)/'2_標準曲線'!$I$8,""))</f>
        <v/>
      </c>
      <c r="L167" s="24">
        <f>IF($A167="","",IF(ISNUMBER(I167),K167*I167*1E-4,""))</f>
        <v/>
      </c>
    </row>
    <row r="168">
      <c r="K168" s="24">
        <f>IF($A168="","",IF(F168="AU",(E168-'2_標準曲線'!$I$9)/'2_標準曲線'!$I$8,""))</f>
        <v/>
      </c>
      <c r="L168" s="24">
        <f>IF($A168="","",IF(ISNUMBER(I168),K168*I168*1E-4,""))</f>
        <v/>
      </c>
    </row>
    <row r="169">
      <c r="K169" s="24">
        <f>IF($A169="","",IF(F169="AU",(E169-'2_標準曲線'!$I$9)/'2_標準曲線'!$I$8,""))</f>
        <v/>
      </c>
      <c r="L169" s="24">
        <f>IF($A169="","",IF(ISNUMBER(I169),K169*I169*1E-4,""))</f>
        <v/>
      </c>
    </row>
    <row r="170">
      <c r="K170" s="24">
        <f>IF($A170="","",IF(F170="AU",(E170-'2_標準曲線'!$I$9)/'2_標準曲線'!$I$8,""))</f>
        <v/>
      </c>
      <c r="L170" s="24">
        <f>IF($A170="","",IF(ISNUMBER(I170),K170*I170*1E-4,""))</f>
        <v/>
      </c>
    </row>
    <row r="171">
      <c r="K171" s="24">
        <f>IF($A171="","",IF(F171="AU",(E171-'2_標準曲線'!$I$9)/'2_標準曲線'!$I$8,""))</f>
        <v/>
      </c>
      <c r="L171" s="24">
        <f>IF($A171="","",IF(ISNUMBER(I171),K171*I171*1E-4,""))</f>
        <v/>
      </c>
    </row>
    <row r="172">
      <c r="K172" s="24">
        <f>IF($A172="","",IF(F172="AU",(E172-'2_標準曲線'!$I$9)/'2_標準曲線'!$I$8,""))</f>
        <v/>
      </c>
      <c r="L172" s="24">
        <f>IF($A172="","",IF(ISNUMBER(I172),K172*I172*1E-4,""))</f>
        <v/>
      </c>
    </row>
    <row r="173">
      <c r="K173" s="24">
        <f>IF($A173="","",IF(F173="AU",(E173-'2_標準曲線'!$I$9)/'2_標準曲線'!$I$8,""))</f>
        <v/>
      </c>
      <c r="L173" s="24">
        <f>IF($A173="","",IF(ISNUMBER(I173),K173*I173*1E-4,""))</f>
        <v/>
      </c>
    </row>
    <row r="174">
      <c r="K174" s="24">
        <f>IF($A174="","",IF(F174="AU",(E174-'2_標準曲線'!$I$9)/'2_標準曲線'!$I$8,""))</f>
        <v/>
      </c>
      <c r="L174" s="24">
        <f>IF($A174="","",IF(ISNUMBER(I174),K174*I174*1E-4,""))</f>
        <v/>
      </c>
    </row>
    <row r="175">
      <c r="K175" s="24">
        <f>IF($A175="","",IF(F175="AU",(E175-'2_標準曲線'!$I$9)/'2_標準曲線'!$I$8,""))</f>
        <v/>
      </c>
      <c r="L175" s="24">
        <f>IF($A175="","",IF(ISNUMBER(I175),K175*I175*1E-4,""))</f>
        <v/>
      </c>
    </row>
    <row r="176">
      <c r="K176" s="24">
        <f>IF($A176="","",IF(F176="AU",(E176-'2_標準曲線'!$I$9)/'2_標準曲線'!$I$8,""))</f>
        <v/>
      </c>
      <c r="L176" s="24">
        <f>IF($A176="","",IF(ISNUMBER(I176),K176*I176*1E-4,""))</f>
        <v/>
      </c>
    </row>
    <row r="177">
      <c r="K177" s="24">
        <f>IF($A177="","",IF(F177="AU",(E177-'2_標準曲線'!$I$9)/'2_標準曲線'!$I$8,""))</f>
        <v/>
      </c>
      <c r="L177" s="24">
        <f>IF($A177="","",IF(ISNUMBER(I177),K177*I177*1E-4,""))</f>
        <v/>
      </c>
    </row>
    <row r="178">
      <c r="K178" s="24">
        <f>IF($A178="","",IF(F178="AU",(E178-'2_標準曲線'!$I$9)/'2_標準曲線'!$I$8,""))</f>
        <v/>
      </c>
      <c r="L178" s="24">
        <f>IF($A178="","",IF(ISNUMBER(I178),K178*I178*1E-4,""))</f>
        <v/>
      </c>
    </row>
    <row r="179">
      <c r="K179" s="24">
        <f>IF($A179="","",IF(F179="AU",(E179-'2_標準曲線'!$I$9)/'2_標準曲線'!$I$8,""))</f>
        <v/>
      </c>
      <c r="L179" s="24">
        <f>IF($A179="","",IF(ISNUMBER(I179),K179*I179*1E-4,""))</f>
        <v/>
      </c>
    </row>
    <row r="180">
      <c r="K180" s="24">
        <f>IF($A180="","",IF(F180="AU",(E180-'2_標準曲線'!$I$9)/'2_標準曲線'!$I$8,""))</f>
        <v/>
      </c>
      <c r="L180" s="24">
        <f>IF($A180="","",IF(ISNUMBER(I180),K180*I180*1E-4,""))</f>
        <v/>
      </c>
    </row>
    <row r="181">
      <c r="K181" s="24">
        <f>IF($A181="","",IF(F181="AU",(E181-'2_標準曲線'!$I$9)/'2_標準曲線'!$I$8,""))</f>
        <v/>
      </c>
      <c r="L181" s="24">
        <f>IF($A181="","",IF(ISNUMBER(I181),K181*I181*1E-4,""))</f>
        <v/>
      </c>
    </row>
    <row r="182">
      <c r="K182" s="24">
        <f>IF($A182="","",IF(F182="AU",(E182-'2_標準曲線'!$I$9)/'2_標準曲線'!$I$8,""))</f>
        <v/>
      </c>
      <c r="L182" s="24">
        <f>IF($A182="","",IF(ISNUMBER(I182),K182*I182*1E-4,""))</f>
        <v/>
      </c>
    </row>
    <row r="183">
      <c r="K183" s="24">
        <f>IF($A183="","",IF(F183="AU",(E183-'2_標準曲線'!$I$9)/'2_標準曲線'!$I$8,""))</f>
        <v/>
      </c>
      <c r="L183" s="24">
        <f>IF($A183="","",IF(ISNUMBER(I183),K183*I183*1E-4,""))</f>
        <v/>
      </c>
    </row>
    <row r="184">
      <c r="K184" s="24">
        <f>IF($A184="","",IF(F184="AU",(E184-'2_標準曲線'!$I$9)/'2_標準曲線'!$I$8,""))</f>
        <v/>
      </c>
      <c r="L184" s="24">
        <f>IF($A184="","",IF(ISNUMBER(I184),K184*I184*1E-4,""))</f>
        <v/>
      </c>
    </row>
    <row r="185">
      <c r="K185" s="24">
        <f>IF($A185="","",IF(F185="AU",(E185-'2_標準曲線'!$I$9)/'2_標準曲線'!$I$8,""))</f>
        <v/>
      </c>
      <c r="L185" s="24">
        <f>IF($A185="","",IF(ISNUMBER(I185),K185*I185*1E-4,""))</f>
        <v/>
      </c>
    </row>
    <row r="186">
      <c r="K186" s="24">
        <f>IF($A186="","",IF(F186="AU",(E186-'2_標準曲線'!$I$9)/'2_標準曲線'!$I$8,""))</f>
        <v/>
      </c>
      <c r="L186" s="24">
        <f>IF($A186="","",IF(ISNUMBER(I186),K186*I186*1E-4,""))</f>
        <v/>
      </c>
    </row>
    <row r="187">
      <c r="K187" s="24">
        <f>IF($A187="","",IF(F187="AU",(E187-'2_標準曲線'!$I$9)/'2_標準曲線'!$I$8,""))</f>
        <v/>
      </c>
      <c r="L187" s="24">
        <f>IF($A187="","",IF(ISNUMBER(I187),K187*I187*1E-4,""))</f>
        <v/>
      </c>
    </row>
    <row r="188">
      <c r="K188" s="24">
        <f>IF($A188="","",IF(F188="AU",(E188-'2_標準曲線'!$I$9)/'2_標準曲線'!$I$8,""))</f>
        <v/>
      </c>
      <c r="L188" s="24">
        <f>IF($A188="","",IF(ISNUMBER(I188),K188*I188*1E-4,""))</f>
        <v/>
      </c>
    </row>
    <row r="189">
      <c r="K189" s="24">
        <f>IF($A189="","",IF(F189="AU",(E189-'2_標準曲線'!$I$9)/'2_標準曲線'!$I$8,""))</f>
        <v/>
      </c>
      <c r="L189" s="24">
        <f>IF($A189="","",IF(ISNUMBER(I189),K189*I189*1E-4,""))</f>
        <v/>
      </c>
    </row>
    <row r="190">
      <c r="K190" s="24">
        <f>IF($A190="","",IF(F190="AU",(E190-'2_標準曲線'!$I$9)/'2_標準曲線'!$I$8,""))</f>
        <v/>
      </c>
      <c r="L190" s="24">
        <f>IF($A190="","",IF(ISNUMBER(I190),K190*I190*1E-4,""))</f>
        <v/>
      </c>
    </row>
    <row r="191">
      <c r="K191" s="24">
        <f>IF($A191="","",IF(F191="AU",(E191-'2_標準曲線'!$I$9)/'2_標準曲線'!$I$8,""))</f>
        <v/>
      </c>
      <c r="L191" s="24">
        <f>IF($A191="","",IF(ISNUMBER(I191),K191*I191*1E-4,""))</f>
        <v/>
      </c>
    </row>
    <row r="192">
      <c r="K192" s="24">
        <f>IF($A192="","",IF(F192="AU",(E192-'2_標準曲線'!$I$9)/'2_標準曲線'!$I$8,""))</f>
        <v/>
      </c>
      <c r="L192" s="24">
        <f>IF($A192="","",IF(ISNUMBER(I192),K192*I192*1E-4,""))</f>
        <v/>
      </c>
    </row>
    <row r="193">
      <c r="K193" s="24">
        <f>IF($A193="","",IF(F193="AU",(E193-'2_標準曲線'!$I$9)/'2_標準曲線'!$I$8,""))</f>
        <v/>
      </c>
      <c r="L193" s="24">
        <f>IF($A193="","",IF(ISNUMBER(I193),K193*I193*1E-4,""))</f>
        <v/>
      </c>
    </row>
    <row r="194">
      <c r="K194" s="24">
        <f>IF($A194="","",IF(F194="AU",(E194-'2_標準曲線'!$I$9)/'2_標準曲線'!$I$8,""))</f>
        <v/>
      </c>
      <c r="L194" s="24">
        <f>IF($A194="","",IF(ISNUMBER(I194),K194*I194*1E-4,""))</f>
        <v/>
      </c>
    </row>
    <row r="195">
      <c r="K195" s="24">
        <f>IF($A195="","",IF(F195="AU",(E195-'2_標準曲線'!$I$9)/'2_標準曲線'!$I$8,""))</f>
        <v/>
      </c>
      <c r="L195" s="24">
        <f>IF($A195="","",IF(ISNUMBER(I195),K195*I195*1E-4,""))</f>
        <v/>
      </c>
    </row>
    <row r="196">
      <c r="K196" s="24">
        <f>IF($A196="","",IF(F196="AU",(E196-'2_標準曲線'!$I$9)/'2_標準曲線'!$I$8,""))</f>
        <v/>
      </c>
      <c r="L196" s="24">
        <f>IF($A196="","",IF(ISNUMBER(I196),K196*I196*1E-4,""))</f>
        <v/>
      </c>
    </row>
    <row r="197">
      <c r="K197" s="24">
        <f>IF($A197="","",IF(F197="AU",(E197-'2_標準曲線'!$I$9)/'2_標準曲線'!$I$8,""))</f>
        <v/>
      </c>
      <c r="L197" s="24">
        <f>IF($A197="","",IF(ISNUMBER(I197),K197*I197*1E-4,""))</f>
        <v/>
      </c>
    </row>
    <row r="198">
      <c r="K198" s="24">
        <f>IF($A198="","",IF(F198="AU",(E198-'2_標準曲線'!$I$9)/'2_標準曲線'!$I$8,""))</f>
        <v/>
      </c>
      <c r="L198" s="24">
        <f>IF($A198="","",IF(ISNUMBER(I198),K198*I198*1E-4,""))</f>
        <v/>
      </c>
    </row>
    <row r="199">
      <c r="K199" s="24">
        <f>IF($A199="","",IF(F199="AU",(E199-'2_標準曲線'!$I$9)/'2_標準曲線'!$I$8,""))</f>
        <v/>
      </c>
      <c r="L199" s="24">
        <f>IF($A199="","",IF(ISNUMBER(I199),K199*I199*1E-4,""))</f>
        <v/>
      </c>
    </row>
    <row r="200">
      <c r="K200" s="24">
        <f>IF($A200="","",IF(F200="AU",(E200-'2_標準曲線'!$I$9)/'2_標準曲線'!$I$8,""))</f>
        <v/>
      </c>
      <c r="L200" s="24">
        <f>IF($A200="","",IF(ISNUMBER(I200),K200*I200*1E-4,""))</f>
        <v/>
      </c>
    </row>
    <row r="201">
      <c r="K201" s="24">
        <f>IF($A201="","",IF(F201="AU",(E201-'2_標準曲線'!$I$9)/'2_標準曲線'!$I$8,""))</f>
        <v/>
      </c>
      <c r="L201" s="24">
        <f>IF($A201="","",IF(ISNUMBER(I201),K201*I201*1E-4,""))</f>
        <v/>
      </c>
    </row>
    <row r="202">
      <c r="K202" s="24">
        <f>IF($A202="","",IF(F202="AU",(E202-'2_標準曲線'!$I$9)/'2_標準曲線'!$I$8,""))</f>
        <v/>
      </c>
      <c r="L202" s="24">
        <f>IF($A202="","",IF(ISNUMBER(I202),K202*I202*1E-4,""))</f>
        <v/>
      </c>
    </row>
    <row r="203">
      <c r="K203" s="24">
        <f>IF($A203="","",IF(F203="AU",(E203-'2_標準曲線'!$I$9)/'2_標準曲線'!$I$8,""))</f>
        <v/>
      </c>
      <c r="L203" s="24">
        <f>IF($A203="","",IF(ISNUMBER(I203),K203*I203*1E-4,""))</f>
        <v/>
      </c>
    </row>
    <row r="204">
      <c r="K204" s="24">
        <f>IF($A204="","",IF(F204="AU",(E204-'2_標準曲線'!$I$9)/'2_標準曲線'!$I$8,""))</f>
        <v/>
      </c>
      <c r="L204" s="24">
        <f>IF($A204="","",IF(ISNUMBER(I204),K204*I204*1E-4,""))</f>
        <v/>
      </c>
    </row>
    <row r="205">
      <c r="K205" s="24">
        <f>IF($A205="","",IF(F205="AU",(E205-'2_標準曲線'!$I$9)/'2_標準曲線'!$I$8,""))</f>
        <v/>
      </c>
      <c r="L205" s="24">
        <f>IF($A205="","",IF(ISNUMBER(I205),K205*I205*1E-4,""))</f>
        <v/>
      </c>
    </row>
    <row r="206">
      <c r="K206" s="24">
        <f>IF($A206="","",IF(F206="AU",(E206-'2_標準曲線'!$I$9)/'2_標準曲線'!$I$8,""))</f>
        <v/>
      </c>
      <c r="L206" s="24">
        <f>IF($A206="","",IF(ISNUMBER(I206),K206*I206*1E-4,""))</f>
        <v/>
      </c>
    </row>
    <row r="207">
      <c r="K207" s="24">
        <f>IF($A207="","",IF(F207="AU",(E207-'2_標準曲線'!$I$9)/'2_標準曲線'!$I$8,""))</f>
        <v/>
      </c>
      <c r="L207" s="24">
        <f>IF($A207="","",IF(ISNUMBER(I207),K207*I207*1E-4,""))</f>
        <v/>
      </c>
    </row>
    <row r="208">
      <c r="K208" s="24">
        <f>IF($A208="","",IF(F208="AU",(E208-'2_標準曲線'!$I$9)/'2_標準曲線'!$I$8,""))</f>
        <v/>
      </c>
      <c r="L208" s="24">
        <f>IF($A208="","",IF(ISNUMBER(I208),K208*I208*1E-4,""))</f>
        <v/>
      </c>
    </row>
    <row r="209">
      <c r="K209" s="24">
        <f>IF($A209="","",IF(F209="AU",(E209-'2_標準曲線'!$I$9)/'2_標準曲線'!$I$8,""))</f>
        <v/>
      </c>
      <c r="L209" s="24">
        <f>IF($A209="","",IF(ISNUMBER(I209),K209*I209*1E-4,""))</f>
        <v/>
      </c>
    </row>
    <row r="210">
      <c r="K210" s="24">
        <f>IF($A210="","",IF(F210="AU",(E210-'2_標準曲線'!$I$9)/'2_標準曲線'!$I$8,""))</f>
        <v/>
      </c>
      <c r="L210" s="24">
        <f>IF($A210="","",IF(ISNUMBER(I210),K210*I210*1E-4,""))</f>
        <v/>
      </c>
    </row>
    <row r="211">
      <c r="K211" s="24">
        <f>IF($A211="","",IF(F211="AU",(E211-'2_標準曲線'!$I$9)/'2_標準曲線'!$I$8,""))</f>
        <v/>
      </c>
      <c r="L211" s="24">
        <f>IF($A211="","",IF(ISNUMBER(I211),K211*I211*1E-4,""))</f>
        <v/>
      </c>
    </row>
    <row r="212">
      <c r="K212" s="24">
        <f>IF($A212="","",IF(F212="AU",(E212-'2_標準曲線'!$I$9)/'2_標準曲線'!$I$8,""))</f>
        <v/>
      </c>
      <c r="L212" s="24">
        <f>IF($A212="","",IF(ISNUMBER(I212),K212*I212*1E-4,""))</f>
        <v/>
      </c>
    </row>
    <row r="213">
      <c r="K213" s="24">
        <f>IF($A213="","",IF(F213="AU",(E213-'2_標準曲線'!$I$9)/'2_標準曲線'!$I$8,""))</f>
        <v/>
      </c>
      <c r="L213" s="24">
        <f>IF($A213="","",IF(ISNUMBER(I213),K213*I213*1E-4,""))</f>
        <v/>
      </c>
    </row>
    <row r="214">
      <c r="K214" s="24">
        <f>IF($A214="","",IF(F214="AU",(E214-'2_標準曲線'!$I$9)/'2_標準曲線'!$I$8,""))</f>
        <v/>
      </c>
      <c r="L214" s="24">
        <f>IF($A214="","",IF(ISNUMBER(I214),K214*I214*1E-4,""))</f>
        <v/>
      </c>
    </row>
    <row r="215">
      <c r="K215" s="24">
        <f>IF($A215="","",IF(F215="AU",(E215-'2_標準曲線'!$I$9)/'2_標準曲線'!$I$8,""))</f>
        <v/>
      </c>
      <c r="L215" s="24">
        <f>IF($A215="","",IF(ISNUMBER(I215),K215*I215*1E-4,""))</f>
        <v/>
      </c>
    </row>
    <row r="216">
      <c r="K216" s="24">
        <f>IF($A216="","",IF(F216="AU",(E216-'2_標準曲線'!$I$9)/'2_標準曲線'!$I$8,""))</f>
        <v/>
      </c>
      <c r="L216" s="24">
        <f>IF($A216="","",IF(ISNUMBER(I216),K216*I216*1E-4,""))</f>
        <v/>
      </c>
    </row>
    <row r="217">
      <c r="K217" s="24">
        <f>IF($A217="","",IF(F217="AU",(E217-'2_標準曲線'!$I$9)/'2_標準曲線'!$I$8,""))</f>
        <v/>
      </c>
      <c r="L217" s="24">
        <f>IF($A217="","",IF(ISNUMBER(I217),K217*I217*1E-4,""))</f>
        <v/>
      </c>
    </row>
    <row r="218">
      <c r="K218" s="24">
        <f>IF($A218="","",IF(F218="AU",(E218-'2_標準曲線'!$I$9)/'2_標準曲線'!$I$8,""))</f>
        <v/>
      </c>
      <c r="L218" s="24">
        <f>IF($A218="","",IF(ISNUMBER(I218),K218*I218*1E-4,""))</f>
        <v/>
      </c>
    </row>
    <row r="219">
      <c r="K219" s="24">
        <f>IF($A219="","",IF(F219="AU",(E219-'2_標準曲線'!$I$9)/'2_標準曲線'!$I$8,""))</f>
        <v/>
      </c>
      <c r="L219" s="24">
        <f>IF($A219="","",IF(ISNUMBER(I219),K219*I219*1E-4,""))</f>
        <v/>
      </c>
    </row>
    <row r="220">
      <c r="K220" s="24">
        <f>IF($A220="","",IF(F220="AU",(E220-'2_標準曲線'!$I$9)/'2_標準曲線'!$I$8,""))</f>
        <v/>
      </c>
      <c r="L220" s="24">
        <f>IF($A220="","",IF(ISNUMBER(I220),K220*I220*1E-4,""))</f>
        <v/>
      </c>
    </row>
    <row r="221">
      <c r="K221" s="24">
        <f>IF($A221="","",IF(F221="AU",(E221-'2_標準曲線'!$I$9)/'2_標準曲線'!$I$8,""))</f>
        <v/>
      </c>
      <c r="L221" s="24">
        <f>IF($A221="","",IF(ISNUMBER(I221),K221*I221*1E-4,""))</f>
        <v/>
      </c>
    </row>
    <row r="222">
      <c r="K222" s="24">
        <f>IF($A222="","",IF(F222="AU",(E222-'2_標準曲線'!$I$9)/'2_標準曲線'!$I$8,""))</f>
        <v/>
      </c>
      <c r="L222" s="24">
        <f>IF($A222="","",IF(ISNUMBER(I222),K222*I222*1E-4,""))</f>
        <v/>
      </c>
    </row>
    <row r="223">
      <c r="K223" s="24">
        <f>IF($A223="","",IF(F223="AU",(E223-'2_標準曲線'!$I$9)/'2_標準曲線'!$I$8,""))</f>
        <v/>
      </c>
      <c r="L223" s="24">
        <f>IF($A223="","",IF(ISNUMBER(I223),K223*I223*1E-4,""))</f>
        <v/>
      </c>
    </row>
    <row r="224">
      <c r="K224" s="24">
        <f>IF($A224="","",IF(F224="AU",(E224-'2_標準曲線'!$I$9)/'2_標準曲線'!$I$8,""))</f>
        <v/>
      </c>
      <c r="L224" s="24">
        <f>IF($A224="","",IF(ISNUMBER(I224),K224*I224*1E-4,""))</f>
        <v/>
      </c>
    </row>
    <row r="225">
      <c r="K225" s="24">
        <f>IF($A225="","",IF(F225="AU",(E225-'2_標準曲線'!$I$9)/'2_標準曲線'!$I$8,""))</f>
        <v/>
      </c>
      <c r="L225" s="24">
        <f>IF($A225="","",IF(ISNUMBER(I225),K225*I225*1E-4,""))</f>
        <v/>
      </c>
    </row>
    <row r="226">
      <c r="K226" s="24">
        <f>IF($A226="","",IF(F226="AU",(E226-'2_標準曲線'!$I$9)/'2_標準曲線'!$I$8,""))</f>
        <v/>
      </c>
      <c r="L226" s="24">
        <f>IF($A226="","",IF(ISNUMBER(I226),K226*I226*1E-4,""))</f>
        <v/>
      </c>
    </row>
    <row r="227">
      <c r="K227" s="24">
        <f>IF($A227="","",IF(F227="AU",(E227-'2_標準曲線'!$I$9)/'2_標準曲線'!$I$8,""))</f>
        <v/>
      </c>
      <c r="L227" s="24">
        <f>IF($A227="","",IF(ISNUMBER(I227),K227*I227*1E-4,""))</f>
        <v/>
      </c>
    </row>
    <row r="228">
      <c r="K228" s="24">
        <f>IF($A228="","",IF(F228="AU",(E228-'2_標準曲線'!$I$9)/'2_標準曲線'!$I$8,""))</f>
        <v/>
      </c>
      <c r="L228" s="24">
        <f>IF($A228="","",IF(ISNUMBER(I228),K228*I228*1E-4,""))</f>
        <v/>
      </c>
    </row>
    <row r="229">
      <c r="K229" s="24">
        <f>IF($A229="","",IF(F229="AU",(E229-'2_標準曲線'!$I$9)/'2_標準曲線'!$I$8,""))</f>
        <v/>
      </c>
      <c r="L229" s="24">
        <f>IF($A229="","",IF(ISNUMBER(I229),K229*I229*1E-4,""))</f>
        <v/>
      </c>
    </row>
    <row r="230">
      <c r="K230" s="24">
        <f>IF($A230="","",IF(F230="AU",(E230-'2_標準曲線'!$I$9)/'2_標準曲線'!$I$8,""))</f>
        <v/>
      </c>
      <c r="L230" s="24">
        <f>IF($A230="","",IF(ISNUMBER(I230),K230*I230*1E-4,""))</f>
        <v/>
      </c>
    </row>
    <row r="231">
      <c r="K231" s="24">
        <f>IF($A231="","",IF(F231="AU",(E231-'2_標準曲線'!$I$9)/'2_標準曲線'!$I$8,""))</f>
        <v/>
      </c>
      <c r="L231" s="24">
        <f>IF($A231="","",IF(ISNUMBER(I231),K231*I231*1E-4,""))</f>
        <v/>
      </c>
    </row>
    <row r="232">
      <c r="K232" s="24">
        <f>IF($A232="","",IF(F232="AU",(E232-'2_標準曲線'!$I$9)/'2_標準曲線'!$I$8,""))</f>
        <v/>
      </c>
      <c r="L232" s="24">
        <f>IF($A232="","",IF(ISNUMBER(I232),K232*I232*1E-4,""))</f>
        <v/>
      </c>
    </row>
    <row r="233">
      <c r="K233" s="24">
        <f>IF($A233="","",IF(F233="AU",(E233-'2_標準曲線'!$I$9)/'2_標準曲線'!$I$8,""))</f>
        <v/>
      </c>
      <c r="L233" s="24">
        <f>IF($A233="","",IF(ISNUMBER(I233),K233*I233*1E-4,""))</f>
        <v/>
      </c>
    </row>
    <row r="234">
      <c r="K234" s="24">
        <f>IF($A234="","",IF(F234="AU",(E234-'2_標準曲線'!$I$9)/'2_標準曲線'!$I$8,""))</f>
        <v/>
      </c>
      <c r="L234" s="24">
        <f>IF($A234="","",IF(ISNUMBER(I234),K234*I234*1E-4,""))</f>
        <v/>
      </c>
    </row>
    <row r="235">
      <c r="K235" s="24">
        <f>IF($A235="","",IF(F235="AU",(E235-'2_標準曲線'!$I$9)/'2_標準曲線'!$I$8,""))</f>
        <v/>
      </c>
      <c r="L235" s="24">
        <f>IF($A235="","",IF(ISNUMBER(I235),K235*I235*1E-4,""))</f>
        <v/>
      </c>
    </row>
    <row r="236">
      <c r="K236" s="24">
        <f>IF($A236="","",IF(F236="AU",(E236-'2_標準曲線'!$I$9)/'2_標準曲線'!$I$8,""))</f>
        <v/>
      </c>
      <c r="L236" s="24">
        <f>IF($A236="","",IF(ISNUMBER(I236),K236*I236*1E-4,""))</f>
        <v/>
      </c>
    </row>
    <row r="237">
      <c r="K237" s="24">
        <f>IF($A237="","",IF(F237="AU",(E237-'2_標準曲線'!$I$9)/'2_標準曲線'!$I$8,""))</f>
        <v/>
      </c>
      <c r="L237" s="24">
        <f>IF($A237="","",IF(ISNUMBER(I237),K237*I237*1E-4,""))</f>
        <v/>
      </c>
    </row>
    <row r="238">
      <c r="K238" s="24">
        <f>IF($A238="","",IF(F238="AU",(E238-'2_標準曲線'!$I$9)/'2_標準曲線'!$I$8,""))</f>
        <v/>
      </c>
      <c r="L238" s="24">
        <f>IF($A238="","",IF(ISNUMBER(I238),K238*I238*1E-4,""))</f>
        <v/>
      </c>
    </row>
    <row r="239">
      <c r="K239" s="24">
        <f>IF($A239="","",IF(F239="AU",(E239-'2_標準曲線'!$I$9)/'2_標準曲線'!$I$8,""))</f>
        <v/>
      </c>
      <c r="L239" s="24">
        <f>IF($A239="","",IF(ISNUMBER(I239),K239*I239*1E-4,""))</f>
        <v/>
      </c>
    </row>
    <row r="240">
      <c r="K240" s="24">
        <f>IF($A240="","",IF(F240="AU",(E240-'2_標準曲線'!$I$9)/'2_標準曲線'!$I$8,""))</f>
        <v/>
      </c>
      <c r="L240" s="24">
        <f>IF($A240="","",IF(ISNUMBER(I240),K240*I240*1E-4,""))</f>
        <v/>
      </c>
    </row>
    <row r="241">
      <c r="K241" s="24">
        <f>IF($A241="","",IF(F241="AU",(E241-'2_標準曲線'!$I$9)/'2_標準曲線'!$I$8,""))</f>
        <v/>
      </c>
      <c r="L241" s="24">
        <f>IF($A241="","",IF(ISNUMBER(I241),K241*I241*1E-4,""))</f>
        <v/>
      </c>
    </row>
    <row r="242">
      <c r="K242" s="24">
        <f>IF($A242="","",IF(F242="AU",(E242-'2_標準曲線'!$I$9)/'2_標準曲線'!$I$8,""))</f>
        <v/>
      </c>
      <c r="L242" s="24">
        <f>IF($A242="","",IF(ISNUMBER(I242),K242*I242*1E-4,""))</f>
        <v/>
      </c>
    </row>
    <row r="243">
      <c r="K243" s="24">
        <f>IF($A243="","",IF(F243="AU",(E243-'2_標準曲線'!$I$9)/'2_標準曲線'!$I$8,""))</f>
        <v/>
      </c>
      <c r="L243" s="24">
        <f>IF($A243="","",IF(ISNUMBER(I243),K243*I243*1E-4,""))</f>
        <v/>
      </c>
    </row>
    <row r="244">
      <c r="K244" s="24">
        <f>IF($A244="","",IF(F244="AU",(E244-'2_標準曲線'!$I$9)/'2_標準曲線'!$I$8,""))</f>
        <v/>
      </c>
      <c r="L244" s="24">
        <f>IF($A244="","",IF(ISNUMBER(I244),K244*I244*1E-4,""))</f>
        <v/>
      </c>
    </row>
    <row r="245">
      <c r="K245" s="24">
        <f>IF($A245="","",IF(F245="AU",(E245-'2_標準曲線'!$I$9)/'2_標準曲線'!$I$8,""))</f>
        <v/>
      </c>
      <c r="L245" s="24">
        <f>IF($A245="","",IF(ISNUMBER(I245),K245*I245*1E-4,""))</f>
        <v/>
      </c>
    </row>
    <row r="246">
      <c r="K246" s="24">
        <f>IF($A246="","",IF(F246="AU",(E246-'2_標準曲線'!$I$9)/'2_標準曲線'!$I$8,""))</f>
        <v/>
      </c>
      <c r="L246" s="24">
        <f>IF($A246="","",IF(ISNUMBER(I246),K246*I246*1E-4,""))</f>
        <v/>
      </c>
    </row>
    <row r="247">
      <c r="K247" s="24">
        <f>IF($A247="","",IF(F247="AU",(E247-'2_標準曲線'!$I$9)/'2_標準曲線'!$I$8,""))</f>
        <v/>
      </c>
      <c r="L247" s="24">
        <f>IF($A247="","",IF(ISNUMBER(I247),K247*I247*1E-4,""))</f>
        <v/>
      </c>
    </row>
    <row r="248">
      <c r="K248" s="24">
        <f>IF($A248="","",IF(F248="AU",(E248-'2_標準曲線'!$I$9)/'2_標準曲線'!$I$8,""))</f>
        <v/>
      </c>
      <c r="L248" s="24">
        <f>IF($A248="","",IF(ISNUMBER(I248),K248*I248*1E-4,""))</f>
        <v/>
      </c>
    </row>
    <row r="249">
      <c r="K249" s="24">
        <f>IF($A249="","",IF(F249="AU",(E249-'2_標準曲線'!$I$9)/'2_標準曲線'!$I$8,""))</f>
        <v/>
      </c>
      <c r="L249" s="24">
        <f>IF($A249="","",IF(ISNUMBER(I249),K249*I249*1E-4,""))</f>
        <v/>
      </c>
    </row>
    <row r="250">
      <c r="K250" s="24">
        <f>IF($A250="","",IF(F250="AU",(E250-'2_標準曲線'!$I$9)/'2_標準曲線'!$I$8,""))</f>
        <v/>
      </c>
      <c r="L250" s="24">
        <f>IF($A250="","",IF(ISNUMBER(I250),K250*I250*1E-4,""))</f>
        <v/>
      </c>
    </row>
    <row r="251">
      <c r="K251" s="24">
        <f>IF($A251="","",IF(F251="AU",(E251-'2_標準曲線'!$I$9)/'2_標準曲線'!$I$8,""))</f>
        <v/>
      </c>
      <c r="L251" s="24">
        <f>IF($A251="","",IF(ISNUMBER(I251),K251*I251*1E-4,""))</f>
        <v/>
      </c>
    </row>
    <row r="252">
      <c r="K252" s="24">
        <f>IF($A252="","",IF(F252="AU",(E252-'2_標準曲線'!$I$9)/'2_標準曲線'!$I$8,""))</f>
        <v/>
      </c>
      <c r="L252" s="24">
        <f>IF($A252="","",IF(ISNUMBER(I252),K252*I252*1E-4,""))</f>
        <v/>
      </c>
    </row>
    <row r="253">
      <c r="K253" s="24">
        <f>IF($A253="","",IF(F253="AU",(E253-'2_標準曲線'!$I$9)/'2_標準曲線'!$I$8,""))</f>
        <v/>
      </c>
      <c r="L253" s="24">
        <f>IF($A253="","",IF(ISNUMBER(I253),K253*I253*1E-4,""))</f>
        <v/>
      </c>
    </row>
    <row r="254">
      <c r="K254" s="24">
        <f>IF($A254="","",IF(F254="AU",(E254-'2_標準曲線'!$I$9)/'2_標準曲線'!$I$8,""))</f>
        <v/>
      </c>
      <c r="L254" s="24">
        <f>IF($A254="","",IF(ISNUMBER(I254),K254*I254*1E-4,""))</f>
        <v/>
      </c>
    </row>
    <row r="255">
      <c r="K255" s="24">
        <f>IF($A255="","",IF(F255="AU",(E255-'2_標準曲線'!$I$9)/'2_標準曲線'!$I$8,""))</f>
        <v/>
      </c>
      <c r="L255" s="24">
        <f>IF($A255="","",IF(ISNUMBER(I255),K255*I255*1E-4,""))</f>
        <v/>
      </c>
    </row>
    <row r="256">
      <c r="K256" s="24">
        <f>IF($A256="","",IF(F256="AU",(E256-'2_標準曲線'!$I$9)/'2_標準曲線'!$I$8,""))</f>
        <v/>
      </c>
      <c r="L256" s="24">
        <f>IF($A256="","",IF(ISNUMBER(I256),K256*I256*1E-4,""))</f>
        <v/>
      </c>
    </row>
    <row r="257">
      <c r="K257" s="24">
        <f>IF($A257="","",IF(F257="AU",(E257-'2_標準曲線'!$I$9)/'2_標準曲線'!$I$8,""))</f>
        <v/>
      </c>
      <c r="L257" s="24">
        <f>IF($A257="","",IF(ISNUMBER(I257),K257*I257*1E-4,""))</f>
        <v/>
      </c>
    </row>
    <row r="258">
      <c r="K258" s="24">
        <f>IF($A258="","",IF(F258="AU",(E258-'2_標準曲線'!$I$9)/'2_標準曲線'!$I$8,""))</f>
        <v/>
      </c>
      <c r="L258" s="24">
        <f>IF($A258="","",IF(ISNUMBER(I258),K258*I258*1E-4,""))</f>
        <v/>
      </c>
    </row>
    <row r="259">
      <c r="K259" s="24">
        <f>IF($A259="","",IF(F259="AU",(E259-'2_標準曲線'!$I$9)/'2_標準曲線'!$I$8,""))</f>
        <v/>
      </c>
      <c r="L259" s="24">
        <f>IF($A259="","",IF(ISNUMBER(I259),K259*I259*1E-4,""))</f>
        <v/>
      </c>
    </row>
    <row r="260">
      <c r="K260" s="24">
        <f>IF($A260="","",IF(F260="AU",(E260-'2_標準曲線'!$I$9)/'2_標準曲線'!$I$8,""))</f>
        <v/>
      </c>
      <c r="L260" s="24">
        <f>IF($A260="","",IF(ISNUMBER(I260),K260*I260*1E-4,""))</f>
        <v/>
      </c>
    </row>
    <row r="261">
      <c r="K261" s="24">
        <f>IF($A261="","",IF(F261="AU",(E261-'2_標準曲線'!$I$9)/'2_標準曲線'!$I$8,""))</f>
        <v/>
      </c>
      <c r="L261" s="24">
        <f>IF($A261="","",IF(ISNUMBER(I261),K261*I261*1E-4,""))</f>
        <v/>
      </c>
    </row>
    <row r="262">
      <c r="K262" s="24">
        <f>IF($A262="","",IF(F262="AU",(E262-'2_標準曲線'!$I$9)/'2_標準曲線'!$I$8,""))</f>
        <v/>
      </c>
      <c r="L262" s="24">
        <f>IF($A262="","",IF(ISNUMBER(I262),K262*I262*1E-4,""))</f>
        <v/>
      </c>
    </row>
    <row r="263">
      <c r="K263" s="24">
        <f>IF($A263="","",IF(F263="AU",(E263-'2_標準曲線'!$I$9)/'2_標準曲線'!$I$8,""))</f>
        <v/>
      </c>
      <c r="L263" s="24">
        <f>IF($A263="","",IF(ISNUMBER(I263),K263*I263*1E-4,""))</f>
        <v/>
      </c>
    </row>
    <row r="264">
      <c r="K264" s="24">
        <f>IF($A264="","",IF(F264="AU",(E264-'2_標準曲線'!$I$9)/'2_標準曲線'!$I$8,""))</f>
        <v/>
      </c>
      <c r="L264" s="24">
        <f>IF($A264="","",IF(ISNUMBER(I264),K264*I264*1E-4,""))</f>
        <v/>
      </c>
    </row>
    <row r="265">
      <c r="K265" s="24">
        <f>IF($A265="","",IF(F265="AU",(E265-'2_標準曲線'!$I$9)/'2_標準曲線'!$I$8,""))</f>
        <v/>
      </c>
      <c r="L265" s="24">
        <f>IF($A265="","",IF(ISNUMBER(I265),K265*I265*1E-4,""))</f>
        <v/>
      </c>
    </row>
    <row r="266">
      <c r="K266" s="24">
        <f>IF($A266="","",IF(F266="AU",(E266-'2_標準曲線'!$I$9)/'2_標準曲線'!$I$8,""))</f>
        <v/>
      </c>
      <c r="L266" s="24">
        <f>IF($A266="","",IF(ISNUMBER(I266),K266*I266*1E-4,""))</f>
        <v/>
      </c>
    </row>
    <row r="267">
      <c r="K267" s="24">
        <f>IF($A267="","",IF(F267="AU",(E267-'2_標準曲線'!$I$9)/'2_標準曲線'!$I$8,""))</f>
        <v/>
      </c>
      <c r="L267" s="24">
        <f>IF($A267="","",IF(ISNUMBER(I267),K267*I267*1E-4,""))</f>
        <v/>
      </c>
    </row>
    <row r="268">
      <c r="K268" s="24">
        <f>IF($A268="","",IF(F268="AU",(E268-'2_標準曲線'!$I$9)/'2_標準曲線'!$I$8,""))</f>
        <v/>
      </c>
      <c r="L268" s="24">
        <f>IF($A268="","",IF(ISNUMBER(I268),K268*I268*1E-4,""))</f>
        <v/>
      </c>
    </row>
    <row r="269">
      <c r="K269" s="24">
        <f>IF($A269="","",IF(F269="AU",(E269-'2_標準曲線'!$I$9)/'2_標準曲線'!$I$8,""))</f>
        <v/>
      </c>
      <c r="L269" s="24">
        <f>IF($A269="","",IF(ISNUMBER(I269),K269*I269*1E-4,""))</f>
        <v/>
      </c>
    </row>
    <row r="270">
      <c r="K270" s="24">
        <f>IF($A270="","",IF(F270="AU",(E270-'2_標準曲線'!$I$9)/'2_標準曲線'!$I$8,""))</f>
        <v/>
      </c>
      <c r="L270" s="24">
        <f>IF($A270="","",IF(ISNUMBER(I270),K270*I270*1E-4,""))</f>
        <v/>
      </c>
    </row>
    <row r="271">
      <c r="K271" s="24">
        <f>IF($A271="","",IF(F271="AU",(E271-'2_標準曲線'!$I$9)/'2_標準曲線'!$I$8,""))</f>
        <v/>
      </c>
      <c r="L271" s="24">
        <f>IF($A271="","",IF(ISNUMBER(I271),K271*I271*1E-4,""))</f>
        <v/>
      </c>
    </row>
    <row r="272">
      <c r="K272" s="24">
        <f>IF($A272="","",IF(F272="AU",(E272-'2_標準曲線'!$I$9)/'2_標準曲線'!$I$8,""))</f>
        <v/>
      </c>
      <c r="L272" s="24">
        <f>IF($A272="","",IF(ISNUMBER(I272),K272*I272*1E-4,""))</f>
        <v/>
      </c>
    </row>
    <row r="273">
      <c r="K273" s="24">
        <f>IF($A273="","",IF(F273="AU",(E273-'2_標準曲線'!$I$9)/'2_標準曲線'!$I$8,""))</f>
        <v/>
      </c>
      <c r="L273" s="24">
        <f>IF($A273="","",IF(ISNUMBER(I273),K273*I273*1E-4,""))</f>
        <v/>
      </c>
    </row>
    <row r="274">
      <c r="K274" s="24">
        <f>IF($A274="","",IF(F274="AU",(E274-'2_標準曲線'!$I$9)/'2_標準曲線'!$I$8,""))</f>
        <v/>
      </c>
      <c r="L274" s="24">
        <f>IF($A274="","",IF(ISNUMBER(I274),K274*I274*1E-4,""))</f>
        <v/>
      </c>
    </row>
    <row r="275">
      <c r="K275" s="24">
        <f>IF($A275="","",IF(F275="AU",(E275-'2_標準曲線'!$I$9)/'2_標準曲線'!$I$8,""))</f>
        <v/>
      </c>
      <c r="L275" s="24">
        <f>IF($A275="","",IF(ISNUMBER(I275),K275*I275*1E-4,""))</f>
        <v/>
      </c>
    </row>
    <row r="276">
      <c r="K276" s="24">
        <f>IF($A276="","",IF(F276="AU",(E276-'2_標準曲線'!$I$9)/'2_標準曲線'!$I$8,""))</f>
        <v/>
      </c>
      <c r="L276" s="24">
        <f>IF($A276="","",IF(ISNUMBER(I276),K276*I276*1E-4,""))</f>
        <v/>
      </c>
    </row>
    <row r="277">
      <c r="K277" s="24">
        <f>IF($A277="","",IF(F277="AU",(E277-'2_標準曲線'!$I$9)/'2_標準曲線'!$I$8,""))</f>
        <v/>
      </c>
      <c r="L277" s="24">
        <f>IF($A277="","",IF(ISNUMBER(I277),K277*I277*1E-4,""))</f>
        <v/>
      </c>
    </row>
    <row r="278">
      <c r="K278" s="24">
        <f>IF($A278="","",IF(F278="AU",(E278-'2_標準曲線'!$I$9)/'2_標準曲線'!$I$8,""))</f>
        <v/>
      </c>
      <c r="L278" s="24">
        <f>IF($A278="","",IF(ISNUMBER(I278),K278*I278*1E-4,""))</f>
        <v/>
      </c>
    </row>
    <row r="279">
      <c r="K279" s="24">
        <f>IF($A279="","",IF(F279="AU",(E279-'2_標準曲線'!$I$9)/'2_標準曲線'!$I$8,""))</f>
        <v/>
      </c>
      <c r="L279" s="24">
        <f>IF($A279="","",IF(ISNUMBER(I279),K279*I279*1E-4,""))</f>
        <v/>
      </c>
    </row>
    <row r="280">
      <c r="K280" s="24">
        <f>IF($A280="","",IF(F280="AU",(E280-'2_標準曲線'!$I$9)/'2_標準曲線'!$I$8,""))</f>
        <v/>
      </c>
      <c r="L280" s="24">
        <f>IF($A280="","",IF(ISNUMBER(I280),K280*I280*1E-4,""))</f>
        <v/>
      </c>
    </row>
    <row r="281">
      <c r="K281" s="24">
        <f>IF($A281="","",IF(F281="AU",(E281-'2_標準曲線'!$I$9)/'2_標準曲線'!$I$8,""))</f>
        <v/>
      </c>
      <c r="L281" s="24">
        <f>IF($A281="","",IF(ISNUMBER(I281),K281*I281*1E-4,""))</f>
        <v/>
      </c>
    </row>
    <row r="282">
      <c r="K282" s="24">
        <f>IF($A282="","",IF(F282="AU",(E282-'2_標準曲線'!$I$9)/'2_標準曲線'!$I$8,""))</f>
        <v/>
      </c>
      <c r="L282" s="24">
        <f>IF($A282="","",IF(ISNUMBER(I282),K282*I282*1E-4,""))</f>
        <v/>
      </c>
    </row>
    <row r="283">
      <c r="K283" s="24">
        <f>IF($A283="","",IF(F283="AU",(E283-'2_標準曲線'!$I$9)/'2_標準曲線'!$I$8,""))</f>
        <v/>
      </c>
      <c r="L283" s="24">
        <f>IF($A283="","",IF(ISNUMBER(I283),K283*I283*1E-4,""))</f>
        <v/>
      </c>
    </row>
    <row r="284">
      <c r="K284" s="24">
        <f>IF($A284="","",IF(F284="AU",(E284-'2_標準曲線'!$I$9)/'2_標準曲線'!$I$8,""))</f>
        <v/>
      </c>
      <c r="L284" s="24">
        <f>IF($A284="","",IF(ISNUMBER(I284),K284*I284*1E-4,""))</f>
        <v/>
      </c>
    </row>
    <row r="285">
      <c r="K285" s="24">
        <f>IF($A285="","",IF(F285="AU",(E285-'2_標準曲線'!$I$9)/'2_標準曲線'!$I$8,""))</f>
        <v/>
      </c>
      <c r="L285" s="24">
        <f>IF($A285="","",IF(ISNUMBER(I285),K285*I285*1E-4,""))</f>
        <v/>
      </c>
    </row>
    <row r="286">
      <c r="K286" s="24">
        <f>IF($A286="","",IF(F286="AU",(E286-'2_標準曲線'!$I$9)/'2_標準曲線'!$I$8,""))</f>
        <v/>
      </c>
      <c r="L286" s="24">
        <f>IF($A286="","",IF(ISNUMBER(I286),K286*I286*1E-4,""))</f>
        <v/>
      </c>
    </row>
    <row r="287">
      <c r="K287" s="24">
        <f>IF($A287="","",IF(F287="AU",(E287-'2_標準曲線'!$I$9)/'2_標準曲線'!$I$8,""))</f>
        <v/>
      </c>
      <c r="L287" s="24">
        <f>IF($A287="","",IF(ISNUMBER(I287),K287*I287*1E-4,""))</f>
        <v/>
      </c>
    </row>
    <row r="288">
      <c r="K288" s="24">
        <f>IF($A288="","",IF(F288="AU",(E288-'2_標準曲線'!$I$9)/'2_標準曲線'!$I$8,""))</f>
        <v/>
      </c>
      <c r="L288" s="24">
        <f>IF($A288="","",IF(ISNUMBER(I288),K288*I288*1E-4,""))</f>
        <v/>
      </c>
    </row>
    <row r="289">
      <c r="K289" s="24">
        <f>IF($A289="","",IF(F289="AU",(E289-'2_標準曲線'!$I$9)/'2_標準曲線'!$I$8,""))</f>
        <v/>
      </c>
      <c r="L289" s="24">
        <f>IF($A289="","",IF(ISNUMBER(I289),K289*I289*1E-4,""))</f>
        <v/>
      </c>
    </row>
    <row r="290">
      <c r="K290" s="24">
        <f>IF($A290="","",IF(F290="AU",(E290-'2_標準曲線'!$I$9)/'2_標準曲線'!$I$8,""))</f>
        <v/>
      </c>
      <c r="L290" s="24">
        <f>IF($A290="","",IF(ISNUMBER(I290),K290*I290*1E-4,""))</f>
        <v/>
      </c>
    </row>
    <row r="291">
      <c r="K291" s="24">
        <f>IF($A291="","",IF(F291="AU",(E291-'2_標準曲線'!$I$9)/'2_標準曲線'!$I$8,""))</f>
        <v/>
      </c>
      <c r="L291" s="24">
        <f>IF($A291="","",IF(ISNUMBER(I291),K291*I291*1E-4,""))</f>
        <v/>
      </c>
    </row>
    <row r="292">
      <c r="K292" s="24">
        <f>IF($A292="","",IF(F292="AU",(E292-'2_標準曲線'!$I$9)/'2_標準曲線'!$I$8,""))</f>
        <v/>
      </c>
      <c r="L292" s="24">
        <f>IF($A292="","",IF(ISNUMBER(I292),K292*I292*1E-4,""))</f>
        <v/>
      </c>
    </row>
    <row r="293">
      <c r="K293" s="24">
        <f>IF($A293="","",IF(F293="AU",(E293-'2_標準曲線'!$I$9)/'2_標準曲線'!$I$8,""))</f>
        <v/>
      </c>
      <c r="L293" s="24">
        <f>IF($A293="","",IF(ISNUMBER(I293),K293*I293*1E-4,""))</f>
        <v/>
      </c>
    </row>
    <row r="294">
      <c r="K294" s="24">
        <f>IF($A294="","",IF(F294="AU",(E294-'2_標準曲線'!$I$9)/'2_標準曲線'!$I$8,""))</f>
        <v/>
      </c>
      <c r="L294" s="24">
        <f>IF($A294="","",IF(ISNUMBER(I294),K294*I294*1E-4,""))</f>
        <v/>
      </c>
    </row>
    <row r="295">
      <c r="K295" s="24">
        <f>IF($A295="","",IF(F295="AU",(E295-'2_標準曲線'!$I$9)/'2_標準曲線'!$I$8,""))</f>
        <v/>
      </c>
      <c r="L295" s="24">
        <f>IF($A295="","",IF(ISNUMBER(I295),K295*I295*1E-4,""))</f>
        <v/>
      </c>
    </row>
    <row r="296">
      <c r="K296" s="24">
        <f>IF($A296="","",IF(F296="AU",(E296-'2_標準曲線'!$I$9)/'2_標準曲線'!$I$8,""))</f>
        <v/>
      </c>
      <c r="L296" s="24">
        <f>IF($A296="","",IF(ISNUMBER(I296),K296*I296*1E-4,""))</f>
        <v/>
      </c>
    </row>
    <row r="297">
      <c r="K297" s="24">
        <f>IF($A297="","",IF(F297="AU",(E297-'2_標準曲線'!$I$9)/'2_標準曲線'!$I$8,""))</f>
        <v/>
      </c>
      <c r="L297" s="24">
        <f>IF($A297="","",IF(ISNUMBER(I297),K297*I297*1E-4,""))</f>
        <v/>
      </c>
    </row>
    <row r="298">
      <c r="K298" s="24">
        <f>IF($A298="","",IF(F298="AU",(E298-'2_標準曲線'!$I$9)/'2_標準曲線'!$I$8,""))</f>
        <v/>
      </c>
      <c r="L298" s="24">
        <f>IF($A298="","",IF(ISNUMBER(I298),K298*I298*1E-4,""))</f>
        <v/>
      </c>
    </row>
    <row r="299">
      <c r="K299" s="24">
        <f>IF($A299="","",IF(F299="AU",(E299-'2_標準曲線'!$I$9)/'2_標準曲線'!$I$8,""))</f>
        <v/>
      </c>
      <c r="L299" s="24">
        <f>IF($A299="","",IF(ISNUMBER(I299),K299*I299*1E-4,""))</f>
        <v/>
      </c>
    </row>
    <row r="300">
      <c r="K300" s="24">
        <f>IF($A300="","",IF(F300="AU",(E300-'2_標準曲線'!$I$9)/'2_標準曲線'!$I$8,""))</f>
        <v/>
      </c>
      <c r="L300" s="24">
        <f>IF($A300="","",IF(ISNUMBER(I300),K300*I300*1E-4,""))</f>
        <v/>
      </c>
    </row>
    <row r="301">
      <c r="K301" s="24">
        <f>IF($A301="","",IF(F301="AU",(E301-'2_標準曲線'!$I$9)/'2_標準曲線'!$I$8,""))</f>
        <v/>
      </c>
      <c r="L301" s="24">
        <f>IF($A301="","",IF(ISNUMBER(I301),K301*I301*1E-4,""))</f>
        <v/>
      </c>
    </row>
    <row r="302">
      <c r="K302" s="24">
        <f>IF($A302="","",IF(F302="AU",(E302-'2_標準曲線'!$I$9)/'2_標準曲線'!$I$8,""))</f>
        <v/>
      </c>
      <c r="L302" s="24">
        <f>IF($A302="","",IF(ISNUMBER(I302),K302*I302*1E-4,""))</f>
        <v/>
      </c>
    </row>
    <row r="303">
      <c r="K303" s="24">
        <f>IF($A303="","",IF(F303="AU",(E303-'2_標準曲線'!$I$9)/'2_標準曲線'!$I$8,""))</f>
        <v/>
      </c>
      <c r="L303" s="24">
        <f>IF($A303="","",IF(ISNUMBER(I303),K303*I303*1E-4,""))</f>
        <v/>
      </c>
    </row>
    <row r="304">
      <c r="K304" s="24">
        <f>IF($A304="","",IF(F304="AU",(E304-'2_標準曲線'!$I$9)/'2_標準曲線'!$I$8,""))</f>
        <v/>
      </c>
      <c r="L304" s="24">
        <f>IF($A304="","",IF(ISNUMBER(I304),K304*I304*1E-4,""))</f>
        <v/>
      </c>
    </row>
    <row r="305">
      <c r="K305" s="24">
        <f>IF($A305="","",IF(F305="AU",(E305-'2_標準曲線'!$I$9)/'2_標準曲線'!$I$8,""))</f>
        <v/>
      </c>
      <c r="L305" s="24">
        <f>IF($A305="","",IF(ISNUMBER(I305),K305*I305*1E-4,""))</f>
        <v/>
      </c>
    </row>
    <row r="306">
      <c r="K306" s="24">
        <f>IF($A306="","",IF(F306="AU",(E306-'2_標準曲線'!$I$9)/'2_標準曲線'!$I$8,""))</f>
        <v/>
      </c>
      <c r="L306" s="24">
        <f>IF($A306="","",IF(ISNUMBER(I306),K306*I306*1E-4,""))</f>
        <v/>
      </c>
    </row>
    <row r="307">
      <c r="K307" s="24">
        <f>IF($A307="","",IF(F307="AU",(E307-'2_標準曲線'!$I$9)/'2_標準曲線'!$I$8,""))</f>
        <v/>
      </c>
      <c r="L307" s="24">
        <f>IF($A307="","",IF(ISNUMBER(I307),K307*I307*1E-4,""))</f>
        <v/>
      </c>
    </row>
    <row r="308">
      <c r="K308" s="24">
        <f>IF($A308="","",IF(F308="AU",(E308-'2_標準曲線'!$I$9)/'2_標準曲線'!$I$8,""))</f>
        <v/>
      </c>
      <c r="L308" s="24">
        <f>IF($A308="","",IF(ISNUMBER(I308),K308*I308*1E-4,""))</f>
        <v/>
      </c>
    </row>
    <row r="309">
      <c r="K309" s="24">
        <f>IF($A309="","",IF(F309="AU",(E309-'2_標準曲線'!$I$9)/'2_標準曲線'!$I$8,""))</f>
        <v/>
      </c>
      <c r="L309" s="24">
        <f>IF($A309="","",IF(ISNUMBER(I309),K309*I309*1E-4,""))</f>
        <v/>
      </c>
    </row>
    <row r="310">
      <c r="K310" s="24">
        <f>IF($A310="","",IF(F310="AU",(E310-'2_標準曲線'!$I$9)/'2_標準曲線'!$I$8,""))</f>
        <v/>
      </c>
      <c r="L310" s="24">
        <f>IF($A310="","",IF(ISNUMBER(I310),K310*I310*1E-4,""))</f>
        <v/>
      </c>
    </row>
    <row r="311">
      <c r="K311" s="24">
        <f>IF($A311="","",IF(F311="AU",(E311-'2_標準曲線'!$I$9)/'2_標準曲線'!$I$8,""))</f>
        <v/>
      </c>
      <c r="L311" s="24">
        <f>IF($A311="","",IF(ISNUMBER(I311),K311*I311*1E-4,""))</f>
        <v/>
      </c>
    </row>
    <row r="312">
      <c r="K312" s="24">
        <f>IF($A312="","",IF(F312="AU",(E312-'2_標準曲線'!$I$9)/'2_標準曲線'!$I$8,""))</f>
        <v/>
      </c>
      <c r="L312" s="24">
        <f>IF($A312="","",IF(ISNUMBER(I312),K312*I312*1E-4,""))</f>
        <v/>
      </c>
    </row>
    <row r="313">
      <c r="K313" s="24">
        <f>IF($A313="","",IF(F313="AU",(E313-'2_標準曲線'!$I$9)/'2_標準曲線'!$I$8,""))</f>
        <v/>
      </c>
      <c r="L313" s="24">
        <f>IF($A313="","",IF(ISNUMBER(I313),K313*I313*1E-4,""))</f>
        <v/>
      </c>
    </row>
    <row r="314">
      <c r="K314" s="24">
        <f>IF($A314="","",IF(F314="AU",(E314-'2_標準曲線'!$I$9)/'2_標準曲線'!$I$8,""))</f>
        <v/>
      </c>
      <c r="L314" s="24">
        <f>IF($A314="","",IF(ISNUMBER(I314),K314*I314*1E-4,""))</f>
        <v/>
      </c>
    </row>
    <row r="315">
      <c r="K315" s="24">
        <f>IF($A315="","",IF(F315="AU",(E315-'2_標準曲線'!$I$9)/'2_標準曲線'!$I$8,""))</f>
        <v/>
      </c>
      <c r="L315" s="24">
        <f>IF($A315="","",IF(ISNUMBER(I315),K315*I315*1E-4,""))</f>
        <v/>
      </c>
    </row>
    <row r="316">
      <c r="K316" s="24">
        <f>IF($A316="","",IF(F316="AU",(E316-'2_標準曲線'!$I$9)/'2_標準曲線'!$I$8,""))</f>
        <v/>
      </c>
      <c r="L316" s="24">
        <f>IF($A316="","",IF(ISNUMBER(I316),K316*I316*1E-4,""))</f>
        <v/>
      </c>
    </row>
    <row r="317">
      <c r="K317" s="24">
        <f>IF($A317="","",IF(F317="AU",(E317-'2_標準曲線'!$I$9)/'2_標準曲線'!$I$8,""))</f>
        <v/>
      </c>
      <c r="L317" s="24">
        <f>IF($A317="","",IF(ISNUMBER(I317),K317*I317*1E-4,""))</f>
        <v/>
      </c>
    </row>
    <row r="318">
      <c r="K318" s="24">
        <f>IF($A318="","",IF(F318="AU",(E318-'2_標準曲線'!$I$9)/'2_標準曲線'!$I$8,""))</f>
        <v/>
      </c>
      <c r="L318" s="24">
        <f>IF($A318="","",IF(ISNUMBER(I318),K318*I318*1E-4,""))</f>
        <v/>
      </c>
    </row>
    <row r="319">
      <c r="K319" s="24">
        <f>IF($A319="","",IF(F319="AU",(E319-'2_標準曲線'!$I$9)/'2_標準曲線'!$I$8,""))</f>
        <v/>
      </c>
      <c r="L319" s="24">
        <f>IF($A319="","",IF(ISNUMBER(I319),K319*I319*1E-4,""))</f>
        <v/>
      </c>
    </row>
    <row r="320">
      <c r="K320" s="24">
        <f>IF($A320="","",IF(F320="AU",(E320-'2_標準曲線'!$I$9)/'2_標準曲線'!$I$8,""))</f>
        <v/>
      </c>
      <c r="L320" s="24">
        <f>IF($A320="","",IF(ISNUMBER(I320),K320*I320*1E-4,""))</f>
        <v/>
      </c>
    </row>
    <row r="321">
      <c r="K321" s="24">
        <f>IF($A321="","",IF(F321="AU",(E321-'2_標準曲線'!$I$9)/'2_標準曲線'!$I$8,""))</f>
        <v/>
      </c>
      <c r="L321" s="24">
        <f>IF($A321="","",IF(ISNUMBER(I321),K321*I321*1E-4,""))</f>
        <v/>
      </c>
    </row>
    <row r="322">
      <c r="K322" s="24">
        <f>IF($A322="","",IF(F322="AU",(E322-'2_標準曲線'!$I$9)/'2_標準曲線'!$I$8,""))</f>
        <v/>
      </c>
      <c r="L322" s="24">
        <f>IF($A322="","",IF(ISNUMBER(I322),K322*I322*1E-4,""))</f>
        <v/>
      </c>
    </row>
    <row r="323">
      <c r="K323" s="24">
        <f>IF($A323="","",IF(F323="AU",(E323-'2_標準曲線'!$I$9)/'2_標準曲線'!$I$8,""))</f>
        <v/>
      </c>
      <c r="L323" s="24">
        <f>IF($A323="","",IF(ISNUMBER(I323),K323*I323*1E-4,""))</f>
        <v/>
      </c>
    </row>
    <row r="324">
      <c r="K324" s="24">
        <f>IF($A324="","",IF(F324="AU",(E324-'2_標準曲線'!$I$9)/'2_標準曲線'!$I$8,""))</f>
        <v/>
      </c>
      <c r="L324" s="24">
        <f>IF($A324="","",IF(ISNUMBER(I324),K324*I324*1E-4,""))</f>
        <v/>
      </c>
    </row>
    <row r="325">
      <c r="K325" s="24">
        <f>IF($A325="","",IF(F325="AU",(E325-'2_標準曲線'!$I$9)/'2_標準曲線'!$I$8,""))</f>
        <v/>
      </c>
      <c r="L325" s="24">
        <f>IF($A325="","",IF(ISNUMBER(I325),K325*I325*1E-4,""))</f>
        <v/>
      </c>
    </row>
    <row r="326">
      <c r="K326" s="24">
        <f>IF($A326="","",IF(F326="AU",(E326-'2_標準曲線'!$I$9)/'2_標準曲線'!$I$8,""))</f>
        <v/>
      </c>
      <c r="L326" s="24">
        <f>IF($A326="","",IF(ISNUMBER(I326),K326*I326*1E-4,""))</f>
        <v/>
      </c>
    </row>
    <row r="327">
      <c r="K327" s="24">
        <f>IF($A327="","",IF(F327="AU",(E327-'2_標準曲線'!$I$9)/'2_標準曲線'!$I$8,""))</f>
        <v/>
      </c>
      <c r="L327" s="24">
        <f>IF($A327="","",IF(ISNUMBER(I327),K327*I327*1E-4,""))</f>
        <v/>
      </c>
    </row>
    <row r="328">
      <c r="K328" s="24">
        <f>IF($A328="","",IF(F328="AU",(E328-'2_標準曲線'!$I$9)/'2_標準曲線'!$I$8,""))</f>
        <v/>
      </c>
      <c r="L328" s="24">
        <f>IF($A328="","",IF(ISNUMBER(I328),K328*I328*1E-4,""))</f>
        <v/>
      </c>
    </row>
    <row r="329">
      <c r="K329" s="24">
        <f>IF($A329="","",IF(F329="AU",(E329-'2_標準曲線'!$I$9)/'2_標準曲線'!$I$8,""))</f>
        <v/>
      </c>
      <c r="L329" s="24">
        <f>IF($A329="","",IF(ISNUMBER(I329),K329*I329*1E-4,""))</f>
        <v/>
      </c>
    </row>
    <row r="330">
      <c r="K330" s="24">
        <f>IF($A330="","",IF(F330="AU",(E330-'2_標準曲線'!$I$9)/'2_標準曲線'!$I$8,""))</f>
        <v/>
      </c>
      <c r="L330" s="24">
        <f>IF($A330="","",IF(ISNUMBER(I330),K330*I330*1E-4,""))</f>
        <v/>
      </c>
    </row>
    <row r="331">
      <c r="K331" s="24">
        <f>IF($A331="","",IF(F331="AU",(E331-'2_標準曲線'!$I$9)/'2_標準曲線'!$I$8,""))</f>
        <v/>
      </c>
      <c r="L331" s="24">
        <f>IF($A331="","",IF(ISNUMBER(I331),K331*I331*1E-4,""))</f>
        <v/>
      </c>
    </row>
    <row r="332">
      <c r="K332" s="24">
        <f>IF($A332="","",IF(F332="AU",(E332-'2_標準曲線'!$I$9)/'2_標準曲線'!$I$8,""))</f>
        <v/>
      </c>
      <c r="L332" s="24">
        <f>IF($A332="","",IF(ISNUMBER(I332),K332*I332*1E-4,""))</f>
        <v/>
      </c>
    </row>
    <row r="333">
      <c r="K333" s="24">
        <f>IF($A333="","",IF(F333="AU",(E333-'2_標準曲線'!$I$9)/'2_標準曲線'!$I$8,""))</f>
        <v/>
      </c>
      <c r="L333" s="24">
        <f>IF($A333="","",IF(ISNUMBER(I333),K333*I333*1E-4,""))</f>
        <v/>
      </c>
    </row>
    <row r="334">
      <c r="K334" s="24">
        <f>IF($A334="","",IF(F334="AU",(E334-'2_標準曲線'!$I$9)/'2_標準曲線'!$I$8,""))</f>
        <v/>
      </c>
      <c r="L334" s="24">
        <f>IF($A334="","",IF(ISNUMBER(I334),K334*I334*1E-4,""))</f>
        <v/>
      </c>
    </row>
    <row r="335">
      <c r="K335" s="24">
        <f>IF($A335="","",IF(F335="AU",(E335-'2_標準曲線'!$I$9)/'2_標準曲線'!$I$8,""))</f>
        <v/>
      </c>
      <c r="L335" s="24">
        <f>IF($A335="","",IF(ISNUMBER(I335),K335*I335*1E-4,""))</f>
        <v/>
      </c>
    </row>
    <row r="336">
      <c r="K336" s="24">
        <f>IF($A336="","",IF(F336="AU",(E336-'2_標準曲線'!$I$9)/'2_標準曲線'!$I$8,""))</f>
        <v/>
      </c>
      <c r="L336" s="24">
        <f>IF($A336="","",IF(ISNUMBER(I336),K336*I336*1E-4,""))</f>
        <v/>
      </c>
    </row>
    <row r="337">
      <c r="K337" s="24">
        <f>IF($A337="","",IF(F337="AU",(E337-'2_標準曲線'!$I$9)/'2_標準曲線'!$I$8,""))</f>
        <v/>
      </c>
      <c r="L337" s="24">
        <f>IF($A337="","",IF(ISNUMBER(I337),K337*I337*1E-4,""))</f>
        <v/>
      </c>
    </row>
    <row r="338">
      <c r="K338" s="24">
        <f>IF($A338="","",IF(F338="AU",(E338-'2_標準曲線'!$I$9)/'2_標準曲線'!$I$8,""))</f>
        <v/>
      </c>
      <c r="L338" s="24">
        <f>IF($A338="","",IF(ISNUMBER(I338),K338*I338*1E-4,""))</f>
        <v/>
      </c>
    </row>
    <row r="339">
      <c r="K339" s="24">
        <f>IF($A339="","",IF(F339="AU",(E339-'2_標準曲線'!$I$9)/'2_標準曲線'!$I$8,""))</f>
        <v/>
      </c>
      <c r="L339" s="24">
        <f>IF($A339="","",IF(ISNUMBER(I339),K339*I339*1E-4,""))</f>
        <v/>
      </c>
    </row>
    <row r="340">
      <c r="K340" s="24">
        <f>IF($A340="","",IF(F340="AU",(E340-'2_標準曲線'!$I$9)/'2_標準曲線'!$I$8,""))</f>
        <v/>
      </c>
      <c r="L340" s="24">
        <f>IF($A340="","",IF(ISNUMBER(I340),K340*I340*1E-4,""))</f>
        <v/>
      </c>
    </row>
    <row r="341">
      <c r="K341" s="24">
        <f>IF($A341="","",IF(F341="AU",(E341-'2_標準曲線'!$I$9)/'2_標準曲線'!$I$8,""))</f>
        <v/>
      </c>
      <c r="L341" s="24">
        <f>IF($A341="","",IF(ISNUMBER(I341),K341*I341*1E-4,""))</f>
        <v/>
      </c>
    </row>
    <row r="342">
      <c r="K342" s="24">
        <f>IF($A342="","",IF(F342="AU",(E342-'2_標準曲線'!$I$9)/'2_標準曲線'!$I$8,""))</f>
        <v/>
      </c>
      <c r="L342" s="24">
        <f>IF($A342="","",IF(ISNUMBER(I342),K342*I342*1E-4,""))</f>
        <v/>
      </c>
    </row>
    <row r="343">
      <c r="K343" s="24">
        <f>IF($A343="","",IF(F343="AU",(E343-'2_標準曲線'!$I$9)/'2_標準曲線'!$I$8,""))</f>
        <v/>
      </c>
      <c r="L343" s="24">
        <f>IF($A343="","",IF(ISNUMBER(I343),K343*I343*1E-4,""))</f>
        <v/>
      </c>
    </row>
    <row r="344">
      <c r="K344" s="24">
        <f>IF($A344="","",IF(F344="AU",(E344-'2_標準曲線'!$I$9)/'2_標準曲線'!$I$8,""))</f>
        <v/>
      </c>
      <c r="L344" s="24">
        <f>IF($A344="","",IF(ISNUMBER(I344),K344*I344*1E-4,""))</f>
        <v/>
      </c>
    </row>
    <row r="345">
      <c r="K345" s="24">
        <f>IF($A345="","",IF(F345="AU",(E345-'2_標準曲線'!$I$9)/'2_標準曲線'!$I$8,""))</f>
        <v/>
      </c>
      <c r="L345" s="24">
        <f>IF($A345="","",IF(ISNUMBER(I345),K345*I345*1E-4,""))</f>
        <v/>
      </c>
    </row>
    <row r="346">
      <c r="K346" s="24">
        <f>IF($A346="","",IF(F346="AU",(E346-'2_標準曲線'!$I$9)/'2_標準曲線'!$I$8,""))</f>
        <v/>
      </c>
      <c r="L346" s="24">
        <f>IF($A346="","",IF(ISNUMBER(I346),K346*I346*1E-4,""))</f>
        <v/>
      </c>
    </row>
    <row r="347">
      <c r="K347" s="24">
        <f>IF($A347="","",IF(F347="AU",(E347-'2_標準曲線'!$I$9)/'2_標準曲線'!$I$8,""))</f>
        <v/>
      </c>
      <c r="L347" s="24">
        <f>IF($A347="","",IF(ISNUMBER(I347),K347*I347*1E-4,""))</f>
        <v/>
      </c>
    </row>
    <row r="348">
      <c r="K348" s="24">
        <f>IF($A348="","",IF(F348="AU",(E348-'2_標準曲線'!$I$9)/'2_標準曲線'!$I$8,""))</f>
        <v/>
      </c>
      <c r="L348" s="24">
        <f>IF($A348="","",IF(ISNUMBER(I348),K348*I348*1E-4,""))</f>
        <v/>
      </c>
    </row>
    <row r="349">
      <c r="K349" s="24">
        <f>IF($A349="","",IF(F349="AU",(E349-'2_標準曲線'!$I$9)/'2_標準曲線'!$I$8,""))</f>
        <v/>
      </c>
      <c r="L349" s="24">
        <f>IF($A349="","",IF(ISNUMBER(I349),K349*I349*1E-4,""))</f>
        <v/>
      </c>
    </row>
    <row r="350">
      <c r="K350" s="24">
        <f>IF($A350="","",IF(F350="AU",(E350-'2_標準曲線'!$I$9)/'2_標準曲線'!$I$8,""))</f>
        <v/>
      </c>
      <c r="L350" s="24">
        <f>IF($A350="","",IF(ISNUMBER(I350),K350*I350*1E-4,""))</f>
        <v/>
      </c>
    </row>
    <row r="351">
      <c r="K351" s="24">
        <f>IF($A351="","",IF(F351="AU",(E351-'2_標準曲線'!$I$9)/'2_標準曲線'!$I$8,""))</f>
        <v/>
      </c>
      <c r="L351" s="24">
        <f>IF($A351="","",IF(ISNUMBER(I351),K351*I351*1E-4,""))</f>
        <v/>
      </c>
    </row>
    <row r="352">
      <c r="K352" s="24">
        <f>IF($A352="","",IF(F352="AU",(E352-'2_標準曲線'!$I$9)/'2_標準曲線'!$I$8,""))</f>
        <v/>
      </c>
      <c r="L352" s="24">
        <f>IF($A352="","",IF(ISNUMBER(I352),K352*I352*1E-4,""))</f>
        <v/>
      </c>
    </row>
    <row r="353">
      <c r="K353" s="24">
        <f>IF($A353="","",IF(F353="AU",(E353-'2_標準曲線'!$I$9)/'2_標準曲線'!$I$8,""))</f>
        <v/>
      </c>
      <c r="L353" s="24">
        <f>IF($A353="","",IF(ISNUMBER(I353),K353*I353*1E-4,""))</f>
        <v/>
      </c>
    </row>
    <row r="354">
      <c r="K354" s="24">
        <f>IF($A354="","",IF(F354="AU",(E354-'2_標準曲線'!$I$9)/'2_標準曲線'!$I$8,""))</f>
        <v/>
      </c>
      <c r="L354" s="24">
        <f>IF($A354="","",IF(ISNUMBER(I354),K354*I354*1E-4,""))</f>
        <v/>
      </c>
    </row>
    <row r="355">
      <c r="K355" s="24">
        <f>IF($A355="","",IF(F355="AU",(E355-'2_標準曲線'!$I$9)/'2_標準曲線'!$I$8,""))</f>
        <v/>
      </c>
      <c r="L355" s="24">
        <f>IF($A355="","",IF(ISNUMBER(I355),K355*I355*1E-4,""))</f>
        <v/>
      </c>
    </row>
    <row r="356">
      <c r="K356" s="24">
        <f>IF($A356="","",IF(F356="AU",(E356-'2_標準曲線'!$I$9)/'2_標準曲線'!$I$8,""))</f>
        <v/>
      </c>
      <c r="L356" s="24">
        <f>IF($A356="","",IF(ISNUMBER(I356),K356*I356*1E-4,""))</f>
        <v/>
      </c>
    </row>
    <row r="357">
      <c r="K357" s="24">
        <f>IF($A357="","",IF(F357="AU",(E357-'2_標準曲線'!$I$9)/'2_標準曲線'!$I$8,""))</f>
        <v/>
      </c>
      <c r="L357" s="24">
        <f>IF($A357="","",IF(ISNUMBER(I357),K357*I357*1E-4,""))</f>
        <v/>
      </c>
    </row>
    <row r="358">
      <c r="K358" s="24">
        <f>IF($A358="","",IF(F358="AU",(E358-'2_標準曲線'!$I$9)/'2_標準曲線'!$I$8,""))</f>
        <v/>
      </c>
      <c r="L358" s="24">
        <f>IF($A358="","",IF(ISNUMBER(I358),K358*I358*1E-4,""))</f>
        <v/>
      </c>
    </row>
    <row r="359">
      <c r="K359" s="24">
        <f>IF($A359="","",IF(F359="AU",(E359-'2_標準曲線'!$I$9)/'2_標準曲線'!$I$8,""))</f>
        <v/>
      </c>
      <c r="L359" s="24">
        <f>IF($A359="","",IF(ISNUMBER(I359),K359*I359*1E-4,""))</f>
        <v/>
      </c>
    </row>
    <row r="360">
      <c r="K360" s="24">
        <f>IF($A360="","",IF(F360="AU",(E360-'2_標準曲線'!$I$9)/'2_標準曲線'!$I$8,""))</f>
        <v/>
      </c>
      <c r="L360" s="24">
        <f>IF($A360="","",IF(ISNUMBER(I360),K360*I360*1E-4,""))</f>
        <v/>
      </c>
    </row>
    <row r="361">
      <c r="K361" s="24">
        <f>IF($A361="","",IF(F361="AU",(E361-'2_標準曲線'!$I$9)/'2_標準曲線'!$I$8,""))</f>
        <v/>
      </c>
      <c r="L361" s="24">
        <f>IF($A361="","",IF(ISNUMBER(I361),K361*I361*1E-4,""))</f>
        <v/>
      </c>
    </row>
    <row r="362">
      <c r="K362" s="24">
        <f>IF($A362="","",IF(F362="AU",(E362-'2_標準曲線'!$I$9)/'2_標準曲線'!$I$8,""))</f>
        <v/>
      </c>
      <c r="L362" s="24">
        <f>IF($A362="","",IF(ISNUMBER(I362),K362*I362*1E-4,""))</f>
        <v/>
      </c>
    </row>
    <row r="363">
      <c r="K363" s="24">
        <f>IF($A363="","",IF(F363="AU",(E363-'2_標準曲線'!$I$9)/'2_標準曲線'!$I$8,""))</f>
        <v/>
      </c>
      <c r="L363" s="24">
        <f>IF($A363="","",IF(ISNUMBER(I363),K363*I363*1E-4,""))</f>
        <v/>
      </c>
    </row>
    <row r="364">
      <c r="K364" s="24">
        <f>IF($A364="","",IF(F364="AU",(E364-'2_標準曲線'!$I$9)/'2_標準曲線'!$I$8,""))</f>
        <v/>
      </c>
      <c r="L364" s="24">
        <f>IF($A364="","",IF(ISNUMBER(I364),K364*I364*1E-4,""))</f>
        <v/>
      </c>
    </row>
    <row r="365">
      <c r="K365" s="24">
        <f>IF($A365="","",IF(F365="AU",(E365-'2_標準曲線'!$I$9)/'2_標準曲線'!$I$8,""))</f>
        <v/>
      </c>
      <c r="L365" s="24">
        <f>IF($A365="","",IF(ISNUMBER(I365),K365*I365*1E-4,""))</f>
        <v/>
      </c>
    </row>
    <row r="366">
      <c r="K366" s="24">
        <f>IF($A366="","",IF(F366="AU",(E366-'2_標準曲線'!$I$9)/'2_標準曲線'!$I$8,""))</f>
        <v/>
      </c>
      <c r="L366" s="24">
        <f>IF($A366="","",IF(ISNUMBER(I366),K366*I366*1E-4,""))</f>
        <v/>
      </c>
    </row>
    <row r="367">
      <c r="K367" s="24">
        <f>IF($A367="","",IF(F367="AU",(E367-'2_標準曲線'!$I$9)/'2_標準曲線'!$I$8,""))</f>
        <v/>
      </c>
      <c r="L367" s="24">
        <f>IF($A367="","",IF(ISNUMBER(I367),K367*I367*1E-4,""))</f>
        <v/>
      </c>
    </row>
    <row r="368">
      <c r="K368" s="24">
        <f>IF($A368="","",IF(F368="AU",(E368-'2_標準曲線'!$I$9)/'2_標準曲線'!$I$8,""))</f>
        <v/>
      </c>
      <c r="L368" s="24">
        <f>IF($A368="","",IF(ISNUMBER(I368),K368*I368*1E-4,""))</f>
        <v/>
      </c>
    </row>
    <row r="369">
      <c r="K369" s="24">
        <f>IF($A369="","",IF(F369="AU",(E369-'2_標準曲線'!$I$9)/'2_標準曲線'!$I$8,""))</f>
        <v/>
      </c>
      <c r="L369" s="24">
        <f>IF($A369="","",IF(ISNUMBER(I369),K369*I369*1E-4,""))</f>
        <v/>
      </c>
    </row>
    <row r="370">
      <c r="K370" s="24">
        <f>IF($A370="","",IF(F370="AU",(E370-'2_標準曲線'!$I$9)/'2_標準曲線'!$I$8,""))</f>
        <v/>
      </c>
      <c r="L370" s="24">
        <f>IF($A370="","",IF(ISNUMBER(I370),K370*I370*1E-4,""))</f>
        <v/>
      </c>
    </row>
    <row r="371">
      <c r="K371" s="24">
        <f>IF($A371="","",IF(F371="AU",(E371-'2_標準曲線'!$I$9)/'2_標準曲線'!$I$8,""))</f>
        <v/>
      </c>
      <c r="L371" s="24">
        <f>IF($A371="","",IF(ISNUMBER(I371),K371*I371*1E-4,""))</f>
        <v/>
      </c>
    </row>
    <row r="372">
      <c r="K372" s="24">
        <f>IF($A372="","",IF(F372="AU",(E372-'2_標準曲線'!$I$9)/'2_標準曲線'!$I$8,""))</f>
        <v/>
      </c>
      <c r="L372" s="24">
        <f>IF($A372="","",IF(ISNUMBER(I372),K372*I372*1E-4,""))</f>
        <v/>
      </c>
    </row>
    <row r="373">
      <c r="K373" s="24">
        <f>IF($A373="","",IF(F373="AU",(E373-'2_標準曲線'!$I$9)/'2_標準曲線'!$I$8,""))</f>
        <v/>
      </c>
      <c r="L373" s="24">
        <f>IF($A373="","",IF(ISNUMBER(I373),K373*I373*1E-4,""))</f>
        <v/>
      </c>
    </row>
    <row r="374">
      <c r="K374" s="24">
        <f>IF($A374="","",IF(F374="AU",(E374-'2_標準曲線'!$I$9)/'2_標準曲線'!$I$8,""))</f>
        <v/>
      </c>
      <c r="L374" s="24">
        <f>IF($A374="","",IF(ISNUMBER(I374),K374*I374*1E-4,""))</f>
        <v/>
      </c>
    </row>
    <row r="375">
      <c r="K375" s="24">
        <f>IF($A375="","",IF(F375="AU",(E375-'2_標準曲線'!$I$9)/'2_標準曲線'!$I$8,""))</f>
        <v/>
      </c>
      <c r="L375" s="24">
        <f>IF($A375="","",IF(ISNUMBER(I375),K375*I375*1E-4,""))</f>
        <v/>
      </c>
    </row>
    <row r="376">
      <c r="K376" s="24">
        <f>IF($A376="","",IF(F376="AU",(E376-'2_標準曲線'!$I$9)/'2_標準曲線'!$I$8,""))</f>
        <v/>
      </c>
      <c r="L376" s="24">
        <f>IF($A376="","",IF(ISNUMBER(I376),K376*I376*1E-4,""))</f>
        <v/>
      </c>
    </row>
    <row r="377">
      <c r="K377" s="24">
        <f>IF($A377="","",IF(F377="AU",(E377-'2_標準曲線'!$I$9)/'2_標準曲線'!$I$8,""))</f>
        <v/>
      </c>
      <c r="L377" s="24">
        <f>IF($A377="","",IF(ISNUMBER(I377),K377*I377*1E-4,""))</f>
        <v/>
      </c>
    </row>
    <row r="378">
      <c r="K378" s="24">
        <f>IF($A378="","",IF(F378="AU",(E378-'2_標準曲線'!$I$9)/'2_標準曲線'!$I$8,""))</f>
        <v/>
      </c>
      <c r="L378" s="24">
        <f>IF($A378="","",IF(ISNUMBER(I378),K378*I378*1E-4,""))</f>
        <v/>
      </c>
    </row>
    <row r="379">
      <c r="K379" s="24">
        <f>IF($A379="","",IF(F379="AU",(E379-'2_標準曲線'!$I$9)/'2_標準曲線'!$I$8,""))</f>
        <v/>
      </c>
      <c r="L379" s="24">
        <f>IF($A379="","",IF(ISNUMBER(I379),K379*I379*1E-4,""))</f>
        <v/>
      </c>
    </row>
    <row r="380">
      <c r="K380" s="24">
        <f>IF($A380="","",IF(F380="AU",(E380-'2_標準曲線'!$I$9)/'2_標準曲線'!$I$8,""))</f>
        <v/>
      </c>
      <c r="L380" s="24">
        <f>IF($A380="","",IF(ISNUMBER(I380),K380*I380*1E-4,""))</f>
        <v/>
      </c>
    </row>
    <row r="381">
      <c r="K381" s="24">
        <f>IF($A381="","",IF(F381="AU",(E381-'2_標準曲線'!$I$9)/'2_標準曲線'!$I$8,""))</f>
        <v/>
      </c>
      <c r="L381" s="24">
        <f>IF($A381="","",IF(ISNUMBER(I381),K381*I381*1E-4,""))</f>
        <v/>
      </c>
    </row>
    <row r="382">
      <c r="K382" s="24">
        <f>IF($A382="","",IF(F382="AU",(E382-'2_標準曲線'!$I$9)/'2_標準曲線'!$I$8,""))</f>
        <v/>
      </c>
      <c r="L382" s="24">
        <f>IF($A382="","",IF(ISNUMBER(I382),K382*I382*1E-4,""))</f>
        <v/>
      </c>
    </row>
    <row r="383">
      <c r="K383" s="24">
        <f>IF($A383="","",IF(F383="AU",(E383-'2_標準曲線'!$I$9)/'2_標準曲線'!$I$8,""))</f>
        <v/>
      </c>
      <c r="L383" s="24">
        <f>IF($A383="","",IF(ISNUMBER(I383),K383*I383*1E-4,""))</f>
        <v/>
      </c>
    </row>
    <row r="384">
      <c r="K384" s="24">
        <f>IF($A384="","",IF(F384="AU",(E384-'2_標準曲線'!$I$9)/'2_標準曲線'!$I$8,""))</f>
        <v/>
      </c>
      <c r="L384" s="24">
        <f>IF($A384="","",IF(ISNUMBER(I384),K384*I384*1E-4,""))</f>
        <v/>
      </c>
    </row>
    <row r="385">
      <c r="K385" s="24">
        <f>IF($A385="","",IF(F385="AU",(E385-'2_標準曲線'!$I$9)/'2_標準曲線'!$I$8,""))</f>
        <v/>
      </c>
      <c r="L385" s="24">
        <f>IF($A385="","",IF(ISNUMBER(I385),K385*I385*1E-4,""))</f>
        <v/>
      </c>
    </row>
    <row r="386">
      <c r="K386" s="24">
        <f>IF($A386="","",IF(F386="AU",(E386-'2_標準曲線'!$I$9)/'2_標準曲線'!$I$8,""))</f>
        <v/>
      </c>
      <c r="L386" s="24">
        <f>IF($A386="","",IF(ISNUMBER(I386),K386*I386*1E-4,""))</f>
        <v/>
      </c>
    </row>
    <row r="387">
      <c r="K387" s="24">
        <f>IF($A387="","",IF(F387="AU",(E387-'2_標準曲線'!$I$9)/'2_標準曲線'!$I$8,""))</f>
        <v/>
      </c>
      <c r="L387" s="24">
        <f>IF($A387="","",IF(ISNUMBER(I387),K387*I387*1E-4,""))</f>
        <v/>
      </c>
    </row>
    <row r="388">
      <c r="K388" s="24">
        <f>IF($A388="","",IF(F388="AU",(E388-'2_標準曲線'!$I$9)/'2_標準曲線'!$I$8,""))</f>
        <v/>
      </c>
      <c r="L388" s="24">
        <f>IF($A388="","",IF(ISNUMBER(I388),K388*I388*1E-4,""))</f>
        <v/>
      </c>
    </row>
    <row r="389">
      <c r="K389" s="24">
        <f>IF($A389="","",IF(F389="AU",(E389-'2_標準曲線'!$I$9)/'2_標準曲線'!$I$8,""))</f>
        <v/>
      </c>
      <c r="L389" s="24">
        <f>IF($A389="","",IF(ISNUMBER(I389),K389*I389*1E-4,""))</f>
        <v/>
      </c>
    </row>
    <row r="390">
      <c r="K390" s="24">
        <f>IF($A390="","",IF(F390="AU",(E390-'2_標準曲線'!$I$9)/'2_標準曲線'!$I$8,""))</f>
        <v/>
      </c>
      <c r="L390" s="24">
        <f>IF($A390="","",IF(ISNUMBER(I390),K390*I390*1E-4,""))</f>
        <v/>
      </c>
    </row>
    <row r="391">
      <c r="K391" s="24">
        <f>IF($A391="","",IF(F391="AU",(E391-'2_標準曲線'!$I$9)/'2_標準曲線'!$I$8,""))</f>
        <v/>
      </c>
      <c r="L391" s="24">
        <f>IF($A391="","",IF(ISNUMBER(I391),K391*I391*1E-4,""))</f>
        <v/>
      </c>
    </row>
    <row r="392">
      <c r="K392" s="24">
        <f>IF($A392="","",IF(F392="AU",(E392-'2_標準曲線'!$I$9)/'2_標準曲線'!$I$8,""))</f>
        <v/>
      </c>
      <c r="L392" s="24">
        <f>IF($A392="","",IF(ISNUMBER(I392),K392*I392*1E-4,""))</f>
        <v/>
      </c>
    </row>
    <row r="393">
      <c r="K393" s="24">
        <f>IF($A393="","",IF(F393="AU",(E393-'2_標準曲線'!$I$9)/'2_標準曲線'!$I$8,""))</f>
        <v/>
      </c>
      <c r="L393" s="24">
        <f>IF($A393="","",IF(ISNUMBER(I393),K393*I393*1E-4,""))</f>
        <v/>
      </c>
    </row>
    <row r="394">
      <c r="K394" s="24">
        <f>IF($A394="","",IF(F394="AU",(E394-'2_標準曲線'!$I$9)/'2_標準曲線'!$I$8,""))</f>
        <v/>
      </c>
      <c r="L394" s="24">
        <f>IF($A394="","",IF(ISNUMBER(I394),K394*I394*1E-4,""))</f>
        <v/>
      </c>
    </row>
    <row r="395">
      <c r="K395" s="24">
        <f>IF($A395="","",IF(F395="AU",(E395-'2_標準曲線'!$I$9)/'2_標準曲線'!$I$8,""))</f>
        <v/>
      </c>
      <c r="L395" s="24">
        <f>IF($A395="","",IF(ISNUMBER(I395),K395*I395*1E-4,""))</f>
        <v/>
      </c>
    </row>
    <row r="396">
      <c r="K396" s="24">
        <f>IF($A396="","",IF(F396="AU",(E396-'2_標準曲線'!$I$9)/'2_標準曲線'!$I$8,""))</f>
        <v/>
      </c>
      <c r="L396" s="24">
        <f>IF($A396="","",IF(ISNUMBER(I396),K396*I396*1E-4,""))</f>
        <v/>
      </c>
    </row>
    <row r="397">
      <c r="K397" s="24">
        <f>IF($A397="","",IF(F397="AU",(E397-'2_標準曲線'!$I$9)/'2_標準曲線'!$I$8,""))</f>
        <v/>
      </c>
      <c r="L397" s="24">
        <f>IF($A397="","",IF(ISNUMBER(I397),K397*I397*1E-4,""))</f>
        <v/>
      </c>
    </row>
    <row r="398">
      <c r="K398" s="24">
        <f>IF($A398="","",IF(F398="AU",(E398-'2_標準曲線'!$I$9)/'2_標準曲線'!$I$8,""))</f>
        <v/>
      </c>
      <c r="L398" s="24">
        <f>IF($A398="","",IF(ISNUMBER(I398),K398*I398*1E-4,""))</f>
        <v/>
      </c>
    </row>
    <row r="399">
      <c r="K399" s="24">
        <f>IF($A399="","",IF(F399="AU",(E399-'2_標準曲線'!$I$9)/'2_標準曲線'!$I$8,""))</f>
        <v/>
      </c>
      <c r="L399" s="24">
        <f>IF($A399="","",IF(ISNUMBER(I399),K399*I399*1E-4,""))</f>
        <v/>
      </c>
    </row>
    <row r="400">
      <c r="K400" s="24">
        <f>IF($A400="","",IF(F400="AU",(E400-'2_標準曲線'!$I$9)/'2_標準曲線'!$I$8,""))</f>
        <v/>
      </c>
      <c r="L400" s="24">
        <f>IF($A400="","",IF(ISNUMBER(I400),K400*I400*1E-4,""))</f>
        <v/>
      </c>
    </row>
    <row r="401">
      <c r="K401" s="24">
        <f>IF($A401="","",IF(F401="AU",(E401-'2_標準曲線'!$I$9)/'2_標準曲線'!$I$8,""))</f>
        <v/>
      </c>
      <c r="L401" s="24">
        <f>IF($A401="","",IF(ISNUMBER(I401),K401*I401*1E-4,""))</f>
        <v/>
      </c>
    </row>
    <row r="402">
      <c r="K402" s="24">
        <f>IF($A402="","",IF(F402="AU",(E402-'2_標準曲線'!$I$9)/'2_標準曲線'!$I$8,""))</f>
        <v/>
      </c>
      <c r="L402" s="24">
        <f>IF($A402="","",IF(ISNUMBER(I402),K402*I402*1E-4,""))</f>
        <v/>
      </c>
    </row>
    <row r="403">
      <c r="K403" s="24">
        <f>IF($A403="","",IF(F403="AU",(E403-'2_標準曲線'!$I$9)/'2_標準曲線'!$I$8,""))</f>
        <v/>
      </c>
      <c r="L403" s="24">
        <f>IF($A403="","",IF(ISNUMBER(I403),K403*I403*1E-4,""))</f>
        <v/>
      </c>
    </row>
    <row r="404">
      <c r="K404" s="24">
        <f>IF($A404="","",IF(F404="AU",(E404-'2_標準曲線'!$I$9)/'2_標準曲線'!$I$8,""))</f>
        <v/>
      </c>
      <c r="L404" s="24">
        <f>IF($A404="","",IF(ISNUMBER(I404),K404*I404*1E-4,""))</f>
        <v/>
      </c>
    </row>
    <row r="405">
      <c r="K405" s="24">
        <f>IF($A405="","",IF(F405="AU",(E405-'2_標準曲線'!$I$9)/'2_標準曲線'!$I$8,""))</f>
        <v/>
      </c>
      <c r="L405" s="24">
        <f>IF($A405="","",IF(ISNUMBER(I405),K405*I405*1E-4,""))</f>
        <v/>
      </c>
    </row>
    <row r="406">
      <c r="K406" s="24">
        <f>IF($A406="","",IF(F406="AU",(E406-'2_標準曲線'!$I$9)/'2_標準曲線'!$I$8,""))</f>
        <v/>
      </c>
      <c r="L406" s="24">
        <f>IF($A406="","",IF(ISNUMBER(I406),K406*I406*1E-4,""))</f>
        <v/>
      </c>
    </row>
    <row r="407">
      <c r="K407" s="24">
        <f>IF($A407="","",IF(F407="AU",(E407-'2_標準曲線'!$I$9)/'2_標準曲線'!$I$8,""))</f>
        <v/>
      </c>
      <c r="L407" s="24">
        <f>IF($A407="","",IF(ISNUMBER(I407),K407*I407*1E-4,""))</f>
        <v/>
      </c>
    </row>
    <row r="408">
      <c r="K408" s="24">
        <f>IF($A408="","",IF(F408="AU",(E408-'2_標準曲線'!$I$9)/'2_標準曲線'!$I$8,""))</f>
        <v/>
      </c>
      <c r="L408" s="24">
        <f>IF($A408="","",IF(ISNUMBER(I408),K408*I408*1E-4,""))</f>
        <v/>
      </c>
    </row>
    <row r="409">
      <c r="K409" s="24">
        <f>IF($A409="","",IF(F409="AU",(E409-'2_標準曲線'!$I$9)/'2_標準曲線'!$I$8,""))</f>
        <v/>
      </c>
      <c r="L409" s="24">
        <f>IF($A409="","",IF(ISNUMBER(I409),K409*I409*1E-4,""))</f>
        <v/>
      </c>
    </row>
    <row r="410">
      <c r="K410" s="24">
        <f>IF($A410="","",IF(F410="AU",(E410-'2_標準曲線'!$I$9)/'2_標準曲線'!$I$8,""))</f>
        <v/>
      </c>
      <c r="L410" s="24">
        <f>IF($A410="","",IF(ISNUMBER(I410),K410*I410*1E-4,""))</f>
        <v/>
      </c>
    </row>
    <row r="411">
      <c r="K411" s="24">
        <f>IF($A411="","",IF(F411="AU",(E411-'2_標準曲線'!$I$9)/'2_標準曲線'!$I$8,""))</f>
        <v/>
      </c>
      <c r="L411" s="24">
        <f>IF($A411="","",IF(ISNUMBER(I411),K411*I411*1E-4,""))</f>
        <v/>
      </c>
    </row>
    <row r="412">
      <c r="K412" s="24">
        <f>IF($A412="","",IF(F412="AU",(E412-'2_標準曲線'!$I$9)/'2_標準曲線'!$I$8,""))</f>
        <v/>
      </c>
      <c r="L412" s="24">
        <f>IF($A412="","",IF(ISNUMBER(I412),K412*I412*1E-4,""))</f>
        <v/>
      </c>
    </row>
    <row r="413">
      <c r="K413" s="24">
        <f>IF($A413="","",IF(F413="AU",(E413-'2_標準曲線'!$I$9)/'2_標準曲線'!$I$8,""))</f>
        <v/>
      </c>
      <c r="L413" s="24">
        <f>IF($A413="","",IF(ISNUMBER(I413),K413*I413*1E-4,""))</f>
        <v/>
      </c>
    </row>
    <row r="414">
      <c r="K414" s="24">
        <f>IF($A414="","",IF(F414="AU",(E414-'2_標準曲線'!$I$9)/'2_標準曲線'!$I$8,""))</f>
        <v/>
      </c>
      <c r="L414" s="24">
        <f>IF($A414="","",IF(ISNUMBER(I414),K414*I414*1E-4,""))</f>
        <v/>
      </c>
    </row>
    <row r="415">
      <c r="K415" s="24">
        <f>IF($A415="","",IF(F415="AU",(E415-'2_標準曲線'!$I$9)/'2_標準曲線'!$I$8,""))</f>
        <v/>
      </c>
      <c r="L415" s="24">
        <f>IF($A415="","",IF(ISNUMBER(I415),K415*I415*1E-4,""))</f>
        <v/>
      </c>
    </row>
    <row r="416">
      <c r="K416" s="24">
        <f>IF($A416="","",IF(F416="AU",(E416-'2_標準曲線'!$I$9)/'2_標準曲線'!$I$8,""))</f>
        <v/>
      </c>
      <c r="L416" s="24">
        <f>IF($A416="","",IF(ISNUMBER(I416),K416*I416*1E-4,""))</f>
        <v/>
      </c>
    </row>
    <row r="417">
      <c r="K417" s="24">
        <f>IF($A417="","",IF(F417="AU",(E417-'2_標準曲線'!$I$9)/'2_標準曲線'!$I$8,""))</f>
        <v/>
      </c>
      <c r="L417" s="24">
        <f>IF($A417="","",IF(ISNUMBER(I417),K417*I417*1E-4,""))</f>
        <v/>
      </c>
    </row>
    <row r="418">
      <c r="K418" s="24">
        <f>IF($A418="","",IF(F418="AU",(E418-'2_標準曲線'!$I$9)/'2_標準曲線'!$I$8,""))</f>
        <v/>
      </c>
      <c r="L418" s="24">
        <f>IF($A418="","",IF(ISNUMBER(I418),K418*I418*1E-4,""))</f>
        <v/>
      </c>
    </row>
    <row r="419">
      <c r="K419" s="24">
        <f>IF($A419="","",IF(F419="AU",(E419-'2_標準曲線'!$I$9)/'2_標準曲線'!$I$8,""))</f>
        <v/>
      </c>
      <c r="L419" s="24">
        <f>IF($A419="","",IF(ISNUMBER(I419),K419*I419*1E-4,""))</f>
        <v/>
      </c>
    </row>
    <row r="420">
      <c r="K420" s="24">
        <f>IF($A420="","",IF(F420="AU",(E420-'2_標準曲線'!$I$9)/'2_標準曲線'!$I$8,""))</f>
        <v/>
      </c>
      <c r="L420" s="24">
        <f>IF($A420="","",IF(ISNUMBER(I420),K420*I420*1E-4,""))</f>
        <v/>
      </c>
    </row>
    <row r="421">
      <c r="K421" s="24">
        <f>IF($A421="","",IF(F421="AU",(E421-'2_標準曲線'!$I$9)/'2_標準曲線'!$I$8,""))</f>
        <v/>
      </c>
      <c r="L421" s="24">
        <f>IF($A421="","",IF(ISNUMBER(I421),K421*I421*1E-4,""))</f>
        <v/>
      </c>
    </row>
    <row r="422">
      <c r="K422" s="24">
        <f>IF($A422="","",IF(F422="AU",(E422-'2_標準曲線'!$I$9)/'2_標準曲線'!$I$8,""))</f>
        <v/>
      </c>
      <c r="L422" s="24">
        <f>IF($A422="","",IF(ISNUMBER(I422),K422*I422*1E-4,""))</f>
        <v/>
      </c>
    </row>
    <row r="423">
      <c r="K423" s="24">
        <f>IF($A423="","",IF(F423="AU",(E423-'2_標準曲線'!$I$9)/'2_標準曲線'!$I$8,""))</f>
        <v/>
      </c>
      <c r="L423" s="24">
        <f>IF($A423="","",IF(ISNUMBER(I423),K423*I423*1E-4,""))</f>
        <v/>
      </c>
    </row>
    <row r="424">
      <c r="K424" s="24">
        <f>IF($A424="","",IF(F424="AU",(E424-'2_標準曲線'!$I$9)/'2_標準曲線'!$I$8,""))</f>
        <v/>
      </c>
      <c r="L424" s="24">
        <f>IF($A424="","",IF(ISNUMBER(I424),K424*I424*1E-4,""))</f>
        <v/>
      </c>
    </row>
    <row r="425">
      <c r="K425" s="24">
        <f>IF($A425="","",IF(F425="AU",(E425-'2_標準曲線'!$I$9)/'2_標準曲線'!$I$8,""))</f>
        <v/>
      </c>
      <c r="L425" s="24">
        <f>IF($A425="","",IF(ISNUMBER(I425),K425*I425*1E-4,""))</f>
        <v/>
      </c>
    </row>
    <row r="426">
      <c r="K426" s="24">
        <f>IF($A426="","",IF(F426="AU",(E426-'2_標準曲線'!$I$9)/'2_標準曲線'!$I$8,""))</f>
        <v/>
      </c>
      <c r="L426" s="24">
        <f>IF($A426="","",IF(ISNUMBER(I426),K426*I426*1E-4,""))</f>
        <v/>
      </c>
    </row>
    <row r="427">
      <c r="K427" s="24">
        <f>IF($A427="","",IF(F427="AU",(E427-'2_標準曲線'!$I$9)/'2_標準曲線'!$I$8,""))</f>
        <v/>
      </c>
      <c r="L427" s="24">
        <f>IF($A427="","",IF(ISNUMBER(I427),K427*I427*1E-4,""))</f>
        <v/>
      </c>
    </row>
    <row r="428">
      <c r="K428" s="24">
        <f>IF($A428="","",IF(F428="AU",(E428-'2_標準曲線'!$I$9)/'2_標準曲線'!$I$8,""))</f>
        <v/>
      </c>
      <c r="L428" s="24">
        <f>IF($A428="","",IF(ISNUMBER(I428),K428*I428*1E-4,""))</f>
        <v/>
      </c>
    </row>
    <row r="429">
      <c r="K429" s="24">
        <f>IF($A429="","",IF(F429="AU",(E429-'2_標準曲線'!$I$9)/'2_標準曲線'!$I$8,""))</f>
        <v/>
      </c>
      <c r="L429" s="24">
        <f>IF($A429="","",IF(ISNUMBER(I429),K429*I429*1E-4,""))</f>
        <v/>
      </c>
    </row>
    <row r="430">
      <c r="K430" s="24">
        <f>IF($A430="","",IF(F430="AU",(E430-'2_標準曲線'!$I$9)/'2_標準曲線'!$I$8,""))</f>
        <v/>
      </c>
      <c r="L430" s="24">
        <f>IF($A430="","",IF(ISNUMBER(I430),K430*I430*1E-4,""))</f>
        <v/>
      </c>
    </row>
    <row r="431">
      <c r="K431" s="24">
        <f>IF($A431="","",IF(F431="AU",(E431-'2_標準曲線'!$I$9)/'2_標準曲線'!$I$8,""))</f>
        <v/>
      </c>
      <c r="L431" s="24">
        <f>IF($A431="","",IF(ISNUMBER(I431),K431*I431*1E-4,""))</f>
        <v/>
      </c>
    </row>
    <row r="432">
      <c r="K432" s="24">
        <f>IF($A432="","",IF(F432="AU",(E432-'2_標準曲線'!$I$9)/'2_標準曲線'!$I$8,""))</f>
        <v/>
      </c>
      <c r="L432" s="24">
        <f>IF($A432="","",IF(ISNUMBER(I432),K432*I432*1E-4,""))</f>
        <v/>
      </c>
    </row>
    <row r="433">
      <c r="K433" s="24">
        <f>IF($A433="","",IF(F433="AU",(E433-'2_標準曲線'!$I$9)/'2_標準曲線'!$I$8,""))</f>
        <v/>
      </c>
      <c r="L433" s="24">
        <f>IF($A433="","",IF(ISNUMBER(I433),K433*I433*1E-4,""))</f>
        <v/>
      </c>
    </row>
    <row r="434">
      <c r="K434" s="24">
        <f>IF($A434="","",IF(F434="AU",(E434-'2_標準曲線'!$I$9)/'2_標準曲線'!$I$8,""))</f>
        <v/>
      </c>
      <c r="L434" s="24">
        <f>IF($A434="","",IF(ISNUMBER(I434),K434*I434*1E-4,""))</f>
        <v/>
      </c>
    </row>
    <row r="435">
      <c r="K435" s="24">
        <f>IF($A435="","",IF(F435="AU",(E435-'2_標準曲線'!$I$9)/'2_標準曲線'!$I$8,""))</f>
        <v/>
      </c>
      <c r="L435" s="24">
        <f>IF($A435="","",IF(ISNUMBER(I435),K435*I435*1E-4,""))</f>
        <v/>
      </c>
    </row>
    <row r="436">
      <c r="K436" s="24">
        <f>IF($A436="","",IF(F436="AU",(E436-'2_標準曲線'!$I$9)/'2_標準曲線'!$I$8,""))</f>
        <v/>
      </c>
      <c r="L436" s="24">
        <f>IF($A436="","",IF(ISNUMBER(I436),K436*I436*1E-4,""))</f>
        <v/>
      </c>
    </row>
    <row r="437">
      <c r="K437" s="24">
        <f>IF($A437="","",IF(F437="AU",(E437-'2_標準曲線'!$I$9)/'2_標準曲線'!$I$8,""))</f>
        <v/>
      </c>
      <c r="L437" s="24">
        <f>IF($A437="","",IF(ISNUMBER(I437),K437*I437*1E-4,""))</f>
        <v/>
      </c>
    </row>
    <row r="438">
      <c r="K438" s="24">
        <f>IF($A438="","",IF(F438="AU",(E438-'2_標準曲線'!$I$9)/'2_標準曲線'!$I$8,""))</f>
        <v/>
      </c>
      <c r="L438" s="24">
        <f>IF($A438="","",IF(ISNUMBER(I438),K438*I438*1E-4,""))</f>
        <v/>
      </c>
    </row>
    <row r="439">
      <c r="K439" s="24">
        <f>IF($A439="","",IF(F439="AU",(E439-'2_標準曲線'!$I$9)/'2_標準曲線'!$I$8,""))</f>
        <v/>
      </c>
      <c r="L439" s="24">
        <f>IF($A439="","",IF(ISNUMBER(I439),K439*I439*1E-4,""))</f>
        <v/>
      </c>
    </row>
    <row r="440">
      <c r="K440" s="24">
        <f>IF($A440="","",IF(F440="AU",(E440-'2_標準曲線'!$I$9)/'2_標準曲線'!$I$8,""))</f>
        <v/>
      </c>
      <c r="L440" s="24">
        <f>IF($A440="","",IF(ISNUMBER(I440),K440*I440*1E-4,""))</f>
        <v/>
      </c>
    </row>
    <row r="441">
      <c r="K441" s="24">
        <f>IF($A441="","",IF(F441="AU",(E441-'2_標準曲線'!$I$9)/'2_標準曲線'!$I$8,""))</f>
        <v/>
      </c>
      <c r="L441" s="24">
        <f>IF($A441="","",IF(ISNUMBER(I441),K441*I441*1E-4,""))</f>
        <v/>
      </c>
    </row>
    <row r="442">
      <c r="K442" s="24">
        <f>IF($A442="","",IF(F442="AU",(E442-'2_標準曲線'!$I$9)/'2_標準曲線'!$I$8,""))</f>
        <v/>
      </c>
      <c r="L442" s="24">
        <f>IF($A442="","",IF(ISNUMBER(I442),K442*I442*1E-4,""))</f>
        <v/>
      </c>
    </row>
    <row r="443">
      <c r="K443" s="24">
        <f>IF($A443="","",IF(F443="AU",(E443-'2_標準曲線'!$I$9)/'2_標準曲線'!$I$8,""))</f>
        <v/>
      </c>
      <c r="L443" s="24">
        <f>IF($A443="","",IF(ISNUMBER(I443),K443*I443*1E-4,""))</f>
        <v/>
      </c>
    </row>
    <row r="444">
      <c r="K444" s="24">
        <f>IF($A444="","",IF(F444="AU",(E444-'2_標準曲線'!$I$9)/'2_標準曲線'!$I$8,""))</f>
        <v/>
      </c>
      <c r="L444" s="24">
        <f>IF($A444="","",IF(ISNUMBER(I444),K444*I444*1E-4,""))</f>
        <v/>
      </c>
    </row>
    <row r="445">
      <c r="K445" s="24">
        <f>IF($A445="","",IF(F445="AU",(E445-'2_標準曲線'!$I$9)/'2_標準曲線'!$I$8,""))</f>
        <v/>
      </c>
      <c r="L445" s="24">
        <f>IF($A445="","",IF(ISNUMBER(I445),K445*I445*1E-4,""))</f>
        <v/>
      </c>
    </row>
    <row r="446">
      <c r="K446" s="24">
        <f>IF($A446="","",IF(F446="AU",(E446-'2_標準曲線'!$I$9)/'2_標準曲線'!$I$8,""))</f>
        <v/>
      </c>
      <c r="L446" s="24">
        <f>IF($A446="","",IF(ISNUMBER(I446),K446*I446*1E-4,""))</f>
        <v/>
      </c>
    </row>
    <row r="447">
      <c r="K447" s="24">
        <f>IF($A447="","",IF(F447="AU",(E447-'2_標準曲線'!$I$9)/'2_標準曲線'!$I$8,""))</f>
        <v/>
      </c>
      <c r="L447" s="24">
        <f>IF($A447="","",IF(ISNUMBER(I447),K447*I447*1E-4,""))</f>
        <v/>
      </c>
    </row>
    <row r="448">
      <c r="K448" s="24">
        <f>IF($A448="","",IF(F448="AU",(E448-'2_標準曲線'!$I$9)/'2_標準曲線'!$I$8,""))</f>
        <v/>
      </c>
      <c r="L448" s="24">
        <f>IF($A448="","",IF(ISNUMBER(I448),K448*I448*1E-4,""))</f>
        <v/>
      </c>
    </row>
    <row r="449">
      <c r="K449" s="24">
        <f>IF($A449="","",IF(F449="AU",(E449-'2_標準曲線'!$I$9)/'2_標準曲線'!$I$8,""))</f>
        <v/>
      </c>
      <c r="L449" s="24">
        <f>IF($A449="","",IF(ISNUMBER(I449),K449*I449*1E-4,""))</f>
        <v/>
      </c>
    </row>
    <row r="450">
      <c r="K450" s="24">
        <f>IF($A450="","",IF(F450="AU",(E450-'2_標準曲線'!$I$9)/'2_標準曲線'!$I$8,""))</f>
        <v/>
      </c>
      <c r="L450" s="24">
        <f>IF($A450="","",IF(ISNUMBER(I450),K450*I450*1E-4,""))</f>
        <v/>
      </c>
    </row>
    <row r="451">
      <c r="K451" s="24">
        <f>IF($A451="","",IF(F451="AU",(E451-'2_標準曲線'!$I$9)/'2_標準曲線'!$I$8,""))</f>
        <v/>
      </c>
      <c r="L451" s="24">
        <f>IF($A451="","",IF(ISNUMBER(I451),K451*I451*1E-4,""))</f>
        <v/>
      </c>
    </row>
    <row r="452">
      <c r="K452" s="24">
        <f>IF($A452="","",IF(F452="AU",(E452-'2_標準曲線'!$I$9)/'2_標準曲線'!$I$8,""))</f>
        <v/>
      </c>
      <c r="L452" s="24">
        <f>IF($A452="","",IF(ISNUMBER(I452),K452*I452*1E-4,""))</f>
        <v/>
      </c>
    </row>
    <row r="453">
      <c r="K453" s="24">
        <f>IF($A453="","",IF(F453="AU",(E453-'2_標準曲線'!$I$9)/'2_標準曲線'!$I$8,""))</f>
        <v/>
      </c>
      <c r="L453" s="24">
        <f>IF($A453="","",IF(ISNUMBER(I453),K453*I453*1E-4,""))</f>
        <v/>
      </c>
    </row>
    <row r="454">
      <c r="K454" s="24">
        <f>IF($A454="","",IF(F454="AU",(E454-'2_標準曲線'!$I$9)/'2_標準曲線'!$I$8,""))</f>
        <v/>
      </c>
      <c r="L454" s="24">
        <f>IF($A454="","",IF(ISNUMBER(I454),K454*I454*1E-4,""))</f>
        <v/>
      </c>
    </row>
    <row r="455">
      <c r="K455" s="24">
        <f>IF($A455="","",IF(F455="AU",(E455-'2_標準曲線'!$I$9)/'2_標準曲線'!$I$8,""))</f>
        <v/>
      </c>
      <c r="L455" s="24">
        <f>IF($A455="","",IF(ISNUMBER(I455),K455*I455*1E-4,""))</f>
        <v/>
      </c>
    </row>
    <row r="456">
      <c r="K456" s="24">
        <f>IF($A456="","",IF(F456="AU",(E456-'2_標準曲線'!$I$9)/'2_標準曲線'!$I$8,""))</f>
        <v/>
      </c>
      <c r="L456" s="24">
        <f>IF($A456="","",IF(ISNUMBER(I456),K456*I456*1E-4,""))</f>
        <v/>
      </c>
    </row>
    <row r="457">
      <c r="K457" s="24">
        <f>IF($A457="","",IF(F457="AU",(E457-'2_標準曲線'!$I$9)/'2_標準曲線'!$I$8,""))</f>
        <v/>
      </c>
      <c r="L457" s="24">
        <f>IF($A457="","",IF(ISNUMBER(I457),K457*I457*1E-4,""))</f>
        <v/>
      </c>
    </row>
    <row r="458">
      <c r="K458" s="24">
        <f>IF($A458="","",IF(F458="AU",(E458-'2_標準曲線'!$I$9)/'2_標準曲線'!$I$8,""))</f>
        <v/>
      </c>
      <c r="L458" s="24">
        <f>IF($A458="","",IF(ISNUMBER(I458),K458*I458*1E-4,""))</f>
        <v/>
      </c>
    </row>
    <row r="459">
      <c r="K459" s="24">
        <f>IF($A459="","",IF(F459="AU",(E459-'2_標準曲線'!$I$9)/'2_標準曲線'!$I$8,""))</f>
        <v/>
      </c>
      <c r="L459" s="24">
        <f>IF($A459="","",IF(ISNUMBER(I459),K459*I459*1E-4,""))</f>
        <v/>
      </c>
    </row>
    <row r="460">
      <c r="K460" s="24">
        <f>IF($A460="","",IF(F460="AU",(E460-'2_標準曲線'!$I$9)/'2_標準曲線'!$I$8,""))</f>
        <v/>
      </c>
      <c r="L460" s="24">
        <f>IF($A460="","",IF(ISNUMBER(I460),K460*I460*1E-4,""))</f>
        <v/>
      </c>
    </row>
    <row r="461">
      <c r="K461" s="24">
        <f>IF($A461="","",IF(F461="AU",(E461-'2_標準曲線'!$I$9)/'2_標準曲線'!$I$8,""))</f>
        <v/>
      </c>
      <c r="L461" s="24">
        <f>IF($A461="","",IF(ISNUMBER(I461),K461*I461*1E-4,""))</f>
        <v/>
      </c>
    </row>
    <row r="462">
      <c r="K462" s="24">
        <f>IF($A462="","",IF(F462="AU",(E462-'2_標準曲線'!$I$9)/'2_標準曲線'!$I$8,""))</f>
        <v/>
      </c>
      <c r="L462" s="24">
        <f>IF($A462="","",IF(ISNUMBER(I462),K462*I462*1E-4,""))</f>
        <v/>
      </c>
    </row>
    <row r="463">
      <c r="K463" s="24">
        <f>IF($A463="","",IF(F463="AU",(E463-'2_標準曲線'!$I$9)/'2_標準曲線'!$I$8,""))</f>
        <v/>
      </c>
      <c r="L463" s="24">
        <f>IF($A463="","",IF(ISNUMBER(I463),K463*I463*1E-4,""))</f>
        <v/>
      </c>
    </row>
    <row r="464">
      <c r="K464" s="24">
        <f>IF($A464="","",IF(F464="AU",(E464-'2_標準曲線'!$I$9)/'2_標準曲線'!$I$8,""))</f>
        <v/>
      </c>
      <c r="L464" s="24">
        <f>IF($A464="","",IF(ISNUMBER(I464),K464*I464*1E-4,""))</f>
        <v/>
      </c>
    </row>
    <row r="465">
      <c r="K465" s="24">
        <f>IF($A465="","",IF(F465="AU",(E465-'2_標準曲線'!$I$9)/'2_標準曲線'!$I$8,""))</f>
        <v/>
      </c>
      <c r="L465" s="24">
        <f>IF($A465="","",IF(ISNUMBER(I465),K465*I465*1E-4,""))</f>
        <v/>
      </c>
    </row>
    <row r="466">
      <c r="K466" s="24">
        <f>IF($A466="","",IF(F466="AU",(E466-'2_標準曲線'!$I$9)/'2_標準曲線'!$I$8,""))</f>
        <v/>
      </c>
      <c r="L466" s="24">
        <f>IF($A466="","",IF(ISNUMBER(I466),K466*I466*1E-4,""))</f>
        <v/>
      </c>
    </row>
    <row r="467">
      <c r="K467" s="24">
        <f>IF($A467="","",IF(F467="AU",(E467-'2_標準曲線'!$I$9)/'2_標準曲線'!$I$8,""))</f>
        <v/>
      </c>
      <c r="L467" s="24">
        <f>IF($A467="","",IF(ISNUMBER(I467),K467*I467*1E-4,""))</f>
        <v/>
      </c>
    </row>
    <row r="468">
      <c r="K468" s="24">
        <f>IF($A468="","",IF(F468="AU",(E468-'2_標準曲線'!$I$9)/'2_標準曲線'!$I$8,""))</f>
        <v/>
      </c>
      <c r="L468" s="24">
        <f>IF($A468="","",IF(ISNUMBER(I468),K468*I468*1E-4,""))</f>
        <v/>
      </c>
    </row>
    <row r="469">
      <c r="K469" s="24">
        <f>IF($A469="","",IF(F469="AU",(E469-'2_標準曲線'!$I$9)/'2_標準曲線'!$I$8,""))</f>
        <v/>
      </c>
      <c r="L469" s="24">
        <f>IF($A469="","",IF(ISNUMBER(I469),K469*I469*1E-4,""))</f>
        <v/>
      </c>
    </row>
    <row r="470">
      <c r="K470" s="24">
        <f>IF($A470="","",IF(F470="AU",(E470-'2_標準曲線'!$I$9)/'2_標準曲線'!$I$8,""))</f>
        <v/>
      </c>
      <c r="L470" s="24">
        <f>IF($A470="","",IF(ISNUMBER(I470),K470*I470*1E-4,""))</f>
        <v/>
      </c>
    </row>
    <row r="471">
      <c r="K471" s="24">
        <f>IF($A471="","",IF(F471="AU",(E471-'2_標準曲線'!$I$9)/'2_標準曲線'!$I$8,""))</f>
        <v/>
      </c>
      <c r="L471" s="24">
        <f>IF($A471="","",IF(ISNUMBER(I471),K471*I471*1E-4,""))</f>
        <v/>
      </c>
    </row>
    <row r="472">
      <c r="K472" s="24">
        <f>IF($A472="","",IF(F472="AU",(E472-'2_標準曲線'!$I$9)/'2_標準曲線'!$I$8,""))</f>
        <v/>
      </c>
      <c r="L472" s="24">
        <f>IF($A472="","",IF(ISNUMBER(I472),K472*I472*1E-4,""))</f>
        <v/>
      </c>
    </row>
    <row r="473">
      <c r="K473" s="24">
        <f>IF($A473="","",IF(F473="AU",(E473-'2_標準曲線'!$I$9)/'2_標準曲線'!$I$8,""))</f>
        <v/>
      </c>
      <c r="L473" s="24">
        <f>IF($A473="","",IF(ISNUMBER(I473),K473*I473*1E-4,""))</f>
        <v/>
      </c>
    </row>
    <row r="474">
      <c r="K474" s="24">
        <f>IF($A474="","",IF(F474="AU",(E474-'2_標準曲線'!$I$9)/'2_標準曲線'!$I$8,""))</f>
        <v/>
      </c>
      <c r="L474" s="24">
        <f>IF($A474="","",IF(ISNUMBER(I474),K474*I474*1E-4,""))</f>
        <v/>
      </c>
    </row>
    <row r="475">
      <c r="K475" s="24">
        <f>IF($A475="","",IF(F475="AU",(E475-'2_標準曲線'!$I$9)/'2_標準曲線'!$I$8,""))</f>
        <v/>
      </c>
      <c r="L475" s="24">
        <f>IF($A475="","",IF(ISNUMBER(I475),K475*I475*1E-4,""))</f>
        <v/>
      </c>
    </row>
    <row r="476">
      <c r="K476" s="24">
        <f>IF($A476="","",IF(F476="AU",(E476-'2_標準曲線'!$I$9)/'2_標準曲線'!$I$8,""))</f>
        <v/>
      </c>
      <c r="L476" s="24">
        <f>IF($A476="","",IF(ISNUMBER(I476),K476*I476*1E-4,""))</f>
        <v/>
      </c>
    </row>
    <row r="477">
      <c r="K477" s="24">
        <f>IF($A477="","",IF(F477="AU",(E477-'2_標準曲線'!$I$9)/'2_標準曲線'!$I$8,""))</f>
        <v/>
      </c>
      <c r="L477" s="24">
        <f>IF($A477="","",IF(ISNUMBER(I477),K477*I477*1E-4,""))</f>
        <v/>
      </c>
    </row>
    <row r="478">
      <c r="K478" s="24">
        <f>IF($A478="","",IF(F478="AU",(E478-'2_標準曲線'!$I$9)/'2_標準曲線'!$I$8,""))</f>
        <v/>
      </c>
      <c r="L478" s="24">
        <f>IF($A478="","",IF(ISNUMBER(I478),K478*I478*1E-4,""))</f>
        <v/>
      </c>
    </row>
    <row r="479">
      <c r="K479" s="24">
        <f>IF($A479="","",IF(F479="AU",(E479-'2_標準曲線'!$I$9)/'2_標準曲線'!$I$8,""))</f>
        <v/>
      </c>
      <c r="L479" s="24">
        <f>IF($A479="","",IF(ISNUMBER(I479),K479*I479*1E-4,""))</f>
        <v/>
      </c>
    </row>
    <row r="480">
      <c r="K480" s="24">
        <f>IF($A480="","",IF(F480="AU",(E480-'2_標準曲線'!$I$9)/'2_標準曲線'!$I$8,""))</f>
        <v/>
      </c>
      <c r="L480" s="24">
        <f>IF($A480="","",IF(ISNUMBER(I480),K480*I480*1E-4,""))</f>
        <v/>
      </c>
    </row>
    <row r="481">
      <c r="K481" s="24">
        <f>IF($A481="","",IF(F481="AU",(E481-'2_標準曲線'!$I$9)/'2_標準曲線'!$I$8,""))</f>
        <v/>
      </c>
      <c r="L481" s="24">
        <f>IF($A481="","",IF(ISNUMBER(I481),K481*I481*1E-4,""))</f>
        <v/>
      </c>
    </row>
    <row r="482">
      <c r="K482" s="24">
        <f>IF($A482="","",IF(F482="AU",(E482-'2_標準曲線'!$I$9)/'2_標準曲線'!$I$8,""))</f>
        <v/>
      </c>
      <c r="L482" s="24">
        <f>IF($A482="","",IF(ISNUMBER(I482),K482*I482*1E-4,""))</f>
        <v/>
      </c>
    </row>
    <row r="483">
      <c r="K483" s="24">
        <f>IF($A483="","",IF(F483="AU",(E483-'2_標準曲線'!$I$9)/'2_標準曲線'!$I$8,""))</f>
        <v/>
      </c>
      <c r="L483" s="24">
        <f>IF($A483="","",IF(ISNUMBER(I483),K483*I483*1E-4,""))</f>
        <v/>
      </c>
    </row>
    <row r="484">
      <c r="K484" s="24">
        <f>IF($A484="","",IF(F484="AU",(E484-'2_標準曲線'!$I$9)/'2_標準曲線'!$I$8,""))</f>
        <v/>
      </c>
      <c r="L484" s="24">
        <f>IF($A484="","",IF(ISNUMBER(I484),K484*I484*1E-4,""))</f>
        <v/>
      </c>
    </row>
    <row r="485">
      <c r="K485" s="24">
        <f>IF($A485="","",IF(F485="AU",(E485-'2_標準曲線'!$I$9)/'2_標準曲線'!$I$8,""))</f>
        <v/>
      </c>
      <c r="L485" s="24">
        <f>IF($A485="","",IF(ISNUMBER(I485),K485*I485*1E-4,""))</f>
        <v/>
      </c>
    </row>
    <row r="486">
      <c r="K486" s="24">
        <f>IF($A486="","",IF(F486="AU",(E486-'2_標準曲線'!$I$9)/'2_標準曲線'!$I$8,""))</f>
        <v/>
      </c>
      <c r="L486" s="24">
        <f>IF($A486="","",IF(ISNUMBER(I486),K486*I486*1E-4,""))</f>
        <v/>
      </c>
    </row>
    <row r="487">
      <c r="K487" s="24">
        <f>IF($A487="","",IF(F487="AU",(E487-'2_標準曲線'!$I$9)/'2_標準曲線'!$I$8,""))</f>
        <v/>
      </c>
      <c r="L487" s="24">
        <f>IF($A487="","",IF(ISNUMBER(I487),K487*I487*1E-4,""))</f>
        <v/>
      </c>
    </row>
    <row r="488">
      <c r="K488" s="24">
        <f>IF($A488="","",IF(F488="AU",(E488-'2_標準曲線'!$I$9)/'2_標準曲線'!$I$8,""))</f>
        <v/>
      </c>
      <c r="L488" s="24">
        <f>IF($A488="","",IF(ISNUMBER(I488),K488*I488*1E-4,""))</f>
        <v/>
      </c>
    </row>
    <row r="489">
      <c r="K489" s="24">
        <f>IF($A489="","",IF(F489="AU",(E489-'2_標準曲線'!$I$9)/'2_標準曲線'!$I$8,""))</f>
        <v/>
      </c>
      <c r="L489" s="24">
        <f>IF($A489="","",IF(ISNUMBER(I489),K489*I489*1E-4,""))</f>
        <v/>
      </c>
    </row>
    <row r="490">
      <c r="K490" s="24">
        <f>IF($A490="","",IF(F490="AU",(E490-'2_標準曲線'!$I$9)/'2_標準曲線'!$I$8,""))</f>
        <v/>
      </c>
      <c r="L490" s="24">
        <f>IF($A490="","",IF(ISNUMBER(I490),K490*I490*1E-4,""))</f>
        <v/>
      </c>
    </row>
    <row r="491">
      <c r="K491" s="24">
        <f>IF($A491="","",IF(F491="AU",(E491-'2_標準曲線'!$I$9)/'2_標準曲線'!$I$8,""))</f>
        <v/>
      </c>
      <c r="L491" s="24">
        <f>IF($A491="","",IF(ISNUMBER(I491),K491*I491*1E-4,""))</f>
        <v/>
      </c>
    </row>
    <row r="492">
      <c r="K492" s="24">
        <f>IF($A492="","",IF(F492="AU",(E492-'2_標準曲線'!$I$9)/'2_標準曲線'!$I$8,""))</f>
        <v/>
      </c>
      <c r="L492" s="24">
        <f>IF($A492="","",IF(ISNUMBER(I492),K492*I492*1E-4,""))</f>
        <v/>
      </c>
    </row>
    <row r="493">
      <c r="K493" s="24">
        <f>IF($A493="","",IF(F493="AU",(E493-'2_標準曲線'!$I$9)/'2_標準曲線'!$I$8,""))</f>
        <v/>
      </c>
      <c r="L493" s="24">
        <f>IF($A493="","",IF(ISNUMBER(I493),K493*I493*1E-4,""))</f>
        <v/>
      </c>
    </row>
    <row r="494">
      <c r="K494" s="24">
        <f>IF($A494="","",IF(F494="AU",(E494-'2_標準曲線'!$I$9)/'2_標準曲線'!$I$8,""))</f>
        <v/>
      </c>
      <c r="L494" s="24">
        <f>IF($A494="","",IF(ISNUMBER(I494),K494*I494*1E-4,""))</f>
        <v/>
      </c>
    </row>
    <row r="495">
      <c r="K495" s="24">
        <f>IF($A495="","",IF(F495="AU",(E495-'2_標準曲線'!$I$9)/'2_標準曲線'!$I$8,""))</f>
        <v/>
      </c>
      <c r="L495" s="24">
        <f>IF($A495="","",IF(ISNUMBER(I495),K495*I495*1E-4,""))</f>
        <v/>
      </c>
    </row>
    <row r="496">
      <c r="K496" s="24">
        <f>IF($A496="","",IF(F496="AU",(E496-'2_標準曲線'!$I$9)/'2_標準曲線'!$I$8,""))</f>
        <v/>
      </c>
      <c r="L496" s="24">
        <f>IF($A496="","",IF(ISNUMBER(I496),K496*I496*1E-4,""))</f>
        <v/>
      </c>
    </row>
    <row r="497">
      <c r="K497" s="24">
        <f>IF($A497="","",IF(F497="AU",(E497-'2_標準曲線'!$I$9)/'2_標準曲線'!$I$8,""))</f>
        <v/>
      </c>
      <c r="L497" s="24">
        <f>IF($A497="","",IF(ISNUMBER(I497),K497*I497*1E-4,""))</f>
        <v/>
      </c>
    </row>
    <row r="498">
      <c r="K498" s="24">
        <f>IF($A498="","",IF(F498="AU",(E498-'2_標準曲線'!$I$9)/'2_標準曲線'!$I$8,""))</f>
        <v/>
      </c>
      <c r="L498" s="24">
        <f>IF($A498="","",IF(ISNUMBER(I498),K498*I498*1E-4,""))</f>
        <v/>
      </c>
    </row>
    <row r="499">
      <c r="K499" s="24">
        <f>IF($A499="","",IF(F499="AU",(E499-'2_標準曲線'!$I$9)/'2_標準曲線'!$I$8,""))</f>
        <v/>
      </c>
      <c r="L499" s="24">
        <f>IF($A499="","",IF(ISNUMBER(I499),K499*I499*1E-4,""))</f>
        <v/>
      </c>
    </row>
    <row r="500">
      <c r="K500" s="24">
        <f>IF($A500="","",IF(F500="AU",(E500-'2_標準曲線'!$I$9)/'2_標準曲線'!$I$8,""))</f>
        <v/>
      </c>
      <c r="L500" s="24">
        <f>IF($A500="","",IF(ISNUMBER(I500),K500*I500*1E-4,""))</f>
        <v/>
      </c>
    </row>
    <row r="501">
      <c r="K501" s="24">
        <f>IF($A501="","",IF(F501="AU",(E501-'2_標準曲線'!$I$9)/'2_標準曲線'!$I$8,""))</f>
        <v/>
      </c>
      <c r="L501" s="24">
        <f>IF($A501="","",IF(ISNUMBER(I501),K501*I501*1E-4,""))</f>
        <v/>
      </c>
    </row>
    <row r="502">
      <c r="K502" s="24">
        <f>IF($A502="","",IF(F502="AU",(E502-'2_標準曲線'!$I$9)/'2_標準曲線'!$I$8,""))</f>
        <v/>
      </c>
      <c r="L502" s="24">
        <f>IF($A502="","",IF(ISNUMBER(I502),K502*I502*1E-4,""))</f>
        <v/>
      </c>
    </row>
    <row r="503">
      <c r="K503" s="24">
        <f>IF($A503="","",IF(F503="AU",(E503-'2_標準曲線'!$I$9)/'2_標準曲線'!$I$8,""))</f>
        <v/>
      </c>
      <c r="L503" s="24">
        <f>IF($A503="","",IF(ISNUMBER(I503),K503*I503*1E-4,""))</f>
        <v/>
      </c>
    </row>
    <row r="504">
      <c r="K504" s="24">
        <f>IF($A504="","",IF(F504="AU",(E504-'2_標準曲線'!$I$9)/'2_標準曲線'!$I$8,""))</f>
        <v/>
      </c>
      <c r="L504" s="24">
        <f>IF($A504="","",IF(ISNUMBER(I504),K504*I504*1E-4,""))</f>
        <v/>
      </c>
    </row>
    <row r="505">
      <c r="K505" s="24">
        <f>IF($A505="","",IF(F505="AU",(E505-'2_標準曲線'!$I$9)/'2_標準曲線'!$I$8,""))</f>
        <v/>
      </c>
      <c r="L505" s="24">
        <f>IF($A505="","",IF(ISNUMBER(I505),K505*I505*1E-4,""))</f>
        <v/>
      </c>
    </row>
    <row r="506">
      <c r="K506" s="24">
        <f>IF($A506="","",IF(F506="AU",(E506-'2_標準曲線'!$I$9)/'2_標準曲線'!$I$8,""))</f>
        <v/>
      </c>
      <c r="L506" s="24">
        <f>IF($A506="","",IF(ISNUMBER(I506),K506*I506*1E-4,""))</f>
        <v/>
      </c>
    </row>
    <row r="507">
      <c r="K507" s="24">
        <f>IF($A507="","",IF(F507="AU",(E507-'2_標準曲線'!$I$9)/'2_標準曲線'!$I$8,""))</f>
        <v/>
      </c>
      <c r="L507" s="24">
        <f>IF($A507="","",IF(ISNUMBER(I507),K507*I507*1E-4,""))</f>
        <v/>
      </c>
    </row>
    <row r="508">
      <c r="K508" s="24">
        <f>IF($A508="","",IF(F508="AU",(E508-'2_標準曲線'!$I$9)/'2_標準曲線'!$I$8,""))</f>
        <v/>
      </c>
      <c r="L508" s="24">
        <f>IF($A508="","",IF(ISNUMBER(I508),K508*I508*1E-4,""))</f>
        <v/>
      </c>
    </row>
    <row r="509">
      <c r="K509" s="24">
        <f>IF($A509="","",IF(F509="AU",(E509-'2_標準曲線'!$I$9)/'2_標準曲線'!$I$8,""))</f>
        <v/>
      </c>
      <c r="L509" s="24">
        <f>IF($A509="","",IF(ISNUMBER(I509),K509*I509*1E-4,""))</f>
        <v/>
      </c>
    </row>
    <row r="510">
      <c r="K510" s="24">
        <f>IF($A510="","",IF(F510="AU",(E510-'2_標準曲線'!$I$9)/'2_標準曲線'!$I$8,""))</f>
        <v/>
      </c>
      <c r="L510" s="24">
        <f>IF($A510="","",IF(ISNUMBER(I510),K510*I510*1E-4,""))</f>
        <v/>
      </c>
    </row>
    <row r="511">
      <c r="K511" s="24">
        <f>IF($A511="","",IF(F511="AU",(E511-'2_標準曲線'!$I$9)/'2_標準曲線'!$I$8,""))</f>
        <v/>
      </c>
      <c r="L511" s="24">
        <f>IF($A511="","",IF(ISNUMBER(I511),K511*I511*1E-4,""))</f>
        <v/>
      </c>
    </row>
    <row r="512">
      <c r="K512" s="24">
        <f>IF($A512="","",IF(F512="AU",(E512-'2_標準曲線'!$I$9)/'2_標準曲線'!$I$8,""))</f>
        <v/>
      </c>
      <c r="L512" s="24">
        <f>IF($A512="","",IF(ISNUMBER(I512),K512*I512*1E-4,""))</f>
        <v/>
      </c>
    </row>
    <row r="513">
      <c r="K513" s="24">
        <f>IF($A513="","",IF(F513="AU",(E513-'2_標準曲線'!$I$9)/'2_標準曲線'!$I$8,""))</f>
        <v/>
      </c>
      <c r="L513" s="24">
        <f>IF($A513="","",IF(ISNUMBER(I513),K513*I513*1E-4,""))</f>
        <v/>
      </c>
    </row>
    <row r="514">
      <c r="K514" s="24">
        <f>IF($A514="","",IF(F514="AU",(E514-'2_標準曲線'!$I$9)/'2_標準曲線'!$I$8,""))</f>
        <v/>
      </c>
      <c r="L514" s="24">
        <f>IF($A514="","",IF(ISNUMBER(I514),K514*I514*1E-4,""))</f>
        <v/>
      </c>
    </row>
    <row r="515">
      <c r="K515" s="24">
        <f>IF($A515="","",IF(F515="AU",(E515-'2_標準曲線'!$I$9)/'2_標準曲線'!$I$8,""))</f>
        <v/>
      </c>
      <c r="L515" s="24">
        <f>IF($A515="","",IF(ISNUMBER(I515),K515*I515*1E-4,""))</f>
        <v/>
      </c>
    </row>
    <row r="516">
      <c r="K516" s="24">
        <f>IF($A516="","",IF(F516="AU",(E516-'2_標準曲線'!$I$9)/'2_標準曲線'!$I$8,""))</f>
        <v/>
      </c>
      <c r="L516" s="24">
        <f>IF($A516="","",IF(ISNUMBER(I516),K516*I516*1E-4,""))</f>
        <v/>
      </c>
    </row>
    <row r="517">
      <c r="K517" s="24">
        <f>IF($A517="","",IF(F517="AU",(E517-'2_標準曲線'!$I$9)/'2_標準曲線'!$I$8,""))</f>
        <v/>
      </c>
      <c r="L517" s="24">
        <f>IF($A517="","",IF(ISNUMBER(I517),K517*I517*1E-4,""))</f>
        <v/>
      </c>
    </row>
    <row r="518">
      <c r="K518" s="24">
        <f>IF($A518="","",IF(F518="AU",(E518-'2_標準曲線'!$I$9)/'2_標準曲線'!$I$8,""))</f>
        <v/>
      </c>
      <c r="L518" s="24">
        <f>IF($A518="","",IF(ISNUMBER(I518),K518*I518*1E-4,""))</f>
        <v/>
      </c>
    </row>
    <row r="519">
      <c r="K519" s="24">
        <f>IF($A519="","",IF(F519="AU",(E519-'2_標準曲線'!$I$9)/'2_標準曲線'!$I$8,""))</f>
        <v/>
      </c>
      <c r="L519" s="24">
        <f>IF($A519="","",IF(ISNUMBER(I519),K519*I519*1E-4,""))</f>
        <v/>
      </c>
    </row>
    <row r="520">
      <c r="K520" s="24">
        <f>IF($A520="","",IF(F520="AU",(E520-'2_標準曲線'!$I$9)/'2_標準曲線'!$I$8,""))</f>
        <v/>
      </c>
      <c r="L520" s="24">
        <f>IF($A520="","",IF(ISNUMBER(I520),K520*I520*1E-4,""))</f>
        <v/>
      </c>
    </row>
    <row r="521">
      <c r="K521" s="24">
        <f>IF($A521="","",IF(F521="AU",(E521-'2_標準曲線'!$I$9)/'2_標準曲線'!$I$8,""))</f>
        <v/>
      </c>
      <c r="L521" s="24">
        <f>IF($A521="","",IF(ISNUMBER(I521),K521*I521*1E-4,""))</f>
        <v/>
      </c>
    </row>
    <row r="522">
      <c r="K522" s="24">
        <f>IF($A522="","",IF(F522="AU",(E522-'2_標準曲線'!$I$9)/'2_標準曲線'!$I$8,""))</f>
        <v/>
      </c>
      <c r="L522" s="24">
        <f>IF($A522="","",IF(ISNUMBER(I522),K522*I522*1E-4,""))</f>
        <v/>
      </c>
    </row>
    <row r="523">
      <c r="K523" s="24">
        <f>IF($A523="","",IF(F523="AU",(E523-'2_標準曲線'!$I$9)/'2_標準曲線'!$I$8,""))</f>
        <v/>
      </c>
      <c r="L523" s="24">
        <f>IF($A523="","",IF(ISNUMBER(I523),K523*I523*1E-4,""))</f>
        <v/>
      </c>
    </row>
    <row r="524">
      <c r="K524" s="24">
        <f>IF($A524="","",IF(F524="AU",(E524-'2_標準曲線'!$I$9)/'2_標準曲線'!$I$8,""))</f>
        <v/>
      </c>
      <c r="L524" s="24">
        <f>IF($A524="","",IF(ISNUMBER(I524),K524*I524*1E-4,""))</f>
        <v/>
      </c>
    </row>
    <row r="525">
      <c r="K525" s="24">
        <f>IF($A525="","",IF(F525="AU",(E525-'2_標準曲線'!$I$9)/'2_標準曲線'!$I$8,""))</f>
        <v/>
      </c>
      <c r="L525" s="24">
        <f>IF($A525="","",IF(ISNUMBER(I525),K525*I525*1E-4,""))</f>
        <v/>
      </c>
    </row>
    <row r="526">
      <c r="K526" s="24">
        <f>IF($A526="","",IF(F526="AU",(E526-'2_標準曲線'!$I$9)/'2_標準曲線'!$I$8,""))</f>
        <v/>
      </c>
      <c r="L526" s="24">
        <f>IF($A526="","",IF(ISNUMBER(I526),K526*I526*1E-4,""))</f>
        <v/>
      </c>
    </row>
    <row r="527">
      <c r="K527" s="24">
        <f>IF($A527="","",IF(F527="AU",(E527-'2_標準曲線'!$I$9)/'2_標準曲線'!$I$8,""))</f>
        <v/>
      </c>
      <c r="L527" s="24">
        <f>IF($A527="","",IF(ISNUMBER(I527),K527*I527*1E-4,""))</f>
        <v/>
      </c>
    </row>
    <row r="528">
      <c r="K528" s="24">
        <f>IF($A528="","",IF(F528="AU",(E528-'2_標準曲線'!$I$9)/'2_標準曲線'!$I$8,""))</f>
        <v/>
      </c>
      <c r="L528" s="24">
        <f>IF($A528="","",IF(ISNUMBER(I528),K528*I528*1E-4,""))</f>
        <v/>
      </c>
    </row>
    <row r="529">
      <c r="K529" s="24">
        <f>IF($A529="","",IF(F529="AU",(E529-'2_標準曲線'!$I$9)/'2_標準曲線'!$I$8,""))</f>
        <v/>
      </c>
      <c r="L529" s="24">
        <f>IF($A529="","",IF(ISNUMBER(I529),K529*I529*1E-4,""))</f>
        <v/>
      </c>
    </row>
    <row r="530">
      <c r="K530" s="24">
        <f>IF($A530="","",IF(F530="AU",(E530-'2_標準曲線'!$I$9)/'2_標準曲線'!$I$8,""))</f>
        <v/>
      </c>
      <c r="L530" s="24">
        <f>IF($A530="","",IF(ISNUMBER(I530),K530*I530*1E-4,""))</f>
        <v/>
      </c>
    </row>
    <row r="531">
      <c r="K531" s="24">
        <f>IF($A531="","",IF(F531="AU",(E531-'2_標準曲線'!$I$9)/'2_標準曲線'!$I$8,""))</f>
        <v/>
      </c>
      <c r="L531" s="24">
        <f>IF($A531="","",IF(ISNUMBER(I531),K531*I531*1E-4,""))</f>
        <v/>
      </c>
    </row>
    <row r="532">
      <c r="K532" s="24">
        <f>IF($A532="","",IF(F532="AU",(E532-'2_標準曲線'!$I$9)/'2_標準曲線'!$I$8,""))</f>
        <v/>
      </c>
      <c r="L532" s="24">
        <f>IF($A532="","",IF(ISNUMBER(I532),K532*I532*1E-4,""))</f>
        <v/>
      </c>
    </row>
    <row r="533">
      <c r="K533" s="24">
        <f>IF($A533="","",IF(F533="AU",(E533-'2_標準曲線'!$I$9)/'2_標準曲線'!$I$8,""))</f>
        <v/>
      </c>
      <c r="L533" s="24">
        <f>IF($A533="","",IF(ISNUMBER(I533),K533*I533*1E-4,""))</f>
        <v/>
      </c>
    </row>
    <row r="534">
      <c r="K534" s="24">
        <f>IF($A534="","",IF(F534="AU",(E534-'2_標準曲線'!$I$9)/'2_標準曲線'!$I$8,""))</f>
        <v/>
      </c>
      <c r="L534" s="24">
        <f>IF($A534="","",IF(ISNUMBER(I534),K534*I534*1E-4,""))</f>
        <v/>
      </c>
    </row>
    <row r="535">
      <c r="K535" s="24">
        <f>IF($A535="","",IF(F535="AU",(E535-'2_標準曲線'!$I$9)/'2_標準曲線'!$I$8,""))</f>
        <v/>
      </c>
      <c r="L535" s="24">
        <f>IF($A535="","",IF(ISNUMBER(I535),K535*I535*1E-4,""))</f>
        <v/>
      </c>
    </row>
    <row r="536">
      <c r="K536" s="24">
        <f>IF($A536="","",IF(F536="AU",(E536-'2_標準曲線'!$I$9)/'2_標準曲線'!$I$8,""))</f>
        <v/>
      </c>
      <c r="L536" s="24">
        <f>IF($A536="","",IF(ISNUMBER(I536),K536*I536*1E-4,""))</f>
        <v/>
      </c>
    </row>
    <row r="537">
      <c r="K537" s="24">
        <f>IF($A537="","",IF(F537="AU",(E537-'2_標準曲線'!$I$9)/'2_標準曲線'!$I$8,""))</f>
        <v/>
      </c>
      <c r="L537" s="24">
        <f>IF($A537="","",IF(ISNUMBER(I537),K537*I537*1E-4,""))</f>
        <v/>
      </c>
    </row>
    <row r="538">
      <c r="K538" s="24">
        <f>IF($A538="","",IF(F538="AU",(E538-'2_標準曲線'!$I$9)/'2_標準曲線'!$I$8,""))</f>
        <v/>
      </c>
      <c r="L538" s="24">
        <f>IF($A538="","",IF(ISNUMBER(I538),K538*I538*1E-4,""))</f>
        <v/>
      </c>
    </row>
    <row r="539">
      <c r="K539" s="24">
        <f>IF($A539="","",IF(F539="AU",(E539-'2_標準曲線'!$I$9)/'2_標準曲線'!$I$8,""))</f>
        <v/>
      </c>
      <c r="L539" s="24">
        <f>IF($A539="","",IF(ISNUMBER(I539),K539*I539*1E-4,""))</f>
        <v/>
      </c>
    </row>
    <row r="540">
      <c r="K540" s="24">
        <f>IF($A540="","",IF(F540="AU",(E540-'2_標準曲線'!$I$9)/'2_標準曲線'!$I$8,""))</f>
        <v/>
      </c>
      <c r="L540" s="24">
        <f>IF($A540="","",IF(ISNUMBER(I540),K540*I540*1E-4,""))</f>
        <v/>
      </c>
    </row>
    <row r="541">
      <c r="K541" s="24">
        <f>IF($A541="","",IF(F541="AU",(E541-'2_標準曲線'!$I$9)/'2_標準曲線'!$I$8,""))</f>
        <v/>
      </c>
      <c r="L541" s="24">
        <f>IF($A541="","",IF(ISNUMBER(I541),K541*I541*1E-4,""))</f>
        <v/>
      </c>
    </row>
    <row r="542">
      <c r="K542" s="24">
        <f>IF($A542="","",IF(F542="AU",(E542-'2_標準曲線'!$I$9)/'2_標準曲線'!$I$8,""))</f>
        <v/>
      </c>
      <c r="L542" s="24">
        <f>IF($A542="","",IF(ISNUMBER(I542),K542*I542*1E-4,""))</f>
        <v/>
      </c>
    </row>
    <row r="543">
      <c r="K543" s="24">
        <f>IF($A543="","",IF(F543="AU",(E543-'2_標準曲線'!$I$9)/'2_標準曲線'!$I$8,""))</f>
        <v/>
      </c>
      <c r="L543" s="24">
        <f>IF($A543="","",IF(ISNUMBER(I543),K543*I543*1E-4,""))</f>
        <v/>
      </c>
    </row>
    <row r="544">
      <c r="K544" s="24">
        <f>IF($A544="","",IF(F544="AU",(E544-'2_標準曲線'!$I$9)/'2_標準曲線'!$I$8,""))</f>
        <v/>
      </c>
      <c r="L544" s="24">
        <f>IF($A544="","",IF(ISNUMBER(I544),K544*I544*1E-4,""))</f>
        <v/>
      </c>
    </row>
    <row r="545">
      <c r="K545" s="24">
        <f>IF($A545="","",IF(F545="AU",(E545-'2_標準曲線'!$I$9)/'2_標準曲線'!$I$8,""))</f>
        <v/>
      </c>
      <c r="L545" s="24">
        <f>IF($A545="","",IF(ISNUMBER(I545),K545*I545*1E-4,""))</f>
        <v/>
      </c>
    </row>
    <row r="546">
      <c r="K546" s="24">
        <f>IF($A546="","",IF(F546="AU",(E546-'2_標準曲線'!$I$9)/'2_標準曲線'!$I$8,""))</f>
        <v/>
      </c>
      <c r="L546" s="24">
        <f>IF($A546="","",IF(ISNUMBER(I546),K546*I546*1E-4,""))</f>
        <v/>
      </c>
    </row>
    <row r="547">
      <c r="K547" s="24">
        <f>IF($A547="","",IF(F547="AU",(E547-'2_標準曲線'!$I$9)/'2_標準曲線'!$I$8,""))</f>
        <v/>
      </c>
      <c r="L547" s="24">
        <f>IF($A547="","",IF(ISNUMBER(I547),K547*I547*1E-4,""))</f>
        <v/>
      </c>
    </row>
    <row r="548">
      <c r="K548" s="24">
        <f>IF($A548="","",IF(F548="AU",(E548-'2_標準曲線'!$I$9)/'2_標準曲線'!$I$8,""))</f>
        <v/>
      </c>
      <c r="L548" s="24">
        <f>IF($A548="","",IF(ISNUMBER(I548),K548*I548*1E-4,""))</f>
        <v/>
      </c>
    </row>
    <row r="549">
      <c r="K549" s="24">
        <f>IF($A549="","",IF(F549="AU",(E549-'2_標準曲線'!$I$9)/'2_標準曲線'!$I$8,""))</f>
        <v/>
      </c>
      <c r="L549" s="24">
        <f>IF($A549="","",IF(ISNUMBER(I549),K549*I549*1E-4,""))</f>
        <v/>
      </c>
    </row>
    <row r="550">
      <c r="K550" s="24">
        <f>IF($A550="","",IF(F550="AU",(E550-'2_標準曲線'!$I$9)/'2_標準曲線'!$I$8,""))</f>
        <v/>
      </c>
      <c r="L550" s="24">
        <f>IF($A550="","",IF(ISNUMBER(I550),K550*I550*1E-4,""))</f>
        <v/>
      </c>
    </row>
    <row r="551">
      <c r="K551" s="24">
        <f>IF($A551="","",IF(F551="AU",(E551-'2_標準曲線'!$I$9)/'2_標準曲線'!$I$8,""))</f>
        <v/>
      </c>
      <c r="L551" s="24">
        <f>IF($A551="","",IF(ISNUMBER(I551),K551*I551*1E-4,""))</f>
        <v/>
      </c>
    </row>
    <row r="552">
      <c r="K552" s="24">
        <f>IF($A552="","",IF(F552="AU",(E552-'2_標準曲線'!$I$9)/'2_標準曲線'!$I$8,""))</f>
        <v/>
      </c>
      <c r="L552" s="24">
        <f>IF($A552="","",IF(ISNUMBER(I552),K552*I552*1E-4,""))</f>
        <v/>
      </c>
    </row>
    <row r="553">
      <c r="K553" s="24">
        <f>IF($A553="","",IF(F553="AU",(E553-'2_標準曲線'!$I$9)/'2_標準曲線'!$I$8,""))</f>
        <v/>
      </c>
      <c r="L553" s="24">
        <f>IF($A553="","",IF(ISNUMBER(I553),K553*I553*1E-4,""))</f>
        <v/>
      </c>
    </row>
    <row r="554">
      <c r="K554" s="24">
        <f>IF($A554="","",IF(F554="AU",(E554-'2_標準曲線'!$I$9)/'2_標準曲線'!$I$8,""))</f>
        <v/>
      </c>
      <c r="L554" s="24">
        <f>IF($A554="","",IF(ISNUMBER(I554),K554*I554*1E-4,""))</f>
        <v/>
      </c>
    </row>
    <row r="555">
      <c r="K555" s="24">
        <f>IF($A555="","",IF(F555="AU",(E555-'2_標準曲線'!$I$9)/'2_標準曲線'!$I$8,""))</f>
        <v/>
      </c>
      <c r="L555" s="24">
        <f>IF($A555="","",IF(ISNUMBER(I555),K555*I555*1E-4,""))</f>
        <v/>
      </c>
    </row>
    <row r="556">
      <c r="K556" s="24">
        <f>IF($A556="","",IF(F556="AU",(E556-'2_標準曲線'!$I$9)/'2_標準曲線'!$I$8,""))</f>
        <v/>
      </c>
      <c r="L556" s="24">
        <f>IF($A556="","",IF(ISNUMBER(I556),K556*I556*1E-4,""))</f>
        <v/>
      </c>
    </row>
    <row r="557">
      <c r="K557" s="24">
        <f>IF($A557="","",IF(F557="AU",(E557-'2_標準曲線'!$I$9)/'2_標準曲線'!$I$8,""))</f>
        <v/>
      </c>
      <c r="L557" s="24">
        <f>IF($A557="","",IF(ISNUMBER(I557),K557*I557*1E-4,""))</f>
        <v/>
      </c>
    </row>
    <row r="558">
      <c r="K558" s="24">
        <f>IF($A558="","",IF(F558="AU",(E558-'2_標準曲線'!$I$9)/'2_標準曲線'!$I$8,""))</f>
        <v/>
      </c>
      <c r="L558" s="24">
        <f>IF($A558="","",IF(ISNUMBER(I558),K558*I558*1E-4,""))</f>
        <v/>
      </c>
    </row>
    <row r="559">
      <c r="K559" s="24">
        <f>IF($A559="","",IF(F559="AU",(E559-'2_標準曲線'!$I$9)/'2_標準曲線'!$I$8,""))</f>
        <v/>
      </c>
      <c r="L559" s="24">
        <f>IF($A559="","",IF(ISNUMBER(I559),K559*I559*1E-4,""))</f>
        <v/>
      </c>
    </row>
    <row r="560">
      <c r="K560" s="24">
        <f>IF($A560="","",IF(F560="AU",(E560-'2_標準曲線'!$I$9)/'2_標準曲線'!$I$8,""))</f>
        <v/>
      </c>
      <c r="L560" s="24">
        <f>IF($A560="","",IF(ISNUMBER(I560),K560*I560*1E-4,""))</f>
        <v/>
      </c>
    </row>
    <row r="561">
      <c r="K561" s="24">
        <f>IF($A561="","",IF(F561="AU",(E561-'2_標準曲線'!$I$9)/'2_標準曲線'!$I$8,""))</f>
        <v/>
      </c>
      <c r="L561" s="24">
        <f>IF($A561="","",IF(ISNUMBER(I561),K561*I561*1E-4,""))</f>
        <v/>
      </c>
    </row>
    <row r="562">
      <c r="K562" s="24">
        <f>IF($A562="","",IF(F562="AU",(E562-'2_標準曲線'!$I$9)/'2_標準曲線'!$I$8,""))</f>
        <v/>
      </c>
      <c r="L562" s="24">
        <f>IF($A562="","",IF(ISNUMBER(I562),K562*I562*1E-4,""))</f>
        <v/>
      </c>
    </row>
    <row r="563">
      <c r="K563" s="24">
        <f>IF($A563="","",IF(F563="AU",(E563-'2_標準曲線'!$I$9)/'2_標準曲線'!$I$8,""))</f>
        <v/>
      </c>
      <c r="L563" s="24">
        <f>IF($A563="","",IF(ISNUMBER(I563),K563*I563*1E-4,""))</f>
        <v/>
      </c>
    </row>
    <row r="564">
      <c r="K564" s="24">
        <f>IF($A564="","",IF(F564="AU",(E564-'2_標準曲線'!$I$9)/'2_標準曲線'!$I$8,""))</f>
        <v/>
      </c>
      <c r="L564" s="24">
        <f>IF($A564="","",IF(ISNUMBER(I564),K564*I564*1E-4,""))</f>
        <v/>
      </c>
    </row>
    <row r="565">
      <c r="K565" s="24">
        <f>IF($A565="","",IF(F565="AU",(E565-'2_標準曲線'!$I$9)/'2_標準曲線'!$I$8,""))</f>
        <v/>
      </c>
      <c r="L565" s="24">
        <f>IF($A565="","",IF(ISNUMBER(I565),K565*I565*1E-4,""))</f>
        <v/>
      </c>
    </row>
    <row r="566">
      <c r="K566" s="24">
        <f>IF($A566="","",IF(F566="AU",(E566-'2_標準曲線'!$I$9)/'2_標準曲線'!$I$8,""))</f>
        <v/>
      </c>
      <c r="L566" s="24">
        <f>IF($A566="","",IF(ISNUMBER(I566),K566*I566*1E-4,""))</f>
        <v/>
      </c>
    </row>
    <row r="567">
      <c r="K567" s="24">
        <f>IF($A567="","",IF(F567="AU",(E567-'2_標準曲線'!$I$9)/'2_標準曲線'!$I$8,""))</f>
        <v/>
      </c>
      <c r="L567" s="24">
        <f>IF($A567="","",IF(ISNUMBER(I567),K567*I567*1E-4,""))</f>
        <v/>
      </c>
    </row>
    <row r="568">
      <c r="K568" s="24">
        <f>IF($A568="","",IF(F568="AU",(E568-'2_標準曲線'!$I$9)/'2_標準曲線'!$I$8,""))</f>
        <v/>
      </c>
      <c r="L568" s="24">
        <f>IF($A568="","",IF(ISNUMBER(I568),K568*I568*1E-4,""))</f>
        <v/>
      </c>
    </row>
    <row r="569">
      <c r="K569" s="24">
        <f>IF($A569="","",IF(F569="AU",(E569-'2_標準曲線'!$I$9)/'2_標準曲線'!$I$8,""))</f>
        <v/>
      </c>
      <c r="L569" s="24">
        <f>IF($A569="","",IF(ISNUMBER(I569),K569*I569*1E-4,""))</f>
        <v/>
      </c>
    </row>
    <row r="570">
      <c r="K570" s="24">
        <f>IF($A570="","",IF(F570="AU",(E570-'2_標準曲線'!$I$9)/'2_標準曲線'!$I$8,""))</f>
        <v/>
      </c>
      <c r="L570" s="24">
        <f>IF($A570="","",IF(ISNUMBER(I570),K570*I570*1E-4,""))</f>
        <v/>
      </c>
    </row>
    <row r="571">
      <c r="K571" s="24">
        <f>IF($A571="","",IF(F571="AU",(E571-'2_標準曲線'!$I$9)/'2_標準曲線'!$I$8,""))</f>
        <v/>
      </c>
      <c r="L571" s="24">
        <f>IF($A571="","",IF(ISNUMBER(I571),K571*I571*1E-4,""))</f>
        <v/>
      </c>
    </row>
    <row r="572">
      <c r="K572" s="24">
        <f>IF($A572="","",IF(F572="AU",(E572-'2_標準曲線'!$I$9)/'2_標準曲線'!$I$8,""))</f>
        <v/>
      </c>
      <c r="L572" s="24">
        <f>IF($A572="","",IF(ISNUMBER(I572),K572*I572*1E-4,""))</f>
        <v/>
      </c>
    </row>
    <row r="573">
      <c r="K573" s="24">
        <f>IF($A573="","",IF(F573="AU",(E573-'2_標準曲線'!$I$9)/'2_標準曲線'!$I$8,""))</f>
        <v/>
      </c>
      <c r="L573" s="24">
        <f>IF($A573="","",IF(ISNUMBER(I573),K573*I573*1E-4,""))</f>
        <v/>
      </c>
    </row>
    <row r="574">
      <c r="K574" s="24">
        <f>IF($A574="","",IF(F574="AU",(E574-'2_標準曲線'!$I$9)/'2_標準曲線'!$I$8,""))</f>
        <v/>
      </c>
      <c r="L574" s="24">
        <f>IF($A574="","",IF(ISNUMBER(I574),K574*I574*1E-4,""))</f>
        <v/>
      </c>
    </row>
    <row r="575">
      <c r="K575" s="24">
        <f>IF($A575="","",IF(F575="AU",(E575-'2_標準曲線'!$I$9)/'2_標準曲線'!$I$8,""))</f>
        <v/>
      </c>
      <c r="L575" s="24">
        <f>IF($A575="","",IF(ISNUMBER(I575),K575*I575*1E-4,""))</f>
        <v/>
      </c>
    </row>
    <row r="576">
      <c r="K576" s="24">
        <f>IF($A576="","",IF(F576="AU",(E576-'2_標準曲線'!$I$9)/'2_標準曲線'!$I$8,""))</f>
        <v/>
      </c>
      <c r="L576" s="24">
        <f>IF($A576="","",IF(ISNUMBER(I576),K576*I576*1E-4,""))</f>
        <v/>
      </c>
    </row>
    <row r="577">
      <c r="K577" s="24">
        <f>IF($A577="","",IF(F577="AU",(E577-'2_標準曲線'!$I$9)/'2_標準曲線'!$I$8,""))</f>
        <v/>
      </c>
      <c r="L577" s="24">
        <f>IF($A577="","",IF(ISNUMBER(I577),K577*I577*1E-4,""))</f>
        <v/>
      </c>
    </row>
    <row r="578">
      <c r="K578" s="24">
        <f>IF($A578="","",IF(F578="AU",(E578-'2_標準曲線'!$I$9)/'2_標準曲線'!$I$8,""))</f>
        <v/>
      </c>
      <c r="L578" s="24">
        <f>IF($A578="","",IF(ISNUMBER(I578),K578*I578*1E-4,""))</f>
        <v/>
      </c>
    </row>
    <row r="579">
      <c r="K579" s="24">
        <f>IF($A579="","",IF(F579="AU",(E579-'2_標準曲線'!$I$9)/'2_標準曲線'!$I$8,""))</f>
        <v/>
      </c>
      <c r="L579" s="24">
        <f>IF($A579="","",IF(ISNUMBER(I579),K579*I579*1E-4,""))</f>
        <v/>
      </c>
    </row>
    <row r="580">
      <c r="K580" s="24">
        <f>IF($A580="","",IF(F580="AU",(E580-'2_標準曲線'!$I$9)/'2_標準曲線'!$I$8,""))</f>
        <v/>
      </c>
      <c r="L580" s="24">
        <f>IF($A580="","",IF(ISNUMBER(I580),K580*I580*1E-4,""))</f>
        <v/>
      </c>
    </row>
    <row r="581">
      <c r="K581" s="24">
        <f>IF($A581="","",IF(F581="AU",(E581-'2_標準曲線'!$I$9)/'2_標準曲線'!$I$8,""))</f>
        <v/>
      </c>
      <c r="L581" s="24">
        <f>IF($A581="","",IF(ISNUMBER(I581),K581*I581*1E-4,""))</f>
        <v/>
      </c>
    </row>
    <row r="582">
      <c r="K582" s="24">
        <f>IF($A582="","",IF(F582="AU",(E582-'2_標準曲線'!$I$9)/'2_標準曲線'!$I$8,""))</f>
        <v/>
      </c>
      <c r="L582" s="24">
        <f>IF($A582="","",IF(ISNUMBER(I582),K582*I582*1E-4,""))</f>
        <v/>
      </c>
    </row>
    <row r="583">
      <c r="K583" s="24">
        <f>IF($A583="","",IF(F583="AU",(E583-'2_標準曲線'!$I$9)/'2_標準曲線'!$I$8,""))</f>
        <v/>
      </c>
      <c r="L583" s="24">
        <f>IF($A583="","",IF(ISNUMBER(I583),K583*I583*1E-4,""))</f>
        <v/>
      </c>
    </row>
    <row r="584">
      <c r="K584" s="24">
        <f>IF($A584="","",IF(F584="AU",(E584-'2_標準曲線'!$I$9)/'2_標準曲線'!$I$8,""))</f>
        <v/>
      </c>
      <c r="L584" s="24">
        <f>IF($A584="","",IF(ISNUMBER(I584),K584*I584*1E-4,""))</f>
        <v/>
      </c>
    </row>
    <row r="585">
      <c r="K585" s="24">
        <f>IF($A585="","",IF(F585="AU",(E585-'2_標準曲線'!$I$9)/'2_標準曲線'!$I$8,""))</f>
        <v/>
      </c>
      <c r="L585" s="24">
        <f>IF($A585="","",IF(ISNUMBER(I585),K585*I585*1E-4,""))</f>
        <v/>
      </c>
    </row>
    <row r="586">
      <c r="K586" s="24">
        <f>IF($A586="","",IF(F586="AU",(E586-'2_標準曲線'!$I$9)/'2_標準曲線'!$I$8,""))</f>
        <v/>
      </c>
      <c r="L586" s="24">
        <f>IF($A586="","",IF(ISNUMBER(I586),K586*I586*1E-4,""))</f>
        <v/>
      </c>
    </row>
    <row r="587">
      <c r="K587" s="24">
        <f>IF($A587="","",IF(F587="AU",(E587-'2_標準曲線'!$I$9)/'2_標準曲線'!$I$8,""))</f>
        <v/>
      </c>
      <c r="L587" s="24">
        <f>IF($A587="","",IF(ISNUMBER(I587),K587*I587*1E-4,""))</f>
        <v/>
      </c>
    </row>
    <row r="588">
      <c r="K588" s="24">
        <f>IF($A588="","",IF(F588="AU",(E588-'2_標準曲線'!$I$9)/'2_標準曲線'!$I$8,""))</f>
        <v/>
      </c>
      <c r="L588" s="24">
        <f>IF($A588="","",IF(ISNUMBER(I588),K588*I588*1E-4,""))</f>
        <v/>
      </c>
    </row>
    <row r="589">
      <c r="K589" s="24">
        <f>IF($A589="","",IF(F589="AU",(E589-'2_標準曲線'!$I$9)/'2_標準曲線'!$I$8,""))</f>
        <v/>
      </c>
      <c r="L589" s="24">
        <f>IF($A589="","",IF(ISNUMBER(I589),K589*I589*1E-4,""))</f>
        <v/>
      </c>
    </row>
    <row r="590">
      <c r="K590" s="24">
        <f>IF($A590="","",IF(F590="AU",(E590-'2_標準曲線'!$I$9)/'2_標準曲線'!$I$8,""))</f>
        <v/>
      </c>
      <c r="L590" s="24">
        <f>IF($A590="","",IF(ISNUMBER(I590),K590*I590*1E-4,""))</f>
        <v/>
      </c>
    </row>
    <row r="591">
      <c r="K591" s="24">
        <f>IF($A591="","",IF(F591="AU",(E591-'2_標準曲線'!$I$9)/'2_標準曲線'!$I$8,""))</f>
        <v/>
      </c>
      <c r="L591" s="24">
        <f>IF($A591="","",IF(ISNUMBER(I591),K591*I591*1E-4,""))</f>
        <v/>
      </c>
    </row>
    <row r="592">
      <c r="K592" s="24">
        <f>IF($A592="","",IF(F592="AU",(E592-'2_標準曲線'!$I$9)/'2_標準曲線'!$I$8,""))</f>
        <v/>
      </c>
      <c r="L592" s="24">
        <f>IF($A592="","",IF(ISNUMBER(I592),K592*I592*1E-4,""))</f>
        <v/>
      </c>
    </row>
    <row r="593">
      <c r="K593" s="24">
        <f>IF($A593="","",IF(F593="AU",(E593-'2_標準曲線'!$I$9)/'2_標準曲線'!$I$8,""))</f>
        <v/>
      </c>
      <c r="L593" s="24">
        <f>IF($A593="","",IF(ISNUMBER(I593),K593*I593*1E-4,""))</f>
        <v/>
      </c>
    </row>
    <row r="594">
      <c r="K594" s="24">
        <f>IF($A594="","",IF(F594="AU",(E594-'2_標準曲線'!$I$9)/'2_標準曲線'!$I$8,""))</f>
        <v/>
      </c>
      <c r="L594" s="24">
        <f>IF($A594="","",IF(ISNUMBER(I594),K594*I594*1E-4,""))</f>
        <v/>
      </c>
    </row>
    <row r="595">
      <c r="K595" s="24">
        <f>IF($A595="","",IF(F595="AU",(E595-'2_標準曲線'!$I$9)/'2_標準曲線'!$I$8,""))</f>
        <v/>
      </c>
      <c r="L595" s="24">
        <f>IF($A595="","",IF(ISNUMBER(I595),K595*I595*1E-4,""))</f>
        <v/>
      </c>
    </row>
    <row r="596">
      <c r="K596" s="24">
        <f>IF($A596="","",IF(F596="AU",(E596-'2_標準曲線'!$I$9)/'2_標準曲線'!$I$8,""))</f>
        <v/>
      </c>
      <c r="L596" s="24">
        <f>IF($A596="","",IF(ISNUMBER(I596),K596*I596*1E-4,""))</f>
        <v/>
      </c>
    </row>
    <row r="597">
      <c r="K597" s="24">
        <f>IF($A597="","",IF(F597="AU",(E597-'2_標準曲線'!$I$9)/'2_標準曲線'!$I$8,""))</f>
        <v/>
      </c>
      <c r="L597" s="24">
        <f>IF($A597="","",IF(ISNUMBER(I597),K597*I597*1E-4,""))</f>
        <v/>
      </c>
    </row>
    <row r="598">
      <c r="K598" s="24">
        <f>IF($A598="","",IF(F598="AU",(E598-'2_標準曲線'!$I$9)/'2_標準曲線'!$I$8,""))</f>
        <v/>
      </c>
      <c r="L598" s="24">
        <f>IF($A598="","",IF(ISNUMBER(I598),K598*I598*1E-4,""))</f>
        <v/>
      </c>
    </row>
    <row r="599">
      <c r="K599" s="24">
        <f>IF($A599="","",IF(F599="AU",(E599-'2_標準曲線'!$I$9)/'2_標準曲線'!$I$8,""))</f>
        <v/>
      </c>
      <c r="L599" s="24">
        <f>IF($A599="","",IF(ISNUMBER(I599),K599*I599*1E-4,""))</f>
        <v/>
      </c>
    </row>
    <row r="600">
      <c r="K600" s="24">
        <f>IF($A600="","",IF(F600="AU",(E600-'2_標準曲線'!$I$9)/'2_標準曲線'!$I$8,""))</f>
        <v/>
      </c>
      <c r="L600" s="24">
        <f>IF($A600="","",IF(ISNUMBER(I600),K600*I600*1E-4,""))</f>
        <v/>
      </c>
    </row>
    <row r="601">
      <c r="K601" s="24">
        <f>IF($A601="","",IF(F601="AU",(E601-'2_標準曲線'!$I$9)/'2_標準曲線'!$I$8,""))</f>
        <v/>
      </c>
      <c r="L601" s="24">
        <f>IF($A601="","",IF(ISNUMBER(I601),K601*I601*1E-4,""))</f>
        <v/>
      </c>
    </row>
    <row r="602">
      <c r="K602" s="24">
        <f>IF($A602="","",IF(F602="AU",(E602-'2_標準曲線'!$I$9)/'2_標準曲線'!$I$8,""))</f>
        <v/>
      </c>
      <c r="L602" s="24">
        <f>IF($A602="","",IF(ISNUMBER(I602),K602*I602*1E-4,""))</f>
        <v/>
      </c>
    </row>
    <row r="603">
      <c r="K603" s="24">
        <f>IF($A603="","",IF(F603="AU",(E603-'2_標準曲線'!$I$9)/'2_標準曲線'!$I$8,""))</f>
        <v/>
      </c>
      <c r="L603" s="24">
        <f>IF($A603="","",IF(ISNUMBER(I603),K603*I603*1E-4,""))</f>
        <v/>
      </c>
    </row>
    <row r="604">
      <c r="K604" s="24">
        <f>IF($A604="","",IF(F604="AU",(E604-'2_標準曲線'!$I$9)/'2_標準曲線'!$I$8,""))</f>
        <v/>
      </c>
      <c r="L604" s="24">
        <f>IF($A604="","",IF(ISNUMBER(I604),K604*I604*1E-4,""))</f>
        <v/>
      </c>
    </row>
    <row r="605">
      <c r="K605" s="24">
        <f>IF($A605="","",IF(F605="AU",(E605-'2_標準曲線'!$I$9)/'2_標準曲線'!$I$8,""))</f>
        <v/>
      </c>
      <c r="L605" s="24">
        <f>IF($A605="","",IF(ISNUMBER(I605),K605*I605*1E-4,""))</f>
        <v/>
      </c>
    </row>
    <row r="606">
      <c r="K606" s="24">
        <f>IF($A606="","",IF(F606="AU",(E606-'2_標準曲線'!$I$9)/'2_標準曲線'!$I$8,""))</f>
        <v/>
      </c>
      <c r="L606" s="24">
        <f>IF($A606="","",IF(ISNUMBER(I606),K606*I606*1E-4,""))</f>
        <v/>
      </c>
    </row>
    <row r="607">
      <c r="K607" s="24">
        <f>IF($A607="","",IF(F607="AU",(E607-'2_標準曲線'!$I$9)/'2_標準曲線'!$I$8,""))</f>
        <v/>
      </c>
      <c r="L607" s="24">
        <f>IF($A607="","",IF(ISNUMBER(I607),K607*I607*1E-4,""))</f>
        <v/>
      </c>
    </row>
    <row r="608">
      <c r="K608" s="24">
        <f>IF($A608="","",IF(F608="AU",(E608-'2_標準曲線'!$I$9)/'2_標準曲線'!$I$8,""))</f>
        <v/>
      </c>
      <c r="L608" s="24">
        <f>IF($A608="","",IF(ISNUMBER(I608),K608*I608*1E-4,""))</f>
        <v/>
      </c>
    </row>
    <row r="609">
      <c r="K609" s="24">
        <f>IF($A609="","",IF(F609="AU",(E609-'2_標準曲線'!$I$9)/'2_標準曲線'!$I$8,""))</f>
        <v/>
      </c>
      <c r="L609" s="24">
        <f>IF($A609="","",IF(ISNUMBER(I609),K609*I609*1E-4,""))</f>
        <v/>
      </c>
    </row>
    <row r="610">
      <c r="K610" s="24">
        <f>IF($A610="","",IF(F610="AU",(E610-'2_標準曲線'!$I$9)/'2_標準曲線'!$I$8,""))</f>
        <v/>
      </c>
      <c r="L610" s="24">
        <f>IF($A610="","",IF(ISNUMBER(I610),K610*I610*1E-4,""))</f>
        <v/>
      </c>
    </row>
    <row r="611">
      <c r="K611" s="24">
        <f>IF($A611="","",IF(F611="AU",(E611-'2_標準曲線'!$I$9)/'2_標準曲線'!$I$8,""))</f>
        <v/>
      </c>
      <c r="L611" s="24">
        <f>IF($A611="","",IF(ISNUMBER(I611),K611*I611*1E-4,""))</f>
        <v/>
      </c>
    </row>
    <row r="612">
      <c r="K612" s="24">
        <f>IF($A612="","",IF(F612="AU",(E612-'2_標準曲線'!$I$9)/'2_標準曲線'!$I$8,""))</f>
        <v/>
      </c>
      <c r="L612" s="24">
        <f>IF($A612="","",IF(ISNUMBER(I612),K612*I612*1E-4,""))</f>
        <v/>
      </c>
    </row>
    <row r="613">
      <c r="K613" s="24">
        <f>IF($A613="","",IF(F613="AU",(E613-'2_標準曲線'!$I$9)/'2_標準曲線'!$I$8,""))</f>
        <v/>
      </c>
      <c r="L613" s="24">
        <f>IF($A613="","",IF(ISNUMBER(I613),K613*I613*1E-4,""))</f>
        <v/>
      </c>
    </row>
    <row r="614">
      <c r="K614" s="24">
        <f>IF($A614="","",IF(F614="AU",(E614-'2_標準曲線'!$I$9)/'2_標準曲線'!$I$8,""))</f>
        <v/>
      </c>
      <c r="L614" s="24">
        <f>IF($A614="","",IF(ISNUMBER(I614),K614*I614*1E-4,""))</f>
        <v/>
      </c>
    </row>
    <row r="615">
      <c r="K615" s="24">
        <f>IF($A615="","",IF(F615="AU",(E615-'2_標準曲線'!$I$9)/'2_標準曲線'!$I$8,""))</f>
        <v/>
      </c>
      <c r="L615" s="24">
        <f>IF($A615="","",IF(ISNUMBER(I615),K615*I615*1E-4,""))</f>
        <v/>
      </c>
    </row>
    <row r="616">
      <c r="K616" s="24">
        <f>IF($A616="","",IF(F616="AU",(E616-'2_標準曲線'!$I$9)/'2_標準曲線'!$I$8,""))</f>
        <v/>
      </c>
      <c r="L616" s="24">
        <f>IF($A616="","",IF(ISNUMBER(I616),K616*I616*1E-4,""))</f>
        <v/>
      </c>
    </row>
    <row r="617">
      <c r="K617" s="24">
        <f>IF($A617="","",IF(F617="AU",(E617-'2_標準曲線'!$I$9)/'2_標準曲線'!$I$8,""))</f>
        <v/>
      </c>
      <c r="L617" s="24">
        <f>IF($A617="","",IF(ISNUMBER(I617),K617*I617*1E-4,""))</f>
        <v/>
      </c>
    </row>
    <row r="618">
      <c r="K618" s="24">
        <f>IF($A618="","",IF(F618="AU",(E618-'2_標準曲線'!$I$9)/'2_標準曲線'!$I$8,""))</f>
        <v/>
      </c>
      <c r="L618" s="24">
        <f>IF($A618="","",IF(ISNUMBER(I618),K618*I618*1E-4,""))</f>
        <v/>
      </c>
    </row>
    <row r="619">
      <c r="K619" s="24">
        <f>IF($A619="","",IF(F619="AU",(E619-'2_標準曲線'!$I$9)/'2_標準曲線'!$I$8,""))</f>
        <v/>
      </c>
      <c r="L619" s="24">
        <f>IF($A619="","",IF(ISNUMBER(I619),K619*I619*1E-4,""))</f>
        <v/>
      </c>
    </row>
    <row r="620">
      <c r="K620" s="24">
        <f>IF($A620="","",IF(F620="AU",(E620-'2_標準曲線'!$I$9)/'2_標準曲線'!$I$8,""))</f>
        <v/>
      </c>
      <c r="L620" s="24">
        <f>IF($A620="","",IF(ISNUMBER(I620),K620*I620*1E-4,""))</f>
        <v/>
      </c>
    </row>
    <row r="621">
      <c r="K621" s="24">
        <f>IF($A621="","",IF(F621="AU",(E621-'2_標準曲線'!$I$9)/'2_標準曲線'!$I$8,""))</f>
        <v/>
      </c>
      <c r="L621" s="24">
        <f>IF($A621="","",IF(ISNUMBER(I621),K621*I621*1E-4,""))</f>
        <v/>
      </c>
    </row>
    <row r="622">
      <c r="K622" s="24">
        <f>IF($A622="","",IF(F622="AU",(E622-'2_標準曲線'!$I$9)/'2_標準曲線'!$I$8,""))</f>
        <v/>
      </c>
      <c r="L622" s="24">
        <f>IF($A622="","",IF(ISNUMBER(I622),K622*I622*1E-4,""))</f>
        <v/>
      </c>
    </row>
    <row r="623">
      <c r="K623" s="24">
        <f>IF($A623="","",IF(F623="AU",(E623-'2_標準曲線'!$I$9)/'2_標準曲線'!$I$8,""))</f>
        <v/>
      </c>
      <c r="L623" s="24">
        <f>IF($A623="","",IF(ISNUMBER(I623),K623*I623*1E-4,""))</f>
        <v/>
      </c>
    </row>
    <row r="624">
      <c r="K624" s="24">
        <f>IF($A624="","",IF(F624="AU",(E624-'2_標準曲線'!$I$9)/'2_標準曲線'!$I$8,""))</f>
        <v/>
      </c>
      <c r="L624" s="24">
        <f>IF($A624="","",IF(ISNUMBER(I624),K624*I624*1E-4,""))</f>
        <v/>
      </c>
    </row>
    <row r="625">
      <c r="K625" s="24">
        <f>IF($A625="","",IF(F625="AU",(E625-'2_標準曲線'!$I$9)/'2_標準曲線'!$I$8,""))</f>
        <v/>
      </c>
      <c r="L625" s="24">
        <f>IF($A625="","",IF(ISNUMBER(I625),K625*I625*1E-4,""))</f>
        <v/>
      </c>
    </row>
    <row r="626">
      <c r="K626" s="24">
        <f>IF($A626="","",IF(F626="AU",(E626-'2_標準曲線'!$I$9)/'2_標準曲線'!$I$8,""))</f>
        <v/>
      </c>
      <c r="L626" s="24">
        <f>IF($A626="","",IF(ISNUMBER(I626),K626*I626*1E-4,""))</f>
        <v/>
      </c>
    </row>
    <row r="627">
      <c r="K627" s="24">
        <f>IF($A627="","",IF(F627="AU",(E627-'2_標準曲線'!$I$9)/'2_標準曲線'!$I$8,""))</f>
        <v/>
      </c>
      <c r="L627" s="24">
        <f>IF($A627="","",IF(ISNUMBER(I627),K627*I627*1E-4,""))</f>
        <v/>
      </c>
    </row>
    <row r="628">
      <c r="K628" s="24">
        <f>IF($A628="","",IF(F628="AU",(E628-'2_標準曲線'!$I$9)/'2_標準曲線'!$I$8,""))</f>
        <v/>
      </c>
      <c r="L628" s="24">
        <f>IF($A628="","",IF(ISNUMBER(I628),K628*I628*1E-4,""))</f>
        <v/>
      </c>
    </row>
    <row r="629">
      <c r="K629" s="24">
        <f>IF($A629="","",IF(F629="AU",(E629-'2_標準曲線'!$I$9)/'2_標準曲線'!$I$8,""))</f>
        <v/>
      </c>
      <c r="L629" s="24">
        <f>IF($A629="","",IF(ISNUMBER(I629),K629*I629*1E-4,""))</f>
        <v/>
      </c>
    </row>
    <row r="630">
      <c r="K630" s="24">
        <f>IF($A630="","",IF(F630="AU",(E630-'2_標準曲線'!$I$9)/'2_標準曲線'!$I$8,""))</f>
        <v/>
      </c>
      <c r="L630" s="24">
        <f>IF($A630="","",IF(ISNUMBER(I630),K630*I630*1E-4,""))</f>
        <v/>
      </c>
    </row>
    <row r="631">
      <c r="K631" s="24">
        <f>IF($A631="","",IF(F631="AU",(E631-'2_標準曲線'!$I$9)/'2_標準曲線'!$I$8,""))</f>
        <v/>
      </c>
      <c r="L631" s="24">
        <f>IF($A631="","",IF(ISNUMBER(I631),K631*I631*1E-4,""))</f>
        <v/>
      </c>
    </row>
    <row r="632">
      <c r="K632" s="24">
        <f>IF($A632="","",IF(F632="AU",(E632-'2_標準曲線'!$I$9)/'2_標準曲線'!$I$8,""))</f>
        <v/>
      </c>
      <c r="L632" s="24">
        <f>IF($A632="","",IF(ISNUMBER(I632),K632*I632*1E-4,""))</f>
        <v/>
      </c>
    </row>
    <row r="633">
      <c r="K633" s="24">
        <f>IF($A633="","",IF(F633="AU",(E633-'2_標準曲線'!$I$9)/'2_標準曲線'!$I$8,""))</f>
        <v/>
      </c>
      <c r="L633" s="24">
        <f>IF($A633="","",IF(ISNUMBER(I633),K633*I633*1E-4,""))</f>
        <v/>
      </c>
    </row>
    <row r="634">
      <c r="K634" s="24">
        <f>IF($A634="","",IF(F634="AU",(E634-'2_標準曲線'!$I$9)/'2_標準曲線'!$I$8,""))</f>
        <v/>
      </c>
      <c r="L634" s="24">
        <f>IF($A634="","",IF(ISNUMBER(I634),K634*I634*1E-4,""))</f>
        <v/>
      </c>
    </row>
    <row r="635">
      <c r="K635" s="24">
        <f>IF($A635="","",IF(F635="AU",(E635-'2_標準曲線'!$I$9)/'2_標準曲線'!$I$8,""))</f>
        <v/>
      </c>
      <c r="L635" s="24">
        <f>IF($A635="","",IF(ISNUMBER(I635),K635*I635*1E-4,""))</f>
        <v/>
      </c>
    </row>
    <row r="636">
      <c r="K636" s="24">
        <f>IF($A636="","",IF(F636="AU",(E636-'2_標準曲線'!$I$9)/'2_標準曲線'!$I$8,""))</f>
        <v/>
      </c>
      <c r="L636" s="24">
        <f>IF($A636="","",IF(ISNUMBER(I636),K636*I636*1E-4,""))</f>
        <v/>
      </c>
    </row>
    <row r="637">
      <c r="K637" s="24">
        <f>IF($A637="","",IF(F637="AU",(E637-'2_標準曲線'!$I$9)/'2_標準曲線'!$I$8,""))</f>
        <v/>
      </c>
      <c r="L637" s="24">
        <f>IF($A637="","",IF(ISNUMBER(I637),K637*I637*1E-4,""))</f>
        <v/>
      </c>
    </row>
    <row r="638">
      <c r="K638" s="24">
        <f>IF($A638="","",IF(F638="AU",(E638-'2_標準曲線'!$I$9)/'2_標準曲線'!$I$8,""))</f>
        <v/>
      </c>
      <c r="L638" s="24">
        <f>IF($A638="","",IF(ISNUMBER(I638),K638*I638*1E-4,""))</f>
        <v/>
      </c>
    </row>
    <row r="639">
      <c r="K639" s="24">
        <f>IF($A639="","",IF(F639="AU",(E639-'2_標準曲線'!$I$9)/'2_標準曲線'!$I$8,""))</f>
        <v/>
      </c>
      <c r="L639" s="24">
        <f>IF($A639="","",IF(ISNUMBER(I639),K639*I639*1E-4,""))</f>
        <v/>
      </c>
    </row>
    <row r="640">
      <c r="K640" s="24">
        <f>IF($A640="","",IF(F640="AU",(E640-'2_標準曲線'!$I$9)/'2_標準曲線'!$I$8,""))</f>
        <v/>
      </c>
      <c r="L640" s="24">
        <f>IF($A640="","",IF(ISNUMBER(I640),K640*I640*1E-4,""))</f>
        <v/>
      </c>
    </row>
    <row r="641">
      <c r="K641" s="24">
        <f>IF($A641="","",IF(F641="AU",(E641-'2_標準曲線'!$I$9)/'2_標準曲線'!$I$8,""))</f>
        <v/>
      </c>
      <c r="L641" s="24">
        <f>IF($A641="","",IF(ISNUMBER(I641),K641*I641*1E-4,""))</f>
        <v/>
      </c>
    </row>
    <row r="642">
      <c r="K642" s="24">
        <f>IF($A642="","",IF(F642="AU",(E642-'2_標準曲線'!$I$9)/'2_標準曲線'!$I$8,""))</f>
        <v/>
      </c>
      <c r="L642" s="24">
        <f>IF($A642="","",IF(ISNUMBER(I642),K642*I642*1E-4,""))</f>
        <v/>
      </c>
    </row>
    <row r="643">
      <c r="K643" s="24">
        <f>IF($A643="","",IF(F643="AU",(E643-'2_標準曲線'!$I$9)/'2_標準曲線'!$I$8,""))</f>
        <v/>
      </c>
      <c r="L643" s="24">
        <f>IF($A643="","",IF(ISNUMBER(I643),K643*I643*1E-4,""))</f>
        <v/>
      </c>
    </row>
    <row r="644">
      <c r="K644" s="24">
        <f>IF($A644="","",IF(F644="AU",(E644-'2_標準曲線'!$I$9)/'2_標準曲線'!$I$8,""))</f>
        <v/>
      </c>
      <c r="L644" s="24">
        <f>IF($A644="","",IF(ISNUMBER(I644),K644*I644*1E-4,""))</f>
        <v/>
      </c>
    </row>
    <row r="645">
      <c r="K645" s="24">
        <f>IF($A645="","",IF(F645="AU",(E645-'2_標準曲線'!$I$9)/'2_標準曲線'!$I$8,""))</f>
        <v/>
      </c>
      <c r="L645" s="24">
        <f>IF($A645="","",IF(ISNUMBER(I645),K645*I645*1E-4,""))</f>
        <v/>
      </c>
    </row>
    <row r="646">
      <c r="K646" s="24">
        <f>IF($A646="","",IF(F646="AU",(E646-'2_標準曲線'!$I$9)/'2_標準曲線'!$I$8,""))</f>
        <v/>
      </c>
      <c r="L646" s="24">
        <f>IF($A646="","",IF(ISNUMBER(I646),K646*I646*1E-4,""))</f>
        <v/>
      </c>
    </row>
    <row r="647">
      <c r="K647" s="24">
        <f>IF($A647="","",IF(F647="AU",(E647-'2_標準曲線'!$I$9)/'2_標準曲線'!$I$8,""))</f>
        <v/>
      </c>
      <c r="L647" s="24">
        <f>IF($A647="","",IF(ISNUMBER(I647),K647*I647*1E-4,""))</f>
        <v/>
      </c>
    </row>
    <row r="648">
      <c r="K648" s="24">
        <f>IF($A648="","",IF(F648="AU",(E648-'2_標準曲線'!$I$9)/'2_標準曲線'!$I$8,""))</f>
        <v/>
      </c>
      <c r="L648" s="24">
        <f>IF($A648="","",IF(ISNUMBER(I648),K648*I648*1E-4,""))</f>
        <v/>
      </c>
    </row>
    <row r="649">
      <c r="K649" s="24">
        <f>IF($A649="","",IF(F649="AU",(E649-'2_標準曲線'!$I$9)/'2_標準曲線'!$I$8,""))</f>
        <v/>
      </c>
      <c r="L649" s="24">
        <f>IF($A649="","",IF(ISNUMBER(I649),K649*I649*1E-4,""))</f>
        <v/>
      </c>
    </row>
    <row r="650">
      <c r="K650" s="24">
        <f>IF($A650="","",IF(F650="AU",(E650-'2_標準曲線'!$I$9)/'2_標準曲線'!$I$8,""))</f>
        <v/>
      </c>
      <c r="L650" s="24">
        <f>IF($A650="","",IF(ISNUMBER(I650),K650*I650*1E-4,""))</f>
        <v/>
      </c>
    </row>
    <row r="651">
      <c r="K651" s="24">
        <f>IF($A651="","",IF(F651="AU",(E651-'2_標準曲線'!$I$9)/'2_標準曲線'!$I$8,""))</f>
        <v/>
      </c>
      <c r="L651" s="24">
        <f>IF($A651="","",IF(ISNUMBER(I651),K651*I651*1E-4,""))</f>
        <v/>
      </c>
    </row>
    <row r="652">
      <c r="K652" s="24">
        <f>IF($A652="","",IF(F652="AU",(E652-'2_標準曲線'!$I$9)/'2_標準曲線'!$I$8,""))</f>
        <v/>
      </c>
      <c r="L652" s="24">
        <f>IF($A652="","",IF(ISNUMBER(I652),K652*I652*1E-4,""))</f>
        <v/>
      </c>
    </row>
    <row r="653">
      <c r="K653" s="24">
        <f>IF($A653="","",IF(F653="AU",(E653-'2_標準曲線'!$I$9)/'2_標準曲線'!$I$8,""))</f>
        <v/>
      </c>
      <c r="L653" s="24">
        <f>IF($A653="","",IF(ISNUMBER(I653),K653*I653*1E-4,""))</f>
        <v/>
      </c>
    </row>
    <row r="654">
      <c r="K654" s="24">
        <f>IF($A654="","",IF(F654="AU",(E654-'2_標準曲線'!$I$9)/'2_標準曲線'!$I$8,""))</f>
        <v/>
      </c>
      <c r="L654" s="24">
        <f>IF($A654="","",IF(ISNUMBER(I654),K654*I654*1E-4,""))</f>
        <v/>
      </c>
    </row>
    <row r="655">
      <c r="K655" s="24">
        <f>IF($A655="","",IF(F655="AU",(E655-'2_標準曲線'!$I$9)/'2_標準曲線'!$I$8,""))</f>
        <v/>
      </c>
      <c r="L655" s="24">
        <f>IF($A655="","",IF(ISNUMBER(I655),K655*I655*1E-4,""))</f>
        <v/>
      </c>
    </row>
    <row r="656">
      <c r="K656" s="24">
        <f>IF($A656="","",IF(F656="AU",(E656-'2_標準曲線'!$I$9)/'2_標準曲線'!$I$8,""))</f>
        <v/>
      </c>
      <c r="L656" s="24">
        <f>IF($A656="","",IF(ISNUMBER(I656),K656*I656*1E-4,""))</f>
        <v/>
      </c>
    </row>
    <row r="657">
      <c r="K657" s="24">
        <f>IF($A657="","",IF(F657="AU",(E657-'2_標準曲線'!$I$9)/'2_標準曲線'!$I$8,""))</f>
        <v/>
      </c>
      <c r="L657" s="24">
        <f>IF($A657="","",IF(ISNUMBER(I657),K657*I657*1E-4,""))</f>
        <v/>
      </c>
    </row>
    <row r="658">
      <c r="K658" s="24">
        <f>IF($A658="","",IF(F658="AU",(E658-'2_標準曲線'!$I$9)/'2_標準曲線'!$I$8,""))</f>
        <v/>
      </c>
      <c r="L658" s="24">
        <f>IF($A658="","",IF(ISNUMBER(I658),K658*I658*1E-4,""))</f>
        <v/>
      </c>
    </row>
    <row r="659">
      <c r="K659" s="24">
        <f>IF($A659="","",IF(F659="AU",(E659-'2_標準曲線'!$I$9)/'2_標準曲線'!$I$8,""))</f>
        <v/>
      </c>
      <c r="L659" s="24">
        <f>IF($A659="","",IF(ISNUMBER(I659),K659*I659*1E-4,""))</f>
        <v/>
      </c>
    </row>
    <row r="660">
      <c r="K660" s="24">
        <f>IF($A660="","",IF(F660="AU",(E660-'2_標準曲線'!$I$9)/'2_標準曲線'!$I$8,""))</f>
        <v/>
      </c>
      <c r="L660" s="24">
        <f>IF($A660="","",IF(ISNUMBER(I660),K660*I660*1E-4,""))</f>
        <v/>
      </c>
    </row>
    <row r="661">
      <c r="K661" s="24">
        <f>IF($A661="","",IF(F661="AU",(E661-'2_標準曲線'!$I$9)/'2_標準曲線'!$I$8,""))</f>
        <v/>
      </c>
      <c r="L661" s="24">
        <f>IF($A661="","",IF(ISNUMBER(I661),K661*I661*1E-4,""))</f>
        <v/>
      </c>
    </row>
    <row r="662">
      <c r="K662" s="24">
        <f>IF($A662="","",IF(F662="AU",(E662-'2_標準曲線'!$I$9)/'2_標準曲線'!$I$8,""))</f>
        <v/>
      </c>
      <c r="L662" s="24">
        <f>IF($A662="","",IF(ISNUMBER(I662),K662*I662*1E-4,""))</f>
        <v/>
      </c>
    </row>
    <row r="663">
      <c r="K663" s="24">
        <f>IF($A663="","",IF(F663="AU",(E663-'2_標準曲線'!$I$9)/'2_標準曲線'!$I$8,""))</f>
        <v/>
      </c>
      <c r="L663" s="24">
        <f>IF($A663="","",IF(ISNUMBER(I663),K663*I663*1E-4,""))</f>
        <v/>
      </c>
    </row>
    <row r="664">
      <c r="K664" s="24">
        <f>IF($A664="","",IF(F664="AU",(E664-'2_標準曲線'!$I$9)/'2_標準曲線'!$I$8,""))</f>
        <v/>
      </c>
      <c r="L664" s="24">
        <f>IF($A664="","",IF(ISNUMBER(I664),K664*I664*1E-4,""))</f>
        <v/>
      </c>
    </row>
    <row r="665">
      <c r="K665" s="24">
        <f>IF($A665="","",IF(F665="AU",(E665-'2_標準曲線'!$I$9)/'2_標準曲線'!$I$8,""))</f>
        <v/>
      </c>
      <c r="L665" s="24">
        <f>IF($A665="","",IF(ISNUMBER(I665),K665*I665*1E-4,""))</f>
        <v/>
      </c>
    </row>
    <row r="666">
      <c r="K666" s="24">
        <f>IF($A666="","",IF(F666="AU",(E666-'2_標準曲線'!$I$9)/'2_標準曲線'!$I$8,""))</f>
        <v/>
      </c>
      <c r="L666" s="24">
        <f>IF($A666="","",IF(ISNUMBER(I666),K666*I666*1E-4,""))</f>
        <v/>
      </c>
    </row>
    <row r="667">
      <c r="K667" s="24">
        <f>IF($A667="","",IF(F667="AU",(E667-'2_標準曲線'!$I$9)/'2_標準曲線'!$I$8,""))</f>
        <v/>
      </c>
      <c r="L667" s="24">
        <f>IF($A667="","",IF(ISNUMBER(I667),K667*I667*1E-4,""))</f>
        <v/>
      </c>
    </row>
    <row r="668">
      <c r="K668" s="24">
        <f>IF($A668="","",IF(F668="AU",(E668-'2_標準曲線'!$I$9)/'2_標準曲線'!$I$8,""))</f>
        <v/>
      </c>
      <c r="L668" s="24">
        <f>IF($A668="","",IF(ISNUMBER(I668),K668*I668*1E-4,""))</f>
        <v/>
      </c>
    </row>
    <row r="669">
      <c r="K669" s="24">
        <f>IF($A669="","",IF(F669="AU",(E669-'2_標準曲線'!$I$9)/'2_標準曲線'!$I$8,""))</f>
        <v/>
      </c>
      <c r="L669" s="24">
        <f>IF($A669="","",IF(ISNUMBER(I669),K669*I669*1E-4,""))</f>
        <v/>
      </c>
    </row>
    <row r="670">
      <c r="K670" s="24">
        <f>IF($A670="","",IF(F670="AU",(E670-'2_標準曲線'!$I$9)/'2_標準曲線'!$I$8,""))</f>
        <v/>
      </c>
      <c r="L670" s="24">
        <f>IF($A670="","",IF(ISNUMBER(I670),K670*I670*1E-4,""))</f>
        <v/>
      </c>
    </row>
    <row r="671">
      <c r="K671" s="24">
        <f>IF($A671="","",IF(F671="AU",(E671-'2_標準曲線'!$I$9)/'2_標準曲線'!$I$8,""))</f>
        <v/>
      </c>
      <c r="L671" s="24">
        <f>IF($A671="","",IF(ISNUMBER(I671),K671*I671*1E-4,""))</f>
        <v/>
      </c>
    </row>
    <row r="672">
      <c r="K672" s="24">
        <f>IF($A672="","",IF(F672="AU",(E672-'2_標準曲線'!$I$9)/'2_標準曲線'!$I$8,""))</f>
        <v/>
      </c>
      <c r="L672" s="24">
        <f>IF($A672="","",IF(ISNUMBER(I672),K672*I672*1E-4,""))</f>
        <v/>
      </c>
    </row>
    <row r="673">
      <c r="K673" s="24">
        <f>IF($A673="","",IF(F673="AU",(E673-'2_標準曲線'!$I$9)/'2_標準曲線'!$I$8,""))</f>
        <v/>
      </c>
      <c r="L673" s="24">
        <f>IF($A673="","",IF(ISNUMBER(I673),K673*I673*1E-4,""))</f>
        <v/>
      </c>
    </row>
    <row r="674">
      <c r="K674" s="24">
        <f>IF($A674="","",IF(F674="AU",(E674-'2_標準曲線'!$I$9)/'2_標準曲線'!$I$8,""))</f>
        <v/>
      </c>
      <c r="L674" s="24">
        <f>IF($A674="","",IF(ISNUMBER(I674),K674*I674*1E-4,""))</f>
        <v/>
      </c>
    </row>
    <row r="675">
      <c r="K675" s="24">
        <f>IF($A675="","",IF(F675="AU",(E675-'2_標準曲線'!$I$9)/'2_標準曲線'!$I$8,""))</f>
        <v/>
      </c>
      <c r="L675" s="24">
        <f>IF($A675="","",IF(ISNUMBER(I675),K675*I675*1E-4,""))</f>
        <v/>
      </c>
    </row>
    <row r="676">
      <c r="K676" s="24">
        <f>IF($A676="","",IF(F676="AU",(E676-'2_標準曲線'!$I$9)/'2_標準曲線'!$I$8,""))</f>
        <v/>
      </c>
      <c r="L676" s="24">
        <f>IF($A676="","",IF(ISNUMBER(I676),K676*I676*1E-4,""))</f>
        <v/>
      </c>
    </row>
    <row r="677">
      <c r="K677" s="24">
        <f>IF($A677="","",IF(F677="AU",(E677-'2_標準曲線'!$I$9)/'2_標準曲線'!$I$8,""))</f>
        <v/>
      </c>
      <c r="L677" s="24">
        <f>IF($A677="","",IF(ISNUMBER(I677),K677*I677*1E-4,""))</f>
        <v/>
      </c>
    </row>
    <row r="678">
      <c r="K678" s="24">
        <f>IF($A678="","",IF(F678="AU",(E678-'2_標準曲線'!$I$9)/'2_標準曲線'!$I$8,""))</f>
        <v/>
      </c>
      <c r="L678" s="24">
        <f>IF($A678="","",IF(ISNUMBER(I678),K678*I678*1E-4,""))</f>
        <v/>
      </c>
    </row>
    <row r="679">
      <c r="K679" s="24">
        <f>IF($A679="","",IF(F679="AU",(E679-'2_標準曲線'!$I$9)/'2_標準曲線'!$I$8,""))</f>
        <v/>
      </c>
      <c r="L679" s="24">
        <f>IF($A679="","",IF(ISNUMBER(I679),K679*I679*1E-4,""))</f>
        <v/>
      </c>
    </row>
    <row r="680">
      <c r="K680" s="24">
        <f>IF($A680="","",IF(F680="AU",(E680-'2_標準曲線'!$I$9)/'2_標準曲線'!$I$8,""))</f>
        <v/>
      </c>
      <c r="L680" s="24">
        <f>IF($A680="","",IF(ISNUMBER(I680),K680*I680*1E-4,""))</f>
        <v/>
      </c>
    </row>
    <row r="681">
      <c r="K681" s="24">
        <f>IF($A681="","",IF(F681="AU",(E681-'2_標準曲線'!$I$9)/'2_標準曲線'!$I$8,""))</f>
        <v/>
      </c>
      <c r="L681" s="24">
        <f>IF($A681="","",IF(ISNUMBER(I681),K681*I681*1E-4,""))</f>
        <v/>
      </c>
    </row>
    <row r="682">
      <c r="K682" s="24">
        <f>IF($A682="","",IF(F682="AU",(E682-'2_標準曲線'!$I$9)/'2_標準曲線'!$I$8,""))</f>
        <v/>
      </c>
      <c r="L682" s="24">
        <f>IF($A682="","",IF(ISNUMBER(I682),K682*I682*1E-4,""))</f>
        <v/>
      </c>
    </row>
    <row r="683">
      <c r="K683" s="24">
        <f>IF($A683="","",IF(F683="AU",(E683-'2_標準曲線'!$I$9)/'2_標準曲線'!$I$8,""))</f>
        <v/>
      </c>
      <c r="L683" s="24">
        <f>IF($A683="","",IF(ISNUMBER(I683),K683*I683*1E-4,""))</f>
        <v/>
      </c>
    </row>
    <row r="684">
      <c r="K684" s="24">
        <f>IF($A684="","",IF(F684="AU",(E684-'2_標準曲線'!$I$9)/'2_標準曲線'!$I$8,""))</f>
        <v/>
      </c>
      <c r="L684" s="24">
        <f>IF($A684="","",IF(ISNUMBER(I684),K684*I684*1E-4,""))</f>
        <v/>
      </c>
    </row>
    <row r="685">
      <c r="K685" s="24">
        <f>IF($A685="","",IF(F685="AU",(E685-'2_標準曲線'!$I$9)/'2_標準曲線'!$I$8,""))</f>
        <v/>
      </c>
      <c r="L685" s="24">
        <f>IF($A685="","",IF(ISNUMBER(I685),K685*I685*1E-4,""))</f>
        <v/>
      </c>
    </row>
    <row r="686">
      <c r="K686" s="24">
        <f>IF($A686="","",IF(F686="AU",(E686-'2_標準曲線'!$I$9)/'2_標準曲線'!$I$8,""))</f>
        <v/>
      </c>
      <c r="L686" s="24">
        <f>IF($A686="","",IF(ISNUMBER(I686),K686*I686*1E-4,""))</f>
        <v/>
      </c>
    </row>
    <row r="687">
      <c r="K687" s="24">
        <f>IF($A687="","",IF(F687="AU",(E687-'2_標準曲線'!$I$9)/'2_標準曲線'!$I$8,""))</f>
        <v/>
      </c>
      <c r="L687" s="24">
        <f>IF($A687="","",IF(ISNUMBER(I687),K687*I687*1E-4,""))</f>
        <v/>
      </c>
    </row>
    <row r="688">
      <c r="K688" s="24">
        <f>IF($A688="","",IF(F688="AU",(E688-'2_標準曲線'!$I$9)/'2_標準曲線'!$I$8,""))</f>
        <v/>
      </c>
      <c r="L688" s="24">
        <f>IF($A688="","",IF(ISNUMBER(I688),K688*I688*1E-4,""))</f>
        <v/>
      </c>
    </row>
    <row r="689">
      <c r="K689" s="24">
        <f>IF($A689="","",IF(F689="AU",(E689-'2_標準曲線'!$I$9)/'2_標準曲線'!$I$8,""))</f>
        <v/>
      </c>
      <c r="L689" s="24">
        <f>IF($A689="","",IF(ISNUMBER(I689),K689*I689*1E-4,""))</f>
        <v/>
      </c>
    </row>
    <row r="690">
      <c r="K690" s="24">
        <f>IF($A690="","",IF(F690="AU",(E690-'2_標準曲線'!$I$9)/'2_標準曲線'!$I$8,""))</f>
        <v/>
      </c>
      <c r="L690" s="24">
        <f>IF($A690="","",IF(ISNUMBER(I690),K690*I690*1E-4,""))</f>
        <v/>
      </c>
    </row>
    <row r="691">
      <c r="K691" s="24">
        <f>IF($A691="","",IF(F691="AU",(E691-'2_標準曲線'!$I$9)/'2_標準曲線'!$I$8,""))</f>
        <v/>
      </c>
      <c r="L691" s="24">
        <f>IF($A691="","",IF(ISNUMBER(I691),K691*I691*1E-4,""))</f>
        <v/>
      </c>
    </row>
    <row r="692">
      <c r="K692" s="24">
        <f>IF($A692="","",IF(F692="AU",(E692-'2_標準曲線'!$I$9)/'2_標準曲線'!$I$8,""))</f>
        <v/>
      </c>
      <c r="L692" s="24">
        <f>IF($A692="","",IF(ISNUMBER(I692),K692*I692*1E-4,""))</f>
        <v/>
      </c>
    </row>
    <row r="693">
      <c r="K693" s="24">
        <f>IF($A693="","",IF(F693="AU",(E693-'2_標準曲線'!$I$9)/'2_標準曲線'!$I$8,""))</f>
        <v/>
      </c>
      <c r="L693" s="24">
        <f>IF($A693="","",IF(ISNUMBER(I693),K693*I693*1E-4,""))</f>
        <v/>
      </c>
    </row>
    <row r="694">
      <c r="K694" s="24">
        <f>IF($A694="","",IF(F694="AU",(E694-'2_標準曲線'!$I$9)/'2_標準曲線'!$I$8,""))</f>
        <v/>
      </c>
      <c r="L694" s="24">
        <f>IF($A694="","",IF(ISNUMBER(I694),K694*I694*1E-4,""))</f>
        <v/>
      </c>
    </row>
    <row r="695">
      <c r="K695" s="24">
        <f>IF($A695="","",IF(F695="AU",(E695-'2_標準曲線'!$I$9)/'2_標準曲線'!$I$8,""))</f>
        <v/>
      </c>
      <c r="L695" s="24">
        <f>IF($A695="","",IF(ISNUMBER(I695),K695*I695*1E-4,""))</f>
        <v/>
      </c>
    </row>
    <row r="696">
      <c r="K696" s="24">
        <f>IF($A696="","",IF(F696="AU",(E696-'2_標準曲線'!$I$9)/'2_標準曲線'!$I$8,""))</f>
        <v/>
      </c>
      <c r="L696" s="24">
        <f>IF($A696="","",IF(ISNUMBER(I696),K696*I696*1E-4,""))</f>
        <v/>
      </c>
    </row>
    <row r="697">
      <c r="K697" s="24">
        <f>IF($A697="","",IF(F697="AU",(E697-'2_標準曲線'!$I$9)/'2_標準曲線'!$I$8,""))</f>
        <v/>
      </c>
      <c r="L697" s="24">
        <f>IF($A697="","",IF(ISNUMBER(I697),K697*I697*1E-4,""))</f>
        <v/>
      </c>
    </row>
    <row r="698">
      <c r="K698" s="24">
        <f>IF($A698="","",IF(F698="AU",(E698-'2_標準曲線'!$I$9)/'2_標準曲線'!$I$8,""))</f>
        <v/>
      </c>
      <c r="L698" s="24">
        <f>IF($A698="","",IF(ISNUMBER(I698),K698*I698*1E-4,""))</f>
        <v/>
      </c>
    </row>
    <row r="699">
      <c r="K699" s="24">
        <f>IF($A699="","",IF(F699="AU",(E699-'2_標準曲線'!$I$9)/'2_標準曲線'!$I$8,""))</f>
        <v/>
      </c>
      <c r="L699" s="24">
        <f>IF($A699="","",IF(ISNUMBER(I699),K699*I699*1E-4,""))</f>
        <v/>
      </c>
    </row>
    <row r="700">
      <c r="K700" s="24">
        <f>IF($A700="","",IF(F700="AU",(E700-'2_標準曲線'!$I$9)/'2_標準曲線'!$I$8,""))</f>
        <v/>
      </c>
      <c r="L700" s="24">
        <f>IF($A700="","",IF(ISNUMBER(I700),K700*I700*1E-4,""))</f>
        <v/>
      </c>
    </row>
    <row r="701">
      <c r="K701" s="24">
        <f>IF($A701="","",IF(F701="AU",(E701-'2_標準曲線'!$I$9)/'2_標準曲線'!$I$8,""))</f>
        <v/>
      </c>
      <c r="L701" s="24">
        <f>IF($A701="","",IF(ISNUMBER(I701),K701*I701*1E-4,""))</f>
        <v/>
      </c>
    </row>
    <row r="702">
      <c r="K702" s="24">
        <f>IF($A702="","",IF(F702="AU",(E702-'2_標準曲線'!$I$9)/'2_標準曲線'!$I$8,""))</f>
        <v/>
      </c>
      <c r="L702" s="24">
        <f>IF($A702="","",IF(ISNUMBER(I702),K702*I702*1E-4,""))</f>
        <v/>
      </c>
    </row>
    <row r="703">
      <c r="K703" s="24">
        <f>IF($A703="","",IF(F703="AU",(E703-'2_標準曲線'!$I$9)/'2_標準曲線'!$I$8,""))</f>
        <v/>
      </c>
      <c r="L703" s="24">
        <f>IF($A703="","",IF(ISNUMBER(I703),K703*I703*1E-4,""))</f>
        <v/>
      </c>
    </row>
    <row r="704">
      <c r="K704" s="24">
        <f>IF($A704="","",IF(F704="AU",(E704-'2_標準曲線'!$I$9)/'2_標準曲線'!$I$8,""))</f>
        <v/>
      </c>
      <c r="L704" s="24">
        <f>IF($A704="","",IF(ISNUMBER(I704),K704*I704*1E-4,""))</f>
        <v/>
      </c>
    </row>
    <row r="705">
      <c r="K705" s="24">
        <f>IF($A705="","",IF(F705="AU",(E705-'2_標準曲線'!$I$9)/'2_標準曲線'!$I$8,""))</f>
        <v/>
      </c>
      <c r="L705" s="24">
        <f>IF($A705="","",IF(ISNUMBER(I705),K705*I705*1E-4,""))</f>
        <v/>
      </c>
    </row>
    <row r="706">
      <c r="K706" s="24">
        <f>IF($A706="","",IF(F706="AU",(E706-'2_標準曲線'!$I$9)/'2_標準曲線'!$I$8,""))</f>
        <v/>
      </c>
      <c r="L706" s="24">
        <f>IF($A706="","",IF(ISNUMBER(I706),K706*I706*1E-4,""))</f>
        <v/>
      </c>
    </row>
    <row r="707">
      <c r="K707" s="24">
        <f>IF($A707="","",IF(F707="AU",(E707-'2_標準曲線'!$I$9)/'2_標準曲線'!$I$8,""))</f>
        <v/>
      </c>
      <c r="L707" s="24">
        <f>IF($A707="","",IF(ISNUMBER(I707),K707*I707*1E-4,""))</f>
        <v/>
      </c>
    </row>
    <row r="708">
      <c r="K708" s="24">
        <f>IF($A708="","",IF(F708="AU",(E708-'2_標準曲線'!$I$9)/'2_標準曲線'!$I$8,""))</f>
        <v/>
      </c>
      <c r="L708" s="24">
        <f>IF($A708="","",IF(ISNUMBER(I708),K708*I708*1E-4,""))</f>
        <v/>
      </c>
    </row>
    <row r="709">
      <c r="K709" s="24">
        <f>IF($A709="","",IF(F709="AU",(E709-'2_標準曲線'!$I$9)/'2_標準曲線'!$I$8,""))</f>
        <v/>
      </c>
      <c r="L709" s="24">
        <f>IF($A709="","",IF(ISNUMBER(I709),K709*I709*1E-4,""))</f>
        <v/>
      </c>
    </row>
    <row r="710">
      <c r="K710" s="24">
        <f>IF($A710="","",IF(F710="AU",(E710-'2_標準曲線'!$I$9)/'2_標準曲線'!$I$8,""))</f>
        <v/>
      </c>
      <c r="L710" s="24">
        <f>IF($A710="","",IF(ISNUMBER(I710),K710*I710*1E-4,""))</f>
        <v/>
      </c>
    </row>
    <row r="711">
      <c r="K711" s="24">
        <f>IF($A711="","",IF(F711="AU",(E711-'2_標準曲線'!$I$9)/'2_標準曲線'!$I$8,""))</f>
        <v/>
      </c>
      <c r="L711" s="24">
        <f>IF($A711="","",IF(ISNUMBER(I711),K711*I711*1E-4,""))</f>
        <v/>
      </c>
    </row>
    <row r="712">
      <c r="K712" s="24">
        <f>IF($A712="","",IF(F712="AU",(E712-'2_標準曲線'!$I$9)/'2_標準曲線'!$I$8,""))</f>
        <v/>
      </c>
      <c r="L712" s="24">
        <f>IF($A712="","",IF(ISNUMBER(I712),K712*I712*1E-4,""))</f>
        <v/>
      </c>
    </row>
    <row r="713">
      <c r="K713" s="24">
        <f>IF($A713="","",IF(F713="AU",(E713-'2_標準曲線'!$I$9)/'2_標準曲線'!$I$8,""))</f>
        <v/>
      </c>
      <c r="L713" s="24">
        <f>IF($A713="","",IF(ISNUMBER(I713),K713*I713*1E-4,""))</f>
        <v/>
      </c>
    </row>
    <row r="714">
      <c r="K714" s="24">
        <f>IF($A714="","",IF(F714="AU",(E714-'2_標準曲線'!$I$9)/'2_標準曲線'!$I$8,""))</f>
        <v/>
      </c>
      <c r="L714" s="24">
        <f>IF($A714="","",IF(ISNUMBER(I714),K714*I714*1E-4,""))</f>
        <v/>
      </c>
    </row>
    <row r="715">
      <c r="K715" s="24">
        <f>IF($A715="","",IF(F715="AU",(E715-'2_標準曲線'!$I$9)/'2_標準曲線'!$I$8,""))</f>
        <v/>
      </c>
      <c r="L715" s="24">
        <f>IF($A715="","",IF(ISNUMBER(I715),K715*I715*1E-4,""))</f>
        <v/>
      </c>
    </row>
    <row r="716">
      <c r="K716" s="24">
        <f>IF($A716="","",IF(F716="AU",(E716-'2_標準曲線'!$I$9)/'2_標準曲線'!$I$8,""))</f>
        <v/>
      </c>
      <c r="L716" s="24">
        <f>IF($A716="","",IF(ISNUMBER(I716),K716*I716*1E-4,""))</f>
        <v/>
      </c>
    </row>
    <row r="717">
      <c r="K717" s="24">
        <f>IF($A717="","",IF(F717="AU",(E717-'2_標準曲線'!$I$9)/'2_標準曲線'!$I$8,""))</f>
        <v/>
      </c>
      <c r="L717" s="24">
        <f>IF($A717="","",IF(ISNUMBER(I717),K717*I717*1E-4,""))</f>
        <v/>
      </c>
    </row>
    <row r="718">
      <c r="K718" s="24">
        <f>IF($A718="","",IF(F718="AU",(E718-'2_標準曲線'!$I$9)/'2_標準曲線'!$I$8,""))</f>
        <v/>
      </c>
      <c r="L718" s="24">
        <f>IF($A718="","",IF(ISNUMBER(I718),K718*I718*1E-4,""))</f>
        <v/>
      </c>
    </row>
    <row r="719">
      <c r="K719" s="24">
        <f>IF($A719="","",IF(F719="AU",(E719-'2_標準曲線'!$I$9)/'2_標準曲線'!$I$8,""))</f>
        <v/>
      </c>
      <c r="L719" s="24">
        <f>IF($A719="","",IF(ISNUMBER(I719),K719*I719*1E-4,""))</f>
        <v/>
      </c>
    </row>
    <row r="720">
      <c r="K720" s="24">
        <f>IF($A720="","",IF(F720="AU",(E720-'2_標準曲線'!$I$9)/'2_標準曲線'!$I$8,""))</f>
        <v/>
      </c>
      <c r="L720" s="24">
        <f>IF($A720="","",IF(ISNUMBER(I720),K720*I720*1E-4,""))</f>
        <v/>
      </c>
    </row>
    <row r="721">
      <c r="K721" s="24">
        <f>IF($A721="","",IF(F721="AU",(E721-'2_標準曲線'!$I$9)/'2_標準曲線'!$I$8,""))</f>
        <v/>
      </c>
      <c r="L721" s="24">
        <f>IF($A721="","",IF(ISNUMBER(I721),K721*I721*1E-4,""))</f>
        <v/>
      </c>
    </row>
    <row r="722">
      <c r="K722" s="24">
        <f>IF($A722="","",IF(F722="AU",(E722-'2_標準曲線'!$I$9)/'2_標準曲線'!$I$8,""))</f>
        <v/>
      </c>
      <c r="L722" s="24">
        <f>IF($A722="","",IF(ISNUMBER(I722),K722*I722*1E-4,""))</f>
        <v/>
      </c>
    </row>
    <row r="723">
      <c r="K723" s="24">
        <f>IF($A723="","",IF(F723="AU",(E723-'2_標準曲線'!$I$9)/'2_標準曲線'!$I$8,""))</f>
        <v/>
      </c>
      <c r="L723" s="24">
        <f>IF($A723="","",IF(ISNUMBER(I723),K723*I723*1E-4,""))</f>
        <v/>
      </c>
    </row>
    <row r="724">
      <c r="K724" s="24">
        <f>IF($A724="","",IF(F724="AU",(E724-'2_標準曲線'!$I$9)/'2_標準曲線'!$I$8,""))</f>
        <v/>
      </c>
      <c r="L724" s="24">
        <f>IF($A724="","",IF(ISNUMBER(I724),K724*I724*1E-4,""))</f>
        <v/>
      </c>
    </row>
    <row r="725">
      <c r="K725" s="24">
        <f>IF($A725="","",IF(F725="AU",(E725-'2_標準曲線'!$I$9)/'2_標準曲線'!$I$8,""))</f>
        <v/>
      </c>
      <c r="L725" s="24">
        <f>IF($A725="","",IF(ISNUMBER(I725),K725*I725*1E-4,""))</f>
        <v/>
      </c>
    </row>
    <row r="726">
      <c r="K726" s="24">
        <f>IF($A726="","",IF(F726="AU",(E726-'2_標準曲線'!$I$9)/'2_標準曲線'!$I$8,""))</f>
        <v/>
      </c>
      <c r="L726" s="24">
        <f>IF($A726="","",IF(ISNUMBER(I726),K726*I726*1E-4,""))</f>
        <v/>
      </c>
    </row>
    <row r="727">
      <c r="K727" s="24">
        <f>IF($A727="","",IF(F727="AU",(E727-'2_標準曲線'!$I$9)/'2_標準曲線'!$I$8,""))</f>
        <v/>
      </c>
      <c r="L727" s="24">
        <f>IF($A727="","",IF(ISNUMBER(I727),K727*I727*1E-4,""))</f>
        <v/>
      </c>
    </row>
    <row r="728">
      <c r="K728" s="24">
        <f>IF($A728="","",IF(F728="AU",(E728-'2_標準曲線'!$I$9)/'2_標準曲線'!$I$8,""))</f>
        <v/>
      </c>
      <c r="L728" s="24">
        <f>IF($A728="","",IF(ISNUMBER(I728),K728*I728*1E-4,""))</f>
        <v/>
      </c>
    </row>
    <row r="729">
      <c r="K729" s="24">
        <f>IF($A729="","",IF(F729="AU",(E729-'2_標準曲線'!$I$9)/'2_標準曲線'!$I$8,""))</f>
        <v/>
      </c>
      <c r="L729" s="24">
        <f>IF($A729="","",IF(ISNUMBER(I729),K729*I729*1E-4,""))</f>
        <v/>
      </c>
    </row>
    <row r="730">
      <c r="K730" s="24">
        <f>IF($A730="","",IF(F730="AU",(E730-'2_標準曲線'!$I$9)/'2_標準曲線'!$I$8,""))</f>
        <v/>
      </c>
      <c r="L730" s="24">
        <f>IF($A730="","",IF(ISNUMBER(I730),K730*I730*1E-4,""))</f>
        <v/>
      </c>
    </row>
    <row r="731">
      <c r="K731" s="24">
        <f>IF($A731="","",IF(F731="AU",(E731-'2_標準曲線'!$I$9)/'2_標準曲線'!$I$8,""))</f>
        <v/>
      </c>
      <c r="L731" s="24">
        <f>IF($A731="","",IF(ISNUMBER(I731),K731*I731*1E-4,""))</f>
        <v/>
      </c>
    </row>
    <row r="732">
      <c r="K732" s="24">
        <f>IF($A732="","",IF(F732="AU",(E732-'2_標準曲線'!$I$9)/'2_標準曲線'!$I$8,""))</f>
        <v/>
      </c>
      <c r="L732" s="24">
        <f>IF($A732="","",IF(ISNUMBER(I732),K732*I732*1E-4,""))</f>
        <v/>
      </c>
    </row>
    <row r="733">
      <c r="K733" s="24">
        <f>IF($A733="","",IF(F733="AU",(E733-'2_標準曲線'!$I$9)/'2_標準曲線'!$I$8,""))</f>
        <v/>
      </c>
      <c r="L733" s="24">
        <f>IF($A733="","",IF(ISNUMBER(I733),K733*I733*1E-4,""))</f>
        <v/>
      </c>
    </row>
    <row r="734">
      <c r="K734" s="24">
        <f>IF($A734="","",IF(F734="AU",(E734-'2_標準曲線'!$I$9)/'2_標準曲線'!$I$8,""))</f>
        <v/>
      </c>
      <c r="L734" s="24">
        <f>IF($A734="","",IF(ISNUMBER(I734),K734*I734*1E-4,""))</f>
        <v/>
      </c>
    </row>
    <row r="735">
      <c r="K735" s="24">
        <f>IF($A735="","",IF(F735="AU",(E735-'2_標準曲線'!$I$9)/'2_標準曲線'!$I$8,""))</f>
        <v/>
      </c>
      <c r="L735" s="24">
        <f>IF($A735="","",IF(ISNUMBER(I735),K735*I735*1E-4,""))</f>
        <v/>
      </c>
    </row>
    <row r="736">
      <c r="K736" s="24">
        <f>IF($A736="","",IF(F736="AU",(E736-'2_標準曲線'!$I$9)/'2_標準曲線'!$I$8,""))</f>
        <v/>
      </c>
      <c r="L736" s="24">
        <f>IF($A736="","",IF(ISNUMBER(I736),K736*I736*1E-4,""))</f>
        <v/>
      </c>
    </row>
    <row r="737">
      <c r="K737" s="24">
        <f>IF($A737="","",IF(F737="AU",(E737-'2_標準曲線'!$I$9)/'2_標準曲線'!$I$8,""))</f>
        <v/>
      </c>
      <c r="L737" s="24">
        <f>IF($A737="","",IF(ISNUMBER(I737),K737*I737*1E-4,""))</f>
        <v/>
      </c>
    </row>
    <row r="738">
      <c r="K738" s="24">
        <f>IF($A738="","",IF(F738="AU",(E738-'2_標準曲線'!$I$9)/'2_標準曲線'!$I$8,""))</f>
        <v/>
      </c>
      <c r="L738" s="24">
        <f>IF($A738="","",IF(ISNUMBER(I738),K738*I738*1E-4,""))</f>
        <v/>
      </c>
    </row>
    <row r="739">
      <c r="K739" s="24">
        <f>IF($A739="","",IF(F739="AU",(E739-'2_標準曲線'!$I$9)/'2_標準曲線'!$I$8,""))</f>
        <v/>
      </c>
      <c r="L739" s="24">
        <f>IF($A739="","",IF(ISNUMBER(I739),K739*I739*1E-4,""))</f>
        <v/>
      </c>
    </row>
    <row r="740">
      <c r="K740" s="24">
        <f>IF($A740="","",IF(F740="AU",(E740-'2_標準曲線'!$I$9)/'2_標準曲線'!$I$8,""))</f>
        <v/>
      </c>
      <c r="L740" s="24">
        <f>IF($A740="","",IF(ISNUMBER(I740),K740*I740*1E-4,""))</f>
        <v/>
      </c>
    </row>
    <row r="741">
      <c r="K741" s="24">
        <f>IF($A741="","",IF(F741="AU",(E741-'2_標準曲線'!$I$9)/'2_標準曲線'!$I$8,""))</f>
        <v/>
      </c>
      <c r="L741" s="24">
        <f>IF($A741="","",IF(ISNUMBER(I741),K741*I741*1E-4,""))</f>
        <v/>
      </c>
    </row>
    <row r="742">
      <c r="K742" s="24">
        <f>IF($A742="","",IF(F742="AU",(E742-'2_標準曲線'!$I$9)/'2_標準曲線'!$I$8,""))</f>
        <v/>
      </c>
      <c r="L742" s="24">
        <f>IF($A742="","",IF(ISNUMBER(I742),K742*I742*1E-4,""))</f>
        <v/>
      </c>
    </row>
    <row r="743">
      <c r="K743" s="24">
        <f>IF($A743="","",IF(F743="AU",(E743-'2_標準曲線'!$I$9)/'2_標準曲線'!$I$8,""))</f>
        <v/>
      </c>
      <c r="L743" s="24">
        <f>IF($A743="","",IF(ISNUMBER(I743),K743*I743*1E-4,""))</f>
        <v/>
      </c>
    </row>
    <row r="744">
      <c r="K744" s="24">
        <f>IF($A744="","",IF(F744="AU",(E744-'2_標準曲線'!$I$9)/'2_標準曲線'!$I$8,""))</f>
        <v/>
      </c>
      <c r="L744" s="24">
        <f>IF($A744="","",IF(ISNUMBER(I744),K744*I744*1E-4,""))</f>
        <v/>
      </c>
    </row>
    <row r="745">
      <c r="K745" s="24">
        <f>IF($A745="","",IF(F745="AU",(E745-'2_標準曲線'!$I$9)/'2_標準曲線'!$I$8,""))</f>
        <v/>
      </c>
      <c r="L745" s="24">
        <f>IF($A745="","",IF(ISNUMBER(I745),K745*I745*1E-4,""))</f>
        <v/>
      </c>
    </row>
    <row r="746">
      <c r="K746" s="24">
        <f>IF($A746="","",IF(F746="AU",(E746-'2_標準曲線'!$I$9)/'2_標準曲線'!$I$8,""))</f>
        <v/>
      </c>
      <c r="L746" s="24">
        <f>IF($A746="","",IF(ISNUMBER(I746),K746*I746*1E-4,""))</f>
        <v/>
      </c>
    </row>
    <row r="747">
      <c r="K747" s="24">
        <f>IF($A747="","",IF(F747="AU",(E747-'2_標準曲線'!$I$9)/'2_標準曲線'!$I$8,""))</f>
        <v/>
      </c>
      <c r="L747" s="24">
        <f>IF($A747="","",IF(ISNUMBER(I747),K747*I747*1E-4,""))</f>
        <v/>
      </c>
    </row>
    <row r="748">
      <c r="K748" s="24">
        <f>IF($A748="","",IF(F748="AU",(E748-'2_標準曲線'!$I$9)/'2_標準曲線'!$I$8,""))</f>
        <v/>
      </c>
      <c r="L748" s="24">
        <f>IF($A748="","",IF(ISNUMBER(I748),K748*I748*1E-4,""))</f>
        <v/>
      </c>
    </row>
    <row r="749">
      <c r="K749" s="24">
        <f>IF($A749="","",IF(F749="AU",(E749-'2_標準曲線'!$I$9)/'2_標準曲線'!$I$8,""))</f>
        <v/>
      </c>
      <c r="L749" s="24">
        <f>IF($A749="","",IF(ISNUMBER(I749),K749*I749*1E-4,""))</f>
        <v/>
      </c>
    </row>
    <row r="750">
      <c r="K750" s="24">
        <f>IF($A750="","",IF(F750="AU",(E750-'2_標準曲線'!$I$9)/'2_標準曲線'!$I$8,""))</f>
        <v/>
      </c>
      <c r="L750" s="24">
        <f>IF($A750="","",IF(ISNUMBER(I750),K750*I750*1E-4,""))</f>
        <v/>
      </c>
    </row>
    <row r="751">
      <c r="K751" s="24">
        <f>IF($A751="","",IF(F751="AU",(E751-'2_標準曲線'!$I$9)/'2_標準曲線'!$I$8,""))</f>
        <v/>
      </c>
      <c r="L751" s="24">
        <f>IF($A751="","",IF(ISNUMBER(I751),K751*I751*1E-4,""))</f>
        <v/>
      </c>
    </row>
    <row r="752">
      <c r="K752" s="24">
        <f>IF($A752="","",IF(F752="AU",(E752-'2_標準曲線'!$I$9)/'2_標準曲線'!$I$8,""))</f>
        <v/>
      </c>
      <c r="L752" s="24">
        <f>IF($A752="","",IF(ISNUMBER(I752),K752*I752*1E-4,""))</f>
        <v/>
      </c>
    </row>
    <row r="753">
      <c r="K753" s="24">
        <f>IF($A753="","",IF(F753="AU",(E753-'2_標準曲線'!$I$9)/'2_標準曲線'!$I$8,""))</f>
        <v/>
      </c>
      <c r="L753" s="24">
        <f>IF($A753="","",IF(ISNUMBER(I753),K753*I753*1E-4,""))</f>
        <v/>
      </c>
    </row>
    <row r="754">
      <c r="K754" s="24">
        <f>IF($A754="","",IF(F754="AU",(E754-'2_標準曲線'!$I$9)/'2_標準曲線'!$I$8,""))</f>
        <v/>
      </c>
      <c r="L754" s="24">
        <f>IF($A754="","",IF(ISNUMBER(I754),K754*I754*1E-4,""))</f>
        <v/>
      </c>
    </row>
    <row r="755">
      <c r="K755" s="24">
        <f>IF($A755="","",IF(F755="AU",(E755-'2_標準曲線'!$I$9)/'2_標準曲線'!$I$8,""))</f>
        <v/>
      </c>
      <c r="L755" s="24">
        <f>IF($A755="","",IF(ISNUMBER(I755),K755*I755*1E-4,""))</f>
        <v/>
      </c>
    </row>
    <row r="756">
      <c r="K756" s="24">
        <f>IF($A756="","",IF(F756="AU",(E756-'2_標準曲線'!$I$9)/'2_標準曲線'!$I$8,""))</f>
        <v/>
      </c>
      <c r="L756" s="24">
        <f>IF($A756="","",IF(ISNUMBER(I756),K756*I756*1E-4,""))</f>
        <v/>
      </c>
    </row>
    <row r="757">
      <c r="K757" s="24">
        <f>IF($A757="","",IF(F757="AU",(E757-'2_標準曲線'!$I$9)/'2_標準曲線'!$I$8,""))</f>
        <v/>
      </c>
      <c r="L757" s="24">
        <f>IF($A757="","",IF(ISNUMBER(I757),K757*I757*1E-4,""))</f>
        <v/>
      </c>
    </row>
    <row r="758">
      <c r="K758" s="24">
        <f>IF($A758="","",IF(F758="AU",(E758-'2_標準曲線'!$I$9)/'2_標準曲線'!$I$8,""))</f>
        <v/>
      </c>
      <c r="L758" s="24">
        <f>IF($A758="","",IF(ISNUMBER(I758),K758*I758*1E-4,""))</f>
        <v/>
      </c>
    </row>
    <row r="759">
      <c r="K759" s="24">
        <f>IF($A759="","",IF(F759="AU",(E759-'2_標準曲線'!$I$9)/'2_標準曲線'!$I$8,""))</f>
        <v/>
      </c>
      <c r="L759" s="24">
        <f>IF($A759="","",IF(ISNUMBER(I759),K759*I759*1E-4,""))</f>
        <v/>
      </c>
    </row>
    <row r="760">
      <c r="K760" s="24">
        <f>IF($A760="","",IF(F760="AU",(E760-'2_標準曲線'!$I$9)/'2_標準曲線'!$I$8,""))</f>
        <v/>
      </c>
      <c r="L760" s="24">
        <f>IF($A760="","",IF(ISNUMBER(I760),K760*I760*1E-4,""))</f>
        <v/>
      </c>
    </row>
    <row r="761">
      <c r="K761" s="24">
        <f>IF($A761="","",IF(F761="AU",(E761-'2_標準曲線'!$I$9)/'2_標準曲線'!$I$8,""))</f>
        <v/>
      </c>
      <c r="L761" s="24">
        <f>IF($A761="","",IF(ISNUMBER(I761),K761*I761*1E-4,""))</f>
        <v/>
      </c>
    </row>
    <row r="762">
      <c r="K762" s="24">
        <f>IF($A762="","",IF(F762="AU",(E762-'2_標準曲線'!$I$9)/'2_標準曲線'!$I$8,""))</f>
        <v/>
      </c>
      <c r="L762" s="24">
        <f>IF($A762="","",IF(ISNUMBER(I762),K762*I762*1E-4,""))</f>
        <v/>
      </c>
    </row>
    <row r="763">
      <c r="K763" s="24">
        <f>IF($A763="","",IF(F763="AU",(E763-'2_標準曲線'!$I$9)/'2_標準曲線'!$I$8,""))</f>
        <v/>
      </c>
      <c r="L763" s="24">
        <f>IF($A763="","",IF(ISNUMBER(I763),K763*I763*1E-4,""))</f>
        <v/>
      </c>
    </row>
    <row r="764">
      <c r="K764" s="24">
        <f>IF($A764="","",IF(F764="AU",(E764-'2_標準曲線'!$I$9)/'2_標準曲線'!$I$8,""))</f>
        <v/>
      </c>
      <c r="L764" s="24">
        <f>IF($A764="","",IF(ISNUMBER(I764),K764*I764*1E-4,""))</f>
        <v/>
      </c>
    </row>
    <row r="765">
      <c r="K765" s="24">
        <f>IF($A765="","",IF(F765="AU",(E765-'2_標準曲線'!$I$9)/'2_標準曲線'!$I$8,""))</f>
        <v/>
      </c>
      <c r="L765" s="24">
        <f>IF($A765="","",IF(ISNUMBER(I765),K765*I765*1E-4,""))</f>
        <v/>
      </c>
    </row>
    <row r="766">
      <c r="K766" s="24">
        <f>IF($A766="","",IF(F766="AU",(E766-'2_標準曲線'!$I$9)/'2_標準曲線'!$I$8,""))</f>
        <v/>
      </c>
      <c r="L766" s="24">
        <f>IF($A766="","",IF(ISNUMBER(I766),K766*I766*1E-4,""))</f>
        <v/>
      </c>
    </row>
    <row r="767">
      <c r="K767" s="24">
        <f>IF($A767="","",IF(F767="AU",(E767-'2_標準曲線'!$I$9)/'2_標準曲線'!$I$8,""))</f>
        <v/>
      </c>
      <c r="L767" s="24">
        <f>IF($A767="","",IF(ISNUMBER(I767),K767*I767*1E-4,""))</f>
        <v/>
      </c>
    </row>
    <row r="768">
      <c r="K768" s="24">
        <f>IF($A768="","",IF(F768="AU",(E768-'2_標準曲線'!$I$9)/'2_標準曲線'!$I$8,""))</f>
        <v/>
      </c>
      <c r="L768" s="24">
        <f>IF($A768="","",IF(ISNUMBER(I768),K768*I768*1E-4,""))</f>
        <v/>
      </c>
    </row>
    <row r="769">
      <c r="K769" s="24">
        <f>IF($A769="","",IF(F769="AU",(E769-'2_標準曲線'!$I$9)/'2_標準曲線'!$I$8,""))</f>
        <v/>
      </c>
      <c r="L769" s="24">
        <f>IF($A769="","",IF(ISNUMBER(I769),K769*I769*1E-4,""))</f>
        <v/>
      </c>
    </row>
    <row r="770">
      <c r="K770" s="24">
        <f>IF($A770="","",IF(F770="AU",(E770-'2_標準曲線'!$I$9)/'2_標準曲線'!$I$8,""))</f>
        <v/>
      </c>
      <c r="L770" s="24">
        <f>IF($A770="","",IF(ISNUMBER(I770),K770*I770*1E-4,""))</f>
        <v/>
      </c>
    </row>
    <row r="771">
      <c r="K771" s="24">
        <f>IF($A771="","",IF(F771="AU",(E771-'2_標準曲線'!$I$9)/'2_標準曲線'!$I$8,""))</f>
        <v/>
      </c>
      <c r="L771" s="24">
        <f>IF($A771="","",IF(ISNUMBER(I771),K771*I771*1E-4,""))</f>
        <v/>
      </c>
    </row>
    <row r="772">
      <c r="K772" s="24">
        <f>IF($A772="","",IF(F772="AU",(E772-'2_標準曲線'!$I$9)/'2_標準曲線'!$I$8,""))</f>
        <v/>
      </c>
      <c r="L772" s="24">
        <f>IF($A772="","",IF(ISNUMBER(I772),K772*I772*1E-4,""))</f>
        <v/>
      </c>
    </row>
    <row r="773">
      <c r="K773" s="24">
        <f>IF($A773="","",IF(F773="AU",(E773-'2_標準曲線'!$I$9)/'2_標準曲線'!$I$8,""))</f>
        <v/>
      </c>
      <c r="L773" s="24">
        <f>IF($A773="","",IF(ISNUMBER(I773),K773*I773*1E-4,""))</f>
        <v/>
      </c>
    </row>
    <row r="774">
      <c r="K774" s="24">
        <f>IF($A774="","",IF(F774="AU",(E774-'2_標準曲線'!$I$9)/'2_標準曲線'!$I$8,""))</f>
        <v/>
      </c>
      <c r="L774" s="24">
        <f>IF($A774="","",IF(ISNUMBER(I774),K774*I774*1E-4,""))</f>
        <v/>
      </c>
    </row>
    <row r="775">
      <c r="K775" s="24">
        <f>IF($A775="","",IF(F775="AU",(E775-'2_標準曲線'!$I$9)/'2_標準曲線'!$I$8,""))</f>
        <v/>
      </c>
      <c r="L775" s="24">
        <f>IF($A775="","",IF(ISNUMBER(I775),K775*I775*1E-4,""))</f>
        <v/>
      </c>
    </row>
    <row r="776">
      <c r="K776" s="24">
        <f>IF($A776="","",IF(F776="AU",(E776-'2_標準曲線'!$I$9)/'2_標準曲線'!$I$8,""))</f>
        <v/>
      </c>
      <c r="L776" s="24">
        <f>IF($A776="","",IF(ISNUMBER(I776),K776*I776*1E-4,""))</f>
        <v/>
      </c>
    </row>
    <row r="777">
      <c r="K777" s="24">
        <f>IF($A777="","",IF(F777="AU",(E777-'2_標準曲線'!$I$9)/'2_標準曲線'!$I$8,""))</f>
        <v/>
      </c>
      <c r="L777" s="24">
        <f>IF($A777="","",IF(ISNUMBER(I777),K777*I777*1E-4,""))</f>
        <v/>
      </c>
    </row>
    <row r="778">
      <c r="K778" s="24">
        <f>IF($A778="","",IF(F778="AU",(E778-'2_標準曲線'!$I$9)/'2_標準曲線'!$I$8,""))</f>
        <v/>
      </c>
      <c r="L778" s="24">
        <f>IF($A778="","",IF(ISNUMBER(I778),K778*I778*1E-4,""))</f>
        <v/>
      </c>
    </row>
    <row r="779">
      <c r="K779" s="24">
        <f>IF($A779="","",IF(F779="AU",(E779-'2_標準曲線'!$I$9)/'2_標準曲線'!$I$8,""))</f>
        <v/>
      </c>
      <c r="L779" s="24">
        <f>IF($A779="","",IF(ISNUMBER(I779),K779*I779*1E-4,""))</f>
        <v/>
      </c>
    </row>
    <row r="780">
      <c r="K780" s="24">
        <f>IF($A780="","",IF(F780="AU",(E780-'2_標準曲線'!$I$9)/'2_標準曲線'!$I$8,""))</f>
        <v/>
      </c>
      <c r="L780" s="24">
        <f>IF($A780="","",IF(ISNUMBER(I780),K780*I780*1E-4,""))</f>
        <v/>
      </c>
    </row>
    <row r="781">
      <c r="K781" s="24">
        <f>IF($A781="","",IF(F781="AU",(E781-'2_標準曲線'!$I$9)/'2_標準曲線'!$I$8,""))</f>
        <v/>
      </c>
      <c r="L781" s="24">
        <f>IF($A781="","",IF(ISNUMBER(I781),K781*I781*1E-4,""))</f>
        <v/>
      </c>
    </row>
    <row r="782">
      <c r="K782" s="24">
        <f>IF($A782="","",IF(F782="AU",(E782-'2_標準曲線'!$I$9)/'2_標準曲線'!$I$8,""))</f>
        <v/>
      </c>
      <c r="L782" s="24">
        <f>IF($A782="","",IF(ISNUMBER(I782),K782*I782*1E-4,""))</f>
        <v/>
      </c>
    </row>
    <row r="783">
      <c r="K783" s="24">
        <f>IF($A783="","",IF(F783="AU",(E783-'2_標準曲線'!$I$9)/'2_標準曲線'!$I$8,""))</f>
        <v/>
      </c>
      <c r="L783" s="24">
        <f>IF($A783="","",IF(ISNUMBER(I783),K783*I783*1E-4,""))</f>
        <v/>
      </c>
    </row>
    <row r="784">
      <c r="K784" s="24">
        <f>IF($A784="","",IF(F784="AU",(E784-'2_標準曲線'!$I$9)/'2_標準曲線'!$I$8,""))</f>
        <v/>
      </c>
      <c r="L784" s="24">
        <f>IF($A784="","",IF(ISNUMBER(I784),K784*I784*1E-4,""))</f>
        <v/>
      </c>
    </row>
    <row r="785">
      <c r="K785" s="24">
        <f>IF($A785="","",IF(F785="AU",(E785-'2_標準曲線'!$I$9)/'2_標準曲線'!$I$8,""))</f>
        <v/>
      </c>
      <c r="L785" s="24">
        <f>IF($A785="","",IF(ISNUMBER(I785),K785*I785*1E-4,""))</f>
        <v/>
      </c>
    </row>
    <row r="786">
      <c r="K786" s="24">
        <f>IF($A786="","",IF(F786="AU",(E786-'2_標準曲線'!$I$9)/'2_標準曲線'!$I$8,""))</f>
        <v/>
      </c>
      <c r="L786" s="24">
        <f>IF($A786="","",IF(ISNUMBER(I786),K786*I786*1E-4,""))</f>
        <v/>
      </c>
    </row>
    <row r="787">
      <c r="K787" s="24">
        <f>IF($A787="","",IF(F787="AU",(E787-'2_標準曲線'!$I$9)/'2_標準曲線'!$I$8,""))</f>
        <v/>
      </c>
      <c r="L787" s="24">
        <f>IF($A787="","",IF(ISNUMBER(I787),K787*I787*1E-4,""))</f>
        <v/>
      </c>
    </row>
    <row r="788">
      <c r="K788" s="24">
        <f>IF($A788="","",IF(F788="AU",(E788-'2_標準曲線'!$I$9)/'2_標準曲線'!$I$8,""))</f>
        <v/>
      </c>
      <c r="L788" s="24">
        <f>IF($A788="","",IF(ISNUMBER(I788),K788*I788*1E-4,""))</f>
        <v/>
      </c>
    </row>
    <row r="789">
      <c r="K789" s="24">
        <f>IF($A789="","",IF(F789="AU",(E789-'2_標準曲線'!$I$9)/'2_標準曲線'!$I$8,""))</f>
        <v/>
      </c>
      <c r="L789" s="24">
        <f>IF($A789="","",IF(ISNUMBER(I789),K789*I789*1E-4,""))</f>
        <v/>
      </c>
    </row>
    <row r="790">
      <c r="K790" s="24">
        <f>IF($A790="","",IF(F790="AU",(E790-'2_標準曲線'!$I$9)/'2_標準曲線'!$I$8,""))</f>
        <v/>
      </c>
      <c r="L790" s="24">
        <f>IF($A790="","",IF(ISNUMBER(I790),K790*I790*1E-4,""))</f>
        <v/>
      </c>
    </row>
    <row r="791">
      <c r="K791" s="24">
        <f>IF($A791="","",IF(F791="AU",(E791-'2_標準曲線'!$I$9)/'2_標準曲線'!$I$8,""))</f>
        <v/>
      </c>
      <c r="L791" s="24">
        <f>IF($A791="","",IF(ISNUMBER(I791),K791*I791*1E-4,""))</f>
        <v/>
      </c>
    </row>
    <row r="792">
      <c r="K792" s="24">
        <f>IF($A792="","",IF(F792="AU",(E792-'2_標準曲線'!$I$9)/'2_標準曲線'!$I$8,""))</f>
        <v/>
      </c>
      <c r="L792" s="24">
        <f>IF($A792="","",IF(ISNUMBER(I792),K792*I792*1E-4,""))</f>
        <v/>
      </c>
    </row>
    <row r="793">
      <c r="K793" s="24">
        <f>IF($A793="","",IF(F793="AU",(E793-'2_標準曲線'!$I$9)/'2_標準曲線'!$I$8,""))</f>
        <v/>
      </c>
      <c r="L793" s="24">
        <f>IF($A793="","",IF(ISNUMBER(I793),K793*I793*1E-4,""))</f>
        <v/>
      </c>
    </row>
    <row r="794">
      <c r="K794" s="24">
        <f>IF($A794="","",IF(F794="AU",(E794-'2_標準曲線'!$I$9)/'2_標準曲線'!$I$8,""))</f>
        <v/>
      </c>
      <c r="L794" s="24">
        <f>IF($A794="","",IF(ISNUMBER(I794),K794*I794*1E-4,""))</f>
        <v/>
      </c>
    </row>
    <row r="795">
      <c r="K795" s="24">
        <f>IF($A795="","",IF(F795="AU",(E795-'2_標準曲線'!$I$9)/'2_標準曲線'!$I$8,""))</f>
        <v/>
      </c>
      <c r="L795" s="24">
        <f>IF($A795="","",IF(ISNUMBER(I795),K795*I795*1E-4,""))</f>
        <v/>
      </c>
    </row>
    <row r="796">
      <c r="K796" s="24">
        <f>IF($A796="","",IF(F796="AU",(E796-'2_標準曲線'!$I$9)/'2_標準曲線'!$I$8,""))</f>
        <v/>
      </c>
      <c r="L796" s="24">
        <f>IF($A796="","",IF(ISNUMBER(I796),K796*I796*1E-4,""))</f>
        <v/>
      </c>
    </row>
    <row r="797">
      <c r="K797" s="24">
        <f>IF($A797="","",IF(F797="AU",(E797-'2_標準曲線'!$I$9)/'2_標準曲線'!$I$8,""))</f>
        <v/>
      </c>
      <c r="L797" s="24">
        <f>IF($A797="","",IF(ISNUMBER(I797),K797*I797*1E-4,""))</f>
        <v/>
      </c>
    </row>
    <row r="798">
      <c r="K798" s="24">
        <f>IF($A798="","",IF(F798="AU",(E798-'2_標準曲線'!$I$9)/'2_標準曲線'!$I$8,""))</f>
        <v/>
      </c>
      <c r="L798" s="24">
        <f>IF($A798="","",IF(ISNUMBER(I798),K798*I798*1E-4,""))</f>
        <v/>
      </c>
    </row>
    <row r="799">
      <c r="K799" s="24">
        <f>IF($A799="","",IF(F799="AU",(E799-'2_標準曲線'!$I$9)/'2_標準曲線'!$I$8,""))</f>
        <v/>
      </c>
      <c r="L799" s="24">
        <f>IF($A799="","",IF(ISNUMBER(I799),K799*I799*1E-4,""))</f>
        <v/>
      </c>
    </row>
    <row r="800">
      <c r="K800" s="24">
        <f>IF($A800="","",IF(F800="AU",(E800-'2_標準曲線'!$I$9)/'2_標準曲線'!$I$8,""))</f>
        <v/>
      </c>
      <c r="L800" s="24">
        <f>IF($A800="","",IF(ISNUMBER(I800),K800*I800*1E-4,""))</f>
        <v/>
      </c>
    </row>
    <row r="801">
      <c r="K801" s="24">
        <f>IF($A801="","",IF(F801="AU",(E801-'2_標準曲線'!$I$9)/'2_標準曲線'!$I$8,""))</f>
        <v/>
      </c>
      <c r="L801" s="24">
        <f>IF($A801="","",IF(ISNUMBER(I801),K801*I801*1E-4,""))</f>
        <v/>
      </c>
    </row>
    <row r="802">
      <c r="K802" s="24">
        <f>IF($A802="","",IF(F802="AU",(E802-'2_標準曲線'!$I$9)/'2_標準曲線'!$I$8,""))</f>
        <v/>
      </c>
      <c r="L802" s="24">
        <f>IF($A802="","",IF(ISNUMBER(I802),K802*I802*1E-4,""))</f>
        <v/>
      </c>
    </row>
    <row r="803">
      <c r="K803" s="24">
        <f>IF($A803="","",IF(F803="AU",(E803-'2_標準曲線'!$I$9)/'2_標準曲線'!$I$8,""))</f>
        <v/>
      </c>
      <c r="L803" s="24">
        <f>IF($A803="","",IF(ISNUMBER(I803),K803*I803*1E-4,""))</f>
        <v/>
      </c>
    </row>
    <row r="804">
      <c r="K804" s="24">
        <f>IF($A804="","",IF(F804="AU",(E804-'2_標準曲線'!$I$9)/'2_標準曲線'!$I$8,""))</f>
        <v/>
      </c>
      <c r="L804" s="24">
        <f>IF($A804="","",IF(ISNUMBER(I804),K804*I804*1E-4,""))</f>
        <v/>
      </c>
    </row>
    <row r="805">
      <c r="K805" s="24">
        <f>IF($A805="","",IF(F805="AU",(E805-'2_標準曲線'!$I$9)/'2_標準曲線'!$I$8,""))</f>
        <v/>
      </c>
      <c r="L805" s="24">
        <f>IF($A805="","",IF(ISNUMBER(I805),K805*I805*1E-4,""))</f>
        <v/>
      </c>
    </row>
    <row r="806">
      <c r="K806" s="24">
        <f>IF($A806="","",IF(F806="AU",(E806-'2_標準曲線'!$I$9)/'2_標準曲線'!$I$8,""))</f>
        <v/>
      </c>
      <c r="L806" s="24">
        <f>IF($A806="","",IF(ISNUMBER(I806),K806*I806*1E-4,""))</f>
        <v/>
      </c>
    </row>
    <row r="807">
      <c r="K807" s="24">
        <f>IF($A807="","",IF(F807="AU",(E807-'2_標準曲線'!$I$9)/'2_標準曲線'!$I$8,""))</f>
        <v/>
      </c>
      <c r="L807" s="24">
        <f>IF($A807="","",IF(ISNUMBER(I807),K807*I807*1E-4,""))</f>
        <v/>
      </c>
    </row>
    <row r="808">
      <c r="K808" s="24">
        <f>IF($A808="","",IF(F808="AU",(E808-'2_標準曲線'!$I$9)/'2_標準曲線'!$I$8,""))</f>
        <v/>
      </c>
      <c r="L808" s="24">
        <f>IF($A808="","",IF(ISNUMBER(I808),K808*I808*1E-4,""))</f>
        <v/>
      </c>
    </row>
    <row r="809">
      <c r="K809" s="24">
        <f>IF($A809="","",IF(F809="AU",(E809-'2_標準曲線'!$I$9)/'2_標準曲線'!$I$8,""))</f>
        <v/>
      </c>
      <c r="L809" s="24">
        <f>IF($A809="","",IF(ISNUMBER(I809),K809*I809*1E-4,""))</f>
        <v/>
      </c>
    </row>
    <row r="810">
      <c r="K810" s="24">
        <f>IF($A810="","",IF(F810="AU",(E810-'2_標準曲線'!$I$9)/'2_標準曲線'!$I$8,""))</f>
        <v/>
      </c>
      <c r="L810" s="24">
        <f>IF($A810="","",IF(ISNUMBER(I810),K810*I810*1E-4,""))</f>
        <v/>
      </c>
    </row>
    <row r="811">
      <c r="K811" s="24">
        <f>IF($A811="","",IF(F811="AU",(E811-'2_標準曲線'!$I$9)/'2_標準曲線'!$I$8,""))</f>
        <v/>
      </c>
      <c r="L811" s="24">
        <f>IF($A811="","",IF(ISNUMBER(I811),K811*I811*1E-4,""))</f>
        <v/>
      </c>
    </row>
    <row r="812">
      <c r="K812" s="24">
        <f>IF($A812="","",IF(F812="AU",(E812-'2_標準曲線'!$I$9)/'2_標準曲線'!$I$8,""))</f>
        <v/>
      </c>
      <c r="L812" s="24">
        <f>IF($A812="","",IF(ISNUMBER(I812),K812*I812*1E-4,""))</f>
        <v/>
      </c>
    </row>
    <row r="813">
      <c r="K813" s="24">
        <f>IF($A813="","",IF(F813="AU",(E813-'2_標準曲線'!$I$9)/'2_標準曲線'!$I$8,""))</f>
        <v/>
      </c>
      <c r="L813" s="24">
        <f>IF($A813="","",IF(ISNUMBER(I813),K813*I813*1E-4,""))</f>
        <v/>
      </c>
    </row>
    <row r="814">
      <c r="K814" s="24">
        <f>IF($A814="","",IF(F814="AU",(E814-'2_標準曲線'!$I$9)/'2_標準曲線'!$I$8,""))</f>
        <v/>
      </c>
      <c r="L814" s="24">
        <f>IF($A814="","",IF(ISNUMBER(I814),K814*I814*1E-4,""))</f>
        <v/>
      </c>
    </row>
    <row r="815">
      <c r="K815" s="24">
        <f>IF($A815="","",IF(F815="AU",(E815-'2_標準曲線'!$I$9)/'2_標準曲線'!$I$8,""))</f>
        <v/>
      </c>
      <c r="L815" s="24">
        <f>IF($A815="","",IF(ISNUMBER(I815),K815*I815*1E-4,""))</f>
        <v/>
      </c>
    </row>
    <row r="816">
      <c r="K816" s="24">
        <f>IF($A816="","",IF(F816="AU",(E816-'2_標準曲線'!$I$9)/'2_標準曲線'!$I$8,""))</f>
        <v/>
      </c>
      <c r="L816" s="24">
        <f>IF($A816="","",IF(ISNUMBER(I816),K816*I816*1E-4,""))</f>
        <v/>
      </c>
    </row>
    <row r="817">
      <c r="K817" s="24">
        <f>IF($A817="","",IF(F817="AU",(E817-'2_標準曲線'!$I$9)/'2_標準曲線'!$I$8,""))</f>
        <v/>
      </c>
      <c r="L817" s="24">
        <f>IF($A817="","",IF(ISNUMBER(I817),K817*I817*1E-4,""))</f>
        <v/>
      </c>
    </row>
    <row r="818">
      <c r="K818" s="24">
        <f>IF($A818="","",IF(F818="AU",(E818-'2_標準曲線'!$I$9)/'2_標準曲線'!$I$8,""))</f>
        <v/>
      </c>
      <c r="L818" s="24">
        <f>IF($A818="","",IF(ISNUMBER(I818),K818*I818*1E-4,""))</f>
        <v/>
      </c>
    </row>
    <row r="819">
      <c r="K819" s="24">
        <f>IF($A819="","",IF(F819="AU",(E819-'2_標準曲線'!$I$9)/'2_標準曲線'!$I$8,""))</f>
        <v/>
      </c>
      <c r="L819" s="24">
        <f>IF($A819="","",IF(ISNUMBER(I819),K819*I819*1E-4,""))</f>
        <v/>
      </c>
    </row>
    <row r="820">
      <c r="K820" s="24">
        <f>IF($A820="","",IF(F820="AU",(E820-'2_標準曲線'!$I$9)/'2_標準曲線'!$I$8,""))</f>
        <v/>
      </c>
      <c r="L820" s="24">
        <f>IF($A820="","",IF(ISNUMBER(I820),K820*I820*1E-4,""))</f>
        <v/>
      </c>
    </row>
    <row r="821">
      <c r="K821" s="24">
        <f>IF($A821="","",IF(F821="AU",(E821-'2_標準曲線'!$I$9)/'2_標準曲線'!$I$8,""))</f>
        <v/>
      </c>
      <c r="L821" s="24">
        <f>IF($A821="","",IF(ISNUMBER(I821),K821*I821*1E-4,""))</f>
        <v/>
      </c>
    </row>
    <row r="822">
      <c r="K822" s="24">
        <f>IF($A822="","",IF(F822="AU",(E822-'2_標準曲線'!$I$9)/'2_標準曲線'!$I$8,""))</f>
        <v/>
      </c>
      <c r="L822" s="24">
        <f>IF($A822="","",IF(ISNUMBER(I822),K822*I822*1E-4,""))</f>
        <v/>
      </c>
    </row>
    <row r="823">
      <c r="K823" s="24">
        <f>IF($A823="","",IF(F823="AU",(E823-'2_標準曲線'!$I$9)/'2_標準曲線'!$I$8,""))</f>
        <v/>
      </c>
      <c r="L823" s="24">
        <f>IF($A823="","",IF(ISNUMBER(I823),K823*I823*1E-4,""))</f>
        <v/>
      </c>
    </row>
    <row r="824">
      <c r="K824" s="24">
        <f>IF($A824="","",IF(F824="AU",(E824-'2_標準曲線'!$I$9)/'2_標準曲線'!$I$8,""))</f>
        <v/>
      </c>
      <c r="L824" s="24">
        <f>IF($A824="","",IF(ISNUMBER(I824),K824*I824*1E-4,""))</f>
        <v/>
      </c>
    </row>
    <row r="825">
      <c r="K825" s="24">
        <f>IF($A825="","",IF(F825="AU",(E825-'2_標準曲線'!$I$9)/'2_標準曲線'!$I$8,""))</f>
        <v/>
      </c>
      <c r="L825" s="24">
        <f>IF($A825="","",IF(ISNUMBER(I825),K825*I825*1E-4,""))</f>
        <v/>
      </c>
    </row>
    <row r="826">
      <c r="K826" s="24">
        <f>IF($A826="","",IF(F826="AU",(E826-'2_標準曲線'!$I$9)/'2_標準曲線'!$I$8,""))</f>
        <v/>
      </c>
      <c r="L826" s="24">
        <f>IF($A826="","",IF(ISNUMBER(I826),K826*I826*1E-4,""))</f>
        <v/>
      </c>
    </row>
    <row r="827">
      <c r="K827" s="24">
        <f>IF($A827="","",IF(F827="AU",(E827-'2_標準曲線'!$I$9)/'2_標準曲線'!$I$8,""))</f>
        <v/>
      </c>
      <c r="L827" s="24">
        <f>IF($A827="","",IF(ISNUMBER(I827),K827*I827*1E-4,""))</f>
        <v/>
      </c>
    </row>
    <row r="828">
      <c r="K828" s="24">
        <f>IF($A828="","",IF(F828="AU",(E828-'2_標準曲線'!$I$9)/'2_標準曲線'!$I$8,""))</f>
        <v/>
      </c>
      <c r="L828" s="24">
        <f>IF($A828="","",IF(ISNUMBER(I828),K828*I828*1E-4,""))</f>
        <v/>
      </c>
    </row>
    <row r="829">
      <c r="K829" s="24">
        <f>IF($A829="","",IF(F829="AU",(E829-'2_標準曲線'!$I$9)/'2_標準曲線'!$I$8,""))</f>
        <v/>
      </c>
      <c r="L829" s="24">
        <f>IF($A829="","",IF(ISNUMBER(I829),K829*I829*1E-4,""))</f>
        <v/>
      </c>
    </row>
    <row r="830">
      <c r="K830" s="24">
        <f>IF($A830="","",IF(F830="AU",(E830-'2_標準曲線'!$I$9)/'2_標準曲線'!$I$8,""))</f>
        <v/>
      </c>
      <c r="L830" s="24">
        <f>IF($A830="","",IF(ISNUMBER(I830),K830*I830*1E-4,""))</f>
        <v/>
      </c>
    </row>
    <row r="831">
      <c r="K831" s="24">
        <f>IF($A831="","",IF(F831="AU",(E831-'2_標準曲線'!$I$9)/'2_標準曲線'!$I$8,""))</f>
        <v/>
      </c>
      <c r="L831" s="24">
        <f>IF($A831="","",IF(ISNUMBER(I831),K831*I831*1E-4,""))</f>
        <v/>
      </c>
    </row>
    <row r="832">
      <c r="K832" s="24">
        <f>IF($A832="","",IF(F832="AU",(E832-'2_標準曲線'!$I$9)/'2_標準曲線'!$I$8,""))</f>
        <v/>
      </c>
      <c r="L832" s="24">
        <f>IF($A832="","",IF(ISNUMBER(I832),K832*I832*1E-4,""))</f>
        <v/>
      </c>
    </row>
    <row r="833">
      <c r="K833" s="24">
        <f>IF($A833="","",IF(F833="AU",(E833-'2_標準曲線'!$I$9)/'2_標準曲線'!$I$8,""))</f>
        <v/>
      </c>
      <c r="L833" s="24">
        <f>IF($A833="","",IF(ISNUMBER(I833),K833*I833*1E-4,""))</f>
        <v/>
      </c>
    </row>
    <row r="834">
      <c r="K834" s="24">
        <f>IF($A834="","",IF(F834="AU",(E834-'2_標準曲線'!$I$9)/'2_標準曲線'!$I$8,""))</f>
        <v/>
      </c>
      <c r="L834" s="24">
        <f>IF($A834="","",IF(ISNUMBER(I834),K834*I834*1E-4,""))</f>
        <v/>
      </c>
    </row>
    <row r="835">
      <c r="K835" s="24">
        <f>IF($A835="","",IF(F835="AU",(E835-'2_標準曲線'!$I$9)/'2_標準曲線'!$I$8,""))</f>
        <v/>
      </c>
      <c r="L835" s="24">
        <f>IF($A835="","",IF(ISNUMBER(I835),K835*I835*1E-4,""))</f>
        <v/>
      </c>
    </row>
    <row r="836">
      <c r="K836" s="24">
        <f>IF($A836="","",IF(F836="AU",(E836-'2_標準曲線'!$I$9)/'2_標準曲線'!$I$8,""))</f>
        <v/>
      </c>
      <c r="L836" s="24">
        <f>IF($A836="","",IF(ISNUMBER(I836),K836*I836*1E-4,""))</f>
        <v/>
      </c>
    </row>
    <row r="837">
      <c r="K837" s="24">
        <f>IF($A837="","",IF(F837="AU",(E837-'2_標準曲線'!$I$9)/'2_標準曲線'!$I$8,""))</f>
        <v/>
      </c>
      <c r="L837" s="24">
        <f>IF($A837="","",IF(ISNUMBER(I837),K837*I837*1E-4,""))</f>
        <v/>
      </c>
    </row>
    <row r="838">
      <c r="K838" s="24">
        <f>IF($A838="","",IF(F838="AU",(E838-'2_標準曲線'!$I$9)/'2_標準曲線'!$I$8,""))</f>
        <v/>
      </c>
      <c r="L838" s="24">
        <f>IF($A838="","",IF(ISNUMBER(I838),K838*I838*1E-4,""))</f>
        <v/>
      </c>
    </row>
    <row r="839">
      <c r="K839" s="24">
        <f>IF($A839="","",IF(F839="AU",(E839-'2_標準曲線'!$I$9)/'2_標準曲線'!$I$8,""))</f>
        <v/>
      </c>
      <c r="L839" s="24">
        <f>IF($A839="","",IF(ISNUMBER(I839),K839*I839*1E-4,""))</f>
        <v/>
      </c>
    </row>
    <row r="840">
      <c r="K840" s="24">
        <f>IF($A840="","",IF(F840="AU",(E840-'2_標準曲線'!$I$9)/'2_標準曲線'!$I$8,""))</f>
        <v/>
      </c>
      <c r="L840" s="24">
        <f>IF($A840="","",IF(ISNUMBER(I840),K840*I840*1E-4,""))</f>
        <v/>
      </c>
    </row>
    <row r="841">
      <c r="K841" s="24">
        <f>IF($A841="","",IF(F841="AU",(E841-'2_標準曲線'!$I$9)/'2_標準曲線'!$I$8,""))</f>
        <v/>
      </c>
      <c r="L841" s="24">
        <f>IF($A841="","",IF(ISNUMBER(I841),K841*I841*1E-4,""))</f>
        <v/>
      </c>
    </row>
    <row r="842">
      <c r="K842" s="24">
        <f>IF($A842="","",IF(F842="AU",(E842-'2_標準曲線'!$I$9)/'2_標準曲線'!$I$8,""))</f>
        <v/>
      </c>
      <c r="L842" s="24">
        <f>IF($A842="","",IF(ISNUMBER(I842),K842*I842*1E-4,""))</f>
        <v/>
      </c>
    </row>
    <row r="843">
      <c r="K843" s="24">
        <f>IF($A843="","",IF(F843="AU",(E843-'2_標準曲線'!$I$9)/'2_標準曲線'!$I$8,""))</f>
        <v/>
      </c>
      <c r="L843" s="24">
        <f>IF($A843="","",IF(ISNUMBER(I843),K843*I843*1E-4,""))</f>
        <v/>
      </c>
    </row>
    <row r="844">
      <c r="K844" s="24">
        <f>IF($A844="","",IF(F844="AU",(E844-'2_標準曲線'!$I$9)/'2_標準曲線'!$I$8,""))</f>
        <v/>
      </c>
      <c r="L844" s="24">
        <f>IF($A844="","",IF(ISNUMBER(I844),K844*I844*1E-4,""))</f>
        <v/>
      </c>
    </row>
    <row r="845">
      <c r="K845" s="24">
        <f>IF($A845="","",IF(F845="AU",(E845-'2_標準曲線'!$I$9)/'2_標準曲線'!$I$8,""))</f>
        <v/>
      </c>
      <c r="L845" s="24">
        <f>IF($A845="","",IF(ISNUMBER(I845),K845*I845*1E-4,""))</f>
        <v/>
      </c>
    </row>
    <row r="846">
      <c r="K846" s="24">
        <f>IF($A846="","",IF(F846="AU",(E846-'2_標準曲線'!$I$9)/'2_標準曲線'!$I$8,""))</f>
        <v/>
      </c>
      <c r="L846" s="24">
        <f>IF($A846="","",IF(ISNUMBER(I846),K846*I846*1E-4,""))</f>
        <v/>
      </c>
    </row>
    <row r="847">
      <c r="K847" s="24">
        <f>IF($A847="","",IF(F847="AU",(E847-'2_標準曲線'!$I$9)/'2_標準曲線'!$I$8,""))</f>
        <v/>
      </c>
      <c r="L847" s="24">
        <f>IF($A847="","",IF(ISNUMBER(I847),K847*I847*1E-4,""))</f>
        <v/>
      </c>
    </row>
    <row r="848">
      <c r="K848" s="24">
        <f>IF($A848="","",IF(F848="AU",(E848-'2_標準曲線'!$I$9)/'2_標準曲線'!$I$8,""))</f>
        <v/>
      </c>
      <c r="L848" s="24">
        <f>IF($A848="","",IF(ISNUMBER(I848),K848*I848*1E-4,""))</f>
        <v/>
      </c>
    </row>
    <row r="849">
      <c r="K849" s="24">
        <f>IF($A849="","",IF(F849="AU",(E849-'2_標準曲線'!$I$9)/'2_標準曲線'!$I$8,""))</f>
        <v/>
      </c>
      <c r="L849" s="24">
        <f>IF($A849="","",IF(ISNUMBER(I849),K849*I849*1E-4,""))</f>
        <v/>
      </c>
    </row>
    <row r="850">
      <c r="K850" s="24">
        <f>IF($A850="","",IF(F850="AU",(E850-'2_標準曲線'!$I$9)/'2_標準曲線'!$I$8,""))</f>
        <v/>
      </c>
      <c r="L850" s="24">
        <f>IF($A850="","",IF(ISNUMBER(I850),K850*I850*1E-4,""))</f>
        <v/>
      </c>
    </row>
    <row r="851">
      <c r="K851" s="24">
        <f>IF($A851="","",IF(F851="AU",(E851-'2_標準曲線'!$I$9)/'2_標準曲線'!$I$8,""))</f>
        <v/>
      </c>
      <c r="L851" s="24">
        <f>IF($A851="","",IF(ISNUMBER(I851),K851*I851*1E-4,""))</f>
        <v/>
      </c>
    </row>
    <row r="852">
      <c r="K852" s="24">
        <f>IF($A852="","",IF(F852="AU",(E852-'2_標準曲線'!$I$9)/'2_標準曲線'!$I$8,""))</f>
        <v/>
      </c>
      <c r="L852" s="24">
        <f>IF($A852="","",IF(ISNUMBER(I852),K852*I852*1E-4,""))</f>
        <v/>
      </c>
    </row>
    <row r="853">
      <c r="K853" s="24">
        <f>IF($A853="","",IF(F853="AU",(E853-'2_標準曲線'!$I$9)/'2_標準曲線'!$I$8,""))</f>
        <v/>
      </c>
      <c r="L853" s="24">
        <f>IF($A853="","",IF(ISNUMBER(I853),K853*I853*1E-4,""))</f>
        <v/>
      </c>
    </row>
    <row r="854">
      <c r="K854" s="24">
        <f>IF($A854="","",IF(F854="AU",(E854-'2_標準曲線'!$I$9)/'2_標準曲線'!$I$8,""))</f>
        <v/>
      </c>
      <c r="L854" s="24">
        <f>IF($A854="","",IF(ISNUMBER(I854),K854*I854*1E-4,""))</f>
        <v/>
      </c>
    </row>
    <row r="855">
      <c r="K855" s="24">
        <f>IF($A855="","",IF(F855="AU",(E855-'2_標準曲線'!$I$9)/'2_標準曲線'!$I$8,""))</f>
        <v/>
      </c>
      <c r="L855" s="24">
        <f>IF($A855="","",IF(ISNUMBER(I855),K855*I855*1E-4,""))</f>
        <v/>
      </c>
    </row>
    <row r="856">
      <c r="K856" s="24">
        <f>IF($A856="","",IF(F856="AU",(E856-'2_標準曲線'!$I$9)/'2_標準曲線'!$I$8,""))</f>
        <v/>
      </c>
      <c r="L856" s="24">
        <f>IF($A856="","",IF(ISNUMBER(I856),K856*I856*1E-4,""))</f>
        <v/>
      </c>
    </row>
    <row r="857">
      <c r="K857" s="24">
        <f>IF($A857="","",IF(F857="AU",(E857-'2_標準曲線'!$I$9)/'2_標準曲線'!$I$8,""))</f>
        <v/>
      </c>
      <c r="L857" s="24">
        <f>IF($A857="","",IF(ISNUMBER(I857),K857*I857*1E-4,""))</f>
        <v/>
      </c>
    </row>
    <row r="858">
      <c r="K858" s="24">
        <f>IF($A858="","",IF(F858="AU",(E858-'2_標準曲線'!$I$9)/'2_標準曲線'!$I$8,""))</f>
        <v/>
      </c>
      <c r="L858" s="24">
        <f>IF($A858="","",IF(ISNUMBER(I858),K858*I858*1E-4,""))</f>
        <v/>
      </c>
    </row>
    <row r="859">
      <c r="K859" s="24">
        <f>IF($A859="","",IF(F859="AU",(E859-'2_標準曲線'!$I$9)/'2_標準曲線'!$I$8,""))</f>
        <v/>
      </c>
      <c r="L859" s="24">
        <f>IF($A859="","",IF(ISNUMBER(I859),K859*I859*1E-4,""))</f>
        <v/>
      </c>
    </row>
    <row r="860">
      <c r="K860" s="24">
        <f>IF($A860="","",IF(F860="AU",(E860-'2_標準曲線'!$I$9)/'2_標準曲線'!$I$8,""))</f>
        <v/>
      </c>
      <c r="L860" s="24">
        <f>IF($A860="","",IF(ISNUMBER(I860),K860*I860*1E-4,""))</f>
        <v/>
      </c>
    </row>
    <row r="861">
      <c r="K861" s="24">
        <f>IF($A861="","",IF(F861="AU",(E861-'2_標準曲線'!$I$9)/'2_標準曲線'!$I$8,""))</f>
        <v/>
      </c>
      <c r="L861" s="24">
        <f>IF($A861="","",IF(ISNUMBER(I861),K861*I861*1E-4,""))</f>
        <v/>
      </c>
    </row>
    <row r="862">
      <c r="K862" s="24">
        <f>IF($A862="","",IF(F862="AU",(E862-'2_標準曲線'!$I$9)/'2_標準曲線'!$I$8,""))</f>
        <v/>
      </c>
      <c r="L862" s="24">
        <f>IF($A862="","",IF(ISNUMBER(I862),K862*I862*1E-4,""))</f>
        <v/>
      </c>
    </row>
    <row r="863">
      <c r="K863" s="24">
        <f>IF($A863="","",IF(F863="AU",(E863-'2_標準曲線'!$I$9)/'2_標準曲線'!$I$8,""))</f>
        <v/>
      </c>
      <c r="L863" s="24">
        <f>IF($A863="","",IF(ISNUMBER(I863),K863*I863*1E-4,""))</f>
        <v/>
      </c>
    </row>
    <row r="864">
      <c r="K864" s="24">
        <f>IF($A864="","",IF(F864="AU",(E864-'2_標準曲線'!$I$9)/'2_標準曲線'!$I$8,""))</f>
        <v/>
      </c>
      <c r="L864" s="24">
        <f>IF($A864="","",IF(ISNUMBER(I864),K864*I864*1E-4,""))</f>
        <v/>
      </c>
    </row>
    <row r="865">
      <c r="K865" s="24">
        <f>IF($A865="","",IF(F865="AU",(E865-'2_標準曲線'!$I$9)/'2_標準曲線'!$I$8,""))</f>
        <v/>
      </c>
      <c r="L865" s="24">
        <f>IF($A865="","",IF(ISNUMBER(I865),K865*I865*1E-4,""))</f>
        <v/>
      </c>
    </row>
    <row r="866">
      <c r="K866" s="24">
        <f>IF($A866="","",IF(F866="AU",(E866-'2_標準曲線'!$I$9)/'2_標準曲線'!$I$8,""))</f>
        <v/>
      </c>
      <c r="L866" s="24">
        <f>IF($A866="","",IF(ISNUMBER(I866),K866*I866*1E-4,""))</f>
        <v/>
      </c>
    </row>
    <row r="867">
      <c r="K867" s="24">
        <f>IF($A867="","",IF(F867="AU",(E867-'2_標準曲線'!$I$9)/'2_標準曲線'!$I$8,""))</f>
        <v/>
      </c>
      <c r="L867" s="24">
        <f>IF($A867="","",IF(ISNUMBER(I867),K867*I867*1E-4,""))</f>
        <v/>
      </c>
    </row>
    <row r="868">
      <c r="K868" s="24">
        <f>IF($A868="","",IF(F868="AU",(E868-'2_標準曲線'!$I$9)/'2_標準曲線'!$I$8,""))</f>
        <v/>
      </c>
      <c r="L868" s="24">
        <f>IF($A868="","",IF(ISNUMBER(I868),K868*I868*1E-4,""))</f>
        <v/>
      </c>
    </row>
    <row r="869">
      <c r="K869" s="24">
        <f>IF($A869="","",IF(F869="AU",(E869-'2_標準曲線'!$I$9)/'2_標準曲線'!$I$8,""))</f>
        <v/>
      </c>
      <c r="L869" s="24">
        <f>IF($A869="","",IF(ISNUMBER(I869),K869*I869*1E-4,""))</f>
        <v/>
      </c>
    </row>
    <row r="870">
      <c r="K870" s="24">
        <f>IF($A870="","",IF(F870="AU",(E870-'2_標準曲線'!$I$9)/'2_標準曲線'!$I$8,""))</f>
        <v/>
      </c>
      <c r="L870" s="24">
        <f>IF($A870="","",IF(ISNUMBER(I870),K870*I870*1E-4,""))</f>
        <v/>
      </c>
    </row>
    <row r="871">
      <c r="K871" s="24">
        <f>IF($A871="","",IF(F871="AU",(E871-'2_標準曲線'!$I$9)/'2_標準曲線'!$I$8,""))</f>
        <v/>
      </c>
      <c r="L871" s="24">
        <f>IF($A871="","",IF(ISNUMBER(I871),K871*I871*1E-4,""))</f>
        <v/>
      </c>
    </row>
    <row r="872">
      <c r="K872" s="24">
        <f>IF($A872="","",IF(F872="AU",(E872-'2_標準曲線'!$I$9)/'2_標準曲線'!$I$8,""))</f>
        <v/>
      </c>
      <c r="L872" s="24">
        <f>IF($A872="","",IF(ISNUMBER(I872),K872*I872*1E-4,""))</f>
        <v/>
      </c>
    </row>
    <row r="873">
      <c r="K873" s="24">
        <f>IF($A873="","",IF(F873="AU",(E873-'2_標準曲線'!$I$9)/'2_標準曲線'!$I$8,""))</f>
        <v/>
      </c>
      <c r="L873" s="24">
        <f>IF($A873="","",IF(ISNUMBER(I873),K873*I873*1E-4,""))</f>
        <v/>
      </c>
    </row>
    <row r="874">
      <c r="K874" s="24">
        <f>IF($A874="","",IF(F874="AU",(E874-'2_標準曲線'!$I$9)/'2_標準曲線'!$I$8,""))</f>
        <v/>
      </c>
      <c r="L874" s="24">
        <f>IF($A874="","",IF(ISNUMBER(I874),K874*I874*1E-4,""))</f>
        <v/>
      </c>
    </row>
    <row r="875">
      <c r="K875" s="24">
        <f>IF($A875="","",IF(F875="AU",(E875-'2_標準曲線'!$I$9)/'2_標準曲線'!$I$8,""))</f>
        <v/>
      </c>
      <c r="L875" s="24">
        <f>IF($A875="","",IF(ISNUMBER(I875),K875*I875*1E-4,""))</f>
        <v/>
      </c>
    </row>
    <row r="876">
      <c r="K876" s="24">
        <f>IF($A876="","",IF(F876="AU",(E876-'2_標準曲線'!$I$9)/'2_標準曲線'!$I$8,""))</f>
        <v/>
      </c>
      <c r="L876" s="24">
        <f>IF($A876="","",IF(ISNUMBER(I876),K876*I876*1E-4,""))</f>
        <v/>
      </c>
    </row>
    <row r="877">
      <c r="K877" s="24">
        <f>IF($A877="","",IF(F877="AU",(E877-'2_標準曲線'!$I$9)/'2_標準曲線'!$I$8,""))</f>
        <v/>
      </c>
      <c r="L877" s="24">
        <f>IF($A877="","",IF(ISNUMBER(I877),K877*I877*1E-4,""))</f>
        <v/>
      </c>
    </row>
    <row r="878">
      <c r="K878" s="24">
        <f>IF($A878="","",IF(F878="AU",(E878-'2_標準曲線'!$I$9)/'2_標準曲線'!$I$8,""))</f>
        <v/>
      </c>
      <c r="L878" s="24">
        <f>IF($A878="","",IF(ISNUMBER(I878),K878*I878*1E-4,""))</f>
        <v/>
      </c>
    </row>
    <row r="879">
      <c r="K879" s="24">
        <f>IF($A879="","",IF(F879="AU",(E879-'2_標準曲線'!$I$9)/'2_標準曲線'!$I$8,""))</f>
        <v/>
      </c>
      <c r="L879" s="24">
        <f>IF($A879="","",IF(ISNUMBER(I879),K879*I879*1E-4,""))</f>
        <v/>
      </c>
    </row>
    <row r="880">
      <c r="K880" s="24">
        <f>IF($A880="","",IF(F880="AU",(E880-'2_標準曲線'!$I$9)/'2_標準曲線'!$I$8,""))</f>
        <v/>
      </c>
      <c r="L880" s="24">
        <f>IF($A880="","",IF(ISNUMBER(I880),K880*I880*1E-4,""))</f>
        <v/>
      </c>
    </row>
    <row r="881">
      <c r="K881" s="24">
        <f>IF($A881="","",IF(F881="AU",(E881-'2_標準曲線'!$I$9)/'2_標準曲線'!$I$8,""))</f>
        <v/>
      </c>
      <c r="L881" s="24">
        <f>IF($A881="","",IF(ISNUMBER(I881),K881*I881*1E-4,""))</f>
        <v/>
      </c>
    </row>
    <row r="882">
      <c r="K882" s="24">
        <f>IF($A882="","",IF(F882="AU",(E882-'2_標準曲線'!$I$9)/'2_標準曲線'!$I$8,""))</f>
        <v/>
      </c>
      <c r="L882" s="24">
        <f>IF($A882="","",IF(ISNUMBER(I882),K882*I882*1E-4,""))</f>
        <v/>
      </c>
    </row>
    <row r="883">
      <c r="K883" s="24">
        <f>IF($A883="","",IF(F883="AU",(E883-'2_標準曲線'!$I$9)/'2_標準曲線'!$I$8,""))</f>
        <v/>
      </c>
      <c r="L883" s="24">
        <f>IF($A883="","",IF(ISNUMBER(I883),K883*I883*1E-4,""))</f>
        <v/>
      </c>
    </row>
    <row r="884">
      <c r="K884" s="24">
        <f>IF($A884="","",IF(F884="AU",(E884-'2_標準曲線'!$I$9)/'2_標準曲線'!$I$8,""))</f>
        <v/>
      </c>
      <c r="L884" s="24">
        <f>IF($A884="","",IF(ISNUMBER(I884),K884*I884*1E-4,""))</f>
        <v/>
      </c>
    </row>
    <row r="885">
      <c r="K885" s="24">
        <f>IF($A885="","",IF(F885="AU",(E885-'2_標準曲線'!$I$9)/'2_標準曲線'!$I$8,""))</f>
        <v/>
      </c>
      <c r="L885" s="24">
        <f>IF($A885="","",IF(ISNUMBER(I885),K885*I885*1E-4,""))</f>
        <v/>
      </c>
    </row>
    <row r="886">
      <c r="K886" s="24">
        <f>IF($A886="","",IF(F886="AU",(E886-'2_標準曲線'!$I$9)/'2_標準曲線'!$I$8,""))</f>
        <v/>
      </c>
      <c r="L886" s="24">
        <f>IF($A886="","",IF(ISNUMBER(I886),K886*I886*1E-4,""))</f>
        <v/>
      </c>
    </row>
    <row r="887">
      <c r="K887" s="24">
        <f>IF($A887="","",IF(F887="AU",(E887-'2_標準曲線'!$I$9)/'2_標準曲線'!$I$8,""))</f>
        <v/>
      </c>
      <c r="L887" s="24">
        <f>IF($A887="","",IF(ISNUMBER(I887),K887*I887*1E-4,""))</f>
        <v/>
      </c>
    </row>
    <row r="888">
      <c r="K888" s="24">
        <f>IF($A888="","",IF(F888="AU",(E888-'2_標準曲線'!$I$9)/'2_標準曲線'!$I$8,""))</f>
        <v/>
      </c>
      <c r="L888" s="24">
        <f>IF($A888="","",IF(ISNUMBER(I888),K888*I888*1E-4,""))</f>
        <v/>
      </c>
    </row>
    <row r="889">
      <c r="K889" s="24">
        <f>IF($A889="","",IF(F889="AU",(E889-'2_標準曲線'!$I$9)/'2_標準曲線'!$I$8,""))</f>
        <v/>
      </c>
      <c r="L889" s="24">
        <f>IF($A889="","",IF(ISNUMBER(I889),K889*I889*1E-4,""))</f>
        <v/>
      </c>
    </row>
    <row r="890">
      <c r="K890" s="24">
        <f>IF($A890="","",IF(F890="AU",(E890-'2_標準曲線'!$I$9)/'2_標準曲線'!$I$8,""))</f>
        <v/>
      </c>
      <c r="L890" s="24">
        <f>IF($A890="","",IF(ISNUMBER(I890),K890*I890*1E-4,""))</f>
        <v/>
      </c>
    </row>
    <row r="891">
      <c r="K891" s="24">
        <f>IF($A891="","",IF(F891="AU",(E891-'2_標準曲線'!$I$9)/'2_標準曲線'!$I$8,""))</f>
        <v/>
      </c>
      <c r="L891" s="24">
        <f>IF($A891="","",IF(ISNUMBER(I891),K891*I891*1E-4,""))</f>
        <v/>
      </c>
    </row>
    <row r="892">
      <c r="K892" s="24">
        <f>IF($A892="","",IF(F892="AU",(E892-'2_標準曲線'!$I$9)/'2_標準曲線'!$I$8,""))</f>
        <v/>
      </c>
      <c r="L892" s="24">
        <f>IF($A892="","",IF(ISNUMBER(I892),K892*I892*1E-4,""))</f>
        <v/>
      </c>
    </row>
    <row r="893">
      <c r="K893" s="24">
        <f>IF($A893="","",IF(F893="AU",(E893-'2_標準曲線'!$I$9)/'2_標準曲線'!$I$8,""))</f>
        <v/>
      </c>
      <c r="L893" s="24">
        <f>IF($A893="","",IF(ISNUMBER(I893),K893*I893*1E-4,""))</f>
        <v/>
      </c>
    </row>
    <row r="894">
      <c r="K894" s="24">
        <f>IF($A894="","",IF(F894="AU",(E894-'2_標準曲線'!$I$9)/'2_標準曲線'!$I$8,""))</f>
        <v/>
      </c>
      <c r="L894" s="24">
        <f>IF($A894="","",IF(ISNUMBER(I894),K894*I894*1E-4,""))</f>
        <v/>
      </c>
    </row>
    <row r="895">
      <c r="K895" s="24">
        <f>IF($A895="","",IF(F895="AU",(E895-'2_標準曲線'!$I$9)/'2_標準曲線'!$I$8,""))</f>
        <v/>
      </c>
      <c r="L895" s="24">
        <f>IF($A895="","",IF(ISNUMBER(I895),K895*I895*1E-4,""))</f>
        <v/>
      </c>
    </row>
    <row r="896">
      <c r="K896" s="24">
        <f>IF($A896="","",IF(F896="AU",(E896-'2_標準曲線'!$I$9)/'2_標準曲線'!$I$8,""))</f>
        <v/>
      </c>
      <c r="L896" s="24">
        <f>IF($A896="","",IF(ISNUMBER(I896),K896*I896*1E-4,""))</f>
        <v/>
      </c>
    </row>
    <row r="897">
      <c r="K897" s="24">
        <f>IF($A897="","",IF(F897="AU",(E897-'2_標準曲線'!$I$9)/'2_標準曲線'!$I$8,""))</f>
        <v/>
      </c>
      <c r="L897" s="24">
        <f>IF($A897="","",IF(ISNUMBER(I897),K897*I897*1E-4,""))</f>
        <v/>
      </c>
    </row>
    <row r="898">
      <c r="K898" s="24">
        <f>IF($A898="","",IF(F898="AU",(E898-'2_標準曲線'!$I$9)/'2_標準曲線'!$I$8,""))</f>
        <v/>
      </c>
      <c r="L898" s="24">
        <f>IF($A898="","",IF(ISNUMBER(I898),K898*I898*1E-4,""))</f>
        <v/>
      </c>
    </row>
    <row r="899">
      <c r="K899" s="24">
        <f>IF($A899="","",IF(F899="AU",(E899-'2_標準曲線'!$I$9)/'2_標準曲線'!$I$8,""))</f>
        <v/>
      </c>
      <c r="L899" s="24">
        <f>IF($A899="","",IF(ISNUMBER(I899),K899*I899*1E-4,""))</f>
        <v/>
      </c>
    </row>
    <row r="900">
      <c r="K900" s="24">
        <f>IF($A900="","",IF(F900="AU",(E900-'2_標準曲線'!$I$9)/'2_標準曲線'!$I$8,""))</f>
        <v/>
      </c>
      <c r="L900" s="24">
        <f>IF($A900="","",IF(ISNUMBER(I900),K900*I900*1E-4,""))</f>
        <v/>
      </c>
    </row>
    <row r="901">
      <c r="K901" s="24">
        <f>IF($A901="","",IF(F901="AU",(E901-'2_標準曲線'!$I$9)/'2_標準曲線'!$I$8,""))</f>
        <v/>
      </c>
      <c r="L901" s="24">
        <f>IF($A901="","",IF(ISNUMBER(I901),K901*I901*1E-4,""))</f>
        <v/>
      </c>
    </row>
    <row r="902">
      <c r="K902" s="24">
        <f>IF($A902="","",IF(F902="AU",(E902-'2_標準曲線'!$I$9)/'2_標準曲線'!$I$8,""))</f>
        <v/>
      </c>
      <c r="L902" s="24">
        <f>IF($A902="","",IF(ISNUMBER(I902),K902*I902*1E-4,""))</f>
        <v/>
      </c>
    </row>
    <row r="903">
      <c r="K903" s="24">
        <f>IF($A903="","",IF(F903="AU",(E903-'2_標準曲線'!$I$9)/'2_標準曲線'!$I$8,""))</f>
        <v/>
      </c>
      <c r="L903" s="24">
        <f>IF($A903="","",IF(ISNUMBER(I903),K903*I903*1E-4,""))</f>
        <v/>
      </c>
    </row>
    <row r="904">
      <c r="K904" s="24">
        <f>IF($A904="","",IF(F904="AU",(E904-'2_標準曲線'!$I$9)/'2_標準曲線'!$I$8,""))</f>
        <v/>
      </c>
      <c r="L904" s="24">
        <f>IF($A904="","",IF(ISNUMBER(I904),K904*I904*1E-4,""))</f>
        <v/>
      </c>
    </row>
    <row r="905">
      <c r="K905" s="24">
        <f>IF($A905="","",IF(F905="AU",(E905-'2_標準曲線'!$I$9)/'2_標準曲線'!$I$8,""))</f>
        <v/>
      </c>
      <c r="L905" s="24">
        <f>IF($A905="","",IF(ISNUMBER(I905),K905*I905*1E-4,""))</f>
        <v/>
      </c>
    </row>
    <row r="906">
      <c r="K906" s="24">
        <f>IF($A906="","",IF(F906="AU",(E906-'2_標準曲線'!$I$9)/'2_標準曲線'!$I$8,""))</f>
        <v/>
      </c>
      <c r="L906" s="24">
        <f>IF($A906="","",IF(ISNUMBER(I906),K906*I906*1E-4,""))</f>
        <v/>
      </c>
    </row>
    <row r="907">
      <c r="K907" s="24">
        <f>IF($A907="","",IF(F907="AU",(E907-'2_標準曲線'!$I$9)/'2_標準曲線'!$I$8,""))</f>
        <v/>
      </c>
      <c r="L907" s="24">
        <f>IF($A907="","",IF(ISNUMBER(I907),K907*I907*1E-4,""))</f>
        <v/>
      </c>
    </row>
    <row r="908">
      <c r="K908" s="24">
        <f>IF($A908="","",IF(F908="AU",(E908-'2_標準曲線'!$I$9)/'2_標準曲線'!$I$8,""))</f>
        <v/>
      </c>
      <c r="L908" s="24">
        <f>IF($A908="","",IF(ISNUMBER(I908),K908*I908*1E-4,""))</f>
        <v/>
      </c>
    </row>
    <row r="909">
      <c r="K909" s="24">
        <f>IF($A909="","",IF(F909="AU",(E909-'2_標準曲線'!$I$9)/'2_標準曲線'!$I$8,""))</f>
        <v/>
      </c>
      <c r="L909" s="24">
        <f>IF($A909="","",IF(ISNUMBER(I909),K909*I909*1E-4,""))</f>
        <v/>
      </c>
    </row>
    <row r="910">
      <c r="K910" s="24">
        <f>IF($A910="","",IF(F910="AU",(E910-'2_標準曲線'!$I$9)/'2_標準曲線'!$I$8,""))</f>
        <v/>
      </c>
      <c r="L910" s="24">
        <f>IF($A910="","",IF(ISNUMBER(I910),K910*I910*1E-4,""))</f>
        <v/>
      </c>
    </row>
    <row r="911">
      <c r="K911" s="24">
        <f>IF($A911="","",IF(F911="AU",(E911-'2_標準曲線'!$I$9)/'2_標準曲線'!$I$8,""))</f>
        <v/>
      </c>
      <c r="L911" s="24">
        <f>IF($A911="","",IF(ISNUMBER(I911),K911*I911*1E-4,""))</f>
        <v/>
      </c>
    </row>
    <row r="912">
      <c r="K912" s="24">
        <f>IF($A912="","",IF(F912="AU",(E912-'2_標準曲線'!$I$9)/'2_標準曲線'!$I$8,""))</f>
        <v/>
      </c>
      <c r="L912" s="24">
        <f>IF($A912="","",IF(ISNUMBER(I912),K912*I912*1E-4,""))</f>
        <v/>
      </c>
    </row>
    <row r="913">
      <c r="K913" s="24">
        <f>IF($A913="","",IF(F913="AU",(E913-'2_標準曲線'!$I$9)/'2_標準曲線'!$I$8,""))</f>
        <v/>
      </c>
      <c r="L913" s="24">
        <f>IF($A913="","",IF(ISNUMBER(I913),K913*I913*1E-4,""))</f>
        <v/>
      </c>
    </row>
    <row r="914">
      <c r="K914" s="24">
        <f>IF($A914="","",IF(F914="AU",(E914-'2_標準曲線'!$I$9)/'2_標準曲線'!$I$8,""))</f>
        <v/>
      </c>
      <c r="L914" s="24">
        <f>IF($A914="","",IF(ISNUMBER(I914),K914*I914*1E-4,""))</f>
        <v/>
      </c>
    </row>
    <row r="915">
      <c r="K915" s="24">
        <f>IF($A915="","",IF(F915="AU",(E915-'2_標準曲線'!$I$9)/'2_標準曲線'!$I$8,""))</f>
        <v/>
      </c>
      <c r="L915" s="24">
        <f>IF($A915="","",IF(ISNUMBER(I915),K915*I915*1E-4,""))</f>
        <v/>
      </c>
    </row>
    <row r="916">
      <c r="K916" s="24">
        <f>IF($A916="","",IF(F916="AU",(E916-'2_標準曲線'!$I$9)/'2_標準曲線'!$I$8,""))</f>
        <v/>
      </c>
      <c r="L916" s="24">
        <f>IF($A916="","",IF(ISNUMBER(I916),K916*I916*1E-4,""))</f>
        <v/>
      </c>
    </row>
    <row r="917">
      <c r="K917" s="24">
        <f>IF($A917="","",IF(F917="AU",(E917-'2_標準曲線'!$I$9)/'2_標準曲線'!$I$8,""))</f>
        <v/>
      </c>
      <c r="L917" s="24">
        <f>IF($A917="","",IF(ISNUMBER(I917),K917*I917*1E-4,""))</f>
        <v/>
      </c>
    </row>
    <row r="918">
      <c r="K918" s="24">
        <f>IF($A918="","",IF(F918="AU",(E918-'2_標準曲線'!$I$9)/'2_標準曲線'!$I$8,""))</f>
        <v/>
      </c>
      <c r="L918" s="24">
        <f>IF($A918="","",IF(ISNUMBER(I918),K918*I918*1E-4,""))</f>
        <v/>
      </c>
    </row>
    <row r="919">
      <c r="K919" s="24">
        <f>IF($A919="","",IF(F919="AU",(E919-'2_標準曲線'!$I$9)/'2_標準曲線'!$I$8,""))</f>
        <v/>
      </c>
      <c r="L919" s="24">
        <f>IF($A919="","",IF(ISNUMBER(I919),K919*I919*1E-4,""))</f>
        <v/>
      </c>
    </row>
    <row r="920">
      <c r="K920" s="24">
        <f>IF($A920="","",IF(F920="AU",(E920-'2_標準曲線'!$I$9)/'2_標準曲線'!$I$8,""))</f>
        <v/>
      </c>
      <c r="L920" s="24">
        <f>IF($A920="","",IF(ISNUMBER(I920),K920*I920*1E-4,""))</f>
        <v/>
      </c>
    </row>
    <row r="921">
      <c r="K921" s="24">
        <f>IF($A921="","",IF(F921="AU",(E921-'2_標準曲線'!$I$9)/'2_標準曲線'!$I$8,""))</f>
        <v/>
      </c>
      <c r="L921" s="24">
        <f>IF($A921="","",IF(ISNUMBER(I921),K921*I921*1E-4,""))</f>
        <v/>
      </c>
    </row>
    <row r="922">
      <c r="K922" s="24">
        <f>IF($A922="","",IF(F922="AU",(E922-'2_標準曲線'!$I$9)/'2_標準曲線'!$I$8,""))</f>
        <v/>
      </c>
      <c r="L922" s="24">
        <f>IF($A922="","",IF(ISNUMBER(I922),K922*I922*1E-4,""))</f>
        <v/>
      </c>
    </row>
    <row r="923">
      <c r="K923" s="24">
        <f>IF($A923="","",IF(F923="AU",(E923-'2_標準曲線'!$I$9)/'2_標準曲線'!$I$8,""))</f>
        <v/>
      </c>
      <c r="L923" s="24">
        <f>IF($A923="","",IF(ISNUMBER(I923),K923*I923*1E-4,""))</f>
        <v/>
      </c>
    </row>
    <row r="924">
      <c r="K924" s="24">
        <f>IF($A924="","",IF(F924="AU",(E924-'2_標準曲線'!$I$9)/'2_標準曲線'!$I$8,""))</f>
        <v/>
      </c>
      <c r="L924" s="24">
        <f>IF($A924="","",IF(ISNUMBER(I924),K924*I924*1E-4,""))</f>
        <v/>
      </c>
    </row>
    <row r="925">
      <c r="K925" s="24">
        <f>IF($A925="","",IF(F925="AU",(E925-'2_標準曲線'!$I$9)/'2_標準曲線'!$I$8,""))</f>
        <v/>
      </c>
      <c r="L925" s="24">
        <f>IF($A925="","",IF(ISNUMBER(I925),K925*I925*1E-4,""))</f>
        <v/>
      </c>
    </row>
    <row r="926">
      <c r="K926" s="24">
        <f>IF($A926="","",IF(F926="AU",(E926-'2_標準曲線'!$I$9)/'2_標準曲線'!$I$8,""))</f>
        <v/>
      </c>
      <c r="L926" s="24">
        <f>IF($A926="","",IF(ISNUMBER(I926),K926*I926*1E-4,""))</f>
        <v/>
      </c>
    </row>
    <row r="927">
      <c r="K927" s="24">
        <f>IF($A927="","",IF(F927="AU",(E927-'2_標準曲線'!$I$9)/'2_標準曲線'!$I$8,""))</f>
        <v/>
      </c>
      <c r="L927" s="24">
        <f>IF($A927="","",IF(ISNUMBER(I927),K927*I927*1E-4,""))</f>
        <v/>
      </c>
    </row>
    <row r="928">
      <c r="K928" s="24">
        <f>IF($A928="","",IF(F928="AU",(E928-'2_標準曲線'!$I$9)/'2_標準曲線'!$I$8,""))</f>
        <v/>
      </c>
      <c r="L928" s="24">
        <f>IF($A928="","",IF(ISNUMBER(I928),K928*I928*1E-4,""))</f>
        <v/>
      </c>
    </row>
    <row r="929">
      <c r="K929" s="24">
        <f>IF($A929="","",IF(F929="AU",(E929-'2_標準曲線'!$I$9)/'2_標準曲線'!$I$8,""))</f>
        <v/>
      </c>
      <c r="L929" s="24">
        <f>IF($A929="","",IF(ISNUMBER(I929),K929*I929*1E-4,""))</f>
        <v/>
      </c>
    </row>
    <row r="930">
      <c r="K930" s="24">
        <f>IF($A930="","",IF(F930="AU",(E930-'2_標準曲線'!$I$9)/'2_標準曲線'!$I$8,""))</f>
        <v/>
      </c>
      <c r="L930" s="24">
        <f>IF($A930="","",IF(ISNUMBER(I930),K930*I930*1E-4,""))</f>
        <v/>
      </c>
    </row>
    <row r="931">
      <c r="K931" s="24">
        <f>IF($A931="","",IF(F931="AU",(E931-'2_標準曲線'!$I$9)/'2_標準曲線'!$I$8,""))</f>
        <v/>
      </c>
      <c r="L931" s="24">
        <f>IF($A931="","",IF(ISNUMBER(I931),K931*I931*1E-4,""))</f>
        <v/>
      </c>
    </row>
    <row r="932">
      <c r="K932" s="24">
        <f>IF($A932="","",IF(F932="AU",(E932-'2_標準曲線'!$I$9)/'2_標準曲線'!$I$8,""))</f>
        <v/>
      </c>
      <c r="L932" s="24">
        <f>IF($A932="","",IF(ISNUMBER(I932),K932*I932*1E-4,""))</f>
        <v/>
      </c>
    </row>
    <row r="933">
      <c r="K933" s="24">
        <f>IF($A933="","",IF(F933="AU",(E933-'2_標準曲線'!$I$9)/'2_標準曲線'!$I$8,""))</f>
        <v/>
      </c>
      <c r="L933" s="24">
        <f>IF($A933="","",IF(ISNUMBER(I933),K933*I933*1E-4,""))</f>
        <v/>
      </c>
    </row>
    <row r="934">
      <c r="K934" s="24">
        <f>IF($A934="","",IF(F934="AU",(E934-'2_標準曲線'!$I$9)/'2_標準曲線'!$I$8,""))</f>
        <v/>
      </c>
      <c r="L934" s="24">
        <f>IF($A934="","",IF(ISNUMBER(I934),K934*I934*1E-4,""))</f>
        <v/>
      </c>
    </row>
    <row r="935">
      <c r="K935" s="24">
        <f>IF($A935="","",IF(F935="AU",(E935-'2_標準曲線'!$I$9)/'2_標準曲線'!$I$8,""))</f>
        <v/>
      </c>
      <c r="L935" s="24">
        <f>IF($A935="","",IF(ISNUMBER(I935),K935*I935*1E-4,""))</f>
        <v/>
      </c>
    </row>
    <row r="936">
      <c r="K936" s="24">
        <f>IF($A936="","",IF(F936="AU",(E936-'2_標準曲線'!$I$9)/'2_標準曲線'!$I$8,""))</f>
        <v/>
      </c>
      <c r="L936" s="24">
        <f>IF($A936="","",IF(ISNUMBER(I936),K936*I936*1E-4,""))</f>
        <v/>
      </c>
    </row>
    <row r="937">
      <c r="K937" s="24">
        <f>IF($A937="","",IF(F937="AU",(E937-'2_標準曲線'!$I$9)/'2_標準曲線'!$I$8,""))</f>
        <v/>
      </c>
      <c r="L937" s="24">
        <f>IF($A937="","",IF(ISNUMBER(I937),K937*I937*1E-4,""))</f>
        <v/>
      </c>
    </row>
    <row r="938">
      <c r="K938" s="24">
        <f>IF($A938="","",IF(F938="AU",(E938-'2_標準曲線'!$I$9)/'2_標準曲線'!$I$8,""))</f>
        <v/>
      </c>
      <c r="L938" s="24">
        <f>IF($A938="","",IF(ISNUMBER(I938),K938*I938*1E-4,""))</f>
        <v/>
      </c>
    </row>
    <row r="939">
      <c r="K939" s="24">
        <f>IF($A939="","",IF(F939="AU",(E939-'2_標準曲線'!$I$9)/'2_標準曲線'!$I$8,""))</f>
        <v/>
      </c>
      <c r="L939" s="24">
        <f>IF($A939="","",IF(ISNUMBER(I939),K939*I939*1E-4,""))</f>
        <v/>
      </c>
    </row>
    <row r="940">
      <c r="K940" s="24">
        <f>IF($A940="","",IF(F940="AU",(E940-'2_標準曲線'!$I$9)/'2_標準曲線'!$I$8,""))</f>
        <v/>
      </c>
      <c r="L940" s="24">
        <f>IF($A940="","",IF(ISNUMBER(I940),K940*I940*1E-4,""))</f>
        <v/>
      </c>
    </row>
    <row r="941">
      <c r="K941" s="24">
        <f>IF($A941="","",IF(F941="AU",(E941-'2_標準曲線'!$I$9)/'2_標準曲線'!$I$8,""))</f>
        <v/>
      </c>
      <c r="L941" s="24">
        <f>IF($A941="","",IF(ISNUMBER(I941),K941*I941*1E-4,""))</f>
        <v/>
      </c>
    </row>
    <row r="942">
      <c r="K942" s="24">
        <f>IF($A942="","",IF(F942="AU",(E942-'2_標準曲線'!$I$9)/'2_標準曲線'!$I$8,""))</f>
        <v/>
      </c>
      <c r="L942" s="24">
        <f>IF($A942="","",IF(ISNUMBER(I942),K942*I942*1E-4,""))</f>
        <v/>
      </c>
    </row>
    <row r="943">
      <c r="K943" s="24">
        <f>IF($A943="","",IF(F943="AU",(E943-'2_標準曲線'!$I$9)/'2_標準曲線'!$I$8,""))</f>
        <v/>
      </c>
      <c r="L943" s="24">
        <f>IF($A943="","",IF(ISNUMBER(I943),K943*I943*1E-4,""))</f>
        <v/>
      </c>
    </row>
    <row r="944">
      <c r="K944" s="24">
        <f>IF($A944="","",IF(F944="AU",(E944-'2_標準曲線'!$I$9)/'2_標準曲線'!$I$8,""))</f>
        <v/>
      </c>
      <c r="L944" s="24">
        <f>IF($A944="","",IF(ISNUMBER(I944),K944*I944*1E-4,""))</f>
        <v/>
      </c>
    </row>
    <row r="945">
      <c r="K945" s="24">
        <f>IF($A945="","",IF(F945="AU",(E945-'2_標準曲線'!$I$9)/'2_標準曲線'!$I$8,""))</f>
        <v/>
      </c>
      <c r="L945" s="24">
        <f>IF($A945="","",IF(ISNUMBER(I945),K945*I945*1E-4,""))</f>
        <v/>
      </c>
    </row>
    <row r="946">
      <c r="K946" s="24">
        <f>IF($A946="","",IF(F946="AU",(E946-'2_標準曲線'!$I$9)/'2_標準曲線'!$I$8,""))</f>
        <v/>
      </c>
      <c r="L946" s="24">
        <f>IF($A946="","",IF(ISNUMBER(I946),K946*I946*1E-4,""))</f>
        <v/>
      </c>
    </row>
    <row r="947">
      <c r="K947" s="24">
        <f>IF($A947="","",IF(F947="AU",(E947-'2_標準曲線'!$I$9)/'2_標準曲線'!$I$8,""))</f>
        <v/>
      </c>
      <c r="L947" s="24">
        <f>IF($A947="","",IF(ISNUMBER(I947),K947*I947*1E-4,""))</f>
        <v/>
      </c>
    </row>
    <row r="948">
      <c r="K948" s="24">
        <f>IF($A948="","",IF(F948="AU",(E948-'2_標準曲線'!$I$9)/'2_標準曲線'!$I$8,""))</f>
        <v/>
      </c>
      <c r="L948" s="24">
        <f>IF($A948="","",IF(ISNUMBER(I948),K948*I948*1E-4,""))</f>
        <v/>
      </c>
    </row>
    <row r="949">
      <c r="K949" s="24">
        <f>IF($A949="","",IF(F949="AU",(E949-'2_標準曲線'!$I$9)/'2_標準曲線'!$I$8,""))</f>
        <v/>
      </c>
      <c r="L949" s="24">
        <f>IF($A949="","",IF(ISNUMBER(I949),K949*I949*1E-4,""))</f>
        <v/>
      </c>
    </row>
    <row r="950">
      <c r="K950" s="24">
        <f>IF($A950="","",IF(F950="AU",(E950-'2_標準曲線'!$I$9)/'2_標準曲線'!$I$8,""))</f>
        <v/>
      </c>
      <c r="L950" s="24">
        <f>IF($A950="","",IF(ISNUMBER(I950),K950*I950*1E-4,""))</f>
        <v/>
      </c>
    </row>
    <row r="951">
      <c r="K951" s="24">
        <f>IF($A951="","",IF(F951="AU",(E951-'2_標準曲線'!$I$9)/'2_標準曲線'!$I$8,""))</f>
        <v/>
      </c>
      <c r="L951" s="24">
        <f>IF($A951="","",IF(ISNUMBER(I951),K951*I951*1E-4,""))</f>
        <v/>
      </c>
    </row>
    <row r="952">
      <c r="K952" s="24">
        <f>IF($A952="","",IF(F952="AU",(E952-'2_標準曲線'!$I$9)/'2_標準曲線'!$I$8,""))</f>
        <v/>
      </c>
      <c r="L952" s="24">
        <f>IF($A952="","",IF(ISNUMBER(I952),K952*I952*1E-4,""))</f>
        <v/>
      </c>
    </row>
    <row r="953">
      <c r="K953" s="24">
        <f>IF($A953="","",IF(F953="AU",(E953-'2_標準曲線'!$I$9)/'2_標準曲線'!$I$8,""))</f>
        <v/>
      </c>
      <c r="L953" s="24">
        <f>IF($A953="","",IF(ISNUMBER(I953),K953*I953*1E-4,""))</f>
        <v/>
      </c>
    </row>
    <row r="954">
      <c r="K954" s="24">
        <f>IF($A954="","",IF(F954="AU",(E954-'2_標準曲線'!$I$9)/'2_標準曲線'!$I$8,""))</f>
        <v/>
      </c>
      <c r="L954" s="24">
        <f>IF($A954="","",IF(ISNUMBER(I954),K954*I954*1E-4,""))</f>
        <v/>
      </c>
    </row>
    <row r="955">
      <c r="K955" s="24">
        <f>IF($A955="","",IF(F955="AU",(E955-'2_標準曲線'!$I$9)/'2_標準曲線'!$I$8,""))</f>
        <v/>
      </c>
      <c r="L955" s="24">
        <f>IF($A955="","",IF(ISNUMBER(I955),K955*I955*1E-4,""))</f>
        <v/>
      </c>
    </row>
    <row r="956">
      <c r="K956" s="24">
        <f>IF($A956="","",IF(F956="AU",(E956-'2_標準曲線'!$I$9)/'2_標準曲線'!$I$8,""))</f>
        <v/>
      </c>
      <c r="L956" s="24">
        <f>IF($A956="","",IF(ISNUMBER(I956),K956*I956*1E-4,""))</f>
        <v/>
      </c>
    </row>
    <row r="957">
      <c r="K957" s="24">
        <f>IF($A957="","",IF(F957="AU",(E957-'2_標準曲線'!$I$9)/'2_標準曲線'!$I$8,""))</f>
        <v/>
      </c>
      <c r="L957" s="24">
        <f>IF($A957="","",IF(ISNUMBER(I957),K957*I957*1E-4,""))</f>
        <v/>
      </c>
    </row>
    <row r="958">
      <c r="K958" s="24">
        <f>IF($A958="","",IF(F958="AU",(E958-'2_標準曲線'!$I$9)/'2_標準曲線'!$I$8,""))</f>
        <v/>
      </c>
      <c r="L958" s="24">
        <f>IF($A958="","",IF(ISNUMBER(I958),K958*I958*1E-4,""))</f>
        <v/>
      </c>
    </row>
    <row r="959">
      <c r="K959" s="24">
        <f>IF($A959="","",IF(F959="AU",(E959-'2_標準曲線'!$I$9)/'2_標準曲線'!$I$8,""))</f>
        <v/>
      </c>
      <c r="L959" s="24">
        <f>IF($A959="","",IF(ISNUMBER(I959),K959*I959*1E-4,""))</f>
        <v/>
      </c>
    </row>
    <row r="960">
      <c r="K960" s="24">
        <f>IF($A960="","",IF(F960="AU",(E960-'2_標準曲線'!$I$9)/'2_標準曲線'!$I$8,""))</f>
        <v/>
      </c>
      <c r="L960" s="24">
        <f>IF($A960="","",IF(ISNUMBER(I960),K960*I960*1E-4,""))</f>
        <v/>
      </c>
    </row>
    <row r="961">
      <c r="K961" s="24">
        <f>IF($A961="","",IF(F961="AU",(E961-'2_標準曲線'!$I$9)/'2_標準曲線'!$I$8,""))</f>
        <v/>
      </c>
      <c r="L961" s="24">
        <f>IF($A961="","",IF(ISNUMBER(I961),K961*I961*1E-4,""))</f>
        <v/>
      </c>
    </row>
    <row r="962">
      <c r="K962" s="24">
        <f>IF($A962="","",IF(F962="AU",(E962-'2_標準曲線'!$I$9)/'2_標準曲線'!$I$8,""))</f>
        <v/>
      </c>
      <c r="L962" s="24">
        <f>IF($A962="","",IF(ISNUMBER(I962),K962*I962*1E-4,""))</f>
        <v/>
      </c>
    </row>
    <row r="963">
      <c r="K963" s="24">
        <f>IF($A963="","",IF(F963="AU",(E963-'2_標準曲線'!$I$9)/'2_標準曲線'!$I$8,""))</f>
        <v/>
      </c>
      <c r="L963" s="24">
        <f>IF($A963="","",IF(ISNUMBER(I963),K963*I963*1E-4,""))</f>
        <v/>
      </c>
    </row>
    <row r="964">
      <c r="K964" s="24">
        <f>IF($A964="","",IF(F964="AU",(E964-'2_標準曲線'!$I$9)/'2_標準曲線'!$I$8,""))</f>
        <v/>
      </c>
      <c r="L964" s="24">
        <f>IF($A964="","",IF(ISNUMBER(I964),K964*I964*1E-4,""))</f>
        <v/>
      </c>
    </row>
    <row r="965">
      <c r="K965" s="24">
        <f>IF($A965="","",IF(F965="AU",(E965-'2_標準曲線'!$I$9)/'2_標準曲線'!$I$8,""))</f>
        <v/>
      </c>
      <c r="L965" s="24">
        <f>IF($A965="","",IF(ISNUMBER(I965),K965*I965*1E-4,""))</f>
        <v/>
      </c>
    </row>
    <row r="966">
      <c r="K966" s="24">
        <f>IF($A966="","",IF(F966="AU",(E966-'2_標準曲線'!$I$9)/'2_標準曲線'!$I$8,""))</f>
        <v/>
      </c>
      <c r="L966" s="24">
        <f>IF($A966="","",IF(ISNUMBER(I966),K966*I966*1E-4,""))</f>
        <v/>
      </c>
    </row>
    <row r="967">
      <c r="K967" s="24">
        <f>IF($A967="","",IF(F967="AU",(E967-'2_標準曲線'!$I$9)/'2_標準曲線'!$I$8,""))</f>
        <v/>
      </c>
      <c r="L967" s="24">
        <f>IF($A967="","",IF(ISNUMBER(I967),K967*I967*1E-4,""))</f>
        <v/>
      </c>
    </row>
    <row r="968">
      <c r="K968" s="24">
        <f>IF($A968="","",IF(F968="AU",(E968-'2_標準曲線'!$I$9)/'2_標準曲線'!$I$8,""))</f>
        <v/>
      </c>
      <c r="L968" s="24">
        <f>IF($A968="","",IF(ISNUMBER(I968),K968*I968*1E-4,""))</f>
        <v/>
      </c>
    </row>
    <row r="969">
      <c r="K969" s="24">
        <f>IF($A969="","",IF(F969="AU",(E969-'2_標準曲線'!$I$9)/'2_標準曲線'!$I$8,""))</f>
        <v/>
      </c>
      <c r="L969" s="24">
        <f>IF($A969="","",IF(ISNUMBER(I969),K969*I969*1E-4,""))</f>
        <v/>
      </c>
    </row>
    <row r="970">
      <c r="K970" s="24">
        <f>IF($A970="","",IF(F970="AU",(E970-'2_標準曲線'!$I$9)/'2_標準曲線'!$I$8,""))</f>
        <v/>
      </c>
      <c r="L970" s="24">
        <f>IF($A970="","",IF(ISNUMBER(I970),K970*I970*1E-4,""))</f>
        <v/>
      </c>
    </row>
    <row r="971">
      <c r="K971" s="24">
        <f>IF($A971="","",IF(F971="AU",(E971-'2_標準曲線'!$I$9)/'2_標準曲線'!$I$8,""))</f>
        <v/>
      </c>
      <c r="L971" s="24">
        <f>IF($A971="","",IF(ISNUMBER(I971),K971*I971*1E-4,""))</f>
        <v/>
      </c>
    </row>
    <row r="972">
      <c r="K972" s="24">
        <f>IF($A972="","",IF(F972="AU",(E972-'2_標準曲線'!$I$9)/'2_標準曲線'!$I$8,""))</f>
        <v/>
      </c>
      <c r="L972" s="24">
        <f>IF($A972="","",IF(ISNUMBER(I972),K972*I972*1E-4,""))</f>
        <v/>
      </c>
    </row>
    <row r="973">
      <c r="K973" s="24">
        <f>IF($A973="","",IF(F973="AU",(E973-'2_標準曲線'!$I$9)/'2_標準曲線'!$I$8,""))</f>
        <v/>
      </c>
      <c r="L973" s="24">
        <f>IF($A973="","",IF(ISNUMBER(I973),K973*I973*1E-4,""))</f>
        <v/>
      </c>
    </row>
    <row r="974">
      <c r="K974" s="24">
        <f>IF($A974="","",IF(F974="AU",(E974-'2_標準曲線'!$I$9)/'2_標準曲線'!$I$8,""))</f>
        <v/>
      </c>
      <c r="L974" s="24">
        <f>IF($A974="","",IF(ISNUMBER(I974),K974*I974*1E-4,""))</f>
        <v/>
      </c>
    </row>
    <row r="975">
      <c r="K975" s="24">
        <f>IF($A975="","",IF(F975="AU",(E975-'2_標準曲線'!$I$9)/'2_標準曲線'!$I$8,""))</f>
        <v/>
      </c>
      <c r="L975" s="24">
        <f>IF($A975="","",IF(ISNUMBER(I975),K975*I975*1E-4,""))</f>
        <v/>
      </c>
    </row>
    <row r="976">
      <c r="K976" s="24">
        <f>IF($A976="","",IF(F976="AU",(E976-'2_標準曲線'!$I$9)/'2_標準曲線'!$I$8,""))</f>
        <v/>
      </c>
      <c r="L976" s="24">
        <f>IF($A976="","",IF(ISNUMBER(I976),K976*I976*1E-4,""))</f>
        <v/>
      </c>
    </row>
    <row r="977">
      <c r="K977" s="24">
        <f>IF($A977="","",IF(F977="AU",(E977-'2_標準曲線'!$I$9)/'2_標準曲線'!$I$8,""))</f>
        <v/>
      </c>
      <c r="L977" s="24">
        <f>IF($A977="","",IF(ISNUMBER(I977),K977*I977*1E-4,""))</f>
        <v/>
      </c>
    </row>
    <row r="978">
      <c r="K978" s="24">
        <f>IF($A978="","",IF(F978="AU",(E978-'2_標準曲線'!$I$9)/'2_標準曲線'!$I$8,""))</f>
        <v/>
      </c>
      <c r="L978" s="24">
        <f>IF($A978="","",IF(ISNUMBER(I978),K978*I978*1E-4,""))</f>
        <v/>
      </c>
    </row>
    <row r="979">
      <c r="K979" s="24">
        <f>IF($A979="","",IF(F979="AU",(E979-'2_標準曲線'!$I$9)/'2_標準曲線'!$I$8,""))</f>
        <v/>
      </c>
      <c r="L979" s="24">
        <f>IF($A979="","",IF(ISNUMBER(I979),K979*I979*1E-4,""))</f>
        <v/>
      </c>
    </row>
    <row r="980">
      <c r="K980" s="24">
        <f>IF($A980="","",IF(F980="AU",(E980-'2_標準曲線'!$I$9)/'2_標準曲線'!$I$8,""))</f>
        <v/>
      </c>
      <c r="L980" s="24">
        <f>IF($A980="","",IF(ISNUMBER(I980),K980*I980*1E-4,""))</f>
        <v/>
      </c>
    </row>
    <row r="981">
      <c r="K981" s="24">
        <f>IF($A981="","",IF(F981="AU",(E981-'2_標準曲線'!$I$9)/'2_標準曲線'!$I$8,""))</f>
        <v/>
      </c>
      <c r="L981" s="24">
        <f>IF($A981="","",IF(ISNUMBER(I981),K981*I981*1E-4,""))</f>
        <v/>
      </c>
    </row>
    <row r="982">
      <c r="K982" s="24">
        <f>IF($A982="","",IF(F982="AU",(E982-'2_標準曲線'!$I$9)/'2_標準曲線'!$I$8,""))</f>
        <v/>
      </c>
      <c r="L982" s="24">
        <f>IF($A982="","",IF(ISNUMBER(I982),K982*I982*1E-4,""))</f>
        <v/>
      </c>
    </row>
    <row r="983">
      <c r="K983" s="24">
        <f>IF($A983="","",IF(F983="AU",(E983-'2_標準曲線'!$I$9)/'2_標準曲線'!$I$8,""))</f>
        <v/>
      </c>
      <c r="L983" s="24">
        <f>IF($A983="","",IF(ISNUMBER(I983),K983*I983*1E-4,""))</f>
        <v/>
      </c>
    </row>
    <row r="984">
      <c r="K984" s="24">
        <f>IF($A984="","",IF(F984="AU",(E984-'2_標準曲線'!$I$9)/'2_標準曲線'!$I$8,""))</f>
        <v/>
      </c>
      <c r="L984" s="24">
        <f>IF($A984="","",IF(ISNUMBER(I984),K984*I984*1E-4,""))</f>
        <v/>
      </c>
    </row>
    <row r="985">
      <c r="K985" s="24">
        <f>IF($A985="","",IF(F985="AU",(E985-'2_標準曲線'!$I$9)/'2_標準曲線'!$I$8,""))</f>
        <v/>
      </c>
      <c r="L985" s="24">
        <f>IF($A985="","",IF(ISNUMBER(I985),K985*I985*1E-4,""))</f>
        <v/>
      </c>
    </row>
    <row r="986">
      <c r="K986" s="24">
        <f>IF($A986="","",IF(F986="AU",(E986-'2_標準曲線'!$I$9)/'2_標準曲線'!$I$8,""))</f>
        <v/>
      </c>
      <c r="L986" s="24">
        <f>IF($A986="","",IF(ISNUMBER(I986),K986*I986*1E-4,""))</f>
        <v/>
      </c>
    </row>
    <row r="987">
      <c r="K987" s="24">
        <f>IF($A987="","",IF(F987="AU",(E987-'2_標準曲線'!$I$9)/'2_標準曲線'!$I$8,""))</f>
        <v/>
      </c>
      <c r="L987" s="24">
        <f>IF($A987="","",IF(ISNUMBER(I987),K987*I987*1E-4,""))</f>
        <v/>
      </c>
    </row>
    <row r="988">
      <c r="K988" s="24">
        <f>IF($A988="","",IF(F988="AU",(E988-'2_標準曲線'!$I$9)/'2_標準曲線'!$I$8,""))</f>
        <v/>
      </c>
      <c r="L988" s="24">
        <f>IF($A988="","",IF(ISNUMBER(I988),K988*I988*1E-4,""))</f>
        <v/>
      </c>
    </row>
    <row r="989">
      <c r="K989" s="24">
        <f>IF($A989="","",IF(F989="AU",(E989-'2_標準曲線'!$I$9)/'2_標準曲線'!$I$8,""))</f>
        <v/>
      </c>
      <c r="L989" s="24">
        <f>IF($A989="","",IF(ISNUMBER(I989),K989*I989*1E-4,""))</f>
        <v/>
      </c>
    </row>
    <row r="990">
      <c r="K990" s="24">
        <f>IF($A990="","",IF(F990="AU",(E990-'2_標準曲線'!$I$9)/'2_標準曲線'!$I$8,""))</f>
        <v/>
      </c>
      <c r="L990" s="24">
        <f>IF($A990="","",IF(ISNUMBER(I990),K990*I990*1E-4,""))</f>
        <v/>
      </c>
    </row>
    <row r="991">
      <c r="K991" s="24">
        <f>IF($A991="","",IF(F991="AU",(E991-'2_標準曲線'!$I$9)/'2_標準曲線'!$I$8,""))</f>
        <v/>
      </c>
      <c r="L991" s="24">
        <f>IF($A991="","",IF(ISNUMBER(I991),K991*I991*1E-4,""))</f>
        <v/>
      </c>
    </row>
    <row r="992">
      <c r="K992" s="24">
        <f>IF($A992="","",IF(F992="AU",(E992-'2_標準曲線'!$I$9)/'2_標準曲線'!$I$8,""))</f>
        <v/>
      </c>
      <c r="L992" s="24">
        <f>IF($A992="","",IF(ISNUMBER(I992),K992*I992*1E-4,""))</f>
        <v/>
      </c>
    </row>
    <row r="993">
      <c r="K993" s="24">
        <f>IF($A993="","",IF(F993="AU",(E993-'2_標準曲線'!$I$9)/'2_標準曲線'!$I$8,""))</f>
        <v/>
      </c>
      <c r="L993" s="24">
        <f>IF($A993="","",IF(ISNUMBER(I993),K993*I993*1E-4,""))</f>
        <v/>
      </c>
    </row>
    <row r="994">
      <c r="K994" s="24">
        <f>IF($A994="","",IF(F994="AU",(E994-'2_標準曲線'!$I$9)/'2_標準曲線'!$I$8,""))</f>
        <v/>
      </c>
      <c r="L994" s="24">
        <f>IF($A994="","",IF(ISNUMBER(I994),K994*I994*1E-4,""))</f>
        <v/>
      </c>
    </row>
    <row r="995">
      <c r="K995" s="24">
        <f>IF($A995="","",IF(F995="AU",(E995-'2_標準曲線'!$I$9)/'2_標準曲線'!$I$8,""))</f>
        <v/>
      </c>
      <c r="L995" s="24">
        <f>IF($A995="","",IF(ISNUMBER(I995),K995*I995*1E-4,""))</f>
        <v/>
      </c>
    </row>
    <row r="996">
      <c r="K996" s="24">
        <f>IF($A996="","",IF(F996="AU",(E996-'2_標準曲線'!$I$9)/'2_標準曲線'!$I$8,""))</f>
        <v/>
      </c>
      <c r="L996" s="24">
        <f>IF($A996="","",IF(ISNUMBER(I996),K996*I996*1E-4,""))</f>
        <v/>
      </c>
    </row>
    <row r="997">
      <c r="K997" s="24">
        <f>IF($A997="","",IF(F997="AU",(E997-'2_標準曲線'!$I$9)/'2_標準曲線'!$I$8,""))</f>
        <v/>
      </c>
      <c r="L997" s="24">
        <f>IF($A997="","",IF(ISNUMBER(I997),K997*I997*1E-4,""))</f>
        <v/>
      </c>
    </row>
    <row r="998">
      <c r="K998" s="24">
        <f>IF($A998="","",IF(F998="AU",(E998-'2_標準曲線'!$I$9)/'2_標準曲線'!$I$8,""))</f>
        <v/>
      </c>
      <c r="L998" s="24">
        <f>IF($A998="","",IF(ISNUMBER(I998),K998*I998*1E-4,""))</f>
        <v/>
      </c>
    </row>
    <row r="999">
      <c r="K999" s="24">
        <f>IF($A999="","",IF(F999="AU",(E999-'2_標準曲線'!$I$9)/'2_標準曲線'!$I$8,""))</f>
        <v/>
      </c>
      <c r="L999" s="24">
        <f>IF($A999="","",IF(ISNUMBER(I999),K999*I999*1E-4,""))</f>
        <v/>
      </c>
    </row>
    <row r="1000">
      <c r="K1000" s="24">
        <f>IF($A1000="","",IF(F1000="AU",(E1000-'2_標準曲線'!$I$9)/'2_標準曲線'!$I$8,""))</f>
        <v/>
      </c>
      <c r="L1000" s="24">
        <f>IF($A1000="","",IF(ISNUMBER(I1000),K1000*I1000*1E-4,""))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S5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2" customWidth="1" min="4" max="4"/>
    <col width="11" customWidth="1" min="5" max="5"/>
    <col width="6" customWidth="1" min="6" max="6"/>
    <col width="3" customWidth="1" min="7" max="7"/>
    <col width="30" customWidth="1" min="8" max="8"/>
    <col width="14" customWidth="1" min="9" max="9"/>
    <col width="14" customWidth="1" min="10" max="10"/>
    <col width="3" customWidth="1" min="11" max="11"/>
    <col width="85" customWidth="1" min="12" max="12"/>
    <col width="3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步驟 1　酚硫酸法標準曲線：線性迴歸 A = m × C + b</t>
        </is>
      </c>
    </row>
    <row r="2" ht="30" customHeight="1">
      <c r="A2" s="20" t="inlineStr">
        <is>
          <t>濃度 C（µg/mL 葡萄糖）是 x，490 nm 吸光值 A 是 y。濃度水準與吸光值都是從「1_原始數據」自動抓出來的，不用手打。看完數字，一定要往下看殘差圖。</t>
        </is>
      </c>
    </row>
    <row r="4">
      <c r="B4" s="25" t="inlineStr">
        <is>
          <t>正式檢量線用第幾重複 (rep)</t>
        </is>
      </c>
      <c r="C4" s="26" t="n"/>
      <c r="D4" s="27" t="n"/>
      <c r="E4" s="28" t="n">
        <v>1</v>
      </c>
      <c r="H4" s="20" t="inlineStr">
        <is>
          <t>本班用第 1 重複當正式檢量線（和 Colab 相同）。改成 2 就會用第 2 重複重算整本活頁簿。</t>
        </is>
      </c>
      <c r="N4" s="2" t="inlineStr">
        <is>
          <t>圖用輔助數據（自動計算，不要改）</t>
        </is>
      </c>
    </row>
    <row r="6" ht="45" customHeight="1">
      <c r="A6" s="9" t="inlineStr">
        <is>
          <t>k</t>
        </is>
      </c>
      <c r="B6" s="9" t="inlineStr">
        <is>
          <t>濃度 C (µg/mL)</t>
        </is>
      </c>
      <c r="C6" s="9" t="inlineStr">
        <is>
          <t>吸光值 A (AU)</t>
        </is>
      </c>
      <c r="D6" s="9" t="inlineStr">
        <is>
          <t>預測 A</t>
        </is>
      </c>
      <c r="E6" s="9" t="inlineStr">
        <is>
          <t>殘差</t>
        </is>
      </c>
      <c r="F6" s="9" t="inlineStr">
        <is>
          <t>正負</t>
        </is>
      </c>
      <c r="H6" s="9" t="inlineStr">
        <is>
          <t>結果</t>
        </is>
      </c>
      <c r="I6" s="9" t="inlineStr">
        <is>
          <t>數值</t>
        </is>
      </c>
      <c r="L6" s="20" t="inlineStr">
        <is>
          <t>SLOPE、INTERCEPT 等的範圍寫成 OFFSET($B$7,0,0,$I$7)：從 B7 往下取 n 格。這樣換成班級數據、濃度水準數不同時，範圍會自動跟著變。</t>
        </is>
      </c>
      <c r="N6" s="9" t="inlineStr">
        <is>
          <t>點 x</t>
        </is>
      </c>
      <c r="O6" s="9" t="inlineStr">
        <is>
          <t>點 y</t>
        </is>
      </c>
      <c r="P6" s="9" t="inlineStr">
        <is>
          <t>殘差</t>
        </is>
      </c>
      <c r="Q6" s="9" t="inlineStr">
        <is>
          <t>直線 x</t>
        </is>
      </c>
      <c r="R6" s="9" t="inlineStr">
        <is>
          <t>直線 y</t>
        </is>
      </c>
      <c r="S6" s="9" t="inlineStr">
        <is>
          <t>零線 y</t>
        </is>
      </c>
    </row>
    <row r="7" ht="15" customHeight="1">
      <c r="A7" s="29" t="n">
        <v>1</v>
      </c>
      <c r="B7" s="30">
        <f t="array" ref="B7">IF(COUNTIFS('1_原始數據'!$C$2:$C$1000,"std_curve",'1_原始數據'!$D$2:$D$1000,$E$4)=0,"",MIN(IF(('1_原始數據'!$C$2:$C$1000="std_curve")*('1_原始數據'!$D$2:$D$1000=$E$4),'1_原始數據'!$H$2:$H$1000)))</f>
        <v/>
      </c>
      <c r="C7" s="18">
        <f>IF(B7="","",AVERAGEIFS('1_原始數據'!$E$2:$E$1000,'1_原始數據'!$C$2:$C$1000,"std_curve",'1_原始數據'!$D$2:$D$1000,$E$4,'1_原始數據'!$H$2:$H$1000,B7))</f>
        <v/>
      </c>
      <c r="D7" s="18">
        <f>IF(B7="","",$I$8*B7+$I$9)</f>
        <v/>
      </c>
      <c r="E7" s="31">
        <f>IF(B7="","",C7-D7)</f>
        <v/>
      </c>
      <c r="F7" s="32">
        <f>IF(B7="","",IF(E7&gt;0,"+","−"))</f>
        <v/>
      </c>
      <c r="H7" s="10" t="inlineStr">
        <is>
          <t>標準點數 n</t>
        </is>
      </c>
      <c r="I7" s="33">
        <f>COUNT(B7:B16)</f>
        <v/>
      </c>
      <c r="L7" s="20" t="inlineStr">
        <is>
          <t>=COUNT(B7:B16)　數 B 欄有幾個數字。</t>
        </is>
      </c>
      <c r="N7" s="30">
        <f>IF(B7="",0,B7)</f>
        <v/>
      </c>
      <c r="O7" s="18">
        <f>IF(C7="",0,C7)</f>
        <v/>
      </c>
      <c r="P7" s="18">
        <f>IF(E7="",0,E7)</f>
        <v/>
      </c>
      <c r="Q7" s="30">
        <f>I17</f>
        <v/>
      </c>
      <c r="R7" s="18">
        <f>$I$8*Q7+$I$9</f>
        <v/>
      </c>
      <c r="S7" s="33">
        <f>0</f>
        <v/>
      </c>
    </row>
    <row r="8" ht="15" customHeight="1">
      <c r="A8" s="29" t="n">
        <v>2</v>
      </c>
      <c r="B8" s="30">
        <f t="array" ref="B8">IF(B7="","",IF(COUNTIFS('1_原始數據'!$C$2:$C$1000,"std_curve",'1_原始數據'!$D$2:$D$1000,$E$4,'1_原始數據'!$H$2:$H$1000,"&gt;"&amp;B7)=0,"",MIN(IF(('1_原始數據'!$C$2:$C$1000="std_curve")*('1_原始數據'!$D$2:$D$1000=$E$4)*('1_原始數據'!$H$2:$H$1000&gt;B7),'1_原始數據'!$H$2:$H$1000))))</f>
        <v/>
      </c>
      <c r="C8" s="18">
        <f>IF(B8="","",AVERAGEIFS('1_原始數據'!$E$2:$E$1000,'1_原始數據'!$C$2:$C$1000,"std_curve",'1_原始數據'!$D$2:$D$1000,$E$4,'1_原始數據'!$H$2:$H$1000,B8))</f>
        <v/>
      </c>
      <c r="D8" s="18">
        <f>IF(B8="","",$I$8*B8+$I$9)</f>
        <v/>
      </c>
      <c r="E8" s="31">
        <f>IF(B8="","",C8-D8)</f>
        <v/>
      </c>
      <c r="F8" s="32">
        <f>IF(B8="","",IF(E8&gt;0,"+","−"))</f>
        <v/>
      </c>
      <c r="H8" s="10" t="inlineStr">
        <is>
          <t>斜率 m (AU per µg/mL)</t>
        </is>
      </c>
      <c r="I8" s="34">
        <f>SLOPE(OFFSET($C$7,0,0,$I$7),OFFSET($B$7,0,0,$I$7))</f>
        <v/>
      </c>
      <c r="L8" s="20" t="inlineStr">
        <is>
          <t>=SLOPE(y 範圍, x 範圍)　最小平方法的斜率。注意 y 在前、x 在後。</t>
        </is>
      </c>
      <c r="N8" s="18">
        <f>IF(B8="",N7,B8)</f>
        <v/>
      </c>
      <c r="O8" s="18">
        <f>IF(C8="",O7,C8)</f>
        <v/>
      </c>
      <c r="P8" s="18">
        <f>IF(E8="",P7,E8)</f>
        <v/>
      </c>
      <c r="Q8" s="30">
        <f>I18</f>
        <v/>
      </c>
      <c r="R8" s="18">
        <f>$I$8*Q8+$I$9</f>
        <v/>
      </c>
      <c r="S8" s="33">
        <f>0</f>
        <v/>
      </c>
    </row>
    <row r="9" ht="15" customHeight="1">
      <c r="A9" s="29" t="n">
        <v>3</v>
      </c>
      <c r="B9" s="30">
        <f t="array" ref="B9">IF(B8="","",IF(COUNTIFS('1_原始數據'!$C$2:$C$1000,"std_curve",'1_原始數據'!$D$2:$D$1000,$E$4,'1_原始數據'!$H$2:$H$1000,"&gt;"&amp;B8)=0,"",MIN(IF(('1_原始數據'!$C$2:$C$1000="std_curve")*('1_原始數據'!$D$2:$D$1000=$E$4)*('1_原始數據'!$H$2:$H$1000&gt;B8),'1_原始數據'!$H$2:$H$1000))))</f>
        <v/>
      </c>
      <c r="C9" s="18">
        <f>IF(B9="","",AVERAGEIFS('1_原始數據'!$E$2:$E$1000,'1_原始數據'!$C$2:$C$1000,"std_curve",'1_原始數據'!$D$2:$D$1000,$E$4,'1_原始數據'!$H$2:$H$1000,B9))</f>
        <v/>
      </c>
      <c r="D9" s="18">
        <f>IF(B9="","",$I$8*B9+$I$9)</f>
        <v/>
      </c>
      <c r="E9" s="31">
        <f>IF(B9="","",C9-D9)</f>
        <v/>
      </c>
      <c r="F9" s="32">
        <f>IF(B9="","",IF(E9&gt;0,"+","−"))</f>
        <v/>
      </c>
      <c r="H9" s="10" t="inlineStr">
        <is>
          <t>截距 b (AU)</t>
        </is>
      </c>
      <c r="I9" s="34">
        <f>INTERCEPT(OFFSET($C$7,0,0,$I$7),OFFSET($B$7,0,0,$I$7))</f>
        <v/>
      </c>
      <c r="L9" s="20" t="inlineStr">
        <is>
          <t>=INTERCEPT(y, x)　C = 0 時的預測吸光值。</t>
        </is>
      </c>
      <c r="N9" s="18">
        <f>IF(B9="",N8,B9)</f>
        <v/>
      </c>
      <c r="O9" s="18">
        <f>IF(C9="",O8,C9)</f>
        <v/>
      </c>
      <c r="P9" s="18">
        <f>IF(E9="",P8,E9)</f>
        <v/>
      </c>
    </row>
    <row r="10" ht="30" customHeight="1">
      <c r="A10" s="29" t="n">
        <v>4</v>
      </c>
      <c r="B10" s="30">
        <f t="array" ref="B10">IF(B9="","",IF(COUNTIFS('1_原始數據'!$C$2:$C$1000,"std_curve",'1_原始數據'!$D$2:$D$1000,$E$4,'1_原始數據'!$H$2:$H$1000,"&gt;"&amp;B9)=0,"",MIN(IF(('1_原始數據'!$C$2:$C$1000="std_curve")*('1_原始數據'!$D$2:$D$1000=$E$4)*('1_原始數據'!$H$2:$H$1000&gt;B9),'1_原始數據'!$H$2:$H$1000))))</f>
        <v/>
      </c>
      <c r="C10" s="18">
        <f>IF(B10="","",AVERAGEIFS('1_原始數據'!$E$2:$E$1000,'1_原始數據'!$C$2:$C$1000,"std_curve",'1_原始數據'!$D$2:$D$1000,$E$4,'1_原始數據'!$H$2:$H$1000,B10))</f>
        <v/>
      </c>
      <c r="D10" s="18">
        <f>IF(B10="","",$I$8*B10+$I$9)</f>
        <v/>
      </c>
      <c r="E10" s="31">
        <f>IF(B10="","",C10-D10)</f>
        <v/>
      </c>
      <c r="F10" s="32">
        <f>IF(B10="","",IF(E10&gt;0,"+","−"))</f>
        <v/>
      </c>
      <c r="H10" s="10" t="inlineStr">
        <is>
          <t>R²</t>
        </is>
      </c>
      <c r="I10" s="35">
        <f>RSQ(OFFSET($C$7,0,0,$I$7),OFFSET($B$7,0,0,$I$7))</f>
        <v/>
      </c>
      <c r="L10" s="20" t="inlineStr">
        <is>
          <t>=RSQ(y, x)　判定係數。R² 高只代表點靠近直線，不代表直線是對的模型（看步驟 2）。</t>
        </is>
      </c>
      <c r="N10" s="18">
        <f>IF(B10="",N9,B10)</f>
        <v/>
      </c>
      <c r="O10" s="18">
        <f>IF(C10="",O9,C10)</f>
        <v/>
      </c>
      <c r="P10" s="18">
        <f>IF(E10="",P9,E10)</f>
        <v/>
      </c>
    </row>
    <row r="11" ht="30" customHeight="1">
      <c r="A11" s="29" t="n">
        <v>5</v>
      </c>
      <c r="B11" s="30">
        <f t="array" ref="B11">IF(B10="","",IF(COUNTIFS('1_原始數據'!$C$2:$C$1000,"std_curve",'1_原始數據'!$D$2:$D$1000,$E$4,'1_原始數據'!$H$2:$H$1000,"&gt;"&amp;B10)=0,"",MIN(IF(('1_原始數據'!$C$2:$C$1000="std_curve")*('1_原始數據'!$D$2:$D$1000=$E$4)*('1_原始數據'!$H$2:$H$1000&gt;B10),'1_原始數據'!$H$2:$H$1000))))</f>
        <v/>
      </c>
      <c r="C11" s="18">
        <f>IF(B11="","",AVERAGEIFS('1_原始數據'!$E$2:$E$1000,'1_原始數據'!$C$2:$C$1000,"std_curve",'1_原始數據'!$D$2:$D$1000,$E$4,'1_原始數據'!$H$2:$H$1000,B11))</f>
        <v/>
      </c>
      <c r="D11" s="18">
        <f>IF(B11="","",$I$8*B11+$I$9)</f>
        <v/>
      </c>
      <c r="E11" s="31">
        <f>IF(B11="","",C11-D11)</f>
        <v/>
      </c>
      <c r="F11" s="32">
        <f>IF(B11="","",IF(E11&gt;0,"+","−"))</f>
        <v/>
      </c>
      <c r="H11" s="10" t="inlineStr">
        <is>
          <t>殘差標準差 s_y (AU)</t>
        </is>
      </c>
      <c r="I11" s="35">
        <f>STEYX(OFFSET($C$7,0,0,$I$7),OFFSET($B$7,0,0,$I$7))</f>
        <v/>
      </c>
      <c r="L11" s="20" t="inlineStr">
        <is>
          <t>=STEYX(y, x)　殘差的標準差，除以 n − 2（因為估計了 m、b 兩個參數）。LOD 的第一種 σ 就是它。</t>
        </is>
      </c>
      <c r="N11" s="18">
        <f>IF(B11="",N10,B11)</f>
        <v/>
      </c>
      <c r="O11" s="18">
        <f>IF(C11="",O10,C11)</f>
        <v/>
      </c>
      <c r="P11" s="18">
        <f>IF(E11="",P10,E11)</f>
        <v/>
      </c>
    </row>
    <row r="12" ht="15" customHeight="1">
      <c r="A12" s="29" t="n">
        <v>6</v>
      </c>
      <c r="B12" s="30">
        <f t="array" ref="B12">IF(B11="","",IF(COUNTIFS('1_原始數據'!$C$2:$C$1000,"std_curve",'1_原始數據'!$D$2:$D$1000,$E$4,'1_原始數據'!$H$2:$H$1000,"&gt;"&amp;B11)=0,"",MIN(IF(('1_原始數據'!$C$2:$C$1000="std_curve")*('1_原始數據'!$D$2:$D$1000=$E$4)*('1_原始數據'!$H$2:$H$1000&gt;B11),'1_原始數據'!$H$2:$H$1000))))</f>
        <v/>
      </c>
      <c r="C12" s="18">
        <f>IF(B12="","",AVERAGEIFS('1_原始數據'!$E$2:$E$1000,'1_原始數據'!$C$2:$C$1000,"std_curve",'1_原始數據'!$D$2:$D$1000,$E$4,'1_原始數據'!$H$2:$H$1000,B12))</f>
        <v/>
      </c>
      <c r="D12" s="18">
        <f>IF(B12="","",$I$8*B12+$I$9)</f>
        <v/>
      </c>
      <c r="E12" s="31">
        <f>IF(B12="","",C12-D12)</f>
        <v/>
      </c>
      <c r="F12" s="32">
        <f>IF(B12="","",IF(E12&gt;0,"+","−"))</f>
        <v/>
      </c>
      <c r="H12" s="10" t="inlineStr">
        <is>
          <t>殘差平方和 SS_res</t>
        </is>
      </c>
      <c r="I12" s="11">
        <f>SUMSQ(E7:E16)</f>
        <v/>
      </c>
      <c r="L12" s="20" t="inlineStr">
        <is>
          <t>=SUMSQ(殘差)　每個殘差平方後加總。</t>
        </is>
      </c>
      <c r="N12" s="18">
        <f>IF(B12="",N11,B12)</f>
        <v/>
      </c>
      <c r="O12" s="18">
        <f>IF(C12="",O11,C12)</f>
        <v/>
      </c>
      <c r="P12" s="18">
        <f>IF(E12="",P11,E12)</f>
        <v/>
      </c>
    </row>
    <row r="13" ht="15" customHeight="1">
      <c r="A13" s="29" t="n">
        <v>7</v>
      </c>
      <c r="B13" s="30">
        <f t="array" ref="B13">IF(B12="","",IF(COUNTIFS('1_原始數據'!$C$2:$C$1000,"std_curve",'1_原始數據'!$D$2:$D$1000,$E$4,'1_原始數據'!$H$2:$H$1000,"&gt;"&amp;B12)=0,"",MIN(IF(('1_原始數據'!$C$2:$C$1000="std_curve")*('1_原始數據'!$D$2:$D$1000=$E$4)*('1_原始數據'!$H$2:$H$1000&gt;B12),'1_原始數據'!$H$2:$H$1000))))</f>
        <v/>
      </c>
      <c r="C13" s="18">
        <f>IF(B13="","",AVERAGEIFS('1_原始數據'!$E$2:$E$1000,'1_原始數據'!$C$2:$C$1000,"std_curve",'1_原始數據'!$D$2:$D$1000,$E$4,'1_原始數據'!$H$2:$H$1000,B13))</f>
        <v/>
      </c>
      <c r="D13" s="18">
        <f>IF(B13="","",$I$8*B13+$I$9)</f>
        <v/>
      </c>
      <c r="E13" s="31">
        <f>IF(B13="","",C13-D13)</f>
        <v/>
      </c>
      <c r="F13" s="32">
        <f>IF(B13="","",IF(E13&gt;0,"+","−"))</f>
        <v/>
      </c>
      <c r="H13" s="10" t="inlineStr">
        <is>
          <t>總平方和 SS_tot</t>
        </is>
      </c>
      <c r="I13" s="11">
        <f>DEVSQ(OFFSET($C$7,0,0,$I$7))</f>
        <v/>
      </c>
      <c r="L13" s="20" t="inlineStr">
        <is>
          <t>=DEVSQ(y)　吸光值離平均值的平方和。</t>
        </is>
      </c>
      <c r="N13" s="18">
        <f>IF(B13="",N12,B13)</f>
        <v/>
      </c>
      <c r="O13" s="18">
        <f>IF(C13="",O12,C13)</f>
        <v/>
      </c>
      <c r="P13" s="18">
        <f>IF(E13="",P12,E13)</f>
        <v/>
      </c>
    </row>
    <row r="14" ht="15" customHeight="1">
      <c r="A14" s="29" t="n">
        <v>8</v>
      </c>
      <c r="B14" s="30">
        <f t="array" ref="B14">IF(B13="","",IF(COUNTIFS('1_原始數據'!$C$2:$C$1000,"std_curve",'1_原始數據'!$D$2:$D$1000,$E$4,'1_原始數據'!$H$2:$H$1000,"&gt;"&amp;B13)=0,"",MIN(IF(('1_原始數據'!$C$2:$C$1000="std_curve")*('1_原始數據'!$D$2:$D$1000=$E$4)*('1_原始數據'!$H$2:$H$1000&gt;B13),'1_原始數據'!$H$2:$H$1000))))</f>
        <v/>
      </c>
      <c r="C14" s="18">
        <f>IF(B14="","",AVERAGEIFS('1_原始數據'!$E$2:$E$1000,'1_原始數據'!$C$2:$C$1000,"std_curve",'1_原始數據'!$D$2:$D$1000,$E$4,'1_原始數據'!$H$2:$H$1000,B14))</f>
        <v/>
      </c>
      <c r="D14" s="18">
        <f>IF(B14="","",$I$8*B14+$I$9)</f>
        <v/>
      </c>
      <c r="E14" s="31">
        <f>IF(B14="","",C14-D14)</f>
        <v/>
      </c>
      <c r="F14" s="32">
        <f>IF(B14="","",IF(E14&gt;0,"+","−"))</f>
        <v/>
      </c>
      <c r="H14" s="10" t="inlineStr">
        <is>
          <t>驗算 R² = 1 − SS_res/SS_tot</t>
        </is>
      </c>
      <c r="I14" s="14">
        <f>1-I12/I13</f>
        <v/>
      </c>
      <c r="L14" s="20" t="inlineStr">
        <is>
          <t>應該和 I10 一樣。R² 就是「直線解釋了多少比例的變異」。</t>
        </is>
      </c>
      <c r="N14" s="18">
        <f>IF(B14="",N13,B14)</f>
        <v/>
      </c>
      <c r="O14" s="18">
        <f>IF(C14="",O13,C14)</f>
        <v/>
      </c>
      <c r="P14" s="18">
        <f>IF(E14="",P13,E14)</f>
        <v/>
      </c>
    </row>
    <row r="15" ht="15" customHeight="1">
      <c r="A15" s="29" t="n">
        <v>9</v>
      </c>
      <c r="B15" s="30">
        <f t="array" ref="B15">IF(B14="","",IF(COUNTIFS('1_原始數據'!$C$2:$C$1000,"std_curve",'1_原始數據'!$D$2:$D$1000,$E$4,'1_原始數據'!$H$2:$H$1000,"&gt;"&amp;B14)=0,"",MIN(IF(('1_原始數據'!$C$2:$C$1000="std_curve")*('1_原始數據'!$D$2:$D$1000=$E$4)*('1_原始數據'!$H$2:$H$1000&gt;B14),'1_原始數據'!$H$2:$H$1000))))</f>
        <v/>
      </c>
      <c r="C15" s="18">
        <f>IF(B15="","",AVERAGEIFS('1_原始數據'!$E$2:$E$1000,'1_原始數據'!$C$2:$C$1000,"std_curve",'1_原始數據'!$D$2:$D$1000,$E$4,'1_原始數據'!$H$2:$H$1000,B15))</f>
        <v/>
      </c>
      <c r="D15" s="18">
        <f>IF(B15="","",$I$8*B15+$I$9)</f>
        <v/>
      </c>
      <c r="E15" s="31">
        <f>IF(B15="","",C15-D15)</f>
        <v/>
      </c>
      <c r="F15" s="32">
        <f>IF(B15="","",IF(E15&gt;0,"+","−"))</f>
        <v/>
      </c>
      <c r="H15" s="10" t="inlineStr">
        <is>
          <t>標準品吸光值平均 Ā</t>
        </is>
      </c>
      <c r="I15" s="18">
        <f>AVERAGE(OFFSET($C$7,0,0,$I$7))</f>
        <v/>
      </c>
      <c r="L15" s="20" t="inlineStr">
        <is>
          <t>步驟 4 算預測不確定度會用到。</t>
        </is>
      </c>
      <c r="N15" s="18">
        <f>IF(B15="",N14,B15)</f>
        <v/>
      </c>
      <c r="O15" s="18">
        <f>IF(C15="",O14,C15)</f>
        <v/>
      </c>
      <c r="P15" s="18">
        <f>IF(E15="",P14,E15)</f>
        <v/>
      </c>
    </row>
    <row r="16" ht="15" customHeight="1">
      <c r="A16" s="29" t="n">
        <v>10</v>
      </c>
      <c r="B16" s="30">
        <f t="array" ref="B16">IF(B15="","",IF(COUNTIFS('1_原始數據'!$C$2:$C$1000,"std_curve",'1_原始數據'!$D$2:$D$1000,$E$4,'1_原始數據'!$H$2:$H$1000,"&gt;"&amp;B15)=0,"",MIN(IF(('1_原始數據'!$C$2:$C$1000="std_curve")*('1_原始數據'!$D$2:$D$1000=$E$4)*('1_原始數據'!$H$2:$H$1000&gt;B15),'1_原始數據'!$H$2:$H$1000))))</f>
        <v/>
      </c>
      <c r="C16" s="18">
        <f>IF(B16="","",AVERAGEIFS('1_原始數據'!$E$2:$E$1000,'1_原始數據'!$C$2:$C$1000,"std_curve",'1_原始數據'!$D$2:$D$1000,$E$4,'1_原始數據'!$H$2:$H$1000,B16))</f>
        <v/>
      </c>
      <c r="D16" s="18">
        <f>IF(B16="","",$I$8*B16+$I$9)</f>
        <v/>
      </c>
      <c r="E16" s="31">
        <f>IF(B16="","",C16-D16)</f>
        <v/>
      </c>
      <c r="F16" s="32">
        <f>IF(B16="","",IF(E16&gt;0,"+","−"))</f>
        <v/>
      </c>
      <c r="H16" s="10" t="inlineStr">
        <is>
          <t>Sxx = Σ(C − C̄)²</t>
        </is>
      </c>
      <c r="I16" s="30">
        <f>DEVSQ(OFFSET($B$7,0,0,$I$7))</f>
        <v/>
      </c>
      <c r="L16" s="20" t="inlineStr">
        <is>
          <t>=DEVSQ(x)　濃度的平方和，步驟 4 會用到。</t>
        </is>
      </c>
      <c r="N16" s="18">
        <f>IF(B16="",N15,B16)</f>
        <v/>
      </c>
      <c r="O16" s="18">
        <f>IF(C16="",O15,C16)</f>
        <v/>
      </c>
      <c r="P16" s="18">
        <f>IF(E16="",P15,E16)</f>
        <v/>
      </c>
    </row>
    <row r="17" ht="15" customHeight="1">
      <c r="H17" s="10" t="inlineStr">
        <is>
          <t>最低標準濃度 (µg/mL)</t>
        </is>
      </c>
      <c r="I17" s="30">
        <f>MIN(OFFSET($B$7,0,0,$I$7))</f>
        <v/>
      </c>
      <c r="L17" s="20" t="inlineStr">
        <is>
          <t>樣品反算濃度必須落在最低與最高標準點之間。</t>
        </is>
      </c>
    </row>
    <row r="18" ht="45" customHeight="1">
      <c r="A18" s="20" t="inlineStr">
        <is>
          <t>B 欄：濃度水準。B7 用 {=MIN(IF(條件, 濃度))} 找最小的濃度，B8 以下找「比上一格大的最小濃度」，所以會自動由小到大排好，最多 10 個水準。這是陣列公式（大括號），不要手動改。</t>
        </is>
      </c>
      <c r="H18" s="10" t="inlineStr">
        <is>
          <t>最高標準濃度 (µg/mL)</t>
        </is>
      </c>
      <c r="I18" s="30">
        <f>MAX(OFFSET($B$7,0,0,$I$7))</f>
        <v/>
      </c>
      <c r="N18" s="20" t="inlineStr">
        <is>
          <t>沒用到的列會重複最後一個點（疊在同一位置，看不出來），所以濃度水準數改變時圖也會自動更新。</t>
        </is>
      </c>
    </row>
    <row r="19" ht="45" customHeight="1">
      <c r="A19" s="20" t="inlineStr">
        <is>
          <t>C 欄：=AVERAGEIFS(value, item,"std_curve", rep, 1, conc, 這個濃度)　把該濃度的吸光值抓過來。</t>
        </is>
      </c>
      <c r="H19" s="10" t="inlineStr">
        <is>
          <t>方程式</t>
        </is>
      </c>
      <c r="I19" s="13">
        <f>"A = "&amp;FIXED(I8,6)&amp;" × C + "&amp;FIXED(I9,6)</f>
        <v/>
      </c>
      <c r="J19" s="27" t="n"/>
      <c r="L19" s="20" t="inlineStr">
        <is>
          <t>FIXED(數字, 小數位) 把數字變成文字，方便寫報告。</t>
        </is>
      </c>
    </row>
    <row r="20" ht="45" customHeight="1">
      <c r="A20" s="20" t="inlineStr">
        <is>
          <t>D 欄：預測 A = m × C + b（m、b 在右邊 I8、I9）。　E 欄：殘差 = 實測 − 預測。</t>
        </is>
      </c>
    </row>
    <row r="21" ht="45" customHeight="1">
      <c r="A21" s="20" t="inlineStr">
        <is>
          <t>F 欄：殘差的正負號。如果符號是一段一段連在一起（例如 −、+、+、+、−），而不是隨機交錯，代表曲線有系統性彎曲。</t>
        </is>
      </c>
      <c r="H21" s="3" t="inlineStr">
        <is>
          <t>LINEST：一次給出斜率、截距和它們的標準誤</t>
        </is>
      </c>
    </row>
    <row r="22" ht="75" customHeight="1">
      <c r="H22" s="9" t="inlineStr">
        <is>
          <t>LINEST 輸出（5 列 × 2 欄）</t>
        </is>
      </c>
      <c r="I22" s="9" t="inlineStr">
        <is>
          <t>左欄</t>
        </is>
      </c>
      <c r="J22" s="9" t="inlineStr">
        <is>
          <t>右欄</t>
        </is>
      </c>
      <c r="L22" s="20" t="inlineStr">
        <is>
          <t>=LINEST(y, x, TRUE, TRUE)　是「多格陣列公式」：先選 I23:J27 十格，輸入公式後按 Ctrl+Shift+Enter（Excel 365 直接 Enter）。第 1 列和 SLOPE／INTERCEPT 一樣；第 2 列是它們的標準誤（SE），代表斜率、截距本身有多不確定；第 3 列 R² 和 STEYX 也和上面一樣。</t>
        </is>
      </c>
    </row>
    <row r="23" ht="15" customHeight="1">
      <c r="H23" s="10" t="inlineStr">
        <is>
          <t>第 1 列：斜率 m｜截距 b</t>
        </is>
      </c>
      <c r="I23" s="34">
        <f t="array" ref="I23:J27">LINEST(OFFSET($C$7,0,0,$I$7),OFFSET($B$7,0,0,$I$7),TRUE,TRUE)</f>
        <v/>
      </c>
      <c r="J23" s="34" t="n"/>
      <c r="L23" s="20" t="inlineStr">
        <is>
          <t>報告寫法：m = 斜率 ± SE(m)。SE 越小，檢量線越可靠。</t>
        </is>
      </c>
    </row>
    <row r="24" ht="30" customHeight="1">
      <c r="H24" s="10" t="inlineStr">
        <is>
          <t>第 2 列：SE(m)｜SE(b)</t>
        </is>
      </c>
      <c r="I24" s="34" t="n"/>
      <c r="J24" s="34" t="n"/>
      <c r="L24" s="20" t="inlineStr">
        <is>
          <t>SE(b) 可以用來判斷截距和 0 有沒有差：|b| &lt; 2×SE(b) 大致表示截距和 0 沒有明顯差別。</t>
        </is>
      </c>
    </row>
    <row r="25">
      <c r="H25" s="10" t="inlineStr">
        <is>
          <t>第 3 列：R²｜s_y</t>
        </is>
      </c>
      <c r="I25" s="11" t="n"/>
      <c r="J25" s="11" t="n"/>
    </row>
    <row r="26">
      <c r="H26" s="10" t="inlineStr">
        <is>
          <t>第 4 列：F 值｜自由度 df = n − 2</t>
        </is>
      </c>
      <c r="I26" s="11" t="n"/>
      <c r="J26" s="11" t="n"/>
    </row>
    <row r="27" ht="15" customHeight="1">
      <c r="H27" s="10" t="inlineStr">
        <is>
          <t>第 5 列：SS_reg｜SS_resid</t>
        </is>
      </c>
      <c r="I27" s="11" t="n"/>
      <c r="J27" s="11" t="n"/>
      <c r="L27" s="20" t="inlineStr">
        <is>
          <t>SS_reg + SS_resid = SS_tot。</t>
        </is>
      </c>
    </row>
    <row r="28"/>
    <row r="29" ht="45" customHeight="1">
      <c r="H29" s="10" t="inlineStr">
        <is>
          <t>斜率的相對標準誤 SE(m)/m (%)</t>
        </is>
      </c>
      <c r="I29" s="36">
        <f>I24/I23*100</f>
        <v/>
      </c>
      <c r="L29" s="20" t="inlineStr">
        <is>
          <t>另一種做法：資料 → 資料分析 → 迴歸（需先啟用「分析工具箱」增益集），勾選「殘差」和「殘差圖」，會得到同樣的係數、標準誤與殘差。這本活頁簿用公式，換數據時會自動更新。</t>
        </is>
      </c>
    </row>
    <row r="30">
      <c r="H30" s="10" t="inlineStr">
        <is>
          <t>截距 ÷ SE(b)</t>
        </is>
      </c>
      <c r="I30" s="36">
        <f>J23/J24</f>
        <v/>
      </c>
    </row>
    <row r="32">
      <c r="A32" s="3" t="inlineStr">
        <is>
          <t>圖 1　標準曲線（點＝實測，線＝迴歸直線）</t>
        </is>
      </c>
      <c r="H32" s="3" t="inlineStr">
        <is>
          <t>圖 2　殘差圖（R² 迷思：看殘差有沒有規律）</t>
        </is>
      </c>
    </row>
    <row r="51" ht="48" customHeight="1">
      <c r="A51" s="20" t="inlineStr">
        <is>
          <t>R² 迷思：本例 R² ≈ 0.999，看起來很完美；但殘差圖是一個拱形（兩端為負、中間為正），表示資料有一點點彎曲（高濃度略為飽和）。R² 沒辦法分辨「彎曲」和「隨機雜訊」，要用步驟 2 的缺適性檢定才能正式判斷。好的殘差圖應該是在 0 上下隨機散佈、沒有形狀。</t>
        </is>
      </c>
    </row>
    <row r="52" ht="32" customHeight="1">
      <c r="A52" s="20" t="inlineStr">
        <is>
          <t>在 Excel 裡也可以對圖 1 的點按右鍵 → 加上趨勢線 → 勾「在圖表上顯示方程式」「顯示 R 平方值」；結果會和 I8、I9、I10 一樣。但趨勢線不會告訴你殘差，所以殘差圖要自己畫。</t>
        </is>
      </c>
    </row>
  </sheetData>
  <mergeCells count="11">
    <mergeCell ref="A2:L2"/>
    <mergeCell ref="A52:L52"/>
    <mergeCell ref="A19:F19"/>
    <mergeCell ref="A51:L51"/>
    <mergeCell ref="B4:D4"/>
    <mergeCell ref="I19:J19"/>
    <mergeCell ref="N18:S18"/>
    <mergeCell ref="A18:F18"/>
    <mergeCell ref="A20:F20"/>
    <mergeCell ref="A21:F21"/>
    <mergeCell ref="H4:L4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P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6" customWidth="1" min="3" max="3"/>
    <col width="12" customWidth="1" min="4" max="4"/>
    <col width="12" customWidth="1" min="5" max="5"/>
    <col width="12" customWidth="1" min="6" max="6"/>
    <col width="11" customWidth="1" min="7" max="7"/>
    <col width="3" customWidth="1" min="8" max="8"/>
    <col width="26" customWidth="1" min="9" max="9"/>
    <col width="14" customWidth="1" min="10" max="10"/>
    <col width="12" customWidth="1" min="11" max="11"/>
    <col width="14" customWidth="1" min="12" max="12"/>
    <col width="16" customWidth="1" min="13" max="13"/>
    <col width="16" customWidth="1" min="14" max="14"/>
    <col width="3" customWidth="1" min="15" max="15"/>
    <col width="60" customWidth="1" min="16" max="16"/>
  </cols>
  <sheetData>
    <row r="1">
      <c r="A1" s="1" t="inlineStr">
        <is>
          <t>步驟 2　缺適性（lack-of-fit）F 檢定：用重複測量判斷「直線」對不對</t>
        </is>
      </c>
    </row>
    <row r="2" ht="45" customHeight="1">
      <c r="A2" s="20" t="inlineStr">
        <is>
          <t>把兩個重複的標準曲線（共 12 點）合併做一條直線。殘差分成兩部分：同一濃度重複之間的差＝純誤差（pure error，隨機雜訊）；各濃度平均值偏離直線＝缺適性（lack-of-fit，彎曲）。如果缺適性明顯大於純誤差，直線就不是好模型。</t>
        </is>
      </c>
    </row>
    <row r="4">
      <c r="A4" s="3" t="inlineStr">
        <is>
          <t>2-1 所有標準點（自動從原始數據抓）</t>
        </is>
      </c>
      <c r="I4" s="3" t="inlineStr">
        <is>
          <t>2-2 合併迴歸（所有重複一起）</t>
        </is>
      </c>
    </row>
    <row r="5" ht="32" customHeight="1">
      <c r="A5" s="9" t="inlineStr">
        <is>
          <t>k</t>
        </is>
      </c>
      <c r="B5" s="9" t="inlineStr">
        <is>
          <t>原始列號</t>
        </is>
      </c>
      <c r="C5" s="9" t="inlineStr">
        <is>
          <t>rep</t>
        </is>
      </c>
      <c r="D5" s="9" t="inlineStr">
        <is>
          <t>濃度 C</t>
        </is>
      </c>
      <c r="E5" s="9" t="inlineStr">
        <is>
          <t>吸光值 A</t>
        </is>
      </c>
      <c r="F5" s="9" t="inlineStr">
        <is>
          <t>合併直線預測</t>
        </is>
      </c>
      <c r="G5" s="9" t="inlineStr">
        <is>
          <t>殘差</t>
        </is>
      </c>
    </row>
    <row r="6">
      <c r="A6" s="29" t="n">
        <v>1</v>
      </c>
      <c r="B6" s="33">
        <f t="array" ref="B6">IF(1&gt;COUNTIF('1_原始數據'!$C$2:$C$1000,"std_curve"),"",SMALL(IF('1_原始數據'!$C$2:$C$1000="std_curve",ROW('1_原始數據'!$C$2:$C$1000)),1))</f>
        <v/>
      </c>
      <c r="C6" s="33">
        <f>IF($B6="","",INDEX('1_原始數據'!$D$1:$D$1000,$B6))</f>
        <v/>
      </c>
      <c r="D6" s="30">
        <f>IF($B6="","",INDEX('1_原始數據'!$H$1:$H$1000,$B6))</f>
        <v/>
      </c>
      <c r="E6" s="18">
        <f>IF($B6="","",INDEX('1_原始數據'!$E$1:$E$1000,$B6))</f>
        <v/>
      </c>
      <c r="F6" s="18">
        <f>IF($B6="","",$J$7*D6+$J$8)</f>
        <v/>
      </c>
      <c r="G6" s="31">
        <f>IF($B6="","",E6-F6)</f>
        <v/>
      </c>
      <c r="I6" s="10" t="inlineStr">
        <is>
          <t>總點數 N</t>
        </is>
      </c>
      <c r="J6" s="33">
        <f>COUNT(D6:D35)</f>
        <v/>
      </c>
    </row>
    <row r="7">
      <c r="A7" s="29" t="n">
        <v>2</v>
      </c>
      <c r="B7" s="33">
        <f t="array" ref="B7">IF(2&gt;COUNTIF('1_原始數據'!$C$2:$C$1000,"std_curve"),"",SMALL(IF('1_原始數據'!$C$2:$C$1000="std_curve",ROW('1_原始數據'!$C$2:$C$1000)),2))</f>
        <v/>
      </c>
      <c r="C7" s="33">
        <f>IF($B7="","",INDEX('1_原始數據'!$D$1:$D$1000,$B7))</f>
        <v/>
      </c>
      <c r="D7" s="30">
        <f>IF($B7="","",INDEX('1_原始數據'!$H$1:$H$1000,$B7))</f>
        <v/>
      </c>
      <c r="E7" s="18">
        <f>IF($B7="","",INDEX('1_原始數據'!$E$1:$E$1000,$B7))</f>
        <v/>
      </c>
      <c r="F7" s="18">
        <f>IF($B7="","",$J$7*D7+$J$8)</f>
        <v/>
      </c>
      <c r="G7" s="31">
        <f>IF($B7="","",E7-F7)</f>
        <v/>
      </c>
      <c r="I7" s="10" t="inlineStr">
        <is>
          <t>合併斜率</t>
        </is>
      </c>
      <c r="J7" s="11">
        <f>SLOPE(OFFSET($E$6,0,0,$J$6),OFFSET($D$6,0,0,$J$6))</f>
        <v/>
      </c>
      <c r="P7" s="20" t="inlineStr">
        <is>
          <t>注意：這是兩個重複合併的直線，只用在這個檢定。正式換算仍用步驟 1 的直線。</t>
        </is>
      </c>
    </row>
    <row r="8">
      <c r="A8" s="29" t="n">
        <v>3</v>
      </c>
      <c r="B8" s="33">
        <f t="array" ref="B8">IF(3&gt;COUNTIF('1_原始數據'!$C$2:$C$1000,"std_curve"),"",SMALL(IF('1_原始數據'!$C$2:$C$1000="std_curve",ROW('1_原始數據'!$C$2:$C$1000)),3))</f>
        <v/>
      </c>
      <c r="C8" s="33">
        <f>IF($B8="","",INDEX('1_原始數據'!$D$1:$D$1000,$B8))</f>
        <v/>
      </c>
      <c r="D8" s="30">
        <f>IF($B8="","",INDEX('1_原始數據'!$H$1:$H$1000,$B8))</f>
        <v/>
      </c>
      <c r="E8" s="18">
        <f>IF($B8="","",INDEX('1_原始數據'!$E$1:$E$1000,$B8))</f>
        <v/>
      </c>
      <c r="F8" s="18">
        <f>IF($B8="","",$J$7*D8+$J$8)</f>
        <v/>
      </c>
      <c r="G8" s="31">
        <f>IF($B8="","",E8-F8)</f>
        <v/>
      </c>
      <c r="I8" s="10" t="inlineStr">
        <is>
          <t>合併截距</t>
        </is>
      </c>
      <c r="J8" s="11">
        <f>INTERCEPT(OFFSET($E$6,0,0,$J$6),OFFSET($D$6,0,0,$J$6))</f>
        <v/>
      </c>
    </row>
    <row r="9">
      <c r="A9" s="29" t="n">
        <v>4</v>
      </c>
      <c r="B9" s="33">
        <f t="array" ref="B9">IF(4&gt;COUNTIF('1_原始數據'!$C$2:$C$1000,"std_curve"),"",SMALL(IF('1_原始數據'!$C$2:$C$1000="std_curve",ROW('1_原始數據'!$C$2:$C$1000)),4))</f>
        <v/>
      </c>
      <c r="C9" s="33">
        <f>IF($B9="","",INDEX('1_原始數據'!$D$1:$D$1000,$B9))</f>
        <v/>
      </c>
      <c r="D9" s="30">
        <f>IF($B9="","",INDEX('1_原始數據'!$H$1:$H$1000,$B9))</f>
        <v/>
      </c>
      <c r="E9" s="18">
        <f>IF($B9="","",INDEX('1_原始數據'!$E$1:$E$1000,$B9))</f>
        <v/>
      </c>
      <c r="F9" s="18">
        <f>IF($B9="","",$J$7*D9+$J$8)</f>
        <v/>
      </c>
      <c r="G9" s="31">
        <f>IF($B9="","",E9-F9)</f>
        <v/>
      </c>
      <c r="I9" s="10" t="inlineStr">
        <is>
          <t>合併 R²</t>
        </is>
      </c>
      <c r="J9" s="14">
        <f>RSQ(OFFSET($E$6,0,0,$J$6),OFFSET($D$6,0,0,$J$6))</f>
        <v/>
      </c>
      <c r="P9" s="20" t="inlineStr">
        <is>
          <t>R² 仍然很高，但下面的檢定會說直線不夠好。</t>
        </is>
      </c>
    </row>
    <row r="10">
      <c r="A10" s="29" t="n">
        <v>5</v>
      </c>
      <c r="B10" s="33">
        <f t="array" ref="B10">IF(5&gt;COUNTIF('1_原始數據'!$C$2:$C$1000,"std_curve"),"",SMALL(IF('1_原始數據'!$C$2:$C$1000="std_curve",ROW('1_原始數據'!$C$2:$C$1000)),5))</f>
        <v/>
      </c>
      <c r="C10" s="33">
        <f>IF($B10="","",INDEX('1_原始數據'!$D$1:$D$1000,$B10))</f>
        <v/>
      </c>
      <c r="D10" s="30">
        <f>IF($B10="","",INDEX('1_原始數據'!$H$1:$H$1000,$B10))</f>
        <v/>
      </c>
      <c r="E10" s="18">
        <f>IF($B10="","",INDEX('1_原始數據'!$E$1:$E$1000,$B10))</f>
        <v/>
      </c>
      <c r="F10" s="18">
        <f>IF($B10="","",$J$7*D10+$J$8)</f>
        <v/>
      </c>
      <c r="G10" s="31">
        <f>IF($B10="","",E10-F10)</f>
        <v/>
      </c>
      <c r="I10" s="10" t="inlineStr">
        <is>
          <t>殘差平方和 SSE</t>
        </is>
      </c>
      <c r="J10" s="11">
        <f>SUMSQ(G6:G35)</f>
        <v/>
      </c>
      <c r="P10" s="20" t="inlineStr">
        <is>
          <t>SSE = SS_lack-of-fit + SS_pure-error</t>
        </is>
      </c>
    </row>
    <row r="11">
      <c r="A11" s="29" t="n">
        <v>6</v>
      </c>
      <c r="B11" s="33">
        <f t="array" ref="B11">IF(6&gt;COUNTIF('1_原始數據'!$C$2:$C$1000,"std_curve"),"",SMALL(IF('1_原始數據'!$C$2:$C$1000="std_curve",ROW('1_原始數據'!$C$2:$C$1000)),6))</f>
        <v/>
      </c>
      <c r="C11" s="33">
        <f>IF($B11="","",INDEX('1_原始數據'!$D$1:$D$1000,$B11))</f>
        <v/>
      </c>
      <c r="D11" s="30">
        <f>IF($B11="","",INDEX('1_原始數據'!$H$1:$H$1000,$B11))</f>
        <v/>
      </c>
      <c r="E11" s="18">
        <f>IF($B11="","",INDEX('1_原始數據'!$E$1:$E$1000,$B11))</f>
        <v/>
      </c>
      <c r="F11" s="18">
        <f>IF($B11="","",$J$7*D11+$J$8)</f>
        <v/>
      </c>
      <c r="G11" s="31">
        <f>IF($B11="","",E11-F11)</f>
        <v/>
      </c>
    </row>
    <row r="12">
      <c r="A12" s="29" t="n">
        <v>7</v>
      </c>
      <c r="B12" s="33">
        <f t="array" ref="B12">IF(7&gt;COUNTIF('1_原始數據'!$C$2:$C$1000,"std_curve"),"",SMALL(IF('1_原始數據'!$C$2:$C$1000="std_curve",ROW('1_原始數據'!$C$2:$C$1000)),7))</f>
        <v/>
      </c>
      <c r="C12" s="33">
        <f>IF($B12="","",INDEX('1_原始數據'!$D$1:$D$1000,$B12))</f>
        <v/>
      </c>
      <c r="D12" s="30">
        <f>IF($B12="","",INDEX('1_原始數據'!$H$1:$H$1000,$B12))</f>
        <v/>
      </c>
      <c r="E12" s="18">
        <f>IF($B12="","",INDEX('1_原始數據'!$E$1:$E$1000,$B12))</f>
        <v/>
      </c>
      <c r="F12" s="18">
        <f>IF($B12="","",$J$7*D12+$J$8)</f>
        <v/>
      </c>
      <c r="G12" s="31">
        <f>IF($B12="","",E12-F12)</f>
        <v/>
      </c>
      <c r="I12" s="3" t="inlineStr">
        <is>
          <t>2-3 各濃度水準</t>
        </is>
      </c>
    </row>
    <row r="13" ht="45" customHeight="1">
      <c r="A13" s="29" t="n">
        <v>8</v>
      </c>
      <c r="B13" s="33">
        <f t="array" ref="B13">IF(8&gt;COUNTIF('1_原始數據'!$C$2:$C$1000,"std_curve"),"",SMALL(IF('1_原始數據'!$C$2:$C$1000="std_curve",ROW('1_原始數據'!$C$2:$C$1000)),8))</f>
        <v/>
      </c>
      <c r="C13" s="33">
        <f>IF($B13="","",INDEX('1_原始數據'!$D$1:$D$1000,$B13))</f>
        <v/>
      </c>
      <c r="D13" s="30">
        <f>IF($B13="","",INDEX('1_原始數據'!$H$1:$H$1000,$B13))</f>
        <v/>
      </c>
      <c r="E13" s="18">
        <f>IF($B13="","",INDEX('1_原始數據'!$E$1:$E$1000,$B13))</f>
        <v/>
      </c>
      <c r="F13" s="18">
        <f>IF($B13="","",$J$7*D13+$J$8)</f>
        <v/>
      </c>
      <c r="G13" s="31">
        <f>IF($B13="","",E13-F13)</f>
        <v/>
      </c>
      <c r="I13" s="9" t="inlineStr">
        <is>
          <t>濃度 C_i</t>
        </is>
      </c>
      <c r="J13" s="9" t="inlineStr">
        <is>
          <t>重複數 n_i</t>
        </is>
      </c>
      <c r="K13" s="9" t="inlineStr">
        <is>
          <t>平均 ȳ_i</t>
        </is>
      </c>
      <c r="L13" s="9" t="inlineStr">
        <is>
          <t>直線預測 ŷ_i</t>
        </is>
      </c>
      <c r="M13" s="9" t="inlineStr">
        <is>
          <t>n_i(ȳ_i − ŷ_i)²</t>
        </is>
      </c>
      <c r="N13" s="9" t="inlineStr">
        <is>
          <t>Σ(y − ȳ_i)²</t>
        </is>
      </c>
      <c r="P13" s="20" t="inlineStr">
        <is>
          <t>M 欄＝缺適性的來源：平均值離直線多遠（乘上重複數）。N 欄＝純誤差的來源：同一濃度的重複彼此差多少，用 {=DEVSQ(IF(條件, 吸光值))} 算。</t>
        </is>
      </c>
    </row>
    <row r="14">
      <c r="A14" s="29" t="n">
        <v>9</v>
      </c>
      <c r="B14" s="33">
        <f t="array" ref="B14">IF(9&gt;COUNTIF('1_原始數據'!$C$2:$C$1000,"std_curve"),"",SMALL(IF('1_原始數據'!$C$2:$C$1000="std_curve",ROW('1_原始數據'!$C$2:$C$1000)),9))</f>
        <v/>
      </c>
      <c r="C14" s="33">
        <f>IF($B14="","",INDEX('1_原始數據'!$D$1:$D$1000,$B14))</f>
        <v/>
      </c>
      <c r="D14" s="30">
        <f>IF($B14="","",INDEX('1_原始數據'!$H$1:$H$1000,$B14))</f>
        <v/>
      </c>
      <c r="E14" s="18">
        <f>IF($B14="","",INDEX('1_原始數據'!$E$1:$E$1000,$B14))</f>
        <v/>
      </c>
      <c r="F14" s="18">
        <f>IF($B14="","",$J$7*D14+$J$8)</f>
        <v/>
      </c>
      <c r="G14" s="31">
        <f>IF($B14="","",E14-F14)</f>
        <v/>
      </c>
      <c r="I14" s="30">
        <f t="array" ref="I14">IF(COUNTIF('1_原始數據'!$C$2:$C$1000,"std_curve")=0,"",MIN(IF('1_原始數據'!$C$2:$C$1000="std_curve",'1_原始數據'!$H$2:$H$1000)))</f>
        <v/>
      </c>
      <c r="J14" s="33">
        <f>IF(I14="","",COUNTIFS('1_原始數據'!$C$2:$C$1000,"std_curve",'1_原始數據'!$H$2:$H$1000,I14))</f>
        <v/>
      </c>
      <c r="K14" s="14">
        <f>IF(I14="","",AVERAGEIFS('1_原始數據'!$E$2:$E$1000,'1_原始數據'!$C$2:$C$1000,"std_curve",'1_原始數據'!$H$2:$H$1000,I14))</f>
        <v/>
      </c>
      <c r="L14" s="14">
        <f>IF(I14="","",$J$7*I14+$J$8)</f>
        <v/>
      </c>
      <c r="M14" s="37">
        <f>IF(I14="","",J14*(K14-L14)^2)</f>
        <v/>
      </c>
      <c r="N14" s="37">
        <f t="array" ref="N14">IF(I14="","",DEVSQ(IF(('1_原始數據'!$C$2:$C$1000="std_curve")*('1_原始數據'!$H$2:$H$1000=I14),'1_原始數據'!$E$2:$E$1000)))</f>
        <v/>
      </c>
    </row>
    <row r="15">
      <c r="A15" s="29" t="n">
        <v>10</v>
      </c>
      <c r="B15" s="33">
        <f t="array" ref="B15">IF(10&gt;COUNTIF('1_原始數據'!$C$2:$C$1000,"std_curve"),"",SMALL(IF('1_原始數據'!$C$2:$C$1000="std_curve",ROW('1_原始數據'!$C$2:$C$1000)),10))</f>
        <v/>
      </c>
      <c r="C15" s="33">
        <f>IF($B15="","",INDEX('1_原始數據'!$D$1:$D$1000,$B15))</f>
        <v/>
      </c>
      <c r="D15" s="30">
        <f>IF($B15="","",INDEX('1_原始數據'!$H$1:$H$1000,$B15))</f>
        <v/>
      </c>
      <c r="E15" s="18">
        <f>IF($B15="","",INDEX('1_原始數據'!$E$1:$E$1000,$B15))</f>
        <v/>
      </c>
      <c r="F15" s="18">
        <f>IF($B15="","",$J$7*D15+$J$8)</f>
        <v/>
      </c>
      <c r="G15" s="31">
        <f>IF($B15="","",E15-F15)</f>
        <v/>
      </c>
      <c r="I15" s="30">
        <f t="array" ref="I15">IF(I14="","",IF(COUNTIFS('1_原始數據'!$C$2:$C$1000,"std_curve",'1_原始數據'!$H$2:$H$1000,"&gt;"&amp;I14)=0,"",MIN(IF(('1_原始數據'!$C$2:$C$1000="std_curve")*('1_原始數據'!$H$2:$H$1000&gt;I14),'1_原始數據'!$H$2:$H$1000))))</f>
        <v/>
      </c>
      <c r="J15" s="33">
        <f>IF(I15="","",COUNTIFS('1_原始數據'!$C$2:$C$1000,"std_curve",'1_原始數據'!$H$2:$H$1000,I15))</f>
        <v/>
      </c>
      <c r="K15" s="14">
        <f>IF(I15="","",AVERAGEIFS('1_原始數據'!$E$2:$E$1000,'1_原始數據'!$C$2:$C$1000,"std_curve",'1_原始數據'!$H$2:$H$1000,I15))</f>
        <v/>
      </c>
      <c r="L15" s="14">
        <f>IF(I15="","",$J$7*I15+$J$8)</f>
        <v/>
      </c>
      <c r="M15" s="37">
        <f>IF(I15="","",J15*(K15-L15)^2)</f>
        <v/>
      </c>
      <c r="N15" s="37">
        <f t="array" ref="N15">IF(I15="","",DEVSQ(IF(('1_原始數據'!$C$2:$C$1000="std_curve")*('1_原始數據'!$H$2:$H$1000=I15),'1_原始數據'!$E$2:$E$1000)))</f>
        <v/>
      </c>
    </row>
    <row r="16">
      <c r="A16" s="29" t="n">
        <v>11</v>
      </c>
      <c r="B16" s="33">
        <f t="array" ref="B16">IF(11&gt;COUNTIF('1_原始數據'!$C$2:$C$1000,"std_curve"),"",SMALL(IF('1_原始數據'!$C$2:$C$1000="std_curve",ROW('1_原始數據'!$C$2:$C$1000)),11))</f>
        <v/>
      </c>
      <c r="C16" s="33">
        <f>IF($B16="","",INDEX('1_原始數據'!$D$1:$D$1000,$B16))</f>
        <v/>
      </c>
      <c r="D16" s="30">
        <f>IF($B16="","",INDEX('1_原始數據'!$H$1:$H$1000,$B16))</f>
        <v/>
      </c>
      <c r="E16" s="18">
        <f>IF($B16="","",INDEX('1_原始數據'!$E$1:$E$1000,$B16))</f>
        <v/>
      </c>
      <c r="F16" s="18">
        <f>IF($B16="","",$J$7*D16+$J$8)</f>
        <v/>
      </c>
      <c r="G16" s="31">
        <f>IF($B16="","",E16-F16)</f>
        <v/>
      </c>
      <c r="I16" s="30">
        <f t="array" ref="I16">IF(I15="","",IF(COUNTIFS('1_原始數據'!$C$2:$C$1000,"std_curve",'1_原始數據'!$H$2:$H$1000,"&gt;"&amp;I15)=0,"",MIN(IF(('1_原始數據'!$C$2:$C$1000="std_curve")*('1_原始數據'!$H$2:$H$1000&gt;I15),'1_原始數據'!$H$2:$H$1000))))</f>
        <v/>
      </c>
      <c r="J16" s="33">
        <f>IF(I16="","",COUNTIFS('1_原始數據'!$C$2:$C$1000,"std_curve",'1_原始數據'!$H$2:$H$1000,I16))</f>
        <v/>
      </c>
      <c r="K16" s="14">
        <f>IF(I16="","",AVERAGEIFS('1_原始數據'!$E$2:$E$1000,'1_原始數據'!$C$2:$C$1000,"std_curve",'1_原始數據'!$H$2:$H$1000,I16))</f>
        <v/>
      </c>
      <c r="L16" s="14">
        <f>IF(I16="","",$J$7*I16+$J$8)</f>
        <v/>
      </c>
      <c r="M16" s="37">
        <f>IF(I16="","",J16*(K16-L16)^2)</f>
        <v/>
      </c>
      <c r="N16" s="37">
        <f t="array" ref="N16">IF(I16="","",DEVSQ(IF(('1_原始數據'!$C$2:$C$1000="std_curve")*('1_原始數據'!$H$2:$H$1000=I16),'1_原始數據'!$E$2:$E$1000)))</f>
        <v/>
      </c>
    </row>
    <row r="17">
      <c r="A17" s="29" t="n">
        <v>12</v>
      </c>
      <c r="B17" s="33">
        <f t="array" ref="B17">IF(12&gt;COUNTIF('1_原始數據'!$C$2:$C$1000,"std_curve"),"",SMALL(IF('1_原始數據'!$C$2:$C$1000="std_curve",ROW('1_原始數據'!$C$2:$C$1000)),12))</f>
        <v/>
      </c>
      <c r="C17" s="33">
        <f>IF($B17="","",INDEX('1_原始數據'!$D$1:$D$1000,$B17))</f>
        <v/>
      </c>
      <c r="D17" s="30">
        <f>IF($B17="","",INDEX('1_原始數據'!$H$1:$H$1000,$B17))</f>
        <v/>
      </c>
      <c r="E17" s="18">
        <f>IF($B17="","",INDEX('1_原始數據'!$E$1:$E$1000,$B17))</f>
        <v/>
      </c>
      <c r="F17" s="18">
        <f>IF($B17="","",$J$7*D17+$J$8)</f>
        <v/>
      </c>
      <c r="G17" s="31">
        <f>IF($B17="","",E17-F17)</f>
        <v/>
      </c>
      <c r="I17" s="30">
        <f t="array" ref="I17">IF(I16="","",IF(COUNTIFS('1_原始數據'!$C$2:$C$1000,"std_curve",'1_原始數據'!$H$2:$H$1000,"&gt;"&amp;I16)=0,"",MIN(IF(('1_原始數據'!$C$2:$C$1000="std_curve")*('1_原始數據'!$H$2:$H$1000&gt;I16),'1_原始數據'!$H$2:$H$1000))))</f>
        <v/>
      </c>
      <c r="J17" s="33">
        <f>IF(I17="","",COUNTIFS('1_原始數據'!$C$2:$C$1000,"std_curve",'1_原始數據'!$H$2:$H$1000,I17))</f>
        <v/>
      </c>
      <c r="K17" s="14">
        <f>IF(I17="","",AVERAGEIFS('1_原始數據'!$E$2:$E$1000,'1_原始數據'!$C$2:$C$1000,"std_curve",'1_原始數據'!$H$2:$H$1000,I17))</f>
        <v/>
      </c>
      <c r="L17" s="14">
        <f>IF(I17="","",$J$7*I17+$J$8)</f>
        <v/>
      </c>
      <c r="M17" s="37">
        <f>IF(I17="","",J17*(K17-L17)^2)</f>
        <v/>
      </c>
      <c r="N17" s="37">
        <f t="array" ref="N17">IF(I17="","",DEVSQ(IF(('1_原始數據'!$C$2:$C$1000="std_curve")*('1_原始數據'!$H$2:$H$1000=I17),'1_原始數據'!$E$2:$E$1000)))</f>
        <v/>
      </c>
    </row>
    <row r="18">
      <c r="A18" s="29" t="n">
        <v>13</v>
      </c>
      <c r="B18" s="33">
        <f t="array" ref="B18">IF(13&gt;COUNTIF('1_原始數據'!$C$2:$C$1000,"std_curve"),"",SMALL(IF('1_原始數據'!$C$2:$C$1000="std_curve",ROW('1_原始數據'!$C$2:$C$1000)),13))</f>
        <v/>
      </c>
      <c r="C18" s="33">
        <f>IF($B18="","",INDEX('1_原始數據'!$D$1:$D$1000,$B18))</f>
        <v/>
      </c>
      <c r="D18" s="30">
        <f>IF($B18="","",INDEX('1_原始數據'!$H$1:$H$1000,$B18))</f>
        <v/>
      </c>
      <c r="E18" s="18">
        <f>IF($B18="","",INDEX('1_原始數據'!$E$1:$E$1000,$B18))</f>
        <v/>
      </c>
      <c r="F18" s="18">
        <f>IF($B18="","",$J$7*D18+$J$8)</f>
        <v/>
      </c>
      <c r="G18" s="31">
        <f>IF($B18="","",E18-F18)</f>
        <v/>
      </c>
      <c r="I18" s="30">
        <f t="array" ref="I18">IF(I17="","",IF(COUNTIFS('1_原始數據'!$C$2:$C$1000,"std_curve",'1_原始數據'!$H$2:$H$1000,"&gt;"&amp;I17)=0,"",MIN(IF(('1_原始數據'!$C$2:$C$1000="std_curve")*('1_原始數據'!$H$2:$H$1000&gt;I17),'1_原始數據'!$H$2:$H$1000))))</f>
        <v/>
      </c>
      <c r="J18" s="33">
        <f>IF(I18="","",COUNTIFS('1_原始數據'!$C$2:$C$1000,"std_curve",'1_原始數據'!$H$2:$H$1000,I18))</f>
        <v/>
      </c>
      <c r="K18" s="14">
        <f>IF(I18="","",AVERAGEIFS('1_原始數據'!$E$2:$E$1000,'1_原始數據'!$C$2:$C$1000,"std_curve",'1_原始數據'!$H$2:$H$1000,I18))</f>
        <v/>
      </c>
      <c r="L18" s="14">
        <f>IF(I18="","",$J$7*I18+$J$8)</f>
        <v/>
      </c>
      <c r="M18" s="37">
        <f>IF(I18="","",J18*(K18-L18)^2)</f>
        <v/>
      </c>
      <c r="N18" s="37">
        <f t="array" ref="N18">IF(I18="","",DEVSQ(IF(('1_原始數據'!$C$2:$C$1000="std_curve")*('1_原始數據'!$H$2:$H$1000=I18),'1_原始數據'!$E$2:$E$1000)))</f>
        <v/>
      </c>
    </row>
    <row r="19">
      <c r="A19" s="29" t="n">
        <v>14</v>
      </c>
      <c r="B19" s="33">
        <f t="array" ref="B19">IF(14&gt;COUNTIF('1_原始數據'!$C$2:$C$1000,"std_curve"),"",SMALL(IF('1_原始數據'!$C$2:$C$1000="std_curve",ROW('1_原始數據'!$C$2:$C$1000)),14))</f>
        <v/>
      </c>
      <c r="C19" s="33">
        <f>IF($B19="","",INDEX('1_原始數據'!$D$1:$D$1000,$B19))</f>
        <v/>
      </c>
      <c r="D19" s="30">
        <f>IF($B19="","",INDEX('1_原始數據'!$H$1:$H$1000,$B19))</f>
        <v/>
      </c>
      <c r="E19" s="18">
        <f>IF($B19="","",INDEX('1_原始數據'!$E$1:$E$1000,$B19))</f>
        <v/>
      </c>
      <c r="F19" s="18">
        <f>IF($B19="","",$J$7*D19+$J$8)</f>
        <v/>
      </c>
      <c r="G19" s="31">
        <f>IF($B19="","",E19-F19)</f>
        <v/>
      </c>
      <c r="I19" s="30">
        <f t="array" ref="I19">IF(I18="","",IF(COUNTIFS('1_原始數據'!$C$2:$C$1000,"std_curve",'1_原始數據'!$H$2:$H$1000,"&gt;"&amp;I18)=0,"",MIN(IF(('1_原始數據'!$C$2:$C$1000="std_curve")*('1_原始數據'!$H$2:$H$1000&gt;I18),'1_原始數據'!$H$2:$H$1000))))</f>
        <v/>
      </c>
      <c r="J19" s="33">
        <f>IF(I19="","",COUNTIFS('1_原始數據'!$C$2:$C$1000,"std_curve",'1_原始數據'!$H$2:$H$1000,I19))</f>
        <v/>
      </c>
      <c r="K19" s="14">
        <f>IF(I19="","",AVERAGEIFS('1_原始數據'!$E$2:$E$1000,'1_原始數據'!$C$2:$C$1000,"std_curve",'1_原始數據'!$H$2:$H$1000,I19))</f>
        <v/>
      </c>
      <c r="L19" s="14">
        <f>IF(I19="","",$J$7*I19+$J$8)</f>
        <v/>
      </c>
      <c r="M19" s="37">
        <f>IF(I19="","",J19*(K19-L19)^2)</f>
        <v/>
      </c>
      <c r="N19" s="37">
        <f t="array" ref="N19">IF(I19="","",DEVSQ(IF(('1_原始數據'!$C$2:$C$1000="std_curve")*('1_原始數據'!$H$2:$H$1000=I19),'1_原始數據'!$E$2:$E$1000)))</f>
        <v/>
      </c>
    </row>
    <row r="20">
      <c r="A20" s="29" t="n">
        <v>15</v>
      </c>
      <c r="B20" s="33">
        <f t="array" ref="B20">IF(15&gt;COUNTIF('1_原始數據'!$C$2:$C$1000,"std_curve"),"",SMALL(IF('1_原始數據'!$C$2:$C$1000="std_curve",ROW('1_原始數據'!$C$2:$C$1000)),15))</f>
        <v/>
      </c>
      <c r="C20" s="33">
        <f>IF($B20="","",INDEX('1_原始數據'!$D$1:$D$1000,$B20))</f>
        <v/>
      </c>
      <c r="D20" s="30">
        <f>IF($B20="","",INDEX('1_原始數據'!$H$1:$H$1000,$B20))</f>
        <v/>
      </c>
      <c r="E20" s="18">
        <f>IF($B20="","",INDEX('1_原始數據'!$E$1:$E$1000,$B20))</f>
        <v/>
      </c>
      <c r="F20" s="18">
        <f>IF($B20="","",$J$7*D20+$J$8)</f>
        <v/>
      </c>
      <c r="G20" s="31">
        <f>IF($B20="","",E20-F20)</f>
        <v/>
      </c>
      <c r="I20" s="30">
        <f t="array" ref="I20">IF(I19="","",IF(COUNTIFS('1_原始數據'!$C$2:$C$1000,"std_curve",'1_原始數據'!$H$2:$H$1000,"&gt;"&amp;I19)=0,"",MIN(IF(('1_原始數據'!$C$2:$C$1000="std_curve")*('1_原始數據'!$H$2:$H$1000&gt;I19),'1_原始數據'!$H$2:$H$1000))))</f>
        <v/>
      </c>
      <c r="J20" s="33">
        <f>IF(I20="","",COUNTIFS('1_原始數據'!$C$2:$C$1000,"std_curve",'1_原始數據'!$H$2:$H$1000,I20))</f>
        <v/>
      </c>
      <c r="K20" s="14">
        <f>IF(I20="","",AVERAGEIFS('1_原始數據'!$E$2:$E$1000,'1_原始數據'!$C$2:$C$1000,"std_curve",'1_原始數據'!$H$2:$H$1000,I20))</f>
        <v/>
      </c>
      <c r="L20" s="14">
        <f>IF(I20="","",$J$7*I20+$J$8)</f>
        <v/>
      </c>
      <c r="M20" s="37">
        <f>IF(I20="","",J20*(K20-L20)^2)</f>
        <v/>
      </c>
      <c r="N20" s="37">
        <f t="array" ref="N20">IF(I20="","",DEVSQ(IF(('1_原始數據'!$C$2:$C$1000="std_curve")*('1_原始數據'!$H$2:$H$1000=I20),'1_原始數據'!$E$2:$E$1000)))</f>
        <v/>
      </c>
    </row>
    <row r="21">
      <c r="A21" s="29" t="n">
        <v>16</v>
      </c>
      <c r="B21" s="33">
        <f t="array" ref="B21">IF(16&gt;COUNTIF('1_原始數據'!$C$2:$C$1000,"std_curve"),"",SMALL(IF('1_原始數據'!$C$2:$C$1000="std_curve",ROW('1_原始數據'!$C$2:$C$1000)),16))</f>
        <v/>
      </c>
      <c r="C21" s="33">
        <f>IF($B21="","",INDEX('1_原始數據'!$D$1:$D$1000,$B21))</f>
        <v/>
      </c>
      <c r="D21" s="30">
        <f>IF($B21="","",INDEX('1_原始數據'!$H$1:$H$1000,$B21))</f>
        <v/>
      </c>
      <c r="E21" s="18">
        <f>IF($B21="","",INDEX('1_原始數據'!$E$1:$E$1000,$B21))</f>
        <v/>
      </c>
      <c r="F21" s="18">
        <f>IF($B21="","",$J$7*D21+$J$8)</f>
        <v/>
      </c>
      <c r="G21" s="31">
        <f>IF($B21="","",E21-F21)</f>
        <v/>
      </c>
      <c r="I21" s="30">
        <f t="array" ref="I21">IF(I20="","",IF(COUNTIFS('1_原始數據'!$C$2:$C$1000,"std_curve",'1_原始數據'!$H$2:$H$1000,"&gt;"&amp;I20)=0,"",MIN(IF(('1_原始數據'!$C$2:$C$1000="std_curve")*('1_原始數據'!$H$2:$H$1000&gt;I20),'1_原始數據'!$H$2:$H$1000))))</f>
        <v/>
      </c>
      <c r="J21" s="33">
        <f>IF(I21="","",COUNTIFS('1_原始數據'!$C$2:$C$1000,"std_curve",'1_原始數據'!$H$2:$H$1000,I21))</f>
        <v/>
      </c>
      <c r="K21" s="14">
        <f>IF(I21="","",AVERAGEIFS('1_原始數據'!$E$2:$E$1000,'1_原始數據'!$C$2:$C$1000,"std_curve",'1_原始數據'!$H$2:$H$1000,I21))</f>
        <v/>
      </c>
      <c r="L21" s="14">
        <f>IF(I21="","",$J$7*I21+$J$8)</f>
        <v/>
      </c>
      <c r="M21" s="37">
        <f>IF(I21="","",J21*(K21-L21)^2)</f>
        <v/>
      </c>
      <c r="N21" s="37">
        <f t="array" ref="N21">IF(I21="","",DEVSQ(IF(('1_原始數據'!$C$2:$C$1000="std_curve")*('1_原始數據'!$H$2:$H$1000=I21),'1_原始數據'!$E$2:$E$1000)))</f>
        <v/>
      </c>
    </row>
    <row r="22">
      <c r="A22" s="29" t="n">
        <v>17</v>
      </c>
      <c r="B22" s="33">
        <f t="array" ref="B22">IF(17&gt;COUNTIF('1_原始數據'!$C$2:$C$1000,"std_curve"),"",SMALL(IF('1_原始數據'!$C$2:$C$1000="std_curve",ROW('1_原始數據'!$C$2:$C$1000)),17))</f>
        <v/>
      </c>
      <c r="C22" s="33">
        <f>IF($B22="","",INDEX('1_原始數據'!$D$1:$D$1000,$B22))</f>
        <v/>
      </c>
      <c r="D22" s="30">
        <f>IF($B22="","",INDEX('1_原始數據'!$H$1:$H$1000,$B22))</f>
        <v/>
      </c>
      <c r="E22" s="18">
        <f>IF($B22="","",INDEX('1_原始數據'!$E$1:$E$1000,$B22))</f>
        <v/>
      </c>
      <c r="F22" s="18">
        <f>IF($B22="","",$J$7*D22+$J$8)</f>
        <v/>
      </c>
      <c r="G22" s="31">
        <f>IF($B22="","",E22-F22)</f>
        <v/>
      </c>
      <c r="I22" s="30">
        <f t="array" ref="I22">IF(I21="","",IF(COUNTIFS('1_原始數據'!$C$2:$C$1000,"std_curve",'1_原始數據'!$H$2:$H$1000,"&gt;"&amp;I21)=0,"",MIN(IF(('1_原始數據'!$C$2:$C$1000="std_curve")*('1_原始數據'!$H$2:$H$1000&gt;I21),'1_原始數據'!$H$2:$H$1000))))</f>
        <v/>
      </c>
      <c r="J22" s="33">
        <f>IF(I22="","",COUNTIFS('1_原始數據'!$C$2:$C$1000,"std_curve",'1_原始數據'!$H$2:$H$1000,I22))</f>
        <v/>
      </c>
      <c r="K22" s="14">
        <f>IF(I22="","",AVERAGEIFS('1_原始數據'!$E$2:$E$1000,'1_原始數據'!$C$2:$C$1000,"std_curve",'1_原始數據'!$H$2:$H$1000,I22))</f>
        <v/>
      </c>
      <c r="L22" s="14">
        <f>IF(I22="","",$J$7*I22+$J$8)</f>
        <v/>
      </c>
      <c r="M22" s="37">
        <f>IF(I22="","",J22*(K22-L22)^2)</f>
        <v/>
      </c>
      <c r="N22" s="37">
        <f t="array" ref="N22">IF(I22="","",DEVSQ(IF(('1_原始數據'!$C$2:$C$1000="std_curve")*('1_原始數據'!$H$2:$H$1000=I22),'1_原始數據'!$E$2:$E$1000)))</f>
        <v/>
      </c>
    </row>
    <row r="23">
      <c r="A23" s="29" t="n">
        <v>18</v>
      </c>
      <c r="B23" s="33">
        <f t="array" ref="B23">IF(18&gt;COUNTIF('1_原始數據'!$C$2:$C$1000,"std_curve"),"",SMALL(IF('1_原始數據'!$C$2:$C$1000="std_curve",ROW('1_原始數據'!$C$2:$C$1000)),18))</f>
        <v/>
      </c>
      <c r="C23" s="33">
        <f>IF($B23="","",INDEX('1_原始數據'!$D$1:$D$1000,$B23))</f>
        <v/>
      </c>
      <c r="D23" s="30">
        <f>IF($B23="","",INDEX('1_原始數據'!$H$1:$H$1000,$B23))</f>
        <v/>
      </c>
      <c r="E23" s="18">
        <f>IF($B23="","",INDEX('1_原始數據'!$E$1:$E$1000,$B23))</f>
        <v/>
      </c>
      <c r="F23" s="18">
        <f>IF($B23="","",$J$7*D23+$J$8)</f>
        <v/>
      </c>
      <c r="G23" s="31">
        <f>IF($B23="","",E23-F23)</f>
        <v/>
      </c>
      <c r="I23" s="30">
        <f t="array" ref="I23">IF(I22="","",IF(COUNTIFS('1_原始數據'!$C$2:$C$1000,"std_curve",'1_原始數據'!$H$2:$H$1000,"&gt;"&amp;I22)=0,"",MIN(IF(('1_原始數據'!$C$2:$C$1000="std_curve")*('1_原始數據'!$H$2:$H$1000&gt;I22),'1_原始數據'!$H$2:$H$1000))))</f>
        <v/>
      </c>
      <c r="J23" s="33">
        <f>IF(I23="","",COUNTIFS('1_原始數據'!$C$2:$C$1000,"std_curve",'1_原始數據'!$H$2:$H$1000,I23))</f>
        <v/>
      </c>
      <c r="K23" s="14">
        <f>IF(I23="","",AVERAGEIFS('1_原始數據'!$E$2:$E$1000,'1_原始數據'!$C$2:$C$1000,"std_curve",'1_原始數據'!$H$2:$H$1000,I23))</f>
        <v/>
      </c>
      <c r="L23" s="14">
        <f>IF(I23="","",$J$7*I23+$J$8)</f>
        <v/>
      </c>
      <c r="M23" s="37">
        <f>IF(I23="","",J23*(K23-L23)^2)</f>
        <v/>
      </c>
      <c r="N23" s="37">
        <f t="array" ref="N23">IF(I23="","",DEVSQ(IF(('1_原始數據'!$C$2:$C$1000="std_curve")*('1_原始數據'!$H$2:$H$1000=I23),'1_原始數據'!$E$2:$E$1000)))</f>
        <v/>
      </c>
    </row>
    <row r="24">
      <c r="A24" s="29" t="n">
        <v>19</v>
      </c>
      <c r="B24" s="33">
        <f t="array" ref="B24">IF(19&gt;COUNTIF('1_原始數據'!$C$2:$C$1000,"std_curve"),"",SMALL(IF('1_原始數據'!$C$2:$C$1000="std_curve",ROW('1_原始數據'!$C$2:$C$1000)),19))</f>
        <v/>
      </c>
      <c r="C24" s="33">
        <f>IF($B24="","",INDEX('1_原始數據'!$D$1:$D$1000,$B24))</f>
        <v/>
      </c>
      <c r="D24" s="30">
        <f>IF($B24="","",INDEX('1_原始數據'!$H$1:$H$1000,$B24))</f>
        <v/>
      </c>
      <c r="E24" s="18">
        <f>IF($B24="","",INDEX('1_原始數據'!$E$1:$E$1000,$B24))</f>
        <v/>
      </c>
      <c r="F24" s="18">
        <f>IF($B24="","",$J$7*D24+$J$8)</f>
        <v/>
      </c>
      <c r="G24" s="31">
        <f>IF($B24="","",E24-F24)</f>
        <v/>
      </c>
    </row>
    <row r="25">
      <c r="A25" s="29" t="n">
        <v>20</v>
      </c>
      <c r="B25" s="33">
        <f t="array" ref="B25">IF(20&gt;COUNTIF('1_原始數據'!$C$2:$C$1000,"std_curve"),"",SMALL(IF('1_原始數據'!$C$2:$C$1000="std_curve",ROW('1_原始數據'!$C$2:$C$1000)),20))</f>
        <v/>
      </c>
      <c r="C25" s="33">
        <f>IF($B25="","",INDEX('1_原始數據'!$D$1:$D$1000,$B25))</f>
        <v/>
      </c>
      <c r="D25" s="30">
        <f>IF($B25="","",INDEX('1_原始數據'!$H$1:$H$1000,$B25))</f>
        <v/>
      </c>
      <c r="E25" s="18">
        <f>IF($B25="","",INDEX('1_原始數據'!$E$1:$E$1000,$B25))</f>
        <v/>
      </c>
      <c r="F25" s="18">
        <f>IF($B25="","",$J$7*D25+$J$8)</f>
        <v/>
      </c>
      <c r="G25" s="31">
        <f>IF($B25="","",E25-F25)</f>
        <v/>
      </c>
    </row>
    <row r="26">
      <c r="A26" s="29" t="n">
        <v>21</v>
      </c>
      <c r="B26" s="33">
        <f t="array" ref="B26">IF(21&gt;COUNTIF('1_原始數據'!$C$2:$C$1000,"std_curve"),"",SMALL(IF('1_原始數據'!$C$2:$C$1000="std_curve",ROW('1_原始數據'!$C$2:$C$1000)),21))</f>
        <v/>
      </c>
      <c r="C26" s="33">
        <f>IF($B26="","",INDEX('1_原始數據'!$D$1:$D$1000,$B26))</f>
        <v/>
      </c>
      <c r="D26" s="30">
        <f>IF($B26="","",INDEX('1_原始數據'!$H$1:$H$1000,$B26))</f>
        <v/>
      </c>
      <c r="E26" s="18">
        <f>IF($B26="","",INDEX('1_原始數據'!$E$1:$E$1000,$B26))</f>
        <v/>
      </c>
      <c r="F26" s="18">
        <f>IF($B26="","",$J$7*D26+$J$8)</f>
        <v/>
      </c>
      <c r="G26" s="31">
        <f>IF($B26="","",E26-F26)</f>
        <v/>
      </c>
      <c r="I26" s="3" t="inlineStr">
        <is>
          <t>2-4 缺適性 F 檢定表</t>
        </is>
      </c>
    </row>
    <row r="27">
      <c r="A27" s="29" t="n">
        <v>22</v>
      </c>
      <c r="B27" s="33">
        <f t="array" ref="B27">IF(22&gt;COUNTIF('1_原始數據'!$C$2:$C$1000,"std_curve"),"",SMALL(IF('1_原始數據'!$C$2:$C$1000="std_curve",ROW('1_原始數據'!$C$2:$C$1000)),22))</f>
        <v/>
      </c>
      <c r="C27" s="33">
        <f>IF($B27="","",INDEX('1_原始數據'!$D$1:$D$1000,$B27))</f>
        <v/>
      </c>
      <c r="D27" s="30">
        <f>IF($B27="","",INDEX('1_原始數據'!$H$1:$H$1000,$B27))</f>
        <v/>
      </c>
      <c r="E27" s="18">
        <f>IF($B27="","",INDEX('1_原始數據'!$E$1:$E$1000,$B27))</f>
        <v/>
      </c>
      <c r="F27" s="18">
        <f>IF($B27="","",$J$7*D27+$J$8)</f>
        <v/>
      </c>
      <c r="G27" s="31">
        <f>IF($B27="","",E27-F27)</f>
        <v/>
      </c>
      <c r="I27" s="9" t="inlineStr">
        <is>
          <t>來源</t>
        </is>
      </c>
      <c r="J27" s="9" t="inlineStr">
        <is>
          <t>平方和 SS</t>
        </is>
      </c>
      <c r="K27" s="9" t="inlineStr">
        <is>
          <t>自由度 df</t>
        </is>
      </c>
      <c r="L27" s="9" t="inlineStr">
        <is>
          <t>均方 MS = SS/df</t>
        </is>
      </c>
      <c r="M27" s="9" t="inlineStr">
        <is>
          <t>F</t>
        </is>
      </c>
      <c r="N27" s="9" t="inlineStr">
        <is>
          <t>p 值</t>
        </is>
      </c>
    </row>
    <row r="28">
      <c r="A28" s="29" t="n">
        <v>23</v>
      </c>
      <c r="B28" s="33">
        <f t="array" ref="B28">IF(23&gt;COUNTIF('1_原始數據'!$C$2:$C$1000,"std_curve"),"",SMALL(IF('1_原始數據'!$C$2:$C$1000="std_curve",ROW('1_原始數據'!$C$2:$C$1000)),23))</f>
        <v/>
      </c>
      <c r="C28" s="33">
        <f>IF($B28="","",INDEX('1_原始數據'!$D$1:$D$1000,$B28))</f>
        <v/>
      </c>
      <c r="D28" s="30">
        <f>IF($B28="","",INDEX('1_原始數據'!$H$1:$H$1000,$B28))</f>
        <v/>
      </c>
      <c r="E28" s="18">
        <f>IF($B28="","",INDEX('1_原始數據'!$E$1:$E$1000,$B28))</f>
        <v/>
      </c>
      <c r="F28" s="18">
        <f>IF($B28="","",$J$7*D28+$J$8)</f>
        <v/>
      </c>
      <c r="G28" s="31">
        <f>IF($B28="","",E28-F28)</f>
        <v/>
      </c>
      <c r="I28" s="10" t="inlineStr">
        <is>
          <t>缺適性 lack-of-fit</t>
        </is>
      </c>
      <c r="J28" s="11">
        <f>SUM(M14:M23)</f>
        <v/>
      </c>
      <c r="K28" s="33">
        <f>J33-2</f>
        <v/>
      </c>
      <c r="L28" s="37">
        <f>J28/K28</f>
        <v/>
      </c>
      <c r="M28" s="38">
        <f>IF(K29&gt;0,L28/L29,"沒有重複")</f>
        <v/>
      </c>
      <c r="N28" s="39">
        <f>IF(K29&gt;0,_xlfn.F.DIST.RT(M28,K28,K29),"")</f>
        <v/>
      </c>
      <c r="P28" s="20" t="inlineStr">
        <is>
          <t>=SUM(M 欄)，df = L − 2（L 個濃度水準，減掉斜率和截距 2 個參數）</t>
        </is>
      </c>
    </row>
    <row r="29">
      <c r="A29" s="29" t="n">
        <v>24</v>
      </c>
      <c r="B29" s="33">
        <f t="array" ref="B29">IF(24&gt;COUNTIF('1_原始數據'!$C$2:$C$1000,"std_curve"),"",SMALL(IF('1_原始數據'!$C$2:$C$1000="std_curve",ROW('1_原始數據'!$C$2:$C$1000)),24))</f>
        <v/>
      </c>
      <c r="C29" s="33">
        <f>IF($B29="","",INDEX('1_原始數據'!$D$1:$D$1000,$B29))</f>
        <v/>
      </c>
      <c r="D29" s="30">
        <f>IF($B29="","",INDEX('1_原始數據'!$H$1:$H$1000,$B29))</f>
        <v/>
      </c>
      <c r="E29" s="18">
        <f>IF($B29="","",INDEX('1_原始數據'!$E$1:$E$1000,$B29))</f>
        <v/>
      </c>
      <c r="F29" s="18">
        <f>IF($B29="","",$J$7*D29+$J$8)</f>
        <v/>
      </c>
      <c r="G29" s="31">
        <f>IF($B29="","",E29-F29)</f>
        <v/>
      </c>
      <c r="I29" s="10" t="inlineStr">
        <is>
          <t>純誤差 pure error</t>
        </is>
      </c>
      <c r="J29" s="11">
        <f>J10-J28</f>
        <v/>
      </c>
      <c r="K29" s="33">
        <f>J6-J33</f>
        <v/>
      </c>
      <c r="L29" s="37">
        <f>IF(K29&gt;0,J29/K29,"")</f>
        <v/>
      </c>
      <c r="P29" s="20" t="inlineStr">
        <is>
          <t>= SSE − SS_lof（和 Colab 相同算法），df = N − L</t>
        </is>
      </c>
    </row>
    <row r="30">
      <c r="A30" s="29" t="n">
        <v>25</v>
      </c>
      <c r="B30" s="33">
        <f t="array" ref="B30">IF(25&gt;COUNTIF('1_原始數據'!$C$2:$C$1000,"std_curve"),"",SMALL(IF('1_原始數據'!$C$2:$C$1000="std_curve",ROW('1_原始數據'!$C$2:$C$1000)),25))</f>
        <v/>
      </c>
      <c r="C30" s="33">
        <f>IF($B30="","",INDEX('1_原始數據'!$D$1:$D$1000,$B30))</f>
        <v/>
      </c>
      <c r="D30" s="30">
        <f>IF($B30="","",INDEX('1_原始數據'!$H$1:$H$1000,$B30))</f>
        <v/>
      </c>
      <c r="E30" s="18">
        <f>IF($B30="","",INDEX('1_原始數據'!$E$1:$E$1000,$B30))</f>
        <v/>
      </c>
      <c r="F30" s="18">
        <f>IF($B30="","",$J$7*D30+$J$8)</f>
        <v/>
      </c>
      <c r="G30" s="31">
        <f>IF($B30="","",E30-F30)</f>
        <v/>
      </c>
      <c r="I30" s="10" t="inlineStr">
        <is>
          <t>殘差合計 SSE</t>
        </is>
      </c>
      <c r="J30" s="11">
        <f>J10</f>
        <v/>
      </c>
      <c r="K30" s="33">
        <f>J6-2</f>
        <v/>
      </c>
      <c r="P30" s="20" t="inlineStr">
        <is>
          <t>df = N − 2</t>
        </is>
      </c>
    </row>
    <row r="31">
      <c r="A31" s="29" t="n">
        <v>26</v>
      </c>
      <c r="B31" s="33">
        <f t="array" ref="B31">IF(26&gt;COUNTIF('1_原始數據'!$C$2:$C$1000,"std_curve"),"",SMALL(IF('1_原始數據'!$C$2:$C$1000="std_curve",ROW('1_原始數據'!$C$2:$C$1000)),26))</f>
        <v/>
      </c>
      <c r="C31" s="33">
        <f>IF($B31="","",INDEX('1_原始數據'!$D$1:$D$1000,$B31))</f>
        <v/>
      </c>
      <c r="D31" s="30">
        <f>IF($B31="","",INDEX('1_原始數據'!$H$1:$H$1000,$B31))</f>
        <v/>
      </c>
      <c r="E31" s="18">
        <f>IF($B31="","",INDEX('1_原始數據'!$E$1:$E$1000,$B31))</f>
        <v/>
      </c>
      <c r="F31" s="18">
        <f>IF($B31="","",$J$7*D31+$J$8)</f>
        <v/>
      </c>
      <c r="G31" s="31">
        <f>IF($B31="","",E31-F31)</f>
        <v/>
      </c>
    </row>
    <row r="32">
      <c r="A32" s="29" t="n">
        <v>27</v>
      </c>
      <c r="B32" s="33">
        <f t="array" ref="B32">IF(27&gt;COUNTIF('1_原始數據'!$C$2:$C$1000,"std_curve"),"",SMALL(IF('1_原始數據'!$C$2:$C$1000="std_curve",ROW('1_原始數據'!$C$2:$C$1000)),27))</f>
        <v/>
      </c>
      <c r="C32" s="33">
        <f>IF($B32="","",INDEX('1_原始數據'!$D$1:$D$1000,$B32))</f>
        <v/>
      </c>
      <c r="D32" s="30">
        <f>IF($B32="","",INDEX('1_原始數據'!$H$1:$H$1000,$B32))</f>
        <v/>
      </c>
      <c r="E32" s="18">
        <f>IF($B32="","",INDEX('1_原始數據'!$E$1:$E$1000,$B32))</f>
        <v/>
      </c>
      <c r="F32" s="18">
        <f>IF($B32="","",$J$7*D32+$J$8)</f>
        <v/>
      </c>
      <c r="G32" s="31">
        <f>IF($B32="","",E32-F32)</f>
        <v/>
      </c>
    </row>
    <row r="33">
      <c r="A33" s="29" t="n">
        <v>28</v>
      </c>
      <c r="B33" s="33">
        <f t="array" ref="B33">IF(28&gt;COUNTIF('1_原始數據'!$C$2:$C$1000,"std_curve"),"",SMALL(IF('1_原始數據'!$C$2:$C$1000="std_curve",ROW('1_原始數據'!$C$2:$C$1000)),28))</f>
        <v/>
      </c>
      <c r="C33" s="33">
        <f>IF($B33="","",INDEX('1_原始數據'!$D$1:$D$1000,$B33))</f>
        <v/>
      </c>
      <c r="D33" s="30">
        <f>IF($B33="","",INDEX('1_原始數據'!$H$1:$H$1000,$B33))</f>
        <v/>
      </c>
      <c r="E33" s="18">
        <f>IF($B33="","",INDEX('1_原始數據'!$E$1:$E$1000,$B33))</f>
        <v/>
      </c>
      <c r="F33" s="18">
        <f>IF($B33="","",$J$7*D33+$J$8)</f>
        <v/>
      </c>
      <c r="G33" s="31">
        <f>IF($B33="","",E33-F33)</f>
        <v/>
      </c>
      <c r="I33" s="10" t="inlineStr">
        <is>
          <t>濃度水準數 L</t>
        </is>
      </c>
      <c r="J33" s="33">
        <f>COUNT(I14:I23)</f>
        <v/>
      </c>
      <c r="P33" s="20" t="inlineStr">
        <is>
          <t>F = MS_lof ÷ MS_pe。F 越大，代表「彎曲」比「雜訊」大越多。</t>
        </is>
      </c>
    </row>
    <row r="34">
      <c r="A34" s="29" t="n">
        <v>29</v>
      </c>
      <c r="B34" s="33">
        <f t="array" ref="B34">IF(29&gt;COUNTIF('1_原始數據'!$C$2:$C$1000,"std_curve"),"",SMALL(IF('1_原始數據'!$C$2:$C$1000="std_curve",ROW('1_原始數據'!$C$2:$C$1000)),29))</f>
        <v/>
      </c>
      <c r="C34" s="33">
        <f>IF($B34="","",INDEX('1_原始數據'!$D$1:$D$1000,$B34))</f>
        <v/>
      </c>
      <c r="D34" s="30">
        <f>IF($B34="","",INDEX('1_原始數據'!$H$1:$H$1000,$B34))</f>
        <v/>
      </c>
      <c r="E34" s="18">
        <f>IF($B34="","",INDEX('1_原始數據'!$E$1:$E$1000,$B34))</f>
        <v/>
      </c>
      <c r="F34" s="18">
        <f>IF($B34="","",$J$7*D34+$J$8)</f>
        <v/>
      </c>
      <c r="G34" s="31">
        <f>IF($B34="","",E34-F34)</f>
        <v/>
      </c>
      <c r="I34" s="10" t="inlineStr">
        <is>
          <t>F 臨界值（α = 0.05）</t>
        </is>
      </c>
      <c r="J34" s="16">
        <f>IF(K29&gt;0,_xlfn.F.INV.RT(0.05,K28,K29),"")</f>
        <v/>
      </c>
      <c r="P34" s="20" t="inlineStr">
        <is>
          <t>=F.INV.RT(0.05, df_lof, df_pe)　F 超過這個值就顯著。</t>
        </is>
      </c>
    </row>
    <row r="35">
      <c r="A35" s="29" t="n">
        <v>30</v>
      </c>
      <c r="B35" s="33">
        <f t="array" ref="B35">IF(30&gt;COUNTIF('1_原始數據'!$C$2:$C$1000,"std_curve"),"",SMALL(IF('1_原始數據'!$C$2:$C$1000="std_curve",ROW('1_原始數據'!$C$2:$C$1000)),30))</f>
        <v/>
      </c>
      <c r="C35" s="33">
        <f>IF($B35="","",INDEX('1_原始數據'!$D$1:$D$1000,$B35))</f>
        <v/>
      </c>
      <c r="D35" s="30">
        <f>IF($B35="","",INDEX('1_原始數據'!$H$1:$H$1000,$B35))</f>
        <v/>
      </c>
      <c r="E35" s="18">
        <f>IF($B35="","",INDEX('1_原始數據'!$E$1:$E$1000,$B35))</f>
        <v/>
      </c>
      <c r="F35" s="18">
        <f>IF($B35="","",$J$7*D35+$J$8)</f>
        <v/>
      </c>
      <c r="G35" s="31">
        <f>IF($B35="","",E35-F35)</f>
        <v/>
      </c>
      <c r="I35" s="10" t="inlineStr">
        <is>
          <t>結論</t>
        </is>
      </c>
      <c r="J35" s="40">
        <f>IF(K29&lt;=0,"沒有重複，無法檢定",IF(N28&lt;0.05,"p &lt; 0.05：有顯著缺適性，直線不夠好","p ≥ 0.05：沒有證據顯示偏離直線"))</f>
        <v/>
      </c>
      <c r="K35" s="26" t="n"/>
      <c r="L35" s="26" t="n"/>
      <c r="M35" s="26" t="n"/>
      <c r="N35" s="27" t="n"/>
      <c r="P35" s="20" t="inlineStr">
        <is>
          <t>p 值 =F.DIST.RT(F, df_lof, df_pe)：右尾機率。本例 p ≈ 0.04 &lt; 0.05，R² 雖然 0.999，直線仍有顯著缺適性。</t>
        </is>
      </c>
    </row>
    <row r="36">
      <c r="I36" s="10" t="inlineStr">
        <is>
          <t>驗算：純誤差直接加總 ΣN 欄</t>
        </is>
      </c>
      <c r="J36" s="11">
        <f>SUM(N14:N23)</f>
        <v/>
      </c>
      <c r="P36" s="20" t="inlineStr">
        <is>
          <t>應該和 J29 一樣：兩種算法得到同一個純誤差。</t>
        </is>
      </c>
    </row>
    <row r="37" ht="60" customHeight="1">
      <c r="A37" s="20" t="inlineStr">
        <is>
          <t>B 欄 {=SMALL(IF(item="std_curve", 列號), k)}：找出第 k 個標準品在原始數據的第幾列，C–E 欄再用 INDEX(欄, 列號) 把 rep、濃度、吸光值抓過來。最多 30 點。</t>
        </is>
      </c>
    </row>
    <row r="38" ht="45" customHeight="1">
      <c r="I38" s="20" t="inlineStr">
        <is>
          <t>實務建議：有顯著缺適性時，可以 (1) 縮小工作範圍（例如只用 0–80 µg/mL），(2) 改用二次曲線，或 (3) 把樣品稀釋到曲線中段再測。只看 R² 永遠不會發現這個問題。Excel「資料分析 → 迴歸」不會做缺適性檢定，所以這裡用公式做。</t>
        </is>
      </c>
    </row>
  </sheetData>
  <mergeCells count="4">
    <mergeCell ref="I38:P38"/>
    <mergeCell ref="J35:N35"/>
    <mergeCell ref="A37:G37"/>
    <mergeCell ref="A2:P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3" customWidth="1" min="5" max="5"/>
    <col width="64" customWidth="1" min="6" max="6"/>
  </cols>
  <sheetData>
    <row r="1">
      <c r="B1" s="1" t="inlineStr">
        <is>
          <t>步驟 3　偵測極限 LOD 與定量極限 LOQ：兩種 σ</t>
        </is>
      </c>
    </row>
    <row r="2">
      <c r="B2" s="20" t="inlineStr">
        <is>
          <t>LOD = 3.3σ ÷ 斜率，LOQ = 10σ ÷ 斜率（單位 µg/mL）。σ 有兩種取法，報告時一定要註明用哪一種。</t>
        </is>
      </c>
    </row>
    <row r="4">
      <c r="B4" s="9" t="inlineStr">
        <is>
          <t>項目</t>
        </is>
      </c>
      <c r="C4" s="9" t="inlineStr">
        <is>
          <t>殘差 SD 法</t>
        </is>
      </c>
      <c r="D4" s="9" t="inlineStr">
        <is>
          <t>空白 SD 法</t>
        </is>
      </c>
    </row>
    <row r="5" ht="15" customHeight="1">
      <c r="B5" s="10" t="inlineStr">
        <is>
          <t>σ 的來源</t>
        </is>
      </c>
      <c r="C5" s="13">
        <f>"標準曲線第 "&amp;'2_標準曲線'!$E$4&amp;" 重複的 STEYX"</f>
        <v/>
      </c>
      <c r="D5" s="13">
        <f>"試劑空白重複讀值 STDEV.S"</f>
        <v/>
      </c>
      <c r="F5" s="20" t="inlineStr">
        <is>
          <t>兩種 σ 都「對」，但意義不同。</t>
        </is>
      </c>
    </row>
    <row r="6">
      <c r="B6" s="10" t="inlineStr">
        <is>
          <t>空白的 item 名稱</t>
        </is>
      </c>
      <c r="C6" s="29" t="inlineStr">
        <is>
          <t>—</t>
        </is>
      </c>
      <c r="D6" s="5" t="inlineStr">
        <is>
          <t>reagent_blank_490nm</t>
        </is>
      </c>
    </row>
    <row r="7" ht="30" customHeight="1">
      <c r="B7" s="10" t="inlineStr">
        <is>
          <t>n</t>
        </is>
      </c>
      <c r="C7" s="33">
        <f>'2_標準曲線'!$I$7</f>
        <v/>
      </c>
      <c r="D7" s="33">
        <f>COUNTIFS('1_原始數據'!$C$2:$C$1000,D6)</f>
        <v/>
      </c>
      <c r="F7" s="20" t="inlineStr">
        <is>
          <t>殘差 SD 法用標準點數；空白 SD 法用空白讀了幾次（=COUNTIFS 數 item 名稱出現幾次）。</t>
        </is>
      </c>
    </row>
    <row r="8">
      <c r="B8" s="10" t="inlineStr">
        <is>
          <t>空白平均 (AU)</t>
        </is>
      </c>
      <c r="C8" s="29" t="inlineStr">
        <is>
          <t>—</t>
        </is>
      </c>
      <c r="D8" s="18">
        <f>AVERAGEIFS('1_原始數據'!$E$2:$E$1000,'1_原始數據'!$C$2:$C$1000,D6)</f>
        <v/>
      </c>
    </row>
    <row r="9" ht="60" customHeight="1">
      <c r="B9" s="10" t="inlineStr">
        <is>
          <t>σ (AU)</t>
        </is>
      </c>
      <c r="C9" s="35">
        <f>'2_標準曲線'!$I$11</f>
        <v/>
      </c>
      <c r="D9" s="35">
        <f t="array" ref="D9">_xlfn.STDEV.S(IF('1_原始數據'!$C$2:$C$1000=D6,'1_原始數據'!$E$2:$E$1000))</f>
        <v/>
      </c>
      <c r="F9" s="20" t="inlineStr">
        <is>
          <t>殘差 SD：=STEYX（在「2_標準曲線」I11），反映整條曲線的擬合品質，也包含曲線彎曲（缺適性）。空白 SD：{=STDEV.S(IF(item=空白名稱, value))}，只看零濃度附近的儀器雜訊。</t>
        </is>
      </c>
    </row>
    <row r="10">
      <c r="B10" s="10" t="inlineStr">
        <is>
          <t>斜率 m（步驟 1）</t>
        </is>
      </c>
      <c r="C10" s="11">
        <f>'2_標準曲線'!$I$8</f>
        <v/>
      </c>
      <c r="D10" s="11">
        <f>'2_標準曲線'!$I$8</f>
        <v/>
      </c>
    </row>
    <row r="11" ht="30" customHeight="1">
      <c r="B11" s="25" t="inlineStr">
        <is>
          <t>LOD = 3.3σ/m (µg/mL)</t>
        </is>
      </c>
      <c r="C11" s="41">
        <f>3.3*C9/C10</f>
        <v/>
      </c>
      <c r="D11" s="41">
        <f>3.3*D9/D10</f>
        <v/>
      </c>
      <c r="F11" s="20" t="inlineStr">
        <is>
          <t>3.3 和 10 是 ICH Q2 的慣用係數。σ 的單位是 AU，除以斜率（AU per µg/mL）後變成濃度單位。</t>
        </is>
      </c>
    </row>
    <row r="12" ht="30" customHeight="1">
      <c r="B12" s="25" t="inlineStr">
        <is>
          <t>LOQ = 10σ/m (µg/mL)</t>
        </is>
      </c>
      <c r="C12" s="41">
        <f>10*C9/C10</f>
        <v/>
      </c>
      <c r="D12" s="41">
        <f>10*D9/D10</f>
        <v/>
      </c>
      <c r="F12" s="20" t="inlineStr">
        <is>
          <t>空白 SD 法通常比較小、比較樂觀；殘差 SD 法把整條曲線的彎曲也算進去，比較保守，比較能代表「整個工作範圍都適用」的偵測極限。</t>
        </is>
      </c>
    </row>
    <row r="13" ht="30" customHeight="1">
      <c r="B13" s="10" t="inlineStr">
        <is>
          <t>最低的非零標準濃度 (µg/mL)</t>
        </is>
      </c>
      <c r="C13" s="30">
        <f t="array" ref="C13">MIN(IF(ISNUMBER('2_標準曲線'!$B$7:$B$16),IF('2_標準曲線'!$B$7:$B$16&gt;0,'2_標準曲線'!$B$7:$B$16)))</f>
        <v/>
      </c>
      <c r="D13" s="27" t="n"/>
      <c r="F13" s="20" t="inlineStr">
        <is>
          <t>{=MIN(IF(ISNUMBER(濃度),IF(濃度&gt;0,濃度)))}　從「2_標準曲線」B 欄找大於 0 的最小濃度。</t>
        </is>
      </c>
    </row>
    <row r="14" ht="15" customHeight="1">
      <c r="B14" s="10" t="inlineStr">
        <is>
          <t>LOQ 低於最低非零標準點嗎？</t>
        </is>
      </c>
      <c r="C14" s="13">
        <f>IF(C12&lt;$C$13,"是","否：最低標準點在 LOQ 以下")</f>
        <v/>
      </c>
      <c r="D14" s="13">
        <f>IF(D12&lt;$C$13,"是","否：最低標準點在 LOQ 以下")</f>
        <v/>
      </c>
      <c r="F14" s="20" t="inlineStr">
        <is>
          <t>LOQ 最好低於最低非零標準點，否則最低那一點本身就不能可靠定量。</t>
        </is>
      </c>
    </row>
    <row r="16" ht="32" customHeight="1">
      <c r="B16" s="20" t="inlineStr">
        <is>
          <t>報告寫法範例：「LOD 為 3.5 µg/mL、LOQ 為 10.6 µg/mL（σ 採標準曲線殘差標準差，n = 6）」。樣品在反應液中的濃度低於 LOQ 時，只能寫「&lt; LOQ」，不能報數字。</t>
        </is>
      </c>
    </row>
  </sheetData>
  <mergeCells count="3">
    <mergeCell ref="B2:F2"/>
    <mergeCell ref="B16:F16"/>
    <mergeCell ref="C13:D13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M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" customWidth="1" min="3" max="3"/>
    <col width="10" customWidth="1" min="4" max="4"/>
    <col width="10" customWidth="1" min="5" max="5"/>
    <col width="10" customWidth="1" min="6" max="6"/>
    <col width="9" customWidth="1" min="7" max="7"/>
    <col width="11" customWidth="1" min="8" max="8"/>
    <col width="10" customWidth="1" min="9" max="9"/>
    <col width="22" customWidth="1" min="10" max="10"/>
    <col width="12" customWidth="1" min="11" max="11"/>
    <col width="11" customWidth="1" min="12" max="12"/>
    <col width="20" customWidth="1" min="13" max="13"/>
  </cols>
  <sheetData>
    <row r="1">
      <c r="A1" s="1" t="inlineStr">
        <is>
          <t>步驟 4　未知樣品：吸光值 → 反應液濃度 → g/100 mL 葡萄糖當量</t>
        </is>
      </c>
    </row>
    <row r="2" ht="30" customHeight="1">
      <c r="A2" s="20" t="inlineStr">
        <is>
          <t>C₀ = (A − b) ÷ m（µg/mL）；總醣 (g/100 mL) = C₀ × 稀釋倍數 × 10⁻⁴。（1 µg/mL = 10⁻⁶ g/mL，×100 mL → 10⁻⁴ g/100 mL）。顏色深的樣品要先扣「樣品空白」。</t>
        </is>
      </c>
    </row>
    <row r="5" ht="45" customHeight="1">
      <c r="A5" s="9" t="inlineStr">
        <is>
          <t>樣品 item</t>
        </is>
      </c>
      <c r="B5" s="9" t="inlineStr">
        <is>
          <t>樣品空白 item（沒有就留空）</t>
        </is>
      </c>
      <c r="C5" s="9" t="inlineStr">
        <is>
          <t>讀值次數 k</t>
        </is>
      </c>
      <c r="D5" s="9" t="inlineStr">
        <is>
          <t>A 平均</t>
        </is>
      </c>
      <c r="E5" s="9" t="inlineStr">
        <is>
          <t>A 樣品空白</t>
        </is>
      </c>
      <c r="F5" s="9" t="inlineStr">
        <is>
          <t>A 校正後</t>
        </is>
      </c>
      <c r="G5" s="9" t="inlineStr">
        <is>
          <t>稀釋倍數 DF</t>
        </is>
      </c>
      <c r="H5" s="9" t="inlineStr">
        <is>
          <t>C₀ (µg/mL)</t>
        </is>
      </c>
      <c r="I5" s="9" t="inlineStr">
        <is>
          <t>s(C₀) (µg/mL)</t>
        </is>
      </c>
      <c r="J5" s="9" t="inlineStr">
        <is>
          <t>判讀</t>
        </is>
      </c>
      <c r="K5" s="9" t="inlineStr">
        <is>
          <t>總醣 (g/100 mL)</t>
        </is>
      </c>
      <c r="L5" s="9" t="inlineStr">
        <is>
          <t>± SD (g/100 mL)</t>
        </is>
      </c>
      <c r="M5" s="9" t="inlineStr">
        <is>
          <t>報告寫法</t>
        </is>
      </c>
    </row>
    <row r="6">
      <c r="A6" s="5" t="inlineStr">
        <is>
          <t>unknown_sports_drink</t>
        </is>
      </c>
      <c r="B6" s="5" t="n"/>
      <c r="C6" s="33">
        <f>IF($A6="","",COUNTIFS('1_原始數據'!$C$2:$C$1000,$A6))</f>
        <v/>
      </c>
      <c r="D6" s="18">
        <f>IF($A6="","",AVERAGEIFS('1_原始數據'!$E$2:$E$1000,'1_原始數據'!$C$2:$C$1000,$A6))</f>
        <v/>
      </c>
      <c r="E6" s="18">
        <f>IF($A6="","",IF($B6="",0,AVERAGEIFS('1_原始數據'!$E$2:$E$1000,'1_原始數據'!$C$2:$C$1000,$B6)))</f>
        <v/>
      </c>
      <c r="F6" s="18">
        <f>IF($A6="","",D6-E6)</f>
        <v/>
      </c>
      <c r="G6" s="33">
        <f>IF($A6="","",AVERAGEIFS('1_原始數據'!$I$2:$I$1000,'1_原始數據'!$C$2:$C$1000,$A6))</f>
        <v/>
      </c>
      <c r="H6" s="36">
        <f>IF($A6="","",(F6-'2_標準曲線'!$I$9)/'2_標準曲線'!$I$8)</f>
        <v/>
      </c>
      <c r="I6" s="36">
        <f>IF($A6="","",('2_標準曲線'!$I$11/'2_標準曲線'!$I$8)*SQRT(1/C6+1/'2_標準曲線'!$I$7+(F6-'2_標準曲線'!$I$15)^2/('2_標準曲線'!$I$8^2*'2_標準曲線'!$I$16)))</f>
        <v/>
      </c>
      <c r="J6" s="13">
        <f>IF($A6="","",IF(H6&gt;'2_標準曲線'!$I$18,"超出曲線上限：加大稀釋",IF(H6&lt;'4_LOD_LOQ'!$C$12,"低於 LOQ：減少稀釋","在曲線範圍內")))</f>
        <v/>
      </c>
      <c r="K6" s="38">
        <f>IF($A6="","",H6*G6*1E-4)</f>
        <v/>
      </c>
      <c r="L6" s="38">
        <f>IF($A6="","",I6*G6*1E-4)</f>
        <v/>
      </c>
      <c r="M6" s="13">
        <f>IF($A6="","",FIXED(K6,2)&amp;" ± "&amp;FIXED(L6,2)&amp;" g/100 mL")</f>
        <v/>
      </c>
    </row>
    <row r="7">
      <c r="A7" s="5" t="inlineStr">
        <is>
          <t>unknown_orange_juice_phenol</t>
        </is>
      </c>
      <c r="B7" s="5" t="n"/>
      <c r="C7" s="33">
        <f>IF($A7="","",COUNTIFS('1_原始數據'!$C$2:$C$1000,$A7))</f>
        <v/>
      </c>
      <c r="D7" s="18">
        <f>IF($A7="","",AVERAGEIFS('1_原始數據'!$E$2:$E$1000,'1_原始數據'!$C$2:$C$1000,$A7))</f>
        <v/>
      </c>
      <c r="E7" s="18">
        <f>IF($A7="","",IF($B7="",0,AVERAGEIFS('1_原始數據'!$E$2:$E$1000,'1_原始數據'!$C$2:$C$1000,$B7)))</f>
        <v/>
      </c>
      <c r="F7" s="18">
        <f>IF($A7="","",D7-E7)</f>
        <v/>
      </c>
      <c r="G7" s="33">
        <f>IF($A7="","",AVERAGEIFS('1_原始數據'!$I$2:$I$1000,'1_原始數據'!$C$2:$C$1000,$A7))</f>
        <v/>
      </c>
      <c r="H7" s="36">
        <f>IF($A7="","",(F7-'2_標準曲線'!$I$9)/'2_標準曲線'!$I$8)</f>
        <v/>
      </c>
      <c r="I7" s="36">
        <f>IF($A7="","",('2_標準曲線'!$I$11/'2_標準曲線'!$I$8)*SQRT(1/C7+1/'2_標準曲線'!$I$7+(F7-'2_標準曲線'!$I$15)^2/('2_標準曲線'!$I$8^2*'2_標準曲線'!$I$16)))</f>
        <v/>
      </c>
      <c r="J7" s="13">
        <f>IF($A7="","",IF(H7&gt;'2_標準曲線'!$I$18,"超出曲線上限：加大稀釋",IF(H7&lt;'4_LOD_LOQ'!$C$12,"低於 LOQ：減少稀釋","在曲線範圍內")))</f>
        <v/>
      </c>
      <c r="K7" s="38">
        <f>IF($A7="","",H7*G7*1E-4)</f>
        <v/>
      </c>
      <c r="L7" s="38">
        <f>IF($A7="","",I7*G7*1E-4)</f>
        <v/>
      </c>
      <c r="M7" s="13">
        <f>IF($A7="","",FIXED(K7,2)&amp;" ± "&amp;FIXED(L7,2)&amp;" g/100 mL")</f>
        <v/>
      </c>
    </row>
    <row r="8">
      <c r="A8" s="5" t="inlineStr">
        <is>
          <t>unknown_maple_syrup</t>
        </is>
      </c>
      <c r="B8" s="5" t="n"/>
      <c r="C8" s="33">
        <f>IF($A8="","",COUNTIFS('1_原始數據'!$C$2:$C$1000,$A8))</f>
        <v/>
      </c>
      <c r="D8" s="18">
        <f>IF($A8="","",AVERAGEIFS('1_原始數據'!$E$2:$E$1000,'1_原始數據'!$C$2:$C$1000,$A8))</f>
        <v/>
      </c>
      <c r="E8" s="18">
        <f>IF($A8="","",IF($B8="",0,AVERAGEIFS('1_原始數據'!$E$2:$E$1000,'1_原始數據'!$C$2:$C$1000,$B8)))</f>
        <v/>
      </c>
      <c r="F8" s="18">
        <f>IF($A8="","",D8-E8)</f>
        <v/>
      </c>
      <c r="G8" s="33">
        <f>IF($A8="","",AVERAGEIFS('1_原始數據'!$I$2:$I$1000,'1_原始數據'!$C$2:$C$1000,$A8))</f>
        <v/>
      </c>
      <c r="H8" s="36">
        <f>IF($A8="","",(F8-'2_標準曲線'!$I$9)/'2_標準曲線'!$I$8)</f>
        <v/>
      </c>
      <c r="I8" s="36">
        <f>IF($A8="","",('2_標準曲線'!$I$11/'2_標準曲線'!$I$8)*SQRT(1/C8+1/'2_標準曲線'!$I$7+(F8-'2_標準曲線'!$I$15)^2/('2_標準曲線'!$I$8^2*'2_標準曲線'!$I$16)))</f>
        <v/>
      </c>
      <c r="J8" s="13">
        <f>IF($A8="","",IF(H8&gt;'2_標準曲線'!$I$18,"超出曲線上限：加大稀釋",IF(H8&lt;'4_LOD_LOQ'!$C$12,"低於 LOQ：減少稀釋","在曲線範圍內")))</f>
        <v/>
      </c>
      <c r="K8" s="38">
        <f>IF($A8="","",H8*G8*1E-4)</f>
        <v/>
      </c>
      <c r="L8" s="38">
        <f>IF($A8="","",I8*G8*1E-4)</f>
        <v/>
      </c>
      <c r="M8" s="13">
        <f>IF($A8="","",FIXED(K8,2)&amp;" ± "&amp;FIXED(L8,2)&amp;" g/100 mL")</f>
        <v/>
      </c>
    </row>
    <row r="9">
      <c r="A9" s="5" t="inlineStr">
        <is>
          <t>unknown_winter_melon_tea</t>
        </is>
      </c>
      <c r="B9" s="5" t="inlineStr">
        <is>
          <t>winter_melon_tea_sample_blank</t>
        </is>
      </c>
      <c r="C9" s="33">
        <f>IF($A9="","",COUNTIFS('1_原始數據'!$C$2:$C$1000,$A9))</f>
        <v/>
      </c>
      <c r="D9" s="18">
        <f>IF($A9="","",AVERAGEIFS('1_原始數據'!$E$2:$E$1000,'1_原始數據'!$C$2:$C$1000,$A9))</f>
        <v/>
      </c>
      <c r="E9" s="18">
        <f>IF($A9="","",IF($B9="",0,AVERAGEIFS('1_原始數據'!$E$2:$E$1000,'1_原始數據'!$C$2:$C$1000,$B9)))</f>
        <v/>
      </c>
      <c r="F9" s="18">
        <f>IF($A9="","",D9-E9)</f>
        <v/>
      </c>
      <c r="G9" s="33">
        <f>IF($A9="","",AVERAGEIFS('1_原始數據'!$I$2:$I$1000,'1_原始數據'!$C$2:$C$1000,$A9))</f>
        <v/>
      </c>
      <c r="H9" s="36">
        <f>IF($A9="","",(F9-'2_標準曲線'!$I$9)/'2_標準曲線'!$I$8)</f>
        <v/>
      </c>
      <c r="I9" s="36">
        <f>IF($A9="","",('2_標準曲線'!$I$11/'2_標準曲線'!$I$8)*SQRT(1/C9+1/'2_標準曲線'!$I$7+(F9-'2_標準曲線'!$I$15)^2/('2_標準曲線'!$I$8^2*'2_標準曲線'!$I$16)))</f>
        <v/>
      </c>
      <c r="J9" s="13">
        <f>IF($A9="","",IF(H9&gt;'2_標準曲線'!$I$18,"超出曲線上限：加大稀釋",IF(H9&lt;'4_LOD_LOQ'!$C$12,"低於 LOQ：減少稀釋","在曲線範圍內")))</f>
        <v/>
      </c>
      <c r="K9" s="38">
        <f>IF($A9="","",H9*G9*1E-4)</f>
        <v/>
      </c>
      <c r="L9" s="38">
        <f>IF($A9="","",I9*G9*1E-4)</f>
        <v/>
      </c>
      <c r="M9" s="13">
        <f>IF($A9="","",FIXED(K9,2)&amp;" ± "&amp;FIXED(L9,2)&amp;" g/100 mL")</f>
        <v/>
      </c>
    </row>
    <row r="10">
      <c r="A10" s="5" t="n"/>
      <c r="B10" s="5" t="n"/>
      <c r="C10" s="33">
        <f>IF($A10="","",COUNTIFS('1_原始數據'!$C$2:$C$1000,$A10))</f>
        <v/>
      </c>
      <c r="D10" s="18">
        <f>IF($A10="","",AVERAGEIFS('1_原始數據'!$E$2:$E$1000,'1_原始數據'!$C$2:$C$1000,$A10))</f>
        <v/>
      </c>
      <c r="E10" s="18">
        <f>IF($A10="","",IF($B10="",0,AVERAGEIFS('1_原始數據'!$E$2:$E$1000,'1_原始數據'!$C$2:$C$1000,$B10)))</f>
        <v/>
      </c>
      <c r="F10" s="18">
        <f>IF($A10="","",D10-E10)</f>
        <v/>
      </c>
      <c r="G10" s="33">
        <f>IF($A10="","",AVERAGEIFS('1_原始數據'!$I$2:$I$1000,'1_原始數據'!$C$2:$C$1000,$A10))</f>
        <v/>
      </c>
      <c r="H10" s="36">
        <f>IF($A10="","",(F10-'2_標準曲線'!$I$9)/'2_標準曲線'!$I$8)</f>
        <v/>
      </c>
      <c r="I10" s="36">
        <f>IF($A10="","",('2_標準曲線'!$I$11/'2_標準曲線'!$I$8)*SQRT(1/C10+1/'2_標準曲線'!$I$7+(F10-'2_標準曲線'!$I$15)^2/('2_標準曲線'!$I$8^2*'2_標準曲線'!$I$16)))</f>
        <v/>
      </c>
      <c r="J10" s="13">
        <f>IF($A10="","",IF(H10&gt;'2_標準曲線'!$I$18,"超出曲線上限：加大稀釋",IF(H10&lt;'4_LOD_LOQ'!$C$12,"低於 LOQ：減少稀釋","在曲線範圍內")))</f>
        <v/>
      </c>
      <c r="K10" s="38">
        <f>IF($A10="","",H10*G10*1E-4)</f>
        <v/>
      </c>
      <c r="L10" s="38">
        <f>IF($A10="","",I10*G10*1E-4)</f>
        <v/>
      </c>
      <c r="M10" s="13">
        <f>IF($A10="","",FIXED(K10,2)&amp;" ± "&amp;FIXED(L10,2)&amp;" g/100 mL")</f>
        <v/>
      </c>
    </row>
    <row r="11">
      <c r="A11" s="5" t="n"/>
      <c r="B11" s="5" t="n"/>
      <c r="C11" s="33">
        <f>IF($A11="","",COUNTIFS('1_原始數據'!$C$2:$C$1000,$A11))</f>
        <v/>
      </c>
      <c r="D11" s="18">
        <f>IF($A11="","",AVERAGEIFS('1_原始數據'!$E$2:$E$1000,'1_原始數據'!$C$2:$C$1000,$A11))</f>
        <v/>
      </c>
      <c r="E11" s="18">
        <f>IF($A11="","",IF($B11="",0,AVERAGEIFS('1_原始數據'!$E$2:$E$1000,'1_原始數據'!$C$2:$C$1000,$B11)))</f>
        <v/>
      </c>
      <c r="F11" s="18">
        <f>IF($A11="","",D11-E11)</f>
        <v/>
      </c>
      <c r="G11" s="33">
        <f>IF($A11="","",AVERAGEIFS('1_原始數據'!$I$2:$I$1000,'1_原始數據'!$C$2:$C$1000,$A11))</f>
        <v/>
      </c>
      <c r="H11" s="36">
        <f>IF($A11="","",(F11-'2_標準曲線'!$I$9)/'2_標準曲線'!$I$8)</f>
        <v/>
      </c>
      <c r="I11" s="36">
        <f>IF($A11="","",('2_標準曲線'!$I$11/'2_標準曲線'!$I$8)*SQRT(1/C11+1/'2_標準曲線'!$I$7+(F11-'2_標準曲線'!$I$15)^2/('2_標準曲線'!$I$8^2*'2_標準曲線'!$I$16)))</f>
        <v/>
      </c>
      <c r="J11" s="13">
        <f>IF($A11="","",IF(H11&gt;'2_標準曲線'!$I$18,"超出曲線上限：加大稀釋",IF(H11&lt;'4_LOD_LOQ'!$C$12,"低於 LOQ：減少稀釋","在曲線範圍內")))</f>
        <v/>
      </c>
      <c r="K11" s="38">
        <f>IF($A11="","",H11*G11*1E-4)</f>
        <v/>
      </c>
      <c r="L11" s="38">
        <f>IF($A11="","",I11*G11*1E-4)</f>
        <v/>
      </c>
      <c r="M11" s="13">
        <f>IF($A11="","",FIXED(K11,2)&amp;" ± "&amp;FIXED(L11,2)&amp;" g/100 mL")</f>
        <v/>
      </c>
    </row>
    <row r="13" ht="30" customHeight="1">
      <c r="A13" s="20" t="inlineStr">
        <is>
          <t>A 欄：樣品在原始數據的 item 名稱（黃色，可以改或往下加）。B 欄：同稀釋倍數的樣品空白（顏色空白）item 名稱；沒有就留空＝扣 0。</t>
        </is>
      </c>
    </row>
    <row r="14" ht="30" customHeight="1">
      <c r="A14" s="20" t="inlineStr">
        <is>
          <t>D、E、G 欄：=AVERAGEIFS(value 或 dilution_factor, item, 名稱)　同一個樣品讀了好幾次就自動取平均，k 就是次數。</t>
        </is>
      </c>
    </row>
    <row r="15" ht="30" customHeight="1">
      <c r="A15" s="20" t="inlineStr">
        <is>
          <t>H 欄：C₀ = (A校正後 − b) ÷ m，m、b 來自「2_標準曲線」I8、I9。</t>
        </is>
      </c>
    </row>
    <row r="16" ht="30" customHeight="1">
      <c r="A16" s="20" t="inlineStr">
        <is>
          <t>I 欄：預測不確定度 s(C₀) = (s_y/m) × √[1/k + 1/n + (A − Ā)² / (m² × Sxx)]。k＝樣品讀值次數，n＝標準點數。A 越靠近標準品平均 Ā，不確定度越小，所以樣品最好落在曲線中段。</t>
        </is>
      </c>
    </row>
    <row r="17" ht="30" customHeight="1">
      <c r="A17" s="20" t="inlineStr">
        <is>
          <t>J 欄：C₀ 高於最高標準點就是外插，不可信，要加大稀釋重做；低於 LOQ（「4_LOD_LOQ」殘差 SD 法）要減少稀釋。</t>
        </is>
      </c>
    </row>
    <row r="18" ht="30" customHeight="1">
      <c r="A18" s="20" t="inlineStr">
        <is>
          <t>K、L 欄：乘上稀釋倍數 × 10⁻⁴ 換成 g/100 mL 葡萄糖當量。SD 也要乘同樣的倍數：稀釋倍數越大，誤差也被放大越多（看楓糖漿）。</t>
        </is>
      </c>
    </row>
    <row r="20">
      <c r="A20" s="3" t="inlineStr">
        <is>
          <t>4-1 冬瓜茶：扣不扣樣品空白差多少？（用上表第 9 列）</t>
        </is>
      </c>
    </row>
    <row r="21">
      <c r="A21" s="10" t="inlineStr">
        <is>
          <t>原始讀值 A_raw</t>
        </is>
      </c>
      <c r="B21" s="18">
        <f>D9</f>
        <v/>
      </c>
      <c r="C21" s="20" t="inlineStr">
        <is>
          <t>冬瓜茶顏色很深，樣品本身就會吸收 490 nm 的光。樣品空白＝同稀釋倍數、不加酚／硫酸（或以水代替）的讀值，要先從樣品讀值扣掉。練習題 1 請用這兩格算高估了多少。</t>
        </is>
      </c>
    </row>
    <row r="22">
      <c r="A22" s="10" t="inlineStr">
        <is>
          <t>樣品顏色空白 A_blank</t>
        </is>
      </c>
      <c r="B22" s="18">
        <f>E9</f>
        <v/>
      </c>
    </row>
    <row r="23">
      <c r="A23" s="10" t="inlineStr">
        <is>
          <t>若忘記扣空白：總醣 (g/100 mL)</t>
        </is>
      </c>
      <c r="B23" s="41">
        <f>(D9-'2_標準曲線'!$I$9)/'2_標準曲線'!$I$8*G9*1E-4</f>
        <v/>
      </c>
    </row>
    <row r="24">
      <c r="A24" s="10" t="inlineStr">
        <is>
          <t>扣除空白後：總醣 (g/100 mL)</t>
        </is>
      </c>
      <c r="B24" s="41">
        <f>K9</f>
        <v/>
      </c>
    </row>
    <row r="26">
      <c r="A26" s="3" t="inlineStr">
        <is>
          <t>4-2 反推：換一個稀釋倍數，吸光值會變成多少？</t>
        </is>
      </c>
    </row>
    <row r="27">
      <c r="A27" s="10" t="inlineStr">
        <is>
          <t>樣品總醣 (g/100 mL)（預設＝柳橙汁 K7）</t>
        </is>
      </c>
      <c r="B27" s="36">
        <f>K7</f>
        <v/>
      </c>
      <c r="C27" s="20" t="inlineStr">
        <is>
          <t>把 B28 改成不同的稀釋倍數試試看。稀釋倍數選得好，C 會落在曲線中段（不確定度最小）；選得不好，會超出曲線或低於 LOQ，就要重做。</t>
        </is>
      </c>
    </row>
    <row r="28">
      <c r="A28" s="10" t="inlineStr">
        <is>
          <t>新的稀釋倍數 DF</t>
        </is>
      </c>
      <c r="B28" s="28" t="n">
        <v>1000</v>
      </c>
    </row>
    <row r="29">
      <c r="A29" s="10" t="inlineStr">
        <is>
          <t>反應液濃度 C = 總醣 ÷ (DF × 10⁻⁴) (µg/mL)</t>
        </is>
      </c>
      <c r="B29" s="30">
        <f>B27/(B28*1E-4)</f>
        <v/>
      </c>
    </row>
    <row r="30">
      <c r="A30" s="10" t="inlineStr">
        <is>
          <t>預期吸光值 A = m × C + b</t>
        </is>
      </c>
      <c r="B30" s="38">
        <f>'2_標準曲線'!$I$8*B29+'2_標準曲線'!$I$9</f>
        <v/>
      </c>
    </row>
    <row r="31">
      <c r="A31" s="10" t="inlineStr">
        <is>
          <t>在曲線範圍內嗎？</t>
        </is>
      </c>
      <c r="B31" s="13">
        <f>IF(B29&gt;'2_標準曲線'!$I$18,"否：超出最高標準點",IF(B29&lt;'4_LOD_LOQ'!$C$12,"否：低於 LOQ","是"))</f>
        <v/>
      </c>
    </row>
  </sheetData>
  <mergeCells count="9">
    <mergeCell ref="A13:M13"/>
    <mergeCell ref="A14:M14"/>
    <mergeCell ref="C27:M28"/>
    <mergeCell ref="A17:M17"/>
    <mergeCell ref="A18:M18"/>
    <mergeCell ref="C21:M22"/>
    <mergeCell ref="A15:M15"/>
    <mergeCell ref="A16:M16"/>
    <mergeCell ref="A2:M2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H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30" customWidth="1" min="3" max="3"/>
    <col width="3" customWidth="1" min="4" max="4"/>
    <col width="62" customWidth="1" min="5" max="5"/>
    <col width="26" customWidth="1" min="7" max="7"/>
  </cols>
  <sheetData>
    <row r="1">
      <c r="B1" s="1" t="inlineStr">
        <is>
          <t>步驟 5　柳橙汁：Brix vs 酚硫酸法總醣</t>
        </is>
      </c>
    </row>
    <row r="2" ht="30" customHeight="1">
      <c r="B2" s="20" t="inlineStr">
        <is>
          <t>Brix 用折射率換算「可溶性固形物」；酚硫酸法只有醣類會顯色。柳橙汁裡還有酸等可溶物，所以 °Brix 通常比總醣大。</t>
        </is>
      </c>
    </row>
    <row r="4">
      <c r="B4" s="10" t="inlineStr">
        <is>
          <t>Brix 讀值的 item 名稱</t>
        </is>
      </c>
      <c r="C4" s="5" t="inlineStr">
        <is>
          <t>orange_juice_brix</t>
        </is>
      </c>
      <c r="E4" s="20" t="inlineStr">
        <is>
          <t>黃色，可以改。</t>
        </is>
      </c>
      <c r="G4" s="2" t="inlineStr">
        <is>
          <t>圖用輔助數據</t>
        </is>
      </c>
    </row>
    <row r="5">
      <c r="B5" s="10" t="inlineStr">
        <is>
          <t>柳橙汁 Brix (°Brix)</t>
        </is>
      </c>
      <c r="C5" s="42">
        <f>AVERAGEIFS('1_原始數據'!$E$2:$E$1000,'1_原始數據'!$C$2:$C$1000,C4)</f>
        <v/>
      </c>
      <c r="E5" s="20" t="inlineStr">
        <is>
          <t>=AVERAGEIFS(value, item, 名稱)　讀好幾次就取平均。</t>
        </is>
      </c>
      <c r="G5" s="9" t="inlineStr">
        <is>
          <t>method</t>
        </is>
      </c>
      <c r="H5" s="9" t="inlineStr">
        <is>
          <t>value</t>
        </is>
      </c>
    </row>
    <row r="6">
      <c r="B6" s="10" t="inlineStr">
        <is>
          <t>酚硫酸法樣品的 item 名稱</t>
        </is>
      </c>
      <c r="C6" s="5" t="inlineStr">
        <is>
          <t>unknown_orange_juice_phenol</t>
        </is>
      </c>
      <c r="E6" s="20" t="inlineStr">
        <is>
          <t>要和「5_樣品換算」A 欄的名稱一樣。</t>
        </is>
      </c>
      <c r="G6" s="43" t="inlineStr">
        <is>
          <t>Brix (degBrix)</t>
        </is>
      </c>
      <c r="H6" s="36">
        <f>C5</f>
        <v/>
      </c>
    </row>
    <row r="7">
      <c r="B7" s="10" t="inlineStr">
        <is>
          <t>酚硫酸法總醣 (g/100 mL)</t>
        </is>
      </c>
      <c r="C7" s="41">
        <f>INDEX('5_樣品換算'!$K$6:$K$11,MATCH(C6,'5_樣品換算'!$A$6:$A$11,0))</f>
        <v/>
      </c>
      <c r="E7" s="20" t="inlineStr">
        <is>
          <t>=INDEX(總醣欄, MATCH(名稱, 樣品欄, 0))　到「5_樣品換算」找這個樣品那一列的總醣。</t>
        </is>
      </c>
      <c r="G7" s="43" t="inlineStr">
        <is>
          <t>Phenol-sulfuric (g/100 mL)</t>
        </is>
      </c>
      <c r="H7" s="36">
        <f>C7</f>
        <v/>
      </c>
    </row>
    <row r="8">
      <c r="B8" s="10" t="inlineStr">
        <is>
          <t>± SD (g/100 mL)</t>
        </is>
      </c>
      <c r="C8" s="36">
        <f>INDEX('5_樣品換算'!$L$6:$L$11,MATCH(C6,'5_樣品換算'!$A$6:$A$11,0))</f>
        <v/>
      </c>
    </row>
    <row r="9">
      <c r="B9" s="10" t="inlineStr">
        <is>
          <t>差距 = Brix − 總醣</t>
        </is>
      </c>
      <c r="C9" s="41">
        <f>C5-C7</f>
        <v/>
      </c>
      <c r="E9" s="20" t="inlineStr">
        <is>
          <t>差距主要來自酸（檸檬酸）和其他可溶性固形物。</t>
        </is>
      </c>
    </row>
    <row r="10">
      <c r="B10" s="10" t="inlineStr">
        <is>
          <t>非糖部分佔 Brix 的比例 (%)</t>
        </is>
      </c>
      <c r="C10" s="30">
        <f>C9/C5*100</f>
        <v/>
      </c>
      <c r="E10" s="20" t="inlineStr">
        <is>
          <t>=差距 ÷ Brix × 100</t>
        </is>
      </c>
    </row>
    <row r="12">
      <c r="B12" s="3" t="inlineStr">
        <is>
          <t>補充：單位換成一致再比</t>
        </is>
      </c>
    </row>
    <row r="13" ht="30" customHeight="1">
      <c r="B13" s="10" t="inlineStr">
        <is>
          <t>柳橙汁密度 (g/mL)</t>
        </is>
      </c>
      <c r="C13" s="44" t="n">
        <v>1.045</v>
      </c>
      <c r="E13" s="20" t="inlineStr">
        <is>
          <t>黃色，可以改（柳橙汁約 1.04–1.05 g/mL）。</t>
        </is>
      </c>
    </row>
    <row r="14" ht="30" customHeight="1">
      <c r="B14" s="10" t="inlineStr">
        <is>
          <t>Brix 換成 g/100 mL = °Brix × 密度</t>
        </is>
      </c>
      <c r="C14" s="36">
        <f>C5*C13</f>
        <v/>
      </c>
      <c r="E14" s="20" t="inlineStr">
        <is>
          <t>Brix 的定義是 g/100 g（w/w），酚硫酸法是 g/100 mL（w/v）；乘上密度才同單位。</t>
        </is>
      </c>
    </row>
    <row r="15" ht="30" customHeight="1">
      <c r="B15" s="10" t="inlineStr">
        <is>
          <t>單位一致後的差距 (g/100 mL)</t>
        </is>
      </c>
      <c r="C15" s="36">
        <f>C14-C7</f>
        <v/>
      </c>
      <c r="E15" s="20" t="inlineStr">
        <is>
          <t>方向不變：Brix 仍然比較大。重點是理解差距的方向，不是要兩者數值相等。</t>
        </is>
      </c>
    </row>
    <row r="17" ht="30" customHeight="1">
      <c r="B17" s="20" t="inlineStr">
        <is>
          <t>溫度提醒：折射計以 20 °C 為對照溫度。有自動溫度補償（ATC）的儀器不用自己校正；沒有 ATC 時，請在建議溫度範圍內操作，不要亂套校正公式。</t>
        </is>
      </c>
    </row>
  </sheetData>
  <mergeCells count="2">
    <mergeCell ref="B17:E17"/>
    <mergeCell ref="B2:E2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6" customWidth="1" min="3" max="3"/>
    <col width="3" customWidth="1" min="4" max="4"/>
    <col width="64" customWidth="1" min="5" max="5"/>
  </cols>
  <sheetData>
    <row r="1">
      <c r="B1" s="1" t="inlineStr">
        <is>
          <t>步驟 6　楓糖漿質量守恆：「40 加侖樹液 = 1 加侖糖漿」是真的嗎？</t>
        </is>
      </c>
    </row>
    <row r="2">
      <c r="B2" s="20" t="inlineStr">
        <is>
          <t>糖的質量在熬煮前後不變：樹液質量 × 樹液糖度 = 糖漿質量 × 糖漿糖度。</t>
        </is>
      </c>
    </row>
    <row r="4">
      <c r="B4" s="10" t="inlineStr">
        <is>
          <t>樹液糖度 (% w/w)</t>
        </is>
      </c>
      <c r="C4" s="44" t="n">
        <v>2</v>
      </c>
      <c r="E4" s="20" t="inlineStr">
        <is>
          <t>黃色都可以改。練習題 5 把樹液糖度改成 2.2。</t>
        </is>
      </c>
    </row>
    <row r="5">
      <c r="B5" s="10" t="inlineStr">
        <is>
          <t>糖漿糖度 (% w/w)</t>
        </is>
      </c>
      <c r="C5" s="45" t="n">
        <v>66</v>
      </c>
    </row>
    <row r="6">
      <c r="B6" s="10" t="inlineStr">
        <is>
          <t>樹液密度 (g/mL)</t>
        </is>
      </c>
      <c r="C6" s="44" t="n">
        <v>1.008</v>
      </c>
    </row>
    <row r="7">
      <c r="B7" s="10" t="inlineStr">
        <is>
          <t>糖漿密度 (g/mL)</t>
        </is>
      </c>
      <c r="C7" s="44" t="n">
        <v>1.33</v>
      </c>
    </row>
    <row r="9" ht="30" customHeight="1">
      <c r="B9" s="10" t="inlineStr">
        <is>
          <t>質量比（樹液 : 糖漿）</t>
        </is>
      </c>
      <c r="C9" s="42">
        <f>C5/C4</f>
        <v/>
      </c>
      <c r="E9" s="20" t="inlineStr">
        <is>
          <t>= 糖漿糖度 ÷ 樹液糖度</t>
        </is>
      </c>
    </row>
    <row r="10" ht="30" customHeight="1">
      <c r="B10" s="10" t="inlineStr">
        <is>
          <t>體積比（密度校正後）</t>
        </is>
      </c>
      <c r="C10" s="42">
        <f>C9*C7/C6</f>
        <v/>
      </c>
      <c r="E10" s="20" t="inlineStr">
        <is>
          <t>= 質量比 × ρ糖漿 ÷ ρ樹液。工廠說的 40：1 是體積比。</t>
        </is>
      </c>
    </row>
    <row r="11" ht="30" customHeight="1">
      <c r="B11" s="10" t="inlineStr">
        <is>
          <t>Rule of 86：86 ÷ 樹液 °Brix</t>
        </is>
      </c>
      <c r="C11" s="42">
        <f>86/C4</f>
        <v/>
      </c>
      <c r="E11" s="20" t="inlineStr">
        <is>
          <t>經驗法則（以樹液糖度 % 近似 °Brix），應和體積比接近。</t>
        </is>
      </c>
    </row>
    <row r="12" ht="30" customHeight="1">
      <c r="B12" s="10" t="inlineStr">
        <is>
          <t>體積比剛好 40：1 時，樹液糖度要多少 (%)</t>
        </is>
      </c>
      <c r="C12" s="36">
        <f>C5*C7/C6/40</f>
        <v/>
      </c>
      <c r="E12" s="20" t="inlineStr">
        <is>
          <t>= 糖漿糖度 × ρ糖漿 ÷ ρ樹液 ÷ 40</t>
        </is>
      </c>
    </row>
    <row r="14" ht="30" customHeight="1">
      <c r="B14" s="10" t="inlineStr">
        <is>
          <t>對照：本班測到的楓糖漿總醣 (g/100 mL)</t>
        </is>
      </c>
      <c r="C14" s="30">
        <f>INDEX('5_樣品換算'!$K$6:$K$11,MATCH("unknown_maple_syrup",'5_樣品換算'!$A$6:$A$11,0))</f>
        <v/>
      </c>
      <c r="E14" s="20" t="inlineStr">
        <is>
          <t>從「5_樣品換算」抓 unknown_maple_syrup 的結果。</t>
        </is>
      </c>
    </row>
    <row r="15" ht="30" customHeight="1">
      <c r="B15" s="10" t="inlineStr">
        <is>
          <t>換成 % w/w = g/100 mL ÷ 糖漿密度</t>
        </is>
      </c>
      <c r="C15" s="30">
        <f>C14/C7</f>
        <v/>
      </c>
      <c r="E15" s="20" t="inlineStr">
        <is>
          <t>和 C5 的 66% 比較。酚硫酸法以葡萄糖當量計，楓糖漿主要是蔗糖，只是量級驗算。</t>
        </is>
      </c>
    </row>
  </sheetData>
  <mergeCells count="1">
    <mergeCell ref="B2:E2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E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3" customWidth="1" min="4" max="4"/>
    <col width="64" customWidth="1" min="5" max="5"/>
  </cols>
  <sheetData>
    <row r="1">
      <c r="B1" s="1" t="inlineStr">
        <is>
          <t>補充　乙級方法概念：銅還原滴定法（Bertrand）</t>
        </is>
      </c>
    </row>
    <row r="2" ht="45" customHeight="1">
      <c r="B2" s="20" t="inlineStr">
        <is>
          <t>本堂課不操作，只示範計算邏輯。數字是通用示意值，不是本班實測。還原糖把 Cu²⁺ 還原成 Cu₂O → Cu₂O 把 Fe³⁺ 還原成 Fe²⁺（1:1 當量）→ 用 KMnO₄ 滴定 Fe²⁺。</t>
        </is>
      </c>
    </row>
    <row r="4">
      <c r="B4" s="10" t="inlineStr">
        <is>
          <t>KMnO₄ 滴定體積 V (mL)</t>
        </is>
      </c>
      <c r="C4" s="46" t="n">
        <v>15.2</v>
      </c>
    </row>
    <row r="5">
      <c r="B5" s="10" t="inlineStr">
        <is>
          <t>KMnO₄ 當量濃度 N (eq/L)</t>
        </is>
      </c>
      <c r="C5" s="47" t="n">
        <v>0.1</v>
      </c>
    </row>
    <row r="7">
      <c r="B7" s="10" t="inlineStr">
        <is>
          <t>meq Cu = meq Fe²⁺ = V × N</t>
        </is>
      </c>
      <c r="C7" s="16">
        <f>C4*C5</f>
        <v/>
      </c>
      <c r="E7" s="20" t="inlineStr">
        <is>
          <t>mL × eq/L = meq。Cu⁺ → Cu²⁺ 放出 1 個電子，所以 1 meq = 1 mmol Cu。</t>
        </is>
      </c>
    </row>
    <row r="8" ht="30" customHeight="1">
      <c r="B8" s="10" t="inlineStr">
        <is>
          <t>mg Cu = meq × 63.55</t>
        </is>
      </c>
      <c r="C8" s="41">
        <f>C7*63.55</f>
        <v/>
      </c>
      <c r="E8" s="20" t="inlineStr">
        <is>
          <t>63.55 = 銅的莫耳質量 (g/mol) = mg/mmol。下一步查 Bertrand 表，把 mg Cu 換成還原糖 mg（表格是方法規定值，這裡不重現）。</t>
        </is>
      </c>
    </row>
  </sheetData>
  <mergeCells count="1">
    <mergeCell ref="B2:E2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B3306A"/>
    <outlinePr summaryBelow="1" summaryRight="1"/>
    <pageSetUpPr fitToPage="1"/>
  </sheetPr>
  <dimension ref="B1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練習題（寫在黃色格子裡，交報告時一起附上）</t>
        </is>
      </c>
    </row>
    <row r="3" ht="16" customHeight="1">
      <c r="B3" s="48" t="inlineStr">
        <is>
          <t>問題 1：冬瓜茶如果忘記扣除自身顏色的樣品空白，總醣會被高估還是低估？請算出高估的量（g/100 mL）與相對 %。</t>
        </is>
      </c>
    </row>
    <row r="4" ht="15" customHeight="1">
      <c r="B4" s="20" t="inlineStr">
        <is>
          <t>提示：「5_樣品換算」B23（忘記扣）和 B24（扣除後）相減；相對 % = 差 ÷ B24 × 100。</t>
        </is>
      </c>
    </row>
    <row r="5" ht="60" customHeight="1">
      <c r="B5" s="49" t="inlineStr"/>
    </row>
    <row r="7" ht="32" customHeight="1">
      <c r="B7" s="48" t="inlineStr">
        <is>
          <t>問題 2：缺適性 F 檢定的 p 值是多少？這對「能不能信任這條標準曲線」有什麼實務建議（要不要改用二次曲線、要不要縮小工作範圍）？</t>
        </is>
      </c>
    </row>
    <row r="8" ht="15" customHeight="1">
      <c r="B8" s="20" t="inlineStr">
        <is>
          <t>提示：看「3_缺適性檢定」N28 與 J35，再對照「2_標準曲線」的殘差圖是什麼形狀。</t>
        </is>
      </c>
    </row>
    <row r="9" ht="60" customHeight="1">
      <c r="B9" s="49" t="inlineStr"/>
    </row>
    <row r="11" ht="32" customHeight="1">
      <c r="B11" s="48" t="inlineStr">
        <is>
          <t>問題 3：如果柳橙汁改用 DF = 1000（而不是 2000）稀釋，吸光值大約會是多少？還在標準曲線 0–100 µg/mL 的範圍內嗎？為什麼選對稀釋倍數很重要？</t>
        </is>
      </c>
    </row>
    <row r="12" ht="30" customHeight="1">
      <c r="B12" s="20" t="inlineStr">
        <is>
          <t>提示：「5_樣品換算」4-2 反推區：B28 填 1000，看 B29、B30、B31；再想想 I 欄的不確定度公式裡 (A − Ā)² 那一項。</t>
        </is>
      </c>
    </row>
    <row r="13" ht="60" customHeight="1">
      <c r="B13" s="49" t="inlineStr"/>
    </row>
    <row r="15" ht="16" customHeight="1">
      <c r="B15" s="48" t="inlineStr">
        <is>
          <t>問題 4：「4_LOD_LOQ」算出殘差 SD 法和空白 SD 法兩種 LOD。正式報告你會選哪一種？為什麼？</t>
        </is>
      </c>
    </row>
    <row r="16" ht="15" customHeight="1">
      <c r="B16" s="20" t="inlineStr">
        <is>
          <t>提示：比較 C11 和 D11，並想想哪一種 σ 包含了曲線彎曲（步驟 2 的結果）。</t>
        </is>
      </c>
    </row>
    <row r="17" ht="60" customHeight="1">
      <c r="B17" s="49" t="inlineStr"/>
    </row>
    <row r="19" ht="16" customHeight="1">
      <c r="B19" s="48" t="inlineStr">
        <is>
          <t>問題 5：如果某批楓樹液糖度實測是 2.2%（不是 2%），Rule of 86 與密度校正後的體積比各變成多少？兩者還吻合嗎？</t>
        </is>
      </c>
    </row>
    <row r="20" ht="15" customHeight="1">
      <c r="B20" s="20" t="inlineStr">
        <is>
          <t>提示：「7_楓糖漿質量守恆」C4 改成 2.2，看 C10 與 C11。做完改回 2。</t>
        </is>
      </c>
    </row>
    <row r="21" ht="60" customHeight="1">
      <c r="B21" s="49" t="inlineStr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2026-09-27T18:53:51Z</dcterms:created>
  <dcterms:modified xsi:type="dcterms:W3CDTF">2026-09-27T18:53:51Z</dcterms:modified>
</cp:coreProperties>
</file>