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說明" sheetId="1" state="visible" r:id="rId1"/>
    <sheet name="1_原始數據" sheetId="2" state="visible" r:id="rId2"/>
    <sheet name="2_公式與參數" sheetId="3" state="visible" r:id="rId3"/>
    <sheet name="3_全班盲樣" sheetId="4" state="visible" r:id="rId4"/>
    <sheet name="4_麵粉與係數" sheetId="5" state="visible" r:id="rId5"/>
    <sheet name="5_回收率" sheetId="6" state="visible" r:id="rId6"/>
    <sheet name="6_三聚氰胺" sheetId="7" state="visible" r:id="rId7"/>
    <sheet name="7_靈敏度" sheetId="8" state="visible" r:id="rId8"/>
    <sheet name="練習題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8">
    <font>
      <name val="Calibri"/>
      <family val="2"/>
      <color theme="1"/>
      <sz val="11"/>
      <scheme val="minor"/>
    </font>
    <font>
      <name val="Microsoft JhengHei"/>
      <b val="1"/>
      <color rgb="001E6B66"/>
      <sz val="16"/>
    </font>
    <font>
      <name val="Microsoft JhengHei"/>
      <color rgb="005B6964"/>
      <sz val="10"/>
    </font>
    <font>
      <name val="Microsoft JhengHei"/>
      <b val="1"/>
      <color rgb="001E6B66"/>
      <sz val="12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sz val="11"/>
    </font>
    <font>
      <name val="Microsoft JhengHei"/>
      <color rgb="001E6B66"/>
      <sz val="11"/>
      <u val="single"/>
    </font>
  </fonts>
  <fills count="7">
    <fill>
      <patternFill/>
    </fill>
    <fill>
      <patternFill patternType="gray125"/>
    </fill>
    <fill>
      <patternFill patternType="solid">
        <fgColor rgb="001E6B6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4E8F5A"/>
      </patternFill>
    </fill>
  </fills>
  <borders count="6">
    <border>
      <left/>
      <right/>
      <top/>
      <bottom/>
      <diagonal/>
    </border>
    <border>
      <left style="thin">
        <color rgb="00C9D3CF"/>
      </left>
      <right style="thin">
        <color rgb="00C9D3CF"/>
      </right>
      <top style="thin">
        <color rgb="00C9D3CF"/>
      </top>
      <bottom style="thin">
        <color rgb="00C9D3CF"/>
      </bottom>
    </border>
    <border>
      <left/>
      <right/>
      <top style="thin">
        <color rgb="00C9D3CF"/>
      </top>
      <bottom/>
      <diagonal/>
    </border>
    <border>
      <left/>
      <right style="thin">
        <color rgb="00C9D3CF"/>
      </right>
      <top style="thin">
        <color rgb="00C9D3CF"/>
      </top>
      <bottom/>
      <diagonal/>
    </border>
    <border>
      <left/>
      <right style="thin">
        <color rgb="00C9D3CF"/>
      </right>
      <top style="thin">
        <color rgb="00C9D3CF"/>
      </top>
      <bottom style="thin">
        <color rgb="00C9D3CF"/>
      </bottom>
      <diagonal/>
    </border>
    <border>
      <left/>
      <right/>
      <top style="thin">
        <color rgb="00C9D3CF"/>
      </top>
      <bottom style="thin">
        <color rgb="00C9D3C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3" borderId="1" pivotButton="0" quotePrefix="0" xfId="0"/>
    <xf numFmtId="0" fontId="5" fillId="0" borderId="0" pivotButton="0" quotePrefix="0" xfId="0"/>
    <xf numFmtId="0" fontId="5" fillId="4" borderId="1" pivotButton="0" quotePrefix="0" xfId="0"/>
    <xf numFmtId="0" fontId="5" fillId="5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horizontal="right" vertical="center"/>
    </xf>
    <xf numFmtId="164" fontId="5" fillId="0" borderId="1" pivotButton="0" quotePrefix="0" xfId="0"/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5" fillId="0" borderId="1" pivotButton="0" quotePrefix="0" xfId="0"/>
    <xf numFmtId="0" fontId="2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3" borderId="0" pivotButton="0" quotePrefix="0" xfId="0"/>
    <xf numFmtId="166" fontId="5" fillId="4" borderId="0" pivotButton="0" quotePrefix="0" xfId="0"/>
    <xf numFmtId="2" fontId="5" fillId="4" borderId="0" pivotButton="0" quotePrefix="0" xfId="0"/>
    <xf numFmtId="164" fontId="5" fillId="4" borderId="0" pivotButton="0" quotePrefix="0" xfId="0"/>
    <xf numFmtId="0" fontId="5" fillId="0" borderId="1" pivotButton="0" quotePrefix="0" xfId="0"/>
    <xf numFmtId="164" fontId="5" fillId="3" borderId="1" pivotButton="0" quotePrefix="0" xfId="0"/>
    <xf numFmtId="165" fontId="5" fillId="3" borderId="1" pivotButton="0" quotePrefix="0" xfId="0"/>
    <xf numFmtId="2" fontId="5" fillId="3" borderId="1" pivotButton="0" quotePrefix="0" xfId="0"/>
    <xf numFmtId="2" fontId="5" fillId="4" borderId="1" applyAlignment="1" pivotButton="0" quotePrefix="0" xfId="0">
      <alignment horizontal="right" vertical="center"/>
    </xf>
    <xf numFmtId="1" fontId="5" fillId="3" borderId="1" pivotButton="0" quotePrefix="0" xfId="0"/>
    <xf numFmtId="0" fontId="6" fillId="0" borderId="1" pivotButton="0" quotePrefix="0" xfId="0"/>
    <xf numFmtId="2" fontId="6" fillId="5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5" borderId="1" applyAlignment="1" pivotButton="0" quotePrefix="0" xfId="0">
      <alignment horizontal="right" vertical="center"/>
    </xf>
    <xf numFmtId="0" fontId="0" fillId="0" borderId="4" pivotButton="0" quotePrefix="0" xfId="0"/>
    <xf numFmtId="166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 wrapText="1"/>
    </xf>
    <xf numFmtId="2" fontId="5" fillId="4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2" fontId="6" fillId="5" borderId="1" applyAlignment="1" pivotButton="0" quotePrefix="0" xfId="0">
      <alignment horizontal="right" vertical="center" wrapText="1"/>
    </xf>
    <xf numFmtId="166" fontId="6" fillId="5" borderId="1" applyAlignment="1" pivotButton="0" quotePrefix="0" xfId="0">
      <alignment horizontal="right" vertical="center" wrapText="1"/>
    </xf>
    <xf numFmtId="166" fontId="5" fillId="4" borderId="1" applyAlignment="1" pivotButton="0" quotePrefix="0" xfId="0">
      <alignment horizontal="right" vertical="center" wrapText="1"/>
    </xf>
    <xf numFmtId="166" fontId="6" fillId="5" borderId="1" applyAlignment="1" pivotButton="0" quotePrefix="0" xfId="0">
      <alignment horizontal="right" vertical="center"/>
    </xf>
    <xf numFmtId="0" fontId="0" fillId="0" borderId="5" pivotButton="0" quotePrefix="0" xfId="0"/>
    <xf numFmtId="166" fontId="5" fillId="3" borderId="1" pivotButton="0" quotePrefix="0" xfId="0"/>
    <xf numFmtId="0" fontId="6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Whole-milk-powder blind sample: n=5 (one tube per group)</a:t>
            </a:r>
          </a:p>
        </rich>
      </tx>
    </title>
    <plotArea>
      <lineChart>
        <grouping val="standard"/>
        <ser>
          <idx val="0"/>
          <order val="0"/>
          <tx>
            <strRef>
              <f>'3_全班盲樣'!H5</f>
            </strRef>
          </tx>
          <spPr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4A6FA5"/>
              </a:solidFill>
              <a:ln>
                <a:solidFill>
                  <a:srgbClr val="4A6FA5"/>
                </a:solidFill>
                <a:prstDash val="solid"/>
              </a:ln>
            </spPr>
          </marker>
          <cat>
            <numRef>
              <f>'3_全班盲樣'!$B$6:$B$10</f>
            </numRef>
          </cat>
          <val>
            <numRef>
              <f>'3_全班盲樣'!$H$6:$H$10</f>
            </numRef>
          </val>
        </ser>
        <ser>
          <idx val="1"/>
          <order val="1"/>
          <tx>
            <strRef>
              <f>'3_全班盲樣'!N5</f>
            </strRef>
          </tx>
          <spPr>
            <a:ln w="19050">
              <a:solidFill>
                <a:srgbClr val="1B1B1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'3_全班盲樣'!$B$6:$B$10</f>
            </numRef>
          </cat>
          <val>
            <numRef>
              <f>'3_全班盲樣'!$N$6:$N$10</f>
            </numRef>
          </val>
          <smooth val="0"/>
        </ser>
        <ser>
          <idx val="2"/>
          <order val="2"/>
          <tx>
            <strRef>
              <f>'3_全班盲樣'!O5</f>
            </strRef>
          </tx>
          <spPr>
            <a:ln w="19050">
              <a:solidFill>
                <a:srgbClr val="D08A1E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'3_全班盲樣'!$B$6:$B$10</f>
            </numRef>
          </cat>
          <val>
            <numRef>
              <f>'3_全班盲樣'!$O$6:$O$10</f>
            </numRef>
          </val>
          <smooth val="0"/>
        </ser>
        <ser>
          <idx val="3"/>
          <order val="3"/>
          <tx>
            <strRef>
              <f>'3_全班盲樣'!P5</f>
            </strRef>
          </tx>
          <spPr>
            <a:ln w="19050">
              <a:solidFill>
                <a:srgbClr val="D08A1E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'3_全班盲樣'!$B$6:$B$10</f>
            </numRef>
          </cat>
          <val>
            <numRef>
              <f>'3_全班盲樣'!$P$6:$P$10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Protein % (dairy factor 6.38)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Why Kjeldahl was fooled: milk powder baseline + melamine</a:t>
            </a:r>
          </a:p>
        </rich>
      </tx>
    </title>
    <plotArea>
      <scatterChart>
        <scatterStyle val="lineMarker"/>
        <ser>
          <idx val="0"/>
          <order val="0"/>
          <tx>
            <v>apparent protein</v>
          </tx>
          <spPr>
            <a:ln w="19050">
              <a:solidFill>
                <a:srgbClr val="B3306A"/>
              </a:solidFill>
              <a:prstDash val="solid"/>
            </a:ln>
          </spPr>
          <marker>
            <symbol val="circle"/>
            <size val="7"/>
            <spPr>
              <a:solidFill>
                <a:srgbClr val="B3306A"/>
              </a:solidFill>
              <a:ln>
                <a:solidFill>
                  <a:srgbClr val="B3306A"/>
                </a:solidFill>
                <a:prstDash val="solid"/>
              </a:ln>
            </spPr>
          </marker>
          <xVal>
            <numRef>
              <f>'6_三聚氰胺'!$A$12:$A$17</f>
            </numRef>
          </xVal>
          <yVal>
            <numRef>
              <f>'6_三聚氰胺'!$B$12:$B$17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Melamine spiked into sample (% w/w)</a:t>
                </a:r>
              </a:p>
            </rich>
          </tx>
        </title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Apparent protein % (dairy factor 6.38)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crosses val="mi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i-shengyeh.github.io/food-analysis-lab/labs/w05_kjeldahl/index.html" TargetMode="External" Id="rId1" /><Relationship Type="http://schemas.openxmlformats.org/officeDocument/2006/relationships/hyperlink" Target="https://colab.research.google.com/github/Tai-ShengYeh/food-analysis-lab/blob/main/notebooks/NB05_kjeldahl_protein.ipynb" TargetMode="External" Id="rId2" /><Relationship Type="http://schemas.openxmlformats.org/officeDocument/2006/relationships/hyperlink" Target="https://tai-shengyeh.github.io/food-analysis-lab/tools.html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E6B66"/>
    <outlinePr summaryBelow="1" summaryRight="1"/>
    <pageSetUpPr fitToPage="1"/>
  </sheetPr>
  <dimension ref="B1:E4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22" customWidth="1" min="4" max="4"/>
    <col width="40" customWidth="1" min="5" max="5"/>
  </cols>
  <sheetData>
    <row r="1" ht="28" customHeight="1">
      <c r="B1" s="1" t="inlineStr">
        <is>
          <t>EX05｜W5 蛋白質（凱氏定氮法）</t>
        </is>
      </c>
    </row>
    <row r="2">
      <c r="B2" s="2" t="inlineStr">
        <is>
          <t>食品分析實驗・入門數據分析（Excel 版）。不用寫程式；同一份數據在 Colab 筆記本做進階分析，答案應該一致。</t>
        </is>
      </c>
    </row>
    <row r="4">
      <c r="B4" s="3" t="inlineStr">
        <is>
          <t>學習目標</t>
        </is>
      </c>
    </row>
    <row r="5">
      <c r="B5" s="4" t="inlineStr">
        <is>
          <t>•  用 %N = (V_s − V_b) × N_HCl × 14.007 ÷ W_mg × 100 從滴定體積算出 %N，再用換算係數 5.7／6.25／6.38 換成蛋白質 %。</t>
        </is>
      </c>
    </row>
    <row r="6">
      <c r="B6" s="4" t="inlineStr">
        <is>
          <t>•  說出換算係數選錯（小麥 5.7 誤用 6.25）造成的系統誤差有多大。</t>
        </is>
      </c>
    </row>
    <row r="7">
      <c r="B7" s="4" t="inlineStr">
        <is>
          <t>•  計算硫酸銨蒸餾回收標準品的回收率 (recovery)，判斷蒸餾／捕氨是否完整（≥ 97%）。</t>
        </is>
      </c>
    </row>
    <row r="8">
      <c r="B8" s="4" t="inlineStr">
        <is>
          <t>•  彙整全班盲樣（全脂奶粉，n = 5）的平均 ± 95% CI、SD、RSD。</t>
        </is>
      </c>
    </row>
    <row r="9">
      <c r="B9" s="4" t="inlineStr">
        <is>
          <t>•  重新計算三聚氰胺事件：摻多少會虛增多少表觀蛋白質。</t>
        </is>
      </c>
    </row>
    <row r="10">
      <c r="B10" s="4" t="inlineStr">
        <is>
          <t>•  用靈敏度分析說明滴定讀取誤差如何隨樣品重量放大。</t>
        </is>
      </c>
    </row>
    <row r="12">
      <c r="B12" s="3" t="inlineStr">
        <is>
          <t>顏色代表什麼</t>
        </is>
      </c>
    </row>
    <row r="13">
      <c r="B13" s="5" t="inlineStr"/>
      <c r="C13" s="6" t="inlineStr">
        <is>
          <t>黃色：輸入或貼上數據的地方</t>
        </is>
      </c>
    </row>
    <row r="14">
      <c r="B14" s="7" t="inlineStr"/>
      <c r="C14" s="6" t="inlineStr">
        <is>
          <t>綠色：公式，會自動計算，不要改</t>
        </is>
      </c>
    </row>
    <row r="15">
      <c r="B15" s="8" t="inlineStr"/>
      <c r="C15" s="6" t="inlineStr">
        <is>
          <t>橘色：重點結果，寫報告時用</t>
        </is>
      </c>
    </row>
    <row r="17">
      <c r="B17" s="3" t="inlineStr">
        <is>
          <t>操作步驟</t>
        </is>
      </c>
    </row>
    <row r="18" ht="15" customHeight="1">
      <c r="B18" s="4" t="inlineStr">
        <is>
          <t>1. 看「1_原始數據」：一列是一管。右邊綠色欄已算好 weight_mg、扣空白後的體積與 %N。</t>
        </is>
      </c>
    </row>
    <row r="19" ht="15" customHeight="1">
      <c r="B19" s="4" t="inlineStr">
        <is>
          <t>2. 看「2_公式與參數」：HCl 濃度、試劑空白、換算係數都在這裡；做第 31–39 列的自我檢查。</t>
        </is>
      </c>
    </row>
    <row r="20" ht="15" customHeight="1">
      <c r="B20" s="4" t="inlineStr">
        <is>
          <t>3. 看「3_全班盲樣」：5 組奶粉的 %N、蛋白質 %、平均 ± 95% CI 與長條圖。</t>
        </is>
      </c>
    </row>
    <row r="21" ht="15" customHeight="1">
      <c r="B21" s="4" t="inlineStr">
        <is>
          <t>4. 看「4_麵粉與係數」：高筋 vs 低筋，與選錯係數的代價。</t>
        </is>
      </c>
    </row>
    <row r="22" ht="15" customHeight="1">
      <c r="B22" s="4" t="inlineStr">
        <is>
          <t>5. 看「5_回收率」、「6_三聚氰胺」、「7_靈敏度」。</t>
        </is>
      </c>
    </row>
    <row r="23" ht="15" customHeight="1">
      <c r="B23" s="4" t="inlineStr">
        <is>
          <t>6. 完成「練習題」。</t>
        </is>
      </c>
    </row>
    <row r="24" ht="30" customHeight="1">
      <c r="B24" s="4" t="inlineStr">
        <is>
          <t>7. 換成班級數據：把共用 Google Sheet 的數據貼到「1_原始數據」A2 起；組別或學生代號不同就改「3_全班盲樣」A–B 欄；HCl 濃度改「2_公式與參數」C6。</t>
        </is>
      </c>
    </row>
    <row r="26">
      <c r="B26" s="3" t="inlineStr">
        <is>
          <t>對答案：用內建範例數據時，你的結果應該等於</t>
        </is>
      </c>
    </row>
    <row r="27">
      <c r="B27" s="9" t="inlineStr">
        <is>
          <t>項目</t>
        </is>
      </c>
      <c r="C27" s="9" t="inlineStr">
        <is>
          <t>本檔計算值</t>
        </is>
      </c>
      <c r="D27" s="9" t="inlineStr">
        <is>
          <t>Colab 筆記本的值</t>
        </is>
      </c>
      <c r="E27" s="9" t="inlineStr">
        <is>
          <t>一致？</t>
        </is>
      </c>
    </row>
    <row r="28">
      <c r="B28" s="10" t="inlineStr">
        <is>
          <t>全脂奶粉盲樣平均蛋白質 (%)</t>
        </is>
      </c>
      <c r="C28" s="11">
        <f>'3_全班盲樣'!K8</f>
        <v/>
      </c>
      <c r="D28" s="12" t="n">
        <v>25.851797862261</v>
      </c>
      <c r="E28" s="13">
        <f>IF(ABS(C28-D28)&lt;=0.0025851807862261,"✔ 一致","✘ 不一致（換成班級數據後本來就會不同）")</f>
        <v/>
      </c>
    </row>
    <row r="29">
      <c r="B29" s="10" t="inlineStr">
        <is>
          <t>盲樣 95% CI 半寬 (%)</t>
        </is>
      </c>
      <c r="C29" s="11">
        <f>'3_全班盲樣'!K12</f>
        <v/>
      </c>
      <c r="D29" s="12" t="n">
        <v>0.2981546184197823</v>
      </c>
      <c r="E29" s="13">
        <f>IF(ABS(C29-D29)&lt;=2.981646184197823e-05,"✔ 一致","✘ 不一致（換成班級數據後本來就會不同）")</f>
        <v/>
      </c>
    </row>
    <row r="30">
      <c r="B30" s="10" t="inlineStr">
        <is>
          <t>盲樣 RSD (%)</t>
        </is>
      </c>
      <c r="C30" s="11">
        <f>'3_全班盲樣'!K13</f>
        <v/>
      </c>
      <c r="D30" s="12" t="n">
        <v>0.9288523847872741</v>
      </c>
      <c r="E30" s="13">
        <f>IF(ABS(C30-D30)&lt;=9.288623847872741e-05,"✔ 一致","✘ 不一致（換成班級數據後本來就會不同）")</f>
        <v/>
      </c>
    </row>
    <row r="31">
      <c r="B31" s="10" t="inlineStr">
        <is>
          <t>高筋麵粉 %N</t>
        </is>
      </c>
      <c r="C31" s="11">
        <f>'4_麵粉與係數'!B10</f>
        <v/>
      </c>
      <c r="D31" s="12" t="n">
        <v>2.2789389</v>
      </c>
      <c r="E31" s="13">
        <f>IF(ABS(C31-D31)&lt;=0.00022789489,"✔ 一致","✘ 不一致（換成班級數據後本來就會不同）")</f>
        <v/>
      </c>
    </row>
    <row r="32">
      <c r="B32" s="10" t="inlineStr">
        <is>
          <t>高筋麵粉誤用 6.25 的相對高估 (%)</t>
        </is>
      </c>
      <c r="C32" s="14">
        <f>'4_麵粉與係數'!B15</f>
        <v/>
      </c>
      <c r="D32" s="15" t="n">
        <v>9.649122807017548</v>
      </c>
      <c r="E32" s="13">
        <f>IF(ABS(C32-D32)&lt;=0.0009649132807017549,"✔ 一致","✘ 不一致（換成班級數據後本來就會不同）")</f>
        <v/>
      </c>
    </row>
    <row r="33">
      <c r="B33" s="10" t="inlineStr">
        <is>
          <t>硫酸銨回收率 (%)</t>
        </is>
      </c>
      <c r="C33" s="14">
        <f>'5_回收率'!B11</f>
        <v/>
      </c>
      <c r="D33" s="15" t="n">
        <v>99.49991400000002</v>
      </c>
      <c r="E33" s="13">
        <f>IF(ABS(C33-D33)&lt;=0.009949992400000001,"✔ 一致","✘ 不一致（換成班級數據後本來就會不同）")</f>
        <v/>
      </c>
    </row>
    <row r="34">
      <c r="B34" s="10" t="inlineStr">
        <is>
          <t>每摻 1% 三聚氰胺虛增表觀蛋白質（百分點）</t>
        </is>
      </c>
      <c r="C34" s="11">
        <f>'6_三聚氰胺'!B7</f>
        <v/>
      </c>
      <c r="D34" s="12" t="n">
        <v>4.251309911752812</v>
      </c>
      <c r="E34" s="13">
        <f>IF(ABS(C34-D34)&lt;=0.0004251319911752812,"✔ 一致","✘ 不一致（換成班級數據後本來就會不同）")</f>
        <v/>
      </c>
    </row>
    <row r="35">
      <c r="B35" s="10" t="inlineStr">
        <is>
          <t>ΔV = 0.05 mL 對奶粉蛋白質 % 的影響</t>
        </is>
      </c>
      <c r="C35" s="11">
        <f>'7_靈敏度'!F7</f>
        <v/>
      </c>
      <c r="D35" s="12" t="n">
        <v>0.08927538461538465</v>
      </c>
      <c r="E35" s="13">
        <f>IF(ABS(C35-D35)&lt;=8.928538461538466e-06,"✔ 一致","✘ 不一致（換成班級數據後本來就會不同）")</f>
        <v/>
      </c>
    </row>
    <row r="36">
      <c r="B36" s="16" t="inlineStr">
        <is>
          <t>「Colab 筆記本的值」是用內建模擬數據算出的答案；換成全班數據後，這一欄就不再適用。</t>
        </is>
      </c>
    </row>
    <row r="38">
      <c r="B38" s="3" t="inlineStr">
        <is>
          <t>相關連結</t>
        </is>
      </c>
    </row>
    <row r="39">
      <c r="B39" s="17" t="inlineStr">
        <is>
          <t>本週實驗投影片</t>
        </is>
      </c>
      <c r="C39" s="2" t="inlineStr">
        <is>
          <t>https://tai-shengyeh.github.io/food-analysis-lab/labs/w05_kjeldahl/index.html</t>
        </is>
      </c>
    </row>
    <row r="40">
      <c r="B40" s="17" t="inlineStr">
        <is>
          <t>進階：Colab 筆記本（Python）</t>
        </is>
      </c>
      <c r="C40" s="2" t="inlineStr">
        <is>
          <t>https://colab.research.google.com/github/Tai-ShengYeh/food-analysis-lab/blob/main/notebooks/NB05_kjeldahl_protein.ipynb</t>
        </is>
      </c>
    </row>
    <row r="41">
      <c r="B41" s="17" t="inlineStr">
        <is>
          <t>數據分析工具指南（Excel／Orange／Colab）</t>
        </is>
      </c>
      <c r="C41" s="2" t="inlineStr">
        <is>
          <t>https://tai-shengyeh.github.io/food-analysis-lab/tools.html</t>
        </is>
      </c>
    </row>
    <row r="43">
      <c r="B43" s="3" t="inlineStr">
        <is>
          <t>小提醒</t>
        </is>
      </c>
    </row>
    <row r="44" ht="30" customHeight="1">
      <c r="B44" s="4" t="inlineStr">
        <is>
          <t>•  試劑空白、高筋／低筋麵粉、硫酸銨都各只有 1 管。若班上做了 2 管空白，「2_公式與參數」C12 會自動取平均（Colab 只取第一管）。</t>
        </is>
      </c>
    </row>
    <row r="45" ht="15" customHeight="1">
      <c r="B45" s="4" t="inlineStr">
        <is>
          <t>•  所有 %N 都用「2_公式與參數」C14 的 V_b；改 C13 開關可以看不扣空白的結果。</t>
        </is>
      </c>
    </row>
    <row r="46" ht="15" customHeight="1">
      <c r="B46" s="4" t="inlineStr">
        <is>
          <t>•  進階：匯出 CSV 請看 Colab 筆記本。本週所有計算都已包含在這個 Excel 檔中。</t>
        </is>
      </c>
    </row>
    <row r="47" ht="15" customHeight="1">
      <c r="B47" s="4" t="inlineStr">
        <is>
          <t>•  看到 #NAME? 表示 Excel 版本太舊（2007 以前），請改用 Google 試算表。</t>
        </is>
      </c>
    </row>
  </sheetData>
  <mergeCells count="18">
    <mergeCell ref="B20:E20"/>
    <mergeCell ref="B45:E45"/>
    <mergeCell ref="B23:E23"/>
    <mergeCell ref="B9:E9"/>
    <mergeCell ref="B18:E18"/>
    <mergeCell ref="B8:E8"/>
    <mergeCell ref="B36:E36"/>
    <mergeCell ref="B6:E6"/>
    <mergeCell ref="B21:E21"/>
    <mergeCell ref="B44:E44"/>
    <mergeCell ref="B7:E7"/>
    <mergeCell ref="B24:E24"/>
    <mergeCell ref="B5:E5"/>
    <mergeCell ref="B19:E19"/>
    <mergeCell ref="B47:E47"/>
    <mergeCell ref="B10:E10"/>
    <mergeCell ref="B46:E46"/>
    <mergeCell ref="B22:E22"/>
  </mergeCells>
  <hyperlinks>
    <hyperlink xmlns:r="http://schemas.openxmlformats.org/officeDocument/2006/relationships" ref="B39" r:id="rId1"/>
    <hyperlink xmlns:r="http://schemas.openxmlformats.org/officeDocument/2006/relationships" ref="B40" r:id="rId2"/>
    <hyperlink xmlns:r="http://schemas.openxmlformats.org/officeDocument/2006/relationships" ref="B41" r:id="rId3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 fitToPage="0"/>
  </sheetPr>
  <dimension ref="A1:N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60" customWidth="1" min="14" max="14"/>
  </cols>
  <sheetData>
    <row r="1">
      <c r="A1" s="9" t="inlineStr">
        <is>
          <t>group</t>
        </is>
      </c>
      <c r="B1" s="9" t="inlineStr">
        <is>
          <t>student</t>
        </is>
      </c>
      <c r="C1" s="9" t="inlineStr">
        <is>
          <t>item</t>
        </is>
      </c>
      <c r="D1" s="9" t="inlineStr">
        <is>
          <t>rep</t>
        </is>
      </c>
      <c r="E1" s="9" t="inlineStr">
        <is>
          <t>value</t>
        </is>
      </c>
      <c r="F1" s="9" t="inlineStr">
        <is>
          <t>unit</t>
        </is>
      </c>
      <c r="G1" s="9" t="inlineStr">
        <is>
          <t>temp_C</t>
        </is>
      </c>
      <c r="H1" s="9" t="inlineStr">
        <is>
          <t>weight_g</t>
        </is>
      </c>
      <c r="I1" s="9" t="inlineStr">
        <is>
          <t>note</t>
        </is>
      </c>
      <c r="J1" s="18" t="inlineStr">
        <is>
          <t>weight_mg</t>
        </is>
      </c>
      <c r="K1" s="18" t="inlineStr">
        <is>
          <t>V_net_mL</t>
        </is>
      </c>
      <c r="L1" s="18" t="inlineStr">
        <is>
          <t>pctN</t>
        </is>
      </c>
      <c r="N1" s="3" t="inlineStr">
        <is>
          <t>這張工作表怎麼用</t>
        </is>
      </c>
    </row>
    <row r="2" ht="75" customHeight="1">
      <c r="A2" s="19" t="n">
        <v>1</v>
      </c>
      <c r="B2" s="19" t="inlineStr">
        <is>
          <t>G1</t>
        </is>
      </c>
      <c r="C2" s="19" t="inlineStr">
        <is>
          <t>milk_powder_blind</t>
        </is>
      </c>
      <c r="D2" s="19" t="n">
        <v>1</v>
      </c>
      <c r="E2" s="19" t="n">
        <v>14.67</v>
      </c>
      <c r="F2" s="19" t="inlineStr">
        <is>
          <t>mL</t>
        </is>
      </c>
      <c r="G2" s="19" t="n"/>
      <c r="H2" s="19" t="n">
        <v>0.5004999999999999</v>
      </c>
      <c r="I2" s="19" t="inlineStr">
        <is>
          <t>5 組各消化 1 管盲樣（設備僅容納 8 管）</t>
        </is>
      </c>
      <c r="J2" s="20">
        <f>IF($A2="","",IF(H2="","",H2*1000))</f>
        <v/>
      </c>
      <c r="K2" s="21">
        <f>IF($A2="","",E2-'2_公式與參數'!$C$14)</f>
        <v/>
      </c>
      <c r="L2" s="22">
        <f>IF($A2="","",IF(H2="","",K2*'2_公式與參數'!$C$6*'2_公式與參數'!$C$7/J2*100))</f>
        <v/>
      </c>
      <c r="N2" s="16" t="inlineStr">
        <is>
          <t>本週欄位：item＝管別（milk_powder_blind 全脂奶粉盲樣、reagent_blank 試劑空白、ammonium_sulfate_std 硫酸銨回收標準品、high_gluten_flour 高筋麵粉、low_gluten_flour 低筋麵粉）；value＝滴定用去的 HCl 體積 (mL)；weight_g＝樣品重 (g)；temp_C 本週不用，留空。</t>
        </is>
      </c>
    </row>
    <row r="3" ht="30" customHeight="1">
      <c r="A3" s="19" t="n">
        <v>2</v>
      </c>
      <c r="B3" s="19" t="inlineStr">
        <is>
          <t>G2</t>
        </is>
      </c>
      <c r="C3" s="19" t="inlineStr">
        <is>
          <t>milk_powder_blind</t>
        </is>
      </c>
      <c r="D3" s="19" t="n">
        <v>1</v>
      </c>
      <c r="E3" s="19" t="n">
        <v>15.03</v>
      </c>
      <c r="F3" s="19" t="inlineStr">
        <is>
          <t>mL</t>
        </is>
      </c>
      <c r="G3" s="19" t="n"/>
      <c r="H3" s="19" t="n">
        <v>0.5011</v>
      </c>
      <c r="I3" s="19" t="inlineStr">
        <is>
          <t>5 組各消化 1 管盲樣（設備僅容納 8 管）</t>
        </is>
      </c>
      <c r="J3" s="20">
        <f>IF($A3="","",IF(H3="","",H3*1000))</f>
        <v/>
      </c>
      <c r="K3" s="21">
        <f>IF($A3="","",E3-'2_公式與參數'!$C$14)</f>
        <v/>
      </c>
      <c r="L3" s="22">
        <f>IF($A3="","",IF(H3="","",K3*'2_公式與參數'!$C$6*'2_公式與參數'!$C$7/J3*100))</f>
        <v/>
      </c>
      <c r="N3" s="16" t="inlineStr">
        <is>
          <t>消化爐一次只能放 8 管：5 管盲樣（每組 1 管）＋ 1 管空白 ＋ 1 管回收標準品 ＋ 1 管高筋麵粉。低筋麵粉是助教提供的前次數據。</t>
        </is>
      </c>
    </row>
    <row r="4" ht="30" customHeight="1">
      <c r="A4" s="19" t="n">
        <v>3</v>
      </c>
      <c r="B4" s="19" t="inlineStr">
        <is>
          <t>G3</t>
        </is>
      </c>
      <c r="C4" s="19" t="inlineStr">
        <is>
          <t>milk_powder_blind</t>
        </is>
      </c>
      <c r="D4" s="19" t="n">
        <v>1</v>
      </c>
      <c r="E4" s="19" t="n">
        <v>14.63</v>
      </c>
      <c r="F4" s="19" t="inlineStr">
        <is>
          <t>mL</t>
        </is>
      </c>
      <c r="G4" s="19" t="n"/>
      <c r="H4" s="19" t="n">
        <v>0.4971</v>
      </c>
      <c r="I4" s="19" t="inlineStr">
        <is>
          <t>5 組各消化 1 管盲樣（設備僅容納 8 管）</t>
        </is>
      </c>
      <c r="J4" s="20">
        <f>IF($A4="","",IF(H4="","",H4*1000))</f>
        <v/>
      </c>
      <c r="K4" s="21">
        <f>IF($A4="","",E4-'2_公式與參數'!$C$14)</f>
        <v/>
      </c>
      <c r="L4" s="22">
        <f>IF($A4="","",IF(H4="","",K4*'2_公式與參數'!$C$6*'2_公式與參數'!$C$7/J4*100))</f>
        <v/>
      </c>
      <c r="N4" s="16" t="inlineStr">
        <is>
          <t>黃色欄位＝原始數據。換成全班數據時：從共用 Google Sheet 複製，貼到 A2（欄位順序必須一樣），舊資料多出來的列要整列刪除。</t>
        </is>
      </c>
    </row>
    <row r="5" ht="15" customHeight="1">
      <c r="A5" s="19" t="n">
        <v>4</v>
      </c>
      <c r="B5" s="19" t="inlineStr">
        <is>
          <t>G4</t>
        </is>
      </c>
      <c r="C5" s="19" t="inlineStr">
        <is>
          <t>milk_powder_blind</t>
        </is>
      </c>
      <c r="D5" s="19" t="n">
        <v>1</v>
      </c>
      <c r="E5" s="19" t="n">
        <v>14.8</v>
      </c>
      <c r="F5" s="19" t="inlineStr">
        <is>
          <t>mL</t>
        </is>
      </c>
      <c r="G5" s="19" t="n"/>
      <c r="H5" s="19" t="n">
        <v>0.5002</v>
      </c>
      <c r="I5" s="19" t="inlineStr">
        <is>
          <t>5 組各消化 1 管盲樣（設備僅容納 8 管）</t>
        </is>
      </c>
      <c r="J5" s="20">
        <f>IF($A5="","",IF(H5="","",H5*1000))</f>
        <v/>
      </c>
      <c r="K5" s="21">
        <f>IF($A5="","",E5-'2_公式與參數'!$C$14)</f>
        <v/>
      </c>
      <c r="L5" s="22">
        <f>IF($A5="","",IF(H5="","",K5*'2_公式與參數'!$C$6*'2_公式與參數'!$C$7/J5*100))</f>
        <v/>
      </c>
      <c r="N5" s="16" t="inlineStr">
        <is>
          <t>綠色欄位＝公式，會自動算到第 1000 列，不要手動修改。</t>
        </is>
      </c>
    </row>
    <row r="6" ht="30" customHeight="1">
      <c r="A6" s="19" t="n">
        <v>5</v>
      </c>
      <c r="B6" s="19" t="inlineStr">
        <is>
          <t>G5</t>
        </is>
      </c>
      <c r="C6" s="19" t="inlineStr">
        <is>
          <t>milk_powder_blind</t>
        </is>
      </c>
      <c r="D6" s="19" t="n">
        <v>1</v>
      </c>
      <c r="E6" s="19" t="n">
        <v>14.71</v>
      </c>
      <c r="F6" s="19" t="inlineStr">
        <is>
          <t>mL</t>
        </is>
      </c>
      <c r="G6" s="19" t="n"/>
      <c r="H6" s="19" t="n">
        <v>0.5</v>
      </c>
      <c r="I6" s="19" t="inlineStr">
        <is>
          <t>5 組各消化 1 管盲樣（設備僅容納 8 管）</t>
        </is>
      </c>
      <c r="J6" s="20">
        <f>IF($A6="","",IF(H6="","",H6*1000))</f>
        <v/>
      </c>
      <c r="K6" s="21">
        <f>IF($A6="","",E6-'2_公式與參數'!$C$14)</f>
        <v/>
      </c>
      <c r="L6" s="22">
        <f>IF($A6="","",IF(H6="","",K6*'2_公式與參數'!$C$6*'2_公式與參數'!$C$7/J6*100))</f>
        <v/>
      </c>
      <c r="N6" s="16" t="inlineStr">
        <is>
          <t>「weight_mg」：樣品重換成毫克（公式需要 mg）。試劑空白沒有樣品，留空。</t>
        </is>
      </c>
    </row>
    <row r="7" ht="30" customHeight="1">
      <c r="A7" s="19" t="n">
        <v>0</v>
      </c>
      <c r="B7" s="19" t="inlineStr">
        <is>
          <t>shared</t>
        </is>
      </c>
      <c r="C7" s="19" t="inlineStr">
        <is>
          <t>reagent_blank</t>
        </is>
      </c>
      <c r="D7" s="19" t="n">
        <v>1</v>
      </c>
      <c r="E7" s="19" t="n">
        <v>0.31</v>
      </c>
      <c r="F7" s="19" t="inlineStr">
        <is>
          <t>mL</t>
        </is>
      </c>
      <c r="G7" s="19" t="n"/>
      <c r="H7" s="19" t="n"/>
      <c r="I7" s="19" t="inlineStr">
        <is>
          <t>試劑空白，全班共用 1 管，不加樣品</t>
        </is>
      </c>
      <c r="J7" s="20">
        <f>IF($A7="","",IF(H7="","",H7*1000))</f>
        <v/>
      </c>
      <c r="K7" s="21">
        <f>IF($A7="","",E7-'2_公式與參數'!$C$14)</f>
        <v/>
      </c>
      <c r="L7" s="22">
        <f>IF($A7="","",IF(H7="","",K7*'2_公式與參數'!$C$6*'2_公式與參數'!$C$7/J7*100))</f>
        <v/>
      </c>
      <c r="N7" s="16" t="inlineStr">
        <is>
          <t>「V_net_mL」：淨滴定體積 = value − 試劑空白 V_b（V_b 在「2_公式與參數」C14）。</t>
        </is>
      </c>
    </row>
    <row r="8" ht="30" customHeight="1">
      <c r="A8" s="19" t="n">
        <v>0</v>
      </c>
      <c r="B8" s="19" t="inlineStr">
        <is>
          <t>shared</t>
        </is>
      </c>
      <c r="C8" s="19" t="inlineStr">
        <is>
          <t>ammonium_sulfate_std</t>
        </is>
      </c>
      <c r="D8" s="19" t="n">
        <v>1</v>
      </c>
      <c r="E8" s="19" t="n">
        <v>7.84</v>
      </c>
      <c r="F8" s="19" t="inlineStr">
        <is>
          <t>mL</t>
        </is>
      </c>
      <c r="G8" s="19" t="n"/>
      <c r="H8" s="19" t="n">
        <v>0.05</v>
      </c>
      <c r="I8" s="19" t="inlineStr">
        <is>
          <t>蒸餾回收標準品，理論 N%=21.20% (硫酸銨)</t>
        </is>
      </c>
      <c r="J8" s="20">
        <f>IF($A8="","",IF(H8="","",H8*1000))</f>
        <v/>
      </c>
      <c r="K8" s="21">
        <f>IF($A8="","",E8-'2_公式與參數'!$C$14)</f>
        <v/>
      </c>
      <c r="L8" s="22">
        <f>IF($A8="","",IF(H8="","",K8*'2_公式與參數'!$C$6*'2_公式與參數'!$C$7/J8*100))</f>
        <v/>
      </c>
      <c r="N8" s="16" t="inlineStr">
        <is>
          <t>「pctN」：%N = V_net × N_HCl × 14.007 ÷ weight_mg × 100。</t>
        </is>
      </c>
    </row>
    <row r="9">
      <c r="A9" s="19" t="n">
        <v>1</v>
      </c>
      <c r="B9" s="19" t="inlineStr">
        <is>
          <t>G1</t>
        </is>
      </c>
      <c r="C9" s="19" t="inlineStr">
        <is>
          <t>high_gluten_flour</t>
        </is>
      </c>
      <c r="D9" s="19" t="n">
        <v>1</v>
      </c>
      <c r="E9" s="19" t="n">
        <v>16.58</v>
      </c>
      <c r="F9" s="19" t="inlineStr">
        <is>
          <t>mL</t>
        </is>
      </c>
      <c r="G9" s="19" t="n"/>
      <c r="H9" s="19" t="n">
        <v>1</v>
      </c>
      <c r="I9" s="19" t="inlineStr">
        <is>
          <t>高筋麵粉，由 G1 代表操作，結果全班共用</t>
        </is>
      </c>
      <c r="J9" s="20">
        <f>IF($A9="","",IF(H9="","",H9*1000))</f>
        <v/>
      </c>
      <c r="K9" s="21">
        <f>IF($A9="","",E9-'2_公式與參數'!$C$14)</f>
        <v/>
      </c>
      <c r="L9" s="22">
        <f>IF($A9="","",IF(H9="","",K9*'2_公式與參數'!$C$6*'2_公式與參數'!$C$7/J9*100))</f>
        <v/>
      </c>
    </row>
    <row r="10">
      <c r="A10" s="19" t="n">
        <v>0</v>
      </c>
      <c r="B10" s="19" t="inlineStr">
        <is>
          <t>TA</t>
        </is>
      </c>
      <c r="C10" s="19" t="inlineStr">
        <is>
          <t>low_gluten_flour</t>
        </is>
      </c>
      <c r="D10" s="19" t="n">
        <v>1</v>
      </c>
      <c r="E10" s="19" t="n">
        <v>10.32</v>
      </c>
      <c r="F10" s="19" t="inlineStr">
        <is>
          <t>mL</t>
        </is>
      </c>
      <c r="G10" s="19" t="n"/>
      <c r="H10" s="19" t="n">
        <v>1</v>
      </c>
      <c r="I10" s="19" t="inlineStr">
        <is>
          <t>TA 提供（前次操作數據），本次消化爐排程已滿 8 管，未現場加測</t>
        </is>
      </c>
      <c r="J10" s="20">
        <f>IF($A10="","",IF(H10="","",H10*1000))</f>
        <v/>
      </c>
      <c r="K10" s="21">
        <f>IF($A10="","",E10-'2_公式與參數'!$C$14)</f>
        <v/>
      </c>
      <c r="L10" s="22">
        <f>IF($A10="","",IF(H10="","",K10*'2_公式與參數'!$C$6*'2_公式與參數'!$C$7/J10*100))</f>
        <v/>
      </c>
    </row>
    <row r="11">
      <c r="J11" s="20">
        <f>IF($A11="","",IF(H11="","",H11*1000))</f>
        <v/>
      </c>
      <c r="K11" s="21">
        <f>IF($A11="","",E11-'2_公式與參數'!$C$14)</f>
        <v/>
      </c>
      <c r="L11" s="22">
        <f>IF($A11="","",IF(H11="","",K11*'2_公式與參數'!$C$6*'2_公式與參數'!$C$7/J11*100))</f>
        <v/>
      </c>
    </row>
    <row r="12">
      <c r="J12" s="20">
        <f>IF($A12="","",IF(H12="","",H12*1000))</f>
        <v/>
      </c>
      <c r="K12" s="21">
        <f>IF($A12="","",E12-'2_公式與參數'!$C$14)</f>
        <v/>
      </c>
      <c r="L12" s="22">
        <f>IF($A12="","",IF(H12="","",K12*'2_公式與參數'!$C$6*'2_公式與參數'!$C$7/J12*100))</f>
        <v/>
      </c>
    </row>
    <row r="13">
      <c r="J13" s="20">
        <f>IF($A13="","",IF(H13="","",H13*1000))</f>
        <v/>
      </c>
      <c r="K13" s="21">
        <f>IF($A13="","",E13-'2_公式與參數'!$C$14)</f>
        <v/>
      </c>
      <c r="L13" s="22">
        <f>IF($A13="","",IF(H13="","",K13*'2_公式與參數'!$C$6*'2_公式與參數'!$C$7/J13*100))</f>
        <v/>
      </c>
    </row>
    <row r="14">
      <c r="J14" s="20">
        <f>IF($A14="","",IF(H14="","",H14*1000))</f>
        <v/>
      </c>
      <c r="K14" s="21">
        <f>IF($A14="","",E14-'2_公式與參數'!$C$14)</f>
        <v/>
      </c>
      <c r="L14" s="22">
        <f>IF($A14="","",IF(H14="","",K14*'2_公式與參數'!$C$6*'2_公式與參數'!$C$7/J14*100))</f>
        <v/>
      </c>
    </row>
    <row r="15">
      <c r="J15" s="20">
        <f>IF($A15="","",IF(H15="","",H15*1000))</f>
        <v/>
      </c>
      <c r="K15" s="21">
        <f>IF($A15="","",E15-'2_公式與參數'!$C$14)</f>
        <v/>
      </c>
      <c r="L15" s="22">
        <f>IF($A15="","",IF(H15="","",K15*'2_公式與參數'!$C$6*'2_公式與參數'!$C$7/J15*100))</f>
        <v/>
      </c>
    </row>
    <row r="16">
      <c r="J16" s="20">
        <f>IF($A16="","",IF(H16="","",H16*1000))</f>
        <v/>
      </c>
      <c r="K16" s="21">
        <f>IF($A16="","",E16-'2_公式與參數'!$C$14)</f>
        <v/>
      </c>
      <c r="L16" s="22">
        <f>IF($A16="","",IF(H16="","",K16*'2_公式與參數'!$C$6*'2_公式與參數'!$C$7/J16*100))</f>
        <v/>
      </c>
    </row>
    <row r="17">
      <c r="J17" s="20">
        <f>IF($A17="","",IF(H17="","",H17*1000))</f>
        <v/>
      </c>
      <c r="K17" s="21">
        <f>IF($A17="","",E17-'2_公式與參數'!$C$14)</f>
        <v/>
      </c>
      <c r="L17" s="22">
        <f>IF($A17="","",IF(H17="","",K17*'2_公式與參數'!$C$6*'2_公式與參數'!$C$7/J17*100))</f>
        <v/>
      </c>
    </row>
    <row r="18">
      <c r="J18" s="20">
        <f>IF($A18="","",IF(H18="","",H18*1000))</f>
        <v/>
      </c>
      <c r="K18" s="21">
        <f>IF($A18="","",E18-'2_公式與參數'!$C$14)</f>
        <v/>
      </c>
      <c r="L18" s="22">
        <f>IF($A18="","",IF(H18="","",K18*'2_公式與參數'!$C$6*'2_公式與參數'!$C$7/J18*100))</f>
        <v/>
      </c>
    </row>
    <row r="19">
      <c r="J19" s="20">
        <f>IF($A19="","",IF(H19="","",H19*1000))</f>
        <v/>
      </c>
      <c r="K19" s="21">
        <f>IF($A19="","",E19-'2_公式與參數'!$C$14)</f>
        <v/>
      </c>
      <c r="L19" s="22">
        <f>IF($A19="","",IF(H19="","",K19*'2_公式與參數'!$C$6*'2_公式與參數'!$C$7/J19*100))</f>
        <v/>
      </c>
    </row>
    <row r="20">
      <c r="J20" s="20">
        <f>IF($A20="","",IF(H20="","",H20*1000))</f>
        <v/>
      </c>
      <c r="K20" s="21">
        <f>IF($A20="","",E20-'2_公式與參數'!$C$14)</f>
        <v/>
      </c>
      <c r="L20" s="22">
        <f>IF($A20="","",IF(H20="","",K20*'2_公式與參數'!$C$6*'2_公式與參數'!$C$7/J20*100))</f>
        <v/>
      </c>
    </row>
    <row r="21">
      <c r="J21" s="20">
        <f>IF($A21="","",IF(H21="","",H21*1000))</f>
        <v/>
      </c>
      <c r="K21" s="21">
        <f>IF($A21="","",E21-'2_公式與參數'!$C$14)</f>
        <v/>
      </c>
      <c r="L21" s="22">
        <f>IF($A21="","",IF(H21="","",K21*'2_公式與參數'!$C$6*'2_公式與參數'!$C$7/J21*100))</f>
        <v/>
      </c>
    </row>
    <row r="22">
      <c r="J22" s="20">
        <f>IF($A22="","",IF(H22="","",H22*1000))</f>
        <v/>
      </c>
      <c r="K22" s="21">
        <f>IF($A22="","",E22-'2_公式與參數'!$C$14)</f>
        <v/>
      </c>
      <c r="L22" s="22">
        <f>IF($A22="","",IF(H22="","",K22*'2_公式與參數'!$C$6*'2_公式與參數'!$C$7/J22*100))</f>
        <v/>
      </c>
    </row>
    <row r="23">
      <c r="J23" s="20">
        <f>IF($A23="","",IF(H23="","",H23*1000))</f>
        <v/>
      </c>
      <c r="K23" s="21">
        <f>IF($A23="","",E23-'2_公式與參數'!$C$14)</f>
        <v/>
      </c>
      <c r="L23" s="22">
        <f>IF($A23="","",IF(H23="","",K23*'2_公式與參數'!$C$6*'2_公式與參數'!$C$7/J23*100))</f>
        <v/>
      </c>
    </row>
    <row r="24">
      <c r="J24" s="20">
        <f>IF($A24="","",IF(H24="","",H24*1000))</f>
        <v/>
      </c>
      <c r="K24" s="21">
        <f>IF($A24="","",E24-'2_公式與參數'!$C$14)</f>
        <v/>
      </c>
      <c r="L24" s="22">
        <f>IF($A24="","",IF(H24="","",K24*'2_公式與參數'!$C$6*'2_公式與參數'!$C$7/J24*100))</f>
        <v/>
      </c>
    </row>
    <row r="25">
      <c r="J25" s="20">
        <f>IF($A25="","",IF(H25="","",H25*1000))</f>
        <v/>
      </c>
      <c r="K25" s="21">
        <f>IF($A25="","",E25-'2_公式與參數'!$C$14)</f>
        <v/>
      </c>
      <c r="L25" s="22">
        <f>IF($A25="","",IF(H25="","",K25*'2_公式與參數'!$C$6*'2_公式與參數'!$C$7/J25*100))</f>
        <v/>
      </c>
    </row>
    <row r="26">
      <c r="J26" s="20">
        <f>IF($A26="","",IF(H26="","",H26*1000))</f>
        <v/>
      </c>
      <c r="K26" s="21">
        <f>IF($A26="","",E26-'2_公式與參數'!$C$14)</f>
        <v/>
      </c>
      <c r="L26" s="22">
        <f>IF($A26="","",IF(H26="","",K26*'2_公式與參數'!$C$6*'2_公式與參數'!$C$7/J26*100))</f>
        <v/>
      </c>
    </row>
    <row r="27">
      <c r="J27" s="20">
        <f>IF($A27="","",IF(H27="","",H27*1000))</f>
        <v/>
      </c>
      <c r="K27" s="21">
        <f>IF($A27="","",E27-'2_公式與參數'!$C$14)</f>
        <v/>
      </c>
      <c r="L27" s="22">
        <f>IF($A27="","",IF(H27="","",K27*'2_公式與參數'!$C$6*'2_公式與參數'!$C$7/J27*100))</f>
        <v/>
      </c>
    </row>
    <row r="28">
      <c r="J28" s="20">
        <f>IF($A28="","",IF(H28="","",H28*1000))</f>
        <v/>
      </c>
      <c r="K28" s="21">
        <f>IF($A28="","",E28-'2_公式與參數'!$C$14)</f>
        <v/>
      </c>
      <c r="L28" s="22">
        <f>IF($A28="","",IF(H28="","",K28*'2_公式與參數'!$C$6*'2_公式與參數'!$C$7/J28*100))</f>
        <v/>
      </c>
    </row>
    <row r="29">
      <c r="J29" s="20">
        <f>IF($A29="","",IF(H29="","",H29*1000))</f>
        <v/>
      </c>
      <c r="K29" s="21">
        <f>IF($A29="","",E29-'2_公式與參數'!$C$14)</f>
        <v/>
      </c>
      <c r="L29" s="22">
        <f>IF($A29="","",IF(H29="","",K29*'2_公式與參數'!$C$6*'2_公式與參數'!$C$7/J29*100))</f>
        <v/>
      </c>
    </row>
    <row r="30">
      <c r="J30" s="20">
        <f>IF($A30="","",IF(H30="","",H30*1000))</f>
        <v/>
      </c>
      <c r="K30" s="21">
        <f>IF($A30="","",E30-'2_公式與參數'!$C$14)</f>
        <v/>
      </c>
      <c r="L30" s="22">
        <f>IF($A30="","",IF(H30="","",K30*'2_公式與參數'!$C$6*'2_公式與參數'!$C$7/J30*100))</f>
        <v/>
      </c>
    </row>
    <row r="31">
      <c r="J31" s="20">
        <f>IF($A31="","",IF(H31="","",H31*1000))</f>
        <v/>
      </c>
      <c r="K31" s="21">
        <f>IF($A31="","",E31-'2_公式與參數'!$C$14)</f>
        <v/>
      </c>
      <c r="L31" s="22">
        <f>IF($A31="","",IF(H31="","",K31*'2_公式與參數'!$C$6*'2_公式與參數'!$C$7/J31*100))</f>
        <v/>
      </c>
    </row>
    <row r="32">
      <c r="J32" s="20">
        <f>IF($A32="","",IF(H32="","",H32*1000))</f>
        <v/>
      </c>
      <c r="K32" s="21">
        <f>IF($A32="","",E32-'2_公式與參數'!$C$14)</f>
        <v/>
      </c>
      <c r="L32" s="22">
        <f>IF($A32="","",IF(H32="","",K32*'2_公式與參數'!$C$6*'2_公式與參數'!$C$7/J32*100))</f>
        <v/>
      </c>
    </row>
    <row r="33">
      <c r="J33" s="20">
        <f>IF($A33="","",IF(H33="","",H33*1000))</f>
        <v/>
      </c>
      <c r="K33" s="21">
        <f>IF($A33="","",E33-'2_公式與參數'!$C$14)</f>
        <v/>
      </c>
      <c r="L33" s="22">
        <f>IF($A33="","",IF(H33="","",K33*'2_公式與參數'!$C$6*'2_公式與參數'!$C$7/J33*100))</f>
        <v/>
      </c>
    </row>
    <row r="34">
      <c r="J34" s="20">
        <f>IF($A34="","",IF(H34="","",H34*1000))</f>
        <v/>
      </c>
      <c r="K34" s="21">
        <f>IF($A34="","",E34-'2_公式與參數'!$C$14)</f>
        <v/>
      </c>
      <c r="L34" s="22">
        <f>IF($A34="","",IF(H34="","",K34*'2_公式與參數'!$C$6*'2_公式與參數'!$C$7/J34*100))</f>
        <v/>
      </c>
    </row>
    <row r="35">
      <c r="J35" s="20">
        <f>IF($A35="","",IF(H35="","",H35*1000))</f>
        <v/>
      </c>
      <c r="K35" s="21">
        <f>IF($A35="","",E35-'2_公式與參數'!$C$14)</f>
        <v/>
      </c>
      <c r="L35" s="22">
        <f>IF($A35="","",IF(H35="","",K35*'2_公式與參數'!$C$6*'2_公式與參數'!$C$7/J35*100))</f>
        <v/>
      </c>
    </row>
    <row r="36">
      <c r="J36" s="20">
        <f>IF($A36="","",IF(H36="","",H36*1000))</f>
        <v/>
      </c>
      <c r="K36" s="21">
        <f>IF($A36="","",E36-'2_公式與參數'!$C$14)</f>
        <v/>
      </c>
      <c r="L36" s="22">
        <f>IF($A36="","",IF(H36="","",K36*'2_公式與參數'!$C$6*'2_公式與參數'!$C$7/J36*100))</f>
        <v/>
      </c>
    </row>
    <row r="37">
      <c r="J37" s="20">
        <f>IF($A37="","",IF(H37="","",H37*1000))</f>
        <v/>
      </c>
      <c r="K37" s="21">
        <f>IF($A37="","",E37-'2_公式與參數'!$C$14)</f>
        <v/>
      </c>
      <c r="L37" s="22">
        <f>IF($A37="","",IF(H37="","",K37*'2_公式與參數'!$C$6*'2_公式與參數'!$C$7/J37*100))</f>
        <v/>
      </c>
    </row>
    <row r="38">
      <c r="J38" s="20">
        <f>IF($A38="","",IF(H38="","",H38*1000))</f>
        <v/>
      </c>
      <c r="K38" s="21">
        <f>IF($A38="","",E38-'2_公式與參數'!$C$14)</f>
        <v/>
      </c>
      <c r="L38" s="22">
        <f>IF($A38="","",IF(H38="","",K38*'2_公式與參數'!$C$6*'2_公式與參數'!$C$7/J38*100))</f>
        <v/>
      </c>
    </row>
    <row r="39">
      <c r="J39" s="20">
        <f>IF($A39="","",IF(H39="","",H39*1000))</f>
        <v/>
      </c>
      <c r="K39" s="21">
        <f>IF($A39="","",E39-'2_公式與參數'!$C$14)</f>
        <v/>
      </c>
      <c r="L39" s="22">
        <f>IF($A39="","",IF(H39="","",K39*'2_公式與參數'!$C$6*'2_公式與參數'!$C$7/J39*100))</f>
        <v/>
      </c>
    </row>
    <row r="40">
      <c r="J40" s="20">
        <f>IF($A40="","",IF(H40="","",H40*1000))</f>
        <v/>
      </c>
      <c r="K40" s="21">
        <f>IF($A40="","",E40-'2_公式與參數'!$C$14)</f>
        <v/>
      </c>
      <c r="L40" s="22">
        <f>IF($A40="","",IF(H40="","",K40*'2_公式與參數'!$C$6*'2_公式與參數'!$C$7/J40*100))</f>
        <v/>
      </c>
    </row>
    <row r="41">
      <c r="J41" s="20">
        <f>IF($A41="","",IF(H41="","",H41*1000))</f>
        <v/>
      </c>
      <c r="K41" s="21">
        <f>IF($A41="","",E41-'2_公式與參數'!$C$14)</f>
        <v/>
      </c>
      <c r="L41" s="22">
        <f>IF($A41="","",IF(H41="","",K41*'2_公式與參數'!$C$6*'2_公式與參數'!$C$7/J41*100))</f>
        <v/>
      </c>
    </row>
    <row r="42">
      <c r="J42" s="20">
        <f>IF($A42="","",IF(H42="","",H42*1000))</f>
        <v/>
      </c>
      <c r="K42" s="21">
        <f>IF($A42="","",E42-'2_公式與參數'!$C$14)</f>
        <v/>
      </c>
      <c r="L42" s="22">
        <f>IF($A42="","",IF(H42="","",K42*'2_公式與參數'!$C$6*'2_公式與參數'!$C$7/J42*100))</f>
        <v/>
      </c>
    </row>
    <row r="43">
      <c r="J43" s="20">
        <f>IF($A43="","",IF(H43="","",H43*1000))</f>
        <v/>
      </c>
      <c r="K43" s="21">
        <f>IF($A43="","",E43-'2_公式與參數'!$C$14)</f>
        <v/>
      </c>
      <c r="L43" s="22">
        <f>IF($A43="","",IF(H43="","",K43*'2_公式與參數'!$C$6*'2_公式與參數'!$C$7/J43*100))</f>
        <v/>
      </c>
    </row>
    <row r="44">
      <c r="J44" s="20">
        <f>IF($A44="","",IF(H44="","",H44*1000))</f>
        <v/>
      </c>
      <c r="K44" s="21">
        <f>IF($A44="","",E44-'2_公式與參數'!$C$14)</f>
        <v/>
      </c>
      <c r="L44" s="22">
        <f>IF($A44="","",IF(H44="","",K44*'2_公式與參數'!$C$6*'2_公式與參數'!$C$7/J44*100))</f>
        <v/>
      </c>
    </row>
    <row r="45">
      <c r="J45" s="20">
        <f>IF($A45="","",IF(H45="","",H45*1000))</f>
        <v/>
      </c>
      <c r="K45" s="21">
        <f>IF($A45="","",E45-'2_公式與參數'!$C$14)</f>
        <v/>
      </c>
      <c r="L45" s="22">
        <f>IF($A45="","",IF(H45="","",K45*'2_公式與參數'!$C$6*'2_公式與參數'!$C$7/J45*100))</f>
        <v/>
      </c>
    </row>
    <row r="46">
      <c r="J46" s="20">
        <f>IF($A46="","",IF(H46="","",H46*1000))</f>
        <v/>
      </c>
      <c r="K46" s="21">
        <f>IF($A46="","",E46-'2_公式與參數'!$C$14)</f>
        <v/>
      </c>
      <c r="L46" s="22">
        <f>IF($A46="","",IF(H46="","",K46*'2_公式與參數'!$C$6*'2_公式與參數'!$C$7/J46*100))</f>
        <v/>
      </c>
    </row>
    <row r="47">
      <c r="J47" s="20">
        <f>IF($A47="","",IF(H47="","",H47*1000))</f>
        <v/>
      </c>
      <c r="K47" s="21">
        <f>IF($A47="","",E47-'2_公式與參數'!$C$14)</f>
        <v/>
      </c>
      <c r="L47" s="22">
        <f>IF($A47="","",IF(H47="","",K47*'2_公式與參數'!$C$6*'2_公式與參數'!$C$7/J47*100))</f>
        <v/>
      </c>
    </row>
    <row r="48">
      <c r="J48" s="20">
        <f>IF($A48="","",IF(H48="","",H48*1000))</f>
        <v/>
      </c>
      <c r="K48" s="21">
        <f>IF($A48="","",E48-'2_公式與參數'!$C$14)</f>
        <v/>
      </c>
      <c r="L48" s="22">
        <f>IF($A48="","",IF(H48="","",K48*'2_公式與參數'!$C$6*'2_公式與參數'!$C$7/J48*100))</f>
        <v/>
      </c>
    </row>
    <row r="49">
      <c r="J49" s="20">
        <f>IF($A49="","",IF(H49="","",H49*1000))</f>
        <v/>
      </c>
      <c r="K49" s="21">
        <f>IF($A49="","",E49-'2_公式與參數'!$C$14)</f>
        <v/>
      </c>
      <c r="L49" s="22">
        <f>IF($A49="","",IF(H49="","",K49*'2_公式與參數'!$C$6*'2_公式與參數'!$C$7/J49*100))</f>
        <v/>
      </c>
    </row>
    <row r="50">
      <c r="J50" s="20">
        <f>IF($A50="","",IF(H50="","",H50*1000))</f>
        <v/>
      </c>
      <c r="K50" s="21">
        <f>IF($A50="","",E50-'2_公式與參數'!$C$14)</f>
        <v/>
      </c>
      <c r="L50" s="22">
        <f>IF($A50="","",IF(H50="","",K50*'2_公式與參數'!$C$6*'2_公式與參數'!$C$7/J50*100))</f>
        <v/>
      </c>
    </row>
    <row r="51">
      <c r="J51" s="20">
        <f>IF($A51="","",IF(H51="","",H51*1000))</f>
        <v/>
      </c>
      <c r="K51" s="21">
        <f>IF($A51="","",E51-'2_公式與參數'!$C$14)</f>
        <v/>
      </c>
      <c r="L51" s="22">
        <f>IF($A51="","",IF(H51="","",K51*'2_公式與參數'!$C$6*'2_公式與參數'!$C$7/J51*100))</f>
        <v/>
      </c>
    </row>
    <row r="52">
      <c r="J52" s="20">
        <f>IF($A52="","",IF(H52="","",H52*1000))</f>
        <v/>
      </c>
      <c r="K52" s="21">
        <f>IF($A52="","",E52-'2_公式與參數'!$C$14)</f>
        <v/>
      </c>
      <c r="L52" s="22">
        <f>IF($A52="","",IF(H52="","",K52*'2_公式與參數'!$C$6*'2_公式與參數'!$C$7/J52*100))</f>
        <v/>
      </c>
    </row>
    <row r="53">
      <c r="J53" s="20">
        <f>IF($A53="","",IF(H53="","",H53*1000))</f>
        <v/>
      </c>
      <c r="K53" s="21">
        <f>IF($A53="","",E53-'2_公式與參數'!$C$14)</f>
        <v/>
      </c>
      <c r="L53" s="22">
        <f>IF($A53="","",IF(H53="","",K53*'2_公式與參數'!$C$6*'2_公式與參數'!$C$7/J53*100))</f>
        <v/>
      </c>
    </row>
    <row r="54">
      <c r="J54" s="20">
        <f>IF($A54="","",IF(H54="","",H54*1000))</f>
        <v/>
      </c>
      <c r="K54" s="21">
        <f>IF($A54="","",E54-'2_公式與參數'!$C$14)</f>
        <v/>
      </c>
      <c r="L54" s="22">
        <f>IF($A54="","",IF(H54="","",K54*'2_公式與參數'!$C$6*'2_公式與參數'!$C$7/J54*100))</f>
        <v/>
      </c>
    </row>
    <row r="55">
      <c r="J55" s="20">
        <f>IF($A55="","",IF(H55="","",H55*1000))</f>
        <v/>
      </c>
      <c r="K55" s="21">
        <f>IF($A55="","",E55-'2_公式與參數'!$C$14)</f>
        <v/>
      </c>
      <c r="L55" s="22">
        <f>IF($A55="","",IF(H55="","",K55*'2_公式與參數'!$C$6*'2_公式與參數'!$C$7/J55*100))</f>
        <v/>
      </c>
    </row>
    <row r="56">
      <c r="J56" s="20">
        <f>IF($A56="","",IF(H56="","",H56*1000))</f>
        <v/>
      </c>
      <c r="K56" s="21">
        <f>IF($A56="","",E56-'2_公式與參數'!$C$14)</f>
        <v/>
      </c>
      <c r="L56" s="22">
        <f>IF($A56="","",IF(H56="","",K56*'2_公式與參數'!$C$6*'2_公式與參數'!$C$7/J56*100))</f>
        <v/>
      </c>
    </row>
    <row r="57">
      <c r="J57" s="20">
        <f>IF($A57="","",IF(H57="","",H57*1000))</f>
        <v/>
      </c>
      <c r="K57" s="21">
        <f>IF($A57="","",E57-'2_公式與參數'!$C$14)</f>
        <v/>
      </c>
      <c r="L57" s="22">
        <f>IF($A57="","",IF(H57="","",K57*'2_公式與參數'!$C$6*'2_公式與參數'!$C$7/J57*100))</f>
        <v/>
      </c>
    </row>
    <row r="58">
      <c r="J58" s="20">
        <f>IF($A58="","",IF(H58="","",H58*1000))</f>
        <v/>
      </c>
      <c r="K58" s="21">
        <f>IF($A58="","",E58-'2_公式與參數'!$C$14)</f>
        <v/>
      </c>
      <c r="L58" s="22">
        <f>IF($A58="","",IF(H58="","",K58*'2_公式與參數'!$C$6*'2_公式與參數'!$C$7/J58*100))</f>
        <v/>
      </c>
    </row>
    <row r="59">
      <c r="J59" s="20">
        <f>IF($A59="","",IF(H59="","",H59*1000))</f>
        <v/>
      </c>
      <c r="K59" s="21">
        <f>IF($A59="","",E59-'2_公式與參數'!$C$14)</f>
        <v/>
      </c>
      <c r="L59" s="22">
        <f>IF($A59="","",IF(H59="","",K59*'2_公式與參數'!$C$6*'2_公式與參數'!$C$7/J59*100))</f>
        <v/>
      </c>
    </row>
    <row r="60">
      <c r="J60" s="20">
        <f>IF($A60="","",IF(H60="","",H60*1000))</f>
        <v/>
      </c>
      <c r="K60" s="21">
        <f>IF($A60="","",E60-'2_公式與參數'!$C$14)</f>
        <v/>
      </c>
      <c r="L60" s="22">
        <f>IF($A60="","",IF(H60="","",K60*'2_公式與參數'!$C$6*'2_公式與參數'!$C$7/J60*100))</f>
        <v/>
      </c>
    </row>
    <row r="61">
      <c r="J61" s="20">
        <f>IF($A61="","",IF(H61="","",H61*1000))</f>
        <v/>
      </c>
      <c r="K61" s="21">
        <f>IF($A61="","",E61-'2_公式與參數'!$C$14)</f>
        <v/>
      </c>
      <c r="L61" s="22">
        <f>IF($A61="","",IF(H61="","",K61*'2_公式與參數'!$C$6*'2_公式與參數'!$C$7/J61*100))</f>
        <v/>
      </c>
    </row>
    <row r="62">
      <c r="J62" s="20">
        <f>IF($A62="","",IF(H62="","",H62*1000))</f>
        <v/>
      </c>
      <c r="K62" s="21">
        <f>IF($A62="","",E62-'2_公式與參數'!$C$14)</f>
        <v/>
      </c>
      <c r="L62" s="22">
        <f>IF($A62="","",IF(H62="","",K62*'2_公式與參數'!$C$6*'2_公式與參數'!$C$7/J62*100))</f>
        <v/>
      </c>
    </row>
    <row r="63">
      <c r="J63" s="20">
        <f>IF($A63="","",IF(H63="","",H63*1000))</f>
        <v/>
      </c>
      <c r="K63" s="21">
        <f>IF($A63="","",E63-'2_公式與參數'!$C$14)</f>
        <v/>
      </c>
      <c r="L63" s="22">
        <f>IF($A63="","",IF(H63="","",K63*'2_公式與參數'!$C$6*'2_公式與參數'!$C$7/J63*100))</f>
        <v/>
      </c>
    </row>
    <row r="64">
      <c r="J64" s="20">
        <f>IF($A64="","",IF(H64="","",H64*1000))</f>
        <v/>
      </c>
      <c r="K64" s="21">
        <f>IF($A64="","",E64-'2_公式與參數'!$C$14)</f>
        <v/>
      </c>
      <c r="L64" s="22">
        <f>IF($A64="","",IF(H64="","",K64*'2_公式與參數'!$C$6*'2_公式與參數'!$C$7/J64*100))</f>
        <v/>
      </c>
    </row>
    <row r="65">
      <c r="J65" s="20">
        <f>IF($A65="","",IF(H65="","",H65*1000))</f>
        <v/>
      </c>
      <c r="K65" s="21">
        <f>IF($A65="","",E65-'2_公式與參數'!$C$14)</f>
        <v/>
      </c>
      <c r="L65" s="22">
        <f>IF($A65="","",IF(H65="","",K65*'2_公式與參數'!$C$6*'2_公式與參數'!$C$7/J65*100))</f>
        <v/>
      </c>
    </row>
    <row r="66">
      <c r="J66" s="20">
        <f>IF($A66="","",IF(H66="","",H66*1000))</f>
        <v/>
      </c>
      <c r="K66" s="21">
        <f>IF($A66="","",E66-'2_公式與參數'!$C$14)</f>
        <v/>
      </c>
      <c r="L66" s="22">
        <f>IF($A66="","",IF(H66="","",K66*'2_公式與參數'!$C$6*'2_公式與參數'!$C$7/J66*100))</f>
        <v/>
      </c>
    </row>
    <row r="67">
      <c r="J67" s="20">
        <f>IF($A67="","",IF(H67="","",H67*1000))</f>
        <v/>
      </c>
      <c r="K67" s="21">
        <f>IF($A67="","",E67-'2_公式與參數'!$C$14)</f>
        <v/>
      </c>
      <c r="L67" s="22">
        <f>IF($A67="","",IF(H67="","",K67*'2_公式與參數'!$C$6*'2_公式與參數'!$C$7/J67*100))</f>
        <v/>
      </c>
    </row>
    <row r="68">
      <c r="J68" s="20">
        <f>IF($A68="","",IF(H68="","",H68*1000))</f>
        <v/>
      </c>
      <c r="K68" s="21">
        <f>IF($A68="","",E68-'2_公式與參數'!$C$14)</f>
        <v/>
      </c>
      <c r="L68" s="22">
        <f>IF($A68="","",IF(H68="","",K68*'2_公式與參數'!$C$6*'2_公式與參數'!$C$7/J68*100))</f>
        <v/>
      </c>
    </row>
    <row r="69">
      <c r="J69" s="20">
        <f>IF($A69="","",IF(H69="","",H69*1000))</f>
        <v/>
      </c>
      <c r="K69" s="21">
        <f>IF($A69="","",E69-'2_公式與參數'!$C$14)</f>
        <v/>
      </c>
      <c r="L69" s="22">
        <f>IF($A69="","",IF(H69="","",K69*'2_公式與參數'!$C$6*'2_公式與參數'!$C$7/J69*100))</f>
        <v/>
      </c>
    </row>
    <row r="70">
      <c r="J70" s="20">
        <f>IF($A70="","",IF(H70="","",H70*1000))</f>
        <v/>
      </c>
      <c r="K70" s="21">
        <f>IF($A70="","",E70-'2_公式與參數'!$C$14)</f>
        <v/>
      </c>
      <c r="L70" s="22">
        <f>IF($A70="","",IF(H70="","",K70*'2_公式與參數'!$C$6*'2_公式與參數'!$C$7/J70*100))</f>
        <v/>
      </c>
    </row>
    <row r="71">
      <c r="J71" s="20">
        <f>IF($A71="","",IF(H71="","",H71*1000))</f>
        <v/>
      </c>
      <c r="K71" s="21">
        <f>IF($A71="","",E71-'2_公式與參數'!$C$14)</f>
        <v/>
      </c>
      <c r="L71" s="22">
        <f>IF($A71="","",IF(H71="","",K71*'2_公式與參數'!$C$6*'2_公式與參數'!$C$7/J71*100))</f>
        <v/>
      </c>
    </row>
    <row r="72">
      <c r="J72" s="20">
        <f>IF($A72="","",IF(H72="","",H72*1000))</f>
        <v/>
      </c>
      <c r="K72" s="21">
        <f>IF($A72="","",E72-'2_公式與參數'!$C$14)</f>
        <v/>
      </c>
      <c r="L72" s="22">
        <f>IF($A72="","",IF(H72="","",K72*'2_公式與參數'!$C$6*'2_公式與參數'!$C$7/J72*100))</f>
        <v/>
      </c>
    </row>
    <row r="73">
      <c r="J73" s="20">
        <f>IF($A73="","",IF(H73="","",H73*1000))</f>
        <v/>
      </c>
      <c r="K73" s="21">
        <f>IF($A73="","",E73-'2_公式與參數'!$C$14)</f>
        <v/>
      </c>
      <c r="L73" s="22">
        <f>IF($A73="","",IF(H73="","",K73*'2_公式與參數'!$C$6*'2_公式與參數'!$C$7/J73*100))</f>
        <v/>
      </c>
    </row>
    <row r="74">
      <c r="J74" s="20">
        <f>IF($A74="","",IF(H74="","",H74*1000))</f>
        <v/>
      </c>
      <c r="K74" s="21">
        <f>IF($A74="","",E74-'2_公式與參數'!$C$14)</f>
        <v/>
      </c>
      <c r="L74" s="22">
        <f>IF($A74="","",IF(H74="","",K74*'2_公式與參數'!$C$6*'2_公式與參數'!$C$7/J74*100))</f>
        <v/>
      </c>
    </row>
    <row r="75">
      <c r="J75" s="20">
        <f>IF($A75="","",IF(H75="","",H75*1000))</f>
        <v/>
      </c>
      <c r="K75" s="21">
        <f>IF($A75="","",E75-'2_公式與參數'!$C$14)</f>
        <v/>
      </c>
      <c r="L75" s="22">
        <f>IF($A75="","",IF(H75="","",K75*'2_公式與參數'!$C$6*'2_公式與參數'!$C$7/J75*100))</f>
        <v/>
      </c>
    </row>
    <row r="76">
      <c r="J76" s="20">
        <f>IF($A76="","",IF(H76="","",H76*1000))</f>
        <v/>
      </c>
      <c r="K76" s="21">
        <f>IF($A76="","",E76-'2_公式與參數'!$C$14)</f>
        <v/>
      </c>
      <c r="L76" s="22">
        <f>IF($A76="","",IF(H76="","",K76*'2_公式與參數'!$C$6*'2_公式與參數'!$C$7/J76*100))</f>
        <v/>
      </c>
    </row>
    <row r="77">
      <c r="J77" s="20">
        <f>IF($A77="","",IF(H77="","",H77*1000))</f>
        <v/>
      </c>
      <c r="K77" s="21">
        <f>IF($A77="","",E77-'2_公式與參數'!$C$14)</f>
        <v/>
      </c>
      <c r="L77" s="22">
        <f>IF($A77="","",IF(H77="","",K77*'2_公式與參數'!$C$6*'2_公式與參數'!$C$7/J77*100))</f>
        <v/>
      </c>
    </row>
    <row r="78">
      <c r="J78" s="20">
        <f>IF($A78="","",IF(H78="","",H78*1000))</f>
        <v/>
      </c>
      <c r="K78" s="21">
        <f>IF($A78="","",E78-'2_公式與參數'!$C$14)</f>
        <v/>
      </c>
      <c r="L78" s="22">
        <f>IF($A78="","",IF(H78="","",K78*'2_公式與參數'!$C$6*'2_公式與參數'!$C$7/J78*100))</f>
        <v/>
      </c>
    </row>
    <row r="79">
      <c r="J79" s="20">
        <f>IF($A79="","",IF(H79="","",H79*1000))</f>
        <v/>
      </c>
      <c r="K79" s="21">
        <f>IF($A79="","",E79-'2_公式與參數'!$C$14)</f>
        <v/>
      </c>
      <c r="L79" s="22">
        <f>IF($A79="","",IF(H79="","",K79*'2_公式與參數'!$C$6*'2_公式與參數'!$C$7/J79*100))</f>
        <v/>
      </c>
    </row>
    <row r="80">
      <c r="J80" s="20">
        <f>IF($A80="","",IF(H80="","",H80*1000))</f>
        <v/>
      </c>
      <c r="K80" s="21">
        <f>IF($A80="","",E80-'2_公式與參數'!$C$14)</f>
        <v/>
      </c>
      <c r="L80" s="22">
        <f>IF($A80="","",IF(H80="","",K80*'2_公式與參數'!$C$6*'2_公式與參數'!$C$7/J80*100))</f>
        <v/>
      </c>
    </row>
    <row r="81">
      <c r="J81" s="20">
        <f>IF($A81="","",IF(H81="","",H81*1000))</f>
        <v/>
      </c>
      <c r="K81" s="21">
        <f>IF($A81="","",E81-'2_公式與參數'!$C$14)</f>
        <v/>
      </c>
      <c r="L81" s="22">
        <f>IF($A81="","",IF(H81="","",K81*'2_公式與參數'!$C$6*'2_公式與參數'!$C$7/J81*100))</f>
        <v/>
      </c>
    </row>
    <row r="82">
      <c r="J82" s="20">
        <f>IF($A82="","",IF(H82="","",H82*1000))</f>
        <v/>
      </c>
      <c r="K82" s="21">
        <f>IF($A82="","",E82-'2_公式與參數'!$C$14)</f>
        <v/>
      </c>
      <c r="L82" s="22">
        <f>IF($A82="","",IF(H82="","",K82*'2_公式與參數'!$C$6*'2_公式與參數'!$C$7/J82*100))</f>
        <v/>
      </c>
    </row>
    <row r="83">
      <c r="J83" s="20">
        <f>IF($A83="","",IF(H83="","",H83*1000))</f>
        <v/>
      </c>
      <c r="K83" s="21">
        <f>IF($A83="","",E83-'2_公式與參數'!$C$14)</f>
        <v/>
      </c>
      <c r="L83" s="22">
        <f>IF($A83="","",IF(H83="","",K83*'2_公式與參數'!$C$6*'2_公式與參數'!$C$7/J83*100))</f>
        <v/>
      </c>
    </row>
    <row r="84">
      <c r="J84" s="20">
        <f>IF($A84="","",IF(H84="","",H84*1000))</f>
        <v/>
      </c>
      <c r="K84" s="21">
        <f>IF($A84="","",E84-'2_公式與參數'!$C$14)</f>
        <v/>
      </c>
      <c r="L84" s="22">
        <f>IF($A84="","",IF(H84="","",K84*'2_公式與參數'!$C$6*'2_公式與參數'!$C$7/J84*100))</f>
        <v/>
      </c>
    </row>
    <row r="85">
      <c r="J85" s="20">
        <f>IF($A85="","",IF(H85="","",H85*1000))</f>
        <v/>
      </c>
      <c r="K85" s="21">
        <f>IF($A85="","",E85-'2_公式與參數'!$C$14)</f>
        <v/>
      </c>
      <c r="L85" s="22">
        <f>IF($A85="","",IF(H85="","",K85*'2_公式與參數'!$C$6*'2_公式與參數'!$C$7/J85*100))</f>
        <v/>
      </c>
    </row>
    <row r="86">
      <c r="J86" s="20">
        <f>IF($A86="","",IF(H86="","",H86*1000))</f>
        <v/>
      </c>
      <c r="K86" s="21">
        <f>IF($A86="","",E86-'2_公式與參數'!$C$14)</f>
        <v/>
      </c>
      <c r="L86" s="22">
        <f>IF($A86="","",IF(H86="","",K86*'2_公式與參數'!$C$6*'2_公式與參數'!$C$7/J86*100))</f>
        <v/>
      </c>
    </row>
    <row r="87">
      <c r="J87" s="20">
        <f>IF($A87="","",IF(H87="","",H87*1000))</f>
        <v/>
      </c>
      <c r="K87" s="21">
        <f>IF($A87="","",E87-'2_公式與參數'!$C$14)</f>
        <v/>
      </c>
      <c r="L87" s="22">
        <f>IF($A87="","",IF(H87="","",K87*'2_公式與參數'!$C$6*'2_公式與參數'!$C$7/J87*100))</f>
        <v/>
      </c>
    </row>
    <row r="88">
      <c r="J88" s="20">
        <f>IF($A88="","",IF(H88="","",H88*1000))</f>
        <v/>
      </c>
      <c r="K88" s="21">
        <f>IF($A88="","",E88-'2_公式與參數'!$C$14)</f>
        <v/>
      </c>
      <c r="L88" s="22">
        <f>IF($A88="","",IF(H88="","",K88*'2_公式與參數'!$C$6*'2_公式與參數'!$C$7/J88*100))</f>
        <v/>
      </c>
    </row>
    <row r="89">
      <c r="J89" s="20">
        <f>IF($A89="","",IF(H89="","",H89*1000))</f>
        <v/>
      </c>
      <c r="K89" s="21">
        <f>IF($A89="","",E89-'2_公式與參數'!$C$14)</f>
        <v/>
      </c>
      <c r="L89" s="22">
        <f>IF($A89="","",IF(H89="","",K89*'2_公式與參數'!$C$6*'2_公式與參數'!$C$7/J89*100))</f>
        <v/>
      </c>
    </row>
    <row r="90">
      <c r="J90" s="20">
        <f>IF($A90="","",IF(H90="","",H90*1000))</f>
        <v/>
      </c>
      <c r="K90" s="21">
        <f>IF($A90="","",E90-'2_公式與參數'!$C$14)</f>
        <v/>
      </c>
      <c r="L90" s="22">
        <f>IF($A90="","",IF(H90="","",K90*'2_公式與參數'!$C$6*'2_公式與參數'!$C$7/J90*100))</f>
        <v/>
      </c>
    </row>
    <row r="91">
      <c r="J91" s="20">
        <f>IF($A91="","",IF(H91="","",H91*1000))</f>
        <v/>
      </c>
      <c r="K91" s="21">
        <f>IF($A91="","",E91-'2_公式與參數'!$C$14)</f>
        <v/>
      </c>
      <c r="L91" s="22">
        <f>IF($A91="","",IF(H91="","",K91*'2_公式與參數'!$C$6*'2_公式與參數'!$C$7/J91*100))</f>
        <v/>
      </c>
    </row>
    <row r="92">
      <c r="J92" s="20">
        <f>IF($A92="","",IF(H92="","",H92*1000))</f>
        <v/>
      </c>
      <c r="K92" s="21">
        <f>IF($A92="","",E92-'2_公式與參數'!$C$14)</f>
        <v/>
      </c>
      <c r="L92" s="22">
        <f>IF($A92="","",IF(H92="","",K92*'2_公式與參數'!$C$6*'2_公式與參數'!$C$7/J92*100))</f>
        <v/>
      </c>
    </row>
    <row r="93">
      <c r="J93" s="20">
        <f>IF($A93="","",IF(H93="","",H93*1000))</f>
        <v/>
      </c>
      <c r="K93" s="21">
        <f>IF($A93="","",E93-'2_公式與參數'!$C$14)</f>
        <v/>
      </c>
      <c r="L93" s="22">
        <f>IF($A93="","",IF(H93="","",K93*'2_公式與參數'!$C$6*'2_公式與參數'!$C$7/J93*100))</f>
        <v/>
      </c>
    </row>
    <row r="94">
      <c r="J94" s="20">
        <f>IF($A94="","",IF(H94="","",H94*1000))</f>
        <v/>
      </c>
      <c r="K94" s="21">
        <f>IF($A94="","",E94-'2_公式與參數'!$C$14)</f>
        <v/>
      </c>
      <c r="L94" s="22">
        <f>IF($A94="","",IF(H94="","",K94*'2_公式與參數'!$C$6*'2_公式與參數'!$C$7/J94*100))</f>
        <v/>
      </c>
    </row>
    <row r="95">
      <c r="J95" s="20">
        <f>IF($A95="","",IF(H95="","",H95*1000))</f>
        <v/>
      </c>
      <c r="K95" s="21">
        <f>IF($A95="","",E95-'2_公式與參數'!$C$14)</f>
        <v/>
      </c>
      <c r="L95" s="22">
        <f>IF($A95="","",IF(H95="","",K95*'2_公式與參數'!$C$6*'2_公式與參數'!$C$7/J95*100))</f>
        <v/>
      </c>
    </row>
    <row r="96">
      <c r="J96" s="20">
        <f>IF($A96="","",IF(H96="","",H96*1000))</f>
        <v/>
      </c>
      <c r="K96" s="21">
        <f>IF($A96="","",E96-'2_公式與參數'!$C$14)</f>
        <v/>
      </c>
      <c r="L96" s="22">
        <f>IF($A96="","",IF(H96="","",K96*'2_公式與參數'!$C$6*'2_公式與參數'!$C$7/J96*100))</f>
        <v/>
      </c>
    </row>
    <row r="97">
      <c r="J97" s="20">
        <f>IF($A97="","",IF(H97="","",H97*1000))</f>
        <v/>
      </c>
      <c r="K97" s="21">
        <f>IF($A97="","",E97-'2_公式與參數'!$C$14)</f>
        <v/>
      </c>
      <c r="L97" s="22">
        <f>IF($A97="","",IF(H97="","",K97*'2_公式與參數'!$C$6*'2_公式與參數'!$C$7/J97*100))</f>
        <v/>
      </c>
    </row>
    <row r="98">
      <c r="J98" s="20">
        <f>IF($A98="","",IF(H98="","",H98*1000))</f>
        <v/>
      </c>
      <c r="K98" s="21">
        <f>IF($A98="","",E98-'2_公式與參數'!$C$14)</f>
        <v/>
      </c>
      <c r="L98" s="22">
        <f>IF($A98="","",IF(H98="","",K98*'2_公式與參數'!$C$6*'2_公式與參數'!$C$7/J98*100))</f>
        <v/>
      </c>
    </row>
    <row r="99">
      <c r="J99" s="20">
        <f>IF($A99="","",IF(H99="","",H99*1000))</f>
        <v/>
      </c>
      <c r="K99" s="21">
        <f>IF($A99="","",E99-'2_公式與參數'!$C$14)</f>
        <v/>
      </c>
      <c r="L99" s="22">
        <f>IF($A99="","",IF(H99="","",K99*'2_公式與參數'!$C$6*'2_公式與參數'!$C$7/J99*100))</f>
        <v/>
      </c>
    </row>
    <row r="100">
      <c r="J100" s="20">
        <f>IF($A100="","",IF(H100="","",H100*1000))</f>
        <v/>
      </c>
      <c r="K100" s="21">
        <f>IF($A100="","",E100-'2_公式與參數'!$C$14)</f>
        <v/>
      </c>
      <c r="L100" s="22">
        <f>IF($A100="","",IF(H100="","",K100*'2_公式與參數'!$C$6*'2_公式與參數'!$C$7/J100*100))</f>
        <v/>
      </c>
    </row>
    <row r="101">
      <c r="J101" s="20">
        <f>IF($A101="","",IF(H101="","",H101*1000))</f>
        <v/>
      </c>
      <c r="K101" s="21">
        <f>IF($A101="","",E101-'2_公式與參數'!$C$14)</f>
        <v/>
      </c>
      <c r="L101" s="22">
        <f>IF($A101="","",IF(H101="","",K101*'2_公式與參數'!$C$6*'2_公式與參數'!$C$7/J101*100))</f>
        <v/>
      </c>
    </row>
    <row r="102">
      <c r="J102" s="20">
        <f>IF($A102="","",IF(H102="","",H102*1000))</f>
        <v/>
      </c>
      <c r="K102" s="21">
        <f>IF($A102="","",E102-'2_公式與參數'!$C$14)</f>
        <v/>
      </c>
      <c r="L102" s="22">
        <f>IF($A102="","",IF(H102="","",K102*'2_公式與參數'!$C$6*'2_公式與參數'!$C$7/J102*100))</f>
        <v/>
      </c>
    </row>
    <row r="103">
      <c r="J103" s="20">
        <f>IF($A103="","",IF(H103="","",H103*1000))</f>
        <v/>
      </c>
      <c r="K103" s="21">
        <f>IF($A103="","",E103-'2_公式與參數'!$C$14)</f>
        <v/>
      </c>
      <c r="L103" s="22">
        <f>IF($A103="","",IF(H103="","",K103*'2_公式與參數'!$C$6*'2_公式與參數'!$C$7/J103*100))</f>
        <v/>
      </c>
    </row>
    <row r="104">
      <c r="J104" s="20">
        <f>IF($A104="","",IF(H104="","",H104*1000))</f>
        <v/>
      </c>
      <c r="K104" s="21">
        <f>IF($A104="","",E104-'2_公式與參數'!$C$14)</f>
        <v/>
      </c>
      <c r="L104" s="22">
        <f>IF($A104="","",IF(H104="","",K104*'2_公式與參數'!$C$6*'2_公式與參數'!$C$7/J104*100))</f>
        <v/>
      </c>
    </row>
    <row r="105">
      <c r="J105" s="20">
        <f>IF($A105="","",IF(H105="","",H105*1000))</f>
        <v/>
      </c>
      <c r="K105" s="21">
        <f>IF($A105="","",E105-'2_公式與參數'!$C$14)</f>
        <v/>
      </c>
      <c r="L105" s="22">
        <f>IF($A105="","",IF(H105="","",K105*'2_公式與參數'!$C$6*'2_公式與參數'!$C$7/J105*100))</f>
        <v/>
      </c>
    </row>
    <row r="106">
      <c r="J106" s="20">
        <f>IF($A106="","",IF(H106="","",H106*1000))</f>
        <v/>
      </c>
      <c r="K106" s="21">
        <f>IF($A106="","",E106-'2_公式與參數'!$C$14)</f>
        <v/>
      </c>
      <c r="L106" s="22">
        <f>IF($A106="","",IF(H106="","",K106*'2_公式與參數'!$C$6*'2_公式與參數'!$C$7/J106*100))</f>
        <v/>
      </c>
    </row>
    <row r="107">
      <c r="J107" s="20">
        <f>IF($A107="","",IF(H107="","",H107*1000))</f>
        <v/>
      </c>
      <c r="K107" s="21">
        <f>IF($A107="","",E107-'2_公式與參數'!$C$14)</f>
        <v/>
      </c>
      <c r="L107" s="22">
        <f>IF($A107="","",IF(H107="","",K107*'2_公式與參數'!$C$6*'2_公式與參數'!$C$7/J107*100))</f>
        <v/>
      </c>
    </row>
    <row r="108">
      <c r="J108" s="20">
        <f>IF($A108="","",IF(H108="","",H108*1000))</f>
        <v/>
      </c>
      <c r="K108" s="21">
        <f>IF($A108="","",E108-'2_公式與參數'!$C$14)</f>
        <v/>
      </c>
      <c r="L108" s="22">
        <f>IF($A108="","",IF(H108="","",K108*'2_公式與參數'!$C$6*'2_公式與參數'!$C$7/J108*100))</f>
        <v/>
      </c>
    </row>
    <row r="109">
      <c r="J109" s="20">
        <f>IF($A109="","",IF(H109="","",H109*1000))</f>
        <v/>
      </c>
      <c r="K109" s="21">
        <f>IF($A109="","",E109-'2_公式與參數'!$C$14)</f>
        <v/>
      </c>
      <c r="L109" s="22">
        <f>IF($A109="","",IF(H109="","",K109*'2_公式與參數'!$C$6*'2_公式與參數'!$C$7/J109*100))</f>
        <v/>
      </c>
    </row>
    <row r="110">
      <c r="J110" s="20">
        <f>IF($A110="","",IF(H110="","",H110*1000))</f>
        <v/>
      </c>
      <c r="K110" s="21">
        <f>IF($A110="","",E110-'2_公式與參數'!$C$14)</f>
        <v/>
      </c>
      <c r="L110" s="22">
        <f>IF($A110="","",IF(H110="","",K110*'2_公式與參數'!$C$6*'2_公式與參數'!$C$7/J110*100))</f>
        <v/>
      </c>
    </row>
    <row r="111">
      <c r="J111" s="20">
        <f>IF($A111="","",IF(H111="","",H111*1000))</f>
        <v/>
      </c>
      <c r="K111" s="21">
        <f>IF($A111="","",E111-'2_公式與參數'!$C$14)</f>
        <v/>
      </c>
      <c r="L111" s="22">
        <f>IF($A111="","",IF(H111="","",K111*'2_公式與參數'!$C$6*'2_公式與參數'!$C$7/J111*100))</f>
        <v/>
      </c>
    </row>
    <row r="112">
      <c r="J112" s="20">
        <f>IF($A112="","",IF(H112="","",H112*1000))</f>
        <v/>
      </c>
      <c r="K112" s="21">
        <f>IF($A112="","",E112-'2_公式與參數'!$C$14)</f>
        <v/>
      </c>
      <c r="L112" s="22">
        <f>IF($A112="","",IF(H112="","",K112*'2_公式與參數'!$C$6*'2_公式與參數'!$C$7/J112*100))</f>
        <v/>
      </c>
    </row>
    <row r="113">
      <c r="J113" s="20">
        <f>IF($A113="","",IF(H113="","",H113*1000))</f>
        <v/>
      </c>
      <c r="K113" s="21">
        <f>IF($A113="","",E113-'2_公式與參數'!$C$14)</f>
        <v/>
      </c>
      <c r="L113" s="22">
        <f>IF($A113="","",IF(H113="","",K113*'2_公式與參數'!$C$6*'2_公式與參數'!$C$7/J113*100))</f>
        <v/>
      </c>
    </row>
    <row r="114">
      <c r="J114" s="20">
        <f>IF($A114="","",IF(H114="","",H114*1000))</f>
        <v/>
      </c>
      <c r="K114" s="21">
        <f>IF($A114="","",E114-'2_公式與參數'!$C$14)</f>
        <v/>
      </c>
      <c r="L114" s="22">
        <f>IF($A114="","",IF(H114="","",K114*'2_公式與參數'!$C$6*'2_公式與參數'!$C$7/J114*100))</f>
        <v/>
      </c>
    </row>
    <row r="115">
      <c r="J115" s="20">
        <f>IF($A115="","",IF(H115="","",H115*1000))</f>
        <v/>
      </c>
      <c r="K115" s="21">
        <f>IF($A115="","",E115-'2_公式與參數'!$C$14)</f>
        <v/>
      </c>
      <c r="L115" s="22">
        <f>IF($A115="","",IF(H115="","",K115*'2_公式與參數'!$C$6*'2_公式與參數'!$C$7/J115*100))</f>
        <v/>
      </c>
    </row>
    <row r="116">
      <c r="J116" s="20">
        <f>IF($A116="","",IF(H116="","",H116*1000))</f>
        <v/>
      </c>
      <c r="K116" s="21">
        <f>IF($A116="","",E116-'2_公式與參數'!$C$14)</f>
        <v/>
      </c>
      <c r="L116" s="22">
        <f>IF($A116="","",IF(H116="","",K116*'2_公式與參數'!$C$6*'2_公式與參數'!$C$7/J116*100))</f>
        <v/>
      </c>
    </row>
    <row r="117">
      <c r="J117" s="20">
        <f>IF($A117="","",IF(H117="","",H117*1000))</f>
        <v/>
      </c>
      <c r="K117" s="21">
        <f>IF($A117="","",E117-'2_公式與參數'!$C$14)</f>
        <v/>
      </c>
      <c r="L117" s="22">
        <f>IF($A117="","",IF(H117="","",K117*'2_公式與參數'!$C$6*'2_公式與參數'!$C$7/J117*100))</f>
        <v/>
      </c>
    </row>
    <row r="118">
      <c r="J118" s="20">
        <f>IF($A118="","",IF(H118="","",H118*1000))</f>
        <v/>
      </c>
      <c r="K118" s="21">
        <f>IF($A118="","",E118-'2_公式與參數'!$C$14)</f>
        <v/>
      </c>
      <c r="L118" s="22">
        <f>IF($A118="","",IF(H118="","",K118*'2_公式與參數'!$C$6*'2_公式與參數'!$C$7/J118*100))</f>
        <v/>
      </c>
    </row>
    <row r="119">
      <c r="J119" s="20">
        <f>IF($A119="","",IF(H119="","",H119*1000))</f>
        <v/>
      </c>
      <c r="K119" s="21">
        <f>IF($A119="","",E119-'2_公式與參數'!$C$14)</f>
        <v/>
      </c>
      <c r="L119" s="22">
        <f>IF($A119="","",IF(H119="","",K119*'2_公式與參數'!$C$6*'2_公式與參數'!$C$7/J119*100))</f>
        <v/>
      </c>
    </row>
    <row r="120">
      <c r="J120" s="20">
        <f>IF($A120="","",IF(H120="","",H120*1000))</f>
        <v/>
      </c>
      <c r="K120" s="21">
        <f>IF($A120="","",E120-'2_公式與參數'!$C$14)</f>
        <v/>
      </c>
      <c r="L120" s="22">
        <f>IF($A120="","",IF(H120="","",K120*'2_公式與參數'!$C$6*'2_公式與參數'!$C$7/J120*100))</f>
        <v/>
      </c>
    </row>
    <row r="121">
      <c r="J121" s="20">
        <f>IF($A121="","",IF(H121="","",H121*1000))</f>
        <v/>
      </c>
      <c r="K121" s="21">
        <f>IF($A121="","",E121-'2_公式與參數'!$C$14)</f>
        <v/>
      </c>
      <c r="L121" s="22">
        <f>IF($A121="","",IF(H121="","",K121*'2_公式與參數'!$C$6*'2_公式與參數'!$C$7/J121*100))</f>
        <v/>
      </c>
    </row>
    <row r="122">
      <c r="J122" s="20">
        <f>IF($A122="","",IF(H122="","",H122*1000))</f>
        <v/>
      </c>
      <c r="K122" s="21">
        <f>IF($A122="","",E122-'2_公式與參數'!$C$14)</f>
        <v/>
      </c>
      <c r="L122" s="22">
        <f>IF($A122="","",IF(H122="","",K122*'2_公式與參數'!$C$6*'2_公式與參數'!$C$7/J122*100))</f>
        <v/>
      </c>
    </row>
    <row r="123">
      <c r="J123" s="20">
        <f>IF($A123="","",IF(H123="","",H123*1000))</f>
        <v/>
      </c>
      <c r="K123" s="21">
        <f>IF($A123="","",E123-'2_公式與參數'!$C$14)</f>
        <v/>
      </c>
      <c r="L123" s="22">
        <f>IF($A123="","",IF(H123="","",K123*'2_公式與參數'!$C$6*'2_公式與參數'!$C$7/J123*100))</f>
        <v/>
      </c>
    </row>
    <row r="124">
      <c r="J124" s="20">
        <f>IF($A124="","",IF(H124="","",H124*1000))</f>
        <v/>
      </c>
      <c r="K124" s="21">
        <f>IF($A124="","",E124-'2_公式與參數'!$C$14)</f>
        <v/>
      </c>
      <c r="L124" s="22">
        <f>IF($A124="","",IF(H124="","",K124*'2_公式與參數'!$C$6*'2_公式與參數'!$C$7/J124*100))</f>
        <v/>
      </c>
    </row>
    <row r="125">
      <c r="J125" s="20">
        <f>IF($A125="","",IF(H125="","",H125*1000))</f>
        <v/>
      </c>
      <c r="K125" s="21">
        <f>IF($A125="","",E125-'2_公式與參數'!$C$14)</f>
        <v/>
      </c>
      <c r="L125" s="22">
        <f>IF($A125="","",IF(H125="","",K125*'2_公式與參數'!$C$6*'2_公式與參數'!$C$7/J125*100))</f>
        <v/>
      </c>
    </row>
    <row r="126">
      <c r="J126" s="20">
        <f>IF($A126="","",IF(H126="","",H126*1000))</f>
        <v/>
      </c>
      <c r="K126" s="21">
        <f>IF($A126="","",E126-'2_公式與參數'!$C$14)</f>
        <v/>
      </c>
      <c r="L126" s="22">
        <f>IF($A126="","",IF(H126="","",K126*'2_公式與參數'!$C$6*'2_公式與參數'!$C$7/J126*100))</f>
        <v/>
      </c>
    </row>
    <row r="127">
      <c r="J127" s="20">
        <f>IF($A127="","",IF(H127="","",H127*1000))</f>
        <v/>
      </c>
      <c r="K127" s="21">
        <f>IF($A127="","",E127-'2_公式與參數'!$C$14)</f>
        <v/>
      </c>
      <c r="L127" s="22">
        <f>IF($A127="","",IF(H127="","",K127*'2_公式與參數'!$C$6*'2_公式與參數'!$C$7/J127*100))</f>
        <v/>
      </c>
    </row>
    <row r="128">
      <c r="J128" s="20">
        <f>IF($A128="","",IF(H128="","",H128*1000))</f>
        <v/>
      </c>
      <c r="K128" s="21">
        <f>IF($A128="","",E128-'2_公式與參數'!$C$14)</f>
        <v/>
      </c>
      <c r="L128" s="22">
        <f>IF($A128="","",IF(H128="","",K128*'2_公式與參數'!$C$6*'2_公式與參數'!$C$7/J128*100))</f>
        <v/>
      </c>
    </row>
    <row r="129">
      <c r="J129" s="20">
        <f>IF($A129="","",IF(H129="","",H129*1000))</f>
        <v/>
      </c>
      <c r="K129" s="21">
        <f>IF($A129="","",E129-'2_公式與參數'!$C$14)</f>
        <v/>
      </c>
      <c r="L129" s="22">
        <f>IF($A129="","",IF(H129="","",K129*'2_公式與參數'!$C$6*'2_公式與參數'!$C$7/J129*100))</f>
        <v/>
      </c>
    </row>
    <row r="130">
      <c r="J130" s="20">
        <f>IF($A130="","",IF(H130="","",H130*1000))</f>
        <v/>
      </c>
      <c r="K130" s="21">
        <f>IF($A130="","",E130-'2_公式與參數'!$C$14)</f>
        <v/>
      </c>
      <c r="L130" s="22">
        <f>IF($A130="","",IF(H130="","",K130*'2_公式與參數'!$C$6*'2_公式與參數'!$C$7/J130*100))</f>
        <v/>
      </c>
    </row>
    <row r="131">
      <c r="J131" s="20">
        <f>IF($A131="","",IF(H131="","",H131*1000))</f>
        <v/>
      </c>
      <c r="K131" s="21">
        <f>IF($A131="","",E131-'2_公式與參數'!$C$14)</f>
        <v/>
      </c>
      <c r="L131" s="22">
        <f>IF($A131="","",IF(H131="","",K131*'2_公式與參數'!$C$6*'2_公式與參數'!$C$7/J131*100))</f>
        <v/>
      </c>
    </row>
    <row r="132">
      <c r="J132" s="20">
        <f>IF($A132="","",IF(H132="","",H132*1000))</f>
        <v/>
      </c>
      <c r="K132" s="21">
        <f>IF($A132="","",E132-'2_公式與參數'!$C$14)</f>
        <v/>
      </c>
      <c r="L132" s="22">
        <f>IF($A132="","",IF(H132="","",K132*'2_公式與參數'!$C$6*'2_公式與參數'!$C$7/J132*100))</f>
        <v/>
      </c>
    </row>
    <row r="133">
      <c r="J133" s="20">
        <f>IF($A133="","",IF(H133="","",H133*1000))</f>
        <v/>
      </c>
      <c r="K133" s="21">
        <f>IF($A133="","",E133-'2_公式與參數'!$C$14)</f>
        <v/>
      </c>
      <c r="L133" s="22">
        <f>IF($A133="","",IF(H133="","",K133*'2_公式與參數'!$C$6*'2_公式與參數'!$C$7/J133*100))</f>
        <v/>
      </c>
    </row>
    <row r="134">
      <c r="J134" s="20">
        <f>IF($A134="","",IF(H134="","",H134*1000))</f>
        <v/>
      </c>
      <c r="K134" s="21">
        <f>IF($A134="","",E134-'2_公式與參數'!$C$14)</f>
        <v/>
      </c>
      <c r="L134" s="22">
        <f>IF($A134="","",IF(H134="","",K134*'2_公式與參數'!$C$6*'2_公式與參數'!$C$7/J134*100))</f>
        <v/>
      </c>
    </row>
    <row r="135">
      <c r="J135" s="20">
        <f>IF($A135="","",IF(H135="","",H135*1000))</f>
        <v/>
      </c>
      <c r="K135" s="21">
        <f>IF($A135="","",E135-'2_公式與參數'!$C$14)</f>
        <v/>
      </c>
      <c r="L135" s="22">
        <f>IF($A135="","",IF(H135="","",K135*'2_公式與參數'!$C$6*'2_公式與參數'!$C$7/J135*100))</f>
        <v/>
      </c>
    </row>
    <row r="136">
      <c r="J136" s="20">
        <f>IF($A136="","",IF(H136="","",H136*1000))</f>
        <v/>
      </c>
      <c r="K136" s="21">
        <f>IF($A136="","",E136-'2_公式與參數'!$C$14)</f>
        <v/>
      </c>
      <c r="L136" s="22">
        <f>IF($A136="","",IF(H136="","",K136*'2_公式與參數'!$C$6*'2_公式與參數'!$C$7/J136*100))</f>
        <v/>
      </c>
    </row>
    <row r="137">
      <c r="J137" s="20">
        <f>IF($A137="","",IF(H137="","",H137*1000))</f>
        <v/>
      </c>
      <c r="K137" s="21">
        <f>IF($A137="","",E137-'2_公式與參數'!$C$14)</f>
        <v/>
      </c>
      <c r="L137" s="22">
        <f>IF($A137="","",IF(H137="","",K137*'2_公式與參數'!$C$6*'2_公式與參數'!$C$7/J137*100))</f>
        <v/>
      </c>
    </row>
    <row r="138">
      <c r="J138" s="20">
        <f>IF($A138="","",IF(H138="","",H138*1000))</f>
        <v/>
      </c>
      <c r="K138" s="21">
        <f>IF($A138="","",E138-'2_公式與參數'!$C$14)</f>
        <v/>
      </c>
      <c r="L138" s="22">
        <f>IF($A138="","",IF(H138="","",K138*'2_公式與參數'!$C$6*'2_公式與參數'!$C$7/J138*100))</f>
        <v/>
      </c>
    </row>
    <row r="139">
      <c r="J139" s="20">
        <f>IF($A139="","",IF(H139="","",H139*1000))</f>
        <v/>
      </c>
      <c r="K139" s="21">
        <f>IF($A139="","",E139-'2_公式與參數'!$C$14)</f>
        <v/>
      </c>
      <c r="L139" s="22">
        <f>IF($A139="","",IF(H139="","",K139*'2_公式與參數'!$C$6*'2_公式與參數'!$C$7/J139*100))</f>
        <v/>
      </c>
    </row>
    <row r="140">
      <c r="J140" s="20">
        <f>IF($A140="","",IF(H140="","",H140*1000))</f>
        <v/>
      </c>
      <c r="K140" s="21">
        <f>IF($A140="","",E140-'2_公式與參數'!$C$14)</f>
        <v/>
      </c>
      <c r="L140" s="22">
        <f>IF($A140="","",IF(H140="","",K140*'2_公式與參數'!$C$6*'2_公式與參數'!$C$7/J140*100))</f>
        <v/>
      </c>
    </row>
    <row r="141">
      <c r="J141" s="20">
        <f>IF($A141="","",IF(H141="","",H141*1000))</f>
        <v/>
      </c>
      <c r="K141" s="21">
        <f>IF($A141="","",E141-'2_公式與參數'!$C$14)</f>
        <v/>
      </c>
      <c r="L141" s="22">
        <f>IF($A141="","",IF(H141="","",K141*'2_公式與參數'!$C$6*'2_公式與參數'!$C$7/J141*100))</f>
        <v/>
      </c>
    </row>
    <row r="142">
      <c r="J142" s="20">
        <f>IF($A142="","",IF(H142="","",H142*1000))</f>
        <v/>
      </c>
      <c r="K142" s="21">
        <f>IF($A142="","",E142-'2_公式與參數'!$C$14)</f>
        <v/>
      </c>
      <c r="L142" s="22">
        <f>IF($A142="","",IF(H142="","",K142*'2_公式與參數'!$C$6*'2_公式與參數'!$C$7/J142*100))</f>
        <v/>
      </c>
    </row>
    <row r="143">
      <c r="J143" s="20">
        <f>IF($A143="","",IF(H143="","",H143*1000))</f>
        <v/>
      </c>
      <c r="K143" s="21">
        <f>IF($A143="","",E143-'2_公式與參數'!$C$14)</f>
        <v/>
      </c>
      <c r="L143" s="22">
        <f>IF($A143="","",IF(H143="","",K143*'2_公式與參數'!$C$6*'2_公式與參數'!$C$7/J143*100))</f>
        <v/>
      </c>
    </row>
    <row r="144">
      <c r="J144" s="20">
        <f>IF($A144="","",IF(H144="","",H144*1000))</f>
        <v/>
      </c>
      <c r="K144" s="21">
        <f>IF($A144="","",E144-'2_公式與參數'!$C$14)</f>
        <v/>
      </c>
      <c r="L144" s="22">
        <f>IF($A144="","",IF(H144="","",K144*'2_公式與參數'!$C$6*'2_公式與參數'!$C$7/J144*100))</f>
        <v/>
      </c>
    </row>
    <row r="145">
      <c r="J145" s="20">
        <f>IF($A145="","",IF(H145="","",H145*1000))</f>
        <v/>
      </c>
      <c r="K145" s="21">
        <f>IF($A145="","",E145-'2_公式與參數'!$C$14)</f>
        <v/>
      </c>
      <c r="L145" s="22">
        <f>IF($A145="","",IF(H145="","",K145*'2_公式與參數'!$C$6*'2_公式與參數'!$C$7/J145*100))</f>
        <v/>
      </c>
    </row>
    <row r="146">
      <c r="J146" s="20">
        <f>IF($A146="","",IF(H146="","",H146*1000))</f>
        <v/>
      </c>
      <c r="K146" s="21">
        <f>IF($A146="","",E146-'2_公式與參數'!$C$14)</f>
        <v/>
      </c>
      <c r="L146" s="22">
        <f>IF($A146="","",IF(H146="","",K146*'2_公式與參數'!$C$6*'2_公式與參數'!$C$7/J146*100))</f>
        <v/>
      </c>
    </row>
    <row r="147">
      <c r="J147" s="20">
        <f>IF($A147="","",IF(H147="","",H147*1000))</f>
        <v/>
      </c>
      <c r="K147" s="21">
        <f>IF($A147="","",E147-'2_公式與參數'!$C$14)</f>
        <v/>
      </c>
      <c r="L147" s="22">
        <f>IF($A147="","",IF(H147="","",K147*'2_公式與參數'!$C$6*'2_公式與參數'!$C$7/J147*100))</f>
        <v/>
      </c>
    </row>
    <row r="148">
      <c r="J148" s="20">
        <f>IF($A148="","",IF(H148="","",H148*1000))</f>
        <v/>
      </c>
      <c r="K148" s="21">
        <f>IF($A148="","",E148-'2_公式與參數'!$C$14)</f>
        <v/>
      </c>
      <c r="L148" s="22">
        <f>IF($A148="","",IF(H148="","",K148*'2_公式與參數'!$C$6*'2_公式與參數'!$C$7/J148*100))</f>
        <v/>
      </c>
    </row>
    <row r="149">
      <c r="J149" s="20">
        <f>IF($A149="","",IF(H149="","",H149*1000))</f>
        <v/>
      </c>
      <c r="K149" s="21">
        <f>IF($A149="","",E149-'2_公式與參數'!$C$14)</f>
        <v/>
      </c>
      <c r="L149" s="22">
        <f>IF($A149="","",IF(H149="","",K149*'2_公式與參數'!$C$6*'2_公式與參數'!$C$7/J149*100))</f>
        <v/>
      </c>
    </row>
    <row r="150">
      <c r="J150" s="20">
        <f>IF($A150="","",IF(H150="","",H150*1000))</f>
        <v/>
      </c>
      <c r="K150" s="21">
        <f>IF($A150="","",E150-'2_公式與參數'!$C$14)</f>
        <v/>
      </c>
      <c r="L150" s="22">
        <f>IF($A150="","",IF(H150="","",K150*'2_公式與參數'!$C$6*'2_公式與參數'!$C$7/J150*100))</f>
        <v/>
      </c>
    </row>
    <row r="151">
      <c r="J151" s="20">
        <f>IF($A151="","",IF(H151="","",H151*1000))</f>
        <v/>
      </c>
      <c r="K151" s="21">
        <f>IF($A151="","",E151-'2_公式與參數'!$C$14)</f>
        <v/>
      </c>
      <c r="L151" s="22">
        <f>IF($A151="","",IF(H151="","",K151*'2_公式與參數'!$C$6*'2_公式與參數'!$C$7/J151*100))</f>
        <v/>
      </c>
    </row>
    <row r="152">
      <c r="J152" s="20">
        <f>IF($A152="","",IF(H152="","",H152*1000))</f>
        <v/>
      </c>
      <c r="K152" s="21">
        <f>IF($A152="","",E152-'2_公式與參數'!$C$14)</f>
        <v/>
      </c>
      <c r="L152" s="22">
        <f>IF($A152="","",IF(H152="","",K152*'2_公式與參數'!$C$6*'2_公式與參數'!$C$7/J152*100))</f>
        <v/>
      </c>
    </row>
    <row r="153">
      <c r="J153" s="20">
        <f>IF($A153="","",IF(H153="","",H153*1000))</f>
        <v/>
      </c>
      <c r="K153" s="21">
        <f>IF($A153="","",E153-'2_公式與參數'!$C$14)</f>
        <v/>
      </c>
      <c r="L153" s="22">
        <f>IF($A153="","",IF(H153="","",K153*'2_公式與參數'!$C$6*'2_公式與參數'!$C$7/J153*100))</f>
        <v/>
      </c>
    </row>
    <row r="154">
      <c r="J154" s="20">
        <f>IF($A154="","",IF(H154="","",H154*1000))</f>
        <v/>
      </c>
      <c r="K154" s="21">
        <f>IF($A154="","",E154-'2_公式與參數'!$C$14)</f>
        <v/>
      </c>
      <c r="L154" s="22">
        <f>IF($A154="","",IF(H154="","",K154*'2_公式與參數'!$C$6*'2_公式與參數'!$C$7/J154*100))</f>
        <v/>
      </c>
    </row>
    <row r="155">
      <c r="J155" s="20">
        <f>IF($A155="","",IF(H155="","",H155*1000))</f>
        <v/>
      </c>
      <c r="K155" s="21">
        <f>IF($A155="","",E155-'2_公式與參數'!$C$14)</f>
        <v/>
      </c>
      <c r="L155" s="22">
        <f>IF($A155="","",IF(H155="","",K155*'2_公式與參數'!$C$6*'2_公式與參數'!$C$7/J155*100))</f>
        <v/>
      </c>
    </row>
    <row r="156">
      <c r="J156" s="20">
        <f>IF($A156="","",IF(H156="","",H156*1000))</f>
        <v/>
      </c>
      <c r="K156" s="21">
        <f>IF($A156="","",E156-'2_公式與參數'!$C$14)</f>
        <v/>
      </c>
      <c r="L156" s="22">
        <f>IF($A156="","",IF(H156="","",K156*'2_公式與參數'!$C$6*'2_公式與參數'!$C$7/J156*100))</f>
        <v/>
      </c>
    </row>
    <row r="157">
      <c r="J157" s="20">
        <f>IF($A157="","",IF(H157="","",H157*1000))</f>
        <v/>
      </c>
      <c r="K157" s="21">
        <f>IF($A157="","",E157-'2_公式與參數'!$C$14)</f>
        <v/>
      </c>
      <c r="L157" s="22">
        <f>IF($A157="","",IF(H157="","",K157*'2_公式與參數'!$C$6*'2_公式與參數'!$C$7/J157*100))</f>
        <v/>
      </c>
    </row>
    <row r="158">
      <c r="J158" s="20">
        <f>IF($A158="","",IF(H158="","",H158*1000))</f>
        <v/>
      </c>
      <c r="K158" s="21">
        <f>IF($A158="","",E158-'2_公式與參數'!$C$14)</f>
        <v/>
      </c>
      <c r="L158" s="22">
        <f>IF($A158="","",IF(H158="","",K158*'2_公式與參數'!$C$6*'2_公式與參數'!$C$7/J158*100))</f>
        <v/>
      </c>
    </row>
    <row r="159">
      <c r="J159" s="20">
        <f>IF($A159="","",IF(H159="","",H159*1000))</f>
        <v/>
      </c>
      <c r="K159" s="21">
        <f>IF($A159="","",E159-'2_公式與參數'!$C$14)</f>
        <v/>
      </c>
      <c r="L159" s="22">
        <f>IF($A159="","",IF(H159="","",K159*'2_公式與參數'!$C$6*'2_公式與參數'!$C$7/J159*100))</f>
        <v/>
      </c>
    </row>
    <row r="160">
      <c r="J160" s="20">
        <f>IF($A160="","",IF(H160="","",H160*1000))</f>
        <v/>
      </c>
      <c r="K160" s="21">
        <f>IF($A160="","",E160-'2_公式與參數'!$C$14)</f>
        <v/>
      </c>
      <c r="L160" s="22">
        <f>IF($A160="","",IF(H160="","",K160*'2_公式與參數'!$C$6*'2_公式與參數'!$C$7/J160*100))</f>
        <v/>
      </c>
    </row>
    <row r="161">
      <c r="J161" s="20">
        <f>IF($A161="","",IF(H161="","",H161*1000))</f>
        <v/>
      </c>
      <c r="K161" s="21">
        <f>IF($A161="","",E161-'2_公式與參數'!$C$14)</f>
        <v/>
      </c>
      <c r="L161" s="22">
        <f>IF($A161="","",IF(H161="","",K161*'2_公式與參數'!$C$6*'2_公式與參數'!$C$7/J161*100))</f>
        <v/>
      </c>
    </row>
    <row r="162">
      <c r="J162" s="20">
        <f>IF($A162="","",IF(H162="","",H162*1000))</f>
        <v/>
      </c>
      <c r="K162" s="21">
        <f>IF($A162="","",E162-'2_公式與參數'!$C$14)</f>
        <v/>
      </c>
      <c r="L162" s="22">
        <f>IF($A162="","",IF(H162="","",K162*'2_公式與參數'!$C$6*'2_公式與參數'!$C$7/J162*100))</f>
        <v/>
      </c>
    </row>
    <row r="163">
      <c r="J163" s="20">
        <f>IF($A163="","",IF(H163="","",H163*1000))</f>
        <v/>
      </c>
      <c r="K163" s="21">
        <f>IF($A163="","",E163-'2_公式與參數'!$C$14)</f>
        <v/>
      </c>
      <c r="L163" s="22">
        <f>IF($A163="","",IF(H163="","",K163*'2_公式與參數'!$C$6*'2_公式與參數'!$C$7/J163*100))</f>
        <v/>
      </c>
    </row>
    <row r="164">
      <c r="J164" s="20">
        <f>IF($A164="","",IF(H164="","",H164*1000))</f>
        <v/>
      </c>
      <c r="K164" s="21">
        <f>IF($A164="","",E164-'2_公式與參數'!$C$14)</f>
        <v/>
      </c>
      <c r="L164" s="22">
        <f>IF($A164="","",IF(H164="","",K164*'2_公式與參數'!$C$6*'2_公式與參數'!$C$7/J164*100))</f>
        <v/>
      </c>
    </row>
    <row r="165">
      <c r="J165" s="20">
        <f>IF($A165="","",IF(H165="","",H165*1000))</f>
        <v/>
      </c>
      <c r="K165" s="21">
        <f>IF($A165="","",E165-'2_公式與參數'!$C$14)</f>
        <v/>
      </c>
      <c r="L165" s="22">
        <f>IF($A165="","",IF(H165="","",K165*'2_公式與參數'!$C$6*'2_公式與參數'!$C$7/J165*100))</f>
        <v/>
      </c>
    </row>
    <row r="166">
      <c r="J166" s="20">
        <f>IF($A166="","",IF(H166="","",H166*1000))</f>
        <v/>
      </c>
      <c r="K166" s="21">
        <f>IF($A166="","",E166-'2_公式與參數'!$C$14)</f>
        <v/>
      </c>
      <c r="L166" s="22">
        <f>IF($A166="","",IF(H166="","",K166*'2_公式與參數'!$C$6*'2_公式與參數'!$C$7/J166*100))</f>
        <v/>
      </c>
    </row>
    <row r="167">
      <c r="J167" s="20">
        <f>IF($A167="","",IF(H167="","",H167*1000))</f>
        <v/>
      </c>
      <c r="K167" s="21">
        <f>IF($A167="","",E167-'2_公式與參數'!$C$14)</f>
        <v/>
      </c>
      <c r="L167" s="22">
        <f>IF($A167="","",IF(H167="","",K167*'2_公式與參數'!$C$6*'2_公式與參數'!$C$7/J167*100))</f>
        <v/>
      </c>
    </row>
    <row r="168">
      <c r="J168" s="20">
        <f>IF($A168="","",IF(H168="","",H168*1000))</f>
        <v/>
      </c>
      <c r="K168" s="21">
        <f>IF($A168="","",E168-'2_公式與參數'!$C$14)</f>
        <v/>
      </c>
      <c r="L168" s="22">
        <f>IF($A168="","",IF(H168="","",K168*'2_公式與參數'!$C$6*'2_公式與參數'!$C$7/J168*100))</f>
        <v/>
      </c>
    </row>
    <row r="169">
      <c r="J169" s="20">
        <f>IF($A169="","",IF(H169="","",H169*1000))</f>
        <v/>
      </c>
      <c r="K169" s="21">
        <f>IF($A169="","",E169-'2_公式與參數'!$C$14)</f>
        <v/>
      </c>
      <c r="L169" s="22">
        <f>IF($A169="","",IF(H169="","",K169*'2_公式與參數'!$C$6*'2_公式與參數'!$C$7/J169*100))</f>
        <v/>
      </c>
    </row>
    <row r="170">
      <c r="J170" s="20">
        <f>IF($A170="","",IF(H170="","",H170*1000))</f>
        <v/>
      </c>
      <c r="K170" s="21">
        <f>IF($A170="","",E170-'2_公式與參數'!$C$14)</f>
        <v/>
      </c>
      <c r="L170" s="22">
        <f>IF($A170="","",IF(H170="","",K170*'2_公式與參數'!$C$6*'2_公式與參數'!$C$7/J170*100))</f>
        <v/>
      </c>
    </row>
    <row r="171">
      <c r="J171" s="20">
        <f>IF($A171="","",IF(H171="","",H171*1000))</f>
        <v/>
      </c>
      <c r="K171" s="21">
        <f>IF($A171="","",E171-'2_公式與參數'!$C$14)</f>
        <v/>
      </c>
      <c r="L171" s="22">
        <f>IF($A171="","",IF(H171="","",K171*'2_公式與參數'!$C$6*'2_公式與參數'!$C$7/J171*100))</f>
        <v/>
      </c>
    </row>
    <row r="172">
      <c r="J172" s="20">
        <f>IF($A172="","",IF(H172="","",H172*1000))</f>
        <v/>
      </c>
      <c r="K172" s="21">
        <f>IF($A172="","",E172-'2_公式與參數'!$C$14)</f>
        <v/>
      </c>
      <c r="L172" s="22">
        <f>IF($A172="","",IF(H172="","",K172*'2_公式與參數'!$C$6*'2_公式與參數'!$C$7/J172*100))</f>
        <v/>
      </c>
    </row>
    <row r="173">
      <c r="J173" s="20">
        <f>IF($A173="","",IF(H173="","",H173*1000))</f>
        <v/>
      </c>
      <c r="K173" s="21">
        <f>IF($A173="","",E173-'2_公式與參數'!$C$14)</f>
        <v/>
      </c>
      <c r="L173" s="22">
        <f>IF($A173="","",IF(H173="","",K173*'2_公式與參數'!$C$6*'2_公式與參數'!$C$7/J173*100))</f>
        <v/>
      </c>
    </row>
    <row r="174">
      <c r="J174" s="20">
        <f>IF($A174="","",IF(H174="","",H174*1000))</f>
        <v/>
      </c>
      <c r="K174" s="21">
        <f>IF($A174="","",E174-'2_公式與參數'!$C$14)</f>
        <v/>
      </c>
      <c r="L174" s="22">
        <f>IF($A174="","",IF(H174="","",K174*'2_公式與參數'!$C$6*'2_公式與參數'!$C$7/J174*100))</f>
        <v/>
      </c>
    </row>
    <row r="175">
      <c r="J175" s="20">
        <f>IF($A175="","",IF(H175="","",H175*1000))</f>
        <v/>
      </c>
      <c r="K175" s="21">
        <f>IF($A175="","",E175-'2_公式與參數'!$C$14)</f>
        <v/>
      </c>
      <c r="L175" s="22">
        <f>IF($A175="","",IF(H175="","",K175*'2_公式與參數'!$C$6*'2_公式與參數'!$C$7/J175*100))</f>
        <v/>
      </c>
    </row>
    <row r="176">
      <c r="J176" s="20">
        <f>IF($A176="","",IF(H176="","",H176*1000))</f>
        <v/>
      </c>
      <c r="K176" s="21">
        <f>IF($A176="","",E176-'2_公式與參數'!$C$14)</f>
        <v/>
      </c>
      <c r="L176" s="22">
        <f>IF($A176="","",IF(H176="","",K176*'2_公式與參數'!$C$6*'2_公式與參數'!$C$7/J176*100))</f>
        <v/>
      </c>
    </row>
    <row r="177">
      <c r="J177" s="20">
        <f>IF($A177="","",IF(H177="","",H177*1000))</f>
        <v/>
      </c>
      <c r="K177" s="21">
        <f>IF($A177="","",E177-'2_公式與參數'!$C$14)</f>
        <v/>
      </c>
      <c r="L177" s="22">
        <f>IF($A177="","",IF(H177="","",K177*'2_公式與參數'!$C$6*'2_公式與參數'!$C$7/J177*100))</f>
        <v/>
      </c>
    </row>
    <row r="178">
      <c r="J178" s="20">
        <f>IF($A178="","",IF(H178="","",H178*1000))</f>
        <v/>
      </c>
      <c r="K178" s="21">
        <f>IF($A178="","",E178-'2_公式與參數'!$C$14)</f>
        <v/>
      </c>
      <c r="L178" s="22">
        <f>IF($A178="","",IF(H178="","",K178*'2_公式與參數'!$C$6*'2_公式與參數'!$C$7/J178*100))</f>
        <v/>
      </c>
    </row>
    <row r="179">
      <c r="J179" s="20">
        <f>IF($A179="","",IF(H179="","",H179*1000))</f>
        <v/>
      </c>
      <c r="K179" s="21">
        <f>IF($A179="","",E179-'2_公式與參數'!$C$14)</f>
        <v/>
      </c>
      <c r="L179" s="22">
        <f>IF($A179="","",IF(H179="","",K179*'2_公式與參數'!$C$6*'2_公式與參數'!$C$7/J179*100))</f>
        <v/>
      </c>
    </row>
    <row r="180">
      <c r="J180" s="20">
        <f>IF($A180="","",IF(H180="","",H180*1000))</f>
        <v/>
      </c>
      <c r="K180" s="21">
        <f>IF($A180="","",E180-'2_公式與參數'!$C$14)</f>
        <v/>
      </c>
      <c r="L180" s="22">
        <f>IF($A180="","",IF(H180="","",K180*'2_公式與參數'!$C$6*'2_公式與參數'!$C$7/J180*100))</f>
        <v/>
      </c>
    </row>
    <row r="181">
      <c r="J181" s="20">
        <f>IF($A181="","",IF(H181="","",H181*1000))</f>
        <v/>
      </c>
      <c r="K181" s="21">
        <f>IF($A181="","",E181-'2_公式與參數'!$C$14)</f>
        <v/>
      </c>
      <c r="L181" s="22">
        <f>IF($A181="","",IF(H181="","",K181*'2_公式與參數'!$C$6*'2_公式與參數'!$C$7/J181*100))</f>
        <v/>
      </c>
    </row>
    <row r="182">
      <c r="J182" s="20">
        <f>IF($A182="","",IF(H182="","",H182*1000))</f>
        <v/>
      </c>
      <c r="K182" s="21">
        <f>IF($A182="","",E182-'2_公式與參數'!$C$14)</f>
        <v/>
      </c>
      <c r="L182" s="22">
        <f>IF($A182="","",IF(H182="","",K182*'2_公式與參數'!$C$6*'2_公式與參數'!$C$7/J182*100))</f>
        <v/>
      </c>
    </row>
    <row r="183">
      <c r="J183" s="20">
        <f>IF($A183="","",IF(H183="","",H183*1000))</f>
        <v/>
      </c>
      <c r="K183" s="21">
        <f>IF($A183="","",E183-'2_公式與參數'!$C$14)</f>
        <v/>
      </c>
      <c r="L183" s="22">
        <f>IF($A183="","",IF(H183="","",K183*'2_公式與參數'!$C$6*'2_公式與參數'!$C$7/J183*100))</f>
        <v/>
      </c>
    </row>
    <row r="184">
      <c r="J184" s="20">
        <f>IF($A184="","",IF(H184="","",H184*1000))</f>
        <v/>
      </c>
      <c r="K184" s="21">
        <f>IF($A184="","",E184-'2_公式與參數'!$C$14)</f>
        <v/>
      </c>
      <c r="L184" s="22">
        <f>IF($A184="","",IF(H184="","",K184*'2_公式與參數'!$C$6*'2_公式與參數'!$C$7/J184*100))</f>
        <v/>
      </c>
    </row>
    <row r="185">
      <c r="J185" s="20">
        <f>IF($A185="","",IF(H185="","",H185*1000))</f>
        <v/>
      </c>
      <c r="K185" s="21">
        <f>IF($A185="","",E185-'2_公式與參數'!$C$14)</f>
        <v/>
      </c>
      <c r="L185" s="22">
        <f>IF($A185="","",IF(H185="","",K185*'2_公式與參數'!$C$6*'2_公式與參數'!$C$7/J185*100))</f>
        <v/>
      </c>
    </row>
    <row r="186">
      <c r="J186" s="20">
        <f>IF($A186="","",IF(H186="","",H186*1000))</f>
        <v/>
      </c>
      <c r="K186" s="21">
        <f>IF($A186="","",E186-'2_公式與參數'!$C$14)</f>
        <v/>
      </c>
      <c r="L186" s="22">
        <f>IF($A186="","",IF(H186="","",K186*'2_公式與參數'!$C$6*'2_公式與參數'!$C$7/J186*100))</f>
        <v/>
      </c>
    </row>
    <row r="187">
      <c r="J187" s="20">
        <f>IF($A187="","",IF(H187="","",H187*1000))</f>
        <v/>
      </c>
      <c r="K187" s="21">
        <f>IF($A187="","",E187-'2_公式與參數'!$C$14)</f>
        <v/>
      </c>
      <c r="L187" s="22">
        <f>IF($A187="","",IF(H187="","",K187*'2_公式與參數'!$C$6*'2_公式與參數'!$C$7/J187*100))</f>
        <v/>
      </c>
    </row>
    <row r="188">
      <c r="J188" s="20">
        <f>IF($A188="","",IF(H188="","",H188*1000))</f>
        <v/>
      </c>
      <c r="K188" s="21">
        <f>IF($A188="","",E188-'2_公式與參數'!$C$14)</f>
        <v/>
      </c>
      <c r="L188" s="22">
        <f>IF($A188="","",IF(H188="","",K188*'2_公式與參數'!$C$6*'2_公式與參數'!$C$7/J188*100))</f>
        <v/>
      </c>
    </row>
    <row r="189">
      <c r="J189" s="20">
        <f>IF($A189="","",IF(H189="","",H189*1000))</f>
        <v/>
      </c>
      <c r="K189" s="21">
        <f>IF($A189="","",E189-'2_公式與參數'!$C$14)</f>
        <v/>
      </c>
      <c r="L189" s="22">
        <f>IF($A189="","",IF(H189="","",K189*'2_公式與參數'!$C$6*'2_公式與參數'!$C$7/J189*100))</f>
        <v/>
      </c>
    </row>
    <row r="190">
      <c r="J190" s="20">
        <f>IF($A190="","",IF(H190="","",H190*1000))</f>
        <v/>
      </c>
      <c r="K190" s="21">
        <f>IF($A190="","",E190-'2_公式與參數'!$C$14)</f>
        <v/>
      </c>
      <c r="L190" s="22">
        <f>IF($A190="","",IF(H190="","",K190*'2_公式與參數'!$C$6*'2_公式與參數'!$C$7/J190*100))</f>
        <v/>
      </c>
    </row>
    <row r="191">
      <c r="J191" s="20">
        <f>IF($A191="","",IF(H191="","",H191*1000))</f>
        <v/>
      </c>
      <c r="K191" s="21">
        <f>IF($A191="","",E191-'2_公式與參數'!$C$14)</f>
        <v/>
      </c>
      <c r="L191" s="22">
        <f>IF($A191="","",IF(H191="","",K191*'2_公式與參數'!$C$6*'2_公式與參數'!$C$7/J191*100))</f>
        <v/>
      </c>
    </row>
    <row r="192">
      <c r="J192" s="20">
        <f>IF($A192="","",IF(H192="","",H192*1000))</f>
        <v/>
      </c>
      <c r="K192" s="21">
        <f>IF($A192="","",E192-'2_公式與參數'!$C$14)</f>
        <v/>
      </c>
      <c r="L192" s="22">
        <f>IF($A192="","",IF(H192="","",K192*'2_公式與參數'!$C$6*'2_公式與參數'!$C$7/J192*100))</f>
        <v/>
      </c>
    </row>
    <row r="193">
      <c r="J193" s="20">
        <f>IF($A193="","",IF(H193="","",H193*1000))</f>
        <v/>
      </c>
      <c r="K193" s="21">
        <f>IF($A193="","",E193-'2_公式與參數'!$C$14)</f>
        <v/>
      </c>
      <c r="L193" s="22">
        <f>IF($A193="","",IF(H193="","",K193*'2_公式與參數'!$C$6*'2_公式與參數'!$C$7/J193*100))</f>
        <v/>
      </c>
    </row>
    <row r="194">
      <c r="J194" s="20">
        <f>IF($A194="","",IF(H194="","",H194*1000))</f>
        <v/>
      </c>
      <c r="K194" s="21">
        <f>IF($A194="","",E194-'2_公式與參數'!$C$14)</f>
        <v/>
      </c>
      <c r="L194" s="22">
        <f>IF($A194="","",IF(H194="","",K194*'2_公式與參數'!$C$6*'2_公式與參數'!$C$7/J194*100))</f>
        <v/>
      </c>
    </row>
    <row r="195">
      <c r="J195" s="20">
        <f>IF($A195="","",IF(H195="","",H195*1000))</f>
        <v/>
      </c>
      <c r="K195" s="21">
        <f>IF($A195="","",E195-'2_公式與參數'!$C$14)</f>
        <v/>
      </c>
      <c r="L195" s="22">
        <f>IF($A195="","",IF(H195="","",K195*'2_公式與參數'!$C$6*'2_公式與參數'!$C$7/J195*100))</f>
        <v/>
      </c>
    </row>
    <row r="196">
      <c r="J196" s="20">
        <f>IF($A196="","",IF(H196="","",H196*1000))</f>
        <v/>
      </c>
      <c r="K196" s="21">
        <f>IF($A196="","",E196-'2_公式與參數'!$C$14)</f>
        <v/>
      </c>
      <c r="L196" s="22">
        <f>IF($A196="","",IF(H196="","",K196*'2_公式與參數'!$C$6*'2_公式與參數'!$C$7/J196*100))</f>
        <v/>
      </c>
    </row>
    <row r="197">
      <c r="J197" s="20">
        <f>IF($A197="","",IF(H197="","",H197*1000))</f>
        <v/>
      </c>
      <c r="K197" s="21">
        <f>IF($A197="","",E197-'2_公式與參數'!$C$14)</f>
        <v/>
      </c>
      <c r="L197" s="22">
        <f>IF($A197="","",IF(H197="","",K197*'2_公式與參數'!$C$6*'2_公式與參數'!$C$7/J197*100))</f>
        <v/>
      </c>
    </row>
    <row r="198">
      <c r="J198" s="20">
        <f>IF($A198="","",IF(H198="","",H198*1000))</f>
        <v/>
      </c>
      <c r="K198" s="21">
        <f>IF($A198="","",E198-'2_公式與參數'!$C$14)</f>
        <v/>
      </c>
      <c r="L198" s="22">
        <f>IF($A198="","",IF(H198="","",K198*'2_公式與參數'!$C$6*'2_公式與參數'!$C$7/J198*100))</f>
        <v/>
      </c>
    </row>
    <row r="199">
      <c r="J199" s="20">
        <f>IF($A199="","",IF(H199="","",H199*1000))</f>
        <v/>
      </c>
      <c r="K199" s="21">
        <f>IF($A199="","",E199-'2_公式與參數'!$C$14)</f>
        <v/>
      </c>
      <c r="L199" s="22">
        <f>IF($A199="","",IF(H199="","",K199*'2_公式與參數'!$C$6*'2_公式與參數'!$C$7/J199*100))</f>
        <v/>
      </c>
    </row>
    <row r="200">
      <c r="J200" s="20">
        <f>IF($A200="","",IF(H200="","",H200*1000))</f>
        <v/>
      </c>
      <c r="K200" s="21">
        <f>IF($A200="","",E200-'2_公式與參數'!$C$14)</f>
        <v/>
      </c>
      <c r="L200" s="22">
        <f>IF($A200="","",IF(H200="","",K200*'2_公式與參數'!$C$6*'2_公式與參數'!$C$7/J200*100))</f>
        <v/>
      </c>
    </row>
    <row r="201">
      <c r="J201" s="20">
        <f>IF($A201="","",IF(H201="","",H201*1000))</f>
        <v/>
      </c>
      <c r="K201" s="21">
        <f>IF($A201="","",E201-'2_公式與參數'!$C$14)</f>
        <v/>
      </c>
      <c r="L201" s="22">
        <f>IF($A201="","",IF(H201="","",K201*'2_公式與參數'!$C$6*'2_公式與參數'!$C$7/J201*100))</f>
        <v/>
      </c>
    </row>
    <row r="202">
      <c r="J202" s="20">
        <f>IF($A202="","",IF(H202="","",H202*1000))</f>
        <v/>
      </c>
      <c r="K202" s="21">
        <f>IF($A202="","",E202-'2_公式與參數'!$C$14)</f>
        <v/>
      </c>
      <c r="L202" s="22">
        <f>IF($A202="","",IF(H202="","",K202*'2_公式與參數'!$C$6*'2_公式與參數'!$C$7/J202*100))</f>
        <v/>
      </c>
    </row>
    <row r="203">
      <c r="J203" s="20">
        <f>IF($A203="","",IF(H203="","",H203*1000))</f>
        <v/>
      </c>
      <c r="K203" s="21">
        <f>IF($A203="","",E203-'2_公式與參數'!$C$14)</f>
        <v/>
      </c>
      <c r="L203" s="22">
        <f>IF($A203="","",IF(H203="","",K203*'2_公式與參數'!$C$6*'2_公式與參數'!$C$7/J203*100))</f>
        <v/>
      </c>
    </row>
    <row r="204">
      <c r="J204" s="20">
        <f>IF($A204="","",IF(H204="","",H204*1000))</f>
        <v/>
      </c>
      <c r="K204" s="21">
        <f>IF($A204="","",E204-'2_公式與參數'!$C$14)</f>
        <v/>
      </c>
      <c r="L204" s="22">
        <f>IF($A204="","",IF(H204="","",K204*'2_公式與參數'!$C$6*'2_公式與參數'!$C$7/J204*100))</f>
        <v/>
      </c>
    </row>
    <row r="205">
      <c r="J205" s="20">
        <f>IF($A205="","",IF(H205="","",H205*1000))</f>
        <v/>
      </c>
      <c r="K205" s="21">
        <f>IF($A205="","",E205-'2_公式與參數'!$C$14)</f>
        <v/>
      </c>
      <c r="L205" s="22">
        <f>IF($A205="","",IF(H205="","",K205*'2_公式與參數'!$C$6*'2_公式與參數'!$C$7/J205*100))</f>
        <v/>
      </c>
    </row>
    <row r="206">
      <c r="J206" s="20">
        <f>IF($A206="","",IF(H206="","",H206*1000))</f>
        <v/>
      </c>
      <c r="K206" s="21">
        <f>IF($A206="","",E206-'2_公式與參數'!$C$14)</f>
        <v/>
      </c>
      <c r="L206" s="22">
        <f>IF($A206="","",IF(H206="","",K206*'2_公式與參數'!$C$6*'2_公式與參數'!$C$7/J206*100))</f>
        <v/>
      </c>
    </row>
    <row r="207">
      <c r="J207" s="20">
        <f>IF($A207="","",IF(H207="","",H207*1000))</f>
        <v/>
      </c>
      <c r="K207" s="21">
        <f>IF($A207="","",E207-'2_公式與參數'!$C$14)</f>
        <v/>
      </c>
      <c r="L207" s="22">
        <f>IF($A207="","",IF(H207="","",K207*'2_公式與參數'!$C$6*'2_公式與參數'!$C$7/J207*100))</f>
        <v/>
      </c>
    </row>
    <row r="208">
      <c r="J208" s="20">
        <f>IF($A208="","",IF(H208="","",H208*1000))</f>
        <v/>
      </c>
      <c r="K208" s="21">
        <f>IF($A208="","",E208-'2_公式與參數'!$C$14)</f>
        <v/>
      </c>
      <c r="L208" s="22">
        <f>IF($A208="","",IF(H208="","",K208*'2_公式與參數'!$C$6*'2_公式與參數'!$C$7/J208*100))</f>
        <v/>
      </c>
    </row>
    <row r="209">
      <c r="J209" s="20">
        <f>IF($A209="","",IF(H209="","",H209*1000))</f>
        <v/>
      </c>
      <c r="K209" s="21">
        <f>IF($A209="","",E209-'2_公式與參數'!$C$14)</f>
        <v/>
      </c>
      <c r="L209" s="22">
        <f>IF($A209="","",IF(H209="","",K209*'2_公式與參數'!$C$6*'2_公式與參數'!$C$7/J209*100))</f>
        <v/>
      </c>
    </row>
    <row r="210">
      <c r="J210" s="20">
        <f>IF($A210="","",IF(H210="","",H210*1000))</f>
        <v/>
      </c>
      <c r="K210" s="21">
        <f>IF($A210="","",E210-'2_公式與參數'!$C$14)</f>
        <v/>
      </c>
      <c r="L210" s="22">
        <f>IF($A210="","",IF(H210="","",K210*'2_公式與參數'!$C$6*'2_公式與參數'!$C$7/J210*100))</f>
        <v/>
      </c>
    </row>
    <row r="211">
      <c r="J211" s="20">
        <f>IF($A211="","",IF(H211="","",H211*1000))</f>
        <v/>
      </c>
      <c r="K211" s="21">
        <f>IF($A211="","",E211-'2_公式與參數'!$C$14)</f>
        <v/>
      </c>
      <c r="L211" s="22">
        <f>IF($A211="","",IF(H211="","",K211*'2_公式與參數'!$C$6*'2_公式與參數'!$C$7/J211*100))</f>
        <v/>
      </c>
    </row>
    <row r="212">
      <c r="J212" s="20">
        <f>IF($A212="","",IF(H212="","",H212*1000))</f>
        <v/>
      </c>
      <c r="K212" s="21">
        <f>IF($A212="","",E212-'2_公式與參數'!$C$14)</f>
        <v/>
      </c>
      <c r="L212" s="22">
        <f>IF($A212="","",IF(H212="","",K212*'2_公式與參數'!$C$6*'2_公式與參數'!$C$7/J212*100))</f>
        <v/>
      </c>
    </row>
    <row r="213">
      <c r="J213" s="20">
        <f>IF($A213="","",IF(H213="","",H213*1000))</f>
        <v/>
      </c>
      <c r="K213" s="21">
        <f>IF($A213="","",E213-'2_公式與參數'!$C$14)</f>
        <v/>
      </c>
      <c r="L213" s="22">
        <f>IF($A213="","",IF(H213="","",K213*'2_公式與參數'!$C$6*'2_公式與參數'!$C$7/J213*100))</f>
        <v/>
      </c>
    </row>
    <row r="214">
      <c r="J214" s="20">
        <f>IF($A214="","",IF(H214="","",H214*1000))</f>
        <v/>
      </c>
      <c r="K214" s="21">
        <f>IF($A214="","",E214-'2_公式與參數'!$C$14)</f>
        <v/>
      </c>
      <c r="L214" s="22">
        <f>IF($A214="","",IF(H214="","",K214*'2_公式與參數'!$C$6*'2_公式與參數'!$C$7/J214*100))</f>
        <v/>
      </c>
    </row>
    <row r="215">
      <c r="J215" s="20">
        <f>IF($A215="","",IF(H215="","",H215*1000))</f>
        <v/>
      </c>
      <c r="K215" s="21">
        <f>IF($A215="","",E215-'2_公式與參數'!$C$14)</f>
        <v/>
      </c>
      <c r="L215" s="22">
        <f>IF($A215="","",IF(H215="","",K215*'2_公式與參數'!$C$6*'2_公式與參數'!$C$7/J215*100))</f>
        <v/>
      </c>
    </row>
    <row r="216">
      <c r="J216" s="20">
        <f>IF($A216="","",IF(H216="","",H216*1000))</f>
        <v/>
      </c>
      <c r="K216" s="21">
        <f>IF($A216="","",E216-'2_公式與參數'!$C$14)</f>
        <v/>
      </c>
      <c r="L216" s="22">
        <f>IF($A216="","",IF(H216="","",K216*'2_公式與參數'!$C$6*'2_公式與參數'!$C$7/J216*100))</f>
        <v/>
      </c>
    </row>
    <row r="217">
      <c r="J217" s="20">
        <f>IF($A217="","",IF(H217="","",H217*1000))</f>
        <v/>
      </c>
      <c r="K217" s="21">
        <f>IF($A217="","",E217-'2_公式與參數'!$C$14)</f>
        <v/>
      </c>
      <c r="L217" s="22">
        <f>IF($A217="","",IF(H217="","",K217*'2_公式與參數'!$C$6*'2_公式與參數'!$C$7/J217*100))</f>
        <v/>
      </c>
    </row>
    <row r="218">
      <c r="J218" s="20">
        <f>IF($A218="","",IF(H218="","",H218*1000))</f>
        <v/>
      </c>
      <c r="K218" s="21">
        <f>IF($A218="","",E218-'2_公式與參數'!$C$14)</f>
        <v/>
      </c>
      <c r="L218" s="22">
        <f>IF($A218="","",IF(H218="","",K218*'2_公式與參數'!$C$6*'2_公式與參數'!$C$7/J218*100))</f>
        <v/>
      </c>
    </row>
    <row r="219">
      <c r="J219" s="20">
        <f>IF($A219="","",IF(H219="","",H219*1000))</f>
        <v/>
      </c>
      <c r="K219" s="21">
        <f>IF($A219="","",E219-'2_公式與參數'!$C$14)</f>
        <v/>
      </c>
      <c r="L219" s="22">
        <f>IF($A219="","",IF(H219="","",K219*'2_公式與參數'!$C$6*'2_公式與參數'!$C$7/J219*100))</f>
        <v/>
      </c>
    </row>
    <row r="220">
      <c r="J220" s="20">
        <f>IF($A220="","",IF(H220="","",H220*1000))</f>
        <v/>
      </c>
      <c r="K220" s="21">
        <f>IF($A220="","",E220-'2_公式與參數'!$C$14)</f>
        <v/>
      </c>
      <c r="L220" s="22">
        <f>IF($A220="","",IF(H220="","",K220*'2_公式與參數'!$C$6*'2_公式與參數'!$C$7/J220*100))</f>
        <v/>
      </c>
    </row>
    <row r="221">
      <c r="J221" s="20">
        <f>IF($A221="","",IF(H221="","",H221*1000))</f>
        <v/>
      </c>
      <c r="K221" s="21">
        <f>IF($A221="","",E221-'2_公式與參數'!$C$14)</f>
        <v/>
      </c>
      <c r="L221" s="22">
        <f>IF($A221="","",IF(H221="","",K221*'2_公式與參數'!$C$6*'2_公式與參數'!$C$7/J221*100))</f>
        <v/>
      </c>
    </row>
    <row r="222">
      <c r="J222" s="20">
        <f>IF($A222="","",IF(H222="","",H222*1000))</f>
        <v/>
      </c>
      <c r="K222" s="21">
        <f>IF($A222="","",E222-'2_公式與參數'!$C$14)</f>
        <v/>
      </c>
      <c r="L222" s="22">
        <f>IF($A222="","",IF(H222="","",K222*'2_公式與參數'!$C$6*'2_公式與參數'!$C$7/J222*100))</f>
        <v/>
      </c>
    </row>
    <row r="223">
      <c r="J223" s="20">
        <f>IF($A223="","",IF(H223="","",H223*1000))</f>
        <v/>
      </c>
      <c r="K223" s="21">
        <f>IF($A223="","",E223-'2_公式與參數'!$C$14)</f>
        <v/>
      </c>
      <c r="L223" s="22">
        <f>IF($A223="","",IF(H223="","",K223*'2_公式與參數'!$C$6*'2_公式與參數'!$C$7/J223*100))</f>
        <v/>
      </c>
    </row>
    <row r="224">
      <c r="J224" s="20">
        <f>IF($A224="","",IF(H224="","",H224*1000))</f>
        <v/>
      </c>
      <c r="K224" s="21">
        <f>IF($A224="","",E224-'2_公式與參數'!$C$14)</f>
        <v/>
      </c>
      <c r="L224" s="22">
        <f>IF($A224="","",IF(H224="","",K224*'2_公式與參數'!$C$6*'2_公式與參數'!$C$7/J224*100))</f>
        <v/>
      </c>
    </row>
    <row r="225">
      <c r="J225" s="20">
        <f>IF($A225="","",IF(H225="","",H225*1000))</f>
        <v/>
      </c>
      <c r="K225" s="21">
        <f>IF($A225="","",E225-'2_公式與參數'!$C$14)</f>
        <v/>
      </c>
      <c r="L225" s="22">
        <f>IF($A225="","",IF(H225="","",K225*'2_公式與參數'!$C$6*'2_公式與參數'!$C$7/J225*100))</f>
        <v/>
      </c>
    </row>
    <row r="226">
      <c r="J226" s="20">
        <f>IF($A226="","",IF(H226="","",H226*1000))</f>
        <v/>
      </c>
      <c r="K226" s="21">
        <f>IF($A226="","",E226-'2_公式與參數'!$C$14)</f>
        <v/>
      </c>
      <c r="L226" s="22">
        <f>IF($A226="","",IF(H226="","",K226*'2_公式與參數'!$C$6*'2_公式與參數'!$C$7/J226*100))</f>
        <v/>
      </c>
    </row>
    <row r="227">
      <c r="J227" s="20">
        <f>IF($A227="","",IF(H227="","",H227*1000))</f>
        <v/>
      </c>
      <c r="K227" s="21">
        <f>IF($A227="","",E227-'2_公式與參數'!$C$14)</f>
        <v/>
      </c>
      <c r="L227" s="22">
        <f>IF($A227="","",IF(H227="","",K227*'2_公式與參數'!$C$6*'2_公式與參數'!$C$7/J227*100))</f>
        <v/>
      </c>
    </row>
    <row r="228">
      <c r="J228" s="20">
        <f>IF($A228="","",IF(H228="","",H228*1000))</f>
        <v/>
      </c>
      <c r="K228" s="21">
        <f>IF($A228="","",E228-'2_公式與參數'!$C$14)</f>
        <v/>
      </c>
      <c r="L228" s="22">
        <f>IF($A228="","",IF(H228="","",K228*'2_公式與參數'!$C$6*'2_公式與參數'!$C$7/J228*100))</f>
        <v/>
      </c>
    </row>
    <row r="229">
      <c r="J229" s="20">
        <f>IF($A229="","",IF(H229="","",H229*1000))</f>
        <v/>
      </c>
      <c r="K229" s="21">
        <f>IF($A229="","",E229-'2_公式與參數'!$C$14)</f>
        <v/>
      </c>
      <c r="L229" s="22">
        <f>IF($A229="","",IF(H229="","",K229*'2_公式與參數'!$C$6*'2_公式與參數'!$C$7/J229*100))</f>
        <v/>
      </c>
    </row>
    <row r="230">
      <c r="J230" s="20">
        <f>IF($A230="","",IF(H230="","",H230*1000))</f>
        <v/>
      </c>
      <c r="K230" s="21">
        <f>IF($A230="","",E230-'2_公式與參數'!$C$14)</f>
        <v/>
      </c>
      <c r="L230" s="22">
        <f>IF($A230="","",IF(H230="","",K230*'2_公式與參數'!$C$6*'2_公式與參數'!$C$7/J230*100))</f>
        <v/>
      </c>
    </row>
    <row r="231">
      <c r="J231" s="20">
        <f>IF($A231="","",IF(H231="","",H231*1000))</f>
        <v/>
      </c>
      <c r="K231" s="21">
        <f>IF($A231="","",E231-'2_公式與參數'!$C$14)</f>
        <v/>
      </c>
      <c r="L231" s="22">
        <f>IF($A231="","",IF(H231="","",K231*'2_公式與參數'!$C$6*'2_公式與參數'!$C$7/J231*100))</f>
        <v/>
      </c>
    </row>
    <row r="232">
      <c r="J232" s="20">
        <f>IF($A232="","",IF(H232="","",H232*1000))</f>
        <v/>
      </c>
      <c r="K232" s="21">
        <f>IF($A232="","",E232-'2_公式與參數'!$C$14)</f>
        <v/>
      </c>
      <c r="L232" s="22">
        <f>IF($A232="","",IF(H232="","",K232*'2_公式與參數'!$C$6*'2_公式與參數'!$C$7/J232*100))</f>
        <v/>
      </c>
    </row>
    <row r="233">
      <c r="J233" s="20">
        <f>IF($A233="","",IF(H233="","",H233*1000))</f>
        <v/>
      </c>
      <c r="K233" s="21">
        <f>IF($A233="","",E233-'2_公式與參數'!$C$14)</f>
        <v/>
      </c>
      <c r="L233" s="22">
        <f>IF($A233="","",IF(H233="","",K233*'2_公式與參數'!$C$6*'2_公式與參數'!$C$7/J233*100))</f>
        <v/>
      </c>
    </row>
    <row r="234">
      <c r="J234" s="20">
        <f>IF($A234="","",IF(H234="","",H234*1000))</f>
        <v/>
      </c>
      <c r="K234" s="21">
        <f>IF($A234="","",E234-'2_公式與參數'!$C$14)</f>
        <v/>
      </c>
      <c r="L234" s="22">
        <f>IF($A234="","",IF(H234="","",K234*'2_公式與參數'!$C$6*'2_公式與參數'!$C$7/J234*100))</f>
        <v/>
      </c>
    </row>
    <row r="235">
      <c r="J235" s="20">
        <f>IF($A235="","",IF(H235="","",H235*1000))</f>
        <v/>
      </c>
      <c r="K235" s="21">
        <f>IF($A235="","",E235-'2_公式與參數'!$C$14)</f>
        <v/>
      </c>
      <c r="L235" s="22">
        <f>IF($A235="","",IF(H235="","",K235*'2_公式與參數'!$C$6*'2_公式與參數'!$C$7/J235*100))</f>
        <v/>
      </c>
    </row>
    <row r="236">
      <c r="J236" s="20">
        <f>IF($A236="","",IF(H236="","",H236*1000))</f>
        <v/>
      </c>
      <c r="K236" s="21">
        <f>IF($A236="","",E236-'2_公式與參數'!$C$14)</f>
        <v/>
      </c>
      <c r="L236" s="22">
        <f>IF($A236="","",IF(H236="","",K236*'2_公式與參數'!$C$6*'2_公式與參數'!$C$7/J236*100))</f>
        <v/>
      </c>
    </row>
    <row r="237">
      <c r="J237" s="20">
        <f>IF($A237="","",IF(H237="","",H237*1000))</f>
        <v/>
      </c>
      <c r="K237" s="21">
        <f>IF($A237="","",E237-'2_公式與參數'!$C$14)</f>
        <v/>
      </c>
      <c r="L237" s="22">
        <f>IF($A237="","",IF(H237="","",K237*'2_公式與參數'!$C$6*'2_公式與參數'!$C$7/J237*100))</f>
        <v/>
      </c>
    </row>
    <row r="238">
      <c r="J238" s="20">
        <f>IF($A238="","",IF(H238="","",H238*1000))</f>
        <v/>
      </c>
      <c r="K238" s="21">
        <f>IF($A238="","",E238-'2_公式與參數'!$C$14)</f>
        <v/>
      </c>
      <c r="L238" s="22">
        <f>IF($A238="","",IF(H238="","",K238*'2_公式與參數'!$C$6*'2_公式與參數'!$C$7/J238*100))</f>
        <v/>
      </c>
    </row>
    <row r="239">
      <c r="J239" s="20">
        <f>IF($A239="","",IF(H239="","",H239*1000))</f>
        <v/>
      </c>
      <c r="K239" s="21">
        <f>IF($A239="","",E239-'2_公式與參數'!$C$14)</f>
        <v/>
      </c>
      <c r="L239" s="22">
        <f>IF($A239="","",IF(H239="","",K239*'2_公式與參數'!$C$6*'2_公式與參數'!$C$7/J239*100))</f>
        <v/>
      </c>
    </row>
    <row r="240">
      <c r="J240" s="20">
        <f>IF($A240="","",IF(H240="","",H240*1000))</f>
        <v/>
      </c>
      <c r="K240" s="21">
        <f>IF($A240="","",E240-'2_公式與參數'!$C$14)</f>
        <v/>
      </c>
      <c r="L240" s="22">
        <f>IF($A240="","",IF(H240="","",K240*'2_公式與參數'!$C$6*'2_公式與參數'!$C$7/J240*100))</f>
        <v/>
      </c>
    </row>
    <row r="241">
      <c r="J241" s="20">
        <f>IF($A241="","",IF(H241="","",H241*1000))</f>
        <v/>
      </c>
      <c r="K241" s="21">
        <f>IF($A241="","",E241-'2_公式與參數'!$C$14)</f>
        <v/>
      </c>
      <c r="L241" s="22">
        <f>IF($A241="","",IF(H241="","",K241*'2_公式與參數'!$C$6*'2_公式與參數'!$C$7/J241*100))</f>
        <v/>
      </c>
    </row>
    <row r="242">
      <c r="J242" s="20">
        <f>IF($A242="","",IF(H242="","",H242*1000))</f>
        <v/>
      </c>
      <c r="K242" s="21">
        <f>IF($A242="","",E242-'2_公式與參數'!$C$14)</f>
        <v/>
      </c>
      <c r="L242" s="22">
        <f>IF($A242="","",IF(H242="","",K242*'2_公式與參數'!$C$6*'2_公式與參數'!$C$7/J242*100))</f>
        <v/>
      </c>
    </row>
    <row r="243">
      <c r="J243" s="20">
        <f>IF($A243="","",IF(H243="","",H243*1000))</f>
        <v/>
      </c>
      <c r="K243" s="21">
        <f>IF($A243="","",E243-'2_公式與參數'!$C$14)</f>
        <v/>
      </c>
      <c r="L243" s="22">
        <f>IF($A243="","",IF(H243="","",K243*'2_公式與參數'!$C$6*'2_公式與參數'!$C$7/J243*100))</f>
        <v/>
      </c>
    </row>
    <row r="244">
      <c r="J244" s="20">
        <f>IF($A244="","",IF(H244="","",H244*1000))</f>
        <v/>
      </c>
      <c r="K244" s="21">
        <f>IF($A244="","",E244-'2_公式與參數'!$C$14)</f>
        <v/>
      </c>
      <c r="L244" s="22">
        <f>IF($A244="","",IF(H244="","",K244*'2_公式與參數'!$C$6*'2_公式與參數'!$C$7/J244*100))</f>
        <v/>
      </c>
    </row>
    <row r="245">
      <c r="J245" s="20">
        <f>IF($A245="","",IF(H245="","",H245*1000))</f>
        <v/>
      </c>
      <c r="K245" s="21">
        <f>IF($A245="","",E245-'2_公式與參數'!$C$14)</f>
        <v/>
      </c>
      <c r="L245" s="22">
        <f>IF($A245="","",IF(H245="","",K245*'2_公式與參數'!$C$6*'2_公式與參數'!$C$7/J245*100))</f>
        <v/>
      </c>
    </row>
    <row r="246">
      <c r="J246" s="20">
        <f>IF($A246="","",IF(H246="","",H246*1000))</f>
        <v/>
      </c>
      <c r="K246" s="21">
        <f>IF($A246="","",E246-'2_公式與參數'!$C$14)</f>
        <v/>
      </c>
      <c r="L246" s="22">
        <f>IF($A246="","",IF(H246="","",K246*'2_公式與參數'!$C$6*'2_公式與參數'!$C$7/J246*100))</f>
        <v/>
      </c>
    </row>
    <row r="247">
      <c r="J247" s="20">
        <f>IF($A247="","",IF(H247="","",H247*1000))</f>
        <v/>
      </c>
      <c r="K247" s="21">
        <f>IF($A247="","",E247-'2_公式與參數'!$C$14)</f>
        <v/>
      </c>
      <c r="L247" s="22">
        <f>IF($A247="","",IF(H247="","",K247*'2_公式與參數'!$C$6*'2_公式與參數'!$C$7/J247*100))</f>
        <v/>
      </c>
    </row>
    <row r="248">
      <c r="J248" s="20">
        <f>IF($A248="","",IF(H248="","",H248*1000))</f>
        <v/>
      </c>
      <c r="K248" s="21">
        <f>IF($A248="","",E248-'2_公式與參數'!$C$14)</f>
        <v/>
      </c>
      <c r="L248" s="22">
        <f>IF($A248="","",IF(H248="","",K248*'2_公式與參數'!$C$6*'2_公式與參數'!$C$7/J248*100))</f>
        <v/>
      </c>
    </row>
    <row r="249">
      <c r="J249" s="20">
        <f>IF($A249="","",IF(H249="","",H249*1000))</f>
        <v/>
      </c>
      <c r="K249" s="21">
        <f>IF($A249="","",E249-'2_公式與參數'!$C$14)</f>
        <v/>
      </c>
      <c r="L249" s="22">
        <f>IF($A249="","",IF(H249="","",K249*'2_公式與參數'!$C$6*'2_公式與參數'!$C$7/J249*100))</f>
        <v/>
      </c>
    </row>
    <row r="250">
      <c r="J250" s="20">
        <f>IF($A250="","",IF(H250="","",H250*1000))</f>
        <v/>
      </c>
      <c r="K250" s="21">
        <f>IF($A250="","",E250-'2_公式與參數'!$C$14)</f>
        <v/>
      </c>
      <c r="L250" s="22">
        <f>IF($A250="","",IF(H250="","",K250*'2_公式與參數'!$C$6*'2_公式與參數'!$C$7/J250*100))</f>
        <v/>
      </c>
    </row>
    <row r="251">
      <c r="J251" s="20">
        <f>IF($A251="","",IF(H251="","",H251*1000))</f>
        <v/>
      </c>
      <c r="K251" s="21">
        <f>IF($A251="","",E251-'2_公式與參數'!$C$14)</f>
        <v/>
      </c>
      <c r="L251" s="22">
        <f>IF($A251="","",IF(H251="","",K251*'2_公式與參數'!$C$6*'2_公式與參數'!$C$7/J251*100))</f>
        <v/>
      </c>
    </row>
    <row r="252">
      <c r="J252" s="20">
        <f>IF($A252="","",IF(H252="","",H252*1000))</f>
        <v/>
      </c>
      <c r="K252" s="21">
        <f>IF($A252="","",E252-'2_公式與參數'!$C$14)</f>
        <v/>
      </c>
      <c r="L252" s="22">
        <f>IF($A252="","",IF(H252="","",K252*'2_公式與參數'!$C$6*'2_公式與參數'!$C$7/J252*100))</f>
        <v/>
      </c>
    </row>
    <row r="253">
      <c r="J253" s="20">
        <f>IF($A253="","",IF(H253="","",H253*1000))</f>
        <v/>
      </c>
      <c r="K253" s="21">
        <f>IF($A253="","",E253-'2_公式與參數'!$C$14)</f>
        <v/>
      </c>
      <c r="L253" s="22">
        <f>IF($A253="","",IF(H253="","",K253*'2_公式與參數'!$C$6*'2_公式與參數'!$C$7/J253*100))</f>
        <v/>
      </c>
    </row>
    <row r="254">
      <c r="J254" s="20">
        <f>IF($A254="","",IF(H254="","",H254*1000))</f>
        <v/>
      </c>
      <c r="K254" s="21">
        <f>IF($A254="","",E254-'2_公式與參數'!$C$14)</f>
        <v/>
      </c>
      <c r="L254" s="22">
        <f>IF($A254="","",IF(H254="","",K254*'2_公式與參數'!$C$6*'2_公式與參數'!$C$7/J254*100))</f>
        <v/>
      </c>
    </row>
    <row r="255">
      <c r="J255" s="20">
        <f>IF($A255="","",IF(H255="","",H255*1000))</f>
        <v/>
      </c>
      <c r="K255" s="21">
        <f>IF($A255="","",E255-'2_公式與參數'!$C$14)</f>
        <v/>
      </c>
      <c r="L255" s="22">
        <f>IF($A255="","",IF(H255="","",K255*'2_公式與參數'!$C$6*'2_公式與參數'!$C$7/J255*100))</f>
        <v/>
      </c>
    </row>
    <row r="256">
      <c r="J256" s="20">
        <f>IF($A256="","",IF(H256="","",H256*1000))</f>
        <v/>
      </c>
      <c r="K256" s="21">
        <f>IF($A256="","",E256-'2_公式與參數'!$C$14)</f>
        <v/>
      </c>
      <c r="L256" s="22">
        <f>IF($A256="","",IF(H256="","",K256*'2_公式與參數'!$C$6*'2_公式與參數'!$C$7/J256*100))</f>
        <v/>
      </c>
    </row>
    <row r="257">
      <c r="J257" s="20">
        <f>IF($A257="","",IF(H257="","",H257*1000))</f>
        <v/>
      </c>
      <c r="K257" s="21">
        <f>IF($A257="","",E257-'2_公式與參數'!$C$14)</f>
        <v/>
      </c>
      <c r="L257" s="22">
        <f>IF($A257="","",IF(H257="","",K257*'2_公式與參數'!$C$6*'2_公式與參數'!$C$7/J257*100))</f>
        <v/>
      </c>
    </row>
    <row r="258">
      <c r="J258" s="20">
        <f>IF($A258="","",IF(H258="","",H258*1000))</f>
        <v/>
      </c>
      <c r="K258" s="21">
        <f>IF($A258="","",E258-'2_公式與參數'!$C$14)</f>
        <v/>
      </c>
      <c r="L258" s="22">
        <f>IF($A258="","",IF(H258="","",K258*'2_公式與參數'!$C$6*'2_公式與參數'!$C$7/J258*100))</f>
        <v/>
      </c>
    </row>
    <row r="259">
      <c r="J259" s="20">
        <f>IF($A259="","",IF(H259="","",H259*1000))</f>
        <v/>
      </c>
      <c r="K259" s="21">
        <f>IF($A259="","",E259-'2_公式與參數'!$C$14)</f>
        <v/>
      </c>
      <c r="L259" s="22">
        <f>IF($A259="","",IF(H259="","",K259*'2_公式與參數'!$C$6*'2_公式與參數'!$C$7/J259*100))</f>
        <v/>
      </c>
    </row>
    <row r="260">
      <c r="J260" s="20">
        <f>IF($A260="","",IF(H260="","",H260*1000))</f>
        <v/>
      </c>
      <c r="K260" s="21">
        <f>IF($A260="","",E260-'2_公式與參數'!$C$14)</f>
        <v/>
      </c>
      <c r="L260" s="22">
        <f>IF($A260="","",IF(H260="","",K260*'2_公式與參數'!$C$6*'2_公式與參數'!$C$7/J260*100))</f>
        <v/>
      </c>
    </row>
    <row r="261">
      <c r="J261" s="20">
        <f>IF($A261="","",IF(H261="","",H261*1000))</f>
        <v/>
      </c>
      <c r="K261" s="21">
        <f>IF($A261="","",E261-'2_公式與參數'!$C$14)</f>
        <v/>
      </c>
      <c r="L261" s="22">
        <f>IF($A261="","",IF(H261="","",K261*'2_公式與參數'!$C$6*'2_公式與參數'!$C$7/J261*100))</f>
        <v/>
      </c>
    </row>
    <row r="262">
      <c r="J262" s="20">
        <f>IF($A262="","",IF(H262="","",H262*1000))</f>
        <v/>
      </c>
      <c r="K262" s="21">
        <f>IF($A262="","",E262-'2_公式與參數'!$C$14)</f>
        <v/>
      </c>
      <c r="L262" s="22">
        <f>IF($A262="","",IF(H262="","",K262*'2_公式與參數'!$C$6*'2_公式與參數'!$C$7/J262*100))</f>
        <v/>
      </c>
    </row>
    <row r="263">
      <c r="J263" s="20">
        <f>IF($A263="","",IF(H263="","",H263*1000))</f>
        <v/>
      </c>
      <c r="K263" s="21">
        <f>IF($A263="","",E263-'2_公式與參數'!$C$14)</f>
        <v/>
      </c>
      <c r="L263" s="22">
        <f>IF($A263="","",IF(H263="","",K263*'2_公式與參數'!$C$6*'2_公式與參數'!$C$7/J263*100))</f>
        <v/>
      </c>
    </row>
    <row r="264">
      <c r="J264" s="20">
        <f>IF($A264="","",IF(H264="","",H264*1000))</f>
        <v/>
      </c>
      <c r="K264" s="21">
        <f>IF($A264="","",E264-'2_公式與參數'!$C$14)</f>
        <v/>
      </c>
      <c r="L264" s="22">
        <f>IF($A264="","",IF(H264="","",K264*'2_公式與參數'!$C$6*'2_公式與參數'!$C$7/J264*100))</f>
        <v/>
      </c>
    </row>
    <row r="265">
      <c r="J265" s="20">
        <f>IF($A265="","",IF(H265="","",H265*1000))</f>
        <v/>
      </c>
      <c r="K265" s="21">
        <f>IF($A265="","",E265-'2_公式與參數'!$C$14)</f>
        <v/>
      </c>
      <c r="L265" s="22">
        <f>IF($A265="","",IF(H265="","",K265*'2_公式與參數'!$C$6*'2_公式與參數'!$C$7/J265*100))</f>
        <v/>
      </c>
    </row>
    <row r="266">
      <c r="J266" s="20">
        <f>IF($A266="","",IF(H266="","",H266*1000))</f>
        <v/>
      </c>
      <c r="K266" s="21">
        <f>IF($A266="","",E266-'2_公式與參數'!$C$14)</f>
        <v/>
      </c>
      <c r="L266" s="22">
        <f>IF($A266="","",IF(H266="","",K266*'2_公式與參數'!$C$6*'2_公式與參數'!$C$7/J266*100))</f>
        <v/>
      </c>
    </row>
    <row r="267">
      <c r="J267" s="20">
        <f>IF($A267="","",IF(H267="","",H267*1000))</f>
        <v/>
      </c>
      <c r="K267" s="21">
        <f>IF($A267="","",E267-'2_公式與參數'!$C$14)</f>
        <v/>
      </c>
      <c r="L267" s="22">
        <f>IF($A267="","",IF(H267="","",K267*'2_公式與參數'!$C$6*'2_公式與參數'!$C$7/J267*100))</f>
        <v/>
      </c>
    </row>
    <row r="268">
      <c r="J268" s="20">
        <f>IF($A268="","",IF(H268="","",H268*1000))</f>
        <v/>
      </c>
      <c r="K268" s="21">
        <f>IF($A268="","",E268-'2_公式與參數'!$C$14)</f>
        <v/>
      </c>
      <c r="L268" s="22">
        <f>IF($A268="","",IF(H268="","",K268*'2_公式與參數'!$C$6*'2_公式與參數'!$C$7/J268*100))</f>
        <v/>
      </c>
    </row>
    <row r="269">
      <c r="J269" s="20">
        <f>IF($A269="","",IF(H269="","",H269*1000))</f>
        <v/>
      </c>
      <c r="K269" s="21">
        <f>IF($A269="","",E269-'2_公式與參數'!$C$14)</f>
        <v/>
      </c>
      <c r="L269" s="22">
        <f>IF($A269="","",IF(H269="","",K269*'2_公式與參數'!$C$6*'2_公式與參數'!$C$7/J269*100))</f>
        <v/>
      </c>
    </row>
    <row r="270">
      <c r="J270" s="20">
        <f>IF($A270="","",IF(H270="","",H270*1000))</f>
        <v/>
      </c>
      <c r="K270" s="21">
        <f>IF($A270="","",E270-'2_公式與參數'!$C$14)</f>
        <v/>
      </c>
      <c r="L270" s="22">
        <f>IF($A270="","",IF(H270="","",K270*'2_公式與參數'!$C$6*'2_公式與參數'!$C$7/J270*100))</f>
        <v/>
      </c>
    </row>
    <row r="271">
      <c r="J271" s="20">
        <f>IF($A271="","",IF(H271="","",H271*1000))</f>
        <v/>
      </c>
      <c r="K271" s="21">
        <f>IF($A271="","",E271-'2_公式與參數'!$C$14)</f>
        <v/>
      </c>
      <c r="L271" s="22">
        <f>IF($A271="","",IF(H271="","",K271*'2_公式與參數'!$C$6*'2_公式與參數'!$C$7/J271*100))</f>
        <v/>
      </c>
    </row>
    <row r="272">
      <c r="J272" s="20">
        <f>IF($A272="","",IF(H272="","",H272*1000))</f>
        <v/>
      </c>
      <c r="K272" s="21">
        <f>IF($A272="","",E272-'2_公式與參數'!$C$14)</f>
        <v/>
      </c>
      <c r="L272" s="22">
        <f>IF($A272="","",IF(H272="","",K272*'2_公式與參數'!$C$6*'2_公式與參數'!$C$7/J272*100))</f>
        <v/>
      </c>
    </row>
    <row r="273">
      <c r="J273" s="20">
        <f>IF($A273="","",IF(H273="","",H273*1000))</f>
        <v/>
      </c>
      <c r="K273" s="21">
        <f>IF($A273="","",E273-'2_公式與參數'!$C$14)</f>
        <v/>
      </c>
      <c r="L273" s="22">
        <f>IF($A273="","",IF(H273="","",K273*'2_公式與參數'!$C$6*'2_公式與參數'!$C$7/J273*100))</f>
        <v/>
      </c>
    </row>
    <row r="274">
      <c r="J274" s="20">
        <f>IF($A274="","",IF(H274="","",H274*1000))</f>
        <v/>
      </c>
      <c r="K274" s="21">
        <f>IF($A274="","",E274-'2_公式與參數'!$C$14)</f>
        <v/>
      </c>
      <c r="L274" s="22">
        <f>IF($A274="","",IF(H274="","",K274*'2_公式與參數'!$C$6*'2_公式與參數'!$C$7/J274*100))</f>
        <v/>
      </c>
    </row>
    <row r="275">
      <c r="J275" s="20">
        <f>IF($A275="","",IF(H275="","",H275*1000))</f>
        <v/>
      </c>
      <c r="K275" s="21">
        <f>IF($A275="","",E275-'2_公式與參數'!$C$14)</f>
        <v/>
      </c>
      <c r="L275" s="22">
        <f>IF($A275="","",IF(H275="","",K275*'2_公式與參數'!$C$6*'2_公式與參數'!$C$7/J275*100))</f>
        <v/>
      </c>
    </row>
    <row r="276">
      <c r="J276" s="20">
        <f>IF($A276="","",IF(H276="","",H276*1000))</f>
        <v/>
      </c>
      <c r="K276" s="21">
        <f>IF($A276="","",E276-'2_公式與參數'!$C$14)</f>
        <v/>
      </c>
      <c r="L276" s="22">
        <f>IF($A276="","",IF(H276="","",K276*'2_公式與參數'!$C$6*'2_公式與參數'!$C$7/J276*100))</f>
        <v/>
      </c>
    </row>
    <row r="277">
      <c r="J277" s="20">
        <f>IF($A277="","",IF(H277="","",H277*1000))</f>
        <v/>
      </c>
      <c r="K277" s="21">
        <f>IF($A277="","",E277-'2_公式與參數'!$C$14)</f>
        <v/>
      </c>
      <c r="L277" s="22">
        <f>IF($A277="","",IF(H277="","",K277*'2_公式與參數'!$C$6*'2_公式與參數'!$C$7/J277*100))</f>
        <v/>
      </c>
    </row>
    <row r="278">
      <c r="J278" s="20">
        <f>IF($A278="","",IF(H278="","",H278*1000))</f>
        <v/>
      </c>
      <c r="K278" s="21">
        <f>IF($A278="","",E278-'2_公式與參數'!$C$14)</f>
        <v/>
      </c>
      <c r="L278" s="22">
        <f>IF($A278="","",IF(H278="","",K278*'2_公式與參數'!$C$6*'2_公式與參數'!$C$7/J278*100))</f>
        <v/>
      </c>
    </row>
    <row r="279">
      <c r="J279" s="20">
        <f>IF($A279="","",IF(H279="","",H279*1000))</f>
        <v/>
      </c>
      <c r="K279" s="21">
        <f>IF($A279="","",E279-'2_公式與參數'!$C$14)</f>
        <v/>
      </c>
      <c r="L279" s="22">
        <f>IF($A279="","",IF(H279="","",K279*'2_公式與參數'!$C$6*'2_公式與參數'!$C$7/J279*100))</f>
        <v/>
      </c>
    </row>
    <row r="280">
      <c r="J280" s="20">
        <f>IF($A280="","",IF(H280="","",H280*1000))</f>
        <v/>
      </c>
      <c r="K280" s="21">
        <f>IF($A280="","",E280-'2_公式與參數'!$C$14)</f>
        <v/>
      </c>
      <c r="L280" s="22">
        <f>IF($A280="","",IF(H280="","",K280*'2_公式與參數'!$C$6*'2_公式與參數'!$C$7/J280*100))</f>
        <v/>
      </c>
    </row>
    <row r="281">
      <c r="J281" s="20">
        <f>IF($A281="","",IF(H281="","",H281*1000))</f>
        <v/>
      </c>
      <c r="K281" s="21">
        <f>IF($A281="","",E281-'2_公式與參數'!$C$14)</f>
        <v/>
      </c>
      <c r="L281" s="22">
        <f>IF($A281="","",IF(H281="","",K281*'2_公式與參數'!$C$6*'2_公式與參數'!$C$7/J281*100))</f>
        <v/>
      </c>
    </row>
    <row r="282">
      <c r="J282" s="20">
        <f>IF($A282="","",IF(H282="","",H282*1000))</f>
        <v/>
      </c>
      <c r="K282" s="21">
        <f>IF($A282="","",E282-'2_公式與參數'!$C$14)</f>
        <v/>
      </c>
      <c r="L282" s="22">
        <f>IF($A282="","",IF(H282="","",K282*'2_公式與參數'!$C$6*'2_公式與參數'!$C$7/J282*100))</f>
        <v/>
      </c>
    </row>
    <row r="283">
      <c r="J283" s="20">
        <f>IF($A283="","",IF(H283="","",H283*1000))</f>
        <v/>
      </c>
      <c r="K283" s="21">
        <f>IF($A283="","",E283-'2_公式與參數'!$C$14)</f>
        <v/>
      </c>
      <c r="L283" s="22">
        <f>IF($A283="","",IF(H283="","",K283*'2_公式與參數'!$C$6*'2_公式與參數'!$C$7/J283*100))</f>
        <v/>
      </c>
    </row>
    <row r="284">
      <c r="J284" s="20">
        <f>IF($A284="","",IF(H284="","",H284*1000))</f>
        <v/>
      </c>
      <c r="K284" s="21">
        <f>IF($A284="","",E284-'2_公式與參數'!$C$14)</f>
        <v/>
      </c>
      <c r="L284" s="22">
        <f>IF($A284="","",IF(H284="","",K284*'2_公式與參數'!$C$6*'2_公式與參數'!$C$7/J284*100))</f>
        <v/>
      </c>
    </row>
    <row r="285">
      <c r="J285" s="20">
        <f>IF($A285="","",IF(H285="","",H285*1000))</f>
        <v/>
      </c>
      <c r="K285" s="21">
        <f>IF($A285="","",E285-'2_公式與參數'!$C$14)</f>
        <v/>
      </c>
      <c r="L285" s="22">
        <f>IF($A285="","",IF(H285="","",K285*'2_公式與參數'!$C$6*'2_公式與參數'!$C$7/J285*100))</f>
        <v/>
      </c>
    </row>
    <row r="286">
      <c r="J286" s="20">
        <f>IF($A286="","",IF(H286="","",H286*1000))</f>
        <v/>
      </c>
      <c r="K286" s="21">
        <f>IF($A286="","",E286-'2_公式與參數'!$C$14)</f>
        <v/>
      </c>
      <c r="L286" s="22">
        <f>IF($A286="","",IF(H286="","",K286*'2_公式與參數'!$C$6*'2_公式與參數'!$C$7/J286*100))</f>
        <v/>
      </c>
    </row>
    <row r="287">
      <c r="J287" s="20">
        <f>IF($A287="","",IF(H287="","",H287*1000))</f>
        <v/>
      </c>
      <c r="K287" s="21">
        <f>IF($A287="","",E287-'2_公式與參數'!$C$14)</f>
        <v/>
      </c>
      <c r="L287" s="22">
        <f>IF($A287="","",IF(H287="","",K287*'2_公式與參數'!$C$6*'2_公式與參數'!$C$7/J287*100))</f>
        <v/>
      </c>
    </row>
    <row r="288">
      <c r="J288" s="20">
        <f>IF($A288="","",IF(H288="","",H288*1000))</f>
        <v/>
      </c>
      <c r="K288" s="21">
        <f>IF($A288="","",E288-'2_公式與參數'!$C$14)</f>
        <v/>
      </c>
      <c r="L288" s="22">
        <f>IF($A288="","",IF(H288="","",K288*'2_公式與參數'!$C$6*'2_公式與參數'!$C$7/J288*100))</f>
        <v/>
      </c>
    </row>
    <row r="289">
      <c r="J289" s="20">
        <f>IF($A289="","",IF(H289="","",H289*1000))</f>
        <v/>
      </c>
      <c r="K289" s="21">
        <f>IF($A289="","",E289-'2_公式與參數'!$C$14)</f>
        <v/>
      </c>
      <c r="L289" s="22">
        <f>IF($A289="","",IF(H289="","",K289*'2_公式與參數'!$C$6*'2_公式與參數'!$C$7/J289*100))</f>
        <v/>
      </c>
    </row>
    <row r="290">
      <c r="J290" s="20">
        <f>IF($A290="","",IF(H290="","",H290*1000))</f>
        <v/>
      </c>
      <c r="K290" s="21">
        <f>IF($A290="","",E290-'2_公式與參數'!$C$14)</f>
        <v/>
      </c>
      <c r="L290" s="22">
        <f>IF($A290="","",IF(H290="","",K290*'2_公式與參數'!$C$6*'2_公式與參數'!$C$7/J290*100))</f>
        <v/>
      </c>
    </row>
    <row r="291">
      <c r="J291" s="20">
        <f>IF($A291="","",IF(H291="","",H291*1000))</f>
        <v/>
      </c>
      <c r="K291" s="21">
        <f>IF($A291="","",E291-'2_公式與參數'!$C$14)</f>
        <v/>
      </c>
      <c r="L291" s="22">
        <f>IF($A291="","",IF(H291="","",K291*'2_公式與參數'!$C$6*'2_公式與參數'!$C$7/J291*100))</f>
        <v/>
      </c>
    </row>
    <row r="292">
      <c r="J292" s="20">
        <f>IF($A292="","",IF(H292="","",H292*1000))</f>
        <v/>
      </c>
      <c r="K292" s="21">
        <f>IF($A292="","",E292-'2_公式與參數'!$C$14)</f>
        <v/>
      </c>
      <c r="L292" s="22">
        <f>IF($A292="","",IF(H292="","",K292*'2_公式與參數'!$C$6*'2_公式與參數'!$C$7/J292*100))</f>
        <v/>
      </c>
    </row>
    <row r="293">
      <c r="J293" s="20">
        <f>IF($A293="","",IF(H293="","",H293*1000))</f>
        <v/>
      </c>
      <c r="K293" s="21">
        <f>IF($A293="","",E293-'2_公式與參數'!$C$14)</f>
        <v/>
      </c>
      <c r="L293" s="22">
        <f>IF($A293="","",IF(H293="","",K293*'2_公式與參數'!$C$6*'2_公式與參數'!$C$7/J293*100))</f>
        <v/>
      </c>
    </row>
    <row r="294">
      <c r="J294" s="20">
        <f>IF($A294="","",IF(H294="","",H294*1000))</f>
        <v/>
      </c>
      <c r="K294" s="21">
        <f>IF($A294="","",E294-'2_公式與參數'!$C$14)</f>
        <v/>
      </c>
      <c r="L294" s="22">
        <f>IF($A294="","",IF(H294="","",K294*'2_公式與參數'!$C$6*'2_公式與參數'!$C$7/J294*100))</f>
        <v/>
      </c>
    </row>
    <row r="295">
      <c r="J295" s="20">
        <f>IF($A295="","",IF(H295="","",H295*1000))</f>
        <v/>
      </c>
      <c r="K295" s="21">
        <f>IF($A295="","",E295-'2_公式與參數'!$C$14)</f>
        <v/>
      </c>
      <c r="L295" s="22">
        <f>IF($A295="","",IF(H295="","",K295*'2_公式與參數'!$C$6*'2_公式與參數'!$C$7/J295*100))</f>
        <v/>
      </c>
    </row>
    <row r="296">
      <c r="J296" s="20">
        <f>IF($A296="","",IF(H296="","",H296*1000))</f>
        <v/>
      </c>
      <c r="K296" s="21">
        <f>IF($A296="","",E296-'2_公式與參數'!$C$14)</f>
        <v/>
      </c>
      <c r="L296" s="22">
        <f>IF($A296="","",IF(H296="","",K296*'2_公式與參數'!$C$6*'2_公式與參數'!$C$7/J296*100))</f>
        <v/>
      </c>
    </row>
    <row r="297">
      <c r="J297" s="20">
        <f>IF($A297="","",IF(H297="","",H297*1000))</f>
        <v/>
      </c>
      <c r="K297" s="21">
        <f>IF($A297="","",E297-'2_公式與參數'!$C$14)</f>
        <v/>
      </c>
      <c r="L297" s="22">
        <f>IF($A297="","",IF(H297="","",K297*'2_公式與參數'!$C$6*'2_公式與參數'!$C$7/J297*100))</f>
        <v/>
      </c>
    </row>
    <row r="298">
      <c r="J298" s="20">
        <f>IF($A298="","",IF(H298="","",H298*1000))</f>
        <v/>
      </c>
      <c r="K298" s="21">
        <f>IF($A298="","",E298-'2_公式與參數'!$C$14)</f>
        <v/>
      </c>
      <c r="L298" s="22">
        <f>IF($A298="","",IF(H298="","",K298*'2_公式與參數'!$C$6*'2_公式與參數'!$C$7/J298*100))</f>
        <v/>
      </c>
    </row>
    <row r="299">
      <c r="J299" s="20">
        <f>IF($A299="","",IF(H299="","",H299*1000))</f>
        <v/>
      </c>
      <c r="K299" s="21">
        <f>IF($A299="","",E299-'2_公式與參數'!$C$14)</f>
        <v/>
      </c>
      <c r="L299" s="22">
        <f>IF($A299="","",IF(H299="","",K299*'2_公式與參數'!$C$6*'2_公式與參數'!$C$7/J299*100))</f>
        <v/>
      </c>
    </row>
    <row r="300">
      <c r="J300" s="20">
        <f>IF($A300="","",IF(H300="","",H300*1000))</f>
        <v/>
      </c>
      <c r="K300" s="21">
        <f>IF($A300="","",E300-'2_公式與參數'!$C$14)</f>
        <v/>
      </c>
      <c r="L300" s="22">
        <f>IF($A300="","",IF(H300="","",K300*'2_公式與參數'!$C$6*'2_公式與參數'!$C$7/J300*100))</f>
        <v/>
      </c>
    </row>
    <row r="301">
      <c r="J301" s="20">
        <f>IF($A301="","",IF(H301="","",H301*1000))</f>
        <v/>
      </c>
      <c r="K301" s="21">
        <f>IF($A301="","",E301-'2_公式與參數'!$C$14)</f>
        <v/>
      </c>
      <c r="L301" s="22">
        <f>IF($A301="","",IF(H301="","",K301*'2_公式與參數'!$C$6*'2_公式與參數'!$C$7/J301*100))</f>
        <v/>
      </c>
    </row>
    <row r="302">
      <c r="J302" s="20">
        <f>IF($A302="","",IF(H302="","",H302*1000))</f>
        <v/>
      </c>
      <c r="K302" s="21">
        <f>IF($A302="","",E302-'2_公式與參數'!$C$14)</f>
        <v/>
      </c>
      <c r="L302" s="22">
        <f>IF($A302="","",IF(H302="","",K302*'2_公式與參數'!$C$6*'2_公式與參數'!$C$7/J302*100))</f>
        <v/>
      </c>
    </row>
    <row r="303">
      <c r="J303" s="20">
        <f>IF($A303="","",IF(H303="","",H303*1000))</f>
        <v/>
      </c>
      <c r="K303" s="21">
        <f>IF($A303="","",E303-'2_公式與參數'!$C$14)</f>
        <v/>
      </c>
      <c r="L303" s="22">
        <f>IF($A303="","",IF(H303="","",K303*'2_公式與參數'!$C$6*'2_公式與參數'!$C$7/J303*100))</f>
        <v/>
      </c>
    </row>
    <row r="304">
      <c r="J304" s="20">
        <f>IF($A304="","",IF(H304="","",H304*1000))</f>
        <v/>
      </c>
      <c r="K304" s="21">
        <f>IF($A304="","",E304-'2_公式與參數'!$C$14)</f>
        <v/>
      </c>
      <c r="L304" s="22">
        <f>IF($A304="","",IF(H304="","",K304*'2_公式與參數'!$C$6*'2_公式與參數'!$C$7/J304*100))</f>
        <v/>
      </c>
    </row>
    <row r="305">
      <c r="J305" s="20">
        <f>IF($A305="","",IF(H305="","",H305*1000))</f>
        <v/>
      </c>
      <c r="K305" s="21">
        <f>IF($A305="","",E305-'2_公式與參數'!$C$14)</f>
        <v/>
      </c>
      <c r="L305" s="22">
        <f>IF($A305="","",IF(H305="","",K305*'2_公式與參數'!$C$6*'2_公式與參數'!$C$7/J305*100))</f>
        <v/>
      </c>
    </row>
    <row r="306">
      <c r="J306" s="20">
        <f>IF($A306="","",IF(H306="","",H306*1000))</f>
        <v/>
      </c>
      <c r="K306" s="21">
        <f>IF($A306="","",E306-'2_公式與參數'!$C$14)</f>
        <v/>
      </c>
      <c r="L306" s="22">
        <f>IF($A306="","",IF(H306="","",K306*'2_公式與參數'!$C$6*'2_公式與參數'!$C$7/J306*100))</f>
        <v/>
      </c>
    </row>
    <row r="307">
      <c r="J307" s="20">
        <f>IF($A307="","",IF(H307="","",H307*1000))</f>
        <v/>
      </c>
      <c r="K307" s="21">
        <f>IF($A307="","",E307-'2_公式與參數'!$C$14)</f>
        <v/>
      </c>
      <c r="L307" s="22">
        <f>IF($A307="","",IF(H307="","",K307*'2_公式與參數'!$C$6*'2_公式與參數'!$C$7/J307*100))</f>
        <v/>
      </c>
    </row>
    <row r="308">
      <c r="J308" s="20">
        <f>IF($A308="","",IF(H308="","",H308*1000))</f>
        <v/>
      </c>
      <c r="K308" s="21">
        <f>IF($A308="","",E308-'2_公式與參數'!$C$14)</f>
        <v/>
      </c>
      <c r="L308" s="22">
        <f>IF($A308="","",IF(H308="","",K308*'2_公式與參數'!$C$6*'2_公式與參數'!$C$7/J308*100))</f>
        <v/>
      </c>
    </row>
    <row r="309">
      <c r="J309" s="20">
        <f>IF($A309="","",IF(H309="","",H309*1000))</f>
        <v/>
      </c>
      <c r="K309" s="21">
        <f>IF($A309="","",E309-'2_公式與參數'!$C$14)</f>
        <v/>
      </c>
      <c r="L309" s="22">
        <f>IF($A309="","",IF(H309="","",K309*'2_公式與參數'!$C$6*'2_公式與參數'!$C$7/J309*100))</f>
        <v/>
      </c>
    </row>
    <row r="310">
      <c r="J310" s="20">
        <f>IF($A310="","",IF(H310="","",H310*1000))</f>
        <v/>
      </c>
      <c r="K310" s="21">
        <f>IF($A310="","",E310-'2_公式與參數'!$C$14)</f>
        <v/>
      </c>
      <c r="L310" s="22">
        <f>IF($A310="","",IF(H310="","",K310*'2_公式與參數'!$C$6*'2_公式與參數'!$C$7/J310*100))</f>
        <v/>
      </c>
    </row>
    <row r="311">
      <c r="J311" s="20">
        <f>IF($A311="","",IF(H311="","",H311*1000))</f>
        <v/>
      </c>
      <c r="K311" s="21">
        <f>IF($A311="","",E311-'2_公式與參數'!$C$14)</f>
        <v/>
      </c>
      <c r="L311" s="22">
        <f>IF($A311="","",IF(H311="","",K311*'2_公式與參數'!$C$6*'2_公式與參數'!$C$7/J311*100))</f>
        <v/>
      </c>
    </row>
    <row r="312">
      <c r="J312" s="20">
        <f>IF($A312="","",IF(H312="","",H312*1000))</f>
        <v/>
      </c>
      <c r="K312" s="21">
        <f>IF($A312="","",E312-'2_公式與參數'!$C$14)</f>
        <v/>
      </c>
      <c r="L312" s="22">
        <f>IF($A312="","",IF(H312="","",K312*'2_公式與參數'!$C$6*'2_公式與參數'!$C$7/J312*100))</f>
        <v/>
      </c>
    </row>
    <row r="313">
      <c r="J313" s="20">
        <f>IF($A313="","",IF(H313="","",H313*1000))</f>
        <v/>
      </c>
      <c r="K313" s="21">
        <f>IF($A313="","",E313-'2_公式與參數'!$C$14)</f>
        <v/>
      </c>
      <c r="L313" s="22">
        <f>IF($A313="","",IF(H313="","",K313*'2_公式與參數'!$C$6*'2_公式與參數'!$C$7/J313*100))</f>
        <v/>
      </c>
    </row>
    <row r="314">
      <c r="J314" s="20">
        <f>IF($A314="","",IF(H314="","",H314*1000))</f>
        <v/>
      </c>
      <c r="K314" s="21">
        <f>IF($A314="","",E314-'2_公式與參數'!$C$14)</f>
        <v/>
      </c>
      <c r="L314" s="22">
        <f>IF($A314="","",IF(H314="","",K314*'2_公式與參數'!$C$6*'2_公式與參數'!$C$7/J314*100))</f>
        <v/>
      </c>
    </row>
    <row r="315">
      <c r="J315" s="20">
        <f>IF($A315="","",IF(H315="","",H315*1000))</f>
        <v/>
      </c>
      <c r="K315" s="21">
        <f>IF($A315="","",E315-'2_公式與參數'!$C$14)</f>
        <v/>
      </c>
      <c r="L315" s="22">
        <f>IF($A315="","",IF(H315="","",K315*'2_公式與參數'!$C$6*'2_公式與參數'!$C$7/J315*100))</f>
        <v/>
      </c>
    </row>
    <row r="316">
      <c r="J316" s="20">
        <f>IF($A316="","",IF(H316="","",H316*1000))</f>
        <v/>
      </c>
      <c r="K316" s="21">
        <f>IF($A316="","",E316-'2_公式與參數'!$C$14)</f>
        <v/>
      </c>
      <c r="L316" s="22">
        <f>IF($A316="","",IF(H316="","",K316*'2_公式與參數'!$C$6*'2_公式與參數'!$C$7/J316*100))</f>
        <v/>
      </c>
    </row>
    <row r="317">
      <c r="J317" s="20">
        <f>IF($A317="","",IF(H317="","",H317*1000))</f>
        <v/>
      </c>
      <c r="K317" s="21">
        <f>IF($A317="","",E317-'2_公式與參數'!$C$14)</f>
        <v/>
      </c>
      <c r="L317" s="22">
        <f>IF($A317="","",IF(H317="","",K317*'2_公式與參數'!$C$6*'2_公式與參數'!$C$7/J317*100))</f>
        <v/>
      </c>
    </row>
    <row r="318">
      <c r="J318" s="20">
        <f>IF($A318="","",IF(H318="","",H318*1000))</f>
        <v/>
      </c>
      <c r="K318" s="21">
        <f>IF($A318="","",E318-'2_公式與參數'!$C$14)</f>
        <v/>
      </c>
      <c r="L318" s="22">
        <f>IF($A318="","",IF(H318="","",K318*'2_公式與參數'!$C$6*'2_公式與參數'!$C$7/J318*100))</f>
        <v/>
      </c>
    </row>
    <row r="319">
      <c r="J319" s="20">
        <f>IF($A319="","",IF(H319="","",H319*1000))</f>
        <v/>
      </c>
      <c r="K319" s="21">
        <f>IF($A319="","",E319-'2_公式與參數'!$C$14)</f>
        <v/>
      </c>
      <c r="L319" s="22">
        <f>IF($A319="","",IF(H319="","",K319*'2_公式與參數'!$C$6*'2_公式與參數'!$C$7/J319*100))</f>
        <v/>
      </c>
    </row>
    <row r="320">
      <c r="J320" s="20">
        <f>IF($A320="","",IF(H320="","",H320*1000))</f>
        <v/>
      </c>
      <c r="K320" s="21">
        <f>IF($A320="","",E320-'2_公式與參數'!$C$14)</f>
        <v/>
      </c>
      <c r="L320" s="22">
        <f>IF($A320="","",IF(H320="","",K320*'2_公式與參數'!$C$6*'2_公式與參數'!$C$7/J320*100))</f>
        <v/>
      </c>
    </row>
    <row r="321">
      <c r="J321" s="20">
        <f>IF($A321="","",IF(H321="","",H321*1000))</f>
        <v/>
      </c>
      <c r="K321" s="21">
        <f>IF($A321="","",E321-'2_公式與參數'!$C$14)</f>
        <v/>
      </c>
      <c r="L321" s="22">
        <f>IF($A321="","",IF(H321="","",K321*'2_公式與參數'!$C$6*'2_公式與參數'!$C$7/J321*100))</f>
        <v/>
      </c>
    </row>
    <row r="322">
      <c r="J322" s="20">
        <f>IF($A322="","",IF(H322="","",H322*1000))</f>
        <v/>
      </c>
      <c r="K322" s="21">
        <f>IF($A322="","",E322-'2_公式與參數'!$C$14)</f>
        <v/>
      </c>
      <c r="L322" s="22">
        <f>IF($A322="","",IF(H322="","",K322*'2_公式與參數'!$C$6*'2_公式與參數'!$C$7/J322*100))</f>
        <v/>
      </c>
    </row>
    <row r="323">
      <c r="J323" s="20">
        <f>IF($A323="","",IF(H323="","",H323*1000))</f>
        <v/>
      </c>
      <c r="K323" s="21">
        <f>IF($A323="","",E323-'2_公式與參數'!$C$14)</f>
        <v/>
      </c>
      <c r="L323" s="22">
        <f>IF($A323="","",IF(H323="","",K323*'2_公式與參數'!$C$6*'2_公式與參數'!$C$7/J323*100))</f>
        <v/>
      </c>
    </row>
    <row r="324">
      <c r="J324" s="20">
        <f>IF($A324="","",IF(H324="","",H324*1000))</f>
        <v/>
      </c>
      <c r="K324" s="21">
        <f>IF($A324="","",E324-'2_公式與參數'!$C$14)</f>
        <v/>
      </c>
      <c r="L324" s="22">
        <f>IF($A324="","",IF(H324="","",K324*'2_公式與參數'!$C$6*'2_公式與參數'!$C$7/J324*100))</f>
        <v/>
      </c>
    </row>
    <row r="325">
      <c r="J325" s="20">
        <f>IF($A325="","",IF(H325="","",H325*1000))</f>
        <v/>
      </c>
      <c r="K325" s="21">
        <f>IF($A325="","",E325-'2_公式與參數'!$C$14)</f>
        <v/>
      </c>
      <c r="L325" s="22">
        <f>IF($A325="","",IF(H325="","",K325*'2_公式與參數'!$C$6*'2_公式與參數'!$C$7/J325*100))</f>
        <v/>
      </c>
    </row>
    <row r="326">
      <c r="J326" s="20">
        <f>IF($A326="","",IF(H326="","",H326*1000))</f>
        <v/>
      </c>
      <c r="K326" s="21">
        <f>IF($A326="","",E326-'2_公式與參數'!$C$14)</f>
        <v/>
      </c>
      <c r="L326" s="22">
        <f>IF($A326="","",IF(H326="","",K326*'2_公式與參數'!$C$6*'2_公式與參數'!$C$7/J326*100))</f>
        <v/>
      </c>
    </row>
    <row r="327">
      <c r="J327" s="20">
        <f>IF($A327="","",IF(H327="","",H327*1000))</f>
        <v/>
      </c>
      <c r="K327" s="21">
        <f>IF($A327="","",E327-'2_公式與參數'!$C$14)</f>
        <v/>
      </c>
      <c r="L327" s="22">
        <f>IF($A327="","",IF(H327="","",K327*'2_公式與參數'!$C$6*'2_公式與參數'!$C$7/J327*100))</f>
        <v/>
      </c>
    </row>
    <row r="328">
      <c r="J328" s="20">
        <f>IF($A328="","",IF(H328="","",H328*1000))</f>
        <v/>
      </c>
      <c r="K328" s="21">
        <f>IF($A328="","",E328-'2_公式與參數'!$C$14)</f>
        <v/>
      </c>
      <c r="L328" s="22">
        <f>IF($A328="","",IF(H328="","",K328*'2_公式與參數'!$C$6*'2_公式與參數'!$C$7/J328*100))</f>
        <v/>
      </c>
    </row>
    <row r="329">
      <c r="J329" s="20">
        <f>IF($A329="","",IF(H329="","",H329*1000))</f>
        <v/>
      </c>
      <c r="K329" s="21">
        <f>IF($A329="","",E329-'2_公式與參數'!$C$14)</f>
        <v/>
      </c>
      <c r="L329" s="22">
        <f>IF($A329="","",IF(H329="","",K329*'2_公式與參數'!$C$6*'2_公式與參數'!$C$7/J329*100))</f>
        <v/>
      </c>
    </row>
    <row r="330">
      <c r="J330" s="20">
        <f>IF($A330="","",IF(H330="","",H330*1000))</f>
        <v/>
      </c>
      <c r="K330" s="21">
        <f>IF($A330="","",E330-'2_公式與參數'!$C$14)</f>
        <v/>
      </c>
      <c r="L330" s="22">
        <f>IF($A330="","",IF(H330="","",K330*'2_公式與參數'!$C$6*'2_公式與參數'!$C$7/J330*100))</f>
        <v/>
      </c>
    </row>
    <row r="331">
      <c r="J331" s="20">
        <f>IF($A331="","",IF(H331="","",H331*1000))</f>
        <v/>
      </c>
      <c r="K331" s="21">
        <f>IF($A331="","",E331-'2_公式與參數'!$C$14)</f>
        <v/>
      </c>
      <c r="L331" s="22">
        <f>IF($A331="","",IF(H331="","",K331*'2_公式與參數'!$C$6*'2_公式與參數'!$C$7/J331*100))</f>
        <v/>
      </c>
    </row>
    <row r="332">
      <c r="J332" s="20">
        <f>IF($A332="","",IF(H332="","",H332*1000))</f>
        <v/>
      </c>
      <c r="K332" s="21">
        <f>IF($A332="","",E332-'2_公式與參數'!$C$14)</f>
        <v/>
      </c>
      <c r="L332" s="22">
        <f>IF($A332="","",IF(H332="","",K332*'2_公式與參數'!$C$6*'2_公式與參數'!$C$7/J332*100))</f>
        <v/>
      </c>
    </row>
    <row r="333">
      <c r="J333" s="20">
        <f>IF($A333="","",IF(H333="","",H333*1000))</f>
        <v/>
      </c>
      <c r="K333" s="21">
        <f>IF($A333="","",E333-'2_公式與參數'!$C$14)</f>
        <v/>
      </c>
      <c r="L333" s="22">
        <f>IF($A333="","",IF(H333="","",K333*'2_公式與參數'!$C$6*'2_公式與參數'!$C$7/J333*100))</f>
        <v/>
      </c>
    </row>
    <row r="334">
      <c r="J334" s="20">
        <f>IF($A334="","",IF(H334="","",H334*1000))</f>
        <v/>
      </c>
      <c r="K334" s="21">
        <f>IF($A334="","",E334-'2_公式與參數'!$C$14)</f>
        <v/>
      </c>
      <c r="L334" s="22">
        <f>IF($A334="","",IF(H334="","",K334*'2_公式與參數'!$C$6*'2_公式與參數'!$C$7/J334*100))</f>
        <v/>
      </c>
    </row>
    <row r="335">
      <c r="J335" s="20">
        <f>IF($A335="","",IF(H335="","",H335*1000))</f>
        <v/>
      </c>
      <c r="K335" s="21">
        <f>IF($A335="","",E335-'2_公式與參數'!$C$14)</f>
        <v/>
      </c>
      <c r="L335" s="22">
        <f>IF($A335="","",IF(H335="","",K335*'2_公式與參數'!$C$6*'2_公式與參數'!$C$7/J335*100))</f>
        <v/>
      </c>
    </row>
    <row r="336">
      <c r="J336" s="20">
        <f>IF($A336="","",IF(H336="","",H336*1000))</f>
        <v/>
      </c>
      <c r="K336" s="21">
        <f>IF($A336="","",E336-'2_公式與參數'!$C$14)</f>
        <v/>
      </c>
      <c r="L336" s="22">
        <f>IF($A336="","",IF(H336="","",K336*'2_公式與參數'!$C$6*'2_公式與參數'!$C$7/J336*100))</f>
        <v/>
      </c>
    </row>
    <row r="337">
      <c r="J337" s="20">
        <f>IF($A337="","",IF(H337="","",H337*1000))</f>
        <v/>
      </c>
      <c r="K337" s="21">
        <f>IF($A337="","",E337-'2_公式與參數'!$C$14)</f>
        <v/>
      </c>
      <c r="L337" s="22">
        <f>IF($A337="","",IF(H337="","",K337*'2_公式與參數'!$C$6*'2_公式與參數'!$C$7/J337*100))</f>
        <v/>
      </c>
    </row>
    <row r="338">
      <c r="J338" s="20">
        <f>IF($A338="","",IF(H338="","",H338*1000))</f>
        <v/>
      </c>
      <c r="K338" s="21">
        <f>IF($A338="","",E338-'2_公式與參數'!$C$14)</f>
        <v/>
      </c>
      <c r="L338" s="22">
        <f>IF($A338="","",IF(H338="","",K338*'2_公式與參數'!$C$6*'2_公式與參數'!$C$7/J338*100))</f>
        <v/>
      </c>
    </row>
    <row r="339">
      <c r="J339" s="20">
        <f>IF($A339="","",IF(H339="","",H339*1000))</f>
        <v/>
      </c>
      <c r="K339" s="21">
        <f>IF($A339="","",E339-'2_公式與參數'!$C$14)</f>
        <v/>
      </c>
      <c r="L339" s="22">
        <f>IF($A339="","",IF(H339="","",K339*'2_公式與參數'!$C$6*'2_公式與參數'!$C$7/J339*100))</f>
        <v/>
      </c>
    </row>
    <row r="340">
      <c r="J340" s="20">
        <f>IF($A340="","",IF(H340="","",H340*1000))</f>
        <v/>
      </c>
      <c r="K340" s="21">
        <f>IF($A340="","",E340-'2_公式與參數'!$C$14)</f>
        <v/>
      </c>
      <c r="L340" s="22">
        <f>IF($A340="","",IF(H340="","",K340*'2_公式與參數'!$C$6*'2_公式與參數'!$C$7/J340*100))</f>
        <v/>
      </c>
    </row>
    <row r="341">
      <c r="J341" s="20">
        <f>IF($A341="","",IF(H341="","",H341*1000))</f>
        <v/>
      </c>
      <c r="K341" s="21">
        <f>IF($A341="","",E341-'2_公式與參數'!$C$14)</f>
        <v/>
      </c>
      <c r="L341" s="22">
        <f>IF($A341="","",IF(H341="","",K341*'2_公式與參數'!$C$6*'2_公式與參數'!$C$7/J341*100))</f>
        <v/>
      </c>
    </row>
    <row r="342">
      <c r="J342" s="20">
        <f>IF($A342="","",IF(H342="","",H342*1000))</f>
        <v/>
      </c>
      <c r="K342" s="21">
        <f>IF($A342="","",E342-'2_公式與參數'!$C$14)</f>
        <v/>
      </c>
      <c r="L342" s="22">
        <f>IF($A342="","",IF(H342="","",K342*'2_公式與參數'!$C$6*'2_公式與參數'!$C$7/J342*100))</f>
        <v/>
      </c>
    </row>
    <row r="343">
      <c r="J343" s="20">
        <f>IF($A343="","",IF(H343="","",H343*1000))</f>
        <v/>
      </c>
      <c r="K343" s="21">
        <f>IF($A343="","",E343-'2_公式與參數'!$C$14)</f>
        <v/>
      </c>
      <c r="L343" s="22">
        <f>IF($A343="","",IF(H343="","",K343*'2_公式與參數'!$C$6*'2_公式與參數'!$C$7/J343*100))</f>
        <v/>
      </c>
    </row>
    <row r="344">
      <c r="J344" s="20">
        <f>IF($A344="","",IF(H344="","",H344*1000))</f>
        <v/>
      </c>
      <c r="K344" s="21">
        <f>IF($A344="","",E344-'2_公式與參數'!$C$14)</f>
        <v/>
      </c>
      <c r="L344" s="22">
        <f>IF($A344="","",IF(H344="","",K344*'2_公式與參數'!$C$6*'2_公式與參數'!$C$7/J344*100))</f>
        <v/>
      </c>
    </row>
    <row r="345">
      <c r="J345" s="20">
        <f>IF($A345="","",IF(H345="","",H345*1000))</f>
        <v/>
      </c>
      <c r="K345" s="21">
        <f>IF($A345="","",E345-'2_公式與參數'!$C$14)</f>
        <v/>
      </c>
      <c r="L345" s="22">
        <f>IF($A345="","",IF(H345="","",K345*'2_公式與參數'!$C$6*'2_公式與參數'!$C$7/J345*100))</f>
        <v/>
      </c>
    </row>
    <row r="346">
      <c r="J346" s="20">
        <f>IF($A346="","",IF(H346="","",H346*1000))</f>
        <v/>
      </c>
      <c r="K346" s="21">
        <f>IF($A346="","",E346-'2_公式與參數'!$C$14)</f>
        <v/>
      </c>
      <c r="L346" s="22">
        <f>IF($A346="","",IF(H346="","",K346*'2_公式與參數'!$C$6*'2_公式與參數'!$C$7/J346*100))</f>
        <v/>
      </c>
    </row>
    <row r="347">
      <c r="J347" s="20">
        <f>IF($A347="","",IF(H347="","",H347*1000))</f>
        <v/>
      </c>
      <c r="K347" s="21">
        <f>IF($A347="","",E347-'2_公式與參數'!$C$14)</f>
        <v/>
      </c>
      <c r="L347" s="22">
        <f>IF($A347="","",IF(H347="","",K347*'2_公式與參數'!$C$6*'2_公式與參數'!$C$7/J347*100))</f>
        <v/>
      </c>
    </row>
    <row r="348">
      <c r="J348" s="20">
        <f>IF($A348="","",IF(H348="","",H348*1000))</f>
        <v/>
      </c>
      <c r="K348" s="21">
        <f>IF($A348="","",E348-'2_公式與參數'!$C$14)</f>
        <v/>
      </c>
      <c r="L348" s="22">
        <f>IF($A348="","",IF(H348="","",K348*'2_公式與參數'!$C$6*'2_公式與參數'!$C$7/J348*100))</f>
        <v/>
      </c>
    </row>
    <row r="349">
      <c r="J349" s="20">
        <f>IF($A349="","",IF(H349="","",H349*1000))</f>
        <v/>
      </c>
      <c r="K349" s="21">
        <f>IF($A349="","",E349-'2_公式與參數'!$C$14)</f>
        <v/>
      </c>
      <c r="L349" s="22">
        <f>IF($A349="","",IF(H349="","",K349*'2_公式與參數'!$C$6*'2_公式與參數'!$C$7/J349*100))</f>
        <v/>
      </c>
    </row>
    <row r="350">
      <c r="J350" s="20">
        <f>IF($A350="","",IF(H350="","",H350*1000))</f>
        <v/>
      </c>
      <c r="K350" s="21">
        <f>IF($A350="","",E350-'2_公式與參數'!$C$14)</f>
        <v/>
      </c>
      <c r="L350" s="22">
        <f>IF($A350="","",IF(H350="","",K350*'2_公式與參數'!$C$6*'2_公式與參數'!$C$7/J350*100))</f>
        <v/>
      </c>
    </row>
    <row r="351">
      <c r="J351" s="20">
        <f>IF($A351="","",IF(H351="","",H351*1000))</f>
        <v/>
      </c>
      <c r="K351" s="21">
        <f>IF($A351="","",E351-'2_公式與參數'!$C$14)</f>
        <v/>
      </c>
      <c r="L351" s="22">
        <f>IF($A351="","",IF(H351="","",K351*'2_公式與參數'!$C$6*'2_公式與參數'!$C$7/J351*100))</f>
        <v/>
      </c>
    </row>
    <row r="352">
      <c r="J352" s="20">
        <f>IF($A352="","",IF(H352="","",H352*1000))</f>
        <v/>
      </c>
      <c r="K352" s="21">
        <f>IF($A352="","",E352-'2_公式與參數'!$C$14)</f>
        <v/>
      </c>
      <c r="L352" s="22">
        <f>IF($A352="","",IF(H352="","",K352*'2_公式與參數'!$C$6*'2_公式與參數'!$C$7/J352*100))</f>
        <v/>
      </c>
    </row>
    <row r="353">
      <c r="J353" s="20">
        <f>IF($A353="","",IF(H353="","",H353*1000))</f>
        <v/>
      </c>
      <c r="K353" s="21">
        <f>IF($A353="","",E353-'2_公式與參數'!$C$14)</f>
        <v/>
      </c>
      <c r="L353" s="22">
        <f>IF($A353="","",IF(H353="","",K353*'2_公式與參數'!$C$6*'2_公式與參數'!$C$7/J353*100))</f>
        <v/>
      </c>
    </row>
    <row r="354">
      <c r="J354" s="20">
        <f>IF($A354="","",IF(H354="","",H354*1000))</f>
        <v/>
      </c>
      <c r="K354" s="21">
        <f>IF($A354="","",E354-'2_公式與參數'!$C$14)</f>
        <v/>
      </c>
      <c r="L354" s="22">
        <f>IF($A354="","",IF(H354="","",K354*'2_公式與參數'!$C$6*'2_公式與參數'!$C$7/J354*100))</f>
        <v/>
      </c>
    </row>
    <row r="355">
      <c r="J355" s="20">
        <f>IF($A355="","",IF(H355="","",H355*1000))</f>
        <v/>
      </c>
      <c r="K355" s="21">
        <f>IF($A355="","",E355-'2_公式與參數'!$C$14)</f>
        <v/>
      </c>
      <c r="L355" s="22">
        <f>IF($A355="","",IF(H355="","",K355*'2_公式與參數'!$C$6*'2_公式與參數'!$C$7/J355*100))</f>
        <v/>
      </c>
    </row>
    <row r="356">
      <c r="J356" s="20">
        <f>IF($A356="","",IF(H356="","",H356*1000))</f>
        <v/>
      </c>
      <c r="K356" s="21">
        <f>IF($A356="","",E356-'2_公式與參數'!$C$14)</f>
        <v/>
      </c>
      <c r="L356" s="22">
        <f>IF($A356="","",IF(H356="","",K356*'2_公式與參數'!$C$6*'2_公式與參數'!$C$7/J356*100))</f>
        <v/>
      </c>
    </row>
    <row r="357">
      <c r="J357" s="20">
        <f>IF($A357="","",IF(H357="","",H357*1000))</f>
        <v/>
      </c>
      <c r="K357" s="21">
        <f>IF($A357="","",E357-'2_公式與參數'!$C$14)</f>
        <v/>
      </c>
      <c r="L357" s="22">
        <f>IF($A357="","",IF(H357="","",K357*'2_公式與參數'!$C$6*'2_公式與參數'!$C$7/J357*100))</f>
        <v/>
      </c>
    </row>
    <row r="358">
      <c r="J358" s="20">
        <f>IF($A358="","",IF(H358="","",H358*1000))</f>
        <v/>
      </c>
      <c r="K358" s="21">
        <f>IF($A358="","",E358-'2_公式與參數'!$C$14)</f>
        <v/>
      </c>
      <c r="L358" s="22">
        <f>IF($A358="","",IF(H358="","",K358*'2_公式與參數'!$C$6*'2_公式與參數'!$C$7/J358*100))</f>
        <v/>
      </c>
    </row>
    <row r="359">
      <c r="J359" s="20">
        <f>IF($A359="","",IF(H359="","",H359*1000))</f>
        <v/>
      </c>
      <c r="K359" s="21">
        <f>IF($A359="","",E359-'2_公式與參數'!$C$14)</f>
        <v/>
      </c>
      <c r="L359" s="22">
        <f>IF($A359="","",IF(H359="","",K359*'2_公式與參數'!$C$6*'2_公式與參數'!$C$7/J359*100))</f>
        <v/>
      </c>
    </row>
    <row r="360">
      <c r="J360" s="20">
        <f>IF($A360="","",IF(H360="","",H360*1000))</f>
        <v/>
      </c>
      <c r="K360" s="21">
        <f>IF($A360="","",E360-'2_公式與參數'!$C$14)</f>
        <v/>
      </c>
      <c r="L360" s="22">
        <f>IF($A360="","",IF(H360="","",K360*'2_公式與參數'!$C$6*'2_公式與參數'!$C$7/J360*100))</f>
        <v/>
      </c>
    </row>
    <row r="361">
      <c r="J361" s="20">
        <f>IF($A361="","",IF(H361="","",H361*1000))</f>
        <v/>
      </c>
      <c r="K361" s="21">
        <f>IF($A361="","",E361-'2_公式與參數'!$C$14)</f>
        <v/>
      </c>
      <c r="L361" s="22">
        <f>IF($A361="","",IF(H361="","",K361*'2_公式與參數'!$C$6*'2_公式與參數'!$C$7/J361*100))</f>
        <v/>
      </c>
    </row>
    <row r="362">
      <c r="J362" s="20">
        <f>IF($A362="","",IF(H362="","",H362*1000))</f>
        <v/>
      </c>
      <c r="K362" s="21">
        <f>IF($A362="","",E362-'2_公式與參數'!$C$14)</f>
        <v/>
      </c>
      <c r="L362" s="22">
        <f>IF($A362="","",IF(H362="","",K362*'2_公式與參數'!$C$6*'2_公式與參數'!$C$7/J362*100))</f>
        <v/>
      </c>
    </row>
    <row r="363">
      <c r="J363" s="20">
        <f>IF($A363="","",IF(H363="","",H363*1000))</f>
        <v/>
      </c>
      <c r="K363" s="21">
        <f>IF($A363="","",E363-'2_公式與參數'!$C$14)</f>
        <v/>
      </c>
      <c r="L363" s="22">
        <f>IF($A363="","",IF(H363="","",K363*'2_公式與參數'!$C$6*'2_公式與參數'!$C$7/J363*100))</f>
        <v/>
      </c>
    </row>
    <row r="364">
      <c r="J364" s="20">
        <f>IF($A364="","",IF(H364="","",H364*1000))</f>
        <v/>
      </c>
      <c r="K364" s="21">
        <f>IF($A364="","",E364-'2_公式與參數'!$C$14)</f>
        <v/>
      </c>
      <c r="L364" s="22">
        <f>IF($A364="","",IF(H364="","",K364*'2_公式與參數'!$C$6*'2_公式與參數'!$C$7/J364*100))</f>
        <v/>
      </c>
    </row>
    <row r="365">
      <c r="J365" s="20">
        <f>IF($A365="","",IF(H365="","",H365*1000))</f>
        <v/>
      </c>
      <c r="K365" s="21">
        <f>IF($A365="","",E365-'2_公式與參數'!$C$14)</f>
        <v/>
      </c>
      <c r="L365" s="22">
        <f>IF($A365="","",IF(H365="","",K365*'2_公式與參數'!$C$6*'2_公式與參數'!$C$7/J365*100))</f>
        <v/>
      </c>
    </row>
    <row r="366">
      <c r="J366" s="20">
        <f>IF($A366="","",IF(H366="","",H366*1000))</f>
        <v/>
      </c>
      <c r="K366" s="21">
        <f>IF($A366="","",E366-'2_公式與參數'!$C$14)</f>
        <v/>
      </c>
      <c r="L366" s="22">
        <f>IF($A366="","",IF(H366="","",K366*'2_公式與參數'!$C$6*'2_公式與參數'!$C$7/J366*100))</f>
        <v/>
      </c>
    </row>
    <row r="367">
      <c r="J367" s="20">
        <f>IF($A367="","",IF(H367="","",H367*1000))</f>
        <v/>
      </c>
      <c r="K367" s="21">
        <f>IF($A367="","",E367-'2_公式與參數'!$C$14)</f>
        <v/>
      </c>
      <c r="L367" s="22">
        <f>IF($A367="","",IF(H367="","",K367*'2_公式與參數'!$C$6*'2_公式與參數'!$C$7/J367*100))</f>
        <v/>
      </c>
    </row>
    <row r="368">
      <c r="J368" s="20">
        <f>IF($A368="","",IF(H368="","",H368*1000))</f>
        <v/>
      </c>
      <c r="K368" s="21">
        <f>IF($A368="","",E368-'2_公式與參數'!$C$14)</f>
        <v/>
      </c>
      <c r="L368" s="22">
        <f>IF($A368="","",IF(H368="","",K368*'2_公式與參數'!$C$6*'2_公式與參數'!$C$7/J368*100))</f>
        <v/>
      </c>
    </row>
    <row r="369">
      <c r="J369" s="20">
        <f>IF($A369="","",IF(H369="","",H369*1000))</f>
        <v/>
      </c>
      <c r="K369" s="21">
        <f>IF($A369="","",E369-'2_公式與參數'!$C$14)</f>
        <v/>
      </c>
      <c r="L369" s="22">
        <f>IF($A369="","",IF(H369="","",K369*'2_公式與參數'!$C$6*'2_公式與參數'!$C$7/J369*100))</f>
        <v/>
      </c>
    </row>
    <row r="370">
      <c r="J370" s="20">
        <f>IF($A370="","",IF(H370="","",H370*1000))</f>
        <v/>
      </c>
      <c r="K370" s="21">
        <f>IF($A370="","",E370-'2_公式與參數'!$C$14)</f>
        <v/>
      </c>
      <c r="L370" s="22">
        <f>IF($A370="","",IF(H370="","",K370*'2_公式與參數'!$C$6*'2_公式與參數'!$C$7/J370*100))</f>
        <v/>
      </c>
    </row>
    <row r="371">
      <c r="J371" s="20">
        <f>IF($A371="","",IF(H371="","",H371*1000))</f>
        <v/>
      </c>
      <c r="K371" s="21">
        <f>IF($A371="","",E371-'2_公式與參數'!$C$14)</f>
        <v/>
      </c>
      <c r="L371" s="22">
        <f>IF($A371="","",IF(H371="","",K371*'2_公式與參數'!$C$6*'2_公式與參數'!$C$7/J371*100))</f>
        <v/>
      </c>
    </row>
    <row r="372">
      <c r="J372" s="20">
        <f>IF($A372="","",IF(H372="","",H372*1000))</f>
        <v/>
      </c>
      <c r="K372" s="21">
        <f>IF($A372="","",E372-'2_公式與參數'!$C$14)</f>
        <v/>
      </c>
      <c r="L372" s="22">
        <f>IF($A372="","",IF(H372="","",K372*'2_公式與參數'!$C$6*'2_公式與參數'!$C$7/J372*100))</f>
        <v/>
      </c>
    </row>
    <row r="373">
      <c r="J373" s="20">
        <f>IF($A373="","",IF(H373="","",H373*1000))</f>
        <v/>
      </c>
      <c r="K373" s="21">
        <f>IF($A373="","",E373-'2_公式與參數'!$C$14)</f>
        <v/>
      </c>
      <c r="L373" s="22">
        <f>IF($A373="","",IF(H373="","",K373*'2_公式與參數'!$C$6*'2_公式與參數'!$C$7/J373*100))</f>
        <v/>
      </c>
    </row>
    <row r="374">
      <c r="J374" s="20">
        <f>IF($A374="","",IF(H374="","",H374*1000))</f>
        <v/>
      </c>
      <c r="K374" s="21">
        <f>IF($A374="","",E374-'2_公式與參數'!$C$14)</f>
        <v/>
      </c>
      <c r="L374" s="22">
        <f>IF($A374="","",IF(H374="","",K374*'2_公式與參數'!$C$6*'2_公式與參數'!$C$7/J374*100))</f>
        <v/>
      </c>
    </row>
    <row r="375">
      <c r="J375" s="20">
        <f>IF($A375="","",IF(H375="","",H375*1000))</f>
        <v/>
      </c>
      <c r="K375" s="21">
        <f>IF($A375="","",E375-'2_公式與參數'!$C$14)</f>
        <v/>
      </c>
      <c r="L375" s="22">
        <f>IF($A375="","",IF(H375="","",K375*'2_公式與參數'!$C$6*'2_公式與參數'!$C$7/J375*100))</f>
        <v/>
      </c>
    </row>
    <row r="376">
      <c r="J376" s="20">
        <f>IF($A376="","",IF(H376="","",H376*1000))</f>
        <v/>
      </c>
      <c r="K376" s="21">
        <f>IF($A376="","",E376-'2_公式與參數'!$C$14)</f>
        <v/>
      </c>
      <c r="L376" s="22">
        <f>IF($A376="","",IF(H376="","",K376*'2_公式與參數'!$C$6*'2_公式與參數'!$C$7/J376*100))</f>
        <v/>
      </c>
    </row>
    <row r="377">
      <c r="J377" s="20">
        <f>IF($A377="","",IF(H377="","",H377*1000))</f>
        <v/>
      </c>
      <c r="K377" s="21">
        <f>IF($A377="","",E377-'2_公式與參數'!$C$14)</f>
        <v/>
      </c>
      <c r="L377" s="22">
        <f>IF($A377="","",IF(H377="","",K377*'2_公式與參數'!$C$6*'2_公式與參數'!$C$7/J377*100))</f>
        <v/>
      </c>
    </row>
    <row r="378">
      <c r="J378" s="20">
        <f>IF($A378="","",IF(H378="","",H378*1000))</f>
        <v/>
      </c>
      <c r="K378" s="21">
        <f>IF($A378="","",E378-'2_公式與參數'!$C$14)</f>
        <v/>
      </c>
      <c r="L378" s="22">
        <f>IF($A378="","",IF(H378="","",K378*'2_公式與參數'!$C$6*'2_公式與參數'!$C$7/J378*100))</f>
        <v/>
      </c>
    </row>
    <row r="379">
      <c r="J379" s="20">
        <f>IF($A379="","",IF(H379="","",H379*1000))</f>
        <v/>
      </c>
      <c r="K379" s="21">
        <f>IF($A379="","",E379-'2_公式與參數'!$C$14)</f>
        <v/>
      </c>
      <c r="L379" s="22">
        <f>IF($A379="","",IF(H379="","",K379*'2_公式與參數'!$C$6*'2_公式與參數'!$C$7/J379*100))</f>
        <v/>
      </c>
    </row>
    <row r="380">
      <c r="J380" s="20">
        <f>IF($A380="","",IF(H380="","",H380*1000))</f>
        <v/>
      </c>
      <c r="K380" s="21">
        <f>IF($A380="","",E380-'2_公式與參數'!$C$14)</f>
        <v/>
      </c>
      <c r="L380" s="22">
        <f>IF($A380="","",IF(H380="","",K380*'2_公式與參數'!$C$6*'2_公式與參數'!$C$7/J380*100))</f>
        <v/>
      </c>
    </row>
    <row r="381">
      <c r="J381" s="20">
        <f>IF($A381="","",IF(H381="","",H381*1000))</f>
        <v/>
      </c>
      <c r="K381" s="21">
        <f>IF($A381="","",E381-'2_公式與參數'!$C$14)</f>
        <v/>
      </c>
      <c r="L381" s="22">
        <f>IF($A381="","",IF(H381="","",K381*'2_公式與參數'!$C$6*'2_公式與參數'!$C$7/J381*100))</f>
        <v/>
      </c>
    </row>
    <row r="382">
      <c r="J382" s="20">
        <f>IF($A382="","",IF(H382="","",H382*1000))</f>
        <v/>
      </c>
      <c r="K382" s="21">
        <f>IF($A382="","",E382-'2_公式與參數'!$C$14)</f>
        <v/>
      </c>
      <c r="L382" s="22">
        <f>IF($A382="","",IF(H382="","",K382*'2_公式與參數'!$C$6*'2_公式與參數'!$C$7/J382*100))</f>
        <v/>
      </c>
    </row>
    <row r="383">
      <c r="J383" s="20">
        <f>IF($A383="","",IF(H383="","",H383*1000))</f>
        <v/>
      </c>
      <c r="K383" s="21">
        <f>IF($A383="","",E383-'2_公式與參數'!$C$14)</f>
        <v/>
      </c>
      <c r="L383" s="22">
        <f>IF($A383="","",IF(H383="","",K383*'2_公式與參數'!$C$6*'2_公式與參數'!$C$7/J383*100))</f>
        <v/>
      </c>
    </row>
    <row r="384">
      <c r="J384" s="20">
        <f>IF($A384="","",IF(H384="","",H384*1000))</f>
        <v/>
      </c>
      <c r="K384" s="21">
        <f>IF($A384="","",E384-'2_公式與參數'!$C$14)</f>
        <v/>
      </c>
      <c r="L384" s="22">
        <f>IF($A384="","",IF(H384="","",K384*'2_公式與參數'!$C$6*'2_公式與參數'!$C$7/J384*100))</f>
        <v/>
      </c>
    </row>
    <row r="385">
      <c r="J385" s="20">
        <f>IF($A385="","",IF(H385="","",H385*1000))</f>
        <v/>
      </c>
      <c r="K385" s="21">
        <f>IF($A385="","",E385-'2_公式與參數'!$C$14)</f>
        <v/>
      </c>
      <c r="L385" s="22">
        <f>IF($A385="","",IF(H385="","",K385*'2_公式與參數'!$C$6*'2_公式與參數'!$C$7/J385*100))</f>
        <v/>
      </c>
    </row>
    <row r="386">
      <c r="J386" s="20">
        <f>IF($A386="","",IF(H386="","",H386*1000))</f>
        <v/>
      </c>
      <c r="K386" s="21">
        <f>IF($A386="","",E386-'2_公式與參數'!$C$14)</f>
        <v/>
      </c>
      <c r="L386" s="22">
        <f>IF($A386="","",IF(H386="","",K386*'2_公式與參數'!$C$6*'2_公式與參數'!$C$7/J386*100))</f>
        <v/>
      </c>
    </row>
    <row r="387">
      <c r="J387" s="20">
        <f>IF($A387="","",IF(H387="","",H387*1000))</f>
        <v/>
      </c>
      <c r="K387" s="21">
        <f>IF($A387="","",E387-'2_公式與參數'!$C$14)</f>
        <v/>
      </c>
      <c r="L387" s="22">
        <f>IF($A387="","",IF(H387="","",K387*'2_公式與參數'!$C$6*'2_公式與參數'!$C$7/J387*100))</f>
        <v/>
      </c>
    </row>
    <row r="388">
      <c r="J388" s="20">
        <f>IF($A388="","",IF(H388="","",H388*1000))</f>
        <v/>
      </c>
      <c r="K388" s="21">
        <f>IF($A388="","",E388-'2_公式與參數'!$C$14)</f>
        <v/>
      </c>
      <c r="L388" s="22">
        <f>IF($A388="","",IF(H388="","",K388*'2_公式與參數'!$C$6*'2_公式與參數'!$C$7/J388*100))</f>
        <v/>
      </c>
    </row>
    <row r="389">
      <c r="J389" s="20">
        <f>IF($A389="","",IF(H389="","",H389*1000))</f>
        <v/>
      </c>
      <c r="K389" s="21">
        <f>IF($A389="","",E389-'2_公式與參數'!$C$14)</f>
        <v/>
      </c>
      <c r="L389" s="22">
        <f>IF($A389="","",IF(H389="","",K389*'2_公式與參數'!$C$6*'2_公式與參數'!$C$7/J389*100))</f>
        <v/>
      </c>
    </row>
    <row r="390">
      <c r="J390" s="20">
        <f>IF($A390="","",IF(H390="","",H390*1000))</f>
        <v/>
      </c>
      <c r="K390" s="21">
        <f>IF($A390="","",E390-'2_公式與參數'!$C$14)</f>
        <v/>
      </c>
      <c r="L390" s="22">
        <f>IF($A390="","",IF(H390="","",K390*'2_公式與參數'!$C$6*'2_公式與參數'!$C$7/J390*100))</f>
        <v/>
      </c>
    </row>
    <row r="391">
      <c r="J391" s="20">
        <f>IF($A391="","",IF(H391="","",H391*1000))</f>
        <v/>
      </c>
      <c r="K391" s="21">
        <f>IF($A391="","",E391-'2_公式與參數'!$C$14)</f>
        <v/>
      </c>
      <c r="L391" s="22">
        <f>IF($A391="","",IF(H391="","",K391*'2_公式與參數'!$C$6*'2_公式與參數'!$C$7/J391*100))</f>
        <v/>
      </c>
    </row>
    <row r="392">
      <c r="J392" s="20">
        <f>IF($A392="","",IF(H392="","",H392*1000))</f>
        <v/>
      </c>
      <c r="K392" s="21">
        <f>IF($A392="","",E392-'2_公式與參數'!$C$14)</f>
        <v/>
      </c>
      <c r="L392" s="22">
        <f>IF($A392="","",IF(H392="","",K392*'2_公式與參數'!$C$6*'2_公式與參數'!$C$7/J392*100))</f>
        <v/>
      </c>
    </row>
    <row r="393">
      <c r="J393" s="20">
        <f>IF($A393="","",IF(H393="","",H393*1000))</f>
        <v/>
      </c>
      <c r="K393" s="21">
        <f>IF($A393="","",E393-'2_公式與參數'!$C$14)</f>
        <v/>
      </c>
      <c r="L393" s="22">
        <f>IF($A393="","",IF(H393="","",K393*'2_公式與參數'!$C$6*'2_公式與參數'!$C$7/J393*100))</f>
        <v/>
      </c>
    </row>
    <row r="394">
      <c r="J394" s="20">
        <f>IF($A394="","",IF(H394="","",H394*1000))</f>
        <v/>
      </c>
      <c r="K394" s="21">
        <f>IF($A394="","",E394-'2_公式與參數'!$C$14)</f>
        <v/>
      </c>
      <c r="L394" s="22">
        <f>IF($A394="","",IF(H394="","",K394*'2_公式與參數'!$C$6*'2_公式與參數'!$C$7/J394*100))</f>
        <v/>
      </c>
    </row>
    <row r="395">
      <c r="J395" s="20">
        <f>IF($A395="","",IF(H395="","",H395*1000))</f>
        <v/>
      </c>
      <c r="K395" s="21">
        <f>IF($A395="","",E395-'2_公式與參數'!$C$14)</f>
        <v/>
      </c>
      <c r="L395" s="22">
        <f>IF($A395="","",IF(H395="","",K395*'2_公式與參數'!$C$6*'2_公式與參數'!$C$7/J395*100))</f>
        <v/>
      </c>
    </row>
    <row r="396">
      <c r="J396" s="20">
        <f>IF($A396="","",IF(H396="","",H396*1000))</f>
        <v/>
      </c>
      <c r="K396" s="21">
        <f>IF($A396="","",E396-'2_公式與參數'!$C$14)</f>
        <v/>
      </c>
      <c r="L396" s="22">
        <f>IF($A396="","",IF(H396="","",K396*'2_公式與參數'!$C$6*'2_公式與參數'!$C$7/J396*100))</f>
        <v/>
      </c>
    </row>
    <row r="397">
      <c r="J397" s="20">
        <f>IF($A397="","",IF(H397="","",H397*1000))</f>
        <v/>
      </c>
      <c r="K397" s="21">
        <f>IF($A397="","",E397-'2_公式與參數'!$C$14)</f>
        <v/>
      </c>
      <c r="L397" s="22">
        <f>IF($A397="","",IF(H397="","",K397*'2_公式與參數'!$C$6*'2_公式與參數'!$C$7/J397*100))</f>
        <v/>
      </c>
    </row>
    <row r="398">
      <c r="J398" s="20">
        <f>IF($A398="","",IF(H398="","",H398*1000))</f>
        <v/>
      </c>
      <c r="K398" s="21">
        <f>IF($A398="","",E398-'2_公式與參數'!$C$14)</f>
        <v/>
      </c>
      <c r="L398" s="22">
        <f>IF($A398="","",IF(H398="","",K398*'2_公式與參數'!$C$6*'2_公式與參數'!$C$7/J398*100))</f>
        <v/>
      </c>
    </row>
    <row r="399">
      <c r="J399" s="20">
        <f>IF($A399="","",IF(H399="","",H399*1000))</f>
        <v/>
      </c>
      <c r="K399" s="21">
        <f>IF($A399="","",E399-'2_公式與參數'!$C$14)</f>
        <v/>
      </c>
      <c r="L399" s="22">
        <f>IF($A399="","",IF(H399="","",K399*'2_公式與參數'!$C$6*'2_公式與參數'!$C$7/J399*100))</f>
        <v/>
      </c>
    </row>
    <row r="400">
      <c r="J400" s="20">
        <f>IF($A400="","",IF(H400="","",H400*1000))</f>
        <v/>
      </c>
      <c r="K400" s="21">
        <f>IF($A400="","",E400-'2_公式與參數'!$C$14)</f>
        <v/>
      </c>
      <c r="L400" s="22">
        <f>IF($A400="","",IF(H400="","",K400*'2_公式與參數'!$C$6*'2_公式與參數'!$C$7/J400*100))</f>
        <v/>
      </c>
    </row>
    <row r="401">
      <c r="J401" s="20">
        <f>IF($A401="","",IF(H401="","",H401*1000))</f>
        <v/>
      </c>
      <c r="K401" s="21">
        <f>IF($A401="","",E401-'2_公式與參數'!$C$14)</f>
        <v/>
      </c>
      <c r="L401" s="22">
        <f>IF($A401="","",IF(H401="","",K401*'2_公式與參數'!$C$6*'2_公式與參數'!$C$7/J401*100))</f>
        <v/>
      </c>
    </row>
    <row r="402">
      <c r="J402" s="20">
        <f>IF($A402="","",IF(H402="","",H402*1000))</f>
        <v/>
      </c>
      <c r="K402" s="21">
        <f>IF($A402="","",E402-'2_公式與參數'!$C$14)</f>
        <v/>
      </c>
      <c r="L402" s="22">
        <f>IF($A402="","",IF(H402="","",K402*'2_公式與參數'!$C$6*'2_公式與參數'!$C$7/J402*100))</f>
        <v/>
      </c>
    </row>
    <row r="403">
      <c r="J403" s="20">
        <f>IF($A403="","",IF(H403="","",H403*1000))</f>
        <v/>
      </c>
      <c r="K403" s="21">
        <f>IF($A403="","",E403-'2_公式與參數'!$C$14)</f>
        <v/>
      </c>
      <c r="L403" s="22">
        <f>IF($A403="","",IF(H403="","",K403*'2_公式與參數'!$C$6*'2_公式與參數'!$C$7/J403*100))</f>
        <v/>
      </c>
    </row>
    <row r="404">
      <c r="J404" s="20">
        <f>IF($A404="","",IF(H404="","",H404*1000))</f>
        <v/>
      </c>
      <c r="K404" s="21">
        <f>IF($A404="","",E404-'2_公式與參數'!$C$14)</f>
        <v/>
      </c>
      <c r="L404" s="22">
        <f>IF($A404="","",IF(H404="","",K404*'2_公式與參數'!$C$6*'2_公式與參數'!$C$7/J404*100))</f>
        <v/>
      </c>
    </row>
    <row r="405">
      <c r="J405" s="20">
        <f>IF($A405="","",IF(H405="","",H405*1000))</f>
        <v/>
      </c>
      <c r="K405" s="21">
        <f>IF($A405="","",E405-'2_公式與參數'!$C$14)</f>
        <v/>
      </c>
      <c r="L405" s="22">
        <f>IF($A405="","",IF(H405="","",K405*'2_公式與參數'!$C$6*'2_公式與參數'!$C$7/J405*100))</f>
        <v/>
      </c>
    </row>
    <row r="406">
      <c r="J406" s="20">
        <f>IF($A406="","",IF(H406="","",H406*1000))</f>
        <v/>
      </c>
      <c r="K406" s="21">
        <f>IF($A406="","",E406-'2_公式與參數'!$C$14)</f>
        <v/>
      </c>
      <c r="L406" s="22">
        <f>IF($A406="","",IF(H406="","",K406*'2_公式與參數'!$C$6*'2_公式與參數'!$C$7/J406*100))</f>
        <v/>
      </c>
    </row>
    <row r="407">
      <c r="J407" s="20">
        <f>IF($A407="","",IF(H407="","",H407*1000))</f>
        <v/>
      </c>
      <c r="K407" s="21">
        <f>IF($A407="","",E407-'2_公式與參數'!$C$14)</f>
        <v/>
      </c>
      <c r="L407" s="22">
        <f>IF($A407="","",IF(H407="","",K407*'2_公式與參數'!$C$6*'2_公式與參數'!$C$7/J407*100))</f>
        <v/>
      </c>
    </row>
    <row r="408">
      <c r="J408" s="20">
        <f>IF($A408="","",IF(H408="","",H408*1000))</f>
        <v/>
      </c>
      <c r="K408" s="21">
        <f>IF($A408="","",E408-'2_公式與參數'!$C$14)</f>
        <v/>
      </c>
      <c r="L408" s="22">
        <f>IF($A408="","",IF(H408="","",K408*'2_公式與參數'!$C$6*'2_公式與參數'!$C$7/J408*100))</f>
        <v/>
      </c>
    </row>
    <row r="409">
      <c r="J409" s="20">
        <f>IF($A409="","",IF(H409="","",H409*1000))</f>
        <v/>
      </c>
      <c r="K409" s="21">
        <f>IF($A409="","",E409-'2_公式與參數'!$C$14)</f>
        <v/>
      </c>
      <c r="L409" s="22">
        <f>IF($A409="","",IF(H409="","",K409*'2_公式與參數'!$C$6*'2_公式與參數'!$C$7/J409*100))</f>
        <v/>
      </c>
    </row>
    <row r="410">
      <c r="J410" s="20">
        <f>IF($A410="","",IF(H410="","",H410*1000))</f>
        <v/>
      </c>
      <c r="K410" s="21">
        <f>IF($A410="","",E410-'2_公式與參數'!$C$14)</f>
        <v/>
      </c>
      <c r="L410" s="22">
        <f>IF($A410="","",IF(H410="","",K410*'2_公式與參數'!$C$6*'2_公式與參數'!$C$7/J410*100))</f>
        <v/>
      </c>
    </row>
    <row r="411">
      <c r="J411" s="20">
        <f>IF($A411="","",IF(H411="","",H411*1000))</f>
        <v/>
      </c>
      <c r="K411" s="21">
        <f>IF($A411="","",E411-'2_公式與參數'!$C$14)</f>
        <v/>
      </c>
      <c r="L411" s="22">
        <f>IF($A411="","",IF(H411="","",K411*'2_公式與參數'!$C$6*'2_公式與參數'!$C$7/J411*100))</f>
        <v/>
      </c>
    </row>
    <row r="412">
      <c r="J412" s="20">
        <f>IF($A412="","",IF(H412="","",H412*1000))</f>
        <v/>
      </c>
      <c r="K412" s="21">
        <f>IF($A412="","",E412-'2_公式與參數'!$C$14)</f>
        <v/>
      </c>
      <c r="L412" s="22">
        <f>IF($A412="","",IF(H412="","",K412*'2_公式與參數'!$C$6*'2_公式與參數'!$C$7/J412*100))</f>
        <v/>
      </c>
    </row>
    <row r="413">
      <c r="J413" s="20">
        <f>IF($A413="","",IF(H413="","",H413*1000))</f>
        <v/>
      </c>
      <c r="K413" s="21">
        <f>IF($A413="","",E413-'2_公式與參數'!$C$14)</f>
        <v/>
      </c>
      <c r="L413" s="22">
        <f>IF($A413="","",IF(H413="","",K413*'2_公式與參數'!$C$6*'2_公式與參數'!$C$7/J413*100))</f>
        <v/>
      </c>
    </row>
    <row r="414">
      <c r="J414" s="20">
        <f>IF($A414="","",IF(H414="","",H414*1000))</f>
        <v/>
      </c>
      <c r="K414" s="21">
        <f>IF($A414="","",E414-'2_公式與參數'!$C$14)</f>
        <v/>
      </c>
      <c r="L414" s="22">
        <f>IF($A414="","",IF(H414="","",K414*'2_公式與參數'!$C$6*'2_公式與參數'!$C$7/J414*100))</f>
        <v/>
      </c>
    </row>
    <row r="415">
      <c r="J415" s="20">
        <f>IF($A415="","",IF(H415="","",H415*1000))</f>
        <v/>
      </c>
      <c r="K415" s="21">
        <f>IF($A415="","",E415-'2_公式與參數'!$C$14)</f>
        <v/>
      </c>
      <c r="L415" s="22">
        <f>IF($A415="","",IF(H415="","",K415*'2_公式與參數'!$C$6*'2_公式與參數'!$C$7/J415*100))</f>
        <v/>
      </c>
    </row>
    <row r="416">
      <c r="J416" s="20">
        <f>IF($A416="","",IF(H416="","",H416*1000))</f>
        <v/>
      </c>
      <c r="K416" s="21">
        <f>IF($A416="","",E416-'2_公式與參數'!$C$14)</f>
        <v/>
      </c>
      <c r="L416" s="22">
        <f>IF($A416="","",IF(H416="","",K416*'2_公式與參數'!$C$6*'2_公式與參數'!$C$7/J416*100))</f>
        <v/>
      </c>
    </row>
    <row r="417">
      <c r="J417" s="20">
        <f>IF($A417="","",IF(H417="","",H417*1000))</f>
        <v/>
      </c>
      <c r="K417" s="21">
        <f>IF($A417="","",E417-'2_公式與參數'!$C$14)</f>
        <v/>
      </c>
      <c r="L417" s="22">
        <f>IF($A417="","",IF(H417="","",K417*'2_公式與參數'!$C$6*'2_公式與參數'!$C$7/J417*100))</f>
        <v/>
      </c>
    </row>
    <row r="418">
      <c r="J418" s="20">
        <f>IF($A418="","",IF(H418="","",H418*1000))</f>
        <v/>
      </c>
      <c r="K418" s="21">
        <f>IF($A418="","",E418-'2_公式與參數'!$C$14)</f>
        <v/>
      </c>
      <c r="L418" s="22">
        <f>IF($A418="","",IF(H418="","",K418*'2_公式與參數'!$C$6*'2_公式與參數'!$C$7/J418*100))</f>
        <v/>
      </c>
    </row>
    <row r="419">
      <c r="J419" s="20">
        <f>IF($A419="","",IF(H419="","",H419*1000))</f>
        <v/>
      </c>
      <c r="K419" s="21">
        <f>IF($A419="","",E419-'2_公式與參數'!$C$14)</f>
        <v/>
      </c>
      <c r="L419" s="22">
        <f>IF($A419="","",IF(H419="","",K419*'2_公式與參數'!$C$6*'2_公式與參數'!$C$7/J419*100))</f>
        <v/>
      </c>
    </row>
    <row r="420">
      <c r="J420" s="20">
        <f>IF($A420="","",IF(H420="","",H420*1000))</f>
        <v/>
      </c>
      <c r="K420" s="21">
        <f>IF($A420="","",E420-'2_公式與參數'!$C$14)</f>
        <v/>
      </c>
      <c r="L420" s="22">
        <f>IF($A420="","",IF(H420="","",K420*'2_公式與參數'!$C$6*'2_公式與參數'!$C$7/J420*100))</f>
        <v/>
      </c>
    </row>
    <row r="421">
      <c r="J421" s="20">
        <f>IF($A421="","",IF(H421="","",H421*1000))</f>
        <v/>
      </c>
      <c r="K421" s="21">
        <f>IF($A421="","",E421-'2_公式與參數'!$C$14)</f>
        <v/>
      </c>
      <c r="L421" s="22">
        <f>IF($A421="","",IF(H421="","",K421*'2_公式與參數'!$C$6*'2_公式與參數'!$C$7/J421*100))</f>
        <v/>
      </c>
    </row>
    <row r="422">
      <c r="J422" s="20">
        <f>IF($A422="","",IF(H422="","",H422*1000))</f>
        <v/>
      </c>
      <c r="K422" s="21">
        <f>IF($A422="","",E422-'2_公式與參數'!$C$14)</f>
        <v/>
      </c>
      <c r="L422" s="22">
        <f>IF($A422="","",IF(H422="","",K422*'2_公式與參數'!$C$6*'2_公式與參數'!$C$7/J422*100))</f>
        <v/>
      </c>
    </row>
    <row r="423">
      <c r="J423" s="20">
        <f>IF($A423="","",IF(H423="","",H423*1000))</f>
        <v/>
      </c>
      <c r="K423" s="21">
        <f>IF($A423="","",E423-'2_公式與參數'!$C$14)</f>
        <v/>
      </c>
      <c r="L423" s="22">
        <f>IF($A423="","",IF(H423="","",K423*'2_公式與參數'!$C$6*'2_公式與參數'!$C$7/J423*100))</f>
        <v/>
      </c>
    </row>
    <row r="424">
      <c r="J424" s="20">
        <f>IF($A424="","",IF(H424="","",H424*1000))</f>
        <v/>
      </c>
      <c r="K424" s="21">
        <f>IF($A424="","",E424-'2_公式與參數'!$C$14)</f>
        <v/>
      </c>
      <c r="L424" s="22">
        <f>IF($A424="","",IF(H424="","",K424*'2_公式與參數'!$C$6*'2_公式與參數'!$C$7/J424*100))</f>
        <v/>
      </c>
    </row>
    <row r="425">
      <c r="J425" s="20">
        <f>IF($A425="","",IF(H425="","",H425*1000))</f>
        <v/>
      </c>
      <c r="K425" s="21">
        <f>IF($A425="","",E425-'2_公式與參數'!$C$14)</f>
        <v/>
      </c>
      <c r="L425" s="22">
        <f>IF($A425="","",IF(H425="","",K425*'2_公式與參數'!$C$6*'2_公式與參數'!$C$7/J425*100))</f>
        <v/>
      </c>
    </row>
    <row r="426">
      <c r="J426" s="20">
        <f>IF($A426="","",IF(H426="","",H426*1000))</f>
        <v/>
      </c>
      <c r="K426" s="21">
        <f>IF($A426="","",E426-'2_公式與參數'!$C$14)</f>
        <v/>
      </c>
      <c r="L426" s="22">
        <f>IF($A426="","",IF(H426="","",K426*'2_公式與參數'!$C$6*'2_公式與參數'!$C$7/J426*100))</f>
        <v/>
      </c>
    </row>
    <row r="427">
      <c r="J427" s="20">
        <f>IF($A427="","",IF(H427="","",H427*1000))</f>
        <v/>
      </c>
      <c r="K427" s="21">
        <f>IF($A427="","",E427-'2_公式與參數'!$C$14)</f>
        <v/>
      </c>
      <c r="L427" s="22">
        <f>IF($A427="","",IF(H427="","",K427*'2_公式與參數'!$C$6*'2_公式與參數'!$C$7/J427*100))</f>
        <v/>
      </c>
    </row>
    <row r="428">
      <c r="J428" s="20">
        <f>IF($A428="","",IF(H428="","",H428*1000))</f>
        <v/>
      </c>
      <c r="K428" s="21">
        <f>IF($A428="","",E428-'2_公式與參數'!$C$14)</f>
        <v/>
      </c>
      <c r="L428" s="22">
        <f>IF($A428="","",IF(H428="","",K428*'2_公式與參數'!$C$6*'2_公式與參數'!$C$7/J428*100))</f>
        <v/>
      </c>
    </row>
    <row r="429">
      <c r="J429" s="20">
        <f>IF($A429="","",IF(H429="","",H429*1000))</f>
        <v/>
      </c>
      <c r="K429" s="21">
        <f>IF($A429="","",E429-'2_公式與參數'!$C$14)</f>
        <v/>
      </c>
      <c r="L429" s="22">
        <f>IF($A429="","",IF(H429="","",K429*'2_公式與參數'!$C$6*'2_公式與參數'!$C$7/J429*100))</f>
        <v/>
      </c>
    </row>
    <row r="430">
      <c r="J430" s="20">
        <f>IF($A430="","",IF(H430="","",H430*1000))</f>
        <v/>
      </c>
      <c r="K430" s="21">
        <f>IF($A430="","",E430-'2_公式與參數'!$C$14)</f>
        <v/>
      </c>
      <c r="L430" s="22">
        <f>IF($A430="","",IF(H430="","",K430*'2_公式與參數'!$C$6*'2_公式與參數'!$C$7/J430*100))</f>
        <v/>
      </c>
    </row>
    <row r="431">
      <c r="J431" s="20">
        <f>IF($A431="","",IF(H431="","",H431*1000))</f>
        <v/>
      </c>
      <c r="K431" s="21">
        <f>IF($A431="","",E431-'2_公式與參數'!$C$14)</f>
        <v/>
      </c>
      <c r="L431" s="22">
        <f>IF($A431="","",IF(H431="","",K431*'2_公式與參數'!$C$6*'2_公式與參數'!$C$7/J431*100))</f>
        <v/>
      </c>
    </row>
    <row r="432">
      <c r="J432" s="20">
        <f>IF($A432="","",IF(H432="","",H432*1000))</f>
        <v/>
      </c>
      <c r="K432" s="21">
        <f>IF($A432="","",E432-'2_公式與參數'!$C$14)</f>
        <v/>
      </c>
      <c r="L432" s="22">
        <f>IF($A432="","",IF(H432="","",K432*'2_公式與參數'!$C$6*'2_公式與參數'!$C$7/J432*100))</f>
        <v/>
      </c>
    </row>
    <row r="433">
      <c r="J433" s="20">
        <f>IF($A433="","",IF(H433="","",H433*1000))</f>
        <v/>
      </c>
      <c r="K433" s="21">
        <f>IF($A433="","",E433-'2_公式與參數'!$C$14)</f>
        <v/>
      </c>
      <c r="L433" s="22">
        <f>IF($A433="","",IF(H433="","",K433*'2_公式與參數'!$C$6*'2_公式與參數'!$C$7/J433*100))</f>
        <v/>
      </c>
    </row>
    <row r="434">
      <c r="J434" s="20">
        <f>IF($A434="","",IF(H434="","",H434*1000))</f>
        <v/>
      </c>
      <c r="K434" s="21">
        <f>IF($A434="","",E434-'2_公式與參數'!$C$14)</f>
        <v/>
      </c>
      <c r="L434" s="22">
        <f>IF($A434="","",IF(H434="","",K434*'2_公式與參數'!$C$6*'2_公式與參數'!$C$7/J434*100))</f>
        <v/>
      </c>
    </row>
    <row r="435">
      <c r="J435" s="20">
        <f>IF($A435="","",IF(H435="","",H435*1000))</f>
        <v/>
      </c>
      <c r="K435" s="21">
        <f>IF($A435="","",E435-'2_公式與參數'!$C$14)</f>
        <v/>
      </c>
      <c r="L435" s="22">
        <f>IF($A435="","",IF(H435="","",K435*'2_公式與參數'!$C$6*'2_公式與參數'!$C$7/J435*100))</f>
        <v/>
      </c>
    </row>
    <row r="436">
      <c r="J436" s="20">
        <f>IF($A436="","",IF(H436="","",H436*1000))</f>
        <v/>
      </c>
      <c r="K436" s="21">
        <f>IF($A436="","",E436-'2_公式與參數'!$C$14)</f>
        <v/>
      </c>
      <c r="L436" s="22">
        <f>IF($A436="","",IF(H436="","",K436*'2_公式與參數'!$C$6*'2_公式與參數'!$C$7/J436*100))</f>
        <v/>
      </c>
    </row>
    <row r="437">
      <c r="J437" s="20">
        <f>IF($A437="","",IF(H437="","",H437*1000))</f>
        <v/>
      </c>
      <c r="K437" s="21">
        <f>IF($A437="","",E437-'2_公式與參數'!$C$14)</f>
        <v/>
      </c>
      <c r="L437" s="22">
        <f>IF($A437="","",IF(H437="","",K437*'2_公式與參數'!$C$6*'2_公式與參數'!$C$7/J437*100))</f>
        <v/>
      </c>
    </row>
    <row r="438">
      <c r="J438" s="20">
        <f>IF($A438="","",IF(H438="","",H438*1000))</f>
        <v/>
      </c>
      <c r="K438" s="21">
        <f>IF($A438="","",E438-'2_公式與參數'!$C$14)</f>
        <v/>
      </c>
      <c r="L438" s="22">
        <f>IF($A438="","",IF(H438="","",K438*'2_公式與參數'!$C$6*'2_公式與參數'!$C$7/J438*100))</f>
        <v/>
      </c>
    </row>
    <row r="439">
      <c r="J439" s="20">
        <f>IF($A439="","",IF(H439="","",H439*1000))</f>
        <v/>
      </c>
      <c r="K439" s="21">
        <f>IF($A439="","",E439-'2_公式與參數'!$C$14)</f>
        <v/>
      </c>
      <c r="L439" s="22">
        <f>IF($A439="","",IF(H439="","",K439*'2_公式與參數'!$C$6*'2_公式與參數'!$C$7/J439*100))</f>
        <v/>
      </c>
    </row>
    <row r="440">
      <c r="J440" s="20">
        <f>IF($A440="","",IF(H440="","",H440*1000))</f>
        <v/>
      </c>
      <c r="K440" s="21">
        <f>IF($A440="","",E440-'2_公式與參數'!$C$14)</f>
        <v/>
      </c>
      <c r="L440" s="22">
        <f>IF($A440="","",IF(H440="","",K440*'2_公式與參數'!$C$6*'2_公式與參數'!$C$7/J440*100))</f>
        <v/>
      </c>
    </row>
    <row r="441">
      <c r="J441" s="20">
        <f>IF($A441="","",IF(H441="","",H441*1000))</f>
        <v/>
      </c>
      <c r="K441" s="21">
        <f>IF($A441="","",E441-'2_公式與參數'!$C$14)</f>
        <v/>
      </c>
      <c r="L441" s="22">
        <f>IF($A441="","",IF(H441="","",K441*'2_公式與參數'!$C$6*'2_公式與參數'!$C$7/J441*100))</f>
        <v/>
      </c>
    </row>
    <row r="442">
      <c r="J442" s="20">
        <f>IF($A442="","",IF(H442="","",H442*1000))</f>
        <v/>
      </c>
      <c r="K442" s="21">
        <f>IF($A442="","",E442-'2_公式與參數'!$C$14)</f>
        <v/>
      </c>
      <c r="L442" s="22">
        <f>IF($A442="","",IF(H442="","",K442*'2_公式與參數'!$C$6*'2_公式與參數'!$C$7/J442*100))</f>
        <v/>
      </c>
    </row>
    <row r="443">
      <c r="J443" s="20">
        <f>IF($A443="","",IF(H443="","",H443*1000))</f>
        <v/>
      </c>
      <c r="K443" s="21">
        <f>IF($A443="","",E443-'2_公式與參數'!$C$14)</f>
        <v/>
      </c>
      <c r="L443" s="22">
        <f>IF($A443="","",IF(H443="","",K443*'2_公式與參數'!$C$6*'2_公式與參數'!$C$7/J443*100))</f>
        <v/>
      </c>
    </row>
    <row r="444">
      <c r="J444" s="20">
        <f>IF($A444="","",IF(H444="","",H444*1000))</f>
        <v/>
      </c>
      <c r="K444" s="21">
        <f>IF($A444="","",E444-'2_公式與參數'!$C$14)</f>
        <v/>
      </c>
      <c r="L444" s="22">
        <f>IF($A444="","",IF(H444="","",K444*'2_公式與參數'!$C$6*'2_公式與參數'!$C$7/J444*100))</f>
        <v/>
      </c>
    </row>
    <row r="445">
      <c r="J445" s="20">
        <f>IF($A445="","",IF(H445="","",H445*1000))</f>
        <v/>
      </c>
      <c r="K445" s="21">
        <f>IF($A445="","",E445-'2_公式與參數'!$C$14)</f>
        <v/>
      </c>
      <c r="L445" s="22">
        <f>IF($A445="","",IF(H445="","",K445*'2_公式與參數'!$C$6*'2_公式與參數'!$C$7/J445*100))</f>
        <v/>
      </c>
    </row>
    <row r="446">
      <c r="J446" s="20">
        <f>IF($A446="","",IF(H446="","",H446*1000))</f>
        <v/>
      </c>
      <c r="K446" s="21">
        <f>IF($A446="","",E446-'2_公式與參數'!$C$14)</f>
        <v/>
      </c>
      <c r="L446" s="22">
        <f>IF($A446="","",IF(H446="","",K446*'2_公式與參數'!$C$6*'2_公式與參數'!$C$7/J446*100))</f>
        <v/>
      </c>
    </row>
    <row r="447">
      <c r="J447" s="20">
        <f>IF($A447="","",IF(H447="","",H447*1000))</f>
        <v/>
      </c>
      <c r="K447" s="21">
        <f>IF($A447="","",E447-'2_公式與參數'!$C$14)</f>
        <v/>
      </c>
      <c r="L447" s="22">
        <f>IF($A447="","",IF(H447="","",K447*'2_公式與參數'!$C$6*'2_公式與參數'!$C$7/J447*100))</f>
        <v/>
      </c>
    </row>
    <row r="448">
      <c r="J448" s="20">
        <f>IF($A448="","",IF(H448="","",H448*1000))</f>
        <v/>
      </c>
      <c r="K448" s="21">
        <f>IF($A448="","",E448-'2_公式與參數'!$C$14)</f>
        <v/>
      </c>
      <c r="L448" s="22">
        <f>IF($A448="","",IF(H448="","",K448*'2_公式與參數'!$C$6*'2_公式與參數'!$C$7/J448*100))</f>
        <v/>
      </c>
    </row>
    <row r="449">
      <c r="J449" s="20">
        <f>IF($A449="","",IF(H449="","",H449*1000))</f>
        <v/>
      </c>
      <c r="K449" s="21">
        <f>IF($A449="","",E449-'2_公式與參數'!$C$14)</f>
        <v/>
      </c>
      <c r="L449" s="22">
        <f>IF($A449="","",IF(H449="","",K449*'2_公式與參數'!$C$6*'2_公式與參數'!$C$7/J449*100))</f>
        <v/>
      </c>
    </row>
    <row r="450">
      <c r="J450" s="20">
        <f>IF($A450="","",IF(H450="","",H450*1000))</f>
        <v/>
      </c>
      <c r="K450" s="21">
        <f>IF($A450="","",E450-'2_公式與參數'!$C$14)</f>
        <v/>
      </c>
      <c r="L450" s="22">
        <f>IF($A450="","",IF(H450="","",K450*'2_公式與參數'!$C$6*'2_公式與參數'!$C$7/J450*100))</f>
        <v/>
      </c>
    </row>
    <row r="451">
      <c r="J451" s="20">
        <f>IF($A451="","",IF(H451="","",H451*1000))</f>
        <v/>
      </c>
      <c r="K451" s="21">
        <f>IF($A451="","",E451-'2_公式與參數'!$C$14)</f>
        <v/>
      </c>
      <c r="L451" s="22">
        <f>IF($A451="","",IF(H451="","",K451*'2_公式與參數'!$C$6*'2_公式與參數'!$C$7/J451*100))</f>
        <v/>
      </c>
    </row>
    <row r="452">
      <c r="J452" s="20">
        <f>IF($A452="","",IF(H452="","",H452*1000))</f>
        <v/>
      </c>
      <c r="K452" s="21">
        <f>IF($A452="","",E452-'2_公式與參數'!$C$14)</f>
        <v/>
      </c>
      <c r="L452" s="22">
        <f>IF($A452="","",IF(H452="","",K452*'2_公式與參數'!$C$6*'2_公式與參數'!$C$7/J452*100))</f>
        <v/>
      </c>
    </row>
    <row r="453">
      <c r="J453" s="20">
        <f>IF($A453="","",IF(H453="","",H453*1000))</f>
        <v/>
      </c>
      <c r="K453" s="21">
        <f>IF($A453="","",E453-'2_公式與參數'!$C$14)</f>
        <v/>
      </c>
      <c r="L453" s="22">
        <f>IF($A453="","",IF(H453="","",K453*'2_公式與參數'!$C$6*'2_公式與參數'!$C$7/J453*100))</f>
        <v/>
      </c>
    </row>
    <row r="454">
      <c r="J454" s="20">
        <f>IF($A454="","",IF(H454="","",H454*1000))</f>
        <v/>
      </c>
      <c r="K454" s="21">
        <f>IF($A454="","",E454-'2_公式與參數'!$C$14)</f>
        <v/>
      </c>
      <c r="L454" s="22">
        <f>IF($A454="","",IF(H454="","",K454*'2_公式與參數'!$C$6*'2_公式與參數'!$C$7/J454*100))</f>
        <v/>
      </c>
    </row>
    <row r="455">
      <c r="J455" s="20">
        <f>IF($A455="","",IF(H455="","",H455*1000))</f>
        <v/>
      </c>
      <c r="K455" s="21">
        <f>IF($A455="","",E455-'2_公式與參數'!$C$14)</f>
        <v/>
      </c>
      <c r="L455" s="22">
        <f>IF($A455="","",IF(H455="","",K455*'2_公式與參數'!$C$6*'2_公式與參數'!$C$7/J455*100))</f>
        <v/>
      </c>
    </row>
    <row r="456">
      <c r="J456" s="20">
        <f>IF($A456="","",IF(H456="","",H456*1000))</f>
        <v/>
      </c>
      <c r="K456" s="21">
        <f>IF($A456="","",E456-'2_公式與參數'!$C$14)</f>
        <v/>
      </c>
      <c r="L456" s="22">
        <f>IF($A456="","",IF(H456="","",K456*'2_公式與參數'!$C$6*'2_公式與參數'!$C$7/J456*100))</f>
        <v/>
      </c>
    </row>
    <row r="457">
      <c r="J457" s="20">
        <f>IF($A457="","",IF(H457="","",H457*1000))</f>
        <v/>
      </c>
      <c r="K457" s="21">
        <f>IF($A457="","",E457-'2_公式與參數'!$C$14)</f>
        <v/>
      </c>
      <c r="L457" s="22">
        <f>IF($A457="","",IF(H457="","",K457*'2_公式與參數'!$C$6*'2_公式與參數'!$C$7/J457*100))</f>
        <v/>
      </c>
    </row>
    <row r="458">
      <c r="J458" s="20">
        <f>IF($A458="","",IF(H458="","",H458*1000))</f>
        <v/>
      </c>
      <c r="K458" s="21">
        <f>IF($A458="","",E458-'2_公式與參數'!$C$14)</f>
        <v/>
      </c>
      <c r="L458" s="22">
        <f>IF($A458="","",IF(H458="","",K458*'2_公式與參數'!$C$6*'2_公式與參數'!$C$7/J458*100))</f>
        <v/>
      </c>
    </row>
    <row r="459">
      <c r="J459" s="20">
        <f>IF($A459="","",IF(H459="","",H459*1000))</f>
        <v/>
      </c>
      <c r="K459" s="21">
        <f>IF($A459="","",E459-'2_公式與參數'!$C$14)</f>
        <v/>
      </c>
      <c r="L459" s="22">
        <f>IF($A459="","",IF(H459="","",K459*'2_公式與參數'!$C$6*'2_公式與參數'!$C$7/J459*100))</f>
        <v/>
      </c>
    </row>
    <row r="460">
      <c r="J460" s="20">
        <f>IF($A460="","",IF(H460="","",H460*1000))</f>
        <v/>
      </c>
      <c r="K460" s="21">
        <f>IF($A460="","",E460-'2_公式與參數'!$C$14)</f>
        <v/>
      </c>
      <c r="L460" s="22">
        <f>IF($A460="","",IF(H460="","",K460*'2_公式與參數'!$C$6*'2_公式與參數'!$C$7/J460*100))</f>
        <v/>
      </c>
    </row>
    <row r="461">
      <c r="J461" s="20">
        <f>IF($A461="","",IF(H461="","",H461*1000))</f>
        <v/>
      </c>
      <c r="K461" s="21">
        <f>IF($A461="","",E461-'2_公式與參數'!$C$14)</f>
        <v/>
      </c>
      <c r="L461" s="22">
        <f>IF($A461="","",IF(H461="","",K461*'2_公式與參數'!$C$6*'2_公式與參數'!$C$7/J461*100))</f>
        <v/>
      </c>
    </row>
    <row r="462">
      <c r="J462" s="20">
        <f>IF($A462="","",IF(H462="","",H462*1000))</f>
        <v/>
      </c>
      <c r="K462" s="21">
        <f>IF($A462="","",E462-'2_公式與參數'!$C$14)</f>
        <v/>
      </c>
      <c r="L462" s="22">
        <f>IF($A462="","",IF(H462="","",K462*'2_公式與參數'!$C$6*'2_公式與參數'!$C$7/J462*100))</f>
        <v/>
      </c>
    </row>
    <row r="463">
      <c r="J463" s="20">
        <f>IF($A463="","",IF(H463="","",H463*1000))</f>
        <v/>
      </c>
      <c r="K463" s="21">
        <f>IF($A463="","",E463-'2_公式與參數'!$C$14)</f>
        <v/>
      </c>
      <c r="L463" s="22">
        <f>IF($A463="","",IF(H463="","",K463*'2_公式與參數'!$C$6*'2_公式與參數'!$C$7/J463*100))</f>
        <v/>
      </c>
    </row>
    <row r="464">
      <c r="J464" s="20">
        <f>IF($A464="","",IF(H464="","",H464*1000))</f>
        <v/>
      </c>
      <c r="K464" s="21">
        <f>IF($A464="","",E464-'2_公式與參數'!$C$14)</f>
        <v/>
      </c>
      <c r="L464" s="22">
        <f>IF($A464="","",IF(H464="","",K464*'2_公式與參數'!$C$6*'2_公式與參數'!$C$7/J464*100))</f>
        <v/>
      </c>
    </row>
    <row r="465">
      <c r="J465" s="20">
        <f>IF($A465="","",IF(H465="","",H465*1000))</f>
        <v/>
      </c>
      <c r="K465" s="21">
        <f>IF($A465="","",E465-'2_公式與參數'!$C$14)</f>
        <v/>
      </c>
      <c r="L465" s="22">
        <f>IF($A465="","",IF(H465="","",K465*'2_公式與參數'!$C$6*'2_公式與參數'!$C$7/J465*100))</f>
        <v/>
      </c>
    </row>
    <row r="466">
      <c r="J466" s="20">
        <f>IF($A466="","",IF(H466="","",H466*1000))</f>
        <v/>
      </c>
      <c r="K466" s="21">
        <f>IF($A466="","",E466-'2_公式與參數'!$C$14)</f>
        <v/>
      </c>
      <c r="L466" s="22">
        <f>IF($A466="","",IF(H466="","",K466*'2_公式與參數'!$C$6*'2_公式與參數'!$C$7/J466*100))</f>
        <v/>
      </c>
    </row>
    <row r="467">
      <c r="J467" s="20">
        <f>IF($A467="","",IF(H467="","",H467*1000))</f>
        <v/>
      </c>
      <c r="K467" s="21">
        <f>IF($A467="","",E467-'2_公式與參數'!$C$14)</f>
        <v/>
      </c>
      <c r="L467" s="22">
        <f>IF($A467="","",IF(H467="","",K467*'2_公式與參數'!$C$6*'2_公式與參數'!$C$7/J467*100))</f>
        <v/>
      </c>
    </row>
    <row r="468">
      <c r="J468" s="20">
        <f>IF($A468="","",IF(H468="","",H468*1000))</f>
        <v/>
      </c>
      <c r="K468" s="21">
        <f>IF($A468="","",E468-'2_公式與參數'!$C$14)</f>
        <v/>
      </c>
      <c r="L468" s="22">
        <f>IF($A468="","",IF(H468="","",K468*'2_公式與參數'!$C$6*'2_公式與參數'!$C$7/J468*100))</f>
        <v/>
      </c>
    </row>
    <row r="469">
      <c r="J469" s="20">
        <f>IF($A469="","",IF(H469="","",H469*1000))</f>
        <v/>
      </c>
      <c r="K469" s="21">
        <f>IF($A469="","",E469-'2_公式與參數'!$C$14)</f>
        <v/>
      </c>
      <c r="L469" s="22">
        <f>IF($A469="","",IF(H469="","",K469*'2_公式與參數'!$C$6*'2_公式與參數'!$C$7/J469*100))</f>
        <v/>
      </c>
    </row>
    <row r="470">
      <c r="J470" s="20">
        <f>IF($A470="","",IF(H470="","",H470*1000))</f>
        <v/>
      </c>
      <c r="K470" s="21">
        <f>IF($A470="","",E470-'2_公式與參數'!$C$14)</f>
        <v/>
      </c>
      <c r="L470" s="22">
        <f>IF($A470="","",IF(H470="","",K470*'2_公式與參數'!$C$6*'2_公式與參數'!$C$7/J470*100))</f>
        <v/>
      </c>
    </row>
    <row r="471">
      <c r="J471" s="20">
        <f>IF($A471="","",IF(H471="","",H471*1000))</f>
        <v/>
      </c>
      <c r="K471" s="21">
        <f>IF($A471="","",E471-'2_公式與參數'!$C$14)</f>
        <v/>
      </c>
      <c r="L471" s="22">
        <f>IF($A471="","",IF(H471="","",K471*'2_公式與參數'!$C$6*'2_公式與參數'!$C$7/J471*100))</f>
        <v/>
      </c>
    </row>
    <row r="472">
      <c r="J472" s="20">
        <f>IF($A472="","",IF(H472="","",H472*1000))</f>
        <v/>
      </c>
      <c r="K472" s="21">
        <f>IF($A472="","",E472-'2_公式與參數'!$C$14)</f>
        <v/>
      </c>
      <c r="L472" s="22">
        <f>IF($A472="","",IF(H472="","",K472*'2_公式與參數'!$C$6*'2_公式與參數'!$C$7/J472*100))</f>
        <v/>
      </c>
    </row>
    <row r="473">
      <c r="J473" s="20">
        <f>IF($A473="","",IF(H473="","",H473*1000))</f>
        <v/>
      </c>
      <c r="K473" s="21">
        <f>IF($A473="","",E473-'2_公式與參數'!$C$14)</f>
        <v/>
      </c>
      <c r="L473" s="22">
        <f>IF($A473="","",IF(H473="","",K473*'2_公式與參數'!$C$6*'2_公式與參數'!$C$7/J473*100))</f>
        <v/>
      </c>
    </row>
    <row r="474">
      <c r="J474" s="20">
        <f>IF($A474="","",IF(H474="","",H474*1000))</f>
        <v/>
      </c>
      <c r="K474" s="21">
        <f>IF($A474="","",E474-'2_公式與參數'!$C$14)</f>
        <v/>
      </c>
      <c r="L474" s="22">
        <f>IF($A474="","",IF(H474="","",K474*'2_公式與參數'!$C$6*'2_公式與參數'!$C$7/J474*100))</f>
        <v/>
      </c>
    </row>
    <row r="475">
      <c r="J475" s="20">
        <f>IF($A475="","",IF(H475="","",H475*1000))</f>
        <v/>
      </c>
      <c r="K475" s="21">
        <f>IF($A475="","",E475-'2_公式與參數'!$C$14)</f>
        <v/>
      </c>
      <c r="L475" s="22">
        <f>IF($A475="","",IF(H475="","",K475*'2_公式與參數'!$C$6*'2_公式與參數'!$C$7/J475*100))</f>
        <v/>
      </c>
    </row>
    <row r="476">
      <c r="J476" s="20">
        <f>IF($A476="","",IF(H476="","",H476*1000))</f>
        <v/>
      </c>
      <c r="K476" s="21">
        <f>IF($A476="","",E476-'2_公式與參數'!$C$14)</f>
        <v/>
      </c>
      <c r="L476" s="22">
        <f>IF($A476="","",IF(H476="","",K476*'2_公式與參數'!$C$6*'2_公式與參數'!$C$7/J476*100))</f>
        <v/>
      </c>
    </row>
    <row r="477">
      <c r="J477" s="20">
        <f>IF($A477="","",IF(H477="","",H477*1000))</f>
        <v/>
      </c>
      <c r="K477" s="21">
        <f>IF($A477="","",E477-'2_公式與參數'!$C$14)</f>
        <v/>
      </c>
      <c r="L477" s="22">
        <f>IF($A477="","",IF(H477="","",K477*'2_公式與參數'!$C$6*'2_公式與參數'!$C$7/J477*100))</f>
        <v/>
      </c>
    </row>
    <row r="478">
      <c r="J478" s="20">
        <f>IF($A478="","",IF(H478="","",H478*1000))</f>
        <v/>
      </c>
      <c r="K478" s="21">
        <f>IF($A478="","",E478-'2_公式與參數'!$C$14)</f>
        <v/>
      </c>
      <c r="L478" s="22">
        <f>IF($A478="","",IF(H478="","",K478*'2_公式與參數'!$C$6*'2_公式與參數'!$C$7/J478*100))</f>
        <v/>
      </c>
    </row>
    <row r="479">
      <c r="J479" s="20">
        <f>IF($A479="","",IF(H479="","",H479*1000))</f>
        <v/>
      </c>
      <c r="K479" s="21">
        <f>IF($A479="","",E479-'2_公式與參數'!$C$14)</f>
        <v/>
      </c>
      <c r="L479" s="22">
        <f>IF($A479="","",IF(H479="","",K479*'2_公式與參數'!$C$6*'2_公式與參數'!$C$7/J479*100))</f>
        <v/>
      </c>
    </row>
    <row r="480">
      <c r="J480" s="20">
        <f>IF($A480="","",IF(H480="","",H480*1000))</f>
        <v/>
      </c>
      <c r="K480" s="21">
        <f>IF($A480="","",E480-'2_公式與參數'!$C$14)</f>
        <v/>
      </c>
      <c r="L480" s="22">
        <f>IF($A480="","",IF(H480="","",K480*'2_公式與參數'!$C$6*'2_公式與參數'!$C$7/J480*100))</f>
        <v/>
      </c>
    </row>
    <row r="481">
      <c r="J481" s="20">
        <f>IF($A481="","",IF(H481="","",H481*1000))</f>
        <v/>
      </c>
      <c r="K481" s="21">
        <f>IF($A481="","",E481-'2_公式與參數'!$C$14)</f>
        <v/>
      </c>
      <c r="L481" s="22">
        <f>IF($A481="","",IF(H481="","",K481*'2_公式與參數'!$C$6*'2_公式與參數'!$C$7/J481*100))</f>
        <v/>
      </c>
    </row>
    <row r="482">
      <c r="J482" s="20">
        <f>IF($A482="","",IF(H482="","",H482*1000))</f>
        <v/>
      </c>
      <c r="K482" s="21">
        <f>IF($A482="","",E482-'2_公式與參數'!$C$14)</f>
        <v/>
      </c>
      <c r="L482" s="22">
        <f>IF($A482="","",IF(H482="","",K482*'2_公式與參數'!$C$6*'2_公式與參數'!$C$7/J482*100))</f>
        <v/>
      </c>
    </row>
    <row r="483">
      <c r="J483" s="20">
        <f>IF($A483="","",IF(H483="","",H483*1000))</f>
        <v/>
      </c>
      <c r="K483" s="21">
        <f>IF($A483="","",E483-'2_公式與參數'!$C$14)</f>
        <v/>
      </c>
      <c r="L483" s="22">
        <f>IF($A483="","",IF(H483="","",K483*'2_公式與參數'!$C$6*'2_公式與參數'!$C$7/J483*100))</f>
        <v/>
      </c>
    </row>
    <row r="484">
      <c r="J484" s="20">
        <f>IF($A484="","",IF(H484="","",H484*1000))</f>
        <v/>
      </c>
      <c r="K484" s="21">
        <f>IF($A484="","",E484-'2_公式與參數'!$C$14)</f>
        <v/>
      </c>
      <c r="L484" s="22">
        <f>IF($A484="","",IF(H484="","",K484*'2_公式與參數'!$C$6*'2_公式與參數'!$C$7/J484*100))</f>
        <v/>
      </c>
    </row>
    <row r="485">
      <c r="J485" s="20">
        <f>IF($A485="","",IF(H485="","",H485*1000))</f>
        <v/>
      </c>
      <c r="K485" s="21">
        <f>IF($A485="","",E485-'2_公式與參數'!$C$14)</f>
        <v/>
      </c>
      <c r="L485" s="22">
        <f>IF($A485="","",IF(H485="","",K485*'2_公式與參數'!$C$6*'2_公式與參數'!$C$7/J485*100))</f>
        <v/>
      </c>
    </row>
    <row r="486">
      <c r="J486" s="20">
        <f>IF($A486="","",IF(H486="","",H486*1000))</f>
        <v/>
      </c>
      <c r="K486" s="21">
        <f>IF($A486="","",E486-'2_公式與參數'!$C$14)</f>
        <v/>
      </c>
      <c r="L486" s="22">
        <f>IF($A486="","",IF(H486="","",K486*'2_公式與參數'!$C$6*'2_公式與參數'!$C$7/J486*100))</f>
        <v/>
      </c>
    </row>
    <row r="487">
      <c r="J487" s="20">
        <f>IF($A487="","",IF(H487="","",H487*1000))</f>
        <v/>
      </c>
      <c r="K487" s="21">
        <f>IF($A487="","",E487-'2_公式與參數'!$C$14)</f>
        <v/>
      </c>
      <c r="L487" s="22">
        <f>IF($A487="","",IF(H487="","",K487*'2_公式與參數'!$C$6*'2_公式與參數'!$C$7/J487*100))</f>
        <v/>
      </c>
    </row>
    <row r="488">
      <c r="J488" s="20">
        <f>IF($A488="","",IF(H488="","",H488*1000))</f>
        <v/>
      </c>
      <c r="K488" s="21">
        <f>IF($A488="","",E488-'2_公式與參數'!$C$14)</f>
        <v/>
      </c>
      <c r="L488" s="22">
        <f>IF($A488="","",IF(H488="","",K488*'2_公式與參數'!$C$6*'2_公式與參數'!$C$7/J488*100))</f>
        <v/>
      </c>
    </row>
    <row r="489">
      <c r="J489" s="20">
        <f>IF($A489="","",IF(H489="","",H489*1000))</f>
        <v/>
      </c>
      <c r="K489" s="21">
        <f>IF($A489="","",E489-'2_公式與參數'!$C$14)</f>
        <v/>
      </c>
      <c r="L489" s="22">
        <f>IF($A489="","",IF(H489="","",K489*'2_公式與參數'!$C$6*'2_公式與參數'!$C$7/J489*100))</f>
        <v/>
      </c>
    </row>
    <row r="490">
      <c r="J490" s="20">
        <f>IF($A490="","",IF(H490="","",H490*1000))</f>
        <v/>
      </c>
      <c r="K490" s="21">
        <f>IF($A490="","",E490-'2_公式與參數'!$C$14)</f>
        <v/>
      </c>
      <c r="L490" s="22">
        <f>IF($A490="","",IF(H490="","",K490*'2_公式與參數'!$C$6*'2_公式與參數'!$C$7/J490*100))</f>
        <v/>
      </c>
    </row>
    <row r="491">
      <c r="J491" s="20">
        <f>IF($A491="","",IF(H491="","",H491*1000))</f>
        <v/>
      </c>
      <c r="K491" s="21">
        <f>IF($A491="","",E491-'2_公式與參數'!$C$14)</f>
        <v/>
      </c>
      <c r="L491" s="22">
        <f>IF($A491="","",IF(H491="","",K491*'2_公式與參數'!$C$6*'2_公式與參數'!$C$7/J491*100))</f>
        <v/>
      </c>
    </row>
    <row r="492">
      <c r="J492" s="20">
        <f>IF($A492="","",IF(H492="","",H492*1000))</f>
        <v/>
      </c>
      <c r="K492" s="21">
        <f>IF($A492="","",E492-'2_公式與參數'!$C$14)</f>
        <v/>
      </c>
      <c r="L492" s="22">
        <f>IF($A492="","",IF(H492="","",K492*'2_公式與參數'!$C$6*'2_公式與參數'!$C$7/J492*100))</f>
        <v/>
      </c>
    </row>
    <row r="493">
      <c r="J493" s="20">
        <f>IF($A493="","",IF(H493="","",H493*1000))</f>
        <v/>
      </c>
      <c r="K493" s="21">
        <f>IF($A493="","",E493-'2_公式與參數'!$C$14)</f>
        <v/>
      </c>
      <c r="L493" s="22">
        <f>IF($A493="","",IF(H493="","",K493*'2_公式與參數'!$C$6*'2_公式與參數'!$C$7/J493*100))</f>
        <v/>
      </c>
    </row>
    <row r="494">
      <c r="J494" s="20">
        <f>IF($A494="","",IF(H494="","",H494*1000))</f>
        <v/>
      </c>
      <c r="K494" s="21">
        <f>IF($A494="","",E494-'2_公式與參數'!$C$14)</f>
        <v/>
      </c>
      <c r="L494" s="22">
        <f>IF($A494="","",IF(H494="","",K494*'2_公式與參數'!$C$6*'2_公式與參數'!$C$7/J494*100))</f>
        <v/>
      </c>
    </row>
    <row r="495">
      <c r="J495" s="20">
        <f>IF($A495="","",IF(H495="","",H495*1000))</f>
        <v/>
      </c>
      <c r="K495" s="21">
        <f>IF($A495="","",E495-'2_公式與參數'!$C$14)</f>
        <v/>
      </c>
      <c r="L495" s="22">
        <f>IF($A495="","",IF(H495="","",K495*'2_公式與參數'!$C$6*'2_公式與參數'!$C$7/J495*100))</f>
        <v/>
      </c>
    </row>
    <row r="496">
      <c r="J496" s="20">
        <f>IF($A496="","",IF(H496="","",H496*1000))</f>
        <v/>
      </c>
      <c r="K496" s="21">
        <f>IF($A496="","",E496-'2_公式與參數'!$C$14)</f>
        <v/>
      </c>
      <c r="L496" s="22">
        <f>IF($A496="","",IF(H496="","",K496*'2_公式與參數'!$C$6*'2_公式與參數'!$C$7/J496*100))</f>
        <v/>
      </c>
    </row>
    <row r="497">
      <c r="J497" s="20">
        <f>IF($A497="","",IF(H497="","",H497*1000))</f>
        <v/>
      </c>
      <c r="K497" s="21">
        <f>IF($A497="","",E497-'2_公式與參數'!$C$14)</f>
        <v/>
      </c>
      <c r="L497" s="22">
        <f>IF($A497="","",IF(H497="","",K497*'2_公式與參數'!$C$6*'2_公式與參數'!$C$7/J497*100))</f>
        <v/>
      </c>
    </row>
    <row r="498">
      <c r="J498" s="20">
        <f>IF($A498="","",IF(H498="","",H498*1000))</f>
        <v/>
      </c>
      <c r="K498" s="21">
        <f>IF($A498="","",E498-'2_公式與參數'!$C$14)</f>
        <v/>
      </c>
      <c r="L498" s="22">
        <f>IF($A498="","",IF(H498="","",K498*'2_公式與參數'!$C$6*'2_公式與參數'!$C$7/J498*100))</f>
        <v/>
      </c>
    </row>
    <row r="499">
      <c r="J499" s="20">
        <f>IF($A499="","",IF(H499="","",H499*1000))</f>
        <v/>
      </c>
      <c r="K499" s="21">
        <f>IF($A499="","",E499-'2_公式與參數'!$C$14)</f>
        <v/>
      </c>
      <c r="L499" s="22">
        <f>IF($A499="","",IF(H499="","",K499*'2_公式與參數'!$C$6*'2_公式與參數'!$C$7/J499*100))</f>
        <v/>
      </c>
    </row>
    <row r="500">
      <c r="J500" s="20">
        <f>IF($A500="","",IF(H500="","",H500*1000))</f>
        <v/>
      </c>
      <c r="K500" s="21">
        <f>IF($A500="","",E500-'2_公式與參數'!$C$14)</f>
        <v/>
      </c>
      <c r="L500" s="22">
        <f>IF($A500="","",IF(H500="","",K500*'2_公式與參數'!$C$6*'2_公式與參數'!$C$7/J500*100))</f>
        <v/>
      </c>
    </row>
    <row r="501">
      <c r="J501" s="20">
        <f>IF($A501="","",IF(H501="","",H501*1000))</f>
        <v/>
      </c>
      <c r="K501" s="21">
        <f>IF($A501="","",E501-'2_公式與參數'!$C$14)</f>
        <v/>
      </c>
      <c r="L501" s="22">
        <f>IF($A501="","",IF(H501="","",K501*'2_公式與參數'!$C$6*'2_公式與參數'!$C$7/J501*100))</f>
        <v/>
      </c>
    </row>
    <row r="502">
      <c r="J502" s="20">
        <f>IF($A502="","",IF(H502="","",H502*1000))</f>
        <v/>
      </c>
      <c r="K502" s="21">
        <f>IF($A502="","",E502-'2_公式與參數'!$C$14)</f>
        <v/>
      </c>
      <c r="L502" s="22">
        <f>IF($A502="","",IF(H502="","",K502*'2_公式與參數'!$C$6*'2_公式與參數'!$C$7/J502*100))</f>
        <v/>
      </c>
    </row>
    <row r="503">
      <c r="J503" s="20">
        <f>IF($A503="","",IF(H503="","",H503*1000))</f>
        <v/>
      </c>
      <c r="K503" s="21">
        <f>IF($A503="","",E503-'2_公式與參數'!$C$14)</f>
        <v/>
      </c>
      <c r="L503" s="22">
        <f>IF($A503="","",IF(H503="","",K503*'2_公式與參數'!$C$6*'2_公式與參數'!$C$7/J503*100))</f>
        <v/>
      </c>
    </row>
    <row r="504">
      <c r="J504" s="20">
        <f>IF($A504="","",IF(H504="","",H504*1000))</f>
        <v/>
      </c>
      <c r="K504" s="21">
        <f>IF($A504="","",E504-'2_公式與參數'!$C$14)</f>
        <v/>
      </c>
      <c r="L504" s="22">
        <f>IF($A504="","",IF(H504="","",K504*'2_公式與參數'!$C$6*'2_公式與參數'!$C$7/J504*100))</f>
        <v/>
      </c>
    </row>
    <row r="505">
      <c r="J505" s="20">
        <f>IF($A505="","",IF(H505="","",H505*1000))</f>
        <v/>
      </c>
      <c r="K505" s="21">
        <f>IF($A505="","",E505-'2_公式與參數'!$C$14)</f>
        <v/>
      </c>
      <c r="L505" s="22">
        <f>IF($A505="","",IF(H505="","",K505*'2_公式與參數'!$C$6*'2_公式與參數'!$C$7/J505*100))</f>
        <v/>
      </c>
    </row>
    <row r="506">
      <c r="J506" s="20">
        <f>IF($A506="","",IF(H506="","",H506*1000))</f>
        <v/>
      </c>
      <c r="K506" s="21">
        <f>IF($A506="","",E506-'2_公式與參數'!$C$14)</f>
        <v/>
      </c>
      <c r="L506" s="22">
        <f>IF($A506="","",IF(H506="","",K506*'2_公式與參數'!$C$6*'2_公式與參數'!$C$7/J506*100))</f>
        <v/>
      </c>
    </row>
    <row r="507">
      <c r="J507" s="20">
        <f>IF($A507="","",IF(H507="","",H507*1000))</f>
        <v/>
      </c>
      <c r="K507" s="21">
        <f>IF($A507="","",E507-'2_公式與參數'!$C$14)</f>
        <v/>
      </c>
      <c r="L507" s="22">
        <f>IF($A507="","",IF(H507="","",K507*'2_公式與參數'!$C$6*'2_公式與參數'!$C$7/J507*100))</f>
        <v/>
      </c>
    </row>
    <row r="508">
      <c r="J508" s="20">
        <f>IF($A508="","",IF(H508="","",H508*1000))</f>
        <v/>
      </c>
      <c r="K508" s="21">
        <f>IF($A508="","",E508-'2_公式與參數'!$C$14)</f>
        <v/>
      </c>
      <c r="L508" s="22">
        <f>IF($A508="","",IF(H508="","",K508*'2_公式與參數'!$C$6*'2_公式與參數'!$C$7/J508*100))</f>
        <v/>
      </c>
    </row>
    <row r="509">
      <c r="J509" s="20">
        <f>IF($A509="","",IF(H509="","",H509*1000))</f>
        <v/>
      </c>
      <c r="K509" s="21">
        <f>IF($A509="","",E509-'2_公式與參數'!$C$14)</f>
        <v/>
      </c>
      <c r="L509" s="22">
        <f>IF($A509="","",IF(H509="","",K509*'2_公式與參數'!$C$6*'2_公式與參數'!$C$7/J509*100))</f>
        <v/>
      </c>
    </row>
    <row r="510">
      <c r="J510" s="20">
        <f>IF($A510="","",IF(H510="","",H510*1000))</f>
        <v/>
      </c>
      <c r="K510" s="21">
        <f>IF($A510="","",E510-'2_公式與參數'!$C$14)</f>
        <v/>
      </c>
      <c r="L510" s="22">
        <f>IF($A510="","",IF(H510="","",K510*'2_公式與參數'!$C$6*'2_公式與參數'!$C$7/J510*100))</f>
        <v/>
      </c>
    </row>
    <row r="511">
      <c r="J511" s="20">
        <f>IF($A511="","",IF(H511="","",H511*1000))</f>
        <v/>
      </c>
      <c r="K511" s="21">
        <f>IF($A511="","",E511-'2_公式與參數'!$C$14)</f>
        <v/>
      </c>
      <c r="L511" s="22">
        <f>IF($A511="","",IF(H511="","",K511*'2_公式與參數'!$C$6*'2_公式與參數'!$C$7/J511*100))</f>
        <v/>
      </c>
    </row>
    <row r="512">
      <c r="J512" s="20">
        <f>IF($A512="","",IF(H512="","",H512*1000))</f>
        <v/>
      </c>
      <c r="K512" s="21">
        <f>IF($A512="","",E512-'2_公式與參數'!$C$14)</f>
        <v/>
      </c>
      <c r="L512" s="22">
        <f>IF($A512="","",IF(H512="","",K512*'2_公式與參數'!$C$6*'2_公式與參數'!$C$7/J512*100))</f>
        <v/>
      </c>
    </row>
    <row r="513">
      <c r="J513" s="20">
        <f>IF($A513="","",IF(H513="","",H513*1000))</f>
        <v/>
      </c>
      <c r="K513" s="21">
        <f>IF($A513="","",E513-'2_公式與參數'!$C$14)</f>
        <v/>
      </c>
      <c r="L513" s="22">
        <f>IF($A513="","",IF(H513="","",K513*'2_公式與參數'!$C$6*'2_公式與參數'!$C$7/J513*100))</f>
        <v/>
      </c>
    </row>
    <row r="514">
      <c r="J514" s="20">
        <f>IF($A514="","",IF(H514="","",H514*1000))</f>
        <v/>
      </c>
      <c r="K514" s="21">
        <f>IF($A514="","",E514-'2_公式與參數'!$C$14)</f>
        <v/>
      </c>
      <c r="L514" s="22">
        <f>IF($A514="","",IF(H514="","",K514*'2_公式與參數'!$C$6*'2_公式與參數'!$C$7/J514*100))</f>
        <v/>
      </c>
    </row>
    <row r="515">
      <c r="J515" s="20">
        <f>IF($A515="","",IF(H515="","",H515*1000))</f>
        <v/>
      </c>
      <c r="K515" s="21">
        <f>IF($A515="","",E515-'2_公式與參數'!$C$14)</f>
        <v/>
      </c>
      <c r="L515" s="22">
        <f>IF($A515="","",IF(H515="","",K515*'2_公式與參數'!$C$6*'2_公式與參數'!$C$7/J515*100))</f>
        <v/>
      </c>
    </row>
    <row r="516">
      <c r="J516" s="20">
        <f>IF($A516="","",IF(H516="","",H516*1000))</f>
        <v/>
      </c>
      <c r="K516" s="21">
        <f>IF($A516="","",E516-'2_公式與參數'!$C$14)</f>
        <v/>
      </c>
      <c r="L516" s="22">
        <f>IF($A516="","",IF(H516="","",K516*'2_公式與參數'!$C$6*'2_公式與參數'!$C$7/J516*100))</f>
        <v/>
      </c>
    </row>
    <row r="517">
      <c r="J517" s="20">
        <f>IF($A517="","",IF(H517="","",H517*1000))</f>
        <v/>
      </c>
      <c r="K517" s="21">
        <f>IF($A517="","",E517-'2_公式與參數'!$C$14)</f>
        <v/>
      </c>
      <c r="L517" s="22">
        <f>IF($A517="","",IF(H517="","",K517*'2_公式與參數'!$C$6*'2_公式與參數'!$C$7/J517*100))</f>
        <v/>
      </c>
    </row>
    <row r="518">
      <c r="J518" s="20">
        <f>IF($A518="","",IF(H518="","",H518*1000))</f>
        <v/>
      </c>
      <c r="K518" s="21">
        <f>IF($A518="","",E518-'2_公式與參數'!$C$14)</f>
        <v/>
      </c>
      <c r="L518" s="22">
        <f>IF($A518="","",IF(H518="","",K518*'2_公式與參數'!$C$6*'2_公式與參數'!$C$7/J518*100))</f>
        <v/>
      </c>
    </row>
    <row r="519">
      <c r="J519" s="20">
        <f>IF($A519="","",IF(H519="","",H519*1000))</f>
        <v/>
      </c>
      <c r="K519" s="21">
        <f>IF($A519="","",E519-'2_公式與參數'!$C$14)</f>
        <v/>
      </c>
      <c r="L519" s="22">
        <f>IF($A519="","",IF(H519="","",K519*'2_公式與參數'!$C$6*'2_公式與參數'!$C$7/J519*100))</f>
        <v/>
      </c>
    </row>
    <row r="520">
      <c r="J520" s="20">
        <f>IF($A520="","",IF(H520="","",H520*1000))</f>
        <v/>
      </c>
      <c r="K520" s="21">
        <f>IF($A520="","",E520-'2_公式與參數'!$C$14)</f>
        <v/>
      </c>
      <c r="L520" s="22">
        <f>IF($A520="","",IF(H520="","",K520*'2_公式與參數'!$C$6*'2_公式與參數'!$C$7/J520*100))</f>
        <v/>
      </c>
    </row>
    <row r="521">
      <c r="J521" s="20">
        <f>IF($A521="","",IF(H521="","",H521*1000))</f>
        <v/>
      </c>
      <c r="K521" s="21">
        <f>IF($A521="","",E521-'2_公式與參數'!$C$14)</f>
        <v/>
      </c>
      <c r="L521" s="22">
        <f>IF($A521="","",IF(H521="","",K521*'2_公式與參數'!$C$6*'2_公式與參數'!$C$7/J521*100))</f>
        <v/>
      </c>
    </row>
    <row r="522">
      <c r="J522" s="20">
        <f>IF($A522="","",IF(H522="","",H522*1000))</f>
        <v/>
      </c>
      <c r="K522" s="21">
        <f>IF($A522="","",E522-'2_公式與參數'!$C$14)</f>
        <v/>
      </c>
      <c r="L522" s="22">
        <f>IF($A522="","",IF(H522="","",K522*'2_公式與參數'!$C$6*'2_公式與參數'!$C$7/J522*100))</f>
        <v/>
      </c>
    </row>
    <row r="523">
      <c r="J523" s="20">
        <f>IF($A523="","",IF(H523="","",H523*1000))</f>
        <v/>
      </c>
      <c r="K523" s="21">
        <f>IF($A523="","",E523-'2_公式與參數'!$C$14)</f>
        <v/>
      </c>
      <c r="L523" s="22">
        <f>IF($A523="","",IF(H523="","",K523*'2_公式與參數'!$C$6*'2_公式與參數'!$C$7/J523*100))</f>
        <v/>
      </c>
    </row>
    <row r="524">
      <c r="J524" s="20">
        <f>IF($A524="","",IF(H524="","",H524*1000))</f>
        <v/>
      </c>
      <c r="K524" s="21">
        <f>IF($A524="","",E524-'2_公式與參數'!$C$14)</f>
        <v/>
      </c>
      <c r="L524" s="22">
        <f>IF($A524="","",IF(H524="","",K524*'2_公式與參數'!$C$6*'2_公式與參數'!$C$7/J524*100))</f>
        <v/>
      </c>
    </row>
    <row r="525">
      <c r="J525" s="20">
        <f>IF($A525="","",IF(H525="","",H525*1000))</f>
        <v/>
      </c>
      <c r="K525" s="21">
        <f>IF($A525="","",E525-'2_公式與參數'!$C$14)</f>
        <v/>
      </c>
      <c r="L525" s="22">
        <f>IF($A525="","",IF(H525="","",K525*'2_公式與參數'!$C$6*'2_公式與參數'!$C$7/J525*100))</f>
        <v/>
      </c>
    </row>
    <row r="526">
      <c r="J526" s="20">
        <f>IF($A526="","",IF(H526="","",H526*1000))</f>
        <v/>
      </c>
      <c r="K526" s="21">
        <f>IF($A526="","",E526-'2_公式與參數'!$C$14)</f>
        <v/>
      </c>
      <c r="L526" s="22">
        <f>IF($A526="","",IF(H526="","",K526*'2_公式與參數'!$C$6*'2_公式與參數'!$C$7/J526*100))</f>
        <v/>
      </c>
    </row>
    <row r="527">
      <c r="J527" s="20">
        <f>IF($A527="","",IF(H527="","",H527*1000))</f>
        <v/>
      </c>
      <c r="K527" s="21">
        <f>IF($A527="","",E527-'2_公式與參數'!$C$14)</f>
        <v/>
      </c>
      <c r="L527" s="22">
        <f>IF($A527="","",IF(H527="","",K527*'2_公式與參數'!$C$6*'2_公式與參數'!$C$7/J527*100))</f>
        <v/>
      </c>
    </row>
    <row r="528">
      <c r="J528" s="20">
        <f>IF($A528="","",IF(H528="","",H528*1000))</f>
        <v/>
      </c>
      <c r="K528" s="21">
        <f>IF($A528="","",E528-'2_公式與參數'!$C$14)</f>
        <v/>
      </c>
      <c r="L528" s="22">
        <f>IF($A528="","",IF(H528="","",K528*'2_公式與參數'!$C$6*'2_公式與參數'!$C$7/J528*100))</f>
        <v/>
      </c>
    </row>
    <row r="529">
      <c r="J529" s="20">
        <f>IF($A529="","",IF(H529="","",H529*1000))</f>
        <v/>
      </c>
      <c r="K529" s="21">
        <f>IF($A529="","",E529-'2_公式與參數'!$C$14)</f>
        <v/>
      </c>
      <c r="L529" s="22">
        <f>IF($A529="","",IF(H529="","",K529*'2_公式與參數'!$C$6*'2_公式與參數'!$C$7/J529*100))</f>
        <v/>
      </c>
    </row>
    <row r="530">
      <c r="J530" s="20">
        <f>IF($A530="","",IF(H530="","",H530*1000))</f>
        <v/>
      </c>
      <c r="K530" s="21">
        <f>IF($A530="","",E530-'2_公式與參數'!$C$14)</f>
        <v/>
      </c>
      <c r="L530" s="22">
        <f>IF($A530="","",IF(H530="","",K530*'2_公式與參數'!$C$6*'2_公式與參數'!$C$7/J530*100))</f>
        <v/>
      </c>
    </row>
    <row r="531">
      <c r="J531" s="20">
        <f>IF($A531="","",IF(H531="","",H531*1000))</f>
        <v/>
      </c>
      <c r="K531" s="21">
        <f>IF($A531="","",E531-'2_公式與參數'!$C$14)</f>
        <v/>
      </c>
      <c r="L531" s="22">
        <f>IF($A531="","",IF(H531="","",K531*'2_公式與參數'!$C$6*'2_公式與參數'!$C$7/J531*100))</f>
        <v/>
      </c>
    </row>
    <row r="532">
      <c r="J532" s="20">
        <f>IF($A532="","",IF(H532="","",H532*1000))</f>
        <v/>
      </c>
      <c r="K532" s="21">
        <f>IF($A532="","",E532-'2_公式與參數'!$C$14)</f>
        <v/>
      </c>
      <c r="L532" s="22">
        <f>IF($A532="","",IF(H532="","",K532*'2_公式與參數'!$C$6*'2_公式與參數'!$C$7/J532*100))</f>
        <v/>
      </c>
    </row>
    <row r="533">
      <c r="J533" s="20">
        <f>IF($A533="","",IF(H533="","",H533*1000))</f>
        <v/>
      </c>
      <c r="K533" s="21">
        <f>IF($A533="","",E533-'2_公式與參數'!$C$14)</f>
        <v/>
      </c>
      <c r="L533" s="22">
        <f>IF($A533="","",IF(H533="","",K533*'2_公式與參數'!$C$6*'2_公式與參數'!$C$7/J533*100))</f>
        <v/>
      </c>
    </row>
    <row r="534">
      <c r="J534" s="20">
        <f>IF($A534="","",IF(H534="","",H534*1000))</f>
        <v/>
      </c>
      <c r="K534" s="21">
        <f>IF($A534="","",E534-'2_公式與參數'!$C$14)</f>
        <v/>
      </c>
      <c r="L534" s="22">
        <f>IF($A534="","",IF(H534="","",K534*'2_公式與參數'!$C$6*'2_公式與參數'!$C$7/J534*100))</f>
        <v/>
      </c>
    </row>
    <row r="535">
      <c r="J535" s="20">
        <f>IF($A535="","",IF(H535="","",H535*1000))</f>
        <v/>
      </c>
      <c r="K535" s="21">
        <f>IF($A535="","",E535-'2_公式與參數'!$C$14)</f>
        <v/>
      </c>
      <c r="L535" s="22">
        <f>IF($A535="","",IF(H535="","",K535*'2_公式與參數'!$C$6*'2_公式與參數'!$C$7/J535*100))</f>
        <v/>
      </c>
    </row>
    <row r="536">
      <c r="J536" s="20">
        <f>IF($A536="","",IF(H536="","",H536*1000))</f>
        <v/>
      </c>
      <c r="K536" s="21">
        <f>IF($A536="","",E536-'2_公式與參數'!$C$14)</f>
        <v/>
      </c>
      <c r="L536" s="22">
        <f>IF($A536="","",IF(H536="","",K536*'2_公式與參數'!$C$6*'2_公式與參數'!$C$7/J536*100))</f>
        <v/>
      </c>
    </row>
    <row r="537">
      <c r="J537" s="20">
        <f>IF($A537="","",IF(H537="","",H537*1000))</f>
        <v/>
      </c>
      <c r="K537" s="21">
        <f>IF($A537="","",E537-'2_公式與參數'!$C$14)</f>
        <v/>
      </c>
      <c r="L537" s="22">
        <f>IF($A537="","",IF(H537="","",K537*'2_公式與參數'!$C$6*'2_公式與參數'!$C$7/J537*100))</f>
        <v/>
      </c>
    </row>
    <row r="538">
      <c r="J538" s="20">
        <f>IF($A538="","",IF(H538="","",H538*1000))</f>
        <v/>
      </c>
      <c r="K538" s="21">
        <f>IF($A538="","",E538-'2_公式與參數'!$C$14)</f>
        <v/>
      </c>
      <c r="L538" s="22">
        <f>IF($A538="","",IF(H538="","",K538*'2_公式與參數'!$C$6*'2_公式與參數'!$C$7/J538*100))</f>
        <v/>
      </c>
    </row>
    <row r="539">
      <c r="J539" s="20">
        <f>IF($A539="","",IF(H539="","",H539*1000))</f>
        <v/>
      </c>
      <c r="K539" s="21">
        <f>IF($A539="","",E539-'2_公式與參數'!$C$14)</f>
        <v/>
      </c>
      <c r="L539" s="22">
        <f>IF($A539="","",IF(H539="","",K539*'2_公式與參數'!$C$6*'2_公式與參數'!$C$7/J539*100))</f>
        <v/>
      </c>
    </row>
    <row r="540">
      <c r="J540" s="20">
        <f>IF($A540="","",IF(H540="","",H540*1000))</f>
        <v/>
      </c>
      <c r="K540" s="21">
        <f>IF($A540="","",E540-'2_公式與參數'!$C$14)</f>
        <v/>
      </c>
      <c r="L540" s="22">
        <f>IF($A540="","",IF(H540="","",K540*'2_公式與參數'!$C$6*'2_公式與參數'!$C$7/J540*100))</f>
        <v/>
      </c>
    </row>
    <row r="541">
      <c r="J541" s="20">
        <f>IF($A541="","",IF(H541="","",H541*1000))</f>
        <v/>
      </c>
      <c r="K541" s="21">
        <f>IF($A541="","",E541-'2_公式與參數'!$C$14)</f>
        <v/>
      </c>
      <c r="L541" s="22">
        <f>IF($A541="","",IF(H541="","",K541*'2_公式與參數'!$C$6*'2_公式與參數'!$C$7/J541*100))</f>
        <v/>
      </c>
    </row>
    <row r="542">
      <c r="J542" s="20">
        <f>IF($A542="","",IF(H542="","",H542*1000))</f>
        <v/>
      </c>
      <c r="K542" s="21">
        <f>IF($A542="","",E542-'2_公式與參數'!$C$14)</f>
        <v/>
      </c>
      <c r="L542" s="22">
        <f>IF($A542="","",IF(H542="","",K542*'2_公式與參數'!$C$6*'2_公式與參數'!$C$7/J542*100))</f>
        <v/>
      </c>
    </row>
    <row r="543">
      <c r="J543" s="20">
        <f>IF($A543="","",IF(H543="","",H543*1000))</f>
        <v/>
      </c>
      <c r="K543" s="21">
        <f>IF($A543="","",E543-'2_公式與參數'!$C$14)</f>
        <v/>
      </c>
      <c r="L543" s="22">
        <f>IF($A543="","",IF(H543="","",K543*'2_公式與參數'!$C$6*'2_公式與參數'!$C$7/J543*100))</f>
        <v/>
      </c>
    </row>
    <row r="544">
      <c r="J544" s="20">
        <f>IF($A544="","",IF(H544="","",H544*1000))</f>
        <v/>
      </c>
      <c r="K544" s="21">
        <f>IF($A544="","",E544-'2_公式與參數'!$C$14)</f>
        <v/>
      </c>
      <c r="L544" s="22">
        <f>IF($A544="","",IF(H544="","",K544*'2_公式與參數'!$C$6*'2_公式與參數'!$C$7/J544*100))</f>
        <v/>
      </c>
    </row>
    <row r="545">
      <c r="J545" s="20">
        <f>IF($A545="","",IF(H545="","",H545*1000))</f>
        <v/>
      </c>
      <c r="K545" s="21">
        <f>IF($A545="","",E545-'2_公式與參數'!$C$14)</f>
        <v/>
      </c>
      <c r="L545" s="22">
        <f>IF($A545="","",IF(H545="","",K545*'2_公式與參數'!$C$6*'2_公式與參數'!$C$7/J545*100))</f>
        <v/>
      </c>
    </row>
    <row r="546">
      <c r="J546" s="20">
        <f>IF($A546="","",IF(H546="","",H546*1000))</f>
        <v/>
      </c>
      <c r="K546" s="21">
        <f>IF($A546="","",E546-'2_公式與參數'!$C$14)</f>
        <v/>
      </c>
      <c r="L546" s="22">
        <f>IF($A546="","",IF(H546="","",K546*'2_公式與參數'!$C$6*'2_公式與參數'!$C$7/J546*100))</f>
        <v/>
      </c>
    </row>
    <row r="547">
      <c r="J547" s="20">
        <f>IF($A547="","",IF(H547="","",H547*1000))</f>
        <v/>
      </c>
      <c r="K547" s="21">
        <f>IF($A547="","",E547-'2_公式與參數'!$C$14)</f>
        <v/>
      </c>
      <c r="L547" s="22">
        <f>IF($A547="","",IF(H547="","",K547*'2_公式與參數'!$C$6*'2_公式與參數'!$C$7/J547*100))</f>
        <v/>
      </c>
    </row>
    <row r="548">
      <c r="J548" s="20">
        <f>IF($A548="","",IF(H548="","",H548*1000))</f>
        <v/>
      </c>
      <c r="K548" s="21">
        <f>IF($A548="","",E548-'2_公式與參數'!$C$14)</f>
        <v/>
      </c>
      <c r="L548" s="22">
        <f>IF($A548="","",IF(H548="","",K548*'2_公式與參數'!$C$6*'2_公式與參數'!$C$7/J548*100))</f>
        <v/>
      </c>
    </row>
    <row r="549">
      <c r="J549" s="20">
        <f>IF($A549="","",IF(H549="","",H549*1000))</f>
        <v/>
      </c>
      <c r="K549" s="21">
        <f>IF($A549="","",E549-'2_公式與參數'!$C$14)</f>
        <v/>
      </c>
      <c r="L549" s="22">
        <f>IF($A549="","",IF(H549="","",K549*'2_公式與參數'!$C$6*'2_公式與參數'!$C$7/J549*100))</f>
        <v/>
      </c>
    </row>
    <row r="550">
      <c r="J550" s="20">
        <f>IF($A550="","",IF(H550="","",H550*1000))</f>
        <v/>
      </c>
      <c r="K550" s="21">
        <f>IF($A550="","",E550-'2_公式與參數'!$C$14)</f>
        <v/>
      </c>
      <c r="L550" s="22">
        <f>IF($A550="","",IF(H550="","",K550*'2_公式與參數'!$C$6*'2_公式與參數'!$C$7/J550*100))</f>
        <v/>
      </c>
    </row>
    <row r="551">
      <c r="J551" s="20">
        <f>IF($A551="","",IF(H551="","",H551*1000))</f>
        <v/>
      </c>
      <c r="K551" s="21">
        <f>IF($A551="","",E551-'2_公式與參數'!$C$14)</f>
        <v/>
      </c>
      <c r="L551" s="22">
        <f>IF($A551="","",IF(H551="","",K551*'2_公式與參數'!$C$6*'2_公式與參數'!$C$7/J551*100))</f>
        <v/>
      </c>
    </row>
    <row r="552">
      <c r="J552" s="20">
        <f>IF($A552="","",IF(H552="","",H552*1000))</f>
        <v/>
      </c>
      <c r="K552" s="21">
        <f>IF($A552="","",E552-'2_公式與參數'!$C$14)</f>
        <v/>
      </c>
      <c r="L552" s="22">
        <f>IF($A552="","",IF(H552="","",K552*'2_公式與參數'!$C$6*'2_公式與參數'!$C$7/J552*100))</f>
        <v/>
      </c>
    </row>
    <row r="553">
      <c r="J553" s="20">
        <f>IF($A553="","",IF(H553="","",H553*1000))</f>
        <v/>
      </c>
      <c r="K553" s="21">
        <f>IF($A553="","",E553-'2_公式與參數'!$C$14)</f>
        <v/>
      </c>
      <c r="L553" s="22">
        <f>IF($A553="","",IF(H553="","",K553*'2_公式與參數'!$C$6*'2_公式與參數'!$C$7/J553*100))</f>
        <v/>
      </c>
    </row>
    <row r="554">
      <c r="J554" s="20">
        <f>IF($A554="","",IF(H554="","",H554*1000))</f>
        <v/>
      </c>
      <c r="K554" s="21">
        <f>IF($A554="","",E554-'2_公式與參數'!$C$14)</f>
        <v/>
      </c>
      <c r="L554" s="22">
        <f>IF($A554="","",IF(H554="","",K554*'2_公式與參數'!$C$6*'2_公式與參數'!$C$7/J554*100))</f>
        <v/>
      </c>
    </row>
    <row r="555">
      <c r="J555" s="20">
        <f>IF($A555="","",IF(H555="","",H555*1000))</f>
        <v/>
      </c>
      <c r="K555" s="21">
        <f>IF($A555="","",E555-'2_公式與參數'!$C$14)</f>
        <v/>
      </c>
      <c r="L555" s="22">
        <f>IF($A555="","",IF(H555="","",K555*'2_公式與參數'!$C$6*'2_公式與參數'!$C$7/J555*100))</f>
        <v/>
      </c>
    </row>
    <row r="556">
      <c r="J556" s="20">
        <f>IF($A556="","",IF(H556="","",H556*1000))</f>
        <v/>
      </c>
      <c r="K556" s="21">
        <f>IF($A556="","",E556-'2_公式與參數'!$C$14)</f>
        <v/>
      </c>
      <c r="L556" s="22">
        <f>IF($A556="","",IF(H556="","",K556*'2_公式與參數'!$C$6*'2_公式與參數'!$C$7/J556*100))</f>
        <v/>
      </c>
    </row>
    <row r="557">
      <c r="J557" s="20">
        <f>IF($A557="","",IF(H557="","",H557*1000))</f>
        <v/>
      </c>
      <c r="K557" s="21">
        <f>IF($A557="","",E557-'2_公式與參數'!$C$14)</f>
        <v/>
      </c>
      <c r="L557" s="22">
        <f>IF($A557="","",IF(H557="","",K557*'2_公式與參數'!$C$6*'2_公式與參數'!$C$7/J557*100))</f>
        <v/>
      </c>
    </row>
    <row r="558">
      <c r="J558" s="20">
        <f>IF($A558="","",IF(H558="","",H558*1000))</f>
        <v/>
      </c>
      <c r="K558" s="21">
        <f>IF($A558="","",E558-'2_公式與參數'!$C$14)</f>
        <v/>
      </c>
      <c r="L558" s="22">
        <f>IF($A558="","",IF(H558="","",K558*'2_公式與參數'!$C$6*'2_公式與參數'!$C$7/J558*100))</f>
        <v/>
      </c>
    </row>
    <row r="559">
      <c r="J559" s="20">
        <f>IF($A559="","",IF(H559="","",H559*1000))</f>
        <v/>
      </c>
      <c r="K559" s="21">
        <f>IF($A559="","",E559-'2_公式與參數'!$C$14)</f>
        <v/>
      </c>
      <c r="L559" s="22">
        <f>IF($A559="","",IF(H559="","",K559*'2_公式與參數'!$C$6*'2_公式與參數'!$C$7/J559*100))</f>
        <v/>
      </c>
    </row>
    <row r="560">
      <c r="J560" s="20">
        <f>IF($A560="","",IF(H560="","",H560*1000))</f>
        <v/>
      </c>
      <c r="K560" s="21">
        <f>IF($A560="","",E560-'2_公式與參數'!$C$14)</f>
        <v/>
      </c>
      <c r="L560" s="22">
        <f>IF($A560="","",IF(H560="","",K560*'2_公式與參數'!$C$6*'2_公式與參數'!$C$7/J560*100))</f>
        <v/>
      </c>
    </row>
    <row r="561">
      <c r="J561" s="20">
        <f>IF($A561="","",IF(H561="","",H561*1000))</f>
        <v/>
      </c>
      <c r="K561" s="21">
        <f>IF($A561="","",E561-'2_公式與參數'!$C$14)</f>
        <v/>
      </c>
      <c r="L561" s="22">
        <f>IF($A561="","",IF(H561="","",K561*'2_公式與參數'!$C$6*'2_公式與參數'!$C$7/J561*100))</f>
        <v/>
      </c>
    </row>
    <row r="562">
      <c r="J562" s="20">
        <f>IF($A562="","",IF(H562="","",H562*1000))</f>
        <v/>
      </c>
      <c r="K562" s="21">
        <f>IF($A562="","",E562-'2_公式與參數'!$C$14)</f>
        <v/>
      </c>
      <c r="L562" s="22">
        <f>IF($A562="","",IF(H562="","",K562*'2_公式與參數'!$C$6*'2_公式與參數'!$C$7/J562*100))</f>
        <v/>
      </c>
    </row>
    <row r="563">
      <c r="J563" s="20">
        <f>IF($A563="","",IF(H563="","",H563*1000))</f>
        <v/>
      </c>
      <c r="K563" s="21">
        <f>IF($A563="","",E563-'2_公式與參數'!$C$14)</f>
        <v/>
      </c>
      <c r="L563" s="22">
        <f>IF($A563="","",IF(H563="","",K563*'2_公式與參數'!$C$6*'2_公式與參數'!$C$7/J563*100))</f>
        <v/>
      </c>
    </row>
    <row r="564">
      <c r="J564" s="20">
        <f>IF($A564="","",IF(H564="","",H564*1000))</f>
        <v/>
      </c>
      <c r="K564" s="21">
        <f>IF($A564="","",E564-'2_公式與參數'!$C$14)</f>
        <v/>
      </c>
      <c r="L564" s="22">
        <f>IF($A564="","",IF(H564="","",K564*'2_公式與參數'!$C$6*'2_公式與參數'!$C$7/J564*100))</f>
        <v/>
      </c>
    </row>
    <row r="565">
      <c r="J565" s="20">
        <f>IF($A565="","",IF(H565="","",H565*1000))</f>
        <v/>
      </c>
      <c r="K565" s="21">
        <f>IF($A565="","",E565-'2_公式與參數'!$C$14)</f>
        <v/>
      </c>
      <c r="L565" s="22">
        <f>IF($A565="","",IF(H565="","",K565*'2_公式與參數'!$C$6*'2_公式與參數'!$C$7/J565*100))</f>
        <v/>
      </c>
    </row>
    <row r="566">
      <c r="J566" s="20">
        <f>IF($A566="","",IF(H566="","",H566*1000))</f>
        <v/>
      </c>
      <c r="K566" s="21">
        <f>IF($A566="","",E566-'2_公式與參數'!$C$14)</f>
        <v/>
      </c>
      <c r="L566" s="22">
        <f>IF($A566="","",IF(H566="","",K566*'2_公式與參數'!$C$6*'2_公式與參數'!$C$7/J566*100))</f>
        <v/>
      </c>
    </row>
    <row r="567">
      <c r="J567" s="20">
        <f>IF($A567="","",IF(H567="","",H567*1000))</f>
        <v/>
      </c>
      <c r="K567" s="21">
        <f>IF($A567="","",E567-'2_公式與參數'!$C$14)</f>
        <v/>
      </c>
      <c r="L567" s="22">
        <f>IF($A567="","",IF(H567="","",K567*'2_公式與參數'!$C$6*'2_公式與參數'!$C$7/J567*100))</f>
        <v/>
      </c>
    </row>
    <row r="568">
      <c r="J568" s="20">
        <f>IF($A568="","",IF(H568="","",H568*1000))</f>
        <v/>
      </c>
      <c r="K568" s="21">
        <f>IF($A568="","",E568-'2_公式與參數'!$C$14)</f>
        <v/>
      </c>
      <c r="L568" s="22">
        <f>IF($A568="","",IF(H568="","",K568*'2_公式與參數'!$C$6*'2_公式與參數'!$C$7/J568*100))</f>
        <v/>
      </c>
    </row>
    <row r="569">
      <c r="J569" s="20">
        <f>IF($A569="","",IF(H569="","",H569*1000))</f>
        <v/>
      </c>
      <c r="K569" s="21">
        <f>IF($A569="","",E569-'2_公式與參數'!$C$14)</f>
        <v/>
      </c>
      <c r="L569" s="22">
        <f>IF($A569="","",IF(H569="","",K569*'2_公式與參數'!$C$6*'2_公式與參數'!$C$7/J569*100))</f>
        <v/>
      </c>
    </row>
    <row r="570">
      <c r="J570" s="20">
        <f>IF($A570="","",IF(H570="","",H570*1000))</f>
        <v/>
      </c>
      <c r="K570" s="21">
        <f>IF($A570="","",E570-'2_公式與參數'!$C$14)</f>
        <v/>
      </c>
      <c r="L570" s="22">
        <f>IF($A570="","",IF(H570="","",K570*'2_公式與參數'!$C$6*'2_公式與參數'!$C$7/J570*100))</f>
        <v/>
      </c>
    </row>
    <row r="571">
      <c r="J571" s="20">
        <f>IF($A571="","",IF(H571="","",H571*1000))</f>
        <v/>
      </c>
      <c r="K571" s="21">
        <f>IF($A571="","",E571-'2_公式與參數'!$C$14)</f>
        <v/>
      </c>
      <c r="L571" s="22">
        <f>IF($A571="","",IF(H571="","",K571*'2_公式與參數'!$C$6*'2_公式與參數'!$C$7/J571*100))</f>
        <v/>
      </c>
    </row>
    <row r="572">
      <c r="J572" s="20">
        <f>IF($A572="","",IF(H572="","",H572*1000))</f>
        <v/>
      </c>
      <c r="K572" s="21">
        <f>IF($A572="","",E572-'2_公式與參數'!$C$14)</f>
        <v/>
      </c>
      <c r="L572" s="22">
        <f>IF($A572="","",IF(H572="","",K572*'2_公式與參數'!$C$6*'2_公式與參數'!$C$7/J572*100))</f>
        <v/>
      </c>
    </row>
    <row r="573">
      <c r="J573" s="20">
        <f>IF($A573="","",IF(H573="","",H573*1000))</f>
        <v/>
      </c>
      <c r="K573" s="21">
        <f>IF($A573="","",E573-'2_公式與參數'!$C$14)</f>
        <v/>
      </c>
      <c r="L573" s="22">
        <f>IF($A573="","",IF(H573="","",K573*'2_公式與參數'!$C$6*'2_公式與參數'!$C$7/J573*100))</f>
        <v/>
      </c>
    </row>
    <row r="574">
      <c r="J574" s="20">
        <f>IF($A574="","",IF(H574="","",H574*1000))</f>
        <v/>
      </c>
      <c r="K574" s="21">
        <f>IF($A574="","",E574-'2_公式與參數'!$C$14)</f>
        <v/>
      </c>
      <c r="L574" s="22">
        <f>IF($A574="","",IF(H574="","",K574*'2_公式與參數'!$C$6*'2_公式與參數'!$C$7/J574*100))</f>
        <v/>
      </c>
    </row>
    <row r="575">
      <c r="J575" s="20">
        <f>IF($A575="","",IF(H575="","",H575*1000))</f>
        <v/>
      </c>
      <c r="K575" s="21">
        <f>IF($A575="","",E575-'2_公式與參數'!$C$14)</f>
        <v/>
      </c>
      <c r="L575" s="22">
        <f>IF($A575="","",IF(H575="","",K575*'2_公式與參數'!$C$6*'2_公式與參數'!$C$7/J575*100))</f>
        <v/>
      </c>
    </row>
    <row r="576">
      <c r="J576" s="20">
        <f>IF($A576="","",IF(H576="","",H576*1000))</f>
        <v/>
      </c>
      <c r="K576" s="21">
        <f>IF($A576="","",E576-'2_公式與參數'!$C$14)</f>
        <v/>
      </c>
      <c r="L576" s="22">
        <f>IF($A576="","",IF(H576="","",K576*'2_公式與參數'!$C$6*'2_公式與參數'!$C$7/J576*100))</f>
        <v/>
      </c>
    </row>
    <row r="577">
      <c r="J577" s="20">
        <f>IF($A577="","",IF(H577="","",H577*1000))</f>
        <v/>
      </c>
      <c r="K577" s="21">
        <f>IF($A577="","",E577-'2_公式與參數'!$C$14)</f>
        <v/>
      </c>
      <c r="L577" s="22">
        <f>IF($A577="","",IF(H577="","",K577*'2_公式與參數'!$C$6*'2_公式與參數'!$C$7/J577*100))</f>
        <v/>
      </c>
    </row>
    <row r="578">
      <c r="J578" s="20">
        <f>IF($A578="","",IF(H578="","",H578*1000))</f>
        <v/>
      </c>
      <c r="K578" s="21">
        <f>IF($A578="","",E578-'2_公式與參數'!$C$14)</f>
        <v/>
      </c>
      <c r="L578" s="22">
        <f>IF($A578="","",IF(H578="","",K578*'2_公式與參數'!$C$6*'2_公式與參數'!$C$7/J578*100))</f>
        <v/>
      </c>
    </row>
    <row r="579">
      <c r="J579" s="20">
        <f>IF($A579="","",IF(H579="","",H579*1000))</f>
        <v/>
      </c>
      <c r="K579" s="21">
        <f>IF($A579="","",E579-'2_公式與參數'!$C$14)</f>
        <v/>
      </c>
      <c r="L579" s="22">
        <f>IF($A579="","",IF(H579="","",K579*'2_公式與參數'!$C$6*'2_公式與參數'!$C$7/J579*100))</f>
        <v/>
      </c>
    </row>
    <row r="580">
      <c r="J580" s="20">
        <f>IF($A580="","",IF(H580="","",H580*1000))</f>
        <v/>
      </c>
      <c r="K580" s="21">
        <f>IF($A580="","",E580-'2_公式與參數'!$C$14)</f>
        <v/>
      </c>
      <c r="L580" s="22">
        <f>IF($A580="","",IF(H580="","",K580*'2_公式與參數'!$C$6*'2_公式與參數'!$C$7/J580*100))</f>
        <v/>
      </c>
    </row>
    <row r="581">
      <c r="J581" s="20">
        <f>IF($A581="","",IF(H581="","",H581*1000))</f>
        <v/>
      </c>
      <c r="K581" s="21">
        <f>IF($A581="","",E581-'2_公式與參數'!$C$14)</f>
        <v/>
      </c>
      <c r="L581" s="22">
        <f>IF($A581="","",IF(H581="","",K581*'2_公式與參數'!$C$6*'2_公式與參數'!$C$7/J581*100))</f>
        <v/>
      </c>
    </row>
    <row r="582">
      <c r="J582" s="20">
        <f>IF($A582="","",IF(H582="","",H582*1000))</f>
        <v/>
      </c>
      <c r="K582" s="21">
        <f>IF($A582="","",E582-'2_公式與參數'!$C$14)</f>
        <v/>
      </c>
      <c r="L582" s="22">
        <f>IF($A582="","",IF(H582="","",K582*'2_公式與參數'!$C$6*'2_公式與參數'!$C$7/J582*100))</f>
        <v/>
      </c>
    </row>
    <row r="583">
      <c r="J583" s="20">
        <f>IF($A583="","",IF(H583="","",H583*1000))</f>
        <v/>
      </c>
      <c r="K583" s="21">
        <f>IF($A583="","",E583-'2_公式與參數'!$C$14)</f>
        <v/>
      </c>
      <c r="L583" s="22">
        <f>IF($A583="","",IF(H583="","",K583*'2_公式與參數'!$C$6*'2_公式與參數'!$C$7/J583*100))</f>
        <v/>
      </c>
    </row>
    <row r="584">
      <c r="J584" s="20">
        <f>IF($A584="","",IF(H584="","",H584*1000))</f>
        <v/>
      </c>
      <c r="K584" s="21">
        <f>IF($A584="","",E584-'2_公式與參數'!$C$14)</f>
        <v/>
      </c>
      <c r="L584" s="22">
        <f>IF($A584="","",IF(H584="","",K584*'2_公式與參數'!$C$6*'2_公式與參數'!$C$7/J584*100))</f>
        <v/>
      </c>
    </row>
    <row r="585">
      <c r="J585" s="20">
        <f>IF($A585="","",IF(H585="","",H585*1000))</f>
        <v/>
      </c>
      <c r="K585" s="21">
        <f>IF($A585="","",E585-'2_公式與參數'!$C$14)</f>
        <v/>
      </c>
      <c r="L585" s="22">
        <f>IF($A585="","",IF(H585="","",K585*'2_公式與參數'!$C$6*'2_公式與參數'!$C$7/J585*100))</f>
        <v/>
      </c>
    </row>
    <row r="586">
      <c r="J586" s="20">
        <f>IF($A586="","",IF(H586="","",H586*1000))</f>
        <v/>
      </c>
      <c r="K586" s="21">
        <f>IF($A586="","",E586-'2_公式與參數'!$C$14)</f>
        <v/>
      </c>
      <c r="L586" s="22">
        <f>IF($A586="","",IF(H586="","",K586*'2_公式與參數'!$C$6*'2_公式與參數'!$C$7/J586*100))</f>
        <v/>
      </c>
    </row>
    <row r="587">
      <c r="J587" s="20">
        <f>IF($A587="","",IF(H587="","",H587*1000))</f>
        <v/>
      </c>
      <c r="K587" s="21">
        <f>IF($A587="","",E587-'2_公式與參數'!$C$14)</f>
        <v/>
      </c>
      <c r="L587" s="22">
        <f>IF($A587="","",IF(H587="","",K587*'2_公式與參數'!$C$6*'2_公式與參數'!$C$7/J587*100))</f>
        <v/>
      </c>
    </row>
    <row r="588">
      <c r="J588" s="20">
        <f>IF($A588="","",IF(H588="","",H588*1000))</f>
        <v/>
      </c>
      <c r="K588" s="21">
        <f>IF($A588="","",E588-'2_公式與參數'!$C$14)</f>
        <v/>
      </c>
      <c r="L588" s="22">
        <f>IF($A588="","",IF(H588="","",K588*'2_公式與參數'!$C$6*'2_公式與參數'!$C$7/J588*100))</f>
        <v/>
      </c>
    </row>
    <row r="589">
      <c r="J589" s="20">
        <f>IF($A589="","",IF(H589="","",H589*1000))</f>
        <v/>
      </c>
      <c r="K589" s="21">
        <f>IF($A589="","",E589-'2_公式與參數'!$C$14)</f>
        <v/>
      </c>
      <c r="L589" s="22">
        <f>IF($A589="","",IF(H589="","",K589*'2_公式與參數'!$C$6*'2_公式與參數'!$C$7/J589*100))</f>
        <v/>
      </c>
    </row>
    <row r="590">
      <c r="J590" s="20">
        <f>IF($A590="","",IF(H590="","",H590*1000))</f>
        <v/>
      </c>
      <c r="K590" s="21">
        <f>IF($A590="","",E590-'2_公式與參數'!$C$14)</f>
        <v/>
      </c>
      <c r="L590" s="22">
        <f>IF($A590="","",IF(H590="","",K590*'2_公式與參數'!$C$6*'2_公式與參數'!$C$7/J590*100))</f>
        <v/>
      </c>
    </row>
    <row r="591">
      <c r="J591" s="20">
        <f>IF($A591="","",IF(H591="","",H591*1000))</f>
        <v/>
      </c>
      <c r="K591" s="21">
        <f>IF($A591="","",E591-'2_公式與參數'!$C$14)</f>
        <v/>
      </c>
      <c r="L591" s="22">
        <f>IF($A591="","",IF(H591="","",K591*'2_公式與參數'!$C$6*'2_公式與參數'!$C$7/J591*100))</f>
        <v/>
      </c>
    </row>
    <row r="592">
      <c r="J592" s="20">
        <f>IF($A592="","",IF(H592="","",H592*1000))</f>
        <v/>
      </c>
      <c r="K592" s="21">
        <f>IF($A592="","",E592-'2_公式與參數'!$C$14)</f>
        <v/>
      </c>
      <c r="L592" s="22">
        <f>IF($A592="","",IF(H592="","",K592*'2_公式與參數'!$C$6*'2_公式與參數'!$C$7/J592*100))</f>
        <v/>
      </c>
    </row>
    <row r="593">
      <c r="J593" s="20">
        <f>IF($A593="","",IF(H593="","",H593*1000))</f>
        <v/>
      </c>
      <c r="K593" s="21">
        <f>IF($A593="","",E593-'2_公式與參數'!$C$14)</f>
        <v/>
      </c>
      <c r="L593" s="22">
        <f>IF($A593="","",IF(H593="","",K593*'2_公式與參數'!$C$6*'2_公式與參數'!$C$7/J593*100))</f>
        <v/>
      </c>
    </row>
    <row r="594">
      <c r="J594" s="20">
        <f>IF($A594="","",IF(H594="","",H594*1000))</f>
        <v/>
      </c>
      <c r="K594" s="21">
        <f>IF($A594="","",E594-'2_公式與參數'!$C$14)</f>
        <v/>
      </c>
      <c r="L594" s="22">
        <f>IF($A594="","",IF(H594="","",K594*'2_公式與參數'!$C$6*'2_公式與參數'!$C$7/J594*100))</f>
        <v/>
      </c>
    </row>
    <row r="595">
      <c r="J595" s="20">
        <f>IF($A595="","",IF(H595="","",H595*1000))</f>
        <v/>
      </c>
      <c r="K595" s="21">
        <f>IF($A595="","",E595-'2_公式與參數'!$C$14)</f>
        <v/>
      </c>
      <c r="L595" s="22">
        <f>IF($A595="","",IF(H595="","",K595*'2_公式與參數'!$C$6*'2_公式與參數'!$C$7/J595*100))</f>
        <v/>
      </c>
    </row>
    <row r="596">
      <c r="J596" s="20">
        <f>IF($A596="","",IF(H596="","",H596*1000))</f>
        <v/>
      </c>
      <c r="K596" s="21">
        <f>IF($A596="","",E596-'2_公式與參數'!$C$14)</f>
        <v/>
      </c>
      <c r="L596" s="22">
        <f>IF($A596="","",IF(H596="","",K596*'2_公式與參數'!$C$6*'2_公式與參數'!$C$7/J596*100))</f>
        <v/>
      </c>
    </row>
    <row r="597">
      <c r="J597" s="20">
        <f>IF($A597="","",IF(H597="","",H597*1000))</f>
        <v/>
      </c>
      <c r="K597" s="21">
        <f>IF($A597="","",E597-'2_公式與參數'!$C$14)</f>
        <v/>
      </c>
      <c r="L597" s="22">
        <f>IF($A597="","",IF(H597="","",K597*'2_公式與參數'!$C$6*'2_公式與參數'!$C$7/J597*100))</f>
        <v/>
      </c>
    </row>
    <row r="598">
      <c r="J598" s="20">
        <f>IF($A598="","",IF(H598="","",H598*1000))</f>
        <v/>
      </c>
      <c r="K598" s="21">
        <f>IF($A598="","",E598-'2_公式與參數'!$C$14)</f>
        <v/>
      </c>
      <c r="L598" s="22">
        <f>IF($A598="","",IF(H598="","",K598*'2_公式與參數'!$C$6*'2_公式與參數'!$C$7/J598*100))</f>
        <v/>
      </c>
    </row>
    <row r="599">
      <c r="J599" s="20">
        <f>IF($A599="","",IF(H599="","",H599*1000))</f>
        <v/>
      </c>
      <c r="K599" s="21">
        <f>IF($A599="","",E599-'2_公式與參數'!$C$14)</f>
        <v/>
      </c>
      <c r="L599" s="22">
        <f>IF($A599="","",IF(H599="","",K599*'2_公式與參數'!$C$6*'2_公式與參數'!$C$7/J599*100))</f>
        <v/>
      </c>
    </row>
    <row r="600">
      <c r="J600" s="20">
        <f>IF($A600="","",IF(H600="","",H600*1000))</f>
        <v/>
      </c>
      <c r="K600" s="21">
        <f>IF($A600="","",E600-'2_公式與參數'!$C$14)</f>
        <v/>
      </c>
      <c r="L600" s="22">
        <f>IF($A600="","",IF(H600="","",K600*'2_公式與參數'!$C$6*'2_公式與參數'!$C$7/J600*100))</f>
        <v/>
      </c>
    </row>
    <row r="601">
      <c r="J601" s="20">
        <f>IF($A601="","",IF(H601="","",H601*1000))</f>
        <v/>
      </c>
      <c r="K601" s="21">
        <f>IF($A601="","",E601-'2_公式與參數'!$C$14)</f>
        <v/>
      </c>
      <c r="L601" s="22">
        <f>IF($A601="","",IF(H601="","",K601*'2_公式與參數'!$C$6*'2_公式與參數'!$C$7/J601*100))</f>
        <v/>
      </c>
    </row>
    <row r="602">
      <c r="J602" s="20">
        <f>IF($A602="","",IF(H602="","",H602*1000))</f>
        <v/>
      </c>
      <c r="K602" s="21">
        <f>IF($A602="","",E602-'2_公式與參數'!$C$14)</f>
        <v/>
      </c>
      <c r="L602" s="22">
        <f>IF($A602="","",IF(H602="","",K602*'2_公式與參數'!$C$6*'2_公式與參數'!$C$7/J602*100))</f>
        <v/>
      </c>
    </row>
    <row r="603">
      <c r="J603" s="20">
        <f>IF($A603="","",IF(H603="","",H603*1000))</f>
        <v/>
      </c>
      <c r="K603" s="21">
        <f>IF($A603="","",E603-'2_公式與參數'!$C$14)</f>
        <v/>
      </c>
      <c r="L603" s="22">
        <f>IF($A603="","",IF(H603="","",K603*'2_公式與參數'!$C$6*'2_公式與參數'!$C$7/J603*100))</f>
        <v/>
      </c>
    </row>
    <row r="604">
      <c r="J604" s="20">
        <f>IF($A604="","",IF(H604="","",H604*1000))</f>
        <v/>
      </c>
      <c r="K604" s="21">
        <f>IF($A604="","",E604-'2_公式與參數'!$C$14)</f>
        <v/>
      </c>
      <c r="L604" s="22">
        <f>IF($A604="","",IF(H604="","",K604*'2_公式與參數'!$C$6*'2_公式與參數'!$C$7/J604*100))</f>
        <v/>
      </c>
    </row>
    <row r="605">
      <c r="J605" s="20">
        <f>IF($A605="","",IF(H605="","",H605*1000))</f>
        <v/>
      </c>
      <c r="K605" s="21">
        <f>IF($A605="","",E605-'2_公式與參數'!$C$14)</f>
        <v/>
      </c>
      <c r="L605" s="22">
        <f>IF($A605="","",IF(H605="","",K605*'2_公式與參數'!$C$6*'2_公式與參數'!$C$7/J605*100))</f>
        <v/>
      </c>
    </row>
    <row r="606">
      <c r="J606" s="20">
        <f>IF($A606="","",IF(H606="","",H606*1000))</f>
        <v/>
      </c>
      <c r="K606" s="21">
        <f>IF($A606="","",E606-'2_公式與參數'!$C$14)</f>
        <v/>
      </c>
      <c r="L606" s="22">
        <f>IF($A606="","",IF(H606="","",K606*'2_公式與參數'!$C$6*'2_公式與參數'!$C$7/J606*100))</f>
        <v/>
      </c>
    </row>
    <row r="607">
      <c r="J607" s="20">
        <f>IF($A607="","",IF(H607="","",H607*1000))</f>
        <v/>
      </c>
      <c r="K607" s="21">
        <f>IF($A607="","",E607-'2_公式與參數'!$C$14)</f>
        <v/>
      </c>
      <c r="L607" s="22">
        <f>IF($A607="","",IF(H607="","",K607*'2_公式與參數'!$C$6*'2_公式與參數'!$C$7/J607*100))</f>
        <v/>
      </c>
    </row>
    <row r="608">
      <c r="J608" s="20">
        <f>IF($A608="","",IF(H608="","",H608*1000))</f>
        <v/>
      </c>
      <c r="K608" s="21">
        <f>IF($A608="","",E608-'2_公式與參數'!$C$14)</f>
        <v/>
      </c>
      <c r="L608" s="22">
        <f>IF($A608="","",IF(H608="","",K608*'2_公式與參數'!$C$6*'2_公式與參數'!$C$7/J608*100))</f>
        <v/>
      </c>
    </row>
    <row r="609">
      <c r="J609" s="20">
        <f>IF($A609="","",IF(H609="","",H609*1000))</f>
        <v/>
      </c>
      <c r="K609" s="21">
        <f>IF($A609="","",E609-'2_公式與參數'!$C$14)</f>
        <v/>
      </c>
      <c r="L609" s="22">
        <f>IF($A609="","",IF(H609="","",K609*'2_公式與參數'!$C$6*'2_公式與參數'!$C$7/J609*100))</f>
        <v/>
      </c>
    </row>
    <row r="610">
      <c r="J610" s="20">
        <f>IF($A610="","",IF(H610="","",H610*1000))</f>
        <v/>
      </c>
      <c r="K610" s="21">
        <f>IF($A610="","",E610-'2_公式與參數'!$C$14)</f>
        <v/>
      </c>
      <c r="L610" s="22">
        <f>IF($A610="","",IF(H610="","",K610*'2_公式與參數'!$C$6*'2_公式與參數'!$C$7/J610*100))</f>
        <v/>
      </c>
    </row>
    <row r="611">
      <c r="J611" s="20">
        <f>IF($A611="","",IF(H611="","",H611*1000))</f>
        <v/>
      </c>
      <c r="K611" s="21">
        <f>IF($A611="","",E611-'2_公式與參數'!$C$14)</f>
        <v/>
      </c>
      <c r="L611" s="22">
        <f>IF($A611="","",IF(H611="","",K611*'2_公式與參數'!$C$6*'2_公式與參數'!$C$7/J611*100))</f>
        <v/>
      </c>
    </row>
    <row r="612">
      <c r="J612" s="20">
        <f>IF($A612="","",IF(H612="","",H612*1000))</f>
        <v/>
      </c>
      <c r="K612" s="21">
        <f>IF($A612="","",E612-'2_公式與參數'!$C$14)</f>
        <v/>
      </c>
      <c r="L612" s="22">
        <f>IF($A612="","",IF(H612="","",K612*'2_公式與參數'!$C$6*'2_公式與參數'!$C$7/J612*100))</f>
        <v/>
      </c>
    </row>
    <row r="613">
      <c r="J613" s="20">
        <f>IF($A613="","",IF(H613="","",H613*1000))</f>
        <v/>
      </c>
      <c r="K613" s="21">
        <f>IF($A613="","",E613-'2_公式與參數'!$C$14)</f>
        <v/>
      </c>
      <c r="L613" s="22">
        <f>IF($A613="","",IF(H613="","",K613*'2_公式與參數'!$C$6*'2_公式與參數'!$C$7/J613*100))</f>
        <v/>
      </c>
    </row>
    <row r="614">
      <c r="J614" s="20">
        <f>IF($A614="","",IF(H614="","",H614*1000))</f>
        <v/>
      </c>
      <c r="K614" s="21">
        <f>IF($A614="","",E614-'2_公式與參數'!$C$14)</f>
        <v/>
      </c>
      <c r="L614" s="22">
        <f>IF($A614="","",IF(H614="","",K614*'2_公式與參數'!$C$6*'2_公式與參數'!$C$7/J614*100))</f>
        <v/>
      </c>
    </row>
    <row r="615">
      <c r="J615" s="20">
        <f>IF($A615="","",IF(H615="","",H615*1000))</f>
        <v/>
      </c>
      <c r="K615" s="21">
        <f>IF($A615="","",E615-'2_公式與參數'!$C$14)</f>
        <v/>
      </c>
      <c r="L615" s="22">
        <f>IF($A615="","",IF(H615="","",K615*'2_公式與參數'!$C$6*'2_公式與參數'!$C$7/J615*100))</f>
        <v/>
      </c>
    </row>
    <row r="616">
      <c r="J616" s="20">
        <f>IF($A616="","",IF(H616="","",H616*1000))</f>
        <v/>
      </c>
      <c r="K616" s="21">
        <f>IF($A616="","",E616-'2_公式與參數'!$C$14)</f>
        <v/>
      </c>
      <c r="L616" s="22">
        <f>IF($A616="","",IF(H616="","",K616*'2_公式與參數'!$C$6*'2_公式與參數'!$C$7/J616*100))</f>
        <v/>
      </c>
    </row>
    <row r="617">
      <c r="J617" s="20">
        <f>IF($A617="","",IF(H617="","",H617*1000))</f>
        <v/>
      </c>
      <c r="K617" s="21">
        <f>IF($A617="","",E617-'2_公式與參數'!$C$14)</f>
        <v/>
      </c>
      <c r="L617" s="22">
        <f>IF($A617="","",IF(H617="","",K617*'2_公式與參數'!$C$6*'2_公式與參數'!$C$7/J617*100))</f>
        <v/>
      </c>
    </row>
    <row r="618">
      <c r="J618" s="20">
        <f>IF($A618="","",IF(H618="","",H618*1000))</f>
        <v/>
      </c>
      <c r="K618" s="21">
        <f>IF($A618="","",E618-'2_公式與參數'!$C$14)</f>
        <v/>
      </c>
      <c r="L618" s="22">
        <f>IF($A618="","",IF(H618="","",K618*'2_公式與參數'!$C$6*'2_公式與參數'!$C$7/J618*100))</f>
        <v/>
      </c>
    </row>
    <row r="619">
      <c r="J619" s="20">
        <f>IF($A619="","",IF(H619="","",H619*1000))</f>
        <v/>
      </c>
      <c r="K619" s="21">
        <f>IF($A619="","",E619-'2_公式與參數'!$C$14)</f>
        <v/>
      </c>
      <c r="L619" s="22">
        <f>IF($A619="","",IF(H619="","",K619*'2_公式與參數'!$C$6*'2_公式與參數'!$C$7/J619*100))</f>
        <v/>
      </c>
    </row>
    <row r="620">
      <c r="J620" s="20">
        <f>IF($A620="","",IF(H620="","",H620*1000))</f>
        <v/>
      </c>
      <c r="K620" s="21">
        <f>IF($A620="","",E620-'2_公式與參數'!$C$14)</f>
        <v/>
      </c>
      <c r="L620" s="22">
        <f>IF($A620="","",IF(H620="","",K620*'2_公式與參數'!$C$6*'2_公式與參數'!$C$7/J620*100))</f>
        <v/>
      </c>
    </row>
    <row r="621">
      <c r="J621" s="20">
        <f>IF($A621="","",IF(H621="","",H621*1000))</f>
        <v/>
      </c>
      <c r="K621" s="21">
        <f>IF($A621="","",E621-'2_公式與參數'!$C$14)</f>
        <v/>
      </c>
      <c r="L621" s="22">
        <f>IF($A621="","",IF(H621="","",K621*'2_公式與參數'!$C$6*'2_公式與參數'!$C$7/J621*100))</f>
        <v/>
      </c>
    </row>
    <row r="622">
      <c r="J622" s="20">
        <f>IF($A622="","",IF(H622="","",H622*1000))</f>
        <v/>
      </c>
      <c r="K622" s="21">
        <f>IF($A622="","",E622-'2_公式與參數'!$C$14)</f>
        <v/>
      </c>
      <c r="L622" s="22">
        <f>IF($A622="","",IF(H622="","",K622*'2_公式與參數'!$C$6*'2_公式與參數'!$C$7/J622*100))</f>
        <v/>
      </c>
    </row>
    <row r="623">
      <c r="J623" s="20">
        <f>IF($A623="","",IF(H623="","",H623*1000))</f>
        <v/>
      </c>
      <c r="K623" s="21">
        <f>IF($A623="","",E623-'2_公式與參數'!$C$14)</f>
        <v/>
      </c>
      <c r="L623" s="22">
        <f>IF($A623="","",IF(H623="","",K623*'2_公式與參數'!$C$6*'2_公式與參數'!$C$7/J623*100))</f>
        <v/>
      </c>
    </row>
    <row r="624">
      <c r="J624" s="20">
        <f>IF($A624="","",IF(H624="","",H624*1000))</f>
        <v/>
      </c>
      <c r="K624" s="21">
        <f>IF($A624="","",E624-'2_公式與參數'!$C$14)</f>
        <v/>
      </c>
      <c r="L624" s="22">
        <f>IF($A624="","",IF(H624="","",K624*'2_公式與參數'!$C$6*'2_公式與參數'!$C$7/J624*100))</f>
        <v/>
      </c>
    </row>
    <row r="625">
      <c r="J625" s="20">
        <f>IF($A625="","",IF(H625="","",H625*1000))</f>
        <v/>
      </c>
      <c r="K625" s="21">
        <f>IF($A625="","",E625-'2_公式與參數'!$C$14)</f>
        <v/>
      </c>
      <c r="L625" s="22">
        <f>IF($A625="","",IF(H625="","",K625*'2_公式與參數'!$C$6*'2_公式與參數'!$C$7/J625*100))</f>
        <v/>
      </c>
    </row>
    <row r="626">
      <c r="J626" s="20">
        <f>IF($A626="","",IF(H626="","",H626*1000))</f>
        <v/>
      </c>
      <c r="K626" s="21">
        <f>IF($A626="","",E626-'2_公式與參數'!$C$14)</f>
        <v/>
      </c>
      <c r="L626" s="22">
        <f>IF($A626="","",IF(H626="","",K626*'2_公式與參數'!$C$6*'2_公式與參數'!$C$7/J626*100))</f>
        <v/>
      </c>
    </row>
    <row r="627">
      <c r="J627" s="20">
        <f>IF($A627="","",IF(H627="","",H627*1000))</f>
        <v/>
      </c>
      <c r="K627" s="21">
        <f>IF($A627="","",E627-'2_公式與參數'!$C$14)</f>
        <v/>
      </c>
      <c r="L627" s="22">
        <f>IF($A627="","",IF(H627="","",K627*'2_公式與參數'!$C$6*'2_公式與參數'!$C$7/J627*100))</f>
        <v/>
      </c>
    </row>
    <row r="628">
      <c r="J628" s="20">
        <f>IF($A628="","",IF(H628="","",H628*1000))</f>
        <v/>
      </c>
      <c r="K628" s="21">
        <f>IF($A628="","",E628-'2_公式與參數'!$C$14)</f>
        <v/>
      </c>
      <c r="L628" s="22">
        <f>IF($A628="","",IF(H628="","",K628*'2_公式與參數'!$C$6*'2_公式與參數'!$C$7/J628*100))</f>
        <v/>
      </c>
    </row>
    <row r="629">
      <c r="J629" s="20">
        <f>IF($A629="","",IF(H629="","",H629*1000))</f>
        <v/>
      </c>
      <c r="K629" s="21">
        <f>IF($A629="","",E629-'2_公式與參數'!$C$14)</f>
        <v/>
      </c>
      <c r="L629" s="22">
        <f>IF($A629="","",IF(H629="","",K629*'2_公式與參數'!$C$6*'2_公式與參數'!$C$7/J629*100))</f>
        <v/>
      </c>
    </row>
    <row r="630">
      <c r="J630" s="20">
        <f>IF($A630="","",IF(H630="","",H630*1000))</f>
        <v/>
      </c>
      <c r="K630" s="21">
        <f>IF($A630="","",E630-'2_公式與參數'!$C$14)</f>
        <v/>
      </c>
      <c r="L630" s="22">
        <f>IF($A630="","",IF(H630="","",K630*'2_公式與參數'!$C$6*'2_公式與參數'!$C$7/J630*100))</f>
        <v/>
      </c>
    </row>
    <row r="631">
      <c r="J631" s="20">
        <f>IF($A631="","",IF(H631="","",H631*1000))</f>
        <v/>
      </c>
      <c r="K631" s="21">
        <f>IF($A631="","",E631-'2_公式與參數'!$C$14)</f>
        <v/>
      </c>
      <c r="L631" s="22">
        <f>IF($A631="","",IF(H631="","",K631*'2_公式與參數'!$C$6*'2_公式與參數'!$C$7/J631*100))</f>
        <v/>
      </c>
    </row>
    <row r="632">
      <c r="J632" s="20">
        <f>IF($A632="","",IF(H632="","",H632*1000))</f>
        <v/>
      </c>
      <c r="K632" s="21">
        <f>IF($A632="","",E632-'2_公式與參數'!$C$14)</f>
        <v/>
      </c>
      <c r="L632" s="22">
        <f>IF($A632="","",IF(H632="","",K632*'2_公式與參數'!$C$6*'2_公式與參數'!$C$7/J632*100))</f>
        <v/>
      </c>
    </row>
    <row r="633">
      <c r="J633" s="20">
        <f>IF($A633="","",IF(H633="","",H633*1000))</f>
        <v/>
      </c>
      <c r="K633" s="21">
        <f>IF($A633="","",E633-'2_公式與參數'!$C$14)</f>
        <v/>
      </c>
      <c r="L633" s="22">
        <f>IF($A633="","",IF(H633="","",K633*'2_公式與參數'!$C$6*'2_公式與參數'!$C$7/J633*100))</f>
        <v/>
      </c>
    </row>
    <row r="634">
      <c r="J634" s="20">
        <f>IF($A634="","",IF(H634="","",H634*1000))</f>
        <v/>
      </c>
      <c r="K634" s="21">
        <f>IF($A634="","",E634-'2_公式與參數'!$C$14)</f>
        <v/>
      </c>
      <c r="L634" s="22">
        <f>IF($A634="","",IF(H634="","",K634*'2_公式與參數'!$C$6*'2_公式與參數'!$C$7/J634*100))</f>
        <v/>
      </c>
    </row>
    <row r="635">
      <c r="J635" s="20">
        <f>IF($A635="","",IF(H635="","",H635*1000))</f>
        <v/>
      </c>
      <c r="K635" s="21">
        <f>IF($A635="","",E635-'2_公式與參數'!$C$14)</f>
        <v/>
      </c>
      <c r="L635" s="22">
        <f>IF($A635="","",IF(H635="","",K635*'2_公式與參數'!$C$6*'2_公式與參數'!$C$7/J635*100))</f>
        <v/>
      </c>
    </row>
    <row r="636">
      <c r="J636" s="20">
        <f>IF($A636="","",IF(H636="","",H636*1000))</f>
        <v/>
      </c>
      <c r="K636" s="21">
        <f>IF($A636="","",E636-'2_公式與參數'!$C$14)</f>
        <v/>
      </c>
      <c r="L636" s="22">
        <f>IF($A636="","",IF(H636="","",K636*'2_公式與參數'!$C$6*'2_公式與參數'!$C$7/J636*100))</f>
        <v/>
      </c>
    </row>
    <row r="637">
      <c r="J637" s="20">
        <f>IF($A637="","",IF(H637="","",H637*1000))</f>
        <v/>
      </c>
      <c r="K637" s="21">
        <f>IF($A637="","",E637-'2_公式與參數'!$C$14)</f>
        <v/>
      </c>
      <c r="L637" s="22">
        <f>IF($A637="","",IF(H637="","",K637*'2_公式與參數'!$C$6*'2_公式與參數'!$C$7/J637*100))</f>
        <v/>
      </c>
    </row>
    <row r="638">
      <c r="J638" s="20">
        <f>IF($A638="","",IF(H638="","",H638*1000))</f>
        <v/>
      </c>
      <c r="K638" s="21">
        <f>IF($A638="","",E638-'2_公式與參數'!$C$14)</f>
        <v/>
      </c>
      <c r="L638" s="22">
        <f>IF($A638="","",IF(H638="","",K638*'2_公式與參數'!$C$6*'2_公式與參數'!$C$7/J638*100))</f>
        <v/>
      </c>
    </row>
    <row r="639">
      <c r="J639" s="20">
        <f>IF($A639="","",IF(H639="","",H639*1000))</f>
        <v/>
      </c>
      <c r="K639" s="21">
        <f>IF($A639="","",E639-'2_公式與參數'!$C$14)</f>
        <v/>
      </c>
      <c r="L639" s="22">
        <f>IF($A639="","",IF(H639="","",K639*'2_公式與參數'!$C$6*'2_公式與參數'!$C$7/J639*100))</f>
        <v/>
      </c>
    </row>
    <row r="640">
      <c r="J640" s="20">
        <f>IF($A640="","",IF(H640="","",H640*1000))</f>
        <v/>
      </c>
      <c r="K640" s="21">
        <f>IF($A640="","",E640-'2_公式與參數'!$C$14)</f>
        <v/>
      </c>
      <c r="L640" s="22">
        <f>IF($A640="","",IF(H640="","",K640*'2_公式與參數'!$C$6*'2_公式與參數'!$C$7/J640*100))</f>
        <v/>
      </c>
    </row>
    <row r="641">
      <c r="J641" s="20">
        <f>IF($A641="","",IF(H641="","",H641*1000))</f>
        <v/>
      </c>
      <c r="K641" s="21">
        <f>IF($A641="","",E641-'2_公式與參數'!$C$14)</f>
        <v/>
      </c>
      <c r="L641" s="22">
        <f>IF($A641="","",IF(H641="","",K641*'2_公式與參數'!$C$6*'2_公式與參數'!$C$7/J641*100))</f>
        <v/>
      </c>
    </row>
    <row r="642">
      <c r="J642" s="20">
        <f>IF($A642="","",IF(H642="","",H642*1000))</f>
        <v/>
      </c>
      <c r="K642" s="21">
        <f>IF($A642="","",E642-'2_公式與參數'!$C$14)</f>
        <v/>
      </c>
      <c r="L642" s="22">
        <f>IF($A642="","",IF(H642="","",K642*'2_公式與參數'!$C$6*'2_公式與參數'!$C$7/J642*100))</f>
        <v/>
      </c>
    </row>
    <row r="643">
      <c r="J643" s="20">
        <f>IF($A643="","",IF(H643="","",H643*1000))</f>
        <v/>
      </c>
      <c r="K643" s="21">
        <f>IF($A643="","",E643-'2_公式與參數'!$C$14)</f>
        <v/>
      </c>
      <c r="L643" s="22">
        <f>IF($A643="","",IF(H643="","",K643*'2_公式與參數'!$C$6*'2_公式與參數'!$C$7/J643*100))</f>
        <v/>
      </c>
    </row>
    <row r="644">
      <c r="J644" s="20">
        <f>IF($A644="","",IF(H644="","",H644*1000))</f>
        <v/>
      </c>
      <c r="K644" s="21">
        <f>IF($A644="","",E644-'2_公式與參數'!$C$14)</f>
        <v/>
      </c>
      <c r="L644" s="22">
        <f>IF($A644="","",IF(H644="","",K644*'2_公式與參數'!$C$6*'2_公式與參數'!$C$7/J644*100))</f>
        <v/>
      </c>
    </row>
    <row r="645">
      <c r="J645" s="20">
        <f>IF($A645="","",IF(H645="","",H645*1000))</f>
        <v/>
      </c>
      <c r="K645" s="21">
        <f>IF($A645="","",E645-'2_公式與參數'!$C$14)</f>
        <v/>
      </c>
      <c r="L645" s="22">
        <f>IF($A645="","",IF(H645="","",K645*'2_公式與參數'!$C$6*'2_公式與參數'!$C$7/J645*100))</f>
        <v/>
      </c>
    </row>
    <row r="646">
      <c r="J646" s="20">
        <f>IF($A646="","",IF(H646="","",H646*1000))</f>
        <v/>
      </c>
      <c r="K646" s="21">
        <f>IF($A646="","",E646-'2_公式與參數'!$C$14)</f>
        <v/>
      </c>
      <c r="L646" s="22">
        <f>IF($A646="","",IF(H646="","",K646*'2_公式與參數'!$C$6*'2_公式與參數'!$C$7/J646*100))</f>
        <v/>
      </c>
    </row>
    <row r="647">
      <c r="J647" s="20">
        <f>IF($A647="","",IF(H647="","",H647*1000))</f>
        <v/>
      </c>
      <c r="K647" s="21">
        <f>IF($A647="","",E647-'2_公式與參數'!$C$14)</f>
        <v/>
      </c>
      <c r="L647" s="22">
        <f>IF($A647="","",IF(H647="","",K647*'2_公式與參數'!$C$6*'2_公式與參數'!$C$7/J647*100))</f>
        <v/>
      </c>
    </row>
    <row r="648">
      <c r="J648" s="20">
        <f>IF($A648="","",IF(H648="","",H648*1000))</f>
        <v/>
      </c>
      <c r="K648" s="21">
        <f>IF($A648="","",E648-'2_公式與參數'!$C$14)</f>
        <v/>
      </c>
      <c r="L648" s="22">
        <f>IF($A648="","",IF(H648="","",K648*'2_公式與參數'!$C$6*'2_公式與參數'!$C$7/J648*100))</f>
        <v/>
      </c>
    </row>
    <row r="649">
      <c r="J649" s="20">
        <f>IF($A649="","",IF(H649="","",H649*1000))</f>
        <v/>
      </c>
      <c r="K649" s="21">
        <f>IF($A649="","",E649-'2_公式與參數'!$C$14)</f>
        <v/>
      </c>
      <c r="L649" s="22">
        <f>IF($A649="","",IF(H649="","",K649*'2_公式與參數'!$C$6*'2_公式與參數'!$C$7/J649*100))</f>
        <v/>
      </c>
    </row>
    <row r="650">
      <c r="J650" s="20">
        <f>IF($A650="","",IF(H650="","",H650*1000))</f>
        <v/>
      </c>
      <c r="K650" s="21">
        <f>IF($A650="","",E650-'2_公式與參數'!$C$14)</f>
        <v/>
      </c>
      <c r="L650" s="22">
        <f>IF($A650="","",IF(H650="","",K650*'2_公式與參數'!$C$6*'2_公式與參數'!$C$7/J650*100))</f>
        <v/>
      </c>
    </row>
    <row r="651">
      <c r="J651" s="20">
        <f>IF($A651="","",IF(H651="","",H651*1000))</f>
        <v/>
      </c>
      <c r="K651" s="21">
        <f>IF($A651="","",E651-'2_公式與參數'!$C$14)</f>
        <v/>
      </c>
      <c r="L651" s="22">
        <f>IF($A651="","",IF(H651="","",K651*'2_公式與參數'!$C$6*'2_公式與參數'!$C$7/J651*100))</f>
        <v/>
      </c>
    </row>
    <row r="652">
      <c r="J652" s="20">
        <f>IF($A652="","",IF(H652="","",H652*1000))</f>
        <v/>
      </c>
      <c r="K652" s="21">
        <f>IF($A652="","",E652-'2_公式與參數'!$C$14)</f>
        <v/>
      </c>
      <c r="L652" s="22">
        <f>IF($A652="","",IF(H652="","",K652*'2_公式與參數'!$C$6*'2_公式與參數'!$C$7/J652*100))</f>
        <v/>
      </c>
    </row>
    <row r="653">
      <c r="J653" s="20">
        <f>IF($A653="","",IF(H653="","",H653*1000))</f>
        <v/>
      </c>
      <c r="K653" s="21">
        <f>IF($A653="","",E653-'2_公式與參數'!$C$14)</f>
        <v/>
      </c>
      <c r="L653" s="22">
        <f>IF($A653="","",IF(H653="","",K653*'2_公式與參數'!$C$6*'2_公式與參數'!$C$7/J653*100))</f>
        <v/>
      </c>
    </row>
    <row r="654">
      <c r="J654" s="20">
        <f>IF($A654="","",IF(H654="","",H654*1000))</f>
        <v/>
      </c>
      <c r="K654" s="21">
        <f>IF($A654="","",E654-'2_公式與參數'!$C$14)</f>
        <v/>
      </c>
      <c r="L654" s="22">
        <f>IF($A654="","",IF(H654="","",K654*'2_公式與參數'!$C$6*'2_公式與參數'!$C$7/J654*100))</f>
        <v/>
      </c>
    </row>
    <row r="655">
      <c r="J655" s="20">
        <f>IF($A655="","",IF(H655="","",H655*1000))</f>
        <v/>
      </c>
      <c r="K655" s="21">
        <f>IF($A655="","",E655-'2_公式與參數'!$C$14)</f>
        <v/>
      </c>
      <c r="L655" s="22">
        <f>IF($A655="","",IF(H655="","",K655*'2_公式與參數'!$C$6*'2_公式與參數'!$C$7/J655*100))</f>
        <v/>
      </c>
    </row>
    <row r="656">
      <c r="J656" s="20">
        <f>IF($A656="","",IF(H656="","",H656*1000))</f>
        <v/>
      </c>
      <c r="K656" s="21">
        <f>IF($A656="","",E656-'2_公式與參數'!$C$14)</f>
        <v/>
      </c>
      <c r="L656" s="22">
        <f>IF($A656="","",IF(H656="","",K656*'2_公式與參數'!$C$6*'2_公式與參數'!$C$7/J656*100))</f>
        <v/>
      </c>
    </row>
    <row r="657">
      <c r="J657" s="20">
        <f>IF($A657="","",IF(H657="","",H657*1000))</f>
        <v/>
      </c>
      <c r="K657" s="21">
        <f>IF($A657="","",E657-'2_公式與參數'!$C$14)</f>
        <v/>
      </c>
      <c r="L657" s="22">
        <f>IF($A657="","",IF(H657="","",K657*'2_公式與參數'!$C$6*'2_公式與參數'!$C$7/J657*100))</f>
        <v/>
      </c>
    </row>
    <row r="658">
      <c r="J658" s="20">
        <f>IF($A658="","",IF(H658="","",H658*1000))</f>
        <v/>
      </c>
      <c r="K658" s="21">
        <f>IF($A658="","",E658-'2_公式與參數'!$C$14)</f>
        <v/>
      </c>
      <c r="L658" s="22">
        <f>IF($A658="","",IF(H658="","",K658*'2_公式與參數'!$C$6*'2_公式與參數'!$C$7/J658*100))</f>
        <v/>
      </c>
    </row>
    <row r="659">
      <c r="J659" s="20">
        <f>IF($A659="","",IF(H659="","",H659*1000))</f>
        <v/>
      </c>
      <c r="K659" s="21">
        <f>IF($A659="","",E659-'2_公式與參數'!$C$14)</f>
        <v/>
      </c>
      <c r="L659" s="22">
        <f>IF($A659="","",IF(H659="","",K659*'2_公式與參數'!$C$6*'2_公式與參數'!$C$7/J659*100))</f>
        <v/>
      </c>
    </row>
    <row r="660">
      <c r="J660" s="20">
        <f>IF($A660="","",IF(H660="","",H660*1000))</f>
        <v/>
      </c>
      <c r="K660" s="21">
        <f>IF($A660="","",E660-'2_公式與參數'!$C$14)</f>
        <v/>
      </c>
      <c r="L660" s="22">
        <f>IF($A660="","",IF(H660="","",K660*'2_公式與參數'!$C$6*'2_公式與參數'!$C$7/J660*100))</f>
        <v/>
      </c>
    </row>
    <row r="661">
      <c r="J661" s="20">
        <f>IF($A661="","",IF(H661="","",H661*1000))</f>
        <v/>
      </c>
      <c r="K661" s="21">
        <f>IF($A661="","",E661-'2_公式與參數'!$C$14)</f>
        <v/>
      </c>
      <c r="L661" s="22">
        <f>IF($A661="","",IF(H661="","",K661*'2_公式與參數'!$C$6*'2_公式與參數'!$C$7/J661*100))</f>
        <v/>
      </c>
    </row>
    <row r="662">
      <c r="J662" s="20">
        <f>IF($A662="","",IF(H662="","",H662*1000))</f>
        <v/>
      </c>
      <c r="K662" s="21">
        <f>IF($A662="","",E662-'2_公式與參數'!$C$14)</f>
        <v/>
      </c>
      <c r="L662" s="22">
        <f>IF($A662="","",IF(H662="","",K662*'2_公式與參數'!$C$6*'2_公式與參數'!$C$7/J662*100))</f>
        <v/>
      </c>
    </row>
    <row r="663">
      <c r="J663" s="20">
        <f>IF($A663="","",IF(H663="","",H663*1000))</f>
        <v/>
      </c>
      <c r="K663" s="21">
        <f>IF($A663="","",E663-'2_公式與參數'!$C$14)</f>
        <v/>
      </c>
      <c r="L663" s="22">
        <f>IF($A663="","",IF(H663="","",K663*'2_公式與參數'!$C$6*'2_公式與參數'!$C$7/J663*100))</f>
        <v/>
      </c>
    </row>
    <row r="664">
      <c r="J664" s="20">
        <f>IF($A664="","",IF(H664="","",H664*1000))</f>
        <v/>
      </c>
      <c r="K664" s="21">
        <f>IF($A664="","",E664-'2_公式與參數'!$C$14)</f>
        <v/>
      </c>
      <c r="L664" s="22">
        <f>IF($A664="","",IF(H664="","",K664*'2_公式與參數'!$C$6*'2_公式與參數'!$C$7/J664*100))</f>
        <v/>
      </c>
    </row>
    <row r="665">
      <c r="J665" s="20">
        <f>IF($A665="","",IF(H665="","",H665*1000))</f>
        <v/>
      </c>
      <c r="K665" s="21">
        <f>IF($A665="","",E665-'2_公式與參數'!$C$14)</f>
        <v/>
      </c>
      <c r="L665" s="22">
        <f>IF($A665="","",IF(H665="","",K665*'2_公式與參數'!$C$6*'2_公式與參數'!$C$7/J665*100))</f>
        <v/>
      </c>
    </row>
    <row r="666">
      <c r="J666" s="20">
        <f>IF($A666="","",IF(H666="","",H666*1000))</f>
        <v/>
      </c>
      <c r="K666" s="21">
        <f>IF($A666="","",E666-'2_公式與參數'!$C$14)</f>
        <v/>
      </c>
      <c r="L666" s="22">
        <f>IF($A666="","",IF(H666="","",K666*'2_公式與參數'!$C$6*'2_公式與參數'!$C$7/J666*100))</f>
        <v/>
      </c>
    </row>
    <row r="667">
      <c r="J667" s="20">
        <f>IF($A667="","",IF(H667="","",H667*1000))</f>
        <v/>
      </c>
      <c r="K667" s="21">
        <f>IF($A667="","",E667-'2_公式與參數'!$C$14)</f>
        <v/>
      </c>
      <c r="L667" s="22">
        <f>IF($A667="","",IF(H667="","",K667*'2_公式與參數'!$C$6*'2_公式與參數'!$C$7/J667*100))</f>
        <v/>
      </c>
    </row>
    <row r="668">
      <c r="J668" s="20">
        <f>IF($A668="","",IF(H668="","",H668*1000))</f>
        <v/>
      </c>
      <c r="K668" s="21">
        <f>IF($A668="","",E668-'2_公式與參數'!$C$14)</f>
        <v/>
      </c>
      <c r="L668" s="22">
        <f>IF($A668="","",IF(H668="","",K668*'2_公式與參數'!$C$6*'2_公式與參數'!$C$7/J668*100))</f>
        <v/>
      </c>
    </row>
    <row r="669">
      <c r="J669" s="20">
        <f>IF($A669="","",IF(H669="","",H669*1000))</f>
        <v/>
      </c>
      <c r="K669" s="21">
        <f>IF($A669="","",E669-'2_公式與參數'!$C$14)</f>
        <v/>
      </c>
      <c r="L669" s="22">
        <f>IF($A669="","",IF(H669="","",K669*'2_公式與參數'!$C$6*'2_公式與參數'!$C$7/J669*100))</f>
        <v/>
      </c>
    </row>
    <row r="670">
      <c r="J670" s="20">
        <f>IF($A670="","",IF(H670="","",H670*1000))</f>
        <v/>
      </c>
      <c r="K670" s="21">
        <f>IF($A670="","",E670-'2_公式與參數'!$C$14)</f>
        <v/>
      </c>
      <c r="L670" s="22">
        <f>IF($A670="","",IF(H670="","",K670*'2_公式與參數'!$C$6*'2_公式與參數'!$C$7/J670*100))</f>
        <v/>
      </c>
    </row>
    <row r="671">
      <c r="J671" s="20">
        <f>IF($A671="","",IF(H671="","",H671*1000))</f>
        <v/>
      </c>
      <c r="K671" s="21">
        <f>IF($A671="","",E671-'2_公式與參數'!$C$14)</f>
        <v/>
      </c>
      <c r="L671" s="22">
        <f>IF($A671="","",IF(H671="","",K671*'2_公式與參數'!$C$6*'2_公式與參數'!$C$7/J671*100))</f>
        <v/>
      </c>
    </row>
    <row r="672">
      <c r="J672" s="20">
        <f>IF($A672="","",IF(H672="","",H672*1000))</f>
        <v/>
      </c>
      <c r="K672" s="21">
        <f>IF($A672="","",E672-'2_公式與參數'!$C$14)</f>
        <v/>
      </c>
      <c r="L672" s="22">
        <f>IF($A672="","",IF(H672="","",K672*'2_公式與參數'!$C$6*'2_公式與參數'!$C$7/J672*100))</f>
        <v/>
      </c>
    </row>
    <row r="673">
      <c r="J673" s="20">
        <f>IF($A673="","",IF(H673="","",H673*1000))</f>
        <v/>
      </c>
      <c r="K673" s="21">
        <f>IF($A673="","",E673-'2_公式與參數'!$C$14)</f>
        <v/>
      </c>
      <c r="L673" s="22">
        <f>IF($A673="","",IF(H673="","",K673*'2_公式與參數'!$C$6*'2_公式與參數'!$C$7/J673*100))</f>
        <v/>
      </c>
    </row>
    <row r="674">
      <c r="J674" s="20">
        <f>IF($A674="","",IF(H674="","",H674*1000))</f>
        <v/>
      </c>
      <c r="K674" s="21">
        <f>IF($A674="","",E674-'2_公式與參數'!$C$14)</f>
        <v/>
      </c>
      <c r="L674" s="22">
        <f>IF($A674="","",IF(H674="","",K674*'2_公式與參數'!$C$6*'2_公式與參數'!$C$7/J674*100))</f>
        <v/>
      </c>
    </row>
    <row r="675">
      <c r="J675" s="20">
        <f>IF($A675="","",IF(H675="","",H675*1000))</f>
        <v/>
      </c>
      <c r="K675" s="21">
        <f>IF($A675="","",E675-'2_公式與參數'!$C$14)</f>
        <v/>
      </c>
      <c r="L675" s="22">
        <f>IF($A675="","",IF(H675="","",K675*'2_公式與參數'!$C$6*'2_公式與參數'!$C$7/J675*100))</f>
        <v/>
      </c>
    </row>
    <row r="676">
      <c r="J676" s="20">
        <f>IF($A676="","",IF(H676="","",H676*1000))</f>
        <v/>
      </c>
      <c r="K676" s="21">
        <f>IF($A676="","",E676-'2_公式與參數'!$C$14)</f>
        <v/>
      </c>
      <c r="L676" s="22">
        <f>IF($A676="","",IF(H676="","",K676*'2_公式與參數'!$C$6*'2_公式與參數'!$C$7/J676*100))</f>
        <v/>
      </c>
    </row>
    <row r="677">
      <c r="J677" s="20">
        <f>IF($A677="","",IF(H677="","",H677*1000))</f>
        <v/>
      </c>
      <c r="K677" s="21">
        <f>IF($A677="","",E677-'2_公式與參數'!$C$14)</f>
        <v/>
      </c>
      <c r="L677" s="22">
        <f>IF($A677="","",IF(H677="","",K677*'2_公式與參數'!$C$6*'2_公式與參數'!$C$7/J677*100))</f>
        <v/>
      </c>
    </row>
    <row r="678">
      <c r="J678" s="20">
        <f>IF($A678="","",IF(H678="","",H678*1000))</f>
        <v/>
      </c>
      <c r="K678" s="21">
        <f>IF($A678="","",E678-'2_公式與參數'!$C$14)</f>
        <v/>
      </c>
      <c r="L678" s="22">
        <f>IF($A678="","",IF(H678="","",K678*'2_公式與參數'!$C$6*'2_公式與參數'!$C$7/J678*100))</f>
        <v/>
      </c>
    </row>
    <row r="679">
      <c r="J679" s="20">
        <f>IF($A679="","",IF(H679="","",H679*1000))</f>
        <v/>
      </c>
      <c r="K679" s="21">
        <f>IF($A679="","",E679-'2_公式與參數'!$C$14)</f>
        <v/>
      </c>
      <c r="L679" s="22">
        <f>IF($A679="","",IF(H679="","",K679*'2_公式與參數'!$C$6*'2_公式與參數'!$C$7/J679*100))</f>
        <v/>
      </c>
    </row>
    <row r="680">
      <c r="J680" s="20">
        <f>IF($A680="","",IF(H680="","",H680*1000))</f>
        <v/>
      </c>
      <c r="K680" s="21">
        <f>IF($A680="","",E680-'2_公式與參數'!$C$14)</f>
        <v/>
      </c>
      <c r="L680" s="22">
        <f>IF($A680="","",IF(H680="","",K680*'2_公式與參數'!$C$6*'2_公式與參數'!$C$7/J680*100))</f>
        <v/>
      </c>
    </row>
    <row r="681">
      <c r="J681" s="20">
        <f>IF($A681="","",IF(H681="","",H681*1000))</f>
        <v/>
      </c>
      <c r="K681" s="21">
        <f>IF($A681="","",E681-'2_公式與參數'!$C$14)</f>
        <v/>
      </c>
      <c r="L681" s="22">
        <f>IF($A681="","",IF(H681="","",K681*'2_公式與參數'!$C$6*'2_公式與參數'!$C$7/J681*100))</f>
        <v/>
      </c>
    </row>
    <row r="682">
      <c r="J682" s="20">
        <f>IF($A682="","",IF(H682="","",H682*1000))</f>
        <v/>
      </c>
      <c r="K682" s="21">
        <f>IF($A682="","",E682-'2_公式與參數'!$C$14)</f>
        <v/>
      </c>
      <c r="L682" s="22">
        <f>IF($A682="","",IF(H682="","",K682*'2_公式與參數'!$C$6*'2_公式與參數'!$C$7/J682*100))</f>
        <v/>
      </c>
    </row>
    <row r="683">
      <c r="J683" s="20">
        <f>IF($A683="","",IF(H683="","",H683*1000))</f>
        <v/>
      </c>
      <c r="K683" s="21">
        <f>IF($A683="","",E683-'2_公式與參數'!$C$14)</f>
        <v/>
      </c>
      <c r="L683" s="22">
        <f>IF($A683="","",IF(H683="","",K683*'2_公式與參數'!$C$6*'2_公式與參數'!$C$7/J683*100))</f>
        <v/>
      </c>
    </row>
    <row r="684">
      <c r="J684" s="20">
        <f>IF($A684="","",IF(H684="","",H684*1000))</f>
        <v/>
      </c>
      <c r="K684" s="21">
        <f>IF($A684="","",E684-'2_公式與參數'!$C$14)</f>
        <v/>
      </c>
      <c r="L684" s="22">
        <f>IF($A684="","",IF(H684="","",K684*'2_公式與參數'!$C$6*'2_公式與參數'!$C$7/J684*100))</f>
        <v/>
      </c>
    </row>
    <row r="685">
      <c r="J685" s="20">
        <f>IF($A685="","",IF(H685="","",H685*1000))</f>
        <v/>
      </c>
      <c r="K685" s="21">
        <f>IF($A685="","",E685-'2_公式與參數'!$C$14)</f>
        <v/>
      </c>
      <c r="L685" s="22">
        <f>IF($A685="","",IF(H685="","",K685*'2_公式與參數'!$C$6*'2_公式與參數'!$C$7/J685*100))</f>
        <v/>
      </c>
    </row>
    <row r="686">
      <c r="J686" s="20">
        <f>IF($A686="","",IF(H686="","",H686*1000))</f>
        <v/>
      </c>
      <c r="K686" s="21">
        <f>IF($A686="","",E686-'2_公式與參數'!$C$14)</f>
        <v/>
      </c>
      <c r="L686" s="22">
        <f>IF($A686="","",IF(H686="","",K686*'2_公式與參數'!$C$6*'2_公式與參數'!$C$7/J686*100))</f>
        <v/>
      </c>
    </row>
    <row r="687">
      <c r="J687" s="20">
        <f>IF($A687="","",IF(H687="","",H687*1000))</f>
        <v/>
      </c>
      <c r="K687" s="21">
        <f>IF($A687="","",E687-'2_公式與參數'!$C$14)</f>
        <v/>
      </c>
      <c r="L687" s="22">
        <f>IF($A687="","",IF(H687="","",K687*'2_公式與參數'!$C$6*'2_公式與參數'!$C$7/J687*100))</f>
        <v/>
      </c>
    </row>
    <row r="688">
      <c r="J688" s="20">
        <f>IF($A688="","",IF(H688="","",H688*1000))</f>
        <v/>
      </c>
      <c r="K688" s="21">
        <f>IF($A688="","",E688-'2_公式與參數'!$C$14)</f>
        <v/>
      </c>
      <c r="L688" s="22">
        <f>IF($A688="","",IF(H688="","",K688*'2_公式與參數'!$C$6*'2_公式與參數'!$C$7/J688*100))</f>
        <v/>
      </c>
    </row>
    <row r="689">
      <c r="J689" s="20">
        <f>IF($A689="","",IF(H689="","",H689*1000))</f>
        <v/>
      </c>
      <c r="K689" s="21">
        <f>IF($A689="","",E689-'2_公式與參數'!$C$14)</f>
        <v/>
      </c>
      <c r="L689" s="22">
        <f>IF($A689="","",IF(H689="","",K689*'2_公式與參數'!$C$6*'2_公式與參數'!$C$7/J689*100))</f>
        <v/>
      </c>
    </row>
    <row r="690">
      <c r="J690" s="20">
        <f>IF($A690="","",IF(H690="","",H690*1000))</f>
        <v/>
      </c>
      <c r="K690" s="21">
        <f>IF($A690="","",E690-'2_公式與參數'!$C$14)</f>
        <v/>
      </c>
      <c r="L690" s="22">
        <f>IF($A690="","",IF(H690="","",K690*'2_公式與參數'!$C$6*'2_公式與參數'!$C$7/J690*100))</f>
        <v/>
      </c>
    </row>
    <row r="691">
      <c r="J691" s="20">
        <f>IF($A691="","",IF(H691="","",H691*1000))</f>
        <v/>
      </c>
      <c r="K691" s="21">
        <f>IF($A691="","",E691-'2_公式與參數'!$C$14)</f>
        <v/>
      </c>
      <c r="L691" s="22">
        <f>IF($A691="","",IF(H691="","",K691*'2_公式與參數'!$C$6*'2_公式與參數'!$C$7/J691*100))</f>
        <v/>
      </c>
    </row>
    <row r="692">
      <c r="J692" s="20">
        <f>IF($A692="","",IF(H692="","",H692*1000))</f>
        <v/>
      </c>
      <c r="K692" s="21">
        <f>IF($A692="","",E692-'2_公式與參數'!$C$14)</f>
        <v/>
      </c>
      <c r="L692" s="22">
        <f>IF($A692="","",IF(H692="","",K692*'2_公式與參數'!$C$6*'2_公式與參數'!$C$7/J692*100))</f>
        <v/>
      </c>
    </row>
    <row r="693">
      <c r="J693" s="20">
        <f>IF($A693="","",IF(H693="","",H693*1000))</f>
        <v/>
      </c>
      <c r="K693" s="21">
        <f>IF($A693="","",E693-'2_公式與參數'!$C$14)</f>
        <v/>
      </c>
      <c r="L693" s="22">
        <f>IF($A693="","",IF(H693="","",K693*'2_公式與參數'!$C$6*'2_公式與參數'!$C$7/J693*100))</f>
        <v/>
      </c>
    </row>
    <row r="694">
      <c r="J694" s="20">
        <f>IF($A694="","",IF(H694="","",H694*1000))</f>
        <v/>
      </c>
      <c r="K694" s="21">
        <f>IF($A694="","",E694-'2_公式與參數'!$C$14)</f>
        <v/>
      </c>
      <c r="L694" s="22">
        <f>IF($A694="","",IF(H694="","",K694*'2_公式與參數'!$C$6*'2_公式與參數'!$C$7/J694*100))</f>
        <v/>
      </c>
    </row>
    <row r="695">
      <c r="J695" s="20">
        <f>IF($A695="","",IF(H695="","",H695*1000))</f>
        <v/>
      </c>
      <c r="K695" s="21">
        <f>IF($A695="","",E695-'2_公式與參數'!$C$14)</f>
        <v/>
      </c>
      <c r="L695" s="22">
        <f>IF($A695="","",IF(H695="","",K695*'2_公式與參數'!$C$6*'2_公式與參數'!$C$7/J695*100))</f>
        <v/>
      </c>
    </row>
    <row r="696">
      <c r="J696" s="20">
        <f>IF($A696="","",IF(H696="","",H696*1000))</f>
        <v/>
      </c>
      <c r="K696" s="21">
        <f>IF($A696="","",E696-'2_公式與參數'!$C$14)</f>
        <v/>
      </c>
      <c r="L696" s="22">
        <f>IF($A696="","",IF(H696="","",K696*'2_公式與參數'!$C$6*'2_公式與參數'!$C$7/J696*100))</f>
        <v/>
      </c>
    </row>
    <row r="697">
      <c r="J697" s="20">
        <f>IF($A697="","",IF(H697="","",H697*1000))</f>
        <v/>
      </c>
      <c r="K697" s="21">
        <f>IF($A697="","",E697-'2_公式與參數'!$C$14)</f>
        <v/>
      </c>
      <c r="L697" s="22">
        <f>IF($A697="","",IF(H697="","",K697*'2_公式與參數'!$C$6*'2_公式與參數'!$C$7/J697*100))</f>
        <v/>
      </c>
    </row>
    <row r="698">
      <c r="J698" s="20">
        <f>IF($A698="","",IF(H698="","",H698*1000))</f>
        <v/>
      </c>
      <c r="K698" s="21">
        <f>IF($A698="","",E698-'2_公式與參數'!$C$14)</f>
        <v/>
      </c>
      <c r="L698" s="22">
        <f>IF($A698="","",IF(H698="","",K698*'2_公式與參數'!$C$6*'2_公式與參數'!$C$7/J698*100))</f>
        <v/>
      </c>
    </row>
    <row r="699">
      <c r="J699" s="20">
        <f>IF($A699="","",IF(H699="","",H699*1000))</f>
        <v/>
      </c>
      <c r="K699" s="21">
        <f>IF($A699="","",E699-'2_公式與參數'!$C$14)</f>
        <v/>
      </c>
      <c r="L699" s="22">
        <f>IF($A699="","",IF(H699="","",K699*'2_公式與參數'!$C$6*'2_公式與參數'!$C$7/J699*100))</f>
        <v/>
      </c>
    </row>
    <row r="700">
      <c r="J700" s="20">
        <f>IF($A700="","",IF(H700="","",H700*1000))</f>
        <v/>
      </c>
      <c r="K700" s="21">
        <f>IF($A700="","",E700-'2_公式與參數'!$C$14)</f>
        <v/>
      </c>
      <c r="L700" s="22">
        <f>IF($A700="","",IF(H700="","",K700*'2_公式與參數'!$C$6*'2_公式與參數'!$C$7/J700*100))</f>
        <v/>
      </c>
    </row>
    <row r="701">
      <c r="J701" s="20">
        <f>IF($A701="","",IF(H701="","",H701*1000))</f>
        <v/>
      </c>
      <c r="K701" s="21">
        <f>IF($A701="","",E701-'2_公式與參數'!$C$14)</f>
        <v/>
      </c>
      <c r="L701" s="22">
        <f>IF($A701="","",IF(H701="","",K701*'2_公式與參數'!$C$6*'2_公式與參數'!$C$7/J701*100))</f>
        <v/>
      </c>
    </row>
    <row r="702">
      <c r="J702" s="20">
        <f>IF($A702="","",IF(H702="","",H702*1000))</f>
        <v/>
      </c>
      <c r="K702" s="21">
        <f>IF($A702="","",E702-'2_公式與參數'!$C$14)</f>
        <v/>
      </c>
      <c r="L702" s="22">
        <f>IF($A702="","",IF(H702="","",K702*'2_公式與參數'!$C$6*'2_公式與參數'!$C$7/J702*100))</f>
        <v/>
      </c>
    </row>
    <row r="703">
      <c r="J703" s="20">
        <f>IF($A703="","",IF(H703="","",H703*1000))</f>
        <v/>
      </c>
      <c r="K703" s="21">
        <f>IF($A703="","",E703-'2_公式與參數'!$C$14)</f>
        <v/>
      </c>
      <c r="L703" s="22">
        <f>IF($A703="","",IF(H703="","",K703*'2_公式與參數'!$C$6*'2_公式與參數'!$C$7/J703*100))</f>
        <v/>
      </c>
    </row>
    <row r="704">
      <c r="J704" s="20">
        <f>IF($A704="","",IF(H704="","",H704*1000))</f>
        <v/>
      </c>
      <c r="K704" s="21">
        <f>IF($A704="","",E704-'2_公式與參數'!$C$14)</f>
        <v/>
      </c>
      <c r="L704" s="22">
        <f>IF($A704="","",IF(H704="","",K704*'2_公式與參數'!$C$6*'2_公式與參數'!$C$7/J704*100))</f>
        <v/>
      </c>
    </row>
    <row r="705">
      <c r="J705" s="20">
        <f>IF($A705="","",IF(H705="","",H705*1000))</f>
        <v/>
      </c>
      <c r="K705" s="21">
        <f>IF($A705="","",E705-'2_公式與參數'!$C$14)</f>
        <v/>
      </c>
      <c r="L705" s="22">
        <f>IF($A705="","",IF(H705="","",K705*'2_公式與參數'!$C$6*'2_公式與參數'!$C$7/J705*100))</f>
        <v/>
      </c>
    </row>
    <row r="706">
      <c r="J706" s="20">
        <f>IF($A706="","",IF(H706="","",H706*1000))</f>
        <v/>
      </c>
      <c r="K706" s="21">
        <f>IF($A706="","",E706-'2_公式與參數'!$C$14)</f>
        <v/>
      </c>
      <c r="L706" s="22">
        <f>IF($A706="","",IF(H706="","",K706*'2_公式與參數'!$C$6*'2_公式與參數'!$C$7/J706*100))</f>
        <v/>
      </c>
    </row>
    <row r="707">
      <c r="J707" s="20">
        <f>IF($A707="","",IF(H707="","",H707*1000))</f>
        <v/>
      </c>
      <c r="K707" s="21">
        <f>IF($A707="","",E707-'2_公式與參數'!$C$14)</f>
        <v/>
      </c>
      <c r="L707" s="22">
        <f>IF($A707="","",IF(H707="","",K707*'2_公式與參數'!$C$6*'2_公式與參數'!$C$7/J707*100))</f>
        <v/>
      </c>
    </row>
    <row r="708">
      <c r="J708" s="20">
        <f>IF($A708="","",IF(H708="","",H708*1000))</f>
        <v/>
      </c>
      <c r="K708" s="21">
        <f>IF($A708="","",E708-'2_公式與參數'!$C$14)</f>
        <v/>
      </c>
      <c r="L708" s="22">
        <f>IF($A708="","",IF(H708="","",K708*'2_公式與參數'!$C$6*'2_公式與參數'!$C$7/J708*100))</f>
        <v/>
      </c>
    </row>
    <row r="709">
      <c r="J709" s="20">
        <f>IF($A709="","",IF(H709="","",H709*1000))</f>
        <v/>
      </c>
      <c r="K709" s="21">
        <f>IF($A709="","",E709-'2_公式與參數'!$C$14)</f>
        <v/>
      </c>
      <c r="L709" s="22">
        <f>IF($A709="","",IF(H709="","",K709*'2_公式與參數'!$C$6*'2_公式與參數'!$C$7/J709*100))</f>
        <v/>
      </c>
    </row>
    <row r="710">
      <c r="J710" s="20">
        <f>IF($A710="","",IF(H710="","",H710*1000))</f>
        <v/>
      </c>
      <c r="K710" s="21">
        <f>IF($A710="","",E710-'2_公式與參數'!$C$14)</f>
        <v/>
      </c>
      <c r="L710" s="22">
        <f>IF($A710="","",IF(H710="","",K710*'2_公式與參數'!$C$6*'2_公式與參數'!$C$7/J710*100))</f>
        <v/>
      </c>
    </row>
    <row r="711">
      <c r="J711" s="20">
        <f>IF($A711="","",IF(H711="","",H711*1000))</f>
        <v/>
      </c>
      <c r="K711" s="21">
        <f>IF($A711="","",E711-'2_公式與參數'!$C$14)</f>
        <v/>
      </c>
      <c r="L711" s="22">
        <f>IF($A711="","",IF(H711="","",K711*'2_公式與參數'!$C$6*'2_公式與參數'!$C$7/J711*100))</f>
        <v/>
      </c>
    </row>
    <row r="712">
      <c r="J712" s="20">
        <f>IF($A712="","",IF(H712="","",H712*1000))</f>
        <v/>
      </c>
      <c r="K712" s="21">
        <f>IF($A712="","",E712-'2_公式與參數'!$C$14)</f>
        <v/>
      </c>
      <c r="L712" s="22">
        <f>IF($A712="","",IF(H712="","",K712*'2_公式與參數'!$C$6*'2_公式與參數'!$C$7/J712*100))</f>
        <v/>
      </c>
    </row>
    <row r="713">
      <c r="J713" s="20">
        <f>IF($A713="","",IF(H713="","",H713*1000))</f>
        <v/>
      </c>
      <c r="K713" s="21">
        <f>IF($A713="","",E713-'2_公式與參數'!$C$14)</f>
        <v/>
      </c>
      <c r="L713" s="22">
        <f>IF($A713="","",IF(H713="","",K713*'2_公式與參數'!$C$6*'2_公式與參數'!$C$7/J713*100))</f>
        <v/>
      </c>
    </row>
    <row r="714">
      <c r="J714" s="20">
        <f>IF($A714="","",IF(H714="","",H714*1000))</f>
        <v/>
      </c>
      <c r="K714" s="21">
        <f>IF($A714="","",E714-'2_公式與參數'!$C$14)</f>
        <v/>
      </c>
      <c r="L714" s="22">
        <f>IF($A714="","",IF(H714="","",K714*'2_公式與參數'!$C$6*'2_公式與參數'!$C$7/J714*100))</f>
        <v/>
      </c>
    </row>
    <row r="715">
      <c r="J715" s="20">
        <f>IF($A715="","",IF(H715="","",H715*1000))</f>
        <v/>
      </c>
      <c r="K715" s="21">
        <f>IF($A715="","",E715-'2_公式與參數'!$C$14)</f>
        <v/>
      </c>
      <c r="L715" s="22">
        <f>IF($A715="","",IF(H715="","",K715*'2_公式與參數'!$C$6*'2_公式與參數'!$C$7/J715*100))</f>
        <v/>
      </c>
    </row>
    <row r="716">
      <c r="J716" s="20">
        <f>IF($A716="","",IF(H716="","",H716*1000))</f>
        <v/>
      </c>
      <c r="K716" s="21">
        <f>IF($A716="","",E716-'2_公式與參數'!$C$14)</f>
        <v/>
      </c>
      <c r="L716" s="22">
        <f>IF($A716="","",IF(H716="","",K716*'2_公式與參數'!$C$6*'2_公式與參數'!$C$7/J716*100))</f>
        <v/>
      </c>
    </row>
    <row r="717">
      <c r="J717" s="20">
        <f>IF($A717="","",IF(H717="","",H717*1000))</f>
        <v/>
      </c>
      <c r="K717" s="21">
        <f>IF($A717="","",E717-'2_公式與參數'!$C$14)</f>
        <v/>
      </c>
      <c r="L717" s="22">
        <f>IF($A717="","",IF(H717="","",K717*'2_公式與參數'!$C$6*'2_公式與參數'!$C$7/J717*100))</f>
        <v/>
      </c>
    </row>
    <row r="718">
      <c r="J718" s="20">
        <f>IF($A718="","",IF(H718="","",H718*1000))</f>
        <v/>
      </c>
      <c r="K718" s="21">
        <f>IF($A718="","",E718-'2_公式與參數'!$C$14)</f>
        <v/>
      </c>
      <c r="L718" s="22">
        <f>IF($A718="","",IF(H718="","",K718*'2_公式與參數'!$C$6*'2_公式與參數'!$C$7/J718*100))</f>
        <v/>
      </c>
    </row>
    <row r="719">
      <c r="J719" s="20">
        <f>IF($A719="","",IF(H719="","",H719*1000))</f>
        <v/>
      </c>
      <c r="K719" s="21">
        <f>IF($A719="","",E719-'2_公式與參數'!$C$14)</f>
        <v/>
      </c>
      <c r="L719" s="22">
        <f>IF($A719="","",IF(H719="","",K719*'2_公式與參數'!$C$6*'2_公式與參數'!$C$7/J719*100))</f>
        <v/>
      </c>
    </row>
    <row r="720">
      <c r="J720" s="20">
        <f>IF($A720="","",IF(H720="","",H720*1000))</f>
        <v/>
      </c>
      <c r="K720" s="21">
        <f>IF($A720="","",E720-'2_公式與參數'!$C$14)</f>
        <v/>
      </c>
      <c r="L720" s="22">
        <f>IF($A720="","",IF(H720="","",K720*'2_公式與參數'!$C$6*'2_公式與參數'!$C$7/J720*100))</f>
        <v/>
      </c>
    </row>
    <row r="721">
      <c r="J721" s="20">
        <f>IF($A721="","",IF(H721="","",H721*1000))</f>
        <v/>
      </c>
      <c r="K721" s="21">
        <f>IF($A721="","",E721-'2_公式與參數'!$C$14)</f>
        <v/>
      </c>
      <c r="L721" s="22">
        <f>IF($A721="","",IF(H721="","",K721*'2_公式與參數'!$C$6*'2_公式與參數'!$C$7/J721*100))</f>
        <v/>
      </c>
    </row>
    <row r="722">
      <c r="J722" s="20">
        <f>IF($A722="","",IF(H722="","",H722*1000))</f>
        <v/>
      </c>
      <c r="K722" s="21">
        <f>IF($A722="","",E722-'2_公式與參數'!$C$14)</f>
        <v/>
      </c>
      <c r="L722" s="22">
        <f>IF($A722="","",IF(H722="","",K722*'2_公式與參數'!$C$6*'2_公式與參數'!$C$7/J722*100))</f>
        <v/>
      </c>
    </row>
    <row r="723">
      <c r="J723" s="20">
        <f>IF($A723="","",IF(H723="","",H723*1000))</f>
        <v/>
      </c>
      <c r="K723" s="21">
        <f>IF($A723="","",E723-'2_公式與參數'!$C$14)</f>
        <v/>
      </c>
      <c r="L723" s="22">
        <f>IF($A723="","",IF(H723="","",K723*'2_公式與參數'!$C$6*'2_公式與參數'!$C$7/J723*100))</f>
        <v/>
      </c>
    </row>
    <row r="724">
      <c r="J724" s="20">
        <f>IF($A724="","",IF(H724="","",H724*1000))</f>
        <v/>
      </c>
      <c r="K724" s="21">
        <f>IF($A724="","",E724-'2_公式與參數'!$C$14)</f>
        <v/>
      </c>
      <c r="L724" s="22">
        <f>IF($A724="","",IF(H724="","",K724*'2_公式與參數'!$C$6*'2_公式與參數'!$C$7/J724*100))</f>
        <v/>
      </c>
    </row>
    <row r="725">
      <c r="J725" s="20">
        <f>IF($A725="","",IF(H725="","",H725*1000))</f>
        <v/>
      </c>
      <c r="K725" s="21">
        <f>IF($A725="","",E725-'2_公式與參數'!$C$14)</f>
        <v/>
      </c>
      <c r="L725" s="22">
        <f>IF($A725="","",IF(H725="","",K725*'2_公式與參數'!$C$6*'2_公式與參數'!$C$7/J725*100))</f>
        <v/>
      </c>
    </row>
    <row r="726">
      <c r="J726" s="20">
        <f>IF($A726="","",IF(H726="","",H726*1000))</f>
        <v/>
      </c>
      <c r="K726" s="21">
        <f>IF($A726="","",E726-'2_公式與參數'!$C$14)</f>
        <v/>
      </c>
      <c r="L726" s="22">
        <f>IF($A726="","",IF(H726="","",K726*'2_公式與參數'!$C$6*'2_公式與參數'!$C$7/J726*100))</f>
        <v/>
      </c>
    </row>
    <row r="727">
      <c r="J727" s="20">
        <f>IF($A727="","",IF(H727="","",H727*1000))</f>
        <v/>
      </c>
      <c r="K727" s="21">
        <f>IF($A727="","",E727-'2_公式與參數'!$C$14)</f>
        <v/>
      </c>
      <c r="L727" s="22">
        <f>IF($A727="","",IF(H727="","",K727*'2_公式與參數'!$C$6*'2_公式與參數'!$C$7/J727*100))</f>
        <v/>
      </c>
    </row>
    <row r="728">
      <c r="J728" s="20">
        <f>IF($A728="","",IF(H728="","",H728*1000))</f>
        <v/>
      </c>
      <c r="K728" s="21">
        <f>IF($A728="","",E728-'2_公式與參數'!$C$14)</f>
        <v/>
      </c>
      <c r="L728" s="22">
        <f>IF($A728="","",IF(H728="","",K728*'2_公式與參數'!$C$6*'2_公式與參數'!$C$7/J728*100))</f>
        <v/>
      </c>
    </row>
    <row r="729">
      <c r="J729" s="20">
        <f>IF($A729="","",IF(H729="","",H729*1000))</f>
        <v/>
      </c>
      <c r="K729" s="21">
        <f>IF($A729="","",E729-'2_公式與參數'!$C$14)</f>
        <v/>
      </c>
      <c r="L729" s="22">
        <f>IF($A729="","",IF(H729="","",K729*'2_公式與參數'!$C$6*'2_公式與參數'!$C$7/J729*100))</f>
        <v/>
      </c>
    </row>
    <row r="730">
      <c r="J730" s="20">
        <f>IF($A730="","",IF(H730="","",H730*1000))</f>
        <v/>
      </c>
      <c r="K730" s="21">
        <f>IF($A730="","",E730-'2_公式與參數'!$C$14)</f>
        <v/>
      </c>
      <c r="L730" s="22">
        <f>IF($A730="","",IF(H730="","",K730*'2_公式與參數'!$C$6*'2_公式與參數'!$C$7/J730*100))</f>
        <v/>
      </c>
    </row>
    <row r="731">
      <c r="J731" s="20">
        <f>IF($A731="","",IF(H731="","",H731*1000))</f>
        <v/>
      </c>
      <c r="K731" s="21">
        <f>IF($A731="","",E731-'2_公式與參數'!$C$14)</f>
        <v/>
      </c>
      <c r="L731" s="22">
        <f>IF($A731="","",IF(H731="","",K731*'2_公式與參數'!$C$6*'2_公式與參數'!$C$7/J731*100))</f>
        <v/>
      </c>
    </row>
    <row r="732">
      <c r="J732" s="20">
        <f>IF($A732="","",IF(H732="","",H732*1000))</f>
        <v/>
      </c>
      <c r="K732" s="21">
        <f>IF($A732="","",E732-'2_公式與參數'!$C$14)</f>
        <v/>
      </c>
      <c r="L732" s="22">
        <f>IF($A732="","",IF(H732="","",K732*'2_公式與參數'!$C$6*'2_公式與參數'!$C$7/J732*100))</f>
        <v/>
      </c>
    </row>
    <row r="733">
      <c r="J733" s="20">
        <f>IF($A733="","",IF(H733="","",H733*1000))</f>
        <v/>
      </c>
      <c r="K733" s="21">
        <f>IF($A733="","",E733-'2_公式與參數'!$C$14)</f>
        <v/>
      </c>
      <c r="L733" s="22">
        <f>IF($A733="","",IF(H733="","",K733*'2_公式與參數'!$C$6*'2_公式與參數'!$C$7/J733*100))</f>
        <v/>
      </c>
    </row>
    <row r="734">
      <c r="J734" s="20">
        <f>IF($A734="","",IF(H734="","",H734*1000))</f>
        <v/>
      </c>
      <c r="K734" s="21">
        <f>IF($A734="","",E734-'2_公式與參數'!$C$14)</f>
        <v/>
      </c>
      <c r="L734" s="22">
        <f>IF($A734="","",IF(H734="","",K734*'2_公式與參數'!$C$6*'2_公式與參數'!$C$7/J734*100))</f>
        <v/>
      </c>
    </row>
    <row r="735">
      <c r="J735" s="20">
        <f>IF($A735="","",IF(H735="","",H735*1000))</f>
        <v/>
      </c>
      <c r="K735" s="21">
        <f>IF($A735="","",E735-'2_公式與參數'!$C$14)</f>
        <v/>
      </c>
      <c r="L735" s="22">
        <f>IF($A735="","",IF(H735="","",K735*'2_公式與參數'!$C$6*'2_公式與參數'!$C$7/J735*100))</f>
        <v/>
      </c>
    </row>
    <row r="736">
      <c r="J736" s="20">
        <f>IF($A736="","",IF(H736="","",H736*1000))</f>
        <v/>
      </c>
      <c r="K736" s="21">
        <f>IF($A736="","",E736-'2_公式與參數'!$C$14)</f>
        <v/>
      </c>
      <c r="L736" s="22">
        <f>IF($A736="","",IF(H736="","",K736*'2_公式與參數'!$C$6*'2_公式與參數'!$C$7/J736*100))</f>
        <v/>
      </c>
    </row>
    <row r="737">
      <c r="J737" s="20">
        <f>IF($A737="","",IF(H737="","",H737*1000))</f>
        <v/>
      </c>
      <c r="K737" s="21">
        <f>IF($A737="","",E737-'2_公式與參數'!$C$14)</f>
        <v/>
      </c>
      <c r="L737" s="22">
        <f>IF($A737="","",IF(H737="","",K737*'2_公式與參數'!$C$6*'2_公式與參數'!$C$7/J737*100))</f>
        <v/>
      </c>
    </row>
    <row r="738">
      <c r="J738" s="20">
        <f>IF($A738="","",IF(H738="","",H738*1000))</f>
        <v/>
      </c>
      <c r="K738" s="21">
        <f>IF($A738="","",E738-'2_公式與參數'!$C$14)</f>
        <v/>
      </c>
      <c r="L738" s="22">
        <f>IF($A738="","",IF(H738="","",K738*'2_公式與參數'!$C$6*'2_公式與參數'!$C$7/J738*100))</f>
        <v/>
      </c>
    </row>
    <row r="739">
      <c r="J739" s="20">
        <f>IF($A739="","",IF(H739="","",H739*1000))</f>
        <v/>
      </c>
      <c r="K739" s="21">
        <f>IF($A739="","",E739-'2_公式與參數'!$C$14)</f>
        <v/>
      </c>
      <c r="L739" s="22">
        <f>IF($A739="","",IF(H739="","",K739*'2_公式與參數'!$C$6*'2_公式與參數'!$C$7/J739*100))</f>
        <v/>
      </c>
    </row>
    <row r="740">
      <c r="J740" s="20">
        <f>IF($A740="","",IF(H740="","",H740*1000))</f>
        <v/>
      </c>
      <c r="K740" s="21">
        <f>IF($A740="","",E740-'2_公式與參數'!$C$14)</f>
        <v/>
      </c>
      <c r="L740" s="22">
        <f>IF($A740="","",IF(H740="","",K740*'2_公式與參數'!$C$6*'2_公式與參數'!$C$7/J740*100))</f>
        <v/>
      </c>
    </row>
    <row r="741">
      <c r="J741" s="20">
        <f>IF($A741="","",IF(H741="","",H741*1000))</f>
        <v/>
      </c>
      <c r="K741" s="21">
        <f>IF($A741="","",E741-'2_公式與參數'!$C$14)</f>
        <v/>
      </c>
      <c r="L741" s="22">
        <f>IF($A741="","",IF(H741="","",K741*'2_公式與參數'!$C$6*'2_公式與參數'!$C$7/J741*100))</f>
        <v/>
      </c>
    </row>
    <row r="742">
      <c r="J742" s="20">
        <f>IF($A742="","",IF(H742="","",H742*1000))</f>
        <v/>
      </c>
      <c r="K742" s="21">
        <f>IF($A742="","",E742-'2_公式與參數'!$C$14)</f>
        <v/>
      </c>
      <c r="L742" s="22">
        <f>IF($A742="","",IF(H742="","",K742*'2_公式與參數'!$C$6*'2_公式與參數'!$C$7/J742*100))</f>
        <v/>
      </c>
    </row>
    <row r="743">
      <c r="J743" s="20">
        <f>IF($A743="","",IF(H743="","",H743*1000))</f>
        <v/>
      </c>
      <c r="K743" s="21">
        <f>IF($A743="","",E743-'2_公式與參數'!$C$14)</f>
        <v/>
      </c>
      <c r="L743" s="22">
        <f>IF($A743="","",IF(H743="","",K743*'2_公式與參數'!$C$6*'2_公式與參數'!$C$7/J743*100))</f>
        <v/>
      </c>
    </row>
    <row r="744">
      <c r="J744" s="20">
        <f>IF($A744="","",IF(H744="","",H744*1000))</f>
        <v/>
      </c>
      <c r="K744" s="21">
        <f>IF($A744="","",E744-'2_公式與參數'!$C$14)</f>
        <v/>
      </c>
      <c r="L744" s="22">
        <f>IF($A744="","",IF(H744="","",K744*'2_公式與參數'!$C$6*'2_公式與參數'!$C$7/J744*100))</f>
        <v/>
      </c>
    </row>
    <row r="745">
      <c r="J745" s="20">
        <f>IF($A745="","",IF(H745="","",H745*1000))</f>
        <v/>
      </c>
      <c r="K745" s="21">
        <f>IF($A745="","",E745-'2_公式與參數'!$C$14)</f>
        <v/>
      </c>
      <c r="L745" s="22">
        <f>IF($A745="","",IF(H745="","",K745*'2_公式與參數'!$C$6*'2_公式與參數'!$C$7/J745*100))</f>
        <v/>
      </c>
    </row>
    <row r="746">
      <c r="J746" s="20">
        <f>IF($A746="","",IF(H746="","",H746*1000))</f>
        <v/>
      </c>
      <c r="K746" s="21">
        <f>IF($A746="","",E746-'2_公式與參數'!$C$14)</f>
        <v/>
      </c>
      <c r="L746" s="22">
        <f>IF($A746="","",IF(H746="","",K746*'2_公式與參數'!$C$6*'2_公式與參數'!$C$7/J746*100))</f>
        <v/>
      </c>
    </row>
    <row r="747">
      <c r="J747" s="20">
        <f>IF($A747="","",IF(H747="","",H747*1000))</f>
        <v/>
      </c>
      <c r="K747" s="21">
        <f>IF($A747="","",E747-'2_公式與參數'!$C$14)</f>
        <v/>
      </c>
      <c r="L747" s="22">
        <f>IF($A747="","",IF(H747="","",K747*'2_公式與參數'!$C$6*'2_公式與參數'!$C$7/J747*100))</f>
        <v/>
      </c>
    </row>
    <row r="748">
      <c r="J748" s="20">
        <f>IF($A748="","",IF(H748="","",H748*1000))</f>
        <v/>
      </c>
      <c r="K748" s="21">
        <f>IF($A748="","",E748-'2_公式與參數'!$C$14)</f>
        <v/>
      </c>
      <c r="L748" s="22">
        <f>IF($A748="","",IF(H748="","",K748*'2_公式與參數'!$C$6*'2_公式與參數'!$C$7/J748*100))</f>
        <v/>
      </c>
    </row>
    <row r="749">
      <c r="J749" s="20">
        <f>IF($A749="","",IF(H749="","",H749*1000))</f>
        <v/>
      </c>
      <c r="K749" s="21">
        <f>IF($A749="","",E749-'2_公式與參數'!$C$14)</f>
        <v/>
      </c>
      <c r="L749" s="22">
        <f>IF($A749="","",IF(H749="","",K749*'2_公式與參數'!$C$6*'2_公式與參數'!$C$7/J749*100))</f>
        <v/>
      </c>
    </row>
    <row r="750">
      <c r="J750" s="20">
        <f>IF($A750="","",IF(H750="","",H750*1000))</f>
        <v/>
      </c>
      <c r="K750" s="21">
        <f>IF($A750="","",E750-'2_公式與參數'!$C$14)</f>
        <v/>
      </c>
      <c r="L750" s="22">
        <f>IF($A750="","",IF(H750="","",K750*'2_公式與參數'!$C$6*'2_公式與參數'!$C$7/J750*100))</f>
        <v/>
      </c>
    </row>
    <row r="751">
      <c r="J751" s="20">
        <f>IF($A751="","",IF(H751="","",H751*1000))</f>
        <v/>
      </c>
      <c r="K751" s="21">
        <f>IF($A751="","",E751-'2_公式與參數'!$C$14)</f>
        <v/>
      </c>
      <c r="L751" s="22">
        <f>IF($A751="","",IF(H751="","",K751*'2_公式與參數'!$C$6*'2_公式與參數'!$C$7/J751*100))</f>
        <v/>
      </c>
    </row>
    <row r="752">
      <c r="J752" s="20">
        <f>IF($A752="","",IF(H752="","",H752*1000))</f>
        <v/>
      </c>
      <c r="K752" s="21">
        <f>IF($A752="","",E752-'2_公式與參數'!$C$14)</f>
        <v/>
      </c>
      <c r="L752" s="22">
        <f>IF($A752="","",IF(H752="","",K752*'2_公式與參數'!$C$6*'2_公式與參數'!$C$7/J752*100))</f>
        <v/>
      </c>
    </row>
    <row r="753">
      <c r="J753" s="20">
        <f>IF($A753="","",IF(H753="","",H753*1000))</f>
        <v/>
      </c>
      <c r="K753" s="21">
        <f>IF($A753="","",E753-'2_公式與參數'!$C$14)</f>
        <v/>
      </c>
      <c r="L753" s="22">
        <f>IF($A753="","",IF(H753="","",K753*'2_公式與參數'!$C$6*'2_公式與參數'!$C$7/J753*100))</f>
        <v/>
      </c>
    </row>
    <row r="754">
      <c r="J754" s="20">
        <f>IF($A754="","",IF(H754="","",H754*1000))</f>
        <v/>
      </c>
      <c r="K754" s="21">
        <f>IF($A754="","",E754-'2_公式與參數'!$C$14)</f>
        <v/>
      </c>
      <c r="L754" s="22">
        <f>IF($A754="","",IF(H754="","",K754*'2_公式與參數'!$C$6*'2_公式與參數'!$C$7/J754*100))</f>
        <v/>
      </c>
    </row>
    <row r="755">
      <c r="J755" s="20">
        <f>IF($A755="","",IF(H755="","",H755*1000))</f>
        <v/>
      </c>
      <c r="K755" s="21">
        <f>IF($A755="","",E755-'2_公式與參數'!$C$14)</f>
        <v/>
      </c>
      <c r="L755" s="22">
        <f>IF($A755="","",IF(H755="","",K755*'2_公式與參數'!$C$6*'2_公式與參數'!$C$7/J755*100))</f>
        <v/>
      </c>
    </row>
    <row r="756">
      <c r="J756" s="20">
        <f>IF($A756="","",IF(H756="","",H756*1000))</f>
        <v/>
      </c>
      <c r="K756" s="21">
        <f>IF($A756="","",E756-'2_公式與參數'!$C$14)</f>
        <v/>
      </c>
      <c r="L756" s="22">
        <f>IF($A756="","",IF(H756="","",K756*'2_公式與參數'!$C$6*'2_公式與參數'!$C$7/J756*100))</f>
        <v/>
      </c>
    </row>
    <row r="757">
      <c r="J757" s="20">
        <f>IF($A757="","",IF(H757="","",H757*1000))</f>
        <v/>
      </c>
      <c r="K757" s="21">
        <f>IF($A757="","",E757-'2_公式與參數'!$C$14)</f>
        <v/>
      </c>
      <c r="L757" s="22">
        <f>IF($A757="","",IF(H757="","",K757*'2_公式與參數'!$C$6*'2_公式與參數'!$C$7/J757*100))</f>
        <v/>
      </c>
    </row>
    <row r="758">
      <c r="J758" s="20">
        <f>IF($A758="","",IF(H758="","",H758*1000))</f>
        <v/>
      </c>
      <c r="K758" s="21">
        <f>IF($A758="","",E758-'2_公式與參數'!$C$14)</f>
        <v/>
      </c>
      <c r="L758" s="22">
        <f>IF($A758="","",IF(H758="","",K758*'2_公式與參數'!$C$6*'2_公式與參數'!$C$7/J758*100))</f>
        <v/>
      </c>
    </row>
    <row r="759">
      <c r="J759" s="20">
        <f>IF($A759="","",IF(H759="","",H759*1000))</f>
        <v/>
      </c>
      <c r="K759" s="21">
        <f>IF($A759="","",E759-'2_公式與參數'!$C$14)</f>
        <v/>
      </c>
      <c r="L759" s="22">
        <f>IF($A759="","",IF(H759="","",K759*'2_公式與參數'!$C$6*'2_公式與參數'!$C$7/J759*100))</f>
        <v/>
      </c>
    </row>
    <row r="760">
      <c r="J760" s="20">
        <f>IF($A760="","",IF(H760="","",H760*1000))</f>
        <v/>
      </c>
      <c r="K760" s="21">
        <f>IF($A760="","",E760-'2_公式與參數'!$C$14)</f>
        <v/>
      </c>
      <c r="L760" s="22">
        <f>IF($A760="","",IF(H760="","",K760*'2_公式與參數'!$C$6*'2_公式與參數'!$C$7/J760*100))</f>
        <v/>
      </c>
    </row>
    <row r="761">
      <c r="J761" s="20">
        <f>IF($A761="","",IF(H761="","",H761*1000))</f>
        <v/>
      </c>
      <c r="K761" s="21">
        <f>IF($A761="","",E761-'2_公式與參數'!$C$14)</f>
        <v/>
      </c>
      <c r="L761" s="22">
        <f>IF($A761="","",IF(H761="","",K761*'2_公式與參數'!$C$6*'2_公式與參數'!$C$7/J761*100))</f>
        <v/>
      </c>
    </row>
    <row r="762">
      <c r="J762" s="20">
        <f>IF($A762="","",IF(H762="","",H762*1000))</f>
        <v/>
      </c>
      <c r="K762" s="21">
        <f>IF($A762="","",E762-'2_公式與參數'!$C$14)</f>
        <v/>
      </c>
      <c r="L762" s="22">
        <f>IF($A762="","",IF(H762="","",K762*'2_公式與參數'!$C$6*'2_公式與參數'!$C$7/J762*100))</f>
        <v/>
      </c>
    </row>
    <row r="763">
      <c r="J763" s="20">
        <f>IF($A763="","",IF(H763="","",H763*1000))</f>
        <v/>
      </c>
      <c r="K763" s="21">
        <f>IF($A763="","",E763-'2_公式與參數'!$C$14)</f>
        <v/>
      </c>
      <c r="L763" s="22">
        <f>IF($A763="","",IF(H763="","",K763*'2_公式與參數'!$C$6*'2_公式與參數'!$C$7/J763*100))</f>
        <v/>
      </c>
    </row>
    <row r="764">
      <c r="J764" s="20">
        <f>IF($A764="","",IF(H764="","",H764*1000))</f>
        <v/>
      </c>
      <c r="K764" s="21">
        <f>IF($A764="","",E764-'2_公式與參數'!$C$14)</f>
        <v/>
      </c>
      <c r="L764" s="22">
        <f>IF($A764="","",IF(H764="","",K764*'2_公式與參數'!$C$6*'2_公式與參數'!$C$7/J764*100))</f>
        <v/>
      </c>
    </row>
    <row r="765">
      <c r="J765" s="20">
        <f>IF($A765="","",IF(H765="","",H765*1000))</f>
        <v/>
      </c>
      <c r="K765" s="21">
        <f>IF($A765="","",E765-'2_公式與參數'!$C$14)</f>
        <v/>
      </c>
      <c r="L765" s="22">
        <f>IF($A765="","",IF(H765="","",K765*'2_公式與參數'!$C$6*'2_公式與參數'!$C$7/J765*100))</f>
        <v/>
      </c>
    </row>
    <row r="766">
      <c r="J766" s="20">
        <f>IF($A766="","",IF(H766="","",H766*1000))</f>
        <v/>
      </c>
      <c r="K766" s="21">
        <f>IF($A766="","",E766-'2_公式與參數'!$C$14)</f>
        <v/>
      </c>
      <c r="L766" s="22">
        <f>IF($A766="","",IF(H766="","",K766*'2_公式與參數'!$C$6*'2_公式與參數'!$C$7/J766*100))</f>
        <v/>
      </c>
    </row>
    <row r="767">
      <c r="J767" s="20">
        <f>IF($A767="","",IF(H767="","",H767*1000))</f>
        <v/>
      </c>
      <c r="K767" s="21">
        <f>IF($A767="","",E767-'2_公式與參數'!$C$14)</f>
        <v/>
      </c>
      <c r="L767" s="22">
        <f>IF($A767="","",IF(H767="","",K767*'2_公式與參數'!$C$6*'2_公式與參數'!$C$7/J767*100))</f>
        <v/>
      </c>
    </row>
    <row r="768">
      <c r="J768" s="20">
        <f>IF($A768="","",IF(H768="","",H768*1000))</f>
        <v/>
      </c>
      <c r="K768" s="21">
        <f>IF($A768="","",E768-'2_公式與參數'!$C$14)</f>
        <v/>
      </c>
      <c r="L768" s="22">
        <f>IF($A768="","",IF(H768="","",K768*'2_公式與參數'!$C$6*'2_公式與參數'!$C$7/J768*100))</f>
        <v/>
      </c>
    </row>
    <row r="769">
      <c r="J769" s="20">
        <f>IF($A769="","",IF(H769="","",H769*1000))</f>
        <v/>
      </c>
      <c r="K769" s="21">
        <f>IF($A769="","",E769-'2_公式與參數'!$C$14)</f>
        <v/>
      </c>
      <c r="L769" s="22">
        <f>IF($A769="","",IF(H769="","",K769*'2_公式與參數'!$C$6*'2_公式與參數'!$C$7/J769*100))</f>
        <v/>
      </c>
    </row>
    <row r="770">
      <c r="J770" s="20">
        <f>IF($A770="","",IF(H770="","",H770*1000))</f>
        <v/>
      </c>
      <c r="K770" s="21">
        <f>IF($A770="","",E770-'2_公式與參數'!$C$14)</f>
        <v/>
      </c>
      <c r="L770" s="22">
        <f>IF($A770="","",IF(H770="","",K770*'2_公式與參數'!$C$6*'2_公式與參數'!$C$7/J770*100))</f>
        <v/>
      </c>
    </row>
    <row r="771">
      <c r="J771" s="20">
        <f>IF($A771="","",IF(H771="","",H771*1000))</f>
        <v/>
      </c>
      <c r="K771" s="21">
        <f>IF($A771="","",E771-'2_公式與參數'!$C$14)</f>
        <v/>
      </c>
      <c r="L771" s="22">
        <f>IF($A771="","",IF(H771="","",K771*'2_公式與參數'!$C$6*'2_公式與參數'!$C$7/J771*100))</f>
        <v/>
      </c>
    </row>
    <row r="772">
      <c r="J772" s="20">
        <f>IF($A772="","",IF(H772="","",H772*1000))</f>
        <v/>
      </c>
      <c r="K772" s="21">
        <f>IF($A772="","",E772-'2_公式與參數'!$C$14)</f>
        <v/>
      </c>
      <c r="L772" s="22">
        <f>IF($A772="","",IF(H772="","",K772*'2_公式與參數'!$C$6*'2_公式與參數'!$C$7/J772*100))</f>
        <v/>
      </c>
    </row>
    <row r="773">
      <c r="J773" s="20">
        <f>IF($A773="","",IF(H773="","",H773*1000))</f>
        <v/>
      </c>
      <c r="K773" s="21">
        <f>IF($A773="","",E773-'2_公式與參數'!$C$14)</f>
        <v/>
      </c>
      <c r="L773" s="22">
        <f>IF($A773="","",IF(H773="","",K773*'2_公式與參數'!$C$6*'2_公式與參數'!$C$7/J773*100))</f>
        <v/>
      </c>
    </row>
    <row r="774">
      <c r="J774" s="20">
        <f>IF($A774="","",IF(H774="","",H774*1000))</f>
        <v/>
      </c>
      <c r="K774" s="21">
        <f>IF($A774="","",E774-'2_公式與參數'!$C$14)</f>
        <v/>
      </c>
      <c r="L774" s="22">
        <f>IF($A774="","",IF(H774="","",K774*'2_公式與參數'!$C$6*'2_公式與參數'!$C$7/J774*100))</f>
        <v/>
      </c>
    </row>
    <row r="775">
      <c r="J775" s="20">
        <f>IF($A775="","",IF(H775="","",H775*1000))</f>
        <v/>
      </c>
      <c r="K775" s="21">
        <f>IF($A775="","",E775-'2_公式與參數'!$C$14)</f>
        <v/>
      </c>
      <c r="L775" s="22">
        <f>IF($A775="","",IF(H775="","",K775*'2_公式與參數'!$C$6*'2_公式與參數'!$C$7/J775*100))</f>
        <v/>
      </c>
    </row>
    <row r="776">
      <c r="J776" s="20">
        <f>IF($A776="","",IF(H776="","",H776*1000))</f>
        <v/>
      </c>
      <c r="K776" s="21">
        <f>IF($A776="","",E776-'2_公式與參數'!$C$14)</f>
        <v/>
      </c>
      <c r="L776" s="22">
        <f>IF($A776="","",IF(H776="","",K776*'2_公式與參數'!$C$6*'2_公式與參數'!$C$7/J776*100))</f>
        <v/>
      </c>
    </row>
    <row r="777">
      <c r="J777" s="20">
        <f>IF($A777="","",IF(H777="","",H777*1000))</f>
        <v/>
      </c>
      <c r="K777" s="21">
        <f>IF($A777="","",E777-'2_公式與參數'!$C$14)</f>
        <v/>
      </c>
      <c r="L777" s="22">
        <f>IF($A777="","",IF(H777="","",K777*'2_公式與參數'!$C$6*'2_公式與參數'!$C$7/J777*100))</f>
        <v/>
      </c>
    </row>
    <row r="778">
      <c r="J778" s="20">
        <f>IF($A778="","",IF(H778="","",H778*1000))</f>
        <v/>
      </c>
      <c r="K778" s="21">
        <f>IF($A778="","",E778-'2_公式與參數'!$C$14)</f>
        <v/>
      </c>
      <c r="L778" s="22">
        <f>IF($A778="","",IF(H778="","",K778*'2_公式與參數'!$C$6*'2_公式與參數'!$C$7/J778*100))</f>
        <v/>
      </c>
    </row>
    <row r="779">
      <c r="J779" s="20">
        <f>IF($A779="","",IF(H779="","",H779*1000))</f>
        <v/>
      </c>
      <c r="K779" s="21">
        <f>IF($A779="","",E779-'2_公式與參數'!$C$14)</f>
        <v/>
      </c>
      <c r="L779" s="22">
        <f>IF($A779="","",IF(H779="","",K779*'2_公式與參數'!$C$6*'2_公式與參數'!$C$7/J779*100))</f>
        <v/>
      </c>
    </row>
    <row r="780">
      <c r="J780" s="20">
        <f>IF($A780="","",IF(H780="","",H780*1000))</f>
        <v/>
      </c>
      <c r="K780" s="21">
        <f>IF($A780="","",E780-'2_公式與參數'!$C$14)</f>
        <v/>
      </c>
      <c r="L780" s="22">
        <f>IF($A780="","",IF(H780="","",K780*'2_公式與參數'!$C$6*'2_公式與參數'!$C$7/J780*100))</f>
        <v/>
      </c>
    </row>
    <row r="781">
      <c r="J781" s="20">
        <f>IF($A781="","",IF(H781="","",H781*1000))</f>
        <v/>
      </c>
      <c r="K781" s="21">
        <f>IF($A781="","",E781-'2_公式與參數'!$C$14)</f>
        <v/>
      </c>
      <c r="L781" s="22">
        <f>IF($A781="","",IF(H781="","",K781*'2_公式與參數'!$C$6*'2_公式與參數'!$C$7/J781*100))</f>
        <v/>
      </c>
    </row>
    <row r="782">
      <c r="J782" s="20">
        <f>IF($A782="","",IF(H782="","",H782*1000))</f>
        <v/>
      </c>
      <c r="K782" s="21">
        <f>IF($A782="","",E782-'2_公式與參數'!$C$14)</f>
        <v/>
      </c>
      <c r="L782" s="22">
        <f>IF($A782="","",IF(H782="","",K782*'2_公式與參數'!$C$6*'2_公式與參數'!$C$7/J782*100))</f>
        <v/>
      </c>
    </row>
    <row r="783">
      <c r="J783" s="20">
        <f>IF($A783="","",IF(H783="","",H783*1000))</f>
        <v/>
      </c>
      <c r="K783" s="21">
        <f>IF($A783="","",E783-'2_公式與參數'!$C$14)</f>
        <v/>
      </c>
      <c r="L783" s="22">
        <f>IF($A783="","",IF(H783="","",K783*'2_公式與參數'!$C$6*'2_公式與參數'!$C$7/J783*100))</f>
        <v/>
      </c>
    </row>
    <row r="784">
      <c r="J784" s="20">
        <f>IF($A784="","",IF(H784="","",H784*1000))</f>
        <v/>
      </c>
      <c r="K784" s="21">
        <f>IF($A784="","",E784-'2_公式與參數'!$C$14)</f>
        <v/>
      </c>
      <c r="L784" s="22">
        <f>IF($A784="","",IF(H784="","",K784*'2_公式與參數'!$C$6*'2_公式與參數'!$C$7/J784*100))</f>
        <v/>
      </c>
    </row>
    <row r="785">
      <c r="J785" s="20">
        <f>IF($A785="","",IF(H785="","",H785*1000))</f>
        <v/>
      </c>
      <c r="K785" s="21">
        <f>IF($A785="","",E785-'2_公式與參數'!$C$14)</f>
        <v/>
      </c>
      <c r="L785" s="22">
        <f>IF($A785="","",IF(H785="","",K785*'2_公式與參數'!$C$6*'2_公式與參數'!$C$7/J785*100))</f>
        <v/>
      </c>
    </row>
    <row r="786">
      <c r="J786" s="20">
        <f>IF($A786="","",IF(H786="","",H786*1000))</f>
        <v/>
      </c>
      <c r="K786" s="21">
        <f>IF($A786="","",E786-'2_公式與參數'!$C$14)</f>
        <v/>
      </c>
      <c r="L786" s="22">
        <f>IF($A786="","",IF(H786="","",K786*'2_公式與參數'!$C$6*'2_公式與參數'!$C$7/J786*100))</f>
        <v/>
      </c>
    </row>
    <row r="787">
      <c r="J787" s="20">
        <f>IF($A787="","",IF(H787="","",H787*1000))</f>
        <v/>
      </c>
      <c r="K787" s="21">
        <f>IF($A787="","",E787-'2_公式與參數'!$C$14)</f>
        <v/>
      </c>
      <c r="L787" s="22">
        <f>IF($A787="","",IF(H787="","",K787*'2_公式與參數'!$C$6*'2_公式與參數'!$C$7/J787*100))</f>
        <v/>
      </c>
    </row>
    <row r="788">
      <c r="J788" s="20">
        <f>IF($A788="","",IF(H788="","",H788*1000))</f>
        <v/>
      </c>
      <c r="K788" s="21">
        <f>IF($A788="","",E788-'2_公式與參數'!$C$14)</f>
        <v/>
      </c>
      <c r="L788" s="22">
        <f>IF($A788="","",IF(H788="","",K788*'2_公式與參數'!$C$6*'2_公式與參數'!$C$7/J788*100))</f>
        <v/>
      </c>
    </row>
    <row r="789">
      <c r="J789" s="20">
        <f>IF($A789="","",IF(H789="","",H789*1000))</f>
        <v/>
      </c>
      <c r="K789" s="21">
        <f>IF($A789="","",E789-'2_公式與參數'!$C$14)</f>
        <v/>
      </c>
      <c r="L789" s="22">
        <f>IF($A789="","",IF(H789="","",K789*'2_公式與參數'!$C$6*'2_公式與參數'!$C$7/J789*100))</f>
        <v/>
      </c>
    </row>
    <row r="790">
      <c r="J790" s="20">
        <f>IF($A790="","",IF(H790="","",H790*1000))</f>
        <v/>
      </c>
      <c r="K790" s="21">
        <f>IF($A790="","",E790-'2_公式與參數'!$C$14)</f>
        <v/>
      </c>
      <c r="L790" s="22">
        <f>IF($A790="","",IF(H790="","",K790*'2_公式與參數'!$C$6*'2_公式與參數'!$C$7/J790*100))</f>
        <v/>
      </c>
    </row>
    <row r="791">
      <c r="J791" s="20">
        <f>IF($A791="","",IF(H791="","",H791*1000))</f>
        <v/>
      </c>
      <c r="K791" s="21">
        <f>IF($A791="","",E791-'2_公式與參數'!$C$14)</f>
        <v/>
      </c>
      <c r="L791" s="22">
        <f>IF($A791="","",IF(H791="","",K791*'2_公式與參數'!$C$6*'2_公式與參數'!$C$7/J791*100))</f>
        <v/>
      </c>
    </row>
    <row r="792">
      <c r="J792" s="20">
        <f>IF($A792="","",IF(H792="","",H792*1000))</f>
        <v/>
      </c>
      <c r="K792" s="21">
        <f>IF($A792="","",E792-'2_公式與參數'!$C$14)</f>
        <v/>
      </c>
      <c r="L792" s="22">
        <f>IF($A792="","",IF(H792="","",K792*'2_公式與參數'!$C$6*'2_公式與參數'!$C$7/J792*100))</f>
        <v/>
      </c>
    </row>
    <row r="793">
      <c r="J793" s="20">
        <f>IF($A793="","",IF(H793="","",H793*1000))</f>
        <v/>
      </c>
      <c r="K793" s="21">
        <f>IF($A793="","",E793-'2_公式與參數'!$C$14)</f>
        <v/>
      </c>
      <c r="L793" s="22">
        <f>IF($A793="","",IF(H793="","",K793*'2_公式與參數'!$C$6*'2_公式與參數'!$C$7/J793*100))</f>
        <v/>
      </c>
    </row>
    <row r="794">
      <c r="J794" s="20">
        <f>IF($A794="","",IF(H794="","",H794*1000))</f>
        <v/>
      </c>
      <c r="K794" s="21">
        <f>IF($A794="","",E794-'2_公式與參數'!$C$14)</f>
        <v/>
      </c>
      <c r="L794" s="22">
        <f>IF($A794="","",IF(H794="","",K794*'2_公式與參數'!$C$6*'2_公式與參數'!$C$7/J794*100))</f>
        <v/>
      </c>
    </row>
    <row r="795">
      <c r="J795" s="20">
        <f>IF($A795="","",IF(H795="","",H795*1000))</f>
        <v/>
      </c>
      <c r="K795" s="21">
        <f>IF($A795="","",E795-'2_公式與參數'!$C$14)</f>
        <v/>
      </c>
      <c r="L795" s="22">
        <f>IF($A795="","",IF(H795="","",K795*'2_公式與參數'!$C$6*'2_公式與參數'!$C$7/J795*100))</f>
        <v/>
      </c>
    </row>
    <row r="796">
      <c r="J796" s="20">
        <f>IF($A796="","",IF(H796="","",H796*1000))</f>
        <v/>
      </c>
      <c r="K796" s="21">
        <f>IF($A796="","",E796-'2_公式與參數'!$C$14)</f>
        <v/>
      </c>
      <c r="L796" s="22">
        <f>IF($A796="","",IF(H796="","",K796*'2_公式與參數'!$C$6*'2_公式與參數'!$C$7/J796*100))</f>
        <v/>
      </c>
    </row>
    <row r="797">
      <c r="J797" s="20">
        <f>IF($A797="","",IF(H797="","",H797*1000))</f>
        <v/>
      </c>
      <c r="K797" s="21">
        <f>IF($A797="","",E797-'2_公式與參數'!$C$14)</f>
        <v/>
      </c>
      <c r="L797" s="22">
        <f>IF($A797="","",IF(H797="","",K797*'2_公式與參數'!$C$6*'2_公式與參數'!$C$7/J797*100))</f>
        <v/>
      </c>
    </row>
    <row r="798">
      <c r="J798" s="20">
        <f>IF($A798="","",IF(H798="","",H798*1000))</f>
        <v/>
      </c>
      <c r="K798" s="21">
        <f>IF($A798="","",E798-'2_公式與參數'!$C$14)</f>
        <v/>
      </c>
      <c r="L798" s="22">
        <f>IF($A798="","",IF(H798="","",K798*'2_公式與參數'!$C$6*'2_公式與參數'!$C$7/J798*100))</f>
        <v/>
      </c>
    </row>
    <row r="799">
      <c r="J799" s="20">
        <f>IF($A799="","",IF(H799="","",H799*1000))</f>
        <v/>
      </c>
      <c r="K799" s="21">
        <f>IF($A799="","",E799-'2_公式與參數'!$C$14)</f>
        <v/>
      </c>
      <c r="L799" s="22">
        <f>IF($A799="","",IF(H799="","",K799*'2_公式與參數'!$C$6*'2_公式與參數'!$C$7/J799*100))</f>
        <v/>
      </c>
    </row>
    <row r="800">
      <c r="J800" s="20">
        <f>IF($A800="","",IF(H800="","",H800*1000))</f>
        <v/>
      </c>
      <c r="K800" s="21">
        <f>IF($A800="","",E800-'2_公式與參數'!$C$14)</f>
        <v/>
      </c>
      <c r="L800" s="22">
        <f>IF($A800="","",IF(H800="","",K800*'2_公式與參數'!$C$6*'2_公式與參數'!$C$7/J800*100))</f>
        <v/>
      </c>
    </row>
    <row r="801">
      <c r="J801" s="20">
        <f>IF($A801="","",IF(H801="","",H801*1000))</f>
        <v/>
      </c>
      <c r="K801" s="21">
        <f>IF($A801="","",E801-'2_公式與參數'!$C$14)</f>
        <v/>
      </c>
      <c r="L801" s="22">
        <f>IF($A801="","",IF(H801="","",K801*'2_公式與參數'!$C$6*'2_公式與參數'!$C$7/J801*100))</f>
        <v/>
      </c>
    </row>
    <row r="802">
      <c r="J802" s="20">
        <f>IF($A802="","",IF(H802="","",H802*1000))</f>
        <v/>
      </c>
      <c r="K802" s="21">
        <f>IF($A802="","",E802-'2_公式與參數'!$C$14)</f>
        <v/>
      </c>
      <c r="L802" s="22">
        <f>IF($A802="","",IF(H802="","",K802*'2_公式與參數'!$C$6*'2_公式與參數'!$C$7/J802*100))</f>
        <v/>
      </c>
    </row>
    <row r="803">
      <c r="J803" s="20">
        <f>IF($A803="","",IF(H803="","",H803*1000))</f>
        <v/>
      </c>
      <c r="K803" s="21">
        <f>IF($A803="","",E803-'2_公式與參數'!$C$14)</f>
        <v/>
      </c>
      <c r="L803" s="22">
        <f>IF($A803="","",IF(H803="","",K803*'2_公式與參數'!$C$6*'2_公式與參數'!$C$7/J803*100))</f>
        <v/>
      </c>
    </row>
    <row r="804">
      <c r="J804" s="20">
        <f>IF($A804="","",IF(H804="","",H804*1000))</f>
        <v/>
      </c>
      <c r="K804" s="21">
        <f>IF($A804="","",E804-'2_公式與參數'!$C$14)</f>
        <v/>
      </c>
      <c r="L804" s="22">
        <f>IF($A804="","",IF(H804="","",K804*'2_公式與參數'!$C$6*'2_公式與參數'!$C$7/J804*100))</f>
        <v/>
      </c>
    </row>
    <row r="805">
      <c r="J805" s="20">
        <f>IF($A805="","",IF(H805="","",H805*1000))</f>
        <v/>
      </c>
      <c r="K805" s="21">
        <f>IF($A805="","",E805-'2_公式與參數'!$C$14)</f>
        <v/>
      </c>
      <c r="L805" s="22">
        <f>IF($A805="","",IF(H805="","",K805*'2_公式與參數'!$C$6*'2_公式與參數'!$C$7/J805*100))</f>
        <v/>
      </c>
    </row>
    <row r="806">
      <c r="J806" s="20">
        <f>IF($A806="","",IF(H806="","",H806*1000))</f>
        <v/>
      </c>
      <c r="K806" s="21">
        <f>IF($A806="","",E806-'2_公式與參數'!$C$14)</f>
        <v/>
      </c>
      <c r="L806" s="22">
        <f>IF($A806="","",IF(H806="","",K806*'2_公式與參數'!$C$6*'2_公式與參數'!$C$7/J806*100))</f>
        <v/>
      </c>
    </row>
    <row r="807">
      <c r="J807" s="20">
        <f>IF($A807="","",IF(H807="","",H807*1000))</f>
        <v/>
      </c>
      <c r="K807" s="21">
        <f>IF($A807="","",E807-'2_公式與參數'!$C$14)</f>
        <v/>
      </c>
      <c r="L807" s="22">
        <f>IF($A807="","",IF(H807="","",K807*'2_公式與參數'!$C$6*'2_公式與參數'!$C$7/J807*100))</f>
        <v/>
      </c>
    </row>
    <row r="808">
      <c r="J808" s="20">
        <f>IF($A808="","",IF(H808="","",H808*1000))</f>
        <v/>
      </c>
      <c r="K808" s="21">
        <f>IF($A808="","",E808-'2_公式與參數'!$C$14)</f>
        <v/>
      </c>
      <c r="L808" s="22">
        <f>IF($A808="","",IF(H808="","",K808*'2_公式與參數'!$C$6*'2_公式與參數'!$C$7/J808*100))</f>
        <v/>
      </c>
    </row>
    <row r="809">
      <c r="J809" s="20">
        <f>IF($A809="","",IF(H809="","",H809*1000))</f>
        <v/>
      </c>
      <c r="K809" s="21">
        <f>IF($A809="","",E809-'2_公式與參數'!$C$14)</f>
        <v/>
      </c>
      <c r="L809" s="22">
        <f>IF($A809="","",IF(H809="","",K809*'2_公式與參數'!$C$6*'2_公式與參數'!$C$7/J809*100))</f>
        <v/>
      </c>
    </row>
    <row r="810">
      <c r="J810" s="20">
        <f>IF($A810="","",IF(H810="","",H810*1000))</f>
        <v/>
      </c>
      <c r="K810" s="21">
        <f>IF($A810="","",E810-'2_公式與參數'!$C$14)</f>
        <v/>
      </c>
      <c r="L810" s="22">
        <f>IF($A810="","",IF(H810="","",K810*'2_公式與參數'!$C$6*'2_公式與參數'!$C$7/J810*100))</f>
        <v/>
      </c>
    </row>
    <row r="811">
      <c r="J811" s="20">
        <f>IF($A811="","",IF(H811="","",H811*1000))</f>
        <v/>
      </c>
      <c r="K811" s="21">
        <f>IF($A811="","",E811-'2_公式與參數'!$C$14)</f>
        <v/>
      </c>
      <c r="L811" s="22">
        <f>IF($A811="","",IF(H811="","",K811*'2_公式與參數'!$C$6*'2_公式與參數'!$C$7/J811*100))</f>
        <v/>
      </c>
    </row>
    <row r="812">
      <c r="J812" s="20">
        <f>IF($A812="","",IF(H812="","",H812*1000))</f>
        <v/>
      </c>
      <c r="K812" s="21">
        <f>IF($A812="","",E812-'2_公式與參數'!$C$14)</f>
        <v/>
      </c>
      <c r="L812" s="22">
        <f>IF($A812="","",IF(H812="","",K812*'2_公式與參數'!$C$6*'2_公式與參數'!$C$7/J812*100))</f>
        <v/>
      </c>
    </row>
    <row r="813">
      <c r="J813" s="20">
        <f>IF($A813="","",IF(H813="","",H813*1000))</f>
        <v/>
      </c>
      <c r="K813" s="21">
        <f>IF($A813="","",E813-'2_公式與參數'!$C$14)</f>
        <v/>
      </c>
      <c r="L813" s="22">
        <f>IF($A813="","",IF(H813="","",K813*'2_公式與參數'!$C$6*'2_公式與參數'!$C$7/J813*100))</f>
        <v/>
      </c>
    </row>
    <row r="814">
      <c r="J814" s="20">
        <f>IF($A814="","",IF(H814="","",H814*1000))</f>
        <v/>
      </c>
      <c r="K814" s="21">
        <f>IF($A814="","",E814-'2_公式與參數'!$C$14)</f>
        <v/>
      </c>
      <c r="L814" s="22">
        <f>IF($A814="","",IF(H814="","",K814*'2_公式與參數'!$C$6*'2_公式與參數'!$C$7/J814*100))</f>
        <v/>
      </c>
    </row>
    <row r="815">
      <c r="J815" s="20">
        <f>IF($A815="","",IF(H815="","",H815*1000))</f>
        <v/>
      </c>
      <c r="K815" s="21">
        <f>IF($A815="","",E815-'2_公式與參數'!$C$14)</f>
        <v/>
      </c>
      <c r="L815" s="22">
        <f>IF($A815="","",IF(H815="","",K815*'2_公式與參數'!$C$6*'2_公式與參數'!$C$7/J815*100))</f>
        <v/>
      </c>
    </row>
    <row r="816">
      <c r="J816" s="20">
        <f>IF($A816="","",IF(H816="","",H816*1000))</f>
        <v/>
      </c>
      <c r="K816" s="21">
        <f>IF($A816="","",E816-'2_公式與參數'!$C$14)</f>
        <v/>
      </c>
      <c r="L816" s="22">
        <f>IF($A816="","",IF(H816="","",K816*'2_公式與參數'!$C$6*'2_公式與參數'!$C$7/J816*100))</f>
        <v/>
      </c>
    </row>
    <row r="817">
      <c r="J817" s="20">
        <f>IF($A817="","",IF(H817="","",H817*1000))</f>
        <v/>
      </c>
      <c r="K817" s="21">
        <f>IF($A817="","",E817-'2_公式與參數'!$C$14)</f>
        <v/>
      </c>
      <c r="L817" s="22">
        <f>IF($A817="","",IF(H817="","",K817*'2_公式與參數'!$C$6*'2_公式與參數'!$C$7/J817*100))</f>
        <v/>
      </c>
    </row>
    <row r="818">
      <c r="J818" s="20">
        <f>IF($A818="","",IF(H818="","",H818*1000))</f>
        <v/>
      </c>
      <c r="K818" s="21">
        <f>IF($A818="","",E818-'2_公式與參數'!$C$14)</f>
        <v/>
      </c>
      <c r="L818" s="22">
        <f>IF($A818="","",IF(H818="","",K818*'2_公式與參數'!$C$6*'2_公式與參數'!$C$7/J818*100))</f>
        <v/>
      </c>
    </row>
    <row r="819">
      <c r="J819" s="20">
        <f>IF($A819="","",IF(H819="","",H819*1000))</f>
        <v/>
      </c>
      <c r="K819" s="21">
        <f>IF($A819="","",E819-'2_公式與參數'!$C$14)</f>
        <v/>
      </c>
      <c r="L819" s="22">
        <f>IF($A819="","",IF(H819="","",K819*'2_公式與參數'!$C$6*'2_公式與參數'!$C$7/J819*100))</f>
        <v/>
      </c>
    </row>
    <row r="820">
      <c r="J820" s="20">
        <f>IF($A820="","",IF(H820="","",H820*1000))</f>
        <v/>
      </c>
      <c r="K820" s="21">
        <f>IF($A820="","",E820-'2_公式與參數'!$C$14)</f>
        <v/>
      </c>
      <c r="L820" s="22">
        <f>IF($A820="","",IF(H820="","",K820*'2_公式與參數'!$C$6*'2_公式與參數'!$C$7/J820*100))</f>
        <v/>
      </c>
    </row>
    <row r="821">
      <c r="J821" s="20">
        <f>IF($A821="","",IF(H821="","",H821*1000))</f>
        <v/>
      </c>
      <c r="K821" s="21">
        <f>IF($A821="","",E821-'2_公式與參數'!$C$14)</f>
        <v/>
      </c>
      <c r="L821" s="22">
        <f>IF($A821="","",IF(H821="","",K821*'2_公式與參數'!$C$6*'2_公式與參數'!$C$7/J821*100))</f>
        <v/>
      </c>
    </row>
    <row r="822">
      <c r="J822" s="20">
        <f>IF($A822="","",IF(H822="","",H822*1000))</f>
        <v/>
      </c>
      <c r="K822" s="21">
        <f>IF($A822="","",E822-'2_公式與參數'!$C$14)</f>
        <v/>
      </c>
      <c r="L822" s="22">
        <f>IF($A822="","",IF(H822="","",K822*'2_公式與參數'!$C$6*'2_公式與參數'!$C$7/J822*100))</f>
        <v/>
      </c>
    </row>
    <row r="823">
      <c r="J823" s="20">
        <f>IF($A823="","",IF(H823="","",H823*1000))</f>
        <v/>
      </c>
      <c r="K823" s="21">
        <f>IF($A823="","",E823-'2_公式與參數'!$C$14)</f>
        <v/>
      </c>
      <c r="L823" s="22">
        <f>IF($A823="","",IF(H823="","",K823*'2_公式與參數'!$C$6*'2_公式與參數'!$C$7/J823*100))</f>
        <v/>
      </c>
    </row>
    <row r="824">
      <c r="J824" s="20">
        <f>IF($A824="","",IF(H824="","",H824*1000))</f>
        <v/>
      </c>
      <c r="K824" s="21">
        <f>IF($A824="","",E824-'2_公式與參數'!$C$14)</f>
        <v/>
      </c>
      <c r="L824" s="22">
        <f>IF($A824="","",IF(H824="","",K824*'2_公式與參數'!$C$6*'2_公式與參數'!$C$7/J824*100))</f>
        <v/>
      </c>
    </row>
    <row r="825">
      <c r="J825" s="20">
        <f>IF($A825="","",IF(H825="","",H825*1000))</f>
        <v/>
      </c>
      <c r="K825" s="21">
        <f>IF($A825="","",E825-'2_公式與參數'!$C$14)</f>
        <v/>
      </c>
      <c r="L825" s="22">
        <f>IF($A825="","",IF(H825="","",K825*'2_公式與參數'!$C$6*'2_公式與參數'!$C$7/J825*100))</f>
        <v/>
      </c>
    </row>
    <row r="826">
      <c r="J826" s="20">
        <f>IF($A826="","",IF(H826="","",H826*1000))</f>
        <v/>
      </c>
      <c r="K826" s="21">
        <f>IF($A826="","",E826-'2_公式與參數'!$C$14)</f>
        <v/>
      </c>
      <c r="L826" s="22">
        <f>IF($A826="","",IF(H826="","",K826*'2_公式與參數'!$C$6*'2_公式與參數'!$C$7/J826*100))</f>
        <v/>
      </c>
    </row>
    <row r="827">
      <c r="J827" s="20">
        <f>IF($A827="","",IF(H827="","",H827*1000))</f>
        <v/>
      </c>
      <c r="K827" s="21">
        <f>IF($A827="","",E827-'2_公式與參數'!$C$14)</f>
        <v/>
      </c>
      <c r="L827" s="22">
        <f>IF($A827="","",IF(H827="","",K827*'2_公式與參數'!$C$6*'2_公式與參數'!$C$7/J827*100))</f>
        <v/>
      </c>
    </row>
    <row r="828">
      <c r="J828" s="20">
        <f>IF($A828="","",IF(H828="","",H828*1000))</f>
        <v/>
      </c>
      <c r="K828" s="21">
        <f>IF($A828="","",E828-'2_公式與參數'!$C$14)</f>
        <v/>
      </c>
      <c r="L828" s="22">
        <f>IF($A828="","",IF(H828="","",K828*'2_公式與參數'!$C$6*'2_公式與參數'!$C$7/J828*100))</f>
        <v/>
      </c>
    </row>
    <row r="829">
      <c r="J829" s="20">
        <f>IF($A829="","",IF(H829="","",H829*1000))</f>
        <v/>
      </c>
      <c r="K829" s="21">
        <f>IF($A829="","",E829-'2_公式與參數'!$C$14)</f>
        <v/>
      </c>
      <c r="L829" s="22">
        <f>IF($A829="","",IF(H829="","",K829*'2_公式與參數'!$C$6*'2_公式與參數'!$C$7/J829*100))</f>
        <v/>
      </c>
    </row>
    <row r="830">
      <c r="J830" s="20">
        <f>IF($A830="","",IF(H830="","",H830*1000))</f>
        <v/>
      </c>
      <c r="K830" s="21">
        <f>IF($A830="","",E830-'2_公式與參數'!$C$14)</f>
        <v/>
      </c>
      <c r="L830" s="22">
        <f>IF($A830="","",IF(H830="","",K830*'2_公式與參數'!$C$6*'2_公式與參數'!$C$7/J830*100))</f>
        <v/>
      </c>
    </row>
    <row r="831">
      <c r="J831" s="20">
        <f>IF($A831="","",IF(H831="","",H831*1000))</f>
        <v/>
      </c>
      <c r="K831" s="21">
        <f>IF($A831="","",E831-'2_公式與參數'!$C$14)</f>
        <v/>
      </c>
      <c r="L831" s="22">
        <f>IF($A831="","",IF(H831="","",K831*'2_公式與參數'!$C$6*'2_公式與參數'!$C$7/J831*100))</f>
        <v/>
      </c>
    </row>
    <row r="832">
      <c r="J832" s="20">
        <f>IF($A832="","",IF(H832="","",H832*1000))</f>
        <v/>
      </c>
      <c r="K832" s="21">
        <f>IF($A832="","",E832-'2_公式與參數'!$C$14)</f>
        <v/>
      </c>
      <c r="L832" s="22">
        <f>IF($A832="","",IF(H832="","",K832*'2_公式與參數'!$C$6*'2_公式與參數'!$C$7/J832*100))</f>
        <v/>
      </c>
    </row>
    <row r="833">
      <c r="J833" s="20">
        <f>IF($A833="","",IF(H833="","",H833*1000))</f>
        <v/>
      </c>
      <c r="K833" s="21">
        <f>IF($A833="","",E833-'2_公式與參數'!$C$14)</f>
        <v/>
      </c>
      <c r="L833" s="22">
        <f>IF($A833="","",IF(H833="","",K833*'2_公式與參數'!$C$6*'2_公式與參數'!$C$7/J833*100))</f>
        <v/>
      </c>
    </row>
    <row r="834">
      <c r="J834" s="20">
        <f>IF($A834="","",IF(H834="","",H834*1000))</f>
        <v/>
      </c>
      <c r="K834" s="21">
        <f>IF($A834="","",E834-'2_公式與參數'!$C$14)</f>
        <v/>
      </c>
      <c r="L834" s="22">
        <f>IF($A834="","",IF(H834="","",K834*'2_公式與參數'!$C$6*'2_公式與參數'!$C$7/J834*100))</f>
        <v/>
      </c>
    </row>
    <row r="835">
      <c r="J835" s="20">
        <f>IF($A835="","",IF(H835="","",H835*1000))</f>
        <v/>
      </c>
      <c r="K835" s="21">
        <f>IF($A835="","",E835-'2_公式與參數'!$C$14)</f>
        <v/>
      </c>
      <c r="L835" s="22">
        <f>IF($A835="","",IF(H835="","",K835*'2_公式與參數'!$C$6*'2_公式與參數'!$C$7/J835*100))</f>
        <v/>
      </c>
    </row>
    <row r="836">
      <c r="J836" s="20">
        <f>IF($A836="","",IF(H836="","",H836*1000))</f>
        <v/>
      </c>
      <c r="K836" s="21">
        <f>IF($A836="","",E836-'2_公式與參數'!$C$14)</f>
        <v/>
      </c>
      <c r="L836" s="22">
        <f>IF($A836="","",IF(H836="","",K836*'2_公式與參數'!$C$6*'2_公式與參數'!$C$7/J836*100))</f>
        <v/>
      </c>
    </row>
    <row r="837">
      <c r="J837" s="20">
        <f>IF($A837="","",IF(H837="","",H837*1000))</f>
        <v/>
      </c>
      <c r="K837" s="21">
        <f>IF($A837="","",E837-'2_公式與參數'!$C$14)</f>
        <v/>
      </c>
      <c r="L837" s="22">
        <f>IF($A837="","",IF(H837="","",K837*'2_公式與參數'!$C$6*'2_公式與參數'!$C$7/J837*100))</f>
        <v/>
      </c>
    </row>
    <row r="838">
      <c r="J838" s="20">
        <f>IF($A838="","",IF(H838="","",H838*1000))</f>
        <v/>
      </c>
      <c r="K838" s="21">
        <f>IF($A838="","",E838-'2_公式與參數'!$C$14)</f>
        <v/>
      </c>
      <c r="L838" s="22">
        <f>IF($A838="","",IF(H838="","",K838*'2_公式與參數'!$C$6*'2_公式與參數'!$C$7/J838*100))</f>
        <v/>
      </c>
    </row>
    <row r="839">
      <c r="J839" s="20">
        <f>IF($A839="","",IF(H839="","",H839*1000))</f>
        <v/>
      </c>
      <c r="K839" s="21">
        <f>IF($A839="","",E839-'2_公式與參數'!$C$14)</f>
        <v/>
      </c>
      <c r="L839" s="22">
        <f>IF($A839="","",IF(H839="","",K839*'2_公式與參數'!$C$6*'2_公式與參數'!$C$7/J839*100))</f>
        <v/>
      </c>
    </row>
    <row r="840">
      <c r="J840" s="20">
        <f>IF($A840="","",IF(H840="","",H840*1000))</f>
        <v/>
      </c>
      <c r="K840" s="21">
        <f>IF($A840="","",E840-'2_公式與參數'!$C$14)</f>
        <v/>
      </c>
      <c r="L840" s="22">
        <f>IF($A840="","",IF(H840="","",K840*'2_公式與參數'!$C$6*'2_公式與參數'!$C$7/J840*100))</f>
        <v/>
      </c>
    </row>
    <row r="841">
      <c r="J841" s="20">
        <f>IF($A841="","",IF(H841="","",H841*1000))</f>
        <v/>
      </c>
      <c r="K841" s="21">
        <f>IF($A841="","",E841-'2_公式與參數'!$C$14)</f>
        <v/>
      </c>
      <c r="L841" s="22">
        <f>IF($A841="","",IF(H841="","",K841*'2_公式與參數'!$C$6*'2_公式與參數'!$C$7/J841*100))</f>
        <v/>
      </c>
    </row>
    <row r="842">
      <c r="J842" s="20">
        <f>IF($A842="","",IF(H842="","",H842*1000))</f>
        <v/>
      </c>
      <c r="K842" s="21">
        <f>IF($A842="","",E842-'2_公式與參數'!$C$14)</f>
        <v/>
      </c>
      <c r="L842" s="22">
        <f>IF($A842="","",IF(H842="","",K842*'2_公式與參數'!$C$6*'2_公式與參數'!$C$7/J842*100))</f>
        <v/>
      </c>
    </row>
    <row r="843">
      <c r="J843" s="20">
        <f>IF($A843="","",IF(H843="","",H843*1000))</f>
        <v/>
      </c>
      <c r="K843" s="21">
        <f>IF($A843="","",E843-'2_公式與參數'!$C$14)</f>
        <v/>
      </c>
      <c r="L843" s="22">
        <f>IF($A843="","",IF(H843="","",K843*'2_公式與參數'!$C$6*'2_公式與參數'!$C$7/J843*100))</f>
        <v/>
      </c>
    </row>
    <row r="844">
      <c r="J844" s="20">
        <f>IF($A844="","",IF(H844="","",H844*1000))</f>
        <v/>
      </c>
      <c r="K844" s="21">
        <f>IF($A844="","",E844-'2_公式與參數'!$C$14)</f>
        <v/>
      </c>
      <c r="L844" s="22">
        <f>IF($A844="","",IF(H844="","",K844*'2_公式與參數'!$C$6*'2_公式與參數'!$C$7/J844*100))</f>
        <v/>
      </c>
    </row>
    <row r="845">
      <c r="J845" s="20">
        <f>IF($A845="","",IF(H845="","",H845*1000))</f>
        <v/>
      </c>
      <c r="K845" s="21">
        <f>IF($A845="","",E845-'2_公式與參數'!$C$14)</f>
        <v/>
      </c>
      <c r="L845" s="22">
        <f>IF($A845="","",IF(H845="","",K845*'2_公式與參數'!$C$6*'2_公式與參數'!$C$7/J845*100))</f>
        <v/>
      </c>
    </row>
    <row r="846">
      <c r="J846" s="20">
        <f>IF($A846="","",IF(H846="","",H846*1000))</f>
        <v/>
      </c>
      <c r="K846" s="21">
        <f>IF($A846="","",E846-'2_公式與參數'!$C$14)</f>
        <v/>
      </c>
      <c r="L846" s="22">
        <f>IF($A846="","",IF(H846="","",K846*'2_公式與參數'!$C$6*'2_公式與參數'!$C$7/J846*100))</f>
        <v/>
      </c>
    </row>
    <row r="847">
      <c r="J847" s="20">
        <f>IF($A847="","",IF(H847="","",H847*1000))</f>
        <v/>
      </c>
      <c r="K847" s="21">
        <f>IF($A847="","",E847-'2_公式與參數'!$C$14)</f>
        <v/>
      </c>
      <c r="L847" s="22">
        <f>IF($A847="","",IF(H847="","",K847*'2_公式與參數'!$C$6*'2_公式與參數'!$C$7/J847*100))</f>
        <v/>
      </c>
    </row>
    <row r="848">
      <c r="J848" s="20">
        <f>IF($A848="","",IF(H848="","",H848*1000))</f>
        <v/>
      </c>
      <c r="K848" s="21">
        <f>IF($A848="","",E848-'2_公式與參數'!$C$14)</f>
        <v/>
      </c>
      <c r="L848" s="22">
        <f>IF($A848="","",IF(H848="","",K848*'2_公式與參數'!$C$6*'2_公式與參數'!$C$7/J848*100))</f>
        <v/>
      </c>
    </row>
    <row r="849">
      <c r="J849" s="20">
        <f>IF($A849="","",IF(H849="","",H849*1000))</f>
        <v/>
      </c>
      <c r="K849" s="21">
        <f>IF($A849="","",E849-'2_公式與參數'!$C$14)</f>
        <v/>
      </c>
      <c r="L849" s="22">
        <f>IF($A849="","",IF(H849="","",K849*'2_公式與參數'!$C$6*'2_公式與參數'!$C$7/J849*100))</f>
        <v/>
      </c>
    </row>
    <row r="850">
      <c r="J850" s="20">
        <f>IF($A850="","",IF(H850="","",H850*1000))</f>
        <v/>
      </c>
      <c r="K850" s="21">
        <f>IF($A850="","",E850-'2_公式與參數'!$C$14)</f>
        <v/>
      </c>
      <c r="L850" s="22">
        <f>IF($A850="","",IF(H850="","",K850*'2_公式與參數'!$C$6*'2_公式與參數'!$C$7/J850*100))</f>
        <v/>
      </c>
    </row>
    <row r="851">
      <c r="J851" s="20">
        <f>IF($A851="","",IF(H851="","",H851*1000))</f>
        <v/>
      </c>
      <c r="K851" s="21">
        <f>IF($A851="","",E851-'2_公式與參數'!$C$14)</f>
        <v/>
      </c>
      <c r="L851" s="22">
        <f>IF($A851="","",IF(H851="","",K851*'2_公式與參數'!$C$6*'2_公式與參數'!$C$7/J851*100))</f>
        <v/>
      </c>
    </row>
    <row r="852">
      <c r="J852" s="20">
        <f>IF($A852="","",IF(H852="","",H852*1000))</f>
        <v/>
      </c>
      <c r="K852" s="21">
        <f>IF($A852="","",E852-'2_公式與參數'!$C$14)</f>
        <v/>
      </c>
      <c r="L852" s="22">
        <f>IF($A852="","",IF(H852="","",K852*'2_公式與參數'!$C$6*'2_公式與參數'!$C$7/J852*100))</f>
        <v/>
      </c>
    </row>
    <row r="853">
      <c r="J853" s="20">
        <f>IF($A853="","",IF(H853="","",H853*1000))</f>
        <v/>
      </c>
      <c r="K853" s="21">
        <f>IF($A853="","",E853-'2_公式與參數'!$C$14)</f>
        <v/>
      </c>
      <c r="L853" s="22">
        <f>IF($A853="","",IF(H853="","",K853*'2_公式與參數'!$C$6*'2_公式與參數'!$C$7/J853*100))</f>
        <v/>
      </c>
    </row>
    <row r="854">
      <c r="J854" s="20">
        <f>IF($A854="","",IF(H854="","",H854*1000))</f>
        <v/>
      </c>
      <c r="K854" s="21">
        <f>IF($A854="","",E854-'2_公式與參數'!$C$14)</f>
        <v/>
      </c>
      <c r="L854" s="22">
        <f>IF($A854="","",IF(H854="","",K854*'2_公式與參數'!$C$6*'2_公式與參數'!$C$7/J854*100))</f>
        <v/>
      </c>
    </row>
    <row r="855">
      <c r="J855" s="20">
        <f>IF($A855="","",IF(H855="","",H855*1000))</f>
        <v/>
      </c>
      <c r="K855" s="21">
        <f>IF($A855="","",E855-'2_公式與參數'!$C$14)</f>
        <v/>
      </c>
      <c r="L855" s="22">
        <f>IF($A855="","",IF(H855="","",K855*'2_公式與參數'!$C$6*'2_公式與參數'!$C$7/J855*100))</f>
        <v/>
      </c>
    </row>
    <row r="856">
      <c r="J856" s="20">
        <f>IF($A856="","",IF(H856="","",H856*1000))</f>
        <v/>
      </c>
      <c r="K856" s="21">
        <f>IF($A856="","",E856-'2_公式與參數'!$C$14)</f>
        <v/>
      </c>
      <c r="L856" s="22">
        <f>IF($A856="","",IF(H856="","",K856*'2_公式與參數'!$C$6*'2_公式與參數'!$C$7/J856*100))</f>
        <v/>
      </c>
    </row>
    <row r="857">
      <c r="J857" s="20">
        <f>IF($A857="","",IF(H857="","",H857*1000))</f>
        <v/>
      </c>
      <c r="K857" s="21">
        <f>IF($A857="","",E857-'2_公式與參數'!$C$14)</f>
        <v/>
      </c>
      <c r="L857" s="22">
        <f>IF($A857="","",IF(H857="","",K857*'2_公式與參數'!$C$6*'2_公式與參數'!$C$7/J857*100))</f>
        <v/>
      </c>
    </row>
    <row r="858">
      <c r="J858" s="20">
        <f>IF($A858="","",IF(H858="","",H858*1000))</f>
        <v/>
      </c>
      <c r="K858" s="21">
        <f>IF($A858="","",E858-'2_公式與參數'!$C$14)</f>
        <v/>
      </c>
      <c r="L858" s="22">
        <f>IF($A858="","",IF(H858="","",K858*'2_公式與參數'!$C$6*'2_公式與參數'!$C$7/J858*100))</f>
        <v/>
      </c>
    </row>
    <row r="859">
      <c r="J859" s="20">
        <f>IF($A859="","",IF(H859="","",H859*1000))</f>
        <v/>
      </c>
      <c r="K859" s="21">
        <f>IF($A859="","",E859-'2_公式與參數'!$C$14)</f>
        <v/>
      </c>
      <c r="L859" s="22">
        <f>IF($A859="","",IF(H859="","",K859*'2_公式與參數'!$C$6*'2_公式與參數'!$C$7/J859*100))</f>
        <v/>
      </c>
    </row>
    <row r="860">
      <c r="J860" s="20">
        <f>IF($A860="","",IF(H860="","",H860*1000))</f>
        <v/>
      </c>
      <c r="K860" s="21">
        <f>IF($A860="","",E860-'2_公式與參數'!$C$14)</f>
        <v/>
      </c>
      <c r="L860" s="22">
        <f>IF($A860="","",IF(H860="","",K860*'2_公式與參數'!$C$6*'2_公式與參數'!$C$7/J860*100))</f>
        <v/>
      </c>
    </row>
    <row r="861">
      <c r="J861" s="20">
        <f>IF($A861="","",IF(H861="","",H861*1000))</f>
        <v/>
      </c>
      <c r="K861" s="21">
        <f>IF($A861="","",E861-'2_公式與參數'!$C$14)</f>
        <v/>
      </c>
      <c r="L861" s="22">
        <f>IF($A861="","",IF(H861="","",K861*'2_公式與參數'!$C$6*'2_公式與參數'!$C$7/J861*100))</f>
        <v/>
      </c>
    </row>
    <row r="862">
      <c r="J862" s="20">
        <f>IF($A862="","",IF(H862="","",H862*1000))</f>
        <v/>
      </c>
      <c r="K862" s="21">
        <f>IF($A862="","",E862-'2_公式與參數'!$C$14)</f>
        <v/>
      </c>
      <c r="L862" s="22">
        <f>IF($A862="","",IF(H862="","",K862*'2_公式與參數'!$C$6*'2_公式與參數'!$C$7/J862*100))</f>
        <v/>
      </c>
    </row>
    <row r="863">
      <c r="J863" s="20">
        <f>IF($A863="","",IF(H863="","",H863*1000))</f>
        <v/>
      </c>
      <c r="K863" s="21">
        <f>IF($A863="","",E863-'2_公式與參數'!$C$14)</f>
        <v/>
      </c>
      <c r="L863" s="22">
        <f>IF($A863="","",IF(H863="","",K863*'2_公式與參數'!$C$6*'2_公式與參數'!$C$7/J863*100))</f>
        <v/>
      </c>
    </row>
    <row r="864">
      <c r="J864" s="20">
        <f>IF($A864="","",IF(H864="","",H864*1000))</f>
        <v/>
      </c>
      <c r="K864" s="21">
        <f>IF($A864="","",E864-'2_公式與參數'!$C$14)</f>
        <v/>
      </c>
      <c r="L864" s="22">
        <f>IF($A864="","",IF(H864="","",K864*'2_公式與參數'!$C$6*'2_公式與參數'!$C$7/J864*100))</f>
        <v/>
      </c>
    </row>
    <row r="865">
      <c r="J865" s="20">
        <f>IF($A865="","",IF(H865="","",H865*1000))</f>
        <v/>
      </c>
      <c r="K865" s="21">
        <f>IF($A865="","",E865-'2_公式與參數'!$C$14)</f>
        <v/>
      </c>
      <c r="L865" s="22">
        <f>IF($A865="","",IF(H865="","",K865*'2_公式與參數'!$C$6*'2_公式與參數'!$C$7/J865*100))</f>
        <v/>
      </c>
    </row>
    <row r="866">
      <c r="J866" s="20">
        <f>IF($A866="","",IF(H866="","",H866*1000))</f>
        <v/>
      </c>
      <c r="K866" s="21">
        <f>IF($A866="","",E866-'2_公式與參數'!$C$14)</f>
        <v/>
      </c>
      <c r="L866" s="22">
        <f>IF($A866="","",IF(H866="","",K866*'2_公式與參數'!$C$6*'2_公式與參數'!$C$7/J866*100))</f>
        <v/>
      </c>
    </row>
    <row r="867">
      <c r="J867" s="20">
        <f>IF($A867="","",IF(H867="","",H867*1000))</f>
        <v/>
      </c>
      <c r="K867" s="21">
        <f>IF($A867="","",E867-'2_公式與參數'!$C$14)</f>
        <v/>
      </c>
      <c r="L867" s="22">
        <f>IF($A867="","",IF(H867="","",K867*'2_公式與參數'!$C$6*'2_公式與參數'!$C$7/J867*100))</f>
        <v/>
      </c>
    </row>
    <row r="868">
      <c r="J868" s="20">
        <f>IF($A868="","",IF(H868="","",H868*1000))</f>
        <v/>
      </c>
      <c r="K868" s="21">
        <f>IF($A868="","",E868-'2_公式與參數'!$C$14)</f>
        <v/>
      </c>
      <c r="L868" s="22">
        <f>IF($A868="","",IF(H868="","",K868*'2_公式與參數'!$C$6*'2_公式與參數'!$C$7/J868*100))</f>
        <v/>
      </c>
    </row>
    <row r="869">
      <c r="J869" s="20">
        <f>IF($A869="","",IF(H869="","",H869*1000))</f>
        <v/>
      </c>
      <c r="K869" s="21">
        <f>IF($A869="","",E869-'2_公式與參數'!$C$14)</f>
        <v/>
      </c>
      <c r="L869" s="22">
        <f>IF($A869="","",IF(H869="","",K869*'2_公式與參數'!$C$6*'2_公式與參數'!$C$7/J869*100))</f>
        <v/>
      </c>
    </row>
    <row r="870">
      <c r="J870" s="20">
        <f>IF($A870="","",IF(H870="","",H870*1000))</f>
        <v/>
      </c>
      <c r="K870" s="21">
        <f>IF($A870="","",E870-'2_公式與參數'!$C$14)</f>
        <v/>
      </c>
      <c r="L870" s="22">
        <f>IF($A870="","",IF(H870="","",K870*'2_公式與參數'!$C$6*'2_公式與參數'!$C$7/J870*100))</f>
        <v/>
      </c>
    </row>
    <row r="871">
      <c r="J871" s="20">
        <f>IF($A871="","",IF(H871="","",H871*1000))</f>
        <v/>
      </c>
      <c r="K871" s="21">
        <f>IF($A871="","",E871-'2_公式與參數'!$C$14)</f>
        <v/>
      </c>
      <c r="L871" s="22">
        <f>IF($A871="","",IF(H871="","",K871*'2_公式與參數'!$C$6*'2_公式與參數'!$C$7/J871*100))</f>
        <v/>
      </c>
    </row>
    <row r="872">
      <c r="J872" s="20">
        <f>IF($A872="","",IF(H872="","",H872*1000))</f>
        <v/>
      </c>
      <c r="K872" s="21">
        <f>IF($A872="","",E872-'2_公式與參數'!$C$14)</f>
        <v/>
      </c>
      <c r="L872" s="22">
        <f>IF($A872="","",IF(H872="","",K872*'2_公式與參數'!$C$6*'2_公式與參數'!$C$7/J872*100))</f>
        <v/>
      </c>
    </row>
    <row r="873">
      <c r="J873" s="20">
        <f>IF($A873="","",IF(H873="","",H873*1000))</f>
        <v/>
      </c>
      <c r="K873" s="21">
        <f>IF($A873="","",E873-'2_公式與參數'!$C$14)</f>
        <v/>
      </c>
      <c r="L873" s="22">
        <f>IF($A873="","",IF(H873="","",K873*'2_公式與參數'!$C$6*'2_公式與參數'!$C$7/J873*100))</f>
        <v/>
      </c>
    </row>
    <row r="874">
      <c r="J874" s="20">
        <f>IF($A874="","",IF(H874="","",H874*1000))</f>
        <v/>
      </c>
      <c r="K874" s="21">
        <f>IF($A874="","",E874-'2_公式與參數'!$C$14)</f>
        <v/>
      </c>
      <c r="L874" s="22">
        <f>IF($A874="","",IF(H874="","",K874*'2_公式與參數'!$C$6*'2_公式與參數'!$C$7/J874*100))</f>
        <v/>
      </c>
    </row>
    <row r="875">
      <c r="J875" s="20">
        <f>IF($A875="","",IF(H875="","",H875*1000))</f>
        <v/>
      </c>
      <c r="K875" s="21">
        <f>IF($A875="","",E875-'2_公式與參數'!$C$14)</f>
        <v/>
      </c>
      <c r="L875" s="22">
        <f>IF($A875="","",IF(H875="","",K875*'2_公式與參數'!$C$6*'2_公式與參數'!$C$7/J875*100))</f>
        <v/>
      </c>
    </row>
    <row r="876">
      <c r="J876" s="20">
        <f>IF($A876="","",IF(H876="","",H876*1000))</f>
        <v/>
      </c>
      <c r="K876" s="21">
        <f>IF($A876="","",E876-'2_公式與參數'!$C$14)</f>
        <v/>
      </c>
      <c r="L876" s="22">
        <f>IF($A876="","",IF(H876="","",K876*'2_公式與參數'!$C$6*'2_公式與參數'!$C$7/J876*100))</f>
        <v/>
      </c>
    </row>
    <row r="877">
      <c r="J877" s="20">
        <f>IF($A877="","",IF(H877="","",H877*1000))</f>
        <v/>
      </c>
      <c r="K877" s="21">
        <f>IF($A877="","",E877-'2_公式與參數'!$C$14)</f>
        <v/>
      </c>
      <c r="L877" s="22">
        <f>IF($A877="","",IF(H877="","",K877*'2_公式與參數'!$C$6*'2_公式與參數'!$C$7/J877*100))</f>
        <v/>
      </c>
    </row>
    <row r="878">
      <c r="J878" s="20">
        <f>IF($A878="","",IF(H878="","",H878*1000))</f>
        <v/>
      </c>
      <c r="K878" s="21">
        <f>IF($A878="","",E878-'2_公式與參數'!$C$14)</f>
        <v/>
      </c>
      <c r="L878" s="22">
        <f>IF($A878="","",IF(H878="","",K878*'2_公式與參數'!$C$6*'2_公式與參數'!$C$7/J878*100))</f>
        <v/>
      </c>
    </row>
    <row r="879">
      <c r="J879" s="20">
        <f>IF($A879="","",IF(H879="","",H879*1000))</f>
        <v/>
      </c>
      <c r="K879" s="21">
        <f>IF($A879="","",E879-'2_公式與參數'!$C$14)</f>
        <v/>
      </c>
      <c r="L879" s="22">
        <f>IF($A879="","",IF(H879="","",K879*'2_公式與參數'!$C$6*'2_公式與參數'!$C$7/J879*100))</f>
        <v/>
      </c>
    </row>
    <row r="880">
      <c r="J880" s="20">
        <f>IF($A880="","",IF(H880="","",H880*1000))</f>
        <v/>
      </c>
      <c r="K880" s="21">
        <f>IF($A880="","",E880-'2_公式與參數'!$C$14)</f>
        <v/>
      </c>
      <c r="L880" s="22">
        <f>IF($A880="","",IF(H880="","",K880*'2_公式與參數'!$C$6*'2_公式與參數'!$C$7/J880*100))</f>
        <v/>
      </c>
    </row>
    <row r="881">
      <c r="J881" s="20">
        <f>IF($A881="","",IF(H881="","",H881*1000))</f>
        <v/>
      </c>
      <c r="K881" s="21">
        <f>IF($A881="","",E881-'2_公式與參數'!$C$14)</f>
        <v/>
      </c>
      <c r="L881" s="22">
        <f>IF($A881="","",IF(H881="","",K881*'2_公式與參數'!$C$6*'2_公式與參數'!$C$7/J881*100))</f>
        <v/>
      </c>
    </row>
    <row r="882">
      <c r="J882" s="20">
        <f>IF($A882="","",IF(H882="","",H882*1000))</f>
        <v/>
      </c>
      <c r="K882" s="21">
        <f>IF($A882="","",E882-'2_公式與參數'!$C$14)</f>
        <v/>
      </c>
      <c r="L882" s="22">
        <f>IF($A882="","",IF(H882="","",K882*'2_公式與參數'!$C$6*'2_公式與參數'!$C$7/J882*100))</f>
        <v/>
      </c>
    </row>
    <row r="883">
      <c r="J883" s="20">
        <f>IF($A883="","",IF(H883="","",H883*1000))</f>
        <v/>
      </c>
      <c r="K883" s="21">
        <f>IF($A883="","",E883-'2_公式與參數'!$C$14)</f>
        <v/>
      </c>
      <c r="L883" s="22">
        <f>IF($A883="","",IF(H883="","",K883*'2_公式與參數'!$C$6*'2_公式與參數'!$C$7/J883*100))</f>
        <v/>
      </c>
    </row>
    <row r="884">
      <c r="J884" s="20">
        <f>IF($A884="","",IF(H884="","",H884*1000))</f>
        <v/>
      </c>
      <c r="K884" s="21">
        <f>IF($A884="","",E884-'2_公式與參數'!$C$14)</f>
        <v/>
      </c>
      <c r="L884" s="22">
        <f>IF($A884="","",IF(H884="","",K884*'2_公式與參數'!$C$6*'2_公式與參數'!$C$7/J884*100))</f>
        <v/>
      </c>
    </row>
    <row r="885">
      <c r="J885" s="20">
        <f>IF($A885="","",IF(H885="","",H885*1000))</f>
        <v/>
      </c>
      <c r="K885" s="21">
        <f>IF($A885="","",E885-'2_公式與參數'!$C$14)</f>
        <v/>
      </c>
      <c r="L885" s="22">
        <f>IF($A885="","",IF(H885="","",K885*'2_公式與參數'!$C$6*'2_公式與參數'!$C$7/J885*100))</f>
        <v/>
      </c>
    </row>
    <row r="886">
      <c r="J886" s="20">
        <f>IF($A886="","",IF(H886="","",H886*1000))</f>
        <v/>
      </c>
      <c r="K886" s="21">
        <f>IF($A886="","",E886-'2_公式與參數'!$C$14)</f>
        <v/>
      </c>
      <c r="L886" s="22">
        <f>IF($A886="","",IF(H886="","",K886*'2_公式與參數'!$C$6*'2_公式與參數'!$C$7/J886*100))</f>
        <v/>
      </c>
    </row>
    <row r="887">
      <c r="J887" s="20">
        <f>IF($A887="","",IF(H887="","",H887*1000))</f>
        <v/>
      </c>
      <c r="K887" s="21">
        <f>IF($A887="","",E887-'2_公式與參數'!$C$14)</f>
        <v/>
      </c>
      <c r="L887" s="22">
        <f>IF($A887="","",IF(H887="","",K887*'2_公式與參數'!$C$6*'2_公式與參數'!$C$7/J887*100))</f>
        <v/>
      </c>
    </row>
    <row r="888">
      <c r="J888" s="20">
        <f>IF($A888="","",IF(H888="","",H888*1000))</f>
        <v/>
      </c>
      <c r="K888" s="21">
        <f>IF($A888="","",E888-'2_公式與參數'!$C$14)</f>
        <v/>
      </c>
      <c r="L888" s="22">
        <f>IF($A888="","",IF(H888="","",K888*'2_公式與參數'!$C$6*'2_公式與參數'!$C$7/J888*100))</f>
        <v/>
      </c>
    </row>
    <row r="889">
      <c r="J889" s="20">
        <f>IF($A889="","",IF(H889="","",H889*1000))</f>
        <v/>
      </c>
      <c r="K889" s="21">
        <f>IF($A889="","",E889-'2_公式與參數'!$C$14)</f>
        <v/>
      </c>
      <c r="L889" s="22">
        <f>IF($A889="","",IF(H889="","",K889*'2_公式與參數'!$C$6*'2_公式與參數'!$C$7/J889*100))</f>
        <v/>
      </c>
    </row>
    <row r="890">
      <c r="J890" s="20">
        <f>IF($A890="","",IF(H890="","",H890*1000))</f>
        <v/>
      </c>
      <c r="K890" s="21">
        <f>IF($A890="","",E890-'2_公式與參數'!$C$14)</f>
        <v/>
      </c>
      <c r="L890" s="22">
        <f>IF($A890="","",IF(H890="","",K890*'2_公式與參數'!$C$6*'2_公式與參數'!$C$7/J890*100))</f>
        <v/>
      </c>
    </row>
    <row r="891">
      <c r="J891" s="20">
        <f>IF($A891="","",IF(H891="","",H891*1000))</f>
        <v/>
      </c>
      <c r="K891" s="21">
        <f>IF($A891="","",E891-'2_公式與參數'!$C$14)</f>
        <v/>
      </c>
      <c r="L891" s="22">
        <f>IF($A891="","",IF(H891="","",K891*'2_公式與參數'!$C$6*'2_公式與參數'!$C$7/J891*100))</f>
        <v/>
      </c>
    </row>
    <row r="892">
      <c r="J892" s="20">
        <f>IF($A892="","",IF(H892="","",H892*1000))</f>
        <v/>
      </c>
      <c r="K892" s="21">
        <f>IF($A892="","",E892-'2_公式與參數'!$C$14)</f>
        <v/>
      </c>
      <c r="L892" s="22">
        <f>IF($A892="","",IF(H892="","",K892*'2_公式與參數'!$C$6*'2_公式與參數'!$C$7/J892*100))</f>
        <v/>
      </c>
    </row>
    <row r="893">
      <c r="J893" s="20">
        <f>IF($A893="","",IF(H893="","",H893*1000))</f>
        <v/>
      </c>
      <c r="K893" s="21">
        <f>IF($A893="","",E893-'2_公式與參數'!$C$14)</f>
        <v/>
      </c>
      <c r="L893" s="22">
        <f>IF($A893="","",IF(H893="","",K893*'2_公式與參數'!$C$6*'2_公式與參數'!$C$7/J893*100))</f>
        <v/>
      </c>
    </row>
    <row r="894">
      <c r="J894" s="20">
        <f>IF($A894="","",IF(H894="","",H894*1000))</f>
        <v/>
      </c>
      <c r="K894" s="21">
        <f>IF($A894="","",E894-'2_公式與參數'!$C$14)</f>
        <v/>
      </c>
      <c r="L894" s="22">
        <f>IF($A894="","",IF(H894="","",K894*'2_公式與參數'!$C$6*'2_公式與參數'!$C$7/J894*100))</f>
        <v/>
      </c>
    </row>
    <row r="895">
      <c r="J895" s="20">
        <f>IF($A895="","",IF(H895="","",H895*1000))</f>
        <v/>
      </c>
      <c r="K895" s="21">
        <f>IF($A895="","",E895-'2_公式與參數'!$C$14)</f>
        <v/>
      </c>
      <c r="L895" s="22">
        <f>IF($A895="","",IF(H895="","",K895*'2_公式與參數'!$C$6*'2_公式與參數'!$C$7/J895*100))</f>
        <v/>
      </c>
    </row>
    <row r="896">
      <c r="J896" s="20">
        <f>IF($A896="","",IF(H896="","",H896*1000))</f>
        <v/>
      </c>
      <c r="K896" s="21">
        <f>IF($A896="","",E896-'2_公式與參數'!$C$14)</f>
        <v/>
      </c>
      <c r="L896" s="22">
        <f>IF($A896="","",IF(H896="","",K896*'2_公式與參數'!$C$6*'2_公式與參數'!$C$7/J896*100))</f>
        <v/>
      </c>
    </row>
    <row r="897">
      <c r="J897" s="20">
        <f>IF($A897="","",IF(H897="","",H897*1000))</f>
        <v/>
      </c>
      <c r="K897" s="21">
        <f>IF($A897="","",E897-'2_公式與參數'!$C$14)</f>
        <v/>
      </c>
      <c r="L897" s="22">
        <f>IF($A897="","",IF(H897="","",K897*'2_公式與參數'!$C$6*'2_公式與參數'!$C$7/J897*100))</f>
        <v/>
      </c>
    </row>
    <row r="898">
      <c r="J898" s="20">
        <f>IF($A898="","",IF(H898="","",H898*1000))</f>
        <v/>
      </c>
      <c r="K898" s="21">
        <f>IF($A898="","",E898-'2_公式與參數'!$C$14)</f>
        <v/>
      </c>
      <c r="L898" s="22">
        <f>IF($A898="","",IF(H898="","",K898*'2_公式與參數'!$C$6*'2_公式與參數'!$C$7/J898*100))</f>
        <v/>
      </c>
    </row>
    <row r="899">
      <c r="J899" s="20">
        <f>IF($A899="","",IF(H899="","",H899*1000))</f>
        <v/>
      </c>
      <c r="K899" s="21">
        <f>IF($A899="","",E899-'2_公式與參數'!$C$14)</f>
        <v/>
      </c>
      <c r="L899" s="22">
        <f>IF($A899="","",IF(H899="","",K899*'2_公式與參數'!$C$6*'2_公式與參數'!$C$7/J899*100))</f>
        <v/>
      </c>
    </row>
    <row r="900">
      <c r="J900" s="20">
        <f>IF($A900="","",IF(H900="","",H900*1000))</f>
        <v/>
      </c>
      <c r="K900" s="21">
        <f>IF($A900="","",E900-'2_公式與參數'!$C$14)</f>
        <v/>
      </c>
      <c r="L900" s="22">
        <f>IF($A900="","",IF(H900="","",K900*'2_公式與參數'!$C$6*'2_公式與參數'!$C$7/J900*100))</f>
        <v/>
      </c>
    </row>
    <row r="901">
      <c r="J901" s="20">
        <f>IF($A901="","",IF(H901="","",H901*1000))</f>
        <v/>
      </c>
      <c r="K901" s="21">
        <f>IF($A901="","",E901-'2_公式與參數'!$C$14)</f>
        <v/>
      </c>
      <c r="L901" s="22">
        <f>IF($A901="","",IF(H901="","",K901*'2_公式與參數'!$C$6*'2_公式與參數'!$C$7/J901*100))</f>
        <v/>
      </c>
    </row>
    <row r="902">
      <c r="J902" s="20">
        <f>IF($A902="","",IF(H902="","",H902*1000))</f>
        <v/>
      </c>
      <c r="K902" s="21">
        <f>IF($A902="","",E902-'2_公式與參數'!$C$14)</f>
        <v/>
      </c>
      <c r="L902" s="22">
        <f>IF($A902="","",IF(H902="","",K902*'2_公式與參數'!$C$6*'2_公式與參數'!$C$7/J902*100))</f>
        <v/>
      </c>
    </row>
    <row r="903">
      <c r="J903" s="20">
        <f>IF($A903="","",IF(H903="","",H903*1000))</f>
        <v/>
      </c>
      <c r="K903" s="21">
        <f>IF($A903="","",E903-'2_公式與參數'!$C$14)</f>
        <v/>
      </c>
      <c r="L903" s="22">
        <f>IF($A903="","",IF(H903="","",K903*'2_公式與參數'!$C$6*'2_公式與參數'!$C$7/J903*100))</f>
        <v/>
      </c>
    </row>
    <row r="904">
      <c r="J904" s="20">
        <f>IF($A904="","",IF(H904="","",H904*1000))</f>
        <v/>
      </c>
      <c r="K904" s="21">
        <f>IF($A904="","",E904-'2_公式與參數'!$C$14)</f>
        <v/>
      </c>
      <c r="L904" s="22">
        <f>IF($A904="","",IF(H904="","",K904*'2_公式與參數'!$C$6*'2_公式與參數'!$C$7/J904*100))</f>
        <v/>
      </c>
    </row>
    <row r="905">
      <c r="J905" s="20">
        <f>IF($A905="","",IF(H905="","",H905*1000))</f>
        <v/>
      </c>
      <c r="K905" s="21">
        <f>IF($A905="","",E905-'2_公式與參數'!$C$14)</f>
        <v/>
      </c>
      <c r="L905" s="22">
        <f>IF($A905="","",IF(H905="","",K905*'2_公式與參數'!$C$6*'2_公式與參數'!$C$7/J905*100))</f>
        <v/>
      </c>
    </row>
    <row r="906">
      <c r="J906" s="20">
        <f>IF($A906="","",IF(H906="","",H906*1000))</f>
        <v/>
      </c>
      <c r="K906" s="21">
        <f>IF($A906="","",E906-'2_公式與參數'!$C$14)</f>
        <v/>
      </c>
      <c r="L906" s="22">
        <f>IF($A906="","",IF(H906="","",K906*'2_公式與參數'!$C$6*'2_公式與參數'!$C$7/J906*100))</f>
        <v/>
      </c>
    </row>
    <row r="907">
      <c r="J907" s="20">
        <f>IF($A907="","",IF(H907="","",H907*1000))</f>
        <v/>
      </c>
      <c r="K907" s="21">
        <f>IF($A907="","",E907-'2_公式與參數'!$C$14)</f>
        <v/>
      </c>
      <c r="L907" s="22">
        <f>IF($A907="","",IF(H907="","",K907*'2_公式與參數'!$C$6*'2_公式與參數'!$C$7/J907*100))</f>
        <v/>
      </c>
    </row>
    <row r="908">
      <c r="J908" s="20">
        <f>IF($A908="","",IF(H908="","",H908*1000))</f>
        <v/>
      </c>
      <c r="K908" s="21">
        <f>IF($A908="","",E908-'2_公式與參數'!$C$14)</f>
        <v/>
      </c>
      <c r="L908" s="22">
        <f>IF($A908="","",IF(H908="","",K908*'2_公式與參數'!$C$6*'2_公式與參數'!$C$7/J908*100))</f>
        <v/>
      </c>
    </row>
    <row r="909">
      <c r="J909" s="20">
        <f>IF($A909="","",IF(H909="","",H909*1000))</f>
        <v/>
      </c>
      <c r="K909" s="21">
        <f>IF($A909="","",E909-'2_公式與參數'!$C$14)</f>
        <v/>
      </c>
      <c r="L909" s="22">
        <f>IF($A909="","",IF(H909="","",K909*'2_公式與參數'!$C$6*'2_公式與參數'!$C$7/J909*100))</f>
        <v/>
      </c>
    </row>
    <row r="910">
      <c r="J910" s="20">
        <f>IF($A910="","",IF(H910="","",H910*1000))</f>
        <v/>
      </c>
      <c r="K910" s="21">
        <f>IF($A910="","",E910-'2_公式與參數'!$C$14)</f>
        <v/>
      </c>
      <c r="L910" s="22">
        <f>IF($A910="","",IF(H910="","",K910*'2_公式與參數'!$C$6*'2_公式與參數'!$C$7/J910*100))</f>
        <v/>
      </c>
    </row>
    <row r="911">
      <c r="J911" s="20">
        <f>IF($A911="","",IF(H911="","",H911*1000))</f>
        <v/>
      </c>
      <c r="K911" s="21">
        <f>IF($A911="","",E911-'2_公式與參數'!$C$14)</f>
        <v/>
      </c>
      <c r="L911" s="22">
        <f>IF($A911="","",IF(H911="","",K911*'2_公式與參數'!$C$6*'2_公式與參數'!$C$7/J911*100))</f>
        <v/>
      </c>
    </row>
    <row r="912">
      <c r="J912" s="20">
        <f>IF($A912="","",IF(H912="","",H912*1000))</f>
        <v/>
      </c>
      <c r="K912" s="21">
        <f>IF($A912="","",E912-'2_公式與參數'!$C$14)</f>
        <v/>
      </c>
      <c r="L912" s="22">
        <f>IF($A912="","",IF(H912="","",K912*'2_公式與參數'!$C$6*'2_公式與參數'!$C$7/J912*100))</f>
        <v/>
      </c>
    </row>
    <row r="913">
      <c r="J913" s="20">
        <f>IF($A913="","",IF(H913="","",H913*1000))</f>
        <v/>
      </c>
      <c r="K913" s="21">
        <f>IF($A913="","",E913-'2_公式與參數'!$C$14)</f>
        <v/>
      </c>
      <c r="L913" s="22">
        <f>IF($A913="","",IF(H913="","",K913*'2_公式與參數'!$C$6*'2_公式與參數'!$C$7/J913*100))</f>
        <v/>
      </c>
    </row>
    <row r="914">
      <c r="J914" s="20">
        <f>IF($A914="","",IF(H914="","",H914*1000))</f>
        <v/>
      </c>
      <c r="K914" s="21">
        <f>IF($A914="","",E914-'2_公式與參數'!$C$14)</f>
        <v/>
      </c>
      <c r="L914" s="22">
        <f>IF($A914="","",IF(H914="","",K914*'2_公式與參數'!$C$6*'2_公式與參數'!$C$7/J914*100))</f>
        <v/>
      </c>
    </row>
    <row r="915">
      <c r="J915" s="20">
        <f>IF($A915="","",IF(H915="","",H915*1000))</f>
        <v/>
      </c>
      <c r="K915" s="21">
        <f>IF($A915="","",E915-'2_公式與參數'!$C$14)</f>
        <v/>
      </c>
      <c r="L915" s="22">
        <f>IF($A915="","",IF(H915="","",K915*'2_公式與參數'!$C$6*'2_公式與參數'!$C$7/J915*100))</f>
        <v/>
      </c>
    </row>
    <row r="916">
      <c r="J916" s="20">
        <f>IF($A916="","",IF(H916="","",H916*1000))</f>
        <v/>
      </c>
      <c r="K916" s="21">
        <f>IF($A916="","",E916-'2_公式與參數'!$C$14)</f>
        <v/>
      </c>
      <c r="L916" s="22">
        <f>IF($A916="","",IF(H916="","",K916*'2_公式與參數'!$C$6*'2_公式與參數'!$C$7/J916*100))</f>
        <v/>
      </c>
    </row>
    <row r="917">
      <c r="J917" s="20">
        <f>IF($A917="","",IF(H917="","",H917*1000))</f>
        <v/>
      </c>
      <c r="K917" s="21">
        <f>IF($A917="","",E917-'2_公式與參數'!$C$14)</f>
        <v/>
      </c>
      <c r="L917" s="22">
        <f>IF($A917="","",IF(H917="","",K917*'2_公式與參數'!$C$6*'2_公式與參數'!$C$7/J917*100))</f>
        <v/>
      </c>
    </row>
    <row r="918">
      <c r="J918" s="20">
        <f>IF($A918="","",IF(H918="","",H918*1000))</f>
        <v/>
      </c>
      <c r="K918" s="21">
        <f>IF($A918="","",E918-'2_公式與參數'!$C$14)</f>
        <v/>
      </c>
      <c r="L918" s="22">
        <f>IF($A918="","",IF(H918="","",K918*'2_公式與參數'!$C$6*'2_公式與參數'!$C$7/J918*100))</f>
        <v/>
      </c>
    </row>
    <row r="919">
      <c r="J919" s="20">
        <f>IF($A919="","",IF(H919="","",H919*1000))</f>
        <v/>
      </c>
      <c r="K919" s="21">
        <f>IF($A919="","",E919-'2_公式與參數'!$C$14)</f>
        <v/>
      </c>
      <c r="L919" s="22">
        <f>IF($A919="","",IF(H919="","",K919*'2_公式與參數'!$C$6*'2_公式與參數'!$C$7/J919*100))</f>
        <v/>
      </c>
    </row>
    <row r="920">
      <c r="J920" s="20">
        <f>IF($A920="","",IF(H920="","",H920*1000))</f>
        <v/>
      </c>
      <c r="K920" s="21">
        <f>IF($A920="","",E920-'2_公式與參數'!$C$14)</f>
        <v/>
      </c>
      <c r="L920" s="22">
        <f>IF($A920="","",IF(H920="","",K920*'2_公式與參數'!$C$6*'2_公式與參數'!$C$7/J920*100))</f>
        <v/>
      </c>
    </row>
    <row r="921">
      <c r="J921" s="20">
        <f>IF($A921="","",IF(H921="","",H921*1000))</f>
        <v/>
      </c>
      <c r="K921" s="21">
        <f>IF($A921="","",E921-'2_公式與參數'!$C$14)</f>
        <v/>
      </c>
      <c r="L921" s="22">
        <f>IF($A921="","",IF(H921="","",K921*'2_公式與參數'!$C$6*'2_公式與參數'!$C$7/J921*100))</f>
        <v/>
      </c>
    </row>
    <row r="922">
      <c r="J922" s="20">
        <f>IF($A922="","",IF(H922="","",H922*1000))</f>
        <v/>
      </c>
      <c r="K922" s="21">
        <f>IF($A922="","",E922-'2_公式與參數'!$C$14)</f>
        <v/>
      </c>
      <c r="L922" s="22">
        <f>IF($A922="","",IF(H922="","",K922*'2_公式與參數'!$C$6*'2_公式與參數'!$C$7/J922*100))</f>
        <v/>
      </c>
    </row>
    <row r="923">
      <c r="J923" s="20">
        <f>IF($A923="","",IF(H923="","",H923*1000))</f>
        <v/>
      </c>
      <c r="K923" s="21">
        <f>IF($A923="","",E923-'2_公式與參數'!$C$14)</f>
        <v/>
      </c>
      <c r="L923" s="22">
        <f>IF($A923="","",IF(H923="","",K923*'2_公式與參數'!$C$6*'2_公式與參數'!$C$7/J923*100))</f>
        <v/>
      </c>
    </row>
    <row r="924">
      <c r="J924" s="20">
        <f>IF($A924="","",IF(H924="","",H924*1000))</f>
        <v/>
      </c>
      <c r="K924" s="21">
        <f>IF($A924="","",E924-'2_公式與參數'!$C$14)</f>
        <v/>
      </c>
      <c r="L924" s="22">
        <f>IF($A924="","",IF(H924="","",K924*'2_公式與參數'!$C$6*'2_公式與參數'!$C$7/J924*100))</f>
        <v/>
      </c>
    </row>
    <row r="925">
      <c r="J925" s="20">
        <f>IF($A925="","",IF(H925="","",H925*1000))</f>
        <v/>
      </c>
      <c r="K925" s="21">
        <f>IF($A925="","",E925-'2_公式與參數'!$C$14)</f>
        <v/>
      </c>
      <c r="L925" s="22">
        <f>IF($A925="","",IF(H925="","",K925*'2_公式與參數'!$C$6*'2_公式與參數'!$C$7/J925*100))</f>
        <v/>
      </c>
    </row>
    <row r="926">
      <c r="J926" s="20">
        <f>IF($A926="","",IF(H926="","",H926*1000))</f>
        <v/>
      </c>
      <c r="K926" s="21">
        <f>IF($A926="","",E926-'2_公式與參數'!$C$14)</f>
        <v/>
      </c>
      <c r="L926" s="22">
        <f>IF($A926="","",IF(H926="","",K926*'2_公式與參數'!$C$6*'2_公式與參數'!$C$7/J926*100))</f>
        <v/>
      </c>
    </row>
    <row r="927">
      <c r="J927" s="20">
        <f>IF($A927="","",IF(H927="","",H927*1000))</f>
        <v/>
      </c>
      <c r="K927" s="21">
        <f>IF($A927="","",E927-'2_公式與參數'!$C$14)</f>
        <v/>
      </c>
      <c r="L927" s="22">
        <f>IF($A927="","",IF(H927="","",K927*'2_公式與參數'!$C$6*'2_公式與參數'!$C$7/J927*100))</f>
        <v/>
      </c>
    </row>
    <row r="928">
      <c r="J928" s="20">
        <f>IF($A928="","",IF(H928="","",H928*1000))</f>
        <v/>
      </c>
      <c r="K928" s="21">
        <f>IF($A928="","",E928-'2_公式與參數'!$C$14)</f>
        <v/>
      </c>
      <c r="L928" s="22">
        <f>IF($A928="","",IF(H928="","",K928*'2_公式與參數'!$C$6*'2_公式與參數'!$C$7/J928*100))</f>
        <v/>
      </c>
    </row>
    <row r="929">
      <c r="J929" s="20">
        <f>IF($A929="","",IF(H929="","",H929*1000))</f>
        <v/>
      </c>
      <c r="K929" s="21">
        <f>IF($A929="","",E929-'2_公式與參數'!$C$14)</f>
        <v/>
      </c>
      <c r="L929" s="22">
        <f>IF($A929="","",IF(H929="","",K929*'2_公式與參數'!$C$6*'2_公式與參數'!$C$7/J929*100))</f>
        <v/>
      </c>
    </row>
    <row r="930">
      <c r="J930" s="20">
        <f>IF($A930="","",IF(H930="","",H930*1000))</f>
        <v/>
      </c>
      <c r="K930" s="21">
        <f>IF($A930="","",E930-'2_公式與參數'!$C$14)</f>
        <v/>
      </c>
      <c r="L930" s="22">
        <f>IF($A930="","",IF(H930="","",K930*'2_公式與參數'!$C$6*'2_公式與參數'!$C$7/J930*100))</f>
        <v/>
      </c>
    </row>
    <row r="931">
      <c r="J931" s="20">
        <f>IF($A931="","",IF(H931="","",H931*1000))</f>
        <v/>
      </c>
      <c r="K931" s="21">
        <f>IF($A931="","",E931-'2_公式與參數'!$C$14)</f>
        <v/>
      </c>
      <c r="L931" s="22">
        <f>IF($A931="","",IF(H931="","",K931*'2_公式與參數'!$C$6*'2_公式與參數'!$C$7/J931*100))</f>
        <v/>
      </c>
    </row>
    <row r="932">
      <c r="J932" s="20">
        <f>IF($A932="","",IF(H932="","",H932*1000))</f>
        <v/>
      </c>
      <c r="K932" s="21">
        <f>IF($A932="","",E932-'2_公式與參數'!$C$14)</f>
        <v/>
      </c>
      <c r="L932" s="22">
        <f>IF($A932="","",IF(H932="","",K932*'2_公式與參數'!$C$6*'2_公式與參數'!$C$7/J932*100))</f>
        <v/>
      </c>
    </row>
    <row r="933">
      <c r="J933" s="20">
        <f>IF($A933="","",IF(H933="","",H933*1000))</f>
        <v/>
      </c>
      <c r="K933" s="21">
        <f>IF($A933="","",E933-'2_公式與參數'!$C$14)</f>
        <v/>
      </c>
      <c r="L933" s="22">
        <f>IF($A933="","",IF(H933="","",K933*'2_公式與參數'!$C$6*'2_公式與參數'!$C$7/J933*100))</f>
        <v/>
      </c>
    </row>
    <row r="934">
      <c r="J934" s="20">
        <f>IF($A934="","",IF(H934="","",H934*1000))</f>
        <v/>
      </c>
      <c r="K934" s="21">
        <f>IF($A934="","",E934-'2_公式與參數'!$C$14)</f>
        <v/>
      </c>
      <c r="L934" s="22">
        <f>IF($A934="","",IF(H934="","",K934*'2_公式與參數'!$C$6*'2_公式與參數'!$C$7/J934*100))</f>
        <v/>
      </c>
    </row>
    <row r="935">
      <c r="J935" s="20">
        <f>IF($A935="","",IF(H935="","",H935*1000))</f>
        <v/>
      </c>
      <c r="K935" s="21">
        <f>IF($A935="","",E935-'2_公式與參數'!$C$14)</f>
        <v/>
      </c>
      <c r="L935" s="22">
        <f>IF($A935="","",IF(H935="","",K935*'2_公式與參數'!$C$6*'2_公式與參數'!$C$7/J935*100))</f>
        <v/>
      </c>
    </row>
    <row r="936">
      <c r="J936" s="20">
        <f>IF($A936="","",IF(H936="","",H936*1000))</f>
        <v/>
      </c>
      <c r="K936" s="21">
        <f>IF($A936="","",E936-'2_公式與參數'!$C$14)</f>
        <v/>
      </c>
      <c r="L936" s="22">
        <f>IF($A936="","",IF(H936="","",K936*'2_公式與參數'!$C$6*'2_公式與參數'!$C$7/J936*100))</f>
        <v/>
      </c>
    </row>
    <row r="937">
      <c r="J937" s="20">
        <f>IF($A937="","",IF(H937="","",H937*1000))</f>
        <v/>
      </c>
      <c r="K937" s="21">
        <f>IF($A937="","",E937-'2_公式與參數'!$C$14)</f>
        <v/>
      </c>
      <c r="L937" s="22">
        <f>IF($A937="","",IF(H937="","",K937*'2_公式與參數'!$C$6*'2_公式與參數'!$C$7/J937*100))</f>
        <v/>
      </c>
    </row>
    <row r="938">
      <c r="J938" s="20">
        <f>IF($A938="","",IF(H938="","",H938*1000))</f>
        <v/>
      </c>
      <c r="K938" s="21">
        <f>IF($A938="","",E938-'2_公式與參數'!$C$14)</f>
        <v/>
      </c>
      <c r="L938" s="22">
        <f>IF($A938="","",IF(H938="","",K938*'2_公式與參數'!$C$6*'2_公式與參數'!$C$7/J938*100))</f>
        <v/>
      </c>
    </row>
    <row r="939">
      <c r="J939" s="20">
        <f>IF($A939="","",IF(H939="","",H939*1000))</f>
        <v/>
      </c>
      <c r="K939" s="21">
        <f>IF($A939="","",E939-'2_公式與參數'!$C$14)</f>
        <v/>
      </c>
      <c r="L939" s="22">
        <f>IF($A939="","",IF(H939="","",K939*'2_公式與參數'!$C$6*'2_公式與參數'!$C$7/J939*100))</f>
        <v/>
      </c>
    </row>
    <row r="940">
      <c r="J940" s="20">
        <f>IF($A940="","",IF(H940="","",H940*1000))</f>
        <v/>
      </c>
      <c r="K940" s="21">
        <f>IF($A940="","",E940-'2_公式與參數'!$C$14)</f>
        <v/>
      </c>
      <c r="L940" s="22">
        <f>IF($A940="","",IF(H940="","",K940*'2_公式與參數'!$C$6*'2_公式與參數'!$C$7/J940*100))</f>
        <v/>
      </c>
    </row>
    <row r="941">
      <c r="J941" s="20">
        <f>IF($A941="","",IF(H941="","",H941*1000))</f>
        <v/>
      </c>
      <c r="K941" s="21">
        <f>IF($A941="","",E941-'2_公式與參數'!$C$14)</f>
        <v/>
      </c>
      <c r="L941" s="22">
        <f>IF($A941="","",IF(H941="","",K941*'2_公式與參數'!$C$6*'2_公式與參數'!$C$7/J941*100))</f>
        <v/>
      </c>
    </row>
    <row r="942">
      <c r="J942" s="20">
        <f>IF($A942="","",IF(H942="","",H942*1000))</f>
        <v/>
      </c>
      <c r="K942" s="21">
        <f>IF($A942="","",E942-'2_公式與參數'!$C$14)</f>
        <v/>
      </c>
      <c r="L942" s="22">
        <f>IF($A942="","",IF(H942="","",K942*'2_公式與參數'!$C$6*'2_公式與參數'!$C$7/J942*100))</f>
        <v/>
      </c>
    </row>
    <row r="943">
      <c r="J943" s="20">
        <f>IF($A943="","",IF(H943="","",H943*1000))</f>
        <v/>
      </c>
      <c r="K943" s="21">
        <f>IF($A943="","",E943-'2_公式與參數'!$C$14)</f>
        <v/>
      </c>
      <c r="L943" s="22">
        <f>IF($A943="","",IF(H943="","",K943*'2_公式與參數'!$C$6*'2_公式與參數'!$C$7/J943*100))</f>
        <v/>
      </c>
    </row>
    <row r="944">
      <c r="J944" s="20">
        <f>IF($A944="","",IF(H944="","",H944*1000))</f>
        <v/>
      </c>
      <c r="K944" s="21">
        <f>IF($A944="","",E944-'2_公式與參數'!$C$14)</f>
        <v/>
      </c>
      <c r="L944" s="22">
        <f>IF($A944="","",IF(H944="","",K944*'2_公式與參數'!$C$6*'2_公式與參數'!$C$7/J944*100))</f>
        <v/>
      </c>
    </row>
    <row r="945">
      <c r="J945" s="20">
        <f>IF($A945="","",IF(H945="","",H945*1000))</f>
        <v/>
      </c>
      <c r="K945" s="21">
        <f>IF($A945="","",E945-'2_公式與參數'!$C$14)</f>
        <v/>
      </c>
      <c r="L945" s="22">
        <f>IF($A945="","",IF(H945="","",K945*'2_公式與參數'!$C$6*'2_公式與參數'!$C$7/J945*100))</f>
        <v/>
      </c>
    </row>
    <row r="946">
      <c r="J946" s="20">
        <f>IF($A946="","",IF(H946="","",H946*1000))</f>
        <v/>
      </c>
      <c r="K946" s="21">
        <f>IF($A946="","",E946-'2_公式與參數'!$C$14)</f>
        <v/>
      </c>
      <c r="L946" s="22">
        <f>IF($A946="","",IF(H946="","",K946*'2_公式與參數'!$C$6*'2_公式與參數'!$C$7/J946*100))</f>
        <v/>
      </c>
    </row>
    <row r="947">
      <c r="J947" s="20">
        <f>IF($A947="","",IF(H947="","",H947*1000))</f>
        <v/>
      </c>
      <c r="K947" s="21">
        <f>IF($A947="","",E947-'2_公式與參數'!$C$14)</f>
        <v/>
      </c>
      <c r="L947" s="22">
        <f>IF($A947="","",IF(H947="","",K947*'2_公式與參數'!$C$6*'2_公式與參數'!$C$7/J947*100))</f>
        <v/>
      </c>
    </row>
    <row r="948">
      <c r="J948" s="20">
        <f>IF($A948="","",IF(H948="","",H948*1000))</f>
        <v/>
      </c>
      <c r="K948" s="21">
        <f>IF($A948="","",E948-'2_公式與參數'!$C$14)</f>
        <v/>
      </c>
      <c r="L948" s="22">
        <f>IF($A948="","",IF(H948="","",K948*'2_公式與參數'!$C$6*'2_公式與參數'!$C$7/J948*100))</f>
        <v/>
      </c>
    </row>
    <row r="949">
      <c r="J949" s="20">
        <f>IF($A949="","",IF(H949="","",H949*1000))</f>
        <v/>
      </c>
      <c r="K949" s="21">
        <f>IF($A949="","",E949-'2_公式與參數'!$C$14)</f>
        <v/>
      </c>
      <c r="L949" s="22">
        <f>IF($A949="","",IF(H949="","",K949*'2_公式與參數'!$C$6*'2_公式與參數'!$C$7/J949*100))</f>
        <v/>
      </c>
    </row>
    <row r="950">
      <c r="J950" s="20">
        <f>IF($A950="","",IF(H950="","",H950*1000))</f>
        <v/>
      </c>
      <c r="K950" s="21">
        <f>IF($A950="","",E950-'2_公式與參數'!$C$14)</f>
        <v/>
      </c>
      <c r="L950" s="22">
        <f>IF($A950="","",IF(H950="","",K950*'2_公式與參數'!$C$6*'2_公式與參數'!$C$7/J950*100))</f>
        <v/>
      </c>
    </row>
    <row r="951">
      <c r="J951" s="20">
        <f>IF($A951="","",IF(H951="","",H951*1000))</f>
        <v/>
      </c>
      <c r="K951" s="21">
        <f>IF($A951="","",E951-'2_公式與參數'!$C$14)</f>
        <v/>
      </c>
      <c r="L951" s="22">
        <f>IF($A951="","",IF(H951="","",K951*'2_公式與參數'!$C$6*'2_公式與參數'!$C$7/J951*100))</f>
        <v/>
      </c>
    </row>
    <row r="952">
      <c r="J952" s="20">
        <f>IF($A952="","",IF(H952="","",H952*1000))</f>
        <v/>
      </c>
      <c r="K952" s="21">
        <f>IF($A952="","",E952-'2_公式與參數'!$C$14)</f>
        <v/>
      </c>
      <c r="L952" s="22">
        <f>IF($A952="","",IF(H952="","",K952*'2_公式與參數'!$C$6*'2_公式與參數'!$C$7/J952*100))</f>
        <v/>
      </c>
    </row>
    <row r="953">
      <c r="J953" s="20">
        <f>IF($A953="","",IF(H953="","",H953*1000))</f>
        <v/>
      </c>
      <c r="K953" s="21">
        <f>IF($A953="","",E953-'2_公式與參數'!$C$14)</f>
        <v/>
      </c>
      <c r="L953" s="22">
        <f>IF($A953="","",IF(H953="","",K953*'2_公式與參數'!$C$6*'2_公式與參數'!$C$7/J953*100))</f>
        <v/>
      </c>
    </row>
    <row r="954">
      <c r="J954" s="20">
        <f>IF($A954="","",IF(H954="","",H954*1000))</f>
        <v/>
      </c>
      <c r="K954" s="21">
        <f>IF($A954="","",E954-'2_公式與參數'!$C$14)</f>
        <v/>
      </c>
      <c r="L954" s="22">
        <f>IF($A954="","",IF(H954="","",K954*'2_公式與參數'!$C$6*'2_公式與參數'!$C$7/J954*100))</f>
        <v/>
      </c>
    </row>
    <row r="955">
      <c r="J955" s="20">
        <f>IF($A955="","",IF(H955="","",H955*1000))</f>
        <v/>
      </c>
      <c r="K955" s="21">
        <f>IF($A955="","",E955-'2_公式與參數'!$C$14)</f>
        <v/>
      </c>
      <c r="L955" s="22">
        <f>IF($A955="","",IF(H955="","",K955*'2_公式與參數'!$C$6*'2_公式與參數'!$C$7/J955*100))</f>
        <v/>
      </c>
    </row>
    <row r="956">
      <c r="J956" s="20">
        <f>IF($A956="","",IF(H956="","",H956*1000))</f>
        <v/>
      </c>
      <c r="K956" s="21">
        <f>IF($A956="","",E956-'2_公式與參數'!$C$14)</f>
        <v/>
      </c>
      <c r="L956" s="22">
        <f>IF($A956="","",IF(H956="","",K956*'2_公式與參數'!$C$6*'2_公式與參數'!$C$7/J956*100))</f>
        <v/>
      </c>
    </row>
    <row r="957">
      <c r="J957" s="20">
        <f>IF($A957="","",IF(H957="","",H957*1000))</f>
        <v/>
      </c>
      <c r="K957" s="21">
        <f>IF($A957="","",E957-'2_公式與參數'!$C$14)</f>
        <v/>
      </c>
      <c r="L957" s="22">
        <f>IF($A957="","",IF(H957="","",K957*'2_公式與參數'!$C$6*'2_公式與參數'!$C$7/J957*100))</f>
        <v/>
      </c>
    </row>
    <row r="958">
      <c r="J958" s="20">
        <f>IF($A958="","",IF(H958="","",H958*1000))</f>
        <v/>
      </c>
      <c r="K958" s="21">
        <f>IF($A958="","",E958-'2_公式與參數'!$C$14)</f>
        <v/>
      </c>
      <c r="L958" s="22">
        <f>IF($A958="","",IF(H958="","",K958*'2_公式與參數'!$C$6*'2_公式與參數'!$C$7/J958*100))</f>
        <v/>
      </c>
    </row>
    <row r="959">
      <c r="J959" s="20">
        <f>IF($A959="","",IF(H959="","",H959*1000))</f>
        <v/>
      </c>
      <c r="K959" s="21">
        <f>IF($A959="","",E959-'2_公式與參數'!$C$14)</f>
        <v/>
      </c>
      <c r="L959" s="22">
        <f>IF($A959="","",IF(H959="","",K959*'2_公式與參數'!$C$6*'2_公式與參數'!$C$7/J959*100))</f>
        <v/>
      </c>
    </row>
    <row r="960">
      <c r="J960" s="20">
        <f>IF($A960="","",IF(H960="","",H960*1000))</f>
        <v/>
      </c>
      <c r="K960" s="21">
        <f>IF($A960="","",E960-'2_公式與參數'!$C$14)</f>
        <v/>
      </c>
      <c r="L960" s="22">
        <f>IF($A960="","",IF(H960="","",K960*'2_公式與參數'!$C$6*'2_公式與參數'!$C$7/J960*100))</f>
        <v/>
      </c>
    </row>
    <row r="961">
      <c r="J961" s="20">
        <f>IF($A961="","",IF(H961="","",H961*1000))</f>
        <v/>
      </c>
      <c r="K961" s="21">
        <f>IF($A961="","",E961-'2_公式與參數'!$C$14)</f>
        <v/>
      </c>
      <c r="L961" s="22">
        <f>IF($A961="","",IF(H961="","",K961*'2_公式與參數'!$C$6*'2_公式與參數'!$C$7/J961*100))</f>
        <v/>
      </c>
    </row>
    <row r="962">
      <c r="J962" s="20">
        <f>IF($A962="","",IF(H962="","",H962*1000))</f>
        <v/>
      </c>
      <c r="K962" s="21">
        <f>IF($A962="","",E962-'2_公式與參數'!$C$14)</f>
        <v/>
      </c>
      <c r="L962" s="22">
        <f>IF($A962="","",IF(H962="","",K962*'2_公式與參數'!$C$6*'2_公式與參數'!$C$7/J962*100))</f>
        <v/>
      </c>
    </row>
    <row r="963">
      <c r="J963" s="20">
        <f>IF($A963="","",IF(H963="","",H963*1000))</f>
        <v/>
      </c>
      <c r="K963" s="21">
        <f>IF($A963="","",E963-'2_公式與參數'!$C$14)</f>
        <v/>
      </c>
      <c r="L963" s="22">
        <f>IF($A963="","",IF(H963="","",K963*'2_公式與參數'!$C$6*'2_公式與參數'!$C$7/J963*100))</f>
        <v/>
      </c>
    </row>
    <row r="964">
      <c r="J964" s="20">
        <f>IF($A964="","",IF(H964="","",H964*1000))</f>
        <v/>
      </c>
      <c r="K964" s="21">
        <f>IF($A964="","",E964-'2_公式與參數'!$C$14)</f>
        <v/>
      </c>
      <c r="L964" s="22">
        <f>IF($A964="","",IF(H964="","",K964*'2_公式與參數'!$C$6*'2_公式與參數'!$C$7/J964*100))</f>
        <v/>
      </c>
    </row>
    <row r="965">
      <c r="J965" s="20">
        <f>IF($A965="","",IF(H965="","",H965*1000))</f>
        <v/>
      </c>
      <c r="K965" s="21">
        <f>IF($A965="","",E965-'2_公式與參數'!$C$14)</f>
        <v/>
      </c>
      <c r="L965" s="22">
        <f>IF($A965="","",IF(H965="","",K965*'2_公式與參數'!$C$6*'2_公式與參數'!$C$7/J965*100))</f>
        <v/>
      </c>
    </row>
    <row r="966">
      <c r="J966" s="20">
        <f>IF($A966="","",IF(H966="","",H966*1000))</f>
        <v/>
      </c>
      <c r="K966" s="21">
        <f>IF($A966="","",E966-'2_公式與參數'!$C$14)</f>
        <v/>
      </c>
      <c r="L966" s="22">
        <f>IF($A966="","",IF(H966="","",K966*'2_公式與參數'!$C$6*'2_公式與參數'!$C$7/J966*100))</f>
        <v/>
      </c>
    </row>
    <row r="967">
      <c r="J967" s="20">
        <f>IF($A967="","",IF(H967="","",H967*1000))</f>
        <v/>
      </c>
      <c r="K967" s="21">
        <f>IF($A967="","",E967-'2_公式與參數'!$C$14)</f>
        <v/>
      </c>
      <c r="L967" s="22">
        <f>IF($A967="","",IF(H967="","",K967*'2_公式與參數'!$C$6*'2_公式與參數'!$C$7/J967*100))</f>
        <v/>
      </c>
    </row>
    <row r="968">
      <c r="J968" s="20">
        <f>IF($A968="","",IF(H968="","",H968*1000))</f>
        <v/>
      </c>
      <c r="K968" s="21">
        <f>IF($A968="","",E968-'2_公式與參數'!$C$14)</f>
        <v/>
      </c>
      <c r="L968" s="22">
        <f>IF($A968="","",IF(H968="","",K968*'2_公式與參數'!$C$6*'2_公式與參數'!$C$7/J968*100))</f>
        <v/>
      </c>
    </row>
    <row r="969">
      <c r="J969" s="20">
        <f>IF($A969="","",IF(H969="","",H969*1000))</f>
        <v/>
      </c>
      <c r="K969" s="21">
        <f>IF($A969="","",E969-'2_公式與參數'!$C$14)</f>
        <v/>
      </c>
      <c r="L969" s="22">
        <f>IF($A969="","",IF(H969="","",K969*'2_公式與參數'!$C$6*'2_公式與參數'!$C$7/J969*100))</f>
        <v/>
      </c>
    </row>
    <row r="970">
      <c r="J970" s="20">
        <f>IF($A970="","",IF(H970="","",H970*1000))</f>
        <v/>
      </c>
      <c r="K970" s="21">
        <f>IF($A970="","",E970-'2_公式與參數'!$C$14)</f>
        <v/>
      </c>
      <c r="L970" s="22">
        <f>IF($A970="","",IF(H970="","",K970*'2_公式與參數'!$C$6*'2_公式與參數'!$C$7/J970*100))</f>
        <v/>
      </c>
    </row>
    <row r="971">
      <c r="J971" s="20">
        <f>IF($A971="","",IF(H971="","",H971*1000))</f>
        <v/>
      </c>
      <c r="K971" s="21">
        <f>IF($A971="","",E971-'2_公式與參數'!$C$14)</f>
        <v/>
      </c>
      <c r="L971" s="22">
        <f>IF($A971="","",IF(H971="","",K971*'2_公式與參數'!$C$6*'2_公式與參數'!$C$7/J971*100))</f>
        <v/>
      </c>
    </row>
    <row r="972">
      <c r="J972" s="20">
        <f>IF($A972="","",IF(H972="","",H972*1000))</f>
        <v/>
      </c>
      <c r="K972" s="21">
        <f>IF($A972="","",E972-'2_公式與參數'!$C$14)</f>
        <v/>
      </c>
      <c r="L972" s="22">
        <f>IF($A972="","",IF(H972="","",K972*'2_公式與參數'!$C$6*'2_公式與參數'!$C$7/J972*100))</f>
        <v/>
      </c>
    </row>
    <row r="973">
      <c r="J973" s="20">
        <f>IF($A973="","",IF(H973="","",H973*1000))</f>
        <v/>
      </c>
      <c r="K973" s="21">
        <f>IF($A973="","",E973-'2_公式與參數'!$C$14)</f>
        <v/>
      </c>
      <c r="L973" s="22">
        <f>IF($A973="","",IF(H973="","",K973*'2_公式與參數'!$C$6*'2_公式與參數'!$C$7/J973*100))</f>
        <v/>
      </c>
    </row>
    <row r="974">
      <c r="J974" s="20">
        <f>IF($A974="","",IF(H974="","",H974*1000))</f>
        <v/>
      </c>
      <c r="K974" s="21">
        <f>IF($A974="","",E974-'2_公式與參數'!$C$14)</f>
        <v/>
      </c>
      <c r="L974" s="22">
        <f>IF($A974="","",IF(H974="","",K974*'2_公式與參數'!$C$6*'2_公式與參數'!$C$7/J974*100))</f>
        <v/>
      </c>
    </row>
    <row r="975">
      <c r="J975" s="20">
        <f>IF($A975="","",IF(H975="","",H975*1000))</f>
        <v/>
      </c>
      <c r="K975" s="21">
        <f>IF($A975="","",E975-'2_公式與參數'!$C$14)</f>
        <v/>
      </c>
      <c r="L975" s="22">
        <f>IF($A975="","",IF(H975="","",K975*'2_公式與參數'!$C$6*'2_公式與參數'!$C$7/J975*100))</f>
        <v/>
      </c>
    </row>
    <row r="976">
      <c r="J976" s="20">
        <f>IF($A976="","",IF(H976="","",H976*1000))</f>
        <v/>
      </c>
      <c r="K976" s="21">
        <f>IF($A976="","",E976-'2_公式與參數'!$C$14)</f>
        <v/>
      </c>
      <c r="L976" s="22">
        <f>IF($A976="","",IF(H976="","",K976*'2_公式與參數'!$C$6*'2_公式與參數'!$C$7/J976*100))</f>
        <v/>
      </c>
    </row>
    <row r="977">
      <c r="J977" s="20">
        <f>IF($A977="","",IF(H977="","",H977*1000))</f>
        <v/>
      </c>
      <c r="K977" s="21">
        <f>IF($A977="","",E977-'2_公式與參數'!$C$14)</f>
        <v/>
      </c>
      <c r="L977" s="22">
        <f>IF($A977="","",IF(H977="","",K977*'2_公式與參數'!$C$6*'2_公式與參數'!$C$7/J977*100))</f>
        <v/>
      </c>
    </row>
    <row r="978">
      <c r="J978" s="20">
        <f>IF($A978="","",IF(H978="","",H978*1000))</f>
        <v/>
      </c>
      <c r="K978" s="21">
        <f>IF($A978="","",E978-'2_公式與參數'!$C$14)</f>
        <v/>
      </c>
      <c r="L978" s="22">
        <f>IF($A978="","",IF(H978="","",K978*'2_公式與參數'!$C$6*'2_公式與參數'!$C$7/J978*100))</f>
        <v/>
      </c>
    </row>
    <row r="979">
      <c r="J979" s="20">
        <f>IF($A979="","",IF(H979="","",H979*1000))</f>
        <v/>
      </c>
      <c r="K979" s="21">
        <f>IF($A979="","",E979-'2_公式與參數'!$C$14)</f>
        <v/>
      </c>
      <c r="L979" s="22">
        <f>IF($A979="","",IF(H979="","",K979*'2_公式與參數'!$C$6*'2_公式與參數'!$C$7/J979*100))</f>
        <v/>
      </c>
    </row>
    <row r="980">
      <c r="J980" s="20">
        <f>IF($A980="","",IF(H980="","",H980*1000))</f>
        <v/>
      </c>
      <c r="K980" s="21">
        <f>IF($A980="","",E980-'2_公式與參數'!$C$14)</f>
        <v/>
      </c>
      <c r="L980" s="22">
        <f>IF($A980="","",IF(H980="","",K980*'2_公式與參數'!$C$6*'2_公式與參數'!$C$7/J980*100))</f>
        <v/>
      </c>
    </row>
    <row r="981">
      <c r="J981" s="20">
        <f>IF($A981="","",IF(H981="","",H981*1000))</f>
        <v/>
      </c>
      <c r="K981" s="21">
        <f>IF($A981="","",E981-'2_公式與參數'!$C$14)</f>
        <v/>
      </c>
      <c r="L981" s="22">
        <f>IF($A981="","",IF(H981="","",K981*'2_公式與參數'!$C$6*'2_公式與參數'!$C$7/J981*100))</f>
        <v/>
      </c>
    </row>
    <row r="982">
      <c r="J982" s="20">
        <f>IF($A982="","",IF(H982="","",H982*1000))</f>
        <v/>
      </c>
      <c r="K982" s="21">
        <f>IF($A982="","",E982-'2_公式與參數'!$C$14)</f>
        <v/>
      </c>
      <c r="L982" s="22">
        <f>IF($A982="","",IF(H982="","",K982*'2_公式與參數'!$C$6*'2_公式與參數'!$C$7/J982*100))</f>
        <v/>
      </c>
    </row>
    <row r="983">
      <c r="J983" s="20">
        <f>IF($A983="","",IF(H983="","",H983*1000))</f>
        <v/>
      </c>
      <c r="K983" s="21">
        <f>IF($A983="","",E983-'2_公式與參數'!$C$14)</f>
        <v/>
      </c>
      <c r="L983" s="22">
        <f>IF($A983="","",IF(H983="","",K983*'2_公式與參數'!$C$6*'2_公式與參數'!$C$7/J983*100))</f>
        <v/>
      </c>
    </row>
    <row r="984">
      <c r="J984" s="20">
        <f>IF($A984="","",IF(H984="","",H984*1000))</f>
        <v/>
      </c>
      <c r="K984" s="21">
        <f>IF($A984="","",E984-'2_公式與參數'!$C$14)</f>
        <v/>
      </c>
      <c r="L984" s="22">
        <f>IF($A984="","",IF(H984="","",K984*'2_公式與參數'!$C$6*'2_公式與參數'!$C$7/J984*100))</f>
        <v/>
      </c>
    </row>
    <row r="985">
      <c r="J985" s="20">
        <f>IF($A985="","",IF(H985="","",H985*1000))</f>
        <v/>
      </c>
      <c r="K985" s="21">
        <f>IF($A985="","",E985-'2_公式與參數'!$C$14)</f>
        <v/>
      </c>
      <c r="L985" s="22">
        <f>IF($A985="","",IF(H985="","",K985*'2_公式與參數'!$C$6*'2_公式與參數'!$C$7/J985*100))</f>
        <v/>
      </c>
    </row>
    <row r="986">
      <c r="J986" s="20">
        <f>IF($A986="","",IF(H986="","",H986*1000))</f>
        <v/>
      </c>
      <c r="K986" s="21">
        <f>IF($A986="","",E986-'2_公式與參數'!$C$14)</f>
        <v/>
      </c>
      <c r="L986" s="22">
        <f>IF($A986="","",IF(H986="","",K986*'2_公式與參數'!$C$6*'2_公式與參數'!$C$7/J986*100))</f>
        <v/>
      </c>
    </row>
    <row r="987">
      <c r="J987" s="20">
        <f>IF($A987="","",IF(H987="","",H987*1000))</f>
        <v/>
      </c>
      <c r="K987" s="21">
        <f>IF($A987="","",E987-'2_公式與參數'!$C$14)</f>
        <v/>
      </c>
      <c r="L987" s="22">
        <f>IF($A987="","",IF(H987="","",K987*'2_公式與參數'!$C$6*'2_公式與參數'!$C$7/J987*100))</f>
        <v/>
      </c>
    </row>
    <row r="988">
      <c r="J988" s="20">
        <f>IF($A988="","",IF(H988="","",H988*1000))</f>
        <v/>
      </c>
      <c r="K988" s="21">
        <f>IF($A988="","",E988-'2_公式與參數'!$C$14)</f>
        <v/>
      </c>
      <c r="L988" s="22">
        <f>IF($A988="","",IF(H988="","",K988*'2_公式與參數'!$C$6*'2_公式與參數'!$C$7/J988*100))</f>
        <v/>
      </c>
    </row>
    <row r="989">
      <c r="J989" s="20">
        <f>IF($A989="","",IF(H989="","",H989*1000))</f>
        <v/>
      </c>
      <c r="K989" s="21">
        <f>IF($A989="","",E989-'2_公式與參數'!$C$14)</f>
        <v/>
      </c>
      <c r="L989" s="22">
        <f>IF($A989="","",IF(H989="","",K989*'2_公式與參數'!$C$6*'2_公式與參數'!$C$7/J989*100))</f>
        <v/>
      </c>
    </row>
    <row r="990">
      <c r="J990" s="20">
        <f>IF($A990="","",IF(H990="","",H990*1000))</f>
        <v/>
      </c>
      <c r="K990" s="21">
        <f>IF($A990="","",E990-'2_公式與參數'!$C$14)</f>
        <v/>
      </c>
      <c r="L990" s="22">
        <f>IF($A990="","",IF(H990="","",K990*'2_公式與參數'!$C$6*'2_公式與參數'!$C$7/J990*100))</f>
        <v/>
      </c>
    </row>
    <row r="991">
      <c r="J991" s="20">
        <f>IF($A991="","",IF(H991="","",H991*1000))</f>
        <v/>
      </c>
      <c r="K991" s="21">
        <f>IF($A991="","",E991-'2_公式與參數'!$C$14)</f>
        <v/>
      </c>
      <c r="L991" s="22">
        <f>IF($A991="","",IF(H991="","",K991*'2_公式與參數'!$C$6*'2_公式與參數'!$C$7/J991*100))</f>
        <v/>
      </c>
    </row>
    <row r="992">
      <c r="J992" s="20">
        <f>IF($A992="","",IF(H992="","",H992*1000))</f>
        <v/>
      </c>
      <c r="K992" s="21">
        <f>IF($A992="","",E992-'2_公式與參數'!$C$14)</f>
        <v/>
      </c>
      <c r="L992" s="22">
        <f>IF($A992="","",IF(H992="","",K992*'2_公式與參數'!$C$6*'2_公式與參數'!$C$7/J992*100))</f>
        <v/>
      </c>
    </row>
    <row r="993">
      <c r="J993" s="20">
        <f>IF($A993="","",IF(H993="","",H993*1000))</f>
        <v/>
      </c>
      <c r="K993" s="21">
        <f>IF($A993="","",E993-'2_公式與參數'!$C$14)</f>
        <v/>
      </c>
      <c r="L993" s="22">
        <f>IF($A993="","",IF(H993="","",K993*'2_公式與參數'!$C$6*'2_公式與參數'!$C$7/J993*100))</f>
        <v/>
      </c>
    </row>
    <row r="994">
      <c r="J994" s="20">
        <f>IF($A994="","",IF(H994="","",H994*1000))</f>
        <v/>
      </c>
      <c r="K994" s="21">
        <f>IF($A994="","",E994-'2_公式與參數'!$C$14)</f>
        <v/>
      </c>
      <c r="L994" s="22">
        <f>IF($A994="","",IF(H994="","",K994*'2_公式與參數'!$C$6*'2_公式與參數'!$C$7/J994*100))</f>
        <v/>
      </c>
    </row>
    <row r="995">
      <c r="J995" s="20">
        <f>IF($A995="","",IF(H995="","",H995*1000))</f>
        <v/>
      </c>
      <c r="K995" s="21">
        <f>IF($A995="","",E995-'2_公式與參數'!$C$14)</f>
        <v/>
      </c>
      <c r="L995" s="22">
        <f>IF($A995="","",IF(H995="","",K995*'2_公式與參數'!$C$6*'2_公式與參數'!$C$7/J995*100))</f>
        <v/>
      </c>
    </row>
    <row r="996">
      <c r="J996" s="20">
        <f>IF($A996="","",IF(H996="","",H996*1000))</f>
        <v/>
      </c>
      <c r="K996" s="21">
        <f>IF($A996="","",E996-'2_公式與參數'!$C$14)</f>
        <v/>
      </c>
      <c r="L996" s="22">
        <f>IF($A996="","",IF(H996="","",K996*'2_公式與參數'!$C$6*'2_公式與參數'!$C$7/J996*100))</f>
        <v/>
      </c>
    </row>
    <row r="997">
      <c r="J997" s="20">
        <f>IF($A997="","",IF(H997="","",H997*1000))</f>
        <v/>
      </c>
      <c r="K997" s="21">
        <f>IF($A997="","",E997-'2_公式與參數'!$C$14)</f>
        <v/>
      </c>
      <c r="L997" s="22">
        <f>IF($A997="","",IF(H997="","",K997*'2_公式與參數'!$C$6*'2_公式與參數'!$C$7/J997*100))</f>
        <v/>
      </c>
    </row>
    <row r="998">
      <c r="J998" s="20">
        <f>IF($A998="","",IF(H998="","",H998*1000))</f>
        <v/>
      </c>
      <c r="K998" s="21">
        <f>IF($A998="","",E998-'2_公式與參數'!$C$14)</f>
        <v/>
      </c>
      <c r="L998" s="22">
        <f>IF($A998="","",IF(H998="","",K998*'2_公式與參數'!$C$6*'2_公式與參數'!$C$7/J998*100))</f>
        <v/>
      </c>
    </row>
    <row r="999">
      <c r="J999" s="20">
        <f>IF($A999="","",IF(H999="","",H999*1000))</f>
        <v/>
      </c>
      <c r="K999" s="21">
        <f>IF($A999="","",E999-'2_公式與參數'!$C$14)</f>
        <v/>
      </c>
      <c r="L999" s="22">
        <f>IF($A999="","",IF(H999="","",K999*'2_公式與參數'!$C$6*'2_公式與參數'!$C$7/J999*100))</f>
        <v/>
      </c>
    </row>
    <row r="1000">
      <c r="J1000" s="20">
        <f>IF($A1000="","",IF(H1000="","",H1000*1000))</f>
        <v/>
      </c>
      <c r="K1000" s="21">
        <f>IF($A1000="","",E1000-'2_公式與參數'!$C$14)</f>
        <v/>
      </c>
      <c r="L1000" s="22">
        <f>IF($A1000="","",IF(H1000="","",K1000*'2_公式與參數'!$C$6*'2_公式與參數'!$C$7/J1000*100))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0" customWidth="1" min="4" max="4"/>
    <col width="64" customWidth="1" min="5" max="5"/>
  </cols>
  <sheetData>
    <row r="1">
      <c r="B1" s="1" t="inlineStr">
        <is>
          <t>步驟 1　凱氏法公式、參數與換算係數</t>
        </is>
      </c>
    </row>
    <row r="2">
      <c r="B2" s="16" t="inlineStr">
        <is>
          <t>凱氏法量到的是「總氮」。先算 %N，再乘上換算係數才是蛋白質 %。這張表的參數會被後面所有工作表引用。</t>
        </is>
      </c>
    </row>
    <row r="4">
      <c r="B4" s="3" t="inlineStr">
        <is>
          <t>參數</t>
        </is>
      </c>
    </row>
    <row r="5" ht="30" customHeight="1">
      <c r="B5" s="9" t="inlineStr">
        <is>
          <t>參數</t>
        </is>
      </c>
      <c r="C5" s="9" t="inlineStr">
        <is>
          <t>數值</t>
        </is>
      </c>
      <c r="D5" s="9" t="inlineStr">
        <is>
          <t>單位</t>
        </is>
      </c>
      <c r="E5" s="9" t="inlineStr">
        <is>
          <t>說明</t>
        </is>
      </c>
    </row>
    <row r="6" ht="30" customHeight="1">
      <c r="B6" s="23" t="inlineStr">
        <is>
          <t>HCl 標準化濃度 N_HCl</t>
        </is>
      </c>
      <c r="C6" s="24" t="n">
        <v>0.1</v>
      </c>
      <c r="D6" s="23" t="inlineStr">
        <is>
          <t>eq/L</t>
        </is>
      </c>
      <c r="E6" s="16" t="inlineStr">
        <is>
          <t>本週全班共用、已用 Na₂CO₃ 或 THAM 標定過的 HCl。換成你們實際標定的濃度。</t>
        </is>
      </c>
    </row>
    <row r="7">
      <c r="B7" s="23" t="inlineStr">
        <is>
          <t>氮原子量 N</t>
        </is>
      </c>
      <c r="C7" s="25" t="n">
        <v>14.007</v>
      </c>
      <c r="D7" s="23" t="inlineStr">
        <is>
          <t>g/mol</t>
        </is>
      </c>
      <c r="E7" s="16" t="inlineStr">
        <is>
          <t>1 meq HCl 對應 14.007 mg 氮。以下原子量請不要改。</t>
        </is>
      </c>
    </row>
    <row r="8">
      <c r="B8" s="23" t="inlineStr">
        <is>
          <t>氫原子量 H</t>
        </is>
      </c>
      <c r="C8" s="25" t="n">
        <v>1.008</v>
      </c>
      <c r="D8" s="23" t="inlineStr">
        <is>
          <t>g/mol</t>
        </is>
      </c>
      <c r="E8" s="16" t="inlineStr"/>
    </row>
    <row r="9">
      <c r="B9" s="23" t="inlineStr">
        <is>
          <t>碳原子量 C</t>
        </is>
      </c>
      <c r="C9" s="25" t="n">
        <v>12.011</v>
      </c>
      <c r="D9" s="23" t="inlineStr">
        <is>
          <t>g/mol</t>
        </is>
      </c>
      <c r="E9" s="16" t="inlineStr"/>
    </row>
    <row r="10">
      <c r="B10" s="23" t="inlineStr">
        <is>
          <t>氧原子量 O</t>
        </is>
      </c>
      <c r="C10" s="26" t="n">
        <v>16</v>
      </c>
      <c r="D10" s="23" t="inlineStr">
        <is>
          <t>g/mol</t>
        </is>
      </c>
      <c r="E10" s="16" t="inlineStr"/>
    </row>
    <row r="11">
      <c r="B11" s="23" t="inlineStr">
        <is>
          <t>硫原子量 S</t>
        </is>
      </c>
      <c r="C11" s="26" t="n">
        <v>32.06</v>
      </c>
      <c r="D11" s="23" t="inlineStr">
        <is>
          <t>g/mol</t>
        </is>
      </c>
      <c r="E11" s="16" t="inlineStr"/>
    </row>
    <row r="12" ht="30" customHeight="1">
      <c r="B12" s="23" t="inlineStr">
        <is>
          <t>試劑空白實測 V_b</t>
        </is>
      </c>
      <c r="C12" s="27">
        <f>AVERAGEIFS('1_原始數據'!$E$2:$E$1000,'1_原始數據'!$C$2:$C$1000,"reagent_blank")</f>
        <v/>
      </c>
      <c r="D12" s="23" t="inlineStr">
        <is>
          <t>mL</t>
        </is>
      </c>
      <c r="E12" s="16" t="inlineStr">
        <is>
          <t>=AVERAGEIFS(value, item, "reagent_blank")　從「1_原始數據」抓試劑空白管的滴定體積。有兩管以上空白時自動取平均。</t>
        </is>
      </c>
    </row>
    <row r="13" ht="30" customHeight="1">
      <c r="B13" s="23" t="inlineStr">
        <is>
          <t>是否扣除空白（1＝扣，0＝不扣）</t>
        </is>
      </c>
      <c r="C13" s="28" t="n">
        <v>1</v>
      </c>
      <c r="D13" s="23" t="inlineStr"/>
      <c r="E13" s="16" t="inlineStr">
        <is>
          <t>正常一定是 1。練習題 1 會請你暫時改成 0，看看忘記扣空白會高估多少。</t>
        </is>
      </c>
    </row>
    <row r="14" ht="30" customHeight="1">
      <c r="B14" s="29" t="inlineStr">
        <is>
          <t>計算用 V_b</t>
        </is>
      </c>
      <c r="C14" s="30">
        <f>C12*C13</f>
        <v/>
      </c>
      <c r="D14" s="23" t="inlineStr">
        <is>
          <t>mL</t>
        </is>
      </c>
      <c r="E14" s="16" t="inlineStr">
        <is>
          <t>= 實測 V_b × 開關。後面每一個 %N 都用這一格。</t>
        </is>
      </c>
    </row>
    <row r="16">
      <c r="B16" s="3" t="inlineStr">
        <is>
          <t>換算係數（蛋白質 % = %N × 係數）</t>
        </is>
      </c>
    </row>
    <row r="17">
      <c r="B17" s="9" t="inlineStr">
        <is>
          <t>食品類別</t>
        </is>
      </c>
      <c r="C17" s="9" t="inlineStr">
        <is>
          <t>係數</t>
        </is>
      </c>
      <c r="D17" s="9" t="inlineStr"/>
      <c r="E17" s="9" t="inlineStr">
        <is>
          <t>理由（簡述）</t>
        </is>
      </c>
    </row>
    <row r="18">
      <c r="B18" s="23" t="inlineStr">
        <is>
          <t>一般</t>
        </is>
      </c>
      <c r="C18" s="26" t="n">
        <v>6.25</v>
      </c>
      <c r="D18" s="23" t="inlineStr"/>
      <c r="E18" s="16" t="inlineStr">
        <is>
          <t>一般食品（通用值）：假設蛋白質平均含氮 16%（1 ÷ 0.16 = 6.25）</t>
        </is>
      </c>
    </row>
    <row r="19">
      <c r="B19" s="23" t="inlineStr">
        <is>
          <t>小麥</t>
        </is>
      </c>
      <c r="C19" s="26" t="n">
        <v>5.7</v>
      </c>
      <c r="D19" s="23" t="inlineStr"/>
      <c r="E19" s="16" t="inlineStr">
        <is>
          <t>小麥／穀類：穀類蛋白（麩質）含氮比例較高，需用較小係數</t>
        </is>
      </c>
    </row>
    <row r="20">
      <c r="B20" s="23" t="inlineStr">
        <is>
          <t>乳品</t>
        </is>
      </c>
      <c r="C20" s="26" t="n">
        <v>6.38</v>
      </c>
      <c r="D20" s="23" t="inlineStr"/>
      <c r="E20" s="16" t="inlineStr">
        <is>
          <t>乳品：酪蛋白等乳蛋白含氮比例較低，需用較大係數</t>
        </is>
      </c>
    </row>
    <row r="22">
      <c r="B22" s="3" t="inlineStr">
        <is>
          <t>公式</t>
        </is>
      </c>
    </row>
    <row r="23">
      <c r="B23" s="31" t="inlineStr">
        <is>
          <t>%N</t>
        </is>
      </c>
      <c r="C23" s="6" t="inlineStr">
        <is>
          <t>%N = (V_s − V_b) × N_HCl × 14.007 ÷ W_mg × 100</t>
        </is>
      </c>
    </row>
    <row r="24">
      <c r="B24" s="31" t="inlineStr">
        <is>
          <t>符號</t>
        </is>
      </c>
      <c r="C24" s="6" t="inlineStr">
        <is>
          <t>V_s 樣品滴定 HCl 體積 (mL)；V_b 試劑空白體積 (mL)；W_mg 樣品重（毫克＝公克 × 1000）</t>
        </is>
      </c>
    </row>
    <row r="25">
      <c r="B25" s="31" t="inlineStr">
        <is>
          <t>為什麼</t>
        </is>
      </c>
      <c r="C25" s="6" t="inlineStr">
        <is>
          <t>(V_s − V_b) × N_HCl ＝ 樣品放出的 NH₃ 毫當量 (meq)；× 14.007 ＝ 氮的毫克數；÷ 樣品毫克數 × 100 ＝ %N</t>
        </is>
      </c>
    </row>
    <row r="26">
      <c r="B26" s="31" t="inlineStr">
        <is>
          <t>蛋白質 %</t>
        </is>
      </c>
      <c r="C26" s="6" t="inlineStr">
        <is>
          <t>蛋白質 % = %N × 換算係數（一般 6.25／小麥 5.7／乳品 6.38）</t>
        </is>
      </c>
    </row>
    <row r="27">
      <c r="B27" s="31" t="inlineStr">
        <is>
          <t>硼酸</t>
        </is>
      </c>
      <c r="C27" s="6" t="inlineStr">
        <is>
          <t>蒸出的 NH₃ 被 4% 硼酸捕捉，再用標準 HCl 滴定。硼酸只負責捕氨，本身不需要標定，也不進公式。</t>
        </is>
      </c>
    </row>
    <row r="29">
      <c r="B29" s="3" t="inlineStr">
        <is>
          <t>自我檢查：一管樣品從滴定體積算到蛋白質 %</t>
        </is>
      </c>
    </row>
    <row r="30">
      <c r="B30" s="9" t="inlineStr">
        <is>
          <t>項目</t>
        </is>
      </c>
      <c r="C30" s="9" t="inlineStr">
        <is>
          <t>數值</t>
        </is>
      </c>
      <c r="D30" s="9" t="inlineStr">
        <is>
          <t>單位</t>
        </is>
      </c>
      <c r="E30" s="9" t="inlineStr">
        <is>
          <t>公式說明</t>
        </is>
      </c>
    </row>
    <row r="31">
      <c r="B31" s="23" t="inlineStr">
        <is>
          <t>樣品滴定體積 V_s</t>
        </is>
      </c>
      <c r="C31" s="24" t="n">
        <v>14.67</v>
      </c>
      <c r="D31" s="23" t="inlineStr">
        <is>
          <t>mL</t>
        </is>
      </c>
      <c r="E31" s="16" t="inlineStr">
        <is>
          <t>預設是 G1 的全脂奶粉盲樣</t>
        </is>
      </c>
    </row>
    <row r="32">
      <c r="B32" s="23" t="inlineStr">
        <is>
          <t>樣品重 W</t>
        </is>
      </c>
      <c r="C32" s="24" t="n">
        <v>0.5004999999999999</v>
      </c>
      <c r="D32" s="23" t="inlineStr">
        <is>
          <t>g</t>
        </is>
      </c>
      <c r="E32" s="16" t="inlineStr"/>
    </row>
    <row r="33">
      <c r="B33" s="23" t="inlineStr">
        <is>
          <t>食品類別（一般／小麥／乳品）</t>
        </is>
      </c>
      <c r="C33" s="5" t="inlineStr">
        <is>
          <t>乳品</t>
        </is>
      </c>
      <c r="D33" s="23" t="inlineStr"/>
      <c r="E33" s="16" t="inlineStr">
        <is>
          <t>從下拉選單選；決定用哪一個換算係數</t>
        </is>
      </c>
    </row>
    <row r="34">
      <c r="B34" s="23" t="inlineStr">
        <is>
          <t>淨滴定體積 V_s − V_b</t>
        </is>
      </c>
      <c r="C34" s="11">
        <f>C31-C14</f>
        <v/>
      </c>
      <c r="D34" s="23" t="inlineStr">
        <is>
          <t>mL</t>
        </is>
      </c>
      <c r="E34" s="16" t="inlineStr">
        <is>
          <t>扣掉試劑本身消耗的 HCl</t>
        </is>
      </c>
    </row>
    <row r="35">
      <c r="B35" s="23" t="inlineStr">
        <is>
          <t>氮的毫克數</t>
        </is>
      </c>
      <c r="C35" s="11">
        <f>C34*'2_公式與參數'!$C$6*'2_公式與參數'!$C$7</f>
        <v/>
      </c>
      <c r="D35" s="23" t="inlineStr">
        <is>
          <t>mg</t>
        </is>
      </c>
      <c r="E35" s="16" t="inlineStr">
        <is>
          <t>= 淨體積 × N_HCl × 14.007</t>
        </is>
      </c>
    </row>
    <row r="36">
      <c r="B36" s="23" t="inlineStr">
        <is>
          <t>樣品毫克數 W_mg</t>
        </is>
      </c>
      <c r="C36" s="11">
        <f>C32*1000</f>
        <v/>
      </c>
      <c r="D36" s="23" t="inlineStr">
        <is>
          <t>mg</t>
        </is>
      </c>
      <c r="E36" s="16" t="inlineStr">
        <is>
          <t>公克 × 1000。忘記換算會差 1000 倍！</t>
        </is>
      </c>
    </row>
    <row r="37">
      <c r="B37" s="23" t="inlineStr">
        <is>
          <t>%N</t>
        </is>
      </c>
      <c r="C37" s="32">
        <f>C35/C36*100</f>
        <v/>
      </c>
      <c r="D37" s="23" t="inlineStr">
        <is>
          <t>%</t>
        </is>
      </c>
      <c r="E37" s="16" t="inlineStr">
        <is>
          <t>= 氮 mg ÷ 樣品 mg × 100。G1 應為 4.0188%</t>
        </is>
      </c>
    </row>
    <row r="38" ht="30" customHeight="1">
      <c r="B38" s="23" t="inlineStr">
        <is>
          <t>換算係數</t>
        </is>
      </c>
      <c r="C38" s="27">
        <f>VLOOKUP(C33,$B$18:$C$20,2,FALSE)</f>
        <v/>
      </c>
      <c r="D38" s="23" t="inlineStr"/>
      <c r="E38" s="16" t="inlineStr">
        <is>
          <t>VLOOKUP(要找的值, 表格範圍, 第幾欄, FALSE＝完全相符)：到上面係數表找「乳品」那一列的第 2 欄</t>
        </is>
      </c>
    </row>
    <row r="39">
      <c r="B39" s="23" t="inlineStr">
        <is>
          <t>蛋白質 (%)</t>
        </is>
      </c>
      <c r="C39" s="32">
        <f>C37*C38</f>
        <v/>
      </c>
      <c r="D39" s="23" t="inlineStr">
        <is>
          <t>%</t>
        </is>
      </c>
      <c r="E39" s="16" t="inlineStr">
        <is>
          <t>= %N × 係數。G1 應為 25.64%</t>
        </is>
      </c>
    </row>
  </sheetData>
  <mergeCells count="6">
    <mergeCell ref="C27:E27"/>
    <mergeCell ref="C23:E23"/>
    <mergeCell ref="C26:E26"/>
    <mergeCell ref="B2:E2"/>
    <mergeCell ref="C25:E25"/>
    <mergeCell ref="C24:E24"/>
  </mergeCells>
  <dataValidations count="2">
    <dataValidation sqref="C13" showDropDown="0" showInputMessage="0" showErrorMessage="0" allowBlank="0" type="list">
      <formula1>"1,0"</formula1>
    </dataValidation>
    <dataValidation sqref="C33" showDropDown="0" showInputMessage="0" showErrorMessage="0" allowBlank="0" type="list">
      <formula1>=$B$18:$B$20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P3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11" customWidth="1" min="4" max="4"/>
    <col width="12" customWidth="1" min="5" max="5"/>
    <col width="12" customWidth="1" min="6" max="6"/>
    <col width="11" customWidth="1" min="7" max="7"/>
    <col width="13" customWidth="1" min="8" max="8"/>
    <col width="3" customWidth="1" min="9" max="9"/>
    <col width="26" customWidth="1" min="10" max="10"/>
    <col width="14" customWidth="1" min="11" max="11"/>
    <col width="56" customWidth="1" min="12" max="12"/>
    <col width="12" customWidth="1" min="14" max="14"/>
    <col width="12" customWidth="1" min="15" max="15"/>
    <col width="12" customWidth="1" min="16" max="16"/>
  </cols>
  <sheetData>
    <row r="1">
      <c r="A1" s="1" t="inlineStr">
        <is>
          <t>步驟 2　全班盲樣：全脂奶粉 (n = 5，每組 1 管)</t>
        </is>
      </c>
    </row>
    <row r="2">
      <c r="A2" s="16" t="inlineStr">
        <is>
          <t>每組消化 1 管，全班湊成 n = 5。C、D 欄用 SUMIFS 依「學生＋管別」抓滴定體積與樣品重，其餘是公式。乳品用係數 6.38。</t>
        </is>
      </c>
    </row>
    <row r="3">
      <c r="A3" s="23" t="inlineStr">
        <is>
          <t>管別代號</t>
        </is>
      </c>
      <c r="B3" s="33" t="n"/>
      <c r="C3" s="5" t="inlineStr">
        <is>
          <t>milk_powder_blind</t>
        </is>
      </c>
    </row>
    <row r="4">
      <c r="N4" s="2" t="inlineStr">
        <is>
          <t>圖用輔助數據（自動計算）</t>
        </is>
      </c>
    </row>
    <row r="5" ht="30" customHeight="1">
      <c r="A5" s="9" t="inlineStr">
        <is>
          <t>組別</t>
        </is>
      </c>
      <c r="B5" s="9" t="inlineStr">
        <is>
          <t>學生</t>
        </is>
      </c>
      <c r="C5" s="9" t="inlineStr">
        <is>
          <t>V_s (mL)</t>
        </is>
      </c>
      <c r="D5" s="9" t="inlineStr">
        <is>
          <t>W (g)</t>
        </is>
      </c>
      <c r="E5" s="9" t="inlineStr">
        <is>
          <t>V_s − V_b (mL)</t>
        </is>
      </c>
      <c r="F5" s="9" t="inlineStr">
        <is>
          <t>W (mg)</t>
        </is>
      </c>
      <c r="G5" s="9" t="inlineStr">
        <is>
          <t>%N</t>
        </is>
      </c>
      <c r="H5" s="9" t="inlineStr">
        <is>
          <t>蛋白質 (%)</t>
        </is>
      </c>
      <c r="J5" s="9" t="inlineStr">
        <is>
          <t>項目</t>
        </is>
      </c>
      <c r="K5" s="9" t="inlineStr">
        <is>
          <t>數值</t>
        </is>
      </c>
      <c r="L5" s="9" t="inlineStr">
        <is>
          <t>公式說明</t>
        </is>
      </c>
      <c r="N5" s="9" t="inlineStr">
        <is>
          <t>class mean</t>
        </is>
      </c>
      <c r="O5" s="9" t="inlineStr">
        <is>
          <t>mean - 95% CI</t>
        </is>
      </c>
      <c r="P5" s="9" t="inlineStr">
        <is>
          <t>mean + 95% CI</t>
        </is>
      </c>
    </row>
    <row r="6">
      <c r="A6" s="5" t="n">
        <v>1</v>
      </c>
      <c r="B6" s="5" t="inlineStr">
        <is>
          <t>G1</t>
        </is>
      </c>
      <c r="C6" s="27">
        <f>IF(COUNTIFS('1_原始數據'!$B$2:$B$1000,B6,'1_原始數據'!$C$2:$C$1000,$C$3)=0,"",SUMIFS('1_原始數據'!$E$2:$E$1000,'1_原始數據'!$B$2:$B$1000,B6,'1_原始數據'!$C$2:$C$1000,$C$3))</f>
        <v/>
      </c>
      <c r="D6" s="11">
        <f>IF(COUNTIFS('1_原始數據'!$B$2:$B$1000,B6,'1_原始數據'!$C$2:$C$1000,$C$3)=0,"",SUMIFS('1_原始數據'!$H$2:$H$1000,'1_原始數據'!$B$2:$B$1000,B6,'1_原始數據'!$C$2:$C$1000,$C$3))</f>
        <v/>
      </c>
      <c r="E6" s="27">
        <f>C6-'2_公式與參數'!$C$14</f>
        <v/>
      </c>
      <c r="F6" s="34">
        <f>D6*1000</f>
        <v/>
      </c>
      <c r="G6" s="11">
        <f>E6*'2_公式與參數'!$C$6*'2_公式與參數'!$C$7/F6*100</f>
        <v/>
      </c>
      <c r="H6" s="30">
        <f>G6*'2_公式與參數'!$C$20</f>
        <v/>
      </c>
      <c r="J6" s="23" t="inlineStr">
        <is>
          <t>n（管數）</t>
        </is>
      </c>
      <c r="K6" s="35">
        <f>COUNT(H6:H10)</f>
        <v/>
      </c>
      <c r="L6" s="16" t="inlineStr">
        <is>
          <t>COUNT 數有幾個數字</t>
        </is>
      </c>
      <c r="N6" s="27">
        <f>$K$8</f>
        <v/>
      </c>
      <c r="O6" s="27">
        <f>$K$8-$K$12</f>
        <v/>
      </c>
      <c r="P6" s="27">
        <f>$K$8+$K$12</f>
        <v/>
      </c>
    </row>
    <row r="7">
      <c r="A7" s="5" t="n">
        <v>2</v>
      </c>
      <c r="B7" s="5" t="inlineStr">
        <is>
          <t>G2</t>
        </is>
      </c>
      <c r="C7" s="27">
        <f>IF(COUNTIFS('1_原始數據'!$B$2:$B$1000,B7,'1_原始數據'!$C$2:$C$1000,$C$3)=0,"",SUMIFS('1_原始數據'!$E$2:$E$1000,'1_原始數據'!$B$2:$B$1000,B7,'1_原始數據'!$C$2:$C$1000,$C$3))</f>
        <v/>
      </c>
      <c r="D7" s="11">
        <f>IF(COUNTIFS('1_原始數據'!$B$2:$B$1000,B7,'1_原始數據'!$C$2:$C$1000,$C$3)=0,"",SUMIFS('1_原始數據'!$H$2:$H$1000,'1_原始數據'!$B$2:$B$1000,B7,'1_原始數據'!$C$2:$C$1000,$C$3))</f>
        <v/>
      </c>
      <c r="E7" s="27">
        <f>C7-'2_公式與參數'!$C$14</f>
        <v/>
      </c>
      <c r="F7" s="34">
        <f>D7*1000</f>
        <v/>
      </c>
      <c r="G7" s="11">
        <f>E7*'2_公式與參數'!$C$6*'2_公式與參數'!$C$7/F7*100</f>
        <v/>
      </c>
      <c r="H7" s="30">
        <f>G7*'2_公式與參數'!$C$20</f>
        <v/>
      </c>
      <c r="J7" s="23" t="inlineStr">
        <is>
          <t>平均 %N</t>
        </is>
      </c>
      <c r="K7" s="11">
        <f>AVERAGE(G6:G10)</f>
        <v/>
      </c>
      <c r="L7" s="16" t="inlineStr"/>
      <c r="N7" s="27">
        <f>$K$8</f>
        <v/>
      </c>
      <c r="O7" s="27">
        <f>$K$8-$K$12</f>
        <v/>
      </c>
      <c r="P7" s="27">
        <f>$K$8+$K$12</f>
        <v/>
      </c>
    </row>
    <row r="8">
      <c r="A8" s="5" t="n">
        <v>3</v>
      </c>
      <c r="B8" s="5" t="inlineStr">
        <is>
          <t>G3</t>
        </is>
      </c>
      <c r="C8" s="27">
        <f>IF(COUNTIFS('1_原始數據'!$B$2:$B$1000,B8,'1_原始數據'!$C$2:$C$1000,$C$3)=0,"",SUMIFS('1_原始數據'!$E$2:$E$1000,'1_原始數據'!$B$2:$B$1000,B8,'1_原始數據'!$C$2:$C$1000,$C$3))</f>
        <v/>
      </c>
      <c r="D8" s="11">
        <f>IF(COUNTIFS('1_原始數據'!$B$2:$B$1000,B8,'1_原始數據'!$C$2:$C$1000,$C$3)=0,"",SUMIFS('1_原始數據'!$H$2:$H$1000,'1_原始數據'!$B$2:$B$1000,B8,'1_原始數據'!$C$2:$C$1000,$C$3))</f>
        <v/>
      </c>
      <c r="E8" s="27">
        <f>C8-'2_公式與參數'!$C$14</f>
        <v/>
      </c>
      <c r="F8" s="34">
        <f>D8*1000</f>
        <v/>
      </c>
      <c r="G8" s="11">
        <f>E8*'2_公式與參數'!$C$6*'2_公式與參數'!$C$7/F8*100</f>
        <v/>
      </c>
      <c r="H8" s="30">
        <f>G8*'2_公式與參數'!$C$20</f>
        <v/>
      </c>
      <c r="J8" s="23" t="inlineStr">
        <is>
          <t>平均蛋白質 (%)</t>
        </is>
      </c>
      <c r="K8" s="30">
        <f>AVERAGE(H6:H10)</f>
        <v/>
      </c>
      <c r="L8" s="16" t="inlineStr">
        <is>
          <t>班級平均</t>
        </is>
      </c>
      <c r="N8" s="27">
        <f>$K$8</f>
        <v/>
      </c>
      <c r="O8" s="27">
        <f>$K$8-$K$12</f>
        <v/>
      </c>
      <c r="P8" s="27">
        <f>$K$8+$K$12</f>
        <v/>
      </c>
    </row>
    <row r="9">
      <c r="A9" s="5" t="n">
        <v>4</v>
      </c>
      <c r="B9" s="5" t="inlineStr">
        <is>
          <t>G4</t>
        </is>
      </c>
      <c r="C9" s="27">
        <f>IF(COUNTIFS('1_原始數據'!$B$2:$B$1000,B9,'1_原始數據'!$C$2:$C$1000,$C$3)=0,"",SUMIFS('1_原始數據'!$E$2:$E$1000,'1_原始數據'!$B$2:$B$1000,B9,'1_原始數據'!$C$2:$C$1000,$C$3))</f>
        <v/>
      </c>
      <c r="D9" s="11">
        <f>IF(COUNTIFS('1_原始數據'!$B$2:$B$1000,B9,'1_原始數據'!$C$2:$C$1000,$C$3)=0,"",SUMIFS('1_原始數據'!$H$2:$H$1000,'1_原始數據'!$B$2:$B$1000,B9,'1_原始數據'!$C$2:$C$1000,$C$3))</f>
        <v/>
      </c>
      <c r="E9" s="27">
        <f>C9-'2_公式與參數'!$C$14</f>
        <v/>
      </c>
      <c r="F9" s="34">
        <f>D9*1000</f>
        <v/>
      </c>
      <c r="G9" s="11">
        <f>E9*'2_公式與參數'!$C$6*'2_公式與參數'!$C$7/F9*100</f>
        <v/>
      </c>
      <c r="H9" s="30">
        <f>G9*'2_公式與參數'!$C$20</f>
        <v/>
      </c>
      <c r="J9" s="23" t="inlineStr">
        <is>
          <t>SD (%)</t>
        </is>
      </c>
      <c r="K9" s="14">
        <f>_xlfn.STDEV.S(H6:H10)</f>
        <v/>
      </c>
      <c r="L9" s="16" t="inlineStr">
        <is>
          <t>STDEV.S：樣本標準差（除以 n − 1）</t>
        </is>
      </c>
      <c r="N9" s="27">
        <f>$K$8</f>
        <v/>
      </c>
      <c r="O9" s="27">
        <f>$K$8-$K$12</f>
        <v/>
      </c>
      <c r="P9" s="27">
        <f>$K$8+$K$12</f>
        <v/>
      </c>
    </row>
    <row r="10">
      <c r="A10" s="5" t="n">
        <v>5</v>
      </c>
      <c r="B10" s="5" t="inlineStr">
        <is>
          <t>G5</t>
        </is>
      </c>
      <c r="C10" s="27">
        <f>IF(COUNTIFS('1_原始數據'!$B$2:$B$1000,B10,'1_原始數據'!$C$2:$C$1000,$C$3)=0,"",SUMIFS('1_原始數據'!$E$2:$E$1000,'1_原始數據'!$B$2:$B$1000,B10,'1_原始數據'!$C$2:$C$1000,$C$3))</f>
        <v/>
      </c>
      <c r="D10" s="11">
        <f>IF(COUNTIFS('1_原始數據'!$B$2:$B$1000,B10,'1_原始數據'!$C$2:$C$1000,$C$3)=0,"",SUMIFS('1_原始數據'!$H$2:$H$1000,'1_原始數據'!$B$2:$B$1000,B10,'1_原始數據'!$C$2:$C$1000,$C$3))</f>
        <v/>
      </c>
      <c r="E10" s="27">
        <f>C10-'2_公式與參數'!$C$14</f>
        <v/>
      </c>
      <c r="F10" s="34">
        <f>D10*1000</f>
        <v/>
      </c>
      <c r="G10" s="11">
        <f>E10*'2_公式與參數'!$C$6*'2_公式與參數'!$C$7/F10*100</f>
        <v/>
      </c>
      <c r="H10" s="30">
        <f>G10*'2_公式與參數'!$C$20</f>
        <v/>
      </c>
      <c r="J10" s="23" t="inlineStr">
        <is>
          <t>標準誤 SEM (%)</t>
        </is>
      </c>
      <c r="K10" s="11">
        <f>K9/SQRT(K6)</f>
        <v/>
      </c>
      <c r="L10" s="16" t="inlineStr">
        <is>
          <t>= SD ÷ √n，代表「平均值」的不確定度</t>
        </is>
      </c>
      <c r="N10" s="27">
        <f>$K$8</f>
        <v/>
      </c>
      <c r="O10" s="27">
        <f>$K$8-$K$12</f>
        <v/>
      </c>
      <c r="P10" s="27">
        <f>$K$8+$K$12</f>
        <v/>
      </c>
    </row>
    <row r="11">
      <c r="A11" s="16" t="inlineStr">
        <is>
          <t>E＝扣空白；F＝公克換毫克；G＝%N（公式見「2_公式與參數」）；H＝%N × 乳品係數 6.38。</t>
        </is>
      </c>
      <c r="J11" s="23" t="inlineStr">
        <is>
          <t>t 臨界值（95%）</t>
        </is>
      </c>
      <c r="K11" s="14">
        <f>_xlfn.T.INV.2T(0.05,K6-1)</f>
        <v/>
      </c>
      <c r="L11" s="16" t="inlineStr">
        <is>
          <t>T.INV.2T(0.05, n − 1)；n = 5 時約 2.776</t>
        </is>
      </c>
    </row>
    <row r="12">
      <c r="J12" s="23" t="inlineStr">
        <is>
          <t>95% CI 半寬 (%)</t>
        </is>
      </c>
      <c r="K12" s="30">
        <f>K11*K10</f>
        <v/>
      </c>
      <c r="L12" s="16" t="inlineStr">
        <is>
          <t>= t × SEM</t>
        </is>
      </c>
    </row>
    <row r="13">
      <c r="J13" s="23" t="inlineStr">
        <is>
          <t>RSD (%)</t>
        </is>
      </c>
      <c r="K13" s="30">
        <f>K9/K8*100</f>
        <v/>
      </c>
      <c r="L13" s="16" t="inlineStr">
        <is>
          <t>= SD ÷ 平均 × 100</t>
        </is>
      </c>
    </row>
    <row r="14">
      <c r="J14" s="23" t="inlineStr">
        <is>
          <t>報告寫法</t>
        </is>
      </c>
      <c r="K14" s="36">
        <f>FIXED(K8,2)&amp;" ± "&amp;FIXED(K12,2)&amp;" %（95% CI, n = "&amp;K6&amp;"）"</f>
        <v/>
      </c>
      <c r="L14" s="33" t="n"/>
    </row>
    <row r="16" ht="32" customHeight="1">
      <c r="J16" s="16" t="inlineStr">
        <is>
          <t>為什麼要用全班數據？單組只有 1 管，算不出 SD；5 組湊起來才能估計精密度與 95% CI，也比較不會被某一管的操作失誤帶偏。</t>
        </is>
      </c>
    </row>
    <row r="37" ht="32" customHeight="1">
      <c r="A37" s="16" t="inlineStr">
        <is>
          <t>看圖：藍色圓點是每組的蛋白質 %（Colab 畫成長條圖，這裡用點圖，縱軸不必從 0 開始，差異看得比較清楚），黑色虛線是班級平均，兩條橘色點線之間是平均值的 95% CI。5 組差不多高＝組間一致；某一組明顯偏離 CI 很多，就回頭檢查那一管的秤重與滴定終點。</t>
        </is>
      </c>
    </row>
  </sheetData>
  <mergeCells count="6">
    <mergeCell ref="A2:L2"/>
    <mergeCell ref="J16:L16"/>
    <mergeCell ref="A37:L37"/>
    <mergeCell ref="A11:H11"/>
    <mergeCell ref="K14:L14"/>
    <mergeCell ref="A3:B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E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3" customWidth="1" min="4" max="4"/>
    <col width="62" customWidth="1" min="5" max="5"/>
  </cols>
  <sheetData>
    <row r="1">
      <c r="A1" s="1" t="inlineStr">
        <is>
          <t>步驟 3　高筋 vs 低筋麵粉：換算係數選錯的代價</t>
        </is>
      </c>
    </row>
    <row r="2">
      <c r="A2" s="16" t="inlineStr">
        <is>
          <t>兩種麵粉都該用小麥係數 5.7。高筋麵粉由 G1 代表操作、全班共用；低筋麵粉本次沒有現場加測，數值由助教提供。</t>
        </is>
      </c>
    </row>
    <row r="4">
      <c r="A4" s="9" t="inlineStr">
        <is>
          <t>項目</t>
        </is>
      </c>
      <c r="B4" s="9" t="inlineStr">
        <is>
          <t>高筋麵粉</t>
        </is>
      </c>
      <c r="C4" s="9" t="inlineStr">
        <is>
          <t>低筋麵粉</t>
        </is>
      </c>
      <c r="D4" s="9" t="inlineStr"/>
      <c r="E4" s="9" t="inlineStr">
        <is>
          <t>公式說明</t>
        </is>
      </c>
    </row>
    <row r="5">
      <c r="A5" s="23" t="inlineStr">
        <is>
          <t>管別代號</t>
        </is>
      </c>
      <c r="B5" s="5" t="inlineStr">
        <is>
          <t>high_gluten_flour</t>
        </is>
      </c>
      <c r="C5" s="5" t="inlineStr">
        <is>
          <t>low_gluten_flour</t>
        </is>
      </c>
      <c r="E5" s="16" t="inlineStr">
        <is>
          <t>黃色，可改</t>
        </is>
      </c>
    </row>
    <row r="6" ht="75" customHeight="1">
      <c r="A6" s="23" t="inlineStr">
        <is>
          <t>來源（note 欄）</t>
        </is>
      </c>
      <c r="B6" s="37">
        <f>INDEX('1_原始數據'!$I$2:$I$1000,MATCH(B5,'1_原始數據'!$C$2:$C$1000,0))</f>
        <v/>
      </c>
      <c r="C6" s="37">
        <f>INDEX('1_原始數據'!$I$2:$I$1000,MATCH(C5,'1_原始數據'!$C$2:$C$1000,0))</f>
        <v/>
      </c>
      <c r="E6" s="16" t="inlineStr">
        <is>
          <t>INDEX(範圍, MATCH(要找的值, 範圍, 0))：找出第一筆 item 相符的列，回傳那一列的值（和 Colab 的 .iloc[0] 一樣）</t>
        </is>
      </c>
    </row>
    <row r="7">
      <c r="A7" s="23" t="inlineStr">
        <is>
          <t>V_s (mL)</t>
        </is>
      </c>
      <c r="B7" s="38">
        <f>INDEX('1_原始數據'!$E$2:$E$1000,MATCH(B5,'1_原始數據'!$C$2:$C$1000,0))</f>
        <v/>
      </c>
      <c r="C7" s="38">
        <f>INDEX('1_原始數據'!$E$2:$E$1000,MATCH(C5,'1_原始數據'!$C$2:$C$1000,0))</f>
        <v/>
      </c>
      <c r="E7" s="16" t="inlineStr"/>
    </row>
    <row r="8">
      <c r="A8" s="23" t="inlineStr">
        <is>
          <t>W (g)</t>
        </is>
      </c>
      <c r="B8" s="39">
        <f>INDEX('1_原始數據'!$H$2:$H$1000,MATCH(B5,'1_原始數據'!$C$2:$C$1000,0))</f>
        <v/>
      </c>
      <c r="C8" s="39">
        <f>INDEX('1_原始數據'!$H$2:$H$1000,MATCH(C5,'1_原始數據'!$C$2:$C$1000,0))</f>
        <v/>
      </c>
      <c r="E8" s="16" t="inlineStr"/>
    </row>
    <row r="9">
      <c r="A9" s="23" t="inlineStr">
        <is>
          <t>V_s − V_b (mL)</t>
        </is>
      </c>
      <c r="B9" s="38">
        <f>B7-'2_公式與參數'!$C$14</f>
        <v/>
      </c>
      <c r="C9" s="38">
        <f>C7-'2_公式與參數'!$C$14</f>
        <v/>
      </c>
      <c r="E9" s="16" t="inlineStr">
        <is>
          <t>扣試劑空白</t>
        </is>
      </c>
    </row>
    <row r="10">
      <c r="A10" s="23" t="inlineStr">
        <is>
          <t>%N</t>
        </is>
      </c>
      <c r="B10" s="40">
        <f>B9*'2_公式與參數'!$C$6*'2_公式與參數'!$C$7/(B8*1000)*100</f>
        <v/>
      </c>
      <c r="C10" s="41">
        <f>C9*'2_公式與參數'!$C$6*'2_公式與參數'!$C$7/(C8*1000)*100</f>
        <v/>
      </c>
      <c r="E10" s="16" t="inlineStr">
        <is>
          <t>同「2_公式與參數」的 %N 公式</t>
        </is>
      </c>
    </row>
    <row r="11">
      <c r="A11" s="23" t="inlineStr">
        <is>
          <t>蛋白質 %，小麥係數 5.7（正確）</t>
        </is>
      </c>
      <c r="B11" s="42">
        <f>B10*'2_公式與參數'!$C$19</f>
        <v/>
      </c>
      <c r="C11" s="42">
        <f>C10*'2_公式與參數'!$C$19</f>
        <v/>
      </c>
      <c r="E11" s="16" t="inlineStr">
        <is>
          <t>報告用這一列</t>
        </is>
      </c>
    </row>
    <row r="12">
      <c r="A12" s="23" t="inlineStr">
        <is>
          <t>蛋白質 %，一般係數 6.25（錯誤）</t>
        </is>
      </c>
      <c r="B12" s="38">
        <f>B10*'2_公式與參數'!$C$18</f>
        <v/>
      </c>
      <c r="C12" s="38">
        <f>C10*'2_公式與參數'!$C$18</f>
        <v/>
      </c>
      <c r="E12" s="16" t="inlineStr">
        <is>
          <t>誤用通用係數</t>
        </is>
      </c>
    </row>
    <row r="13">
      <c r="A13" s="23" t="inlineStr">
        <is>
          <t>蛋白質 %，乳品係數 6.38（錯誤）</t>
        </is>
      </c>
      <c r="B13" s="38">
        <f>B10*'2_公式與參數'!$C$20</f>
        <v/>
      </c>
      <c r="C13" s="38">
        <f>C10*'2_公式與參數'!$C$20</f>
        <v/>
      </c>
      <c r="E13" s="16" t="inlineStr">
        <is>
          <t>對照看看：係數越大，算出的蛋白質越多</t>
        </is>
      </c>
    </row>
    <row r="14">
      <c r="A14" s="23" t="inlineStr">
        <is>
          <t>誤用 6.25 高估（百分點）</t>
        </is>
      </c>
      <c r="B14" s="38">
        <f>B12-B11</f>
        <v/>
      </c>
      <c r="C14" s="38">
        <f>C12-C11</f>
        <v/>
      </c>
      <c r="E14" s="16" t="inlineStr">
        <is>
          <t>= 錯誤 − 正確</t>
        </is>
      </c>
    </row>
    <row r="15" ht="45" customHeight="1">
      <c r="A15" s="23" t="inlineStr">
        <is>
          <t>誤用 6.25 相對高估 (%)</t>
        </is>
      </c>
      <c r="B15" s="43">
        <f>(B12-B11)/B11*100</f>
        <v/>
      </c>
      <c r="C15" s="44">
        <f>(C12-C11)/C11*100</f>
        <v/>
      </c>
      <c r="E15" s="16" t="inlineStr">
        <is>
          <t>= (錯誤 − 正確) ÷ 正確 × 100。兩種麵粉都一樣，因為它其實就是 (6.25 ÷ 5.7 − 1) × 100，跟測得多準無關——這是系統誤差</t>
        </is>
      </c>
    </row>
    <row r="17" ht="30" customHeight="1">
      <c r="A17" s="10" t="inlineStr">
        <is>
          <t>高筋 − 低筋 蛋白質差（百分點，係數 5.7）</t>
        </is>
      </c>
      <c r="B17" s="30">
        <f>B11-C11</f>
        <v/>
      </c>
      <c r="E17" s="16" t="inlineStr">
        <is>
          <t>高筋麵粉蛋白質（麩質）多，適合做麵包；低筋麵粉蛋白質少，適合做蛋糕。</t>
        </is>
      </c>
    </row>
  </sheetData>
  <mergeCells count="1">
    <mergeCell ref="A2:E2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" customWidth="1" min="3" max="3"/>
    <col width="66" customWidth="1" min="4" max="4"/>
  </cols>
  <sheetData>
    <row r="1">
      <c r="A1" s="1" t="inlineStr">
        <is>
          <t>步驟 4　品管：蒸餾回收標準品（硫酸銨）的回收率</t>
        </is>
      </c>
    </row>
    <row r="2" ht="30" customHeight="1">
      <c r="A2" s="16" t="inlineStr">
        <is>
          <t>硫酸銨 (NH₄)₂SO₄ 的含氮量可以由分子量算出來。讓它走一次蒸餾＋滴定，測得的 %N 和理論值一比，就知道 NH₃ 有沒有被完全蒸出、捕捉。</t>
        </is>
      </c>
    </row>
    <row r="4">
      <c r="A4" s="9" t="inlineStr">
        <is>
          <t>項目</t>
        </is>
      </c>
      <c r="B4" s="9" t="inlineStr">
        <is>
          <t>數值</t>
        </is>
      </c>
      <c r="C4" s="9" t="inlineStr"/>
      <c r="D4" s="9" t="inlineStr">
        <is>
          <t>公式說明</t>
        </is>
      </c>
    </row>
    <row r="5">
      <c r="A5" s="23" t="inlineStr">
        <is>
          <t>管別代號</t>
        </is>
      </c>
      <c r="B5" s="5" t="inlineStr">
        <is>
          <t>ammonium_sulfate_std</t>
        </is>
      </c>
      <c r="D5" s="16" t="inlineStr">
        <is>
          <t>黃色，可改</t>
        </is>
      </c>
    </row>
    <row r="6">
      <c r="A6" s="23" t="inlineStr">
        <is>
          <t>(NH₄)₂SO₄ 分子量 (g/mol)</t>
        </is>
      </c>
      <c r="B6" s="14">
        <f>2*('2_公式與參數'!$C$7+4*'2_公式與參數'!$C$8)+'2_公式與參數'!$C$11+4*'2_公式與參數'!$C$10</f>
        <v/>
      </c>
      <c r="D6" s="16" t="inlineStr">
        <is>
          <t>= 2 × (N + 4H) + S + 4O，原子量在「2_公式與參數」</t>
        </is>
      </c>
    </row>
    <row r="7">
      <c r="A7" s="23" t="inlineStr">
        <is>
          <t>理論 %N</t>
        </is>
      </c>
      <c r="B7" s="30">
        <f>2*'2_公式與參數'!$C$7/B6*100</f>
        <v/>
      </c>
      <c r="D7" s="16" t="inlineStr">
        <is>
          <t>= 2 × 14.007 ÷ 分子量 × 100 ≈ 21.20%</t>
        </is>
      </c>
    </row>
    <row r="8">
      <c r="A8" s="23" t="inlineStr">
        <is>
          <t>V_s (mL)</t>
        </is>
      </c>
      <c r="B8" s="27">
        <f>INDEX('1_原始數據'!$E$2:$E$1000,MATCH(B5,'1_原始數據'!$C$2:$C$1000,0))</f>
        <v/>
      </c>
      <c r="D8" s="16" t="inlineStr">
        <is>
          <t>INDEX/MATCH 找第一筆 item 相符的列</t>
        </is>
      </c>
    </row>
    <row r="9">
      <c r="A9" s="23" t="inlineStr">
        <is>
          <t>W (g)</t>
        </is>
      </c>
      <c r="B9" s="11">
        <f>INDEX('1_原始數據'!$H$2:$H$1000,MATCH(B5,'1_原始數據'!$C$2:$C$1000,0))</f>
        <v/>
      </c>
      <c r="D9" s="16" t="inlineStr">
        <is>
          <t>標準品只秤 0.05 g</t>
        </is>
      </c>
    </row>
    <row r="10">
      <c r="A10" s="23" t="inlineStr">
        <is>
          <t>實測 %N</t>
        </is>
      </c>
      <c r="B10" s="30">
        <f>(B8-'2_公式與參數'!$C$14)*'2_公式與參數'!$C$6*'2_公式與參數'!$C$7/(B9*1000)*100</f>
        <v/>
      </c>
      <c r="D10" s="16" t="inlineStr">
        <is>
          <t>同一個 %N 公式（有扣空白）</t>
        </is>
      </c>
    </row>
    <row r="11">
      <c r="A11" s="23" t="inlineStr">
        <is>
          <t>回收率 (%)</t>
        </is>
      </c>
      <c r="B11" s="45">
        <f>B10/B7*100</f>
        <v/>
      </c>
      <c r="D11" s="16" t="inlineStr">
        <is>
          <t>= 實測 %N ÷ 理論 %N × 100</t>
        </is>
      </c>
    </row>
    <row r="12">
      <c r="A12" s="23" t="inlineStr">
        <is>
          <t>可接受下限 (%)</t>
        </is>
      </c>
      <c r="B12" s="28" t="n">
        <v>97</v>
      </c>
      <c r="D12" s="16" t="inlineStr">
        <is>
          <t>依方法規定，通常 ≥ 97%。黃色，可改</t>
        </is>
      </c>
    </row>
    <row r="13">
      <c r="A13" s="23" t="inlineStr">
        <is>
          <t>判定</t>
        </is>
      </c>
      <c r="B13" s="36">
        <f>IF(B11&gt;=B12,"回收率合格：蒸餾／捕氨步驟正常","回收率不足：檢查蒸餾／捕氨步驟")</f>
        <v/>
      </c>
      <c r="C13" s="46" t="n"/>
      <c r="D13" s="33" t="n"/>
    </row>
    <row r="15">
      <c r="A15" s="3" t="inlineStr">
        <is>
          <t>回收率不足時可能的原因</t>
        </is>
      </c>
    </row>
    <row r="16">
      <c r="A16" s="4" t="inlineStr">
        <is>
          <t>•  NaOH 加得不夠，溶液沒有變鹼性，NH₄⁺ 沒有變成 NH₃ 蒸出來。</t>
        </is>
      </c>
    </row>
    <row r="17">
      <c r="A17" s="4" t="inlineStr">
        <is>
          <t>•  蒸氣量不足或蒸餾時間太短，NH₃ 還沒蒸完。</t>
        </is>
      </c>
    </row>
    <row r="18">
      <c r="A18" s="4" t="inlineStr">
        <is>
          <t>•  冷凝端漏氣，或接收瓶的出口沒有浸在硼酸液面下，NH₃ 逸散掉。</t>
        </is>
      </c>
    </row>
    <row r="19">
      <c r="A19" s="4" t="inlineStr">
        <is>
          <t>•  回收標準品只走蒸餾＋滴定，不經過消化；所以回收率只能檢查「蒸餾／捕氨／滴定」，不能檢查消化是否完全。</t>
        </is>
      </c>
    </row>
  </sheetData>
  <mergeCells count="6">
    <mergeCell ref="A17:D17"/>
    <mergeCell ref="A18:D18"/>
    <mergeCell ref="B13:D13"/>
    <mergeCell ref="A16:D16"/>
    <mergeCell ref="A2:D2"/>
    <mergeCell ref="A19:D19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E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3" customWidth="1" min="4" max="4"/>
    <col width="60" customWidth="1" min="5" max="5"/>
  </cols>
  <sheetData>
    <row r="1">
      <c r="A1" s="1" t="inlineStr">
        <is>
          <t>步驟 5　三聚氰胺 (melamine) 事件重新計算</t>
        </is>
      </c>
    </row>
    <row r="2" ht="30" customHeight="1">
      <c r="A2" s="16" t="inlineStr">
        <is>
          <t>凱氏法只量「總氮」，分不出氮來自蛋白質還是三聚氰胺 C₃H₆N₆。三聚氰胺含氮高達約 66.6%，摻一點點就能讓表觀蛋白質大增。</t>
        </is>
      </c>
    </row>
    <row r="4">
      <c r="A4" s="9" t="inlineStr">
        <is>
          <t>項目</t>
        </is>
      </c>
      <c r="B4" s="9" t="inlineStr">
        <is>
          <t>數值</t>
        </is>
      </c>
      <c r="C4" s="9" t="inlineStr"/>
      <c r="D4" s="9" t="inlineStr"/>
      <c r="E4" s="9" t="inlineStr">
        <is>
          <t>公式說明</t>
        </is>
      </c>
    </row>
    <row r="5">
      <c r="A5" s="10" t="inlineStr">
        <is>
          <t>三聚氰胺分子量 (g/mol)</t>
        </is>
      </c>
      <c r="B5" s="14">
        <f>3*'2_公式與參數'!$C$9+6*'2_公式與參數'!$C$8+6*'2_公式與參數'!$C$7</f>
        <v/>
      </c>
      <c r="E5" s="16" t="inlineStr">
        <is>
          <t>= 3C + 6H + 6N</t>
        </is>
      </c>
    </row>
    <row r="6">
      <c r="A6" s="10" t="inlineStr">
        <is>
          <t>三聚氰胺 %N</t>
        </is>
      </c>
      <c r="B6" s="30">
        <f>6*'2_公式與參數'!$C$7/B5*100</f>
        <v/>
      </c>
      <c r="E6" s="16" t="inlineStr">
        <is>
          <t>= 6 × 14.007 ÷ 分子量 × 100</t>
        </is>
      </c>
    </row>
    <row r="7" ht="30" customHeight="1">
      <c r="A7" s="10" t="inlineStr">
        <is>
          <t>每摻 1% (w/w) 虛增的表觀蛋白質（百分點）</t>
        </is>
      </c>
      <c r="B7" s="30">
        <f>B6/100*'2_公式與參數'!$C$20</f>
        <v/>
      </c>
      <c r="E7" s="16" t="inlineStr">
        <is>
          <t>1 g 三聚氰胺／100 g 樣品帶進 0.666 g 氮；× 乳品係數 6.38 ≈ 4.25 g「表觀蛋白質」</t>
        </is>
      </c>
    </row>
    <row r="8">
      <c r="A8" s="10" t="inlineStr">
        <is>
          <t>奶粉基準蛋白質 (%)</t>
        </is>
      </c>
      <c r="B8" s="27">
        <f>'3_全班盲樣'!K8</f>
        <v/>
      </c>
      <c r="E8" s="16" t="inlineStr">
        <is>
          <t>連到「3_全班盲樣」的班級平均</t>
        </is>
      </c>
    </row>
    <row r="10">
      <c r="A10" s="3" t="inlineStr">
        <is>
          <t>摻入比例與表觀蛋白質</t>
        </is>
      </c>
    </row>
    <row r="11">
      <c r="A11" s="9" t="inlineStr">
        <is>
          <t>摻入三聚氰胺 (% w/w)</t>
        </is>
      </c>
      <c r="B11" s="9" t="inlineStr">
        <is>
          <t>表觀蛋白質 (%)</t>
        </is>
      </c>
      <c r="C11" s="9" t="inlineStr">
        <is>
          <t>虛增（百分點）</t>
        </is>
      </c>
    </row>
    <row r="12">
      <c r="A12" s="47" t="n">
        <v>0</v>
      </c>
      <c r="B12" s="27">
        <f>$B$8+A12*$B$7</f>
        <v/>
      </c>
      <c r="C12" s="27">
        <f>A12*$B$7</f>
        <v/>
      </c>
      <c r="E12" s="16" t="inlineStr">
        <is>
          <t>表觀蛋白質 = 基準蛋白質 + 摻入比例 × 每 1% 虛增量。A 欄可以改成別的比例。</t>
        </is>
      </c>
    </row>
    <row r="13">
      <c r="A13" s="47" t="n">
        <v>0.2</v>
      </c>
      <c r="B13" s="27">
        <f>$B$8+A13*$B$7</f>
        <v/>
      </c>
      <c r="C13" s="27">
        <f>A13*$B$7</f>
        <v/>
      </c>
    </row>
    <row r="14">
      <c r="A14" s="47" t="n">
        <v>0.4</v>
      </c>
      <c r="B14" s="27">
        <f>$B$8+A14*$B$7</f>
        <v/>
      </c>
      <c r="C14" s="27">
        <f>A14*$B$7</f>
        <v/>
      </c>
    </row>
    <row r="15">
      <c r="A15" s="47" t="n">
        <v>0.6</v>
      </c>
      <c r="B15" s="27">
        <f>$B$8+A15*$B$7</f>
        <v/>
      </c>
      <c r="C15" s="27">
        <f>A15*$B$7</f>
        <v/>
      </c>
    </row>
    <row r="16">
      <c r="A16" s="47" t="n">
        <v>0.8</v>
      </c>
      <c r="B16" s="27">
        <f>$B$8+A16*$B$7</f>
        <v/>
      </c>
      <c r="C16" s="27">
        <f>A16*$B$7</f>
        <v/>
      </c>
    </row>
    <row r="17">
      <c r="A17" s="47" t="n">
        <v>1</v>
      </c>
      <c r="B17" s="27">
        <f>$B$8+A17*$B$7</f>
        <v/>
      </c>
      <c r="C17" s="27">
        <f>A17*$B$7</f>
        <v/>
      </c>
    </row>
    <row r="19">
      <c r="A19" s="23" t="inlineStr">
        <is>
          <t>自訂摻入比例 (% w/w)</t>
        </is>
      </c>
      <c r="B19" s="26" t="n">
        <v>0.5</v>
      </c>
      <c r="E19" s="16" t="inlineStr">
        <is>
          <t>練習題 4：把 B19 改成 0.1，看虛增多少，再和「3_全班盲樣」的 95% CI 半寬（K12）比較。</t>
        </is>
      </c>
    </row>
    <row r="20">
      <c r="A20" s="23" t="inlineStr">
        <is>
          <t>虛增的表觀蛋白質（百分點）</t>
        </is>
      </c>
      <c r="B20" s="30">
        <f>B19*B7</f>
        <v/>
      </c>
    </row>
    <row r="21">
      <c r="A21" s="23" t="inlineStr">
        <is>
          <t>檢出的表觀蛋白質 (%)</t>
        </is>
      </c>
      <c r="B21" s="27">
        <f>B8+B20</f>
        <v/>
      </c>
    </row>
    <row r="41" ht="30" customHeight="1">
      <c r="A41" s="16" t="inlineStr">
        <is>
          <t>看圖：每多摻 0.2% 三聚氰胺，表觀蛋白質就多約 0.85 個百分點。凱氏法和 Dumas 燃燒法都無法分辨，所以後來改用專一的 LC-MS/MS 檢測。</t>
        </is>
      </c>
    </row>
  </sheetData>
  <mergeCells count="2">
    <mergeCell ref="A2:E2"/>
    <mergeCell ref="A41:E4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J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2" customWidth="1" min="5" max="5"/>
    <col width="14" customWidth="1" min="6" max="6"/>
    <col width="13" customWidth="1" min="7" max="7"/>
    <col width="12" customWidth="1" min="8" max="8"/>
    <col width="3" customWidth="1" min="9" max="9"/>
    <col width="52" customWidth="1" min="10" max="10"/>
  </cols>
  <sheetData>
    <row r="1">
      <c r="A1" s="1" t="inlineStr">
        <is>
          <t>步驟 6　靈敏度分析：滴定讀取誤差怎麼傳到蛋白質 %</t>
        </is>
      </c>
    </row>
    <row r="2" ht="30" customHeight="1">
      <c r="A2" s="16" t="inlineStr">
        <is>
          <t>如果滴定終點判讀差了 ΔV，對不同樣品的 %N 或蛋白質 % 影響有多大？Δ(蛋白質%) = ΔV × N_HCl × 14.007 ÷ W_mg × 100 × 係數。樣品越輕，同樣的 ΔV 影響越大。</t>
        </is>
      </c>
    </row>
    <row r="4">
      <c r="A4" s="23" t="inlineStr">
        <is>
          <t>滴定讀取誤差 ΔV (mL)</t>
        </is>
      </c>
      <c r="B4" s="26" t="n">
        <v>0.05</v>
      </c>
      <c r="C4" s="16" t="inlineStr">
        <is>
          <t>人眼判讀滴定終點的常見誤差量級。練習題 5 改成 0.10。</t>
        </is>
      </c>
    </row>
    <row r="6" ht="30" customHeight="1">
      <c r="A6" s="9" t="inlineStr">
        <is>
          <t>管別</t>
        </is>
      </c>
      <c r="B6" s="9" t="inlineStr">
        <is>
          <t>報告項目</t>
        </is>
      </c>
      <c r="C6" s="9" t="inlineStr">
        <is>
          <t>W (g)</t>
        </is>
      </c>
      <c r="D6" s="9" t="inlineStr">
        <is>
          <t>係數</t>
        </is>
      </c>
      <c r="E6" s="9" t="inlineStr">
        <is>
          <t>Δ%N</t>
        </is>
      </c>
      <c r="F6" s="9" t="inlineStr">
        <is>
          <t>影響（百分點）</t>
        </is>
      </c>
      <c r="G6" s="9" t="inlineStr">
        <is>
          <t>該管測得值</t>
        </is>
      </c>
      <c r="H6" s="9" t="inlineStr">
        <is>
          <t>相對影響 (%)</t>
        </is>
      </c>
    </row>
    <row r="7">
      <c r="A7" s="5" t="inlineStr">
        <is>
          <t>milk_powder_blind</t>
        </is>
      </c>
      <c r="B7" s="23" t="inlineStr">
        <is>
          <t>蛋白質%</t>
        </is>
      </c>
      <c r="C7" s="11">
        <f>INDEX('1_原始數據'!$H$2:$H$1000,MATCH(A7,'1_原始數據'!$C$2:$C$1000,0))</f>
        <v/>
      </c>
      <c r="D7" s="27">
        <f>'2_公式與參數'!$C$20</f>
        <v/>
      </c>
      <c r="E7" s="11">
        <f>$B$4*'2_公式與參數'!$C$6*'2_公式與參數'!$C$7/(C7*1000)*100</f>
        <v/>
      </c>
      <c r="F7" s="32">
        <f>E7*D7</f>
        <v/>
      </c>
      <c r="G7" s="27">
        <f>INDEX('1_原始數據'!$L$2:$L$1000,MATCH(A7,'1_原始數據'!$C$2:$C$1000,0))*D7</f>
        <v/>
      </c>
      <c r="H7" s="27">
        <f>F7/G7*100</f>
        <v/>
      </c>
    </row>
    <row r="8">
      <c r="A8" s="5" t="inlineStr">
        <is>
          <t>high_gluten_flour</t>
        </is>
      </c>
      <c r="B8" s="23" t="inlineStr">
        <is>
          <t>蛋白質%</t>
        </is>
      </c>
      <c r="C8" s="11">
        <f>INDEX('1_原始數據'!$H$2:$H$1000,MATCH(A8,'1_原始數據'!$C$2:$C$1000,0))</f>
        <v/>
      </c>
      <c r="D8" s="27">
        <f>'2_公式與參數'!$C$19</f>
        <v/>
      </c>
      <c r="E8" s="11">
        <f>$B$4*'2_公式與參數'!$C$6*'2_公式與參數'!$C$7/(C8*1000)*100</f>
        <v/>
      </c>
      <c r="F8" s="32">
        <f>E8*D8</f>
        <v/>
      </c>
      <c r="G8" s="27">
        <f>INDEX('1_原始數據'!$L$2:$L$1000,MATCH(A8,'1_原始數據'!$C$2:$C$1000,0))*D8</f>
        <v/>
      </c>
      <c r="H8" s="27">
        <f>F8/G8*100</f>
        <v/>
      </c>
    </row>
    <row r="9">
      <c r="A9" s="5" t="inlineStr">
        <is>
          <t>ammonium_sulfate_std</t>
        </is>
      </c>
      <c r="B9" s="23" t="inlineStr">
        <is>
          <t>%N</t>
        </is>
      </c>
      <c r="C9" s="11">
        <f>INDEX('1_原始數據'!$H$2:$H$1000,MATCH(A9,'1_原始數據'!$C$2:$C$1000,0))</f>
        <v/>
      </c>
      <c r="D9" s="27">
        <f>1</f>
        <v/>
      </c>
      <c r="E9" s="11">
        <f>$B$4*'2_公式與參數'!$C$6*'2_公式與參數'!$C$7/(C9*1000)*100</f>
        <v/>
      </c>
      <c r="F9" s="32">
        <f>E9*D9</f>
        <v/>
      </c>
      <c r="G9" s="27">
        <f>INDEX('1_原始數據'!$L$2:$L$1000,MATCH(A9,'1_原始數據'!$C$2:$C$1000,0))*D9</f>
        <v/>
      </c>
      <c r="H9" s="27">
        <f>F9/G9*100</f>
        <v/>
      </c>
    </row>
    <row r="11">
      <c r="A11" s="16" t="inlineStr">
        <is>
          <t>W：INDEX/MATCH 取第一筆（盲樣取 G1 那一管，和 Colab 一樣）。</t>
        </is>
      </c>
    </row>
    <row r="12">
      <c r="A12" s="16" t="inlineStr">
        <is>
          <t>係數：盲樣用乳品 6.38、高筋用小麥 5.7；硫酸銨直接報 %N，所以係數當作 1。</t>
        </is>
      </c>
    </row>
    <row r="13">
      <c r="A13" s="16" t="inlineStr">
        <is>
          <t>影響 = Δ%N × 係數，單位是「百分點」。相對影響 = 影響 ÷ 該管測得值 × 100（Colab 沒有算這一欄，給你多一個角度）。</t>
        </is>
      </c>
    </row>
    <row r="14">
      <c r="A14" s="16" t="inlineStr">
        <is>
          <t>結論：樣品重 0.05 g 的硫酸銨，同樣 0.05 mL 誤差的影響是 0.5 g 奶粉的 10 倍（以 %N 計）。所以 QC 標準品的秤重與終點判讀要格外小心。</t>
        </is>
      </c>
    </row>
  </sheetData>
  <mergeCells count="6">
    <mergeCell ref="C4:J4"/>
    <mergeCell ref="A14:J14"/>
    <mergeCell ref="A12:J12"/>
    <mergeCell ref="A2:J2"/>
    <mergeCell ref="A13:J13"/>
    <mergeCell ref="A11:J11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B3306A"/>
    <outlinePr summaryBelow="1" summaryRight="1"/>
    <pageSetUpPr fitToPage="1"/>
  </sheetPr>
  <dimension ref="B1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練習題（寫在黃色格子裡，交報告時一起附上）</t>
        </is>
      </c>
    </row>
    <row r="3" ht="16" customHeight="1">
      <c r="B3" s="48" t="inlineStr">
        <is>
          <t>問題 1：如果忘記扣除試劑空白（直接用 V_s 算 %N），全脂奶粉盲樣班級平均的蛋白質 % 會被高估多少（百分點與相對 %）？</t>
        </is>
      </c>
    </row>
    <row r="4" ht="15" customHeight="1">
      <c r="B4" s="16" t="inlineStr">
        <is>
          <t>提示：先記下「3_全班盲樣」K8 的值；到「2_公式與參數」把 C13 改成 0，再讀一次 K8，兩者相減。做完記得把 C13 改回 1。</t>
        </is>
      </c>
    </row>
    <row r="5" ht="60" customHeight="1">
      <c r="B5" s="49" t="inlineStr"/>
    </row>
    <row r="7" ht="32" customHeight="1">
      <c r="B7" s="48" t="inlineStr">
        <is>
          <t>問題 2：如果某組把高筋麵粉的 %N 誤用一般係數 6.25（而非小麥係數 5.7），算出的蛋白質 % 與相對誤差是多少？跟約 9.6% 是否一致？</t>
        </is>
      </c>
    </row>
    <row r="8" ht="15" customHeight="1">
      <c r="B8" s="16" t="inlineStr">
        <is>
          <t>提示：看「4_麵粉與係數」B12 與 B15。想一想：為什麼低筋麵粉的相對誤差（C15）一模一樣？</t>
        </is>
      </c>
    </row>
    <row r="9" ht="60" customHeight="1">
      <c r="B9" s="49" t="inlineStr"/>
    </row>
    <row r="11" ht="16" customHeight="1">
      <c r="B11" s="48" t="inlineStr">
        <is>
          <t>問題 3：蒸餾回收標準品的回收率如果只有 90%，該懷疑哪個步驟出了問題（消化、蒸餾、還是滴定）？為什麼？</t>
        </is>
      </c>
    </row>
    <row r="12" ht="15" customHeight="1">
      <c r="B12" s="16" t="inlineStr">
        <is>
          <t>提示：看「5_回收率」第 16–19 列。注意：硫酸銨已經是 NH₄⁺，不需要消化。</t>
        </is>
      </c>
    </row>
    <row r="13" ht="60" customHeight="1">
      <c r="B13" s="49" t="inlineStr"/>
    </row>
    <row r="15" ht="32" customHeight="1">
      <c r="B15" s="48" t="inlineStr">
        <is>
          <t>問題 4：如果某奶粉只摻入 0.1% 三聚氰胺，用乳品係數 6.38 換算，表觀蛋白質會虛增多少百分點？這樣的虛增量容不容易被發現？</t>
        </is>
      </c>
    </row>
    <row r="16" ht="15" customHeight="1">
      <c r="B16" s="16" t="inlineStr">
        <is>
          <t>提示：把「6_三聚氰胺」B19 改成 0.1，讀 B20；再和「3_全班盲樣」的 95% CI 半寬（K12）與 SD（K9）比較。</t>
        </is>
      </c>
    </row>
    <row r="17" ht="60" customHeight="1">
      <c r="B17" s="49" t="inlineStr"/>
    </row>
    <row r="19" ht="32" customHeight="1">
      <c r="B19" s="48" t="inlineStr">
        <is>
          <t>問題 5：如果你們這組的滴定讀取誤差其實是 0.10 mL（而不是 0.05 mL），對全脂奶粉與高筋麵粉的蛋白質 % 分別影響多少？誰受影響比較大？為什麼？</t>
        </is>
      </c>
    </row>
    <row r="20" ht="15" customHeight="1">
      <c r="B20" s="16" t="inlineStr">
        <is>
          <t>提示：把「7_靈敏度」B4 改成 0.10，比較 F7 與 F8；再看 C 欄的樣品重與 D 欄的係數。</t>
        </is>
      </c>
    </row>
    <row r="21" ht="60" customHeight="1">
      <c r="B21" s="49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2026-09-27T18:56:09Z</dcterms:created>
  <dcterms:modified xsi:type="dcterms:W3CDTF">2026-09-27T18:56:09Z</dcterms:modified>
</cp:coreProperties>
</file>