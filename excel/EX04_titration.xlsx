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NaOH標定" sheetId="3" state="visible" r:id="rId3"/>
    <sheet name="3_可滴定酸度" sheetId="4" state="visible" r:id="rId4"/>
    <sheet name="4_滴定曲線" sheetId="5" state="visible" r:id="rId5"/>
    <sheet name="5_手動vs自動" sheetId="6" state="visible" r:id="rId6"/>
    <sheet name="練習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+0.0000;-0.0000;0.0000"/>
    <numFmt numFmtId="166" formatCode="0.00000"/>
    <numFmt numFmtId="167" formatCode="0.000"/>
    <numFmt numFmtId="168" formatCode="0.0"/>
    <numFmt numFmtId="169" formatCode="+0.000;-0.000;0.000"/>
    <numFmt numFmtId="170" formatCode="+0.0000;-0.0000"/>
  </numFmts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E6B66"/>
      <sz val="12"/>
    </font>
    <font>
      <name val="Microsoft JhengHei"/>
      <color rgb="005B6964"/>
      <sz val="10"/>
    </font>
    <font>
      <name val="Microsoft JhengHei"/>
      <b val="1"/>
      <color rgb="001E6B66"/>
      <sz val="16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8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4E8F5A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5F3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0" borderId="0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5" borderId="1" applyAlignment="1" pivotButton="0" quotePrefix="0" xfId="0">
      <alignment horizontal="right" vertical="center"/>
    </xf>
    <xf numFmtId="164" fontId="2" fillId="0" borderId="1" pivotButton="0" quotePrefix="0" xfId="0"/>
    <xf numFmtId="0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2" fontId="2" fillId="0" borderId="1" pivotButton="0" quotePrefix="0" xfId="0"/>
    <xf numFmtId="167" fontId="2" fillId="5" borderId="1" applyAlignment="1" pivotButton="0" quotePrefix="0" xfId="0">
      <alignment horizontal="right" vertical="center"/>
    </xf>
    <xf numFmtId="167" fontId="2" fillId="0" borderId="1" pivotButton="0" quotePrefix="0" xfId="0"/>
    <xf numFmtId="170" fontId="2" fillId="5" borderId="1" applyAlignment="1" pivotButton="0" quotePrefix="0" xfId="0">
      <alignment horizontal="right" vertical="center"/>
    </xf>
    <xf numFmtId="170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5" borderId="0" pivotButton="0" quotePrefix="0" xfId="0"/>
    <xf numFmtId="2" fontId="2" fillId="5" borderId="0" pivotButton="0" quotePrefix="0" xfId="0"/>
    <xf numFmtId="165" fontId="2" fillId="5" borderId="0" pivotButton="0" quotePrefix="0" xfId="0"/>
    <xf numFmtId="1" fontId="2" fillId="5" borderId="0" pivotButton="0" quotePrefix="0" xfId="0"/>
    <xf numFmtId="0" fontId="2" fillId="0" borderId="1" pivotButton="0" quotePrefix="0" xfId="0"/>
    <xf numFmtId="2" fontId="2" fillId="3" borderId="1" pivotButton="0" quotePrefix="0" xfId="0"/>
    <xf numFmtId="164" fontId="2" fillId="3" borderId="1" pivotButton="0" quotePrefix="0" xfId="0"/>
    <xf numFmtId="166" fontId="2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" fontId="2" fillId="5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167" fontId="2" fillId="3" borderId="1" pivotButton="0" quotePrefix="0" xfId="0"/>
    <xf numFmtId="167" fontId="2" fillId="5" borderId="0" pivotButton="0" quotePrefix="0" xfId="0"/>
    <xf numFmtId="167" fontId="6" fillId="6" borderId="1" applyAlignment="1" pivotButton="0" quotePrefix="0" xfId="0">
      <alignment horizontal="right" vertical="center"/>
    </xf>
    <xf numFmtId="168" fontId="2" fillId="5" borderId="1" applyAlignment="1" pivotButton="0" quotePrefix="0" xfId="0">
      <alignment horizontal="right" vertical="center"/>
    </xf>
    <xf numFmtId="168" fontId="2" fillId="3" borderId="1" pivotButton="0" quotePrefix="0" xfId="0"/>
    <xf numFmtId="11" fontId="2" fillId="3" borderId="1" pivotButton="0" quotePrefix="0" xfId="0"/>
    <xf numFmtId="169" fontId="2" fillId="5" borderId="1" applyAlignment="1" pivotButton="0" quotePrefix="0" xfId="0">
      <alignment horizontal="right" vertical="center"/>
    </xf>
    <xf numFmtId="0" fontId="0" fillId="3" borderId="0" pivotButton="0" quotePrefix="0" xfId="0"/>
    <xf numFmtId="0" fontId="2" fillId="7" borderId="1" pivotButton="0" quotePrefix="0" xfId="0"/>
    <xf numFmtId="165" fontId="2" fillId="5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6" fillId="6" borderId="1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Titration curve</a:t>
            </a:r>
          </a:p>
        </rich>
      </tx>
    </title>
    <plotArea>
      <scatterChart>
        <scatterStyle val="lineMarker"/>
        <ser>
          <idx val="0"/>
          <order val="0"/>
          <tx>
            <v>PASCO data</v>
          </tx>
          <spPr>
            <a:ln w="12700">
              <a:solidFill>
                <a:srgbClr val="4A6FA5"/>
              </a:solidFill>
              <a:prstDash val="solid"/>
            </a:ln>
          </spPr>
          <marker>
            <symbol val="circle"/>
            <size val="4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xVal>
            <numRef>
              <f>'4_滴定曲線'!$A$4:$A$603</f>
            </numRef>
          </xVal>
          <yVal>
            <numRef>
              <f>'4_滴定曲線'!$B$4:$B$603</f>
            </numRef>
          </yVal>
          <smooth val="0"/>
        </ser>
        <ser>
          <idx val="1"/>
          <order val="1"/>
          <tx>
            <v>Veq (1st derivative)</v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'4_滴定曲線'!$W$4:$W$5</f>
            </numRef>
          </xVal>
          <yVal>
            <numRef>
              <f>'4_滴定曲線'!$X$4:$X$5</f>
            </numRef>
          </yVal>
          <smooth val="0"/>
        </ser>
        <ser>
          <idx val="2"/>
          <order val="2"/>
          <tx>
            <v>half-equivalence (pH = pKa)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D08A1E"/>
              </a:solidFill>
              <a:ln>
                <a:solidFill>
                  <a:srgbClr val="D08A1E"/>
                </a:solidFill>
                <a:prstDash val="solid"/>
              </a:ln>
            </spPr>
          </marker>
          <xVal>
            <numRef>
              <f>'4_滴定曲線'!$W$12</f>
            </numRef>
          </xVal>
          <yVal>
            <numRef>
              <f>'4_滴定曲線'!$X$12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of NaOH added (mL)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pH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First derivative: dpH/dV</a:t>
            </a:r>
          </a:p>
        </rich>
      </tx>
    </title>
    <plotArea>
      <scatterChart>
        <scatterStyle val="lineMarker"/>
        <ser>
          <idx val="0"/>
          <order val="0"/>
          <tx>
            <v>actual ΔV (right)</v>
          </tx>
          <spPr>
            <a:ln w="12700">
              <a:solidFill>
                <a:srgbClr val="1E6B66"/>
              </a:solidFill>
              <a:prstDash val="solid"/>
            </a:ln>
          </spPr>
          <marker>
            <symbol val="circle"/>
            <size val="4"/>
            <spPr>
              <a:solidFill>
                <a:srgbClr val="1E6B66"/>
              </a:solidFill>
              <a:ln>
                <a:solidFill>
                  <a:srgbClr val="1E6B66"/>
                </a:solidFill>
                <a:prstDash val="solid"/>
              </a:ln>
            </spPr>
          </marker>
          <xVal>
            <numRef>
              <f>'4_滴定曲線'!$P$4:$P$603</f>
            </numRef>
          </xVal>
          <yVal>
            <numRef>
              <f>'4_滴定曲線'!$Q$4:$Q$603</f>
            </numRef>
          </yVal>
          <smooth val="0"/>
        </ser>
        <ser>
          <idx val="1"/>
          <order val="1"/>
          <tx>
            <v>average step (wrong)</v>
          </tx>
          <spPr>
            <a:ln w="12700">
              <a:solidFill>
                <a:srgbClr val="D08A1E"/>
              </a:solidFill>
              <a:prstDash val="dash"/>
            </a:ln>
          </spPr>
          <marker>
            <symbol val="circle"/>
            <size val="4"/>
            <spPr>
              <a:solidFill>
                <a:srgbClr val="D08A1E"/>
              </a:solidFill>
              <a:ln>
                <a:solidFill>
                  <a:srgbClr val="D08A1E"/>
                </a:solidFill>
                <a:prstDash val="solid"/>
              </a:ln>
            </spPr>
          </marker>
          <xVal>
            <numRef>
              <f>'4_滴定曲線'!$P$4:$P$603</f>
            </numRef>
          </xVal>
          <yVal>
            <numRef>
              <f>'4_滴定曲線'!$R$4:$R$603</f>
            </numRef>
          </yVal>
          <smooth val="0"/>
        </ser>
        <ser>
          <idx val="2"/>
          <order val="2"/>
          <tx>
            <v>Veq</v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'4_滴定曲線'!$W$6:$W$7</f>
            </numRef>
          </xVal>
          <yVal>
            <numRef>
              <f>'4_滴定曲線'!$X$6:$X$7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(mL, interval midpoint)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dpH/dV (pH/mL)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Second derivative (zero crossing = equivalence point)</a:t>
            </a:r>
          </a:p>
        </rich>
      </tx>
    </title>
    <plotArea>
      <scatterChart>
        <scatterStyle val="lineMarker"/>
        <ser>
          <idx val="0"/>
          <order val="0"/>
          <tx>
            <v>second derivative</v>
          </tx>
          <spPr>
            <a:ln w="12700">
              <a:solidFill>
                <a:srgbClr val="B3306A"/>
              </a:solidFill>
              <a:prstDash val="solid"/>
            </a:ln>
          </spPr>
          <marker>
            <symbol val="circle"/>
            <size val="4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xVal>
            <numRef>
              <f>'4_滴定曲線'!$S$4:$S$603</f>
            </numRef>
          </xVal>
          <yVal>
            <numRef>
              <f>'4_滴定曲線'!$T$4:$T$603</f>
            </numRef>
          </yVal>
          <smooth val="0"/>
        </ser>
        <ser>
          <idx val="1"/>
          <order val="1"/>
          <tx>
            <v>y = 0</v>
          </tx>
          <spPr>
            <a:ln w="19050">
              <a:solidFill>
                <a:srgbClr val="5B69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'4_滴定曲線'!$W$8:$W$9</f>
            </numRef>
          </xVal>
          <yVal>
            <numRef>
              <f>'4_滴定曲線'!$X$8:$X$9</f>
            </numRef>
          </yVal>
          <smooth val="0"/>
        </ser>
        <ser>
          <idx val="2"/>
          <order val="2"/>
          <tx>
            <v>Veq</v>
          </tx>
          <spPr>
            <a:ln w="19050">
              <a:solidFill>
                <a:srgbClr val="1E6B6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'4_滴定曲線'!$W$10:$W$11</f>
            </numRef>
          </xVal>
          <yVal>
            <numRef>
              <f>'4_滴定曲線'!$X$10:$X$11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(mL)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d2pH/dV2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Bland-Altman: manual vs PASCO titratable acidity</a:t>
            </a:r>
          </a:p>
        </rich>
      </tx>
    </title>
    <plotArea>
      <scatterChart>
        <scatterStyle val="lineMarker"/>
        <ser>
          <idx val="0"/>
          <order val="0"/>
          <tx>
            <v>pairs</v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xVal>
            <numRef>
              <f>'5_手動vs自動'!$T$5:$T$44</f>
            </numRef>
          </xVal>
          <yVal>
            <numRef>
              <f>'5_手動vs自動'!$U$5:$U$44</f>
            </numRef>
          </yVal>
          <smooth val="0"/>
        </ser>
        <ser>
          <idx val="1"/>
          <order val="1"/>
          <tx>
            <v>bias</v>
          </tx>
          <spPr>
            <a:ln w="19050">
              <a:solidFill>
                <a:srgbClr val="1E6B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'5_手動vs自動'!$X$5:$X$6</f>
            </numRef>
          </xVal>
          <yVal>
            <numRef>
              <f>'5_手動vs自動'!$Y$5:$Y$6</f>
            </numRef>
          </yVal>
          <smooth val="0"/>
        </ser>
        <ser>
          <idx val="2"/>
          <order val="2"/>
          <tx>
            <v>-1.96 SD</v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'5_手動vs自動'!$X$7:$X$8</f>
            </numRef>
          </xVal>
          <yVal>
            <numRef>
              <f>'5_手動vs自動'!$Y$7:$Y$8</f>
            </numRef>
          </yVal>
          <smooth val="0"/>
        </ser>
        <ser>
          <idx val="3"/>
          <order val="3"/>
          <tx>
            <v>+1.96 SD</v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'5_手動vs自動'!$X$9:$X$10</f>
            </numRef>
          </xVal>
          <yVal>
            <numRef>
              <f>'5_手動vs自動'!$Y$9:$Y$10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Mean of manual and PASCO (% acid)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Difference: PASCO - manual (% acid)</a:t>
                </a:r>
              </a:p>
            </rich>
          </tx>
        </title>
        <numFmt formatCode="0.0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Manual vs PASCO (high r does not mean agreement)</a:t>
            </a:r>
          </a:p>
        </rich>
      </tx>
    </title>
    <plotArea>
      <scatterChart>
        <scatterStyle val="lineMarker"/>
        <ser>
          <idx val="0"/>
          <order val="0"/>
          <tx>
            <v>pairs</v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xVal>
            <numRef>
              <f>'5_手動vs自動'!$V$5:$V$44</f>
            </numRef>
          </xVal>
          <yVal>
            <numRef>
              <f>'5_手動vs自動'!$W$5:$W$44</f>
            </numRef>
          </yVal>
          <smooth val="0"/>
        </ser>
        <ser>
          <idx val="1"/>
          <order val="1"/>
          <tx>
            <v>y = x</v>
          </tx>
          <spPr>
            <a:ln w="19050">
              <a:solidFill>
                <a:srgbClr val="5B69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'5_手動vs自動'!$X$11:$X$12</f>
            </numRef>
          </xVal>
          <yVal>
            <numRef>
              <f>'5_手動vs自動'!$Y$11:$Y$12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Manual % acid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PASCO % acid</a:t>
                </a:r>
              </a:p>
            </rich>
          </tx>
        </title>
        <numFmt formatCode="0.0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30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49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68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47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47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4_titration/index.html" TargetMode="External" Id="rId1" /><Relationship Type="http://schemas.openxmlformats.org/officeDocument/2006/relationships/hyperlink" Target="https://colab.research.google.com/github/Tai-ShengYeh/food-analysis-lab/blob/main/notebooks/NB04_titration.ipynb" TargetMode="External" Id="rId2" /><Relationship Type="http://schemas.openxmlformats.org/officeDocument/2006/relationships/hyperlink" Target="https://tai-shengyeh.github.io/food-analysis-lab/tools.html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EX04｜W4 手動滴定 vs 自動滴定（可滴定酸度）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用 KHP 標定 NaOH：N = KHP 質量 ÷ (204.22 × V_L)，並看各組標定的一致性（平均、SD、RSD）。</t>
        </is>
      </c>
    </row>
    <row r="6">
      <c r="B6" s="4" t="inlineStr">
        <is>
          <t>•  用 % 酸 = N × V × 當量重 ÷ (W × 1000) × 100 算白醋、柳橙汁、優格、紅酒的可滴定酸度。</t>
        </is>
      </c>
    </row>
    <row r="7">
      <c r="B7" s="4" t="inlineStr">
        <is>
          <t>•  讀 PASCO 匯出的滴定曲線，用一階導數最大值（MAX／MATCH／INDEX）與二階導數零交叉找當量點，用半當量點估 pKa。</t>
        </is>
      </c>
    </row>
    <row r="8">
      <c r="B8" s="4" t="inlineStr">
        <is>
          <t>•  理解體積間距不均勻時，一定要用每一段實際的 ΔV 算導數。</t>
        </is>
      </c>
    </row>
    <row r="9">
      <c r="B9" s="4" t="inlineStr">
        <is>
          <t>•  用 Bland–Altman（bias、±1.96 SD 一致性界限）、配對 t 檢定、F 檢定比較手動與 PASCO；理解 r 高不代表兩法一致。</t>
        </is>
      </c>
    </row>
    <row r="11">
      <c r="B11" s="3" t="inlineStr">
        <is>
          <t>顏色代表什麼</t>
        </is>
      </c>
    </row>
    <row r="12">
      <c r="B12" s="5" t="inlineStr"/>
      <c r="C12" s="6" t="inlineStr">
        <is>
          <t>黃色：輸入或貼上數據的地方</t>
        </is>
      </c>
    </row>
    <row r="13">
      <c r="B13" s="7" t="inlineStr"/>
      <c r="C13" s="6" t="inlineStr">
        <is>
          <t>綠色：公式，會自動計算，不要改</t>
        </is>
      </c>
    </row>
    <row r="14">
      <c r="B14" s="8" t="inlineStr"/>
      <c r="C14" s="6" t="inlineStr">
        <is>
          <t>橘色：重點結果，寫報告時用</t>
        </is>
      </c>
    </row>
    <row r="16">
      <c r="B16" s="3" t="inlineStr">
        <is>
          <t>操作步驟</t>
        </is>
      </c>
    </row>
    <row r="17" ht="15" customHeight="1">
      <c r="B17" s="4" t="inlineStr">
        <is>
          <t>1. 看「1_原始數據」：一列是一次量測。右邊綠色欄逐列算好 N、當量重、% 酸、配對的 PASCO 值與差值。</t>
        </is>
      </c>
    </row>
    <row r="18" ht="15" customHeight="1">
      <c r="B18" s="4" t="inlineStr">
        <is>
          <t>2. 看「2_NaOH標定」：用講義範例練習計算機，再看各組的 N 與全班 RSD。</t>
        </is>
      </c>
    </row>
    <row r="19" ht="15" customHeight="1">
      <c r="B19" s="4" t="inlineStr">
        <is>
          <t>3. 看「3_可滴定酸度」：確認樣品參數表（當量重、取樣量），看各樣品的平均 % 酸與 RSD。</t>
        </is>
      </c>
    </row>
    <row r="20" ht="15" customHeight="1">
      <c r="B20" s="4" t="inlineStr">
        <is>
          <t>4. 看「4_滴定曲線」：A、B 欄是 PASCO 曲線，右邊找當量點與半當量點，往下捲有三張圖。</t>
        </is>
      </c>
    </row>
    <row r="21" ht="15" customHeight="1">
      <c r="B21" s="4" t="inlineStr">
        <is>
          <t>5. 看「5_手動vs自動」：配對表、Bland–Altman 統計、配對 t、F 檢定與兩張圖。</t>
        </is>
      </c>
    </row>
    <row r="22" ht="15" customHeight="1">
      <c r="B22" s="4" t="inlineStr">
        <is>
          <t>6. 完成「練習題」。</t>
        </is>
      </c>
    </row>
    <row r="23" ht="30" customHeight="1">
      <c r="B23" s="4" t="inlineStr">
        <is>
          <t>7. 換成班級數據：Google Sheet 的長格式數據貼到「1_原始數據」A2；PASCO 曲線（體積, pH）貼到「4_滴定曲線」A4。</t>
        </is>
      </c>
    </row>
    <row r="25">
      <c r="B25" s="3" t="inlineStr">
        <is>
          <t>對答案：用內建範例數據時，你的結果應該等於</t>
        </is>
      </c>
    </row>
    <row r="26">
      <c r="B26" s="9" t="inlineStr">
        <is>
          <t>項目</t>
        </is>
      </c>
      <c r="C26" s="9" t="inlineStr">
        <is>
          <t>本檔計算值</t>
        </is>
      </c>
      <c r="D26" s="9" t="inlineStr">
        <is>
          <t>Colab 筆記本的值</t>
        </is>
      </c>
      <c r="E26" s="9" t="inlineStr">
        <is>
          <t>一致？</t>
        </is>
      </c>
    </row>
    <row r="27">
      <c r="B27" s="10" t="inlineStr">
        <is>
          <t>第 1 組 N_NaOH (M)</t>
        </is>
      </c>
      <c r="C27" s="11">
        <f>'2_NaOH標定'!F15</f>
        <v/>
      </c>
      <c r="D27" s="12" t="n">
        <v>0.100823188927349</v>
      </c>
      <c r="E27" s="13">
        <f>IF(ABS(C27-D27)&lt;=1.0083318892734904e-05,"✔ 一致","✘ 不一致（換成班級數據後本來就會不同）")</f>
        <v/>
      </c>
    </row>
    <row r="28">
      <c r="B28" s="10" t="inlineStr">
        <is>
          <t>白醋手動平均 % 酸</t>
        </is>
      </c>
      <c r="C28" s="11">
        <f>'3_可滴定酸度'!D24</f>
        <v/>
      </c>
      <c r="D28" s="12" t="n">
        <v>4.515441314535296</v>
      </c>
      <c r="E28" s="13">
        <f>IF(ABS(C28-D28)&lt;=0.0004515451314535296,"✔ 一致","✘ 不一致（換成班級數據後本來就會不同）")</f>
        <v/>
      </c>
    </row>
    <row r="29">
      <c r="B29" s="10" t="inlineStr">
        <is>
          <t>紅酒手動 RSD (%)</t>
        </is>
      </c>
      <c r="C29" s="14">
        <f>'3_可滴定酸度'!F27</f>
        <v/>
      </c>
      <c r="D29" s="15" t="n">
        <v>21.34494777532426</v>
      </c>
      <c r="E29" s="13">
        <f>IF(ABS(C29-D29)&lt;=0.002134495777532426,"✔ 一致","✘ 不一致（換成班級數據後本來就會不同）")</f>
        <v/>
      </c>
    </row>
    <row r="30">
      <c r="B30" s="10" t="inlineStr">
        <is>
          <t>當量點 Veq，一階導數法 (mL)</t>
        </is>
      </c>
      <c r="C30" s="16">
        <f>'4_滴定曲線'!L10</f>
        <v/>
      </c>
      <c r="D30" s="17" t="n">
        <v>18.7465</v>
      </c>
      <c r="E30" s="13">
        <f>IF(ABS(C30-D30)&lt;=0.0018746510000000002,"✔ 一致","✘ 不一致（換成班級數據後本來就會不同）")</f>
        <v/>
      </c>
    </row>
    <row r="31">
      <c r="B31" s="10" t="inlineStr">
        <is>
          <t>一階導數峰值 (pH/mL)</t>
        </is>
      </c>
      <c r="C31" s="14">
        <f>'4_滴定曲線'!L8</f>
        <v/>
      </c>
      <c r="D31" s="15" t="n">
        <v>25.11504424778772</v>
      </c>
      <c r="E31" s="13">
        <f>IF(ABS(C31-D31)&lt;=0.002511505424778772,"✔ 一致","✘ 不一致（換成班級數據後本來就會不同）")</f>
        <v/>
      </c>
    </row>
    <row r="32">
      <c r="B32" s="10" t="inlineStr">
        <is>
          <t>bias：PASCO − 手動 (%)</t>
        </is>
      </c>
      <c r="C32" s="18">
        <f>'5_手動vs自動'!L6</f>
        <v/>
      </c>
      <c r="D32" s="19" t="n">
        <v>0.01798461264323683</v>
      </c>
      <c r="E32" s="13">
        <f>IF(ABS(C32-D32)&lt;=1.7994612643236835e-06,"✔ 一致","✘ 不一致（換成班級數據後本來就會不同）")</f>
        <v/>
      </c>
    </row>
    <row r="33">
      <c r="B33" s="10" t="inlineStr">
        <is>
          <t>一致性界限上限 (%)</t>
        </is>
      </c>
      <c r="C33" s="11">
        <f>'5_手動vs自動'!L9</f>
        <v/>
      </c>
      <c r="D33" s="12" t="n">
        <v>0.1214415162704995</v>
      </c>
      <c r="E33" s="13">
        <f>IF(ABS(C33-D33)&lt;=1.2145151627049954e-05,"✔ 一致","✘ 不一致（換成班級數據後本來就會不同）")</f>
        <v/>
      </c>
    </row>
    <row r="34">
      <c r="B34" s="10" t="inlineStr">
        <is>
          <t>F（合併變異數比）</t>
        </is>
      </c>
      <c r="C34" s="16">
        <f>'5_手動vs自動'!L29</f>
        <v/>
      </c>
      <c r="D34" s="17" t="n">
        <v>1.794266413727972</v>
      </c>
      <c r="E34" s="13">
        <f>IF(ABS(C34-D34)&lt;=0.00017942764137279715,"✔ 一致","✘ 不一致（換成班級數據後本來就會不同）")</f>
        <v/>
      </c>
    </row>
    <row r="35">
      <c r="B35" s="20" t="inlineStr">
        <is>
          <t>「Colab 筆記本的值」是用內建模擬數據算出的答案；換成全班數據後，這一欄就不再適用。</t>
        </is>
      </c>
    </row>
    <row r="37">
      <c r="B37" s="3" t="inlineStr">
        <is>
          <t>相關連結</t>
        </is>
      </c>
    </row>
    <row r="38">
      <c r="B38" s="21" t="inlineStr">
        <is>
          <t>本週實驗投影片</t>
        </is>
      </c>
      <c r="C38" s="2" t="inlineStr">
        <is>
          <t>https://tai-shengyeh.github.io/food-analysis-lab/labs/w04_titration/index.html</t>
        </is>
      </c>
    </row>
    <row r="39">
      <c r="B39" s="21" t="inlineStr">
        <is>
          <t>進階：Colab 筆記本（Python）</t>
        </is>
      </c>
      <c r="C39" s="2" t="inlineStr">
        <is>
          <t>https://colab.research.google.com/github/Tai-ShengYeh/food-analysis-lab/blob/main/notebooks/NB04_titration.ipynb</t>
        </is>
      </c>
    </row>
    <row r="40">
      <c r="B40" s="21" t="inlineStr">
        <is>
          <t>數據分析工具指南（Excel／Orange／Colab）</t>
        </is>
      </c>
      <c r="C40" s="2" t="inlineStr">
        <is>
          <t>https://tai-shengyeh.github.io/food-analysis-lab/tools.html</t>
        </is>
      </c>
    </row>
    <row r="42">
      <c r="B42" s="3" t="inlineStr">
        <is>
          <t>小提醒</t>
        </is>
      </c>
    </row>
    <row r="43" ht="30" customHeight="1">
      <c r="B43" s="4" t="inlineStr">
        <is>
          <t>•  進階：把曲線內插到 0.05 mL 的均勻網格、再用移動平均平滑化後取導數（看平滑化對峰值的影響），以及用完整電荷平衡式模擬理論曲線，這兩部分請看 Colab 筆記本。</t>
        </is>
      </c>
    </row>
    <row r="44" ht="30" customHeight="1">
      <c r="B44" s="4" t="inlineStr">
        <is>
          <t>•  本檔的二階導數零交叉是在一階導數峰值前後直接內插，範例曲線得約 18.75 mL；Colab 筆記本在平滑後的網格上取「±3 mL 內第一個變號點」，會抓到雜訊而得 16.19 mL，兩者不同是正常的。</t>
        </is>
      </c>
    </row>
    <row r="45" ht="15" customHeight="1">
      <c r="B45" s="4" t="inlineStr">
        <is>
          <t>•  滴定曲線圖的範圍涵蓋到第 603 列，PASCO 數據點數不同也不用改圖。</t>
        </is>
      </c>
    </row>
    <row r="46" ht="15" customHeight="1">
      <c r="B46" s="4" t="inlineStr">
        <is>
          <t>•  Google 試算表也能開這個檔（檔案 → 匯入），公式都一樣能用。</t>
        </is>
      </c>
    </row>
    <row r="47" ht="15" customHeight="1">
      <c r="B47" s="4" t="inlineStr">
        <is>
          <t>•  看到 #NAME? 表示 Excel 版本太舊（2007 以前），請改用 Google 試算表。</t>
        </is>
      </c>
    </row>
  </sheetData>
  <mergeCells count="18">
    <mergeCell ref="B20:E20"/>
    <mergeCell ref="B45:E45"/>
    <mergeCell ref="B17:E17"/>
    <mergeCell ref="B9:E9"/>
    <mergeCell ref="B18:E18"/>
    <mergeCell ref="B8:E8"/>
    <mergeCell ref="B23:E23"/>
    <mergeCell ref="B35:E35"/>
    <mergeCell ref="B43:E43"/>
    <mergeCell ref="B6:E6"/>
    <mergeCell ref="B21:E21"/>
    <mergeCell ref="B44:E44"/>
    <mergeCell ref="B7:E7"/>
    <mergeCell ref="B47:E47"/>
    <mergeCell ref="B5:E5"/>
    <mergeCell ref="B19:E19"/>
    <mergeCell ref="B46:E46"/>
    <mergeCell ref="B22:E22"/>
  </mergeCells>
  <hyperlinks>
    <hyperlink xmlns:r="http://schemas.openxmlformats.org/officeDocument/2006/relationships" ref="B38" r:id="rId1"/>
    <hyperlink xmlns:r="http://schemas.openxmlformats.org/officeDocument/2006/relationships" ref="B39" r:id="rId2"/>
    <hyperlink xmlns:r="http://schemas.openxmlformats.org/officeDocument/2006/relationships" ref="B40" r:id="rId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T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60" customWidth="1" min="20" max="20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note</t>
        </is>
      </c>
      <c r="I1" s="9" t="inlineStr">
        <is>
          <t>sample</t>
        </is>
      </c>
      <c r="J1" s="22" t="inlineStr">
        <is>
          <t>N_KHP_M</t>
        </is>
      </c>
      <c r="K1" s="22" t="inlineStr">
        <is>
          <t>N_NaOH_M</t>
        </is>
      </c>
      <c r="L1" s="22" t="inlineStr">
        <is>
          <t>eqwt</t>
        </is>
      </c>
      <c r="M1" s="22" t="inlineStr">
        <is>
          <t>W_sample</t>
        </is>
      </c>
      <c r="N1" s="22" t="inlineStr">
        <is>
          <t>manual_pct_acid</t>
        </is>
      </c>
      <c r="O1" s="22" t="inlineStr">
        <is>
          <t>pasco_pct_acid</t>
        </is>
      </c>
      <c r="P1" s="22" t="inlineStr">
        <is>
          <t>diff_pct</t>
        </is>
      </c>
      <c r="Q1" s="22" t="inlineStr">
        <is>
          <t>mean_pct</t>
        </is>
      </c>
      <c r="R1" s="22" t="inlineStr">
        <is>
          <t>pair_no</t>
        </is>
      </c>
      <c r="T1" s="3" t="inlineStr">
        <is>
          <t>這張工作表怎麼用</t>
        </is>
      </c>
    </row>
    <row r="2" ht="75" customHeight="1">
      <c r="A2" s="23" t="n">
        <v>1</v>
      </c>
      <c r="B2" s="23" t="inlineStr">
        <is>
          <t>G1_S1</t>
        </is>
      </c>
      <c r="C2" s="23" t="inlineStr">
        <is>
          <t>khp_mass_g</t>
        </is>
      </c>
      <c r="D2" s="23" t="n">
        <v>1</v>
      </c>
      <c r="E2" s="23" t="n">
        <v>0.5164</v>
      </c>
      <c r="F2" s="23" t="inlineStr">
        <is>
          <t>g</t>
        </is>
      </c>
      <c r="G2" s="23" t="n">
        <v>25</v>
      </c>
      <c r="H2" s="23" t="n"/>
      <c r="I2" s="23" t="inlineStr">
        <is>
          <t>KHP</t>
        </is>
      </c>
      <c r="J2" s="24">
        <f>IF($A2="","",IF($C2&lt;&gt;"khp_titration_mL","",IF(COUNTIFS('1_原始數據'!$A$2:$A$1000,$A2,'1_原始數據'!$B$2:$B$1000,$B2,'1_原始數據'!$D$2:$D$1000,$D2,'1_原始數據'!$C$2:$C$1000,"khp_mass_g")=0,"",SUMIFS('1_原始數據'!$E$2:$E$1000,'1_原始數據'!$A$2:$A$1000,$A2,'1_原始數據'!$B$2:$B$1000,$B2,'1_原始數據'!$D$2:$D$1000,$D2,'1_原始數據'!$C$2:$C$1000,"khp_mass_g")/('2_NaOH標定'!$C$5*$E2/1000))))</f>
        <v/>
      </c>
      <c r="K2" s="24">
        <f>IF($A2="","",IF($C2&lt;&gt;"manual_titration_mL","",IF(COUNTIFS('1_原始數據'!$A$2:$A$1000,$A2,'1_原始數據'!$C$2:$C$1000,"khp_titration_mL")=0,"",AVERAGEIFS('1_原始數據'!$J$2:$J$1000,'1_原始數據'!$A$2:$A$1000,$A2,'1_原始數據'!$C$2:$C$1000,"khp_titration_mL"))))</f>
        <v/>
      </c>
      <c r="L2" s="25">
        <f>IF($A2="","",IF($C2&lt;&gt;"manual_titration_mL","",IFERROR(INDEX('3_可滴定酸度'!$E$6:$E$13,MATCH($I2,'3_可滴定酸度'!$B$6:$B$13,0)),"")))</f>
        <v/>
      </c>
      <c r="M2" s="25">
        <f>IF($A2="","",IF($C2&lt;&gt;"manual_titration_mL","",IFERROR(INDEX('3_可滴定酸度'!$F$6:$F$13,MATCH($I2,'3_可滴定酸度'!$B$6:$B$13,0)),"")))</f>
        <v/>
      </c>
      <c r="N2" s="24">
        <f>IF($A2="","",IF(OR(K2="",L2="",M2=""),"",K2*E2*L2/(M2*1000)*100))</f>
        <v/>
      </c>
      <c r="O2" s="24">
        <f>IF($A2="","",IF(N2="","",IF(COUNTIFS('1_原始數據'!$A$2:$A$1000,$A2,'1_原始數據'!$B$2:$B$1000,$B2,'1_原始數據'!$D$2:$D$1000,$D2,'1_原始數據'!$I$2:$I$1000,$I2,'1_原始數據'!$C$2:$C$1000,"pasco_pct_acid")=0,"",SUMIFS('1_原始數據'!$E$2:$E$1000,'1_原始數據'!$A$2:$A$1000,$A2,'1_原始數據'!$B$2:$B$1000,$B2,'1_原始數據'!$D$2:$D$1000,$D2,'1_原始數據'!$I$2:$I$1000,$I2,'1_原始數據'!$C$2:$C$1000,"pasco_pct_acid"))))</f>
        <v/>
      </c>
      <c r="P2" s="26">
        <f>IF($A2="","",IF(OR(N2="",O2=""),"",O2-N2))</f>
        <v/>
      </c>
      <c r="Q2" s="24">
        <f>IF($A2="","",IF(P2="","",(O2+N2)/2))</f>
        <v/>
      </c>
      <c r="R2" s="27">
        <f>IF($A2="","",IF(P2="","",COUNT($P$2:P2)))</f>
        <v/>
      </c>
      <c r="T2" s="20" t="inlineStr">
        <is>
          <t>本週 item：khp_mass_g＝KHP 質量 (g)；khp_titration_mL＝標定用去的 NaOH (mL)；manual_titration_mL＝手動滴定樣品用去的 NaOH (mL)；pasco_pct_acid＝PASCO 軟體直接算出的 % 酸。sample＝樣品（vinegar 白醋、orange_juice 柳橙汁、yogurt 優格、red_wine 紅酒）。</t>
        </is>
      </c>
    </row>
    <row r="3" ht="15" customHeight="1">
      <c r="A3" s="23" t="n">
        <v>1</v>
      </c>
      <c r="B3" s="23" t="inlineStr">
        <is>
          <t>G1_S1</t>
        </is>
      </c>
      <c r="C3" s="23" t="inlineStr">
        <is>
          <t>khp_titration_mL</t>
        </is>
      </c>
      <c r="D3" s="23" t="n">
        <v>1</v>
      </c>
      <c r="E3" s="23" t="n">
        <v>25.08</v>
      </c>
      <c r="F3" s="23" t="inlineStr">
        <is>
          <t>mL</t>
        </is>
      </c>
      <c r="G3" s="23" t="n">
        <v>25</v>
      </c>
      <c r="H3" s="23" t="n"/>
      <c r="I3" s="23" t="inlineStr">
        <is>
          <t>NaOH</t>
        </is>
      </c>
      <c r="J3" s="24">
        <f>IF($A3="","",IF($C3&lt;&gt;"khp_titration_mL","",IF(COUNTIFS('1_原始數據'!$A$2:$A$1000,$A3,'1_原始數據'!$B$2:$B$1000,$B3,'1_原始數據'!$D$2:$D$1000,$D3,'1_原始數據'!$C$2:$C$1000,"khp_mass_g")=0,"",SUMIFS('1_原始數據'!$E$2:$E$1000,'1_原始數據'!$A$2:$A$1000,$A3,'1_原始數據'!$B$2:$B$1000,$B3,'1_原始數據'!$D$2:$D$1000,$D3,'1_原始數據'!$C$2:$C$1000,"khp_mass_g")/('2_NaOH標定'!$C$5*$E3/1000))))</f>
        <v/>
      </c>
      <c r="K3" s="24">
        <f>IF($A3="","",IF($C3&lt;&gt;"manual_titration_mL","",IF(COUNTIFS('1_原始數據'!$A$2:$A$1000,$A3,'1_原始數據'!$C$2:$C$1000,"khp_titration_mL")=0,"",AVERAGEIFS('1_原始數據'!$J$2:$J$1000,'1_原始數據'!$A$2:$A$1000,$A3,'1_原始數據'!$C$2:$C$1000,"khp_titration_mL"))))</f>
        <v/>
      </c>
      <c r="L3" s="25">
        <f>IF($A3="","",IF($C3&lt;&gt;"manual_titration_mL","",IFERROR(INDEX('3_可滴定酸度'!$E$6:$E$13,MATCH($I3,'3_可滴定酸度'!$B$6:$B$13,0)),"")))</f>
        <v/>
      </c>
      <c r="M3" s="25">
        <f>IF($A3="","",IF($C3&lt;&gt;"manual_titration_mL","",IFERROR(INDEX('3_可滴定酸度'!$F$6:$F$13,MATCH($I3,'3_可滴定酸度'!$B$6:$B$13,0)),"")))</f>
        <v/>
      </c>
      <c r="N3" s="24">
        <f>IF($A3="","",IF(OR(K3="",L3="",M3=""),"",K3*E3*L3/(M3*1000)*100))</f>
        <v/>
      </c>
      <c r="O3" s="24">
        <f>IF($A3="","",IF(N3="","",IF(COUNTIFS('1_原始數據'!$A$2:$A$1000,$A3,'1_原始數據'!$B$2:$B$1000,$B3,'1_原始數據'!$D$2:$D$1000,$D3,'1_原始數據'!$I$2:$I$1000,$I3,'1_原始數據'!$C$2:$C$1000,"pasco_pct_acid")=0,"",SUMIFS('1_原始數據'!$E$2:$E$1000,'1_原始數據'!$A$2:$A$1000,$A3,'1_原始數據'!$B$2:$B$1000,$B3,'1_原始數據'!$D$2:$D$1000,$D3,'1_原始數據'!$I$2:$I$1000,$I3,'1_原始數據'!$C$2:$C$1000,"pasco_pct_acid"))))</f>
        <v/>
      </c>
      <c r="P3" s="26">
        <f>IF($A3="","",IF(OR(N3="",O3=""),"",O3-N3))</f>
        <v/>
      </c>
      <c r="Q3" s="24">
        <f>IF($A3="","",IF(P3="","",(O3+N3)/2))</f>
        <v/>
      </c>
      <c r="R3" s="27">
        <f>IF($A3="","",IF(P3="","",COUNT($P$2:P3)))</f>
        <v/>
      </c>
      <c r="T3" s="20" t="inlineStr">
        <is>
          <t>滴定曲線（體積-pH）是另一種格式，請貼在「4_滴定曲線」。</t>
        </is>
      </c>
    </row>
    <row r="4" ht="30" customHeight="1">
      <c r="A4" s="23" t="n">
        <v>2</v>
      </c>
      <c r="B4" s="23" t="inlineStr">
        <is>
          <t>G2_S1</t>
        </is>
      </c>
      <c r="C4" s="23" t="inlineStr">
        <is>
          <t>khp_mass_g</t>
        </is>
      </c>
      <c r="D4" s="23" t="n">
        <v>1</v>
      </c>
      <c r="E4" s="23" t="n">
        <v>0.5215</v>
      </c>
      <c r="F4" s="23" t="inlineStr">
        <is>
          <t>g</t>
        </is>
      </c>
      <c r="G4" s="23" t="n">
        <v>25</v>
      </c>
      <c r="H4" s="23" t="n"/>
      <c r="I4" s="23" t="inlineStr">
        <is>
          <t>KHP</t>
        </is>
      </c>
      <c r="J4" s="24">
        <f>IF($A4="","",IF($C4&lt;&gt;"khp_titration_mL","",IF(COUNTIFS('1_原始數據'!$A$2:$A$1000,$A4,'1_原始數據'!$B$2:$B$1000,$B4,'1_原始數據'!$D$2:$D$1000,$D4,'1_原始數據'!$C$2:$C$1000,"khp_mass_g")=0,"",SUMIFS('1_原始數據'!$E$2:$E$1000,'1_原始數據'!$A$2:$A$1000,$A4,'1_原始數據'!$B$2:$B$1000,$B4,'1_原始數據'!$D$2:$D$1000,$D4,'1_原始數據'!$C$2:$C$1000,"khp_mass_g")/('2_NaOH標定'!$C$5*$E4/1000))))</f>
        <v/>
      </c>
      <c r="K4" s="24">
        <f>IF($A4="","",IF($C4&lt;&gt;"manual_titration_mL","",IF(COUNTIFS('1_原始數據'!$A$2:$A$1000,$A4,'1_原始數據'!$C$2:$C$1000,"khp_titration_mL")=0,"",AVERAGEIFS('1_原始數據'!$J$2:$J$1000,'1_原始數據'!$A$2:$A$1000,$A4,'1_原始數據'!$C$2:$C$1000,"khp_titration_mL"))))</f>
        <v/>
      </c>
      <c r="L4" s="25">
        <f>IF($A4="","",IF($C4&lt;&gt;"manual_titration_mL","",IFERROR(INDEX('3_可滴定酸度'!$E$6:$E$13,MATCH($I4,'3_可滴定酸度'!$B$6:$B$13,0)),"")))</f>
        <v/>
      </c>
      <c r="M4" s="25">
        <f>IF($A4="","",IF($C4&lt;&gt;"manual_titration_mL","",IFERROR(INDEX('3_可滴定酸度'!$F$6:$F$13,MATCH($I4,'3_可滴定酸度'!$B$6:$B$13,0)),"")))</f>
        <v/>
      </c>
      <c r="N4" s="24">
        <f>IF($A4="","",IF(OR(K4="",L4="",M4=""),"",K4*E4*L4/(M4*1000)*100))</f>
        <v/>
      </c>
      <c r="O4" s="24">
        <f>IF($A4="","",IF(N4="","",IF(COUNTIFS('1_原始數據'!$A$2:$A$1000,$A4,'1_原始數據'!$B$2:$B$1000,$B4,'1_原始數據'!$D$2:$D$1000,$D4,'1_原始數據'!$I$2:$I$1000,$I4,'1_原始數據'!$C$2:$C$1000,"pasco_pct_acid")=0,"",SUMIFS('1_原始數據'!$E$2:$E$1000,'1_原始數據'!$A$2:$A$1000,$A4,'1_原始數據'!$B$2:$B$1000,$B4,'1_原始數據'!$D$2:$D$1000,$D4,'1_原始數據'!$I$2:$I$1000,$I4,'1_原始數據'!$C$2:$C$1000,"pasco_pct_acid"))))</f>
        <v/>
      </c>
      <c r="P4" s="26">
        <f>IF($A4="","",IF(OR(N4="",O4=""),"",O4-N4))</f>
        <v/>
      </c>
      <c r="Q4" s="24">
        <f>IF($A4="","",IF(P4="","",(O4+N4)/2))</f>
        <v/>
      </c>
      <c r="R4" s="27">
        <f>IF($A4="","",IF(P4="","",COUNT($P$2:P4)))</f>
        <v/>
      </c>
      <c r="T4" s="20" t="inlineStr">
        <is>
          <t>黃色欄位＝原始數據。換成全班數據時：從共用 Google Sheet 複製，貼到 A2（欄位順序必須一樣），舊資料多出來的列要整列刪除。</t>
        </is>
      </c>
    </row>
    <row r="5" ht="15" customHeight="1">
      <c r="A5" s="23" t="n">
        <v>2</v>
      </c>
      <c r="B5" s="23" t="inlineStr">
        <is>
          <t>G2_S1</t>
        </is>
      </c>
      <c r="C5" s="23" t="inlineStr">
        <is>
          <t>khp_titration_mL</t>
        </is>
      </c>
      <c r="D5" s="23" t="n">
        <v>1</v>
      </c>
      <c r="E5" s="23" t="n">
        <v>25.43</v>
      </c>
      <c r="F5" s="23" t="inlineStr">
        <is>
          <t>mL</t>
        </is>
      </c>
      <c r="G5" s="23" t="n">
        <v>25</v>
      </c>
      <c r="H5" s="23" t="n"/>
      <c r="I5" s="23" t="inlineStr">
        <is>
          <t>NaOH</t>
        </is>
      </c>
      <c r="J5" s="24">
        <f>IF($A5="","",IF($C5&lt;&gt;"khp_titration_mL","",IF(COUNTIFS('1_原始數據'!$A$2:$A$1000,$A5,'1_原始數據'!$B$2:$B$1000,$B5,'1_原始數據'!$D$2:$D$1000,$D5,'1_原始數據'!$C$2:$C$1000,"khp_mass_g")=0,"",SUMIFS('1_原始數據'!$E$2:$E$1000,'1_原始數據'!$A$2:$A$1000,$A5,'1_原始數據'!$B$2:$B$1000,$B5,'1_原始數據'!$D$2:$D$1000,$D5,'1_原始數據'!$C$2:$C$1000,"khp_mass_g")/('2_NaOH標定'!$C$5*$E5/1000))))</f>
        <v/>
      </c>
      <c r="K5" s="24">
        <f>IF($A5="","",IF($C5&lt;&gt;"manual_titration_mL","",IF(COUNTIFS('1_原始數據'!$A$2:$A$1000,$A5,'1_原始數據'!$C$2:$C$1000,"khp_titration_mL")=0,"",AVERAGEIFS('1_原始數據'!$J$2:$J$1000,'1_原始數據'!$A$2:$A$1000,$A5,'1_原始數據'!$C$2:$C$1000,"khp_titration_mL"))))</f>
        <v/>
      </c>
      <c r="L5" s="25">
        <f>IF($A5="","",IF($C5&lt;&gt;"manual_titration_mL","",IFERROR(INDEX('3_可滴定酸度'!$E$6:$E$13,MATCH($I5,'3_可滴定酸度'!$B$6:$B$13,0)),"")))</f>
        <v/>
      </c>
      <c r="M5" s="25">
        <f>IF($A5="","",IF($C5&lt;&gt;"manual_titration_mL","",IFERROR(INDEX('3_可滴定酸度'!$F$6:$F$13,MATCH($I5,'3_可滴定酸度'!$B$6:$B$13,0)),"")))</f>
        <v/>
      </c>
      <c r="N5" s="24">
        <f>IF($A5="","",IF(OR(K5="",L5="",M5=""),"",K5*E5*L5/(M5*1000)*100))</f>
        <v/>
      </c>
      <c r="O5" s="24">
        <f>IF($A5="","",IF(N5="","",IF(COUNTIFS('1_原始數據'!$A$2:$A$1000,$A5,'1_原始數據'!$B$2:$B$1000,$B5,'1_原始數據'!$D$2:$D$1000,$D5,'1_原始數據'!$I$2:$I$1000,$I5,'1_原始數據'!$C$2:$C$1000,"pasco_pct_acid")=0,"",SUMIFS('1_原始數據'!$E$2:$E$1000,'1_原始數據'!$A$2:$A$1000,$A5,'1_原始數據'!$B$2:$B$1000,$B5,'1_原始數據'!$D$2:$D$1000,$D5,'1_原始數據'!$I$2:$I$1000,$I5,'1_原始數據'!$C$2:$C$1000,"pasco_pct_acid"))))</f>
        <v/>
      </c>
      <c r="P5" s="26">
        <f>IF($A5="","",IF(OR(N5="",O5=""),"",O5-N5))</f>
        <v/>
      </c>
      <c r="Q5" s="24">
        <f>IF($A5="","",IF(P5="","",(O5+N5)/2))</f>
        <v/>
      </c>
      <c r="R5" s="27">
        <f>IF($A5="","",IF(P5="","",COUNT($P$2:P5)))</f>
        <v/>
      </c>
      <c r="T5" s="20" t="inlineStr">
        <is>
          <t>綠色欄位＝公式，會自動算到第 1000 列，不要手動修改。</t>
        </is>
      </c>
    </row>
    <row r="6" ht="45" customHeight="1">
      <c r="A6" s="23" t="n">
        <v>3</v>
      </c>
      <c r="B6" s="23" t="inlineStr">
        <is>
          <t>G3_S1</t>
        </is>
      </c>
      <c r="C6" s="23" t="inlineStr">
        <is>
          <t>khp_mass_g</t>
        </is>
      </c>
      <c r="D6" s="23" t="n">
        <v>1</v>
      </c>
      <c r="E6" s="23" t="n">
        <v>0.4757</v>
      </c>
      <c r="F6" s="23" t="inlineStr">
        <is>
          <t>g</t>
        </is>
      </c>
      <c r="G6" s="23" t="n">
        <v>25</v>
      </c>
      <c r="H6" s="23" t="n"/>
      <c r="I6" s="23" t="inlineStr">
        <is>
          <t>KHP</t>
        </is>
      </c>
      <c r="J6" s="24">
        <f>IF($A6="","",IF($C6&lt;&gt;"khp_titration_mL","",IF(COUNTIFS('1_原始數據'!$A$2:$A$1000,$A6,'1_原始數據'!$B$2:$B$1000,$B6,'1_原始數據'!$D$2:$D$1000,$D6,'1_原始數據'!$C$2:$C$1000,"khp_mass_g")=0,"",SUMIFS('1_原始數據'!$E$2:$E$1000,'1_原始數據'!$A$2:$A$1000,$A6,'1_原始數據'!$B$2:$B$1000,$B6,'1_原始數據'!$D$2:$D$1000,$D6,'1_原始數據'!$C$2:$C$1000,"khp_mass_g")/('2_NaOH標定'!$C$5*$E6/1000))))</f>
        <v/>
      </c>
      <c r="K6" s="24">
        <f>IF($A6="","",IF($C6&lt;&gt;"manual_titration_mL","",IF(COUNTIFS('1_原始數據'!$A$2:$A$1000,$A6,'1_原始數據'!$C$2:$C$1000,"khp_titration_mL")=0,"",AVERAGEIFS('1_原始數據'!$J$2:$J$1000,'1_原始數據'!$A$2:$A$1000,$A6,'1_原始數據'!$C$2:$C$1000,"khp_titration_mL"))))</f>
        <v/>
      </c>
      <c r="L6" s="25">
        <f>IF($A6="","",IF($C6&lt;&gt;"manual_titration_mL","",IFERROR(INDEX('3_可滴定酸度'!$E$6:$E$13,MATCH($I6,'3_可滴定酸度'!$B$6:$B$13,0)),"")))</f>
        <v/>
      </c>
      <c r="M6" s="25">
        <f>IF($A6="","",IF($C6&lt;&gt;"manual_titration_mL","",IFERROR(INDEX('3_可滴定酸度'!$F$6:$F$13,MATCH($I6,'3_可滴定酸度'!$B$6:$B$13,0)),"")))</f>
        <v/>
      </c>
      <c r="N6" s="24">
        <f>IF($A6="","",IF(OR(K6="",L6="",M6=""),"",K6*E6*L6/(M6*1000)*100))</f>
        <v/>
      </c>
      <c r="O6" s="24">
        <f>IF($A6="","",IF(N6="","",IF(COUNTIFS('1_原始數據'!$A$2:$A$1000,$A6,'1_原始數據'!$B$2:$B$1000,$B6,'1_原始數據'!$D$2:$D$1000,$D6,'1_原始數據'!$I$2:$I$1000,$I6,'1_原始數據'!$C$2:$C$1000,"pasco_pct_acid")=0,"",SUMIFS('1_原始數據'!$E$2:$E$1000,'1_原始數據'!$A$2:$A$1000,$A6,'1_原始數據'!$B$2:$B$1000,$B6,'1_原始數據'!$D$2:$D$1000,$D6,'1_原始數據'!$I$2:$I$1000,$I6,'1_原始數據'!$C$2:$C$1000,"pasco_pct_acid"))))</f>
        <v/>
      </c>
      <c r="P6" s="26">
        <f>IF($A6="","",IF(OR(N6="",O6=""),"",O6-N6))</f>
        <v/>
      </c>
      <c r="Q6" s="24">
        <f>IF($A6="","",IF(P6="","",(O6+N6)/2))</f>
        <v/>
      </c>
      <c r="R6" s="27">
        <f>IF($A6="","",IF(P6="","",COUNT($P$2:P6)))</f>
        <v/>
      </c>
      <c r="T6" s="20" t="inlineStr">
        <is>
          <t>「N_KHP_M」：只在 khp_titration_mL 那一列算：同組、同學生、同 rep 的 KHP 質量 ÷ (204.22 × NaOH 體積 L)，得到這一次標定的 NaOH 濃度 (M)。</t>
        </is>
      </c>
    </row>
    <row r="7" ht="30" customHeight="1">
      <c r="A7" s="23" t="n">
        <v>3</v>
      </c>
      <c r="B7" s="23" t="inlineStr">
        <is>
          <t>G3_S1</t>
        </is>
      </c>
      <c r="C7" s="23" t="inlineStr">
        <is>
          <t>khp_titration_mL</t>
        </is>
      </c>
      <c r="D7" s="23" t="n">
        <v>1</v>
      </c>
      <c r="E7" s="23" t="n">
        <v>23.09</v>
      </c>
      <c r="F7" s="23" t="inlineStr">
        <is>
          <t>mL</t>
        </is>
      </c>
      <c r="G7" s="23" t="n">
        <v>25</v>
      </c>
      <c r="H7" s="23" t="n"/>
      <c r="I7" s="23" t="inlineStr">
        <is>
          <t>NaOH</t>
        </is>
      </c>
      <c r="J7" s="24">
        <f>IF($A7="","",IF($C7&lt;&gt;"khp_titration_mL","",IF(COUNTIFS('1_原始數據'!$A$2:$A$1000,$A7,'1_原始數據'!$B$2:$B$1000,$B7,'1_原始數據'!$D$2:$D$1000,$D7,'1_原始數據'!$C$2:$C$1000,"khp_mass_g")=0,"",SUMIFS('1_原始數據'!$E$2:$E$1000,'1_原始數據'!$A$2:$A$1000,$A7,'1_原始數據'!$B$2:$B$1000,$B7,'1_原始數據'!$D$2:$D$1000,$D7,'1_原始數據'!$C$2:$C$1000,"khp_mass_g")/('2_NaOH標定'!$C$5*$E7/1000))))</f>
        <v/>
      </c>
      <c r="K7" s="24">
        <f>IF($A7="","",IF($C7&lt;&gt;"manual_titration_mL","",IF(COUNTIFS('1_原始數據'!$A$2:$A$1000,$A7,'1_原始數據'!$C$2:$C$1000,"khp_titration_mL")=0,"",AVERAGEIFS('1_原始數據'!$J$2:$J$1000,'1_原始數據'!$A$2:$A$1000,$A7,'1_原始數據'!$C$2:$C$1000,"khp_titration_mL"))))</f>
        <v/>
      </c>
      <c r="L7" s="25">
        <f>IF($A7="","",IF($C7&lt;&gt;"manual_titration_mL","",IFERROR(INDEX('3_可滴定酸度'!$E$6:$E$13,MATCH($I7,'3_可滴定酸度'!$B$6:$B$13,0)),"")))</f>
        <v/>
      </c>
      <c r="M7" s="25">
        <f>IF($A7="","",IF($C7&lt;&gt;"manual_titration_mL","",IFERROR(INDEX('3_可滴定酸度'!$F$6:$F$13,MATCH($I7,'3_可滴定酸度'!$B$6:$B$13,0)),"")))</f>
        <v/>
      </c>
      <c r="N7" s="24">
        <f>IF($A7="","",IF(OR(K7="",L7="",M7=""),"",K7*E7*L7/(M7*1000)*100))</f>
        <v/>
      </c>
      <c r="O7" s="24">
        <f>IF($A7="","",IF(N7="","",IF(COUNTIFS('1_原始數據'!$A$2:$A$1000,$A7,'1_原始數據'!$B$2:$B$1000,$B7,'1_原始數據'!$D$2:$D$1000,$D7,'1_原始數據'!$I$2:$I$1000,$I7,'1_原始數據'!$C$2:$C$1000,"pasco_pct_acid")=0,"",SUMIFS('1_原始數據'!$E$2:$E$1000,'1_原始數據'!$A$2:$A$1000,$A7,'1_原始數據'!$B$2:$B$1000,$B7,'1_原始數據'!$D$2:$D$1000,$D7,'1_原始數據'!$I$2:$I$1000,$I7,'1_原始數據'!$C$2:$C$1000,"pasco_pct_acid"))))</f>
        <v/>
      </c>
      <c r="P7" s="26">
        <f>IF($A7="","",IF(OR(N7="",O7=""),"",O7-N7))</f>
        <v/>
      </c>
      <c r="Q7" s="24">
        <f>IF($A7="","",IF(P7="","",(O7+N7)/2))</f>
        <v/>
      </c>
      <c r="R7" s="27">
        <f>IF($A7="","",IF(P7="","",COUNT($P$2:P7)))</f>
        <v/>
      </c>
      <c r="T7" s="20" t="inlineStr">
        <is>
          <t>「N_NaOH_M」：手動滴定那一列：抓「自己這一組」標定出來的 NaOH 濃度（同組有多次標定就取平均）。</t>
        </is>
      </c>
    </row>
    <row r="8" ht="15" customHeight="1">
      <c r="A8" s="23" t="n">
        <v>4</v>
      </c>
      <c r="B8" s="23" t="inlineStr">
        <is>
          <t>G4_S1</t>
        </is>
      </c>
      <c r="C8" s="23" t="inlineStr">
        <is>
          <t>khp_mass_g</t>
        </is>
      </c>
      <c r="D8" s="23" t="n">
        <v>1</v>
      </c>
      <c r="E8" s="23" t="n">
        <v>0.5157</v>
      </c>
      <c r="F8" s="23" t="inlineStr">
        <is>
          <t>g</t>
        </is>
      </c>
      <c r="G8" s="23" t="n">
        <v>25</v>
      </c>
      <c r="H8" s="23" t="n"/>
      <c r="I8" s="23" t="inlineStr">
        <is>
          <t>KHP</t>
        </is>
      </c>
      <c r="J8" s="24">
        <f>IF($A8="","",IF($C8&lt;&gt;"khp_titration_mL","",IF(COUNTIFS('1_原始數據'!$A$2:$A$1000,$A8,'1_原始數據'!$B$2:$B$1000,$B8,'1_原始數據'!$D$2:$D$1000,$D8,'1_原始數據'!$C$2:$C$1000,"khp_mass_g")=0,"",SUMIFS('1_原始數據'!$E$2:$E$1000,'1_原始數據'!$A$2:$A$1000,$A8,'1_原始數據'!$B$2:$B$1000,$B8,'1_原始數據'!$D$2:$D$1000,$D8,'1_原始數據'!$C$2:$C$1000,"khp_mass_g")/('2_NaOH標定'!$C$5*$E8/1000))))</f>
        <v/>
      </c>
      <c r="K8" s="24">
        <f>IF($A8="","",IF($C8&lt;&gt;"manual_titration_mL","",IF(COUNTIFS('1_原始數據'!$A$2:$A$1000,$A8,'1_原始數據'!$C$2:$C$1000,"khp_titration_mL")=0,"",AVERAGEIFS('1_原始數據'!$J$2:$J$1000,'1_原始數據'!$A$2:$A$1000,$A8,'1_原始數據'!$C$2:$C$1000,"khp_titration_mL"))))</f>
        <v/>
      </c>
      <c r="L8" s="25">
        <f>IF($A8="","",IF($C8&lt;&gt;"manual_titration_mL","",IFERROR(INDEX('3_可滴定酸度'!$E$6:$E$13,MATCH($I8,'3_可滴定酸度'!$B$6:$B$13,0)),"")))</f>
        <v/>
      </c>
      <c r="M8" s="25">
        <f>IF($A8="","",IF($C8&lt;&gt;"manual_titration_mL","",IFERROR(INDEX('3_可滴定酸度'!$F$6:$F$13,MATCH($I8,'3_可滴定酸度'!$B$6:$B$13,0)),"")))</f>
        <v/>
      </c>
      <c r="N8" s="24">
        <f>IF($A8="","",IF(OR(K8="",L8="",M8=""),"",K8*E8*L8/(M8*1000)*100))</f>
        <v/>
      </c>
      <c r="O8" s="24">
        <f>IF($A8="","",IF(N8="","",IF(COUNTIFS('1_原始數據'!$A$2:$A$1000,$A8,'1_原始數據'!$B$2:$B$1000,$B8,'1_原始數據'!$D$2:$D$1000,$D8,'1_原始數據'!$I$2:$I$1000,$I8,'1_原始數據'!$C$2:$C$1000,"pasco_pct_acid")=0,"",SUMIFS('1_原始數據'!$E$2:$E$1000,'1_原始數據'!$A$2:$A$1000,$A8,'1_原始數據'!$B$2:$B$1000,$B8,'1_原始數據'!$D$2:$D$1000,$D8,'1_原始數據'!$I$2:$I$1000,$I8,'1_原始數據'!$C$2:$C$1000,"pasco_pct_acid"))))</f>
        <v/>
      </c>
      <c r="P8" s="26">
        <f>IF($A8="","",IF(OR(N8="",O8=""),"",O8-N8))</f>
        <v/>
      </c>
      <c r="Q8" s="24">
        <f>IF($A8="","",IF(P8="","",(O8+N8)/2))</f>
        <v/>
      </c>
      <c r="R8" s="27">
        <f>IF($A8="","",IF(P8="","",COUNT($P$2:P8)))</f>
        <v/>
      </c>
      <c r="T8" s="20" t="inlineStr">
        <is>
          <t>「eqwt」：主要酸的當量重 (g/eq)，從「3_可滴定酸度」的參數表查。</t>
        </is>
      </c>
    </row>
    <row r="9" ht="15" customHeight="1">
      <c r="A9" s="23" t="n">
        <v>4</v>
      </c>
      <c r="B9" s="23" t="inlineStr">
        <is>
          <t>G4_S1</t>
        </is>
      </c>
      <c r="C9" s="23" t="inlineStr">
        <is>
          <t>khp_titration_mL</t>
        </is>
      </c>
      <c r="D9" s="23" t="n">
        <v>1</v>
      </c>
      <c r="E9" s="23" t="n">
        <v>25.09</v>
      </c>
      <c r="F9" s="23" t="inlineStr">
        <is>
          <t>mL</t>
        </is>
      </c>
      <c r="G9" s="23" t="n">
        <v>25</v>
      </c>
      <c r="H9" s="23" t="n"/>
      <c r="I9" s="23" t="inlineStr">
        <is>
          <t>NaOH</t>
        </is>
      </c>
      <c r="J9" s="24">
        <f>IF($A9="","",IF($C9&lt;&gt;"khp_titration_mL","",IF(COUNTIFS('1_原始數據'!$A$2:$A$1000,$A9,'1_原始數據'!$B$2:$B$1000,$B9,'1_原始數據'!$D$2:$D$1000,$D9,'1_原始數據'!$C$2:$C$1000,"khp_mass_g")=0,"",SUMIFS('1_原始數據'!$E$2:$E$1000,'1_原始數據'!$A$2:$A$1000,$A9,'1_原始數據'!$B$2:$B$1000,$B9,'1_原始數據'!$D$2:$D$1000,$D9,'1_原始數據'!$C$2:$C$1000,"khp_mass_g")/('2_NaOH標定'!$C$5*$E9/1000))))</f>
        <v/>
      </c>
      <c r="K9" s="24">
        <f>IF($A9="","",IF($C9&lt;&gt;"manual_titration_mL","",IF(COUNTIFS('1_原始數據'!$A$2:$A$1000,$A9,'1_原始數據'!$C$2:$C$1000,"khp_titration_mL")=0,"",AVERAGEIFS('1_原始數據'!$J$2:$J$1000,'1_原始數據'!$A$2:$A$1000,$A9,'1_原始數據'!$C$2:$C$1000,"khp_titration_mL"))))</f>
        <v/>
      </c>
      <c r="L9" s="25">
        <f>IF($A9="","",IF($C9&lt;&gt;"manual_titration_mL","",IFERROR(INDEX('3_可滴定酸度'!$E$6:$E$13,MATCH($I9,'3_可滴定酸度'!$B$6:$B$13,0)),"")))</f>
        <v/>
      </c>
      <c r="M9" s="25">
        <f>IF($A9="","",IF($C9&lt;&gt;"manual_titration_mL","",IFERROR(INDEX('3_可滴定酸度'!$F$6:$F$13,MATCH($I9,'3_可滴定酸度'!$B$6:$B$13,0)),"")))</f>
        <v/>
      </c>
      <c r="N9" s="24">
        <f>IF($A9="","",IF(OR(K9="",L9="",M9=""),"",K9*E9*L9/(M9*1000)*100))</f>
        <v/>
      </c>
      <c r="O9" s="24">
        <f>IF($A9="","",IF(N9="","",IF(COUNTIFS('1_原始數據'!$A$2:$A$1000,$A9,'1_原始數據'!$B$2:$B$1000,$B9,'1_原始數據'!$D$2:$D$1000,$D9,'1_原始數據'!$I$2:$I$1000,$I9,'1_原始數據'!$C$2:$C$1000,"pasco_pct_acid")=0,"",SUMIFS('1_原始數據'!$E$2:$E$1000,'1_原始數據'!$A$2:$A$1000,$A9,'1_原始數據'!$B$2:$B$1000,$B9,'1_原始數據'!$D$2:$D$1000,$D9,'1_原始數據'!$I$2:$I$1000,$I9,'1_原始數據'!$C$2:$C$1000,"pasco_pct_acid"))))</f>
        <v/>
      </c>
      <c r="P9" s="26">
        <f>IF($A9="","",IF(OR(N9="",O9=""),"",O9-N9))</f>
        <v/>
      </c>
      <c r="Q9" s="24">
        <f>IF($A9="","",IF(P9="","",(O9+N9)/2))</f>
        <v/>
      </c>
      <c r="R9" s="27">
        <f>IF($A9="","",IF(P9="","",COUNT($P$2:P9)))</f>
        <v/>
      </c>
      <c r="T9" s="20" t="inlineStr">
        <is>
          <t>「W_sample」：取樣量 W（mL 或 g），同樣從參數表查。</t>
        </is>
      </c>
    </row>
    <row r="10" ht="30" customHeight="1">
      <c r="A10" s="23" t="n">
        <v>5</v>
      </c>
      <c r="B10" s="23" t="inlineStr">
        <is>
          <t>G5_S1</t>
        </is>
      </c>
      <c r="C10" s="23" t="inlineStr">
        <is>
          <t>khp_mass_g</t>
        </is>
      </c>
      <c r="D10" s="23" t="n">
        <v>1</v>
      </c>
      <c r="E10" s="23" t="n">
        <v>0.4777</v>
      </c>
      <c r="F10" s="23" t="inlineStr">
        <is>
          <t>g</t>
        </is>
      </c>
      <c r="G10" s="23" t="n">
        <v>25</v>
      </c>
      <c r="H10" s="23" t="n"/>
      <c r="I10" s="23" t="inlineStr">
        <is>
          <t>KHP</t>
        </is>
      </c>
      <c r="J10" s="24">
        <f>IF($A10="","",IF($C10&lt;&gt;"khp_titration_mL","",IF(COUNTIFS('1_原始數據'!$A$2:$A$1000,$A10,'1_原始數據'!$B$2:$B$1000,$B10,'1_原始數據'!$D$2:$D$1000,$D10,'1_原始數據'!$C$2:$C$1000,"khp_mass_g")=0,"",SUMIFS('1_原始數據'!$E$2:$E$1000,'1_原始數據'!$A$2:$A$1000,$A10,'1_原始數據'!$B$2:$B$1000,$B10,'1_原始數據'!$D$2:$D$1000,$D10,'1_原始數據'!$C$2:$C$1000,"khp_mass_g")/('2_NaOH標定'!$C$5*$E10/1000))))</f>
        <v/>
      </c>
      <c r="K10" s="24">
        <f>IF($A10="","",IF($C10&lt;&gt;"manual_titration_mL","",IF(COUNTIFS('1_原始數據'!$A$2:$A$1000,$A10,'1_原始數據'!$C$2:$C$1000,"khp_titration_mL")=0,"",AVERAGEIFS('1_原始數據'!$J$2:$J$1000,'1_原始數據'!$A$2:$A$1000,$A10,'1_原始數據'!$C$2:$C$1000,"khp_titration_mL"))))</f>
        <v/>
      </c>
      <c r="L10" s="25">
        <f>IF($A10="","",IF($C10&lt;&gt;"manual_titration_mL","",IFERROR(INDEX('3_可滴定酸度'!$E$6:$E$13,MATCH($I10,'3_可滴定酸度'!$B$6:$B$13,0)),"")))</f>
        <v/>
      </c>
      <c r="M10" s="25">
        <f>IF($A10="","",IF($C10&lt;&gt;"manual_titration_mL","",IFERROR(INDEX('3_可滴定酸度'!$F$6:$F$13,MATCH($I10,'3_可滴定酸度'!$B$6:$B$13,0)),"")))</f>
        <v/>
      </c>
      <c r="N10" s="24">
        <f>IF($A10="","",IF(OR(K10="",L10="",M10=""),"",K10*E10*L10/(M10*1000)*100))</f>
        <v/>
      </c>
      <c r="O10" s="24">
        <f>IF($A10="","",IF(N10="","",IF(COUNTIFS('1_原始數據'!$A$2:$A$1000,$A10,'1_原始數據'!$B$2:$B$1000,$B10,'1_原始數據'!$D$2:$D$1000,$D10,'1_原始數據'!$I$2:$I$1000,$I10,'1_原始數據'!$C$2:$C$1000,"pasco_pct_acid")=0,"",SUMIFS('1_原始數據'!$E$2:$E$1000,'1_原始數據'!$A$2:$A$1000,$A10,'1_原始數據'!$B$2:$B$1000,$B10,'1_原始數據'!$D$2:$D$1000,$D10,'1_原始數據'!$I$2:$I$1000,$I10,'1_原始數據'!$C$2:$C$1000,"pasco_pct_acid"))))</f>
        <v/>
      </c>
      <c r="P10" s="26">
        <f>IF($A10="","",IF(OR(N10="",O10=""),"",O10-N10))</f>
        <v/>
      </c>
      <c r="Q10" s="24">
        <f>IF($A10="","",IF(P10="","",(O10+N10)/2))</f>
        <v/>
      </c>
      <c r="R10" s="27">
        <f>IF($A10="","",IF(P10="","",COUNT($P$2:P10)))</f>
        <v/>
      </c>
      <c r="T10" s="20" t="inlineStr">
        <is>
          <t>「manual_pct_acid」：手動滴定的 % 酸 = N × V × 當量重 ÷ (W × 1000) × 100。</t>
        </is>
      </c>
    </row>
    <row r="11" ht="30" customHeight="1">
      <c r="A11" s="23" t="n">
        <v>5</v>
      </c>
      <c r="B11" s="23" t="inlineStr">
        <is>
          <t>G5_S1</t>
        </is>
      </c>
      <c r="C11" s="23" t="inlineStr">
        <is>
          <t>khp_titration_mL</t>
        </is>
      </c>
      <c r="D11" s="23" t="n">
        <v>1</v>
      </c>
      <c r="E11" s="23" t="n">
        <v>23.21</v>
      </c>
      <c r="F11" s="23" t="inlineStr">
        <is>
          <t>mL</t>
        </is>
      </c>
      <c r="G11" s="23" t="n">
        <v>25</v>
      </c>
      <c r="H11" s="23" t="n"/>
      <c r="I11" s="23" t="inlineStr">
        <is>
          <t>NaOH</t>
        </is>
      </c>
      <c r="J11" s="24">
        <f>IF($A11="","",IF($C11&lt;&gt;"khp_titration_mL","",IF(COUNTIFS('1_原始數據'!$A$2:$A$1000,$A11,'1_原始數據'!$B$2:$B$1000,$B11,'1_原始數據'!$D$2:$D$1000,$D11,'1_原始數據'!$C$2:$C$1000,"khp_mass_g")=0,"",SUMIFS('1_原始數據'!$E$2:$E$1000,'1_原始數據'!$A$2:$A$1000,$A11,'1_原始數據'!$B$2:$B$1000,$B11,'1_原始數據'!$D$2:$D$1000,$D11,'1_原始數據'!$C$2:$C$1000,"khp_mass_g")/('2_NaOH標定'!$C$5*$E11/1000))))</f>
        <v/>
      </c>
      <c r="K11" s="24">
        <f>IF($A11="","",IF($C11&lt;&gt;"manual_titration_mL","",IF(COUNTIFS('1_原始數據'!$A$2:$A$1000,$A11,'1_原始數據'!$C$2:$C$1000,"khp_titration_mL")=0,"",AVERAGEIFS('1_原始數據'!$J$2:$J$1000,'1_原始數據'!$A$2:$A$1000,$A11,'1_原始數據'!$C$2:$C$1000,"khp_titration_mL"))))</f>
        <v/>
      </c>
      <c r="L11" s="25">
        <f>IF($A11="","",IF($C11&lt;&gt;"manual_titration_mL","",IFERROR(INDEX('3_可滴定酸度'!$E$6:$E$13,MATCH($I11,'3_可滴定酸度'!$B$6:$B$13,0)),"")))</f>
        <v/>
      </c>
      <c r="M11" s="25">
        <f>IF($A11="","",IF($C11&lt;&gt;"manual_titration_mL","",IFERROR(INDEX('3_可滴定酸度'!$F$6:$F$13,MATCH($I11,'3_可滴定酸度'!$B$6:$B$13,0)),"")))</f>
        <v/>
      </c>
      <c r="N11" s="24">
        <f>IF($A11="","",IF(OR(K11="",L11="",M11=""),"",K11*E11*L11/(M11*1000)*100))</f>
        <v/>
      </c>
      <c r="O11" s="24">
        <f>IF($A11="","",IF(N11="","",IF(COUNTIFS('1_原始數據'!$A$2:$A$1000,$A11,'1_原始數據'!$B$2:$B$1000,$B11,'1_原始數據'!$D$2:$D$1000,$D11,'1_原始數據'!$I$2:$I$1000,$I11,'1_原始數據'!$C$2:$C$1000,"pasco_pct_acid")=0,"",SUMIFS('1_原始數據'!$E$2:$E$1000,'1_原始數據'!$A$2:$A$1000,$A11,'1_原始數據'!$B$2:$B$1000,$B11,'1_原始數據'!$D$2:$D$1000,$D11,'1_原始數據'!$I$2:$I$1000,$I11,'1_原始數據'!$C$2:$C$1000,"pasco_pct_acid"))))</f>
        <v/>
      </c>
      <c r="P11" s="26">
        <f>IF($A11="","",IF(OR(N11="",O11=""),"",O11-N11))</f>
        <v/>
      </c>
      <c r="Q11" s="24">
        <f>IF($A11="","",IF(P11="","",(O11+N11)/2))</f>
        <v/>
      </c>
      <c r="R11" s="27">
        <f>IF($A11="","",IF(P11="","",COUNT($P$2:P11)))</f>
        <v/>
      </c>
      <c r="T11" s="20" t="inlineStr">
        <is>
          <t>「pasco_pct_acid」：同一位同學、同一 rep、同一樣品的 PASCO % 酸（配對用）。找不到就留空。</t>
        </is>
      </c>
    </row>
    <row r="12" ht="30" customHeight="1">
      <c r="A12" s="23" t="n">
        <v>1</v>
      </c>
      <c r="B12" s="23" t="inlineStr">
        <is>
          <t>G1_S1</t>
        </is>
      </c>
      <c r="C12" s="23" t="inlineStr">
        <is>
          <t>manual_titration_mL</t>
        </is>
      </c>
      <c r="D12" s="23" t="n">
        <v>1</v>
      </c>
      <c r="E12" s="23" t="n">
        <v>14.95</v>
      </c>
      <c r="F12" s="23" t="inlineStr">
        <is>
          <t>mL</t>
        </is>
      </c>
      <c r="G12" s="23" t="n">
        <v>25</v>
      </c>
      <c r="H12" s="23" t="n"/>
      <c r="I12" s="23" t="inlineStr">
        <is>
          <t>vinegar</t>
        </is>
      </c>
      <c r="J12" s="24">
        <f>IF($A12="","",IF($C12&lt;&gt;"khp_titration_mL","",IF(COUNTIFS('1_原始數據'!$A$2:$A$1000,$A12,'1_原始數據'!$B$2:$B$1000,$B12,'1_原始數據'!$D$2:$D$1000,$D12,'1_原始數據'!$C$2:$C$1000,"khp_mass_g")=0,"",SUMIFS('1_原始數據'!$E$2:$E$1000,'1_原始數據'!$A$2:$A$1000,$A12,'1_原始數據'!$B$2:$B$1000,$B12,'1_原始數據'!$D$2:$D$1000,$D12,'1_原始數據'!$C$2:$C$1000,"khp_mass_g")/('2_NaOH標定'!$C$5*$E12/1000))))</f>
        <v/>
      </c>
      <c r="K12" s="24">
        <f>IF($A12="","",IF($C12&lt;&gt;"manual_titration_mL","",IF(COUNTIFS('1_原始數據'!$A$2:$A$1000,$A12,'1_原始數據'!$C$2:$C$1000,"khp_titration_mL")=0,"",AVERAGEIFS('1_原始數據'!$J$2:$J$1000,'1_原始數據'!$A$2:$A$1000,$A12,'1_原始數據'!$C$2:$C$1000,"khp_titration_mL"))))</f>
        <v/>
      </c>
      <c r="L12" s="25">
        <f>IF($A12="","",IF($C12&lt;&gt;"manual_titration_mL","",IFERROR(INDEX('3_可滴定酸度'!$E$6:$E$13,MATCH($I12,'3_可滴定酸度'!$B$6:$B$13,0)),"")))</f>
        <v/>
      </c>
      <c r="M12" s="25">
        <f>IF($A12="","",IF($C12&lt;&gt;"manual_titration_mL","",IFERROR(INDEX('3_可滴定酸度'!$F$6:$F$13,MATCH($I12,'3_可滴定酸度'!$B$6:$B$13,0)),"")))</f>
        <v/>
      </c>
      <c r="N12" s="24">
        <f>IF($A12="","",IF(OR(K12="",L12="",M12=""),"",K12*E12*L12/(M12*1000)*100))</f>
        <v/>
      </c>
      <c r="O12" s="24">
        <f>IF($A12="","",IF(N12="","",IF(COUNTIFS('1_原始數據'!$A$2:$A$1000,$A12,'1_原始數據'!$B$2:$B$1000,$B12,'1_原始數據'!$D$2:$D$1000,$D12,'1_原始數據'!$I$2:$I$1000,$I12,'1_原始數據'!$C$2:$C$1000,"pasco_pct_acid")=0,"",SUMIFS('1_原始數據'!$E$2:$E$1000,'1_原始數據'!$A$2:$A$1000,$A12,'1_原始數據'!$B$2:$B$1000,$B12,'1_原始數據'!$D$2:$D$1000,$D12,'1_原始數據'!$I$2:$I$1000,$I12,'1_原始數據'!$C$2:$C$1000,"pasco_pct_acid"))))</f>
        <v/>
      </c>
      <c r="P12" s="26">
        <f>IF($A12="","",IF(OR(N12="",O12=""),"",O12-N12))</f>
        <v/>
      </c>
      <c r="Q12" s="24">
        <f>IF($A12="","",IF(P12="","",(O12+N12)/2))</f>
        <v/>
      </c>
      <c r="R12" s="27">
        <f>IF($A12="","",IF(P12="","",COUNT($P$2:P12)))</f>
        <v/>
      </c>
      <c r="T12" s="20" t="inlineStr">
        <is>
          <t>「diff_pct」：差值 = PASCO − 手動（Bland–Altman 的 y 軸）。</t>
        </is>
      </c>
    </row>
    <row r="13" ht="15" customHeight="1">
      <c r="A13" s="23" t="n">
        <v>1</v>
      </c>
      <c r="B13" s="23" t="inlineStr">
        <is>
          <t>G1_S1</t>
        </is>
      </c>
      <c r="C13" s="23" t="inlineStr">
        <is>
          <t>pasco_pct_acid</t>
        </is>
      </c>
      <c r="D13" s="23" t="n">
        <v>1</v>
      </c>
      <c r="E13" s="23" t="n">
        <v>4.6</v>
      </c>
      <c r="F13" s="23" t="inlineStr">
        <is>
          <t>%</t>
        </is>
      </c>
      <c r="G13" s="23" t="n">
        <v>25</v>
      </c>
      <c r="H13" s="23" t="n"/>
      <c r="I13" s="23" t="inlineStr">
        <is>
          <t>vinegar</t>
        </is>
      </c>
      <c r="J13" s="24">
        <f>IF($A13="","",IF($C13&lt;&gt;"khp_titration_mL","",IF(COUNTIFS('1_原始數據'!$A$2:$A$1000,$A13,'1_原始數據'!$B$2:$B$1000,$B13,'1_原始數據'!$D$2:$D$1000,$D13,'1_原始數據'!$C$2:$C$1000,"khp_mass_g")=0,"",SUMIFS('1_原始數據'!$E$2:$E$1000,'1_原始數據'!$A$2:$A$1000,$A13,'1_原始數據'!$B$2:$B$1000,$B13,'1_原始數據'!$D$2:$D$1000,$D13,'1_原始數據'!$C$2:$C$1000,"khp_mass_g")/('2_NaOH標定'!$C$5*$E13/1000))))</f>
        <v/>
      </c>
      <c r="K13" s="24">
        <f>IF($A13="","",IF($C13&lt;&gt;"manual_titration_mL","",IF(COUNTIFS('1_原始數據'!$A$2:$A$1000,$A13,'1_原始數據'!$C$2:$C$1000,"khp_titration_mL")=0,"",AVERAGEIFS('1_原始數據'!$J$2:$J$1000,'1_原始數據'!$A$2:$A$1000,$A13,'1_原始數據'!$C$2:$C$1000,"khp_titration_mL"))))</f>
        <v/>
      </c>
      <c r="L13" s="25">
        <f>IF($A13="","",IF($C13&lt;&gt;"manual_titration_mL","",IFERROR(INDEX('3_可滴定酸度'!$E$6:$E$13,MATCH($I13,'3_可滴定酸度'!$B$6:$B$13,0)),"")))</f>
        <v/>
      </c>
      <c r="M13" s="25">
        <f>IF($A13="","",IF($C13&lt;&gt;"manual_titration_mL","",IFERROR(INDEX('3_可滴定酸度'!$F$6:$F$13,MATCH($I13,'3_可滴定酸度'!$B$6:$B$13,0)),"")))</f>
        <v/>
      </c>
      <c r="N13" s="24">
        <f>IF($A13="","",IF(OR(K13="",L13="",M13=""),"",K13*E13*L13/(M13*1000)*100))</f>
        <v/>
      </c>
      <c r="O13" s="24">
        <f>IF($A13="","",IF(N13="","",IF(COUNTIFS('1_原始數據'!$A$2:$A$1000,$A13,'1_原始數據'!$B$2:$B$1000,$B13,'1_原始數據'!$D$2:$D$1000,$D13,'1_原始數據'!$I$2:$I$1000,$I13,'1_原始數據'!$C$2:$C$1000,"pasco_pct_acid")=0,"",SUMIFS('1_原始數據'!$E$2:$E$1000,'1_原始數據'!$A$2:$A$1000,$A13,'1_原始數據'!$B$2:$B$1000,$B13,'1_原始數據'!$D$2:$D$1000,$D13,'1_原始數據'!$I$2:$I$1000,$I13,'1_原始數據'!$C$2:$C$1000,"pasco_pct_acid"))))</f>
        <v/>
      </c>
      <c r="P13" s="26">
        <f>IF($A13="","",IF(OR(N13="",O13=""),"",O13-N13))</f>
        <v/>
      </c>
      <c r="Q13" s="24">
        <f>IF($A13="","",IF(P13="","",(O13+N13)/2))</f>
        <v/>
      </c>
      <c r="R13" s="27">
        <f>IF($A13="","",IF(P13="","",COUNT($P$2:P13)))</f>
        <v/>
      </c>
      <c r="T13" s="20" t="inlineStr">
        <is>
          <t>「mean_pct」：兩法平均（Bland–Altman 的 x 軸）。</t>
        </is>
      </c>
    </row>
    <row r="14" ht="30" customHeight="1">
      <c r="A14" s="23" t="n">
        <v>2</v>
      </c>
      <c r="B14" s="23" t="inlineStr">
        <is>
          <t>G2_S2</t>
        </is>
      </c>
      <c r="C14" s="23" t="inlineStr">
        <is>
          <t>manual_titration_mL</t>
        </is>
      </c>
      <c r="D14" s="23" t="n">
        <v>2</v>
      </c>
      <c r="E14" s="23" t="n">
        <v>14.95</v>
      </c>
      <c r="F14" s="23" t="inlineStr">
        <is>
          <t>mL</t>
        </is>
      </c>
      <c r="G14" s="23" t="n">
        <v>25</v>
      </c>
      <c r="H14" s="23" t="n"/>
      <c r="I14" s="23" t="inlineStr">
        <is>
          <t>vinegar</t>
        </is>
      </c>
      <c r="J14" s="24">
        <f>IF($A14="","",IF($C14&lt;&gt;"khp_titration_mL","",IF(COUNTIFS('1_原始數據'!$A$2:$A$1000,$A14,'1_原始數據'!$B$2:$B$1000,$B14,'1_原始數據'!$D$2:$D$1000,$D14,'1_原始數據'!$C$2:$C$1000,"khp_mass_g")=0,"",SUMIFS('1_原始數據'!$E$2:$E$1000,'1_原始數據'!$A$2:$A$1000,$A14,'1_原始數據'!$B$2:$B$1000,$B14,'1_原始數據'!$D$2:$D$1000,$D14,'1_原始數據'!$C$2:$C$1000,"khp_mass_g")/('2_NaOH標定'!$C$5*$E14/1000))))</f>
        <v/>
      </c>
      <c r="K14" s="24">
        <f>IF($A14="","",IF($C14&lt;&gt;"manual_titration_mL","",IF(COUNTIFS('1_原始數據'!$A$2:$A$1000,$A14,'1_原始數據'!$C$2:$C$1000,"khp_titration_mL")=0,"",AVERAGEIFS('1_原始數據'!$J$2:$J$1000,'1_原始數據'!$A$2:$A$1000,$A14,'1_原始數據'!$C$2:$C$1000,"khp_titration_mL"))))</f>
        <v/>
      </c>
      <c r="L14" s="25">
        <f>IF($A14="","",IF($C14&lt;&gt;"manual_titration_mL","",IFERROR(INDEX('3_可滴定酸度'!$E$6:$E$13,MATCH($I14,'3_可滴定酸度'!$B$6:$B$13,0)),"")))</f>
        <v/>
      </c>
      <c r="M14" s="25">
        <f>IF($A14="","",IF($C14&lt;&gt;"manual_titration_mL","",IFERROR(INDEX('3_可滴定酸度'!$F$6:$F$13,MATCH($I14,'3_可滴定酸度'!$B$6:$B$13,0)),"")))</f>
        <v/>
      </c>
      <c r="N14" s="24">
        <f>IF($A14="","",IF(OR(K14="",L14="",M14=""),"",K14*E14*L14/(M14*1000)*100))</f>
        <v/>
      </c>
      <c r="O14" s="24">
        <f>IF($A14="","",IF(N14="","",IF(COUNTIFS('1_原始數據'!$A$2:$A$1000,$A14,'1_原始數據'!$B$2:$B$1000,$B14,'1_原始數據'!$D$2:$D$1000,$D14,'1_原始數據'!$I$2:$I$1000,$I14,'1_原始數據'!$C$2:$C$1000,"pasco_pct_acid")=0,"",SUMIFS('1_原始數據'!$E$2:$E$1000,'1_原始數據'!$A$2:$A$1000,$A14,'1_原始數據'!$B$2:$B$1000,$B14,'1_原始數據'!$D$2:$D$1000,$D14,'1_原始數據'!$I$2:$I$1000,$I14,'1_原始數據'!$C$2:$C$1000,"pasco_pct_acid"))))</f>
        <v/>
      </c>
      <c r="P14" s="26">
        <f>IF($A14="","",IF(OR(N14="",O14=""),"",O14-N14))</f>
        <v/>
      </c>
      <c r="Q14" s="24">
        <f>IF($A14="","",IF(P14="","",(O14+N14)/2))</f>
        <v/>
      </c>
      <c r="R14" s="27">
        <f>IF($A14="","",IF(P14="","",COUNT($P$2:P14)))</f>
        <v/>
      </c>
      <c r="T14" s="20" t="inlineStr">
        <is>
          <t>「pair_no」：第幾組配對（1, 2, 3…），讓「5_手動vs自動」可以依序抓出來。</t>
        </is>
      </c>
    </row>
    <row r="15">
      <c r="A15" s="23" t="n">
        <v>2</v>
      </c>
      <c r="B15" s="23" t="inlineStr">
        <is>
          <t>G2_S2</t>
        </is>
      </c>
      <c r="C15" s="23" t="inlineStr">
        <is>
          <t>pasco_pct_acid</t>
        </is>
      </c>
      <c r="D15" s="23" t="n">
        <v>2</v>
      </c>
      <c r="E15" s="23" t="n">
        <v>4.589</v>
      </c>
      <c r="F15" s="23" t="inlineStr">
        <is>
          <t>%</t>
        </is>
      </c>
      <c r="G15" s="23" t="n">
        <v>25</v>
      </c>
      <c r="H15" s="23" t="n"/>
      <c r="I15" s="23" t="inlineStr">
        <is>
          <t>vinegar</t>
        </is>
      </c>
      <c r="J15" s="24">
        <f>IF($A15="","",IF($C15&lt;&gt;"khp_titration_mL","",IF(COUNTIFS('1_原始數據'!$A$2:$A$1000,$A15,'1_原始數據'!$B$2:$B$1000,$B15,'1_原始數據'!$D$2:$D$1000,$D15,'1_原始數據'!$C$2:$C$1000,"khp_mass_g")=0,"",SUMIFS('1_原始數據'!$E$2:$E$1000,'1_原始數據'!$A$2:$A$1000,$A15,'1_原始數據'!$B$2:$B$1000,$B15,'1_原始數據'!$D$2:$D$1000,$D15,'1_原始數據'!$C$2:$C$1000,"khp_mass_g")/('2_NaOH標定'!$C$5*$E15/1000))))</f>
        <v/>
      </c>
      <c r="K15" s="24">
        <f>IF($A15="","",IF($C15&lt;&gt;"manual_titration_mL","",IF(COUNTIFS('1_原始數據'!$A$2:$A$1000,$A15,'1_原始數據'!$C$2:$C$1000,"khp_titration_mL")=0,"",AVERAGEIFS('1_原始數據'!$J$2:$J$1000,'1_原始數據'!$A$2:$A$1000,$A15,'1_原始數據'!$C$2:$C$1000,"khp_titration_mL"))))</f>
        <v/>
      </c>
      <c r="L15" s="25">
        <f>IF($A15="","",IF($C15&lt;&gt;"manual_titration_mL","",IFERROR(INDEX('3_可滴定酸度'!$E$6:$E$13,MATCH($I15,'3_可滴定酸度'!$B$6:$B$13,0)),"")))</f>
        <v/>
      </c>
      <c r="M15" s="25">
        <f>IF($A15="","",IF($C15&lt;&gt;"manual_titration_mL","",IFERROR(INDEX('3_可滴定酸度'!$F$6:$F$13,MATCH($I15,'3_可滴定酸度'!$B$6:$B$13,0)),"")))</f>
        <v/>
      </c>
      <c r="N15" s="24">
        <f>IF($A15="","",IF(OR(K15="",L15="",M15=""),"",K15*E15*L15/(M15*1000)*100))</f>
        <v/>
      </c>
      <c r="O15" s="24">
        <f>IF($A15="","",IF(N15="","",IF(COUNTIFS('1_原始數據'!$A$2:$A$1000,$A15,'1_原始數據'!$B$2:$B$1000,$B15,'1_原始數據'!$D$2:$D$1000,$D15,'1_原始數據'!$I$2:$I$1000,$I15,'1_原始數據'!$C$2:$C$1000,"pasco_pct_acid")=0,"",SUMIFS('1_原始數據'!$E$2:$E$1000,'1_原始數據'!$A$2:$A$1000,$A15,'1_原始數據'!$B$2:$B$1000,$B15,'1_原始數據'!$D$2:$D$1000,$D15,'1_原始數據'!$I$2:$I$1000,$I15,'1_原始數據'!$C$2:$C$1000,"pasco_pct_acid"))))</f>
        <v/>
      </c>
      <c r="P15" s="26">
        <f>IF($A15="","",IF(OR(N15="",O15=""),"",O15-N15))</f>
        <v/>
      </c>
      <c r="Q15" s="24">
        <f>IF($A15="","",IF(P15="","",(O15+N15)/2))</f>
        <v/>
      </c>
      <c r="R15" s="27">
        <f>IF($A15="","",IF(P15="","",COUNT($P$2:P15)))</f>
        <v/>
      </c>
    </row>
    <row r="16">
      <c r="A16" s="23" t="n">
        <v>3</v>
      </c>
      <c r="B16" s="23" t="inlineStr">
        <is>
          <t>G3_S3</t>
        </is>
      </c>
      <c r="C16" s="23" t="inlineStr">
        <is>
          <t>manual_titration_mL</t>
        </is>
      </c>
      <c r="D16" s="23" t="n">
        <v>3</v>
      </c>
      <c r="E16" s="23" t="n">
        <v>14.9</v>
      </c>
      <c r="F16" s="23" t="inlineStr">
        <is>
          <t>mL</t>
        </is>
      </c>
      <c r="G16" s="23" t="n">
        <v>25</v>
      </c>
      <c r="H16" s="23" t="n"/>
      <c r="I16" s="23" t="inlineStr">
        <is>
          <t>vinegar</t>
        </is>
      </c>
      <c r="J16" s="24">
        <f>IF($A16="","",IF($C16&lt;&gt;"khp_titration_mL","",IF(COUNTIFS('1_原始數據'!$A$2:$A$1000,$A16,'1_原始數據'!$B$2:$B$1000,$B16,'1_原始數據'!$D$2:$D$1000,$D16,'1_原始數據'!$C$2:$C$1000,"khp_mass_g")=0,"",SUMIFS('1_原始數據'!$E$2:$E$1000,'1_原始數據'!$A$2:$A$1000,$A16,'1_原始數據'!$B$2:$B$1000,$B16,'1_原始數據'!$D$2:$D$1000,$D16,'1_原始數據'!$C$2:$C$1000,"khp_mass_g")/('2_NaOH標定'!$C$5*$E16/1000))))</f>
        <v/>
      </c>
      <c r="K16" s="24">
        <f>IF($A16="","",IF($C16&lt;&gt;"manual_titration_mL","",IF(COUNTIFS('1_原始數據'!$A$2:$A$1000,$A16,'1_原始數據'!$C$2:$C$1000,"khp_titration_mL")=0,"",AVERAGEIFS('1_原始數據'!$J$2:$J$1000,'1_原始數據'!$A$2:$A$1000,$A16,'1_原始數據'!$C$2:$C$1000,"khp_titration_mL"))))</f>
        <v/>
      </c>
      <c r="L16" s="25">
        <f>IF($A16="","",IF($C16&lt;&gt;"manual_titration_mL","",IFERROR(INDEX('3_可滴定酸度'!$E$6:$E$13,MATCH($I16,'3_可滴定酸度'!$B$6:$B$13,0)),"")))</f>
        <v/>
      </c>
      <c r="M16" s="25">
        <f>IF($A16="","",IF($C16&lt;&gt;"manual_titration_mL","",IFERROR(INDEX('3_可滴定酸度'!$F$6:$F$13,MATCH($I16,'3_可滴定酸度'!$B$6:$B$13,0)),"")))</f>
        <v/>
      </c>
      <c r="N16" s="24">
        <f>IF($A16="","",IF(OR(K16="",L16="",M16=""),"",K16*E16*L16/(M16*1000)*100))</f>
        <v/>
      </c>
      <c r="O16" s="24">
        <f>IF($A16="","",IF(N16="","",IF(COUNTIFS('1_原始數據'!$A$2:$A$1000,$A16,'1_原始數據'!$B$2:$B$1000,$B16,'1_原始數據'!$D$2:$D$1000,$D16,'1_原始數據'!$I$2:$I$1000,$I16,'1_原始數據'!$C$2:$C$1000,"pasco_pct_acid")=0,"",SUMIFS('1_原始數據'!$E$2:$E$1000,'1_原始數據'!$A$2:$A$1000,$A16,'1_原始數據'!$B$2:$B$1000,$B16,'1_原始數據'!$D$2:$D$1000,$D16,'1_原始數據'!$I$2:$I$1000,$I16,'1_原始數據'!$C$2:$C$1000,"pasco_pct_acid"))))</f>
        <v/>
      </c>
      <c r="P16" s="26">
        <f>IF($A16="","",IF(OR(N16="",O16=""),"",O16-N16))</f>
        <v/>
      </c>
      <c r="Q16" s="24">
        <f>IF($A16="","",IF(P16="","",(O16+N16)/2))</f>
        <v/>
      </c>
      <c r="R16" s="27">
        <f>IF($A16="","",IF(P16="","",COUNT($P$2:P16)))</f>
        <v/>
      </c>
    </row>
    <row r="17">
      <c r="A17" s="23" t="n">
        <v>3</v>
      </c>
      <c r="B17" s="23" t="inlineStr">
        <is>
          <t>G3_S3</t>
        </is>
      </c>
      <c r="C17" s="23" t="inlineStr">
        <is>
          <t>pasco_pct_acid</t>
        </is>
      </c>
      <c r="D17" s="23" t="n">
        <v>3</v>
      </c>
      <c r="E17" s="23" t="n">
        <v>4.503</v>
      </c>
      <c r="F17" s="23" t="inlineStr">
        <is>
          <t>%</t>
        </is>
      </c>
      <c r="G17" s="23" t="n">
        <v>25</v>
      </c>
      <c r="H17" s="23" t="n"/>
      <c r="I17" s="23" t="inlineStr">
        <is>
          <t>vinegar</t>
        </is>
      </c>
      <c r="J17" s="24">
        <f>IF($A17="","",IF($C17&lt;&gt;"khp_titration_mL","",IF(COUNTIFS('1_原始數據'!$A$2:$A$1000,$A17,'1_原始數據'!$B$2:$B$1000,$B17,'1_原始數據'!$D$2:$D$1000,$D17,'1_原始數據'!$C$2:$C$1000,"khp_mass_g")=0,"",SUMIFS('1_原始數據'!$E$2:$E$1000,'1_原始數據'!$A$2:$A$1000,$A17,'1_原始數據'!$B$2:$B$1000,$B17,'1_原始數據'!$D$2:$D$1000,$D17,'1_原始數據'!$C$2:$C$1000,"khp_mass_g")/('2_NaOH標定'!$C$5*$E17/1000))))</f>
        <v/>
      </c>
      <c r="K17" s="24">
        <f>IF($A17="","",IF($C17&lt;&gt;"manual_titration_mL","",IF(COUNTIFS('1_原始數據'!$A$2:$A$1000,$A17,'1_原始數據'!$C$2:$C$1000,"khp_titration_mL")=0,"",AVERAGEIFS('1_原始數據'!$J$2:$J$1000,'1_原始數據'!$A$2:$A$1000,$A17,'1_原始數據'!$C$2:$C$1000,"khp_titration_mL"))))</f>
        <v/>
      </c>
      <c r="L17" s="25">
        <f>IF($A17="","",IF($C17&lt;&gt;"manual_titration_mL","",IFERROR(INDEX('3_可滴定酸度'!$E$6:$E$13,MATCH($I17,'3_可滴定酸度'!$B$6:$B$13,0)),"")))</f>
        <v/>
      </c>
      <c r="M17" s="25">
        <f>IF($A17="","",IF($C17&lt;&gt;"manual_titration_mL","",IFERROR(INDEX('3_可滴定酸度'!$F$6:$F$13,MATCH($I17,'3_可滴定酸度'!$B$6:$B$13,0)),"")))</f>
        <v/>
      </c>
      <c r="N17" s="24">
        <f>IF($A17="","",IF(OR(K17="",L17="",M17=""),"",K17*E17*L17/(M17*1000)*100))</f>
        <v/>
      </c>
      <c r="O17" s="24">
        <f>IF($A17="","",IF(N17="","",IF(COUNTIFS('1_原始數據'!$A$2:$A$1000,$A17,'1_原始數據'!$B$2:$B$1000,$B17,'1_原始數據'!$D$2:$D$1000,$D17,'1_原始數據'!$I$2:$I$1000,$I17,'1_原始數據'!$C$2:$C$1000,"pasco_pct_acid")=0,"",SUMIFS('1_原始數據'!$E$2:$E$1000,'1_原始數據'!$A$2:$A$1000,$A17,'1_原始數據'!$B$2:$B$1000,$B17,'1_原始數據'!$D$2:$D$1000,$D17,'1_原始數據'!$I$2:$I$1000,$I17,'1_原始數據'!$C$2:$C$1000,"pasco_pct_acid"))))</f>
        <v/>
      </c>
      <c r="P17" s="26">
        <f>IF($A17="","",IF(OR(N17="",O17=""),"",O17-N17))</f>
        <v/>
      </c>
      <c r="Q17" s="24">
        <f>IF($A17="","",IF(P17="","",(O17+N17)/2))</f>
        <v/>
      </c>
      <c r="R17" s="27">
        <f>IF($A17="","",IF(P17="","",COUNT($P$2:P17)))</f>
        <v/>
      </c>
    </row>
    <row r="18">
      <c r="A18" s="23" t="n">
        <v>4</v>
      </c>
      <c r="B18" s="23" t="inlineStr">
        <is>
          <t>G4_S1</t>
        </is>
      </c>
      <c r="C18" s="23" t="inlineStr">
        <is>
          <t>manual_titration_mL</t>
        </is>
      </c>
      <c r="D18" s="23" t="n">
        <v>1</v>
      </c>
      <c r="E18" s="23" t="n">
        <v>7.85</v>
      </c>
      <c r="F18" s="23" t="inlineStr">
        <is>
          <t>mL</t>
        </is>
      </c>
      <c r="G18" s="23" t="n">
        <v>25</v>
      </c>
      <c r="H18" s="23" t="n"/>
      <c r="I18" s="23" t="inlineStr">
        <is>
          <t>orange_juice</t>
        </is>
      </c>
      <c r="J18" s="24">
        <f>IF($A18="","",IF($C18&lt;&gt;"khp_titration_mL","",IF(COUNTIFS('1_原始數據'!$A$2:$A$1000,$A18,'1_原始數據'!$B$2:$B$1000,$B18,'1_原始數據'!$D$2:$D$1000,$D18,'1_原始數據'!$C$2:$C$1000,"khp_mass_g")=0,"",SUMIFS('1_原始數據'!$E$2:$E$1000,'1_原始數據'!$A$2:$A$1000,$A18,'1_原始數據'!$B$2:$B$1000,$B18,'1_原始數據'!$D$2:$D$1000,$D18,'1_原始數據'!$C$2:$C$1000,"khp_mass_g")/('2_NaOH標定'!$C$5*$E18/1000))))</f>
        <v/>
      </c>
      <c r="K18" s="24">
        <f>IF($A18="","",IF($C18&lt;&gt;"manual_titration_mL","",IF(COUNTIFS('1_原始數據'!$A$2:$A$1000,$A18,'1_原始數據'!$C$2:$C$1000,"khp_titration_mL")=0,"",AVERAGEIFS('1_原始數據'!$J$2:$J$1000,'1_原始數據'!$A$2:$A$1000,$A18,'1_原始數據'!$C$2:$C$1000,"khp_titration_mL"))))</f>
        <v/>
      </c>
      <c r="L18" s="25">
        <f>IF($A18="","",IF($C18&lt;&gt;"manual_titration_mL","",IFERROR(INDEX('3_可滴定酸度'!$E$6:$E$13,MATCH($I18,'3_可滴定酸度'!$B$6:$B$13,0)),"")))</f>
        <v/>
      </c>
      <c r="M18" s="25">
        <f>IF($A18="","",IF($C18&lt;&gt;"manual_titration_mL","",IFERROR(INDEX('3_可滴定酸度'!$F$6:$F$13,MATCH($I18,'3_可滴定酸度'!$B$6:$B$13,0)),"")))</f>
        <v/>
      </c>
      <c r="N18" s="24">
        <f>IF($A18="","",IF(OR(K18="",L18="",M18=""),"",K18*E18*L18/(M18*1000)*100))</f>
        <v/>
      </c>
      <c r="O18" s="24">
        <f>IF($A18="","",IF(N18="","",IF(COUNTIFS('1_原始數據'!$A$2:$A$1000,$A18,'1_原始數據'!$B$2:$B$1000,$B18,'1_原始數據'!$D$2:$D$1000,$D18,'1_原始數據'!$I$2:$I$1000,$I18,'1_原始數據'!$C$2:$C$1000,"pasco_pct_acid")=0,"",SUMIFS('1_原始數據'!$E$2:$E$1000,'1_原始數據'!$A$2:$A$1000,$A18,'1_原始數據'!$B$2:$B$1000,$B18,'1_原始數據'!$D$2:$D$1000,$D18,'1_原始數據'!$I$2:$I$1000,$I18,'1_原始數據'!$C$2:$C$1000,"pasco_pct_acid"))))</f>
        <v/>
      </c>
      <c r="P18" s="26">
        <f>IF($A18="","",IF(OR(N18="",O18=""),"",O18-N18))</f>
        <v/>
      </c>
      <c r="Q18" s="24">
        <f>IF($A18="","",IF(P18="","",(O18+N18)/2))</f>
        <v/>
      </c>
      <c r="R18" s="27">
        <f>IF($A18="","",IF(P18="","",COUNT($P$2:P18)))</f>
        <v/>
      </c>
    </row>
    <row r="19">
      <c r="A19" s="23" t="n">
        <v>4</v>
      </c>
      <c r="B19" s="23" t="inlineStr">
        <is>
          <t>G4_S1</t>
        </is>
      </c>
      <c r="C19" s="23" t="inlineStr">
        <is>
          <t>pasco_pct_acid</t>
        </is>
      </c>
      <c r="D19" s="23" t="n">
        <v>1</v>
      </c>
      <c r="E19" s="23" t="n">
        <v>0.995</v>
      </c>
      <c r="F19" s="23" t="inlineStr">
        <is>
          <t>%</t>
        </is>
      </c>
      <c r="G19" s="23" t="n">
        <v>25</v>
      </c>
      <c r="H19" s="23" t="n"/>
      <c r="I19" s="23" t="inlineStr">
        <is>
          <t>orange_juice</t>
        </is>
      </c>
      <c r="J19" s="24">
        <f>IF($A19="","",IF($C19&lt;&gt;"khp_titration_mL","",IF(COUNTIFS('1_原始數據'!$A$2:$A$1000,$A19,'1_原始數據'!$B$2:$B$1000,$B19,'1_原始數據'!$D$2:$D$1000,$D19,'1_原始數據'!$C$2:$C$1000,"khp_mass_g")=0,"",SUMIFS('1_原始數據'!$E$2:$E$1000,'1_原始數據'!$A$2:$A$1000,$A19,'1_原始數據'!$B$2:$B$1000,$B19,'1_原始數據'!$D$2:$D$1000,$D19,'1_原始數據'!$C$2:$C$1000,"khp_mass_g")/('2_NaOH標定'!$C$5*$E19/1000))))</f>
        <v/>
      </c>
      <c r="K19" s="24">
        <f>IF($A19="","",IF($C19&lt;&gt;"manual_titration_mL","",IF(COUNTIFS('1_原始數據'!$A$2:$A$1000,$A19,'1_原始數據'!$C$2:$C$1000,"khp_titration_mL")=0,"",AVERAGEIFS('1_原始數據'!$J$2:$J$1000,'1_原始數據'!$A$2:$A$1000,$A19,'1_原始數據'!$C$2:$C$1000,"khp_titration_mL"))))</f>
        <v/>
      </c>
      <c r="L19" s="25">
        <f>IF($A19="","",IF($C19&lt;&gt;"manual_titration_mL","",IFERROR(INDEX('3_可滴定酸度'!$E$6:$E$13,MATCH($I19,'3_可滴定酸度'!$B$6:$B$13,0)),"")))</f>
        <v/>
      </c>
      <c r="M19" s="25">
        <f>IF($A19="","",IF($C19&lt;&gt;"manual_titration_mL","",IFERROR(INDEX('3_可滴定酸度'!$F$6:$F$13,MATCH($I19,'3_可滴定酸度'!$B$6:$B$13,0)),"")))</f>
        <v/>
      </c>
      <c r="N19" s="24">
        <f>IF($A19="","",IF(OR(K19="",L19="",M19=""),"",K19*E19*L19/(M19*1000)*100))</f>
        <v/>
      </c>
      <c r="O19" s="24">
        <f>IF($A19="","",IF(N19="","",IF(COUNTIFS('1_原始數據'!$A$2:$A$1000,$A19,'1_原始數據'!$B$2:$B$1000,$B19,'1_原始數據'!$D$2:$D$1000,$D19,'1_原始數據'!$I$2:$I$1000,$I19,'1_原始數據'!$C$2:$C$1000,"pasco_pct_acid")=0,"",SUMIFS('1_原始數據'!$E$2:$E$1000,'1_原始數據'!$A$2:$A$1000,$A19,'1_原始數據'!$B$2:$B$1000,$B19,'1_原始數據'!$D$2:$D$1000,$D19,'1_原始數據'!$I$2:$I$1000,$I19,'1_原始數據'!$C$2:$C$1000,"pasco_pct_acid"))))</f>
        <v/>
      </c>
      <c r="P19" s="26">
        <f>IF($A19="","",IF(OR(N19="",O19=""),"",O19-N19))</f>
        <v/>
      </c>
      <c r="Q19" s="24">
        <f>IF($A19="","",IF(P19="","",(O19+N19)/2))</f>
        <v/>
      </c>
      <c r="R19" s="27">
        <f>IF($A19="","",IF(P19="","",COUNT($P$2:P19)))</f>
        <v/>
      </c>
    </row>
    <row r="20">
      <c r="A20" s="23" t="n">
        <v>5</v>
      </c>
      <c r="B20" s="23" t="inlineStr">
        <is>
          <t>G5_S2</t>
        </is>
      </c>
      <c r="C20" s="23" t="inlineStr">
        <is>
          <t>manual_titration_mL</t>
        </is>
      </c>
      <c r="D20" s="23" t="n">
        <v>2</v>
      </c>
      <c r="E20" s="23" t="n">
        <v>8</v>
      </c>
      <c r="F20" s="23" t="inlineStr">
        <is>
          <t>mL</t>
        </is>
      </c>
      <c r="G20" s="23" t="n">
        <v>25</v>
      </c>
      <c r="H20" s="23" t="n"/>
      <c r="I20" s="23" t="inlineStr">
        <is>
          <t>orange_juice</t>
        </is>
      </c>
      <c r="J20" s="24">
        <f>IF($A20="","",IF($C20&lt;&gt;"khp_titration_mL","",IF(COUNTIFS('1_原始數據'!$A$2:$A$1000,$A20,'1_原始數據'!$B$2:$B$1000,$B20,'1_原始數據'!$D$2:$D$1000,$D20,'1_原始數據'!$C$2:$C$1000,"khp_mass_g")=0,"",SUMIFS('1_原始數據'!$E$2:$E$1000,'1_原始數據'!$A$2:$A$1000,$A20,'1_原始數據'!$B$2:$B$1000,$B20,'1_原始數據'!$D$2:$D$1000,$D20,'1_原始數據'!$C$2:$C$1000,"khp_mass_g")/('2_NaOH標定'!$C$5*$E20/1000))))</f>
        <v/>
      </c>
      <c r="K20" s="24">
        <f>IF($A20="","",IF($C20&lt;&gt;"manual_titration_mL","",IF(COUNTIFS('1_原始數據'!$A$2:$A$1000,$A20,'1_原始數據'!$C$2:$C$1000,"khp_titration_mL")=0,"",AVERAGEIFS('1_原始數據'!$J$2:$J$1000,'1_原始數據'!$A$2:$A$1000,$A20,'1_原始數據'!$C$2:$C$1000,"khp_titration_mL"))))</f>
        <v/>
      </c>
      <c r="L20" s="25">
        <f>IF($A20="","",IF($C20&lt;&gt;"manual_titration_mL","",IFERROR(INDEX('3_可滴定酸度'!$E$6:$E$13,MATCH($I20,'3_可滴定酸度'!$B$6:$B$13,0)),"")))</f>
        <v/>
      </c>
      <c r="M20" s="25">
        <f>IF($A20="","",IF($C20&lt;&gt;"manual_titration_mL","",IFERROR(INDEX('3_可滴定酸度'!$F$6:$F$13,MATCH($I20,'3_可滴定酸度'!$B$6:$B$13,0)),"")))</f>
        <v/>
      </c>
      <c r="N20" s="24">
        <f>IF($A20="","",IF(OR(K20="",L20="",M20=""),"",K20*E20*L20/(M20*1000)*100))</f>
        <v/>
      </c>
      <c r="O20" s="24">
        <f>IF($A20="","",IF(N20="","",IF(COUNTIFS('1_原始數據'!$A$2:$A$1000,$A20,'1_原始數據'!$B$2:$B$1000,$B20,'1_原始數據'!$D$2:$D$1000,$D20,'1_原始數據'!$I$2:$I$1000,$I20,'1_原始數據'!$C$2:$C$1000,"pasco_pct_acid")=0,"",SUMIFS('1_原始數據'!$E$2:$E$1000,'1_原始數據'!$A$2:$A$1000,$A20,'1_原始數據'!$B$2:$B$1000,$B20,'1_原始數據'!$D$2:$D$1000,$D20,'1_原始數據'!$I$2:$I$1000,$I20,'1_原始數據'!$C$2:$C$1000,"pasco_pct_acid"))))</f>
        <v/>
      </c>
      <c r="P20" s="26">
        <f>IF($A20="","",IF(OR(N20="",O20=""),"",O20-N20))</f>
        <v/>
      </c>
      <c r="Q20" s="24">
        <f>IF($A20="","",IF(P20="","",(O20+N20)/2))</f>
        <v/>
      </c>
      <c r="R20" s="27">
        <f>IF($A20="","",IF(P20="","",COUNT($P$2:P20)))</f>
        <v/>
      </c>
    </row>
    <row r="21">
      <c r="A21" s="23" t="n">
        <v>5</v>
      </c>
      <c r="B21" s="23" t="inlineStr">
        <is>
          <t>G5_S2</t>
        </is>
      </c>
      <c r="C21" s="23" t="inlineStr">
        <is>
          <t>pasco_pct_acid</t>
        </is>
      </c>
      <c r="D21" s="23" t="n">
        <v>2</v>
      </c>
      <c r="E21" s="23" t="n">
        <v>1.058</v>
      </c>
      <c r="F21" s="23" t="inlineStr">
        <is>
          <t>%</t>
        </is>
      </c>
      <c r="G21" s="23" t="n">
        <v>25</v>
      </c>
      <c r="H21" s="23" t="n"/>
      <c r="I21" s="23" t="inlineStr">
        <is>
          <t>orange_juice</t>
        </is>
      </c>
      <c r="J21" s="24">
        <f>IF($A21="","",IF($C21&lt;&gt;"khp_titration_mL","",IF(COUNTIFS('1_原始數據'!$A$2:$A$1000,$A21,'1_原始數據'!$B$2:$B$1000,$B21,'1_原始數據'!$D$2:$D$1000,$D21,'1_原始數據'!$C$2:$C$1000,"khp_mass_g")=0,"",SUMIFS('1_原始數據'!$E$2:$E$1000,'1_原始數據'!$A$2:$A$1000,$A21,'1_原始數據'!$B$2:$B$1000,$B21,'1_原始數據'!$D$2:$D$1000,$D21,'1_原始數據'!$C$2:$C$1000,"khp_mass_g")/('2_NaOH標定'!$C$5*$E21/1000))))</f>
        <v/>
      </c>
      <c r="K21" s="24">
        <f>IF($A21="","",IF($C21&lt;&gt;"manual_titration_mL","",IF(COUNTIFS('1_原始數據'!$A$2:$A$1000,$A21,'1_原始數據'!$C$2:$C$1000,"khp_titration_mL")=0,"",AVERAGEIFS('1_原始數據'!$J$2:$J$1000,'1_原始數據'!$A$2:$A$1000,$A21,'1_原始數據'!$C$2:$C$1000,"khp_titration_mL"))))</f>
        <v/>
      </c>
      <c r="L21" s="25">
        <f>IF($A21="","",IF($C21&lt;&gt;"manual_titration_mL","",IFERROR(INDEX('3_可滴定酸度'!$E$6:$E$13,MATCH($I21,'3_可滴定酸度'!$B$6:$B$13,0)),"")))</f>
        <v/>
      </c>
      <c r="M21" s="25">
        <f>IF($A21="","",IF($C21&lt;&gt;"manual_titration_mL","",IFERROR(INDEX('3_可滴定酸度'!$F$6:$F$13,MATCH($I21,'3_可滴定酸度'!$B$6:$B$13,0)),"")))</f>
        <v/>
      </c>
      <c r="N21" s="24">
        <f>IF($A21="","",IF(OR(K21="",L21="",M21=""),"",K21*E21*L21/(M21*1000)*100))</f>
        <v/>
      </c>
      <c r="O21" s="24">
        <f>IF($A21="","",IF(N21="","",IF(COUNTIFS('1_原始數據'!$A$2:$A$1000,$A21,'1_原始數據'!$B$2:$B$1000,$B21,'1_原始數據'!$D$2:$D$1000,$D21,'1_原始數據'!$I$2:$I$1000,$I21,'1_原始數據'!$C$2:$C$1000,"pasco_pct_acid")=0,"",SUMIFS('1_原始數據'!$E$2:$E$1000,'1_原始數據'!$A$2:$A$1000,$A21,'1_原始數據'!$B$2:$B$1000,$B21,'1_原始數據'!$D$2:$D$1000,$D21,'1_原始數據'!$I$2:$I$1000,$I21,'1_原始數據'!$C$2:$C$1000,"pasco_pct_acid"))))</f>
        <v/>
      </c>
      <c r="P21" s="26">
        <f>IF($A21="","",IF(OR(N21="",O21=""),"",O21-N21))</f>
        <v/>
      </c>
      <c r="Q21" s="24">
        <f>IF($A21="","",IF(P21="","",(O21+N21)/2))</f>
        <v/>
      </c>
      <c r="R21" s="27">
        <f>IF($A21="","",IF(P21="","",COUNT($P$2:P21)))</f>
        <v/>
      </c>
    </row>
    <row r="22">
      <c r="A22" s="23" t="n">
        <v>1</v>
      </c>
      <c r="B22" s="23" t="inlineStr">
        <is>
          <t>G1_S3</t>
        </is>
      </c>
      <c r="C22" s="23" t="inlineStr">
        <is>
          <t>manual_titration_mL</t>
        </is>
      </c>
      <c r="D22" s="23" t="n">
        <v>3</v>
      </c>
      <c r="E22" s="23" t="n">
        <v>7.7</v>
      </c>
      <c r="F22" s="23" t="inlineStr">
        <is>
          <t>mL</t>
        </is>
      </c>
      <c r="G22" s="23" t="n">
        <v>25</v>
      </c>
      <c r="H22" s="23" t="n"/>
      <c r="I22" s="23" t="inlineStr">
        <is>
          <t>orange_juice</t>
        </is>
      </c>
      <c r="J22" s="24">
        <f>IF($A22="","",IF($C22&lt;&gt;"khp_titration_mL","",IF(COUNTIFS('1_原始數據'!$A$2:$A$1000,$A22,'1_原始數據'!$B$2:$B$1000,$B22,'1_原始數據'!$D$2:$D$1000,$D22,'1_原始數據'!$C$2:$C$1000,"khp_mass_g")=0,"",SUMIFS('1_原始數據'!$E$2:$E$1000,'1_原始數據'!$A$2:$A$1000,$A22,'1_原始數據'!$B$2:$B$1000,$B22,'1_原始數據'!$D$2:$D$1000,$D22,'1_原始數據'!$C$2:$C$1000,"khp_mass_g")/('2_NaOH標定'!$C$5*$E22/1000))))</f>
        <v/>
      </c>
      <c r="K22" s="24">
        <f>IF($A22="","",IF($C22&lt;&gt;"manual_titration_mL","",IF(COUNTIFS('1_原始數據'!$A$2:$A$1000,$A22,'1_原始數據'!$C$2:$C$1000,"khp_titration_mL")=0,"",AVERAGEIFS('1_原始數據'!$J$2:$J$1000,'1_原始數據'!$A$2:$A$1000,$A22,'1_原始數據'!$C$2:$C$1000,"khp_titration_mL"))))</f>
        <v/>
      </c>
      <c r="L22" s="25">
        <f>IF($A22="","",IF($C22&lt;&gt;"manual_titration_mL","",IFERROR(INDEX('3_可滴定酸度'!$E$6:$E$13,MATCH($I22,'3_可滴定酸度'!$B$6:$B$13,0)),"")))</f>
        <v/>
      </c>
      <c r="M22" s="25">
        <f>IF($A22="","",IF($C22&lt;&gt;"manual_titration_mL","",IFERROR(INDEX('3_可滴定酸度'!$F$6:$F$13,MATCH($I22,'3_可滴定酸度'!$B$6:$B$13,0)),"")))</f>
        <v/>
      </c>
      <c r="N22" s="24">
        <f>IF($A22="","",IF(OR(K22="",L22="",M22=""),"",K22*E22*L22/(M22*1000)*100))</f>
        <v/>
      </c>
      <c r="O22" s="24">
        <f>IF($A22="","",IF(N22="","",IF(COUNTIFS('1_原始數據'!$A$2:$A$1000,$A22,'1_原始數據'!$B$2:$B$1000,$B22,'1_原始數據'!$D$2:$D$1000,$D22,'1_原始數據'!$I$2:$I$1000,$I22,'1_原始數據'!$C$2:$C$1000,"pasco_pct_acid")=0,"",SUMIFS('1_原始數據'!$E$2:$E$1000,'1_原始數據'!$A$2:$A$1000,$A22,'1_原始數據'!$B$2:$B$1000,$B22,'1_原始數據'!$D$2:$D$1000,$D22,'1_原始數據'!$I$2:$I$1000,$I22,'1_原始數據'!$C$2:$C$1000,"pasco_pct_acid"))))</f>
        <v/>
      </c>
      <c r="P22" s="26">
        <f>IF($A22="","",IF(OR(N22="",O22=""),"",O22-N22))</f>
        <v/>
      </c>
      <c r="Q22" s="24">
        <f>IF($A22="","",IF(P22="","",(O22+N22)/2))</f>
        <v/>
      </c>
      <c r="R22" s="27">
        <f>IF($A22="","",IF(P22="","",COUNT($P$2:P22)))</f>
        <v/>
      </c>
    </row>
    <row r="23">
      <c r="A23" s="23" t="n">
        <v>1</v>
      </c>
      <c r="B23" s="23" t="inlineStr">
        <is>
          <t>G1_S3</t>
        </is>
      </c>
      <c r="C23" s="23" t="inlineStr">
        <is>
          <t>pasco_pct_acid</t>
        </is>
      </c>
      <c r="D23" s="23" t="n">
        <v>3</v>
      </c>
      <c r="E23" s="23" t="n">
        <v>0.989</v>
      </c>
      <c r="F23" s="23" t="inlineStr">
        <is>
          <t>%</t>
        </is>
      </c>
      <c r="G23" s="23" t="n">
        <v>25</v>
      </c>
      <c r="H23" s="23" t="n"/>
      <c r="I23" s="23" t="inlineStr">
        <is>
          <t>orange_juice</t>
        </is>
      </c>
      <c r="J23" s="24">
        <f>IF($A23="","",IF($C23&lt;&gt;"khp_titration_mL","",IF(COUNTIFS('1_原始數據'!$A$2:$A$1000,$A23,'1_原始數據'!$B$2:$B$1000,$B23,'1_原始數據'!$D$2:$D$1000,$D23,'1_原始數據'!$C$2:$C$1000,"khp_mass_g")=0,"",SUMIFS('1_原始數據'!$E$2:$E$1000,'1_原始數據'!$A$2:$A$1000,$A23,'1_原始數據'!$B$2:$B$1000,$B23,'1_原始數據'!$D$2:$D$1000,$D23,'1_原始數據'!$C$2:$C$1000,"khp_mass_g")/('2_NaOH標定'!$C$5*$E23/1000))))</f>
        <v/>
      </c>
      <c r="K23" s="24">
        <f>IF($A23="","",IF($C23&lt;&gt;"manual_titration_mL","",IF(COUNTIFS('1_原始數據'!$A$2:$A$1000,$A23,'1_原始數據'!$C$2:$C$1000,"khp_titration_mL")=0,"",AVERAGEIFS('1_原始數據'!$J$2:$J$1000,'1_原始數據'!$A$2:$A$1000,$A23,'1_原始數據'!$C$2:$C$1000,"khp_titration_mL"))))</f>
        <v/>
      </c>
      <c r="L23" s="25">
        <f>IF($A23="","",IF($C23&lt;&gt;"manual_titration_mL","",IFERROR(INDEX('3_可滴定酸度'!$E$6:$E$13,MATCH($I23,'3_可滴定酸度'!$B$6:$B$13,0)),"")))</f>
        <v/>
      </c>
      <c r="M23" s="25">
        <f>IF($A23="","",IF($C23&lt;&gt;"manual_titration_mL","",IFERROR(INDEX('3_可滴定酸度'!$F$6:$F$13,MATCH($I23,'3_可滴定酸度'!$B$6:$B$13,0)),"")))</f>
        <v/>
      </c>
      <c r="N23" s="24">
        <f>IF($A23="","",IF(OR(K23="",L23="",M23=""),"",K23*E23*L23/(M23*1000)*100))</f>
        <v/>
      </c>
      <c r="O23" s="24">
        <f>IF($A23="","",IF(N23="","",IF(COUNTIFS('1_原始數據'!$A$2:$A$1000,$A23,'1_原始數據'!$B$2:$B$1000,$B23,'1_原始數據'!$D$2:$D$1000,$D23,'1_原始數據'!$I$2:$I$1000,$I23,'1_原始數據'!$C$2:$C$1000,"pasco_pct_acid")=0,"",SUMIFS('1_原始數據'!$E$2:$E$1000,'1_原始數據'!$A$2:$A$1000,$A23,'1_原始數據'!$B$2:$B$1000,$B23,'1_原始數據'!$D$2:$D$1000,$D23,'1_原始數據'!$I$2:$I$1000,$I23,'1_原始數據'!$C$2:$C$1000,"pasco_pct_acid"))))</f>
        <v/>
      </c>
      <c r="P23" s="26">
        <f>IF($A23="","",IF(OR(N23="",O23=""),"",O23-N23))</f>
        <v/>
      </c>
      <c r="Q23" s="24">
        <f>IF($A23="","",IF(P23="","",(O23+N23)/2))</f>
        <v/>
      </c>
      <c r="R23" s="27">
        <f>IF($A23="","",IF(P23="","",COUNT($P$2:P23)))</f>
        <v/>
      </c>
    </row>
    <row r="24">
      <c r="A24" s="23" t="n">
        <v>2</v>
      </c>
      <c r="B24" s="23" t="inlineStr">
        <is>
          <t>G2_S1</t>
        </is>
      </c>
      <c r="C24" s="23" t="inlineStr">
        <is>
          <t>manual_titration_mL</t>
        </is>
      </c>
      <c r="D24" s="23" t="n">
        <v>1</v>
      </c>
      <c r="E24" s="23" t="n">
        <v>5.2</v>
      </c>
      <c r="F24" s="23" t="inlineStr">
        <is>
          <t>mL</t>
        </is>
      </c>
      <c r="G24" s="23" t="n">
        <v>25</v>
      </c>
      <c r="H24" s="23" t="n"/>
      <c r="I24" s="23" t="inlineStr">
        <is>
          <t>yogurt</t>
        </is>
      </c>
      <c r="J24" s="24">
        <f>IF($A24="","",IF($C24&lt;&gt;"khp_titration_mL","",IF(COUNTIFS('1_原始數據'!$A$2:$A$1000,$A24,'1_原始數據'!$B$2:$B$1000,$B24,'1_原始數據'!$D$2:$D$1000,$D24,'1_原始數據'!$C$2:$C$1000,"khp_mass_g")=0,"",SUMIFS('1_原始數據'!$E$2:$E$1000,'1_原始數據'!$A$2:$A$1000,$A24,'1_原始數據'!$B$2:$B$1000,$B24,'1_原始數據'!$D$2:$D$1000,$D24,'1_原始數據'!$C$2:$C$1000,"khp_mass_g")/('2_NaOH標定'!$C$5*$E24/1000))))</f>
        <v/>
      </c>
      <c r="K24" s="24">
        <f>IF($A24="","",IF($C24&lt;&gt;"manual_titration_mL","",IF(COUNTIFS('1_原始數據'!$A$2:$A$1000,$A24,'1_原始數據'!$C$2:$C$1000,"khp_titration_mL")=0,"",AVERAGEIFS('1_原始數據'!$J$2:$J$1000,'1_原始數據'!$A$2:$A$1000,$A24,'1_原始數據'!$C$2:$C$1000,"khp_titration_mL"))))</f>
        <v/>
      </c>
      <c r="L24" s="25">
        <f>IF($A24="","",IF($C24&lt;&gt;"manual_titration_mL","",IFERROR(INDEX('3_可滴定酸度'!$E$6:$E$13,MATCH($I24,'3_可滴定酸度'!$B$6:$B$13,0)),"")))</f>
        <v/>
      </c>
      <c r="M24" s="25">
        <f>IF($A24="","",IF($C24&lt;&gt;"manual_titration_mL","",IFERROR(INDEX('3_可滴定酸度'!$F$6:$F$13,MATCH($I24,'3_可滴定酸度'!$B$6:$B$13,0)),"")))</f>
        <v/>
      </c>
      <c r="N24" s="24">
        <f>IF($A24="","",IF(OR(K24="",L24="",M24=""),"",K24*E24*L24/(M24*1000)*100))</f>
        <v/>
      </c>
      <c r="O24" s="24">
        <f>IF($A24="","",IF(N24="","",IF(COUNTIFS('1_原始數據'!$A$2:$A$1000,$A24,'1_原始數據'!$B$2:$B$1000,$B24,'1_原始數據'!$D$2:$D$1000,$D24,'1_原始數據'!$I$2:$I$1000,$I24,'1_原始數據'!$C$2:$C$1000,"pasco_pct_acid")=0,"",SUMIFS('1_原始數據'!$E$2:$E$1000,'1_原始數據'!$A$2:$A$1000,$A24,'1_原始數據'!$B$2:$B$1000,$B24,'1_原始數據'!$D$2:$D$1000,$D24,'1_原始數據'!$I$2:$I$1000,$I24,'1_原始數據'!$C$2:$C$1000,"pasco_pct_acid"))))</f>
        <v/>
      </c>
      <c r="P24" s="26">
        <f>IF($A24="","",IF(OR(N24="",O24=""),"",O24-N24))</f>
        <v/>
      </c>
      <c r="Q24" s="24">
        <f>IF($A24="","",IF(P24="","",(O24+N24)/2))</f>
        <v/>
      </c>
      <c r="R24" s="27">
        <f>IF($A24="","",IF(P24="","",COUNT($P$2:P24)))</f>
        <v/>
      </c>
    </row>
    <row r="25">
      <c r="A25" s="23" t="n">
        <v>2</v>
      </c>
      <c r="B25" s="23" t="inlineStr">
        <is>
          <t>G2_S1</t>
        </is>
      </c>
      <c r="C25" s="23" t="inlineStr">
        <is>
          <t>pasco_pct_acid</t>
        </is>
      </c>
      <c r="D25" s="23" t="n">
        <v>1</v>
      </c>
      <c r="E25" s="23" t="n">
        <v>0.965</v>
      </c>
      <c r="F25" s="23" t="inlineStr">
        <is>
          <t>%</t>
        </is>
      </c>
      <c r="G25" s="23" t="n">
        <v>25</v>
      </c>
      <c r="H25" s="23" t="n"/>
      <c r="I25" s="23" t="inlineStr">
        <is>
          <t>yogurt</t>
        </is>
      </c>
      <c r="J25" s="24">
        <f>IF($A25="","",IF($C25&lt;&gt;"khp_titration_mL","",IF(COUNTIFS('1_原始數據'!$A$2:$A$1000,$A25,'1_原始數據'!$B$2:$B$1000,$B25,'1_原始數據'!$D$2:$D$1000,$D25,'1_原始數據'!$C$2:$C$1000,"khp_mass_g")=0,"",SUMIFS('1_原始數據'!$E$2:$E$1000,'1_原始數據'!$A$2:$A$1000,$A25,'1_原始數據'!$B$2:$B$1000,$B25,'1_原始數據'!$D$2:$D$1000,$D25,'1_原始數據'!$C$2:$C$1000,"khp_mass_g")/('2_NaOH標定'!$C$5*$E25/1000))))</f>
        <v/>
      </c>
      <c r="K25" s="24">
        <f>IF($A25="","",IF($C25&lt;&gt;"manual_titration_mL","",IF(COUNTIFS('1_原始數據'!$A$2:$A$1000,$A25,'1_原始數據'!$C$2:$C$1000,"khp_titration_mL")=0,"",AVERAGEIFS('1_原始數據'!$J$2:$J$1000,'1_原始數據'!$A$2:$A$1000,$A25,'1_原始數據'!$C$2:$C$1000,"khp_titration_mL"))))</f>
        <v/>
      </c>
      <c r="L25" s="25">
        <f>IF($A25="","",IF($C25&lt;&gt;"manual_titration_mL","",IFERROR(INDEX('3_可滴定酸度'!$E$6:$E$13,MATCH($I25,'3_可滴定酸度'!$B$6:$B$13,0)),"")))</f>
        <v/>
      </c>
      <c r="M25" s="25">
        <f>IF($A25="","",IF($C25&lt;&gt;"manual_titration_mL","",IFERROR(INDEX('3_可滴定酸度'!$F$6:$F$13,MATCH($I25,'3_可滴定酸度'!$B$6:$B$13,0)),"")))</f>
        <v/>
      </c>
      <c r="N25" s="24">
        <f>IF($A25="","",IF(OR(K25="",L25="",M25=""),"",K25*E25*L25/(M25*1000)*100))</f>
        <v/>
      </c>
      <c r="O25" s="24">
        <f>IF($A25="","",IF(N25="","",IF(COUNTIFS('1_原始數據'!$A$2:$A$1000,$A25,'1_原始數據'!$B$2:$B$1000,$B25,'1_原始數據'!$D$2:$D$1000,$D25,'1_原始數據'!$I$2:$I$1000,$I25,'1_原始數據'!$C$2:$C$1000,"pasco_pct_acid")=0,"",SUMIFS('1_原始數據'!$E$2:$E$1000,'1_原始數據'!$A$2:$A$1000,$A25,'1_原始數據'!$B$2:$B$1000,$B25,'1_原始數據'!$D$2:$D$1000,$D25,'1_原始數據'!$I$2:$I$1000,$I25,'1_原始數據'!$C$2:$C$1000,"pasco_pct_acid"))))</f>
        <v/>
      </c>
      <c r="P25" s="26">
        <f>IF($A25="","",IF(OR(N25="",O25=""),"",O25-N25))</f>
        <v/>
      </c>
      <c r="Q25" s="24">
        <f>IF($A25="","",IF(P25="","",(O25+N25)/2))</f>
        <v/>
      </c>
      <c r="R25" s="27">
        <f>IF($A25="","",IF(P25="","",COUNT($P$2:P25)))</f>
        <v/>
      </c>
    </row>
    <row r="26">
      <c r="A26" s="23" t="n">
        <v>3</v>
      </c>
      <c r="B26" s="23" t="inlineStr">
        <is>
          <t>G3_S2</t>
        </is>
      </c>
      <c r="C26" s="23" t="inlineStr">
        <is>
          <t>manual_titration_mL</t>
        </is>
      </c>
      <c r="D26" s="23" t="n">
        <v>2</v>
      </c>
      <c r="E26" s="23" t="n">
        <v>4.85</v>
      </c>
      <c r="F26" s="23" t="inlineStr">
        <is>
          <t>mL</t>
        </is>
      </c>
      <c r="G26" s="23" t="n">
        <v>25</v>
      </c>
      <c r="H26" s="23" t="n"/>
      <c r="I26" s="23" t="inlineStr">
        <is>
          <t>yogurt</t>
        </is>
      </c>
      <c r="J26" s="24">
        <f>IF($A26="","",IF($C26&lt;&gt;"khp_titration_mL","",IF(COUNTIFS('1_原始數據'!$A$2:$A$1000,$A26,'1_原始數據'!$B$2:$B$1000,$B26,'1_原始數據'!$D$2:$D$1000,$D26,'1_原始數據'!$C$2:$C$1000,"khp_mass_g")=0,"",SUMIFS('1_原始數據'!$E$2:$E$1000,'1_原始數據'!$A$2:$A$1000,$A26,'1_原始數據'!$B$2:$B$1000,$B26,'1_原始數據'!$D$2:$D$1000,$D26,'1_原始數據'!$C$2:$C$1000,"khp_mass_g")/('2_NaOH標定'!$C$5*$E26/1000))))</f>
        <v/>
      </c>
      <c r="K26" s="24">
        <f>IF($A26="","",IF($C26&lt;&gt;"manual_titration_mL","",IF(COUNTIFS('1_原始數據'!$A$2:$A$1000,$A26,'1_原始數據'!$C$2:$C$1000,"khp_titration_mL")=0,"",AVERAGEIFS('1_原始數據'!$J$2:$J$1000,'1_原始數據'!$A$2:$A$1000,$A26,'1_原始數據'!$C$2:$C$1000,"khp_titration_mL"))))</f>
        <v/>
      </c>
      <c r="L26" s="25">
        <f>IF($A26="","",IF($C26&lt;&gt;"manual_titration_mL","",IFERROR(INDEX('3_可滴定酸度'!$E$6:$E$13,MATCH($I26,'3_可滴定酸度'!$B$6:$B$13,0)),"")))</f>
        <v/>
      </c>
      <c r="M26" s="25">
        <f>IF($A26="","",IF($C26&lt;&gt;"manual_titration_mL","",IFERROR(INDEX('3_可滴定酸度'!$F$6:$F$13,MATCH($I26,'3_可滴定酸度'!$B$6:$B$13,0)),"")))</f>
        <v/>
      </c>
      <c r="N26" s="24">
        <f>IF($A26="","",IF(OR(K26="",L26="",M26=""),"",K26*E26*L26/(M26*1000)*100))</f>
        <v/>
      </c>
      <c r="O26" s="24">
        <f>IF($A26="","",IF(N26="","",IF(COUNTIFS('1_原始數據'!$A$2:$A$1000,$A26,'1_原始數據'!$B$2:$B$1000,$B26,'1_原始數據'!$D$2:$D$1000,$D26,'1_原始數據'!$I$2:$I$1000,$I26,'1_原始數據'!$C$2:$C$1000,"pasco_pct_acid")=0,"",SUMIFS('1_原始數據'!$E$2:$E$1000,'1_原始數據'!$A$2:$A$1000,$A26,'1_原始數據'!$B$2:$B$1000,$B26,'1_原始數據'!$D$2:$D$1000,$D26,'1_原始數據'!$I$2:$I$1000,$I26,'1_原始數據'!$C$2:$C$1000,"pasco_pct_acid"))))</f>
        <v/>
      </c>
      <c r="P26" s="26">
        <f>IF($A26="","",IF(OR(N26="",O26=""),"",O26-N26))</f>
        <v/>
      </c>
      <c r="Q26" s="24">
        <f>IF($A26="","",IF(P26="","",(O26+N26)/2))</f>
        <v/>
      </c>
      <c r="R26" s="27">
        <f>IF($A26="","",IF(P26="","",COUNT($P$2:P26)))</f>
        <v/>
      </c>
    </row>
    <row r="27">
      <c r="A27" s="23" t="n">
        <v>3</v>
      </c>
      <c r="B27" s="23" t="inlineStr">
        <is>
          <t>G3_S2</t>
        </is>
      </c>
      <c r="C27" s="23" t="inlineStr">
        <is>
          <t>pasco_pct_acid</t>
        </is>
      </c>
      <c r="D27" s="23" t="n">
        <v>2</v>
      </c>
      <c r="E27" s="23" t="n">
        <v>0.897</v>
      </c>
      <c r="F27" s="23" t="inlineStr">
        <is>
          <t>%</t>
        </is>
      </c>
      <c r="G27" s="23" t="n">
        <v>25</v>
      </c>
      <c r="H27" s="23" t="n"/>
      <c r="I27" s="23" t="inlineStr">
        <is>
          <t>yogurt</t>
        </is>
      </c>
      <c r="J27" s="24">
        <f>IF($A27="","",IF($C27&lt;&gt;"khp_titration_mL","",IF(COUNTIFS('1_原始數據'!$A$2:$A$1000,$A27,'1_原始數據'!$B$2:$B$1000,$B27,'1_原始數據'!$D$2:$D$1000,$D27,'1_原始數據'!$C$2:$C$1000,"khp_mass_g")=0,"",SUMIFS('1_原始數據'!$E$2:$E$1000,'1_原始數據'!$A$2:$A$1000,$A27,'1_原始數據'!$B$2:$B$1000,$B27,'1_原始數據'!$D$2:$D$1000,$D27,'1_原始數據'!$C$2:$C$1000,"khp_mass_g")/('2_NaOH標定'!$C$5*$E27/1000))))</f>
        <v/>
      </c>
      <c r="K27" s="24">
        <f>IF($A27="","",IF($C27&lt;&gt;"manual_titration_mL","",IF(COUNTIFS('1_原始數據'!$A$2:$A$1000,$A27,'1_原始數據'!$C$2:$C$1000,"khp_titration_mL")=0,"",AVERAGEIFS('1_原始數據'!$J$2:$J$1000,'1_原始數據'!$A$2:$A$1000,$A27,'1_原始數據'!$C$2:$C$1000,"khp_titration_mL"))))</f>
        <v/>
      </c>
      <c r="L27" s="25">
        <f>IF($A27="","",IF($C27&lt;&gt;"manual_titration_mL","",IFERROR(INDEX('3_可滴定酸度'!$E$6:$E$13,MATCH($I27,'3_可滴定酸度'!$B$6:$B$13,0)),"")))</f>
        <v/>
      </c>
      <c r="M27" s="25">
        <f>IF($A27="","",IF($C27&lt;&gt;"manual_titration_mL","",IFERROR(INDEX('3_可滴定酸度'!$F$6:$F$13,MATCH($I27,'3_可滴定酸度'!$B$6:$B$13,0)),"")))</f>
        <v/>
      </c>
      <c r="N27" s="24">
        <f>IF($A27="","",IF(OR(K27="",L27="",M27=""),"",K27*E27*L27/(M27*1000)*100))</f>
        <v/>
      </c>
      <c r="O27" s="24">
        <f>IF($A27="","",IF(N27="","",IF(COUNTIFS('1_原始數據'!$A$2:$A$1000,$A27,'1_原始數據'!$B$2:$B$1000,$B27,'1_原始數據'!$D$2:$D$1000,$D27,'1_原始數據'!$I$2:$I$1000,$I27,'1_原始數據'!$C$2:$C$1000,"pasco_pct_acid")=0,"",SUMIFS('1_原始數據'!$E$2:$E$1000,'1_原始數據'!$A$2:$A$1000,$A27,'1_原始數據'!$B$2:$B$1000,$B27,'1_原始數據'!$D$2:$D$1000,$D27,'1_原始數據'!$I$2:$I$1000,$I27,'1_原始數據'!$C$2:$C$1000,"pasco_pct_acid"))))</f>
        <v/>
      </c>
      <c r="P27" s="26">
        <f>IF($A27="","",IF(OR(N27="",O27=""),"",O27-N27))</f>
        <v/>
      </c>
      <c r="Q27" s="24">
        <f>IF($A27="","",IF(P27="","",(O27+N27)/2))</f>
        <v/>
      </c>
      <c r="R27" s="27">
        <f>IF($A27="","",IF(P27="","",COUNT($P$2:P27)))</f>
        <v/>
      </c>
    </row>
    <row r="28">
      <c r="A28" s="23" t="n">
        <v>4</v>
      </c>
      <c r="B28" s="23" t="inlineStr">
        <is>
          <t>G4_S3</t>
        </is>
      </c>
      <c r="C28" s="23" t="inlineStr">
        <is>
          <t>manual_titration_mL</t>
        </is>
      </c>
      <c r="D28" s="23" t="n">
        <v>3</v>
      </c>
      <c r="E28" s="23" t="n">
        <v>5.05</v>
      </c>
      <c r="F28" s="23" t="inlineStr">
        <is>
          <t>mL</t>
        </is>
      </c>
      <c r="G28" s="23" t="n">
        <v>25</v>
      </c>
      <c r="H28" s="23" t="n"/>
      <c r="I28" s="23" t="inlineStr">
        <is>
          <t>yogurt</t>
        </is>
      </c>
      <c r="J28" s="24">
        <f>IF($A28="","",IF($C28&lt;&gt;"khp_titration_mL","",IF(COUNTIFS('1_原始數據'!$A$2:$A$1000,$A28,'1_原始數據'!$B$2:$B$1000,$B28,'1_原始數據'!$D$2:$D$1000,$D28,'1_原始數據'!$C$2:$C$1000,"khp_mass_g")=0,"",SUMIFS('1_原始數據'!$E$2:$E$1000,'1_原始數據'!$A$2:$A$1000,$A28,'1_原始數據'!$B$2:$B$1000,$B28,'1_原始數據'!$D$2:$D$1000,$D28,'1_原始數據'!$C$2:$C$1000,"khp_mass_g")/('2_NaOH標定'!$C$5*$E28/1000))))</f>
        <v/>
      </c>
      <c r="K28" s="24">
        <f>IF($A28="","",IF($C28&lt;&gt;"manual_titration_mL","",IF(COUNTIFS('1_原始數據'!$A$2:$A$1000,$A28,'1_原始數據'!$C$2:$C$1000,"khp_titration_mL")=0,"",AVERAGEIFS('1_原始數據'!$J$2:$J$1000,'1_原始數據'!$A$2:$A$1000,$A28,'1_原始數據'!$C$2:$C$1000,"khp_titration_mL"))))</f>
        <v/>
      </c>
      <c r="L28" s="25">
        <f>IF($A28="","",IF($C28&lt;&gt;"manual_titration_mL","",IFERROR(INDEX('3_可滴定酸度'!$E$6:$E$13,MATCH($I28,'3_可滴定酸度'!$B$6:$B$13,0)),"")))</f>
        <v/>
      </c>
      <c r="M28" s="25">
        <f>IF($A28="","",IF($C28&lt;&gt;"manual_titration_mL","",IFERROR(INDEX('3_可滴定酸度'!$F$6:$F$13,MATCH($I28,'3_可滴定酸度'!$B$6:$B$13,0)),"")))</f>
        <v/>
      </c>
      <c r="N28" s="24">
        <f>IF($A28="","",IF(OR(K28="",L28="",M28=""),"",K28*E28*L28/(M28*1000)*100))</f>
        <v/>
      </c>
      <c r="O28" s="24">
        <f>IF($A28="","",IF(N28="","",IF(COUNTIFS('1_原始數據'!$A$2:$A$1000,$A28,'1_原始數據'!$B$2:$B$1000,$B28,'1_原始數據'!$D$2:$D$1000,$D28,'1_原始數據'!$I$2:$I$1000,$I28,'1_原始數據'!$C$2:$C$1000,"pasco_pct_acid")=0,"",SUMIFS('1_原始數據'!$E$2:$E$1000,'1_原始數據'!$A$2:$A$1000,$A28,'1_原始數據'!$B$2:$B$1000,$B28,'1_原始數據'!$D$2:$D$1000,$D28,'1_原始數據'!$I$2:$I$1000,$I28,'1_原始數據'!$C$2:$C$1000,"pasco_pct_acid"))))</f>
        <v/>
      </c>
      <c r="P28" s="26">
        <f>IF($A28="","",IF(OR(N28="",O28=""),"",O28-N28))</f>
        <v/>
      </c>
      <c r="Q28" s="24">
        <f>IF($A28="","",IF(P28="","",(O28+N28)/2))</f>
        <v/>
      </c>
      <c r="R28" s="27">
        <f>IF($A28="","",IF(P28="","",COUNT($P$2:P28)))</f>
        <v/>
      </c>
    </row>
    <row r="29">
      <c r="A29" s="23" t="n">
        <v>4</v>
      </c>
      <c r="B29" s="23" t="inlineStr">
        <is>
          <t>G4_S3</t>
        </is>
      </c>
      <c r="C29" s="23" t="inlineStr">
        <is>
          <t>pasco_pct_acid</t>
        </is>
      </c>
      <c r="D29" s="23" t="n">
        <v>3</v>
      </c>
      <c r="E29" s="23" t="n">
        <v>0.967</v>
      </c>
      <c r="F29" s="23" t="inlineStr">
        <is>
          <t>%</t>
        </is>
      </c>
      <c r="G29" s="23" t="n">
        <v>25</v>
      </c>
      <c r="H29" s="23" t="n"/>
      <c r="I29" s="23" t="inlineStr">
        <is>
          <t>yogurt</t>
        </is>
      </c>
      <c r="J29" s="24">
        <f>IF($A29="","",IF($C29&lt;&gt;"khp_titration_mL","",IF(COUNTIFS('1_原始數據'!$A$2:$A$1000,$A29,'1_原始數據'!$B$2:$B$1000,$B29,'1_原始數據'!$D$2:$D$1000,$D29,'1_原始數據'!$C$2:$C$1000,"khp_mass_g")=0,"",SUMIFS('1_原始數據'!$E$2:$E$1000,'1_原始數據'!$A$2:$A$1000,$A29,'1_原始數據'!$B$2:$B$1000,$B29,'1_原始數據'!$D$2:$D$1000,$D29,'1_原始數據'!$C$2:$C$1000,"khp_mass_g")/('2_NaOH標定'!$C$5*$E29/1000))))</f>
        <v/>
      </c>
      <c r="K29" s="24">
        <f>IF($A29="","",IF($C29&lt;&gt;"manual_titration_mL","",IF(COUNTIFS('1_原始數據'!$A$2:$A$1000,$A29,'1_原始數據'!$C$2:$C$1000,"khp_titration_mL")=0,"",AVERAGEIFS('1_原始數據'!$J$2:$J$1000,'1_原始數據'!$A$2:$A$1000,$A29,'1_原始數據'!$C$2:$C$1000,"khp_titration_mL"))))</f>
        <v/>
      </c>
      <c r="L29" s="25">
        <f>IF($A29="","",IF($C29&lt;&gt;"manual_titration_mL","",IFERROR(INDEX('3_可滴定酸度'!$E$6:$E$13,MATCH($I29,'3_可滴定酸度'!$B$6:$B$13,0)),"")))</f>
        <v/>
      </c>
      <c r="M29" s="25">
        <f>IF($A29="","",IF($C29&lt;&gt;"manual_titration_mL","",IFERROR(INDEX('3_可滴定酸度'!$F$6:$F$13,MATCH($I29,'3_可滴定酸度'!$B$6:$B$13,0)),"")))</f>
        <v/>
      </c>
      <c r="N29" s="24">
        <f>IF($A29="","",IF(OR(K29="",L29="",M29=""),"",K29*E29*L29/(M29*1000)*100))</f>
        <v/>
      </c>
      <c r="O29" s="24">
        <f>IF($A29="","",IF(N29="","",IF(COUNTIFS('1_原始數據'!$A$2:$A$1000,$A29,'1_原始數據'!$B$2:$B$1000,$B29,'1_原始數據'!$D$2:$D$1000,$D29,'1_原始數據'!$I$2:$I$1000,$I29,'1_原始數據'!$C$2:$C$1000,"pasco_pct_acid")=0,"",SUMIFS('1_原始數據'!$E$2:$E$1000,'1_原始數據'!$A$2:$A$1000,$A29,'1_原始數據'!$B$2:$B$1000,$B29,'1_原始數據'!$D$2:$D$1000,$D29,'1_原始數據'!$I$2:$I$1000,$I29,'1_原始數據'!$C$2:$C$1000,"pasco_pct_acid"))))</f>
        <v/>
      </c>
      <c r="P29" s="26">
        <f>IF($A29="","",IF(OR(N29="",O29=""),"",O29-N29))</f>
        <v/>
      </c>
      <c r="Q29" s="24">
        <f>IF($A29="","",IF(P29="","",(O29+N29)/2))</f>
        <v/>
      </c>
      <c r="R29" s="27">
        <f>IF($A29="","",IF(P29="","",COUNT($P$2:P29)))</f>
        <v/>
      </c>
    </row>
    <row r="30">
      <c r="A30" s="23" t="n">
        <v>5</v>
      </c>
      <c r="B30" s="23" t="inlineStr">
        <is>
          <t>G5_S1</t>
        </is>
      </c>
      <c r="C30" s="23" t="inlineStr">
        <is>
          <t>manual_titration_mL</t>
        </is>
      </c>
      <c r="D30" s="23" t="n">
        <v>1</v>
      </c>
      <c r="E30" s="23" t="n">
        <v>4.25</v>
      </c>
      <c r="F30" s="23" t="inlineStr">
        <is>
          <t>mL</t>
        </is>
      </c>
      <c r="G30" s="23" t="n">
        <v>25</v>
      </c>
      <c r="H30" s="23" t="n"/>
      <c r="I30" s="23" t="inlineStr">
        <is>
          <t>red_wine</t>
        </is>
      </c>
      <c r="J30" s="24">
        <f>IF($A30="","",IF($C30&lt;&gt;"khp_titration_mL","",IF(COUNTIFS('1_原始數據'!$A$2:$A$1000,$A30,'1_原始數據'!$B$2:$B$1000,$B30,'1_原始數據'!$D$2:$D$1000,$D30,'1_原始數據'!$C$2:$C$1000,"khp_mass_g")=0,"",SUMIFS('1_原始數據'!$E$2:$E$1000,'1_原始數據'!$A$2:$A$1000,$A30,'1_原始數據'!$B$2:$B$1000,$B30,'1_原始數據'!$D$2:$D$1000,$D30,'1_原始數據'!$C$2:$C$1000,"khp_mass_g")/('2_NaOH標定'!$C$5*$E30/1000))))</f>
        <v/>
      </c>
      <c r="K30" s="24">
        <f>IF($A30="","",IF($C30&lt;&gt;"manual_titration_mL","",IF(COUNTIFS('1_原始數據'!$A$2:$A$1000,$A30,'1_原始數據'!$C$2:$C$1000,"khp_titration_mL")=0,"",AVERAGEIFS('1_原始數據'!$J$2:$J$1000,'1_原始數據'!$A$2:$A$1000,$A30,'1_原始數據'!$C$2:$C$1000,"khp_titration_mL"))))</f>
        <v/>
      </c>
      <c r="L30" s="25">
        <f>IF($A30="","",IF($C30&lt;&gt;"manual_titration_mL","",IFERROR(INDEX('3_可滴定酸度'!$E$6:$E$13,MATCH($I30,'3_可滴定酸度'!$B$6:$B$13,0)),"")))</f>
        <v/>
      </c>
      <c r="M30" s="25">
        <f>IF($A30="","",IF($C30&lt;&gt;"manual_titration_mL","",IFERROR(INDEX('3_可滴定酸度'!$F$6:$F$13,MATCH($I30,'3_可滴定酸度'!$B$6:$B$13,0)),"")))</f>
        <v/>
      </c>
      <c r="N30" s="24">
        <f>IF($A30="","",IF(OR(K30="",L30="",M30=""),"",K30*E30*L30/(M30*1000)*100))</f>
        <v/>
      </c>
      <c r="O30" s="24">
        <f>IF($A30="","",IF(N30="","",IF(COUNTIFS('1_原始數據'!$A$2:$A$1000,$A30,'1_原始數據'!$B$2:$B$1000,$B30,'1_原始數據'!$D$2:$D$1000,$D30,'1_原始數據'!$I$2:$I$1000,$I30,'1_原始數據'!$C$2:$C$1000,"pasco_pct_acid")=0,"",SUMIFS('1_原始數據'!$E$2:$E$1000,'1_原始數據'!$A$2:$A$1000,$A30,'1_原始數據'!$B$2:$B$1000,$B30,'1_原始數據'!$D$2:$D$1000,$D30,'1_原始數據'!$I$2:$I$1000,$I30,'1_原始數據'!$C$2:$C$1000,"pasco_pct_acid"))))</f>
        <v/>
      </c>
      <c r="P30" s="26">
        <f>IF($A30="","",IF(OR(N30="",O30=""),"",O30-N30))</f>
        <v/>
      </c>
      <c r="Q30" s="24">
        <f>IF($A30="","",IF(P30="","",(O30+N30)/2))</f>
        <v/>
      </c>
      <c r="R30" s="27">
        <f>IF($A30="","",IF(P30="","",COUNT($P$2:P30)))</f>
        <v/>
      </c>
    </row>
    <row r="31">
      <c r="A31" s="23" t="n">
        <v>5</v>
      </c>
      <c r="B31" s="23" t="inlineStr">
        <is>
          <t>G5_S1</t>
        </is>
      </c>
      <c r="C31" s="23" t="inlineStr">
        <is>
          <t>pasco_pct_acid</t>
        </is>
      </c>
      <c r="D31" s="23" t="n">
        <v>1</v>
      </c>
      <c r="E31" s="23" t="n">
        <v>0.738</v>
      </c>
      <c r="F31" s="23" t="inlineStr">
        <is>
          <t>%</t>
        </is>
      </c>
      <c r="G31" s="23" t="n">
        <v>25</v>
      </c>
      <c r="H31" s="23" t="n"/>
      <c r="I31" s="23" t="inlineStr">
        <is>
          <t>red_wine</t>
        </is>
      </c>
      <c r="J31" s="24">
        <f>IF($A31="","",IF($C31&lt;&gt;"khp_titration_mL","",IF(COUNTIFS('1_原始數據'!$A$2:$A$1000,$A31,'1_原始數據'!$B$2:$B$1000,$B31,'1_原始數據'!$D$2:$D$1000,$D31,'1_原始數據'!$C$2:$C$1000,"khp_mass_g")=0,"",SUMIFS('1_原始數據'!$E$2:$E$1000,'1_原始數據'!$A$2:$A$1000,$A31,'1_原始數據'!$B$2:$B$1000,$B31,'1_原始數據'!$D$2:$D$1000,$D31,'1_原始數據'!$C$2:$C$1000,"khp_mass_g")/('2_NaOH標定'!$C$5*$E31/1000))))</f>
        <v/>
      </c>
      <c r="K31" s="24">
        <f>IF($A31="","",IF($C31&lt;&gt;"manual_titration_mL","",IF(COUNTIFS('1_原始數據'!$A$2:$A$1000,$A31,'1_原始數據'!$C$2:$C$1000,"khp_titration_mL")=0,"",AVERAGEIFS('1_原始數據'!$J$2:$J$1000,'1_原始數據'!$A$2:$A$1000,$A31,'1_原始數據'!$C$2:$C$1000,"khp_titration_mL"))))</f>
        <v/>
      </c>
      <c r="L31" s="25">
        <f>IF($A31="","",IF($C31&lt;&gt;"manual_titration_mL","",IFERROR(INDEX('3_可滴定酸度'!$E$6:$E$13,MATCH($I31,'3_可滴定酸度'!$B$6:$B$13,0)),"")))</f>
        <v/>
      </c>
      <c r="M31" s="25">
        <f>IF($A31="","",IF($C31&lt;&gt;"manual_titration_mL","",IFERROR(INDEX('3_可滴定酸度'!$F$6:$F$13,MATCH($I31,'3_可滴定酸度'!$B$6:$B$13,0)),"")))</f>
        <v/>
      </c>
      <c r="N31" s="24">
        <f>IF($A31="","",IF(OR(K31="",L31="",M31=""),"",K31*E31*L31/(M31*1000)*100))</f>
        <v/>
      </c>
      <c r="O31" s="24">
        <f>IF($A31="","",IF(N31="","",IF(COUNTIFS('1_原始數據'!$A$2:$A$1000,$A31,'1_原始數據'!$B$2:$B$1000,$B31,'1_原始數據'!$D$2:$D$1000,$D31,'1_原始數據'!$I$2:$I$1000,$I31,'1_原始數據'!$C$2:$C$1000,"pasco_pct_acid")=0,"",SUMIFS('1_原始數據'!$E$2:$E$1000,'1_原始數據'!$A$2:$A$1000,$A31,'1_原始數據'!$B$2:$B$1000,$B31,'1_原始數據'!$D$2:$D$1000,$D31,'1_原始數據'!$I$2:$I$1000,$I31,'1_原始數據'!$C$2:$C$1000,"pasco_pct_acid"))))</f>
        <v/>
      </c>
      <c r="P31" s="26">
        <f>IF($A31="","",IF(OR(N31="",O31=""),"",O31-N31))</f>
        <v/>
      </c>
      <c r="Q31" s="24">
        <f>IF($A31="","",IF(P31="","",(O31+N31)/2))</f>
        <v/>
      </c>
      <c r="R31" s="27">
        <f>IF($A31="","",IF(P31="","",COUNT($P$2:P31)))</f>
        <v/>
      </c>
    </row>
    <row r="32">
      <c r="A32" s="23" t="n">
        <v>1</v>
      </c>
      <c r="B32" s="23" t="inlineStr">
        <is>
          <t>G1_S2</t>
        </is>
      </c>
      <c r="C32" s="23" t="inlineStr">
        <is>
          <t>manual_titration_mL</t>
        </is>
      </c>
      <c r="D32" s="23" t="n">
        <v>2</v>
      </c>
      <c r="E32" s="23" t="n">
        <v>5.45</v>
      </c>
      <c r="F32" s="23" t="inlineStr">
        <is>
          <t>mL</t>
        </is>
      </c>
      <c r="G32" s="23" t="n">
        <v>25</v>
      </c>
      <c r="H32" s="23" t="n"/>
      <c r="I32" s="23" t="inlineStr">
        <is>
          <t>red_wine</t>
        </is>
      </c>
      <c r="J32" s="24">
        <f>IF($A32="","",IF($C32&lt;&gt;"khp_titration_mL","",IF(COUNTIFS('1_原始數據'!$A$2:$A$1000,$A32,'1_原始數據'!$B$2:$B$1000,$B32,'1_原始數據'!$D$2:$D$1000,$D32,'1_原始數據'!$C$2:$C$1000,"khp_mass_g")=0,"",SUMIFS('1_原始數據'!$E$2:$E$1000,'1_原始數據'!$A$2:$A$1000,$A32,'1_原始數據'!$B$2:$B$1000,$B32,'1_原始數據'!$D$2:$D$1000,$D32,'1_原始數據'!$C$2:$C$1000,"khp_mass_g")/('2_NaOH標定'!$C$5*$E32/1000))))</f>
        <v/>
      </c>
      <c r="K32" s="24">
        <f>IF($A32="","",IF($C32&lt;&gt;"manual_titration_mL","",IF(COUNTIFS('1_原始數據'!$A$2:$A$1000,$A32,'1_原始數據'!$C$2:$C$1000,"khp_titration_mL")=0,"",AVERAGEIFS('1_原始數據'!$J$2:$J$1000,'1_原始數據'!$A$2:$A$1000,$A32,'1_原始數據'!$C$2:$C$1000,"khp_titration_mL"))))</f>
        <v/>
      </c>
      <c r="L32" s="25">
        <f>IF($A32="","",IF($C32&lt;&gt;"manual_titration_mL","",IFERROR(INDEX('3_可滴定酸度'!$E$6:$E$13,MATCH($I32,'3_可滴定酸度'!$B$6:$B$13,0)),"")))</f>
        <v/>
      </c>
      <c r="M32" s="25">
        <f>IF($A32="","",IF($C32&lt;&gt;"manual_titration_mL","",IFERROR(INDEX('3_可滴定酸度'!$F$6:$F$13,MATCH($I32,'3_可滴定酸度'!$B$6:$B$13,0)),"")))</f>
        <v/>
      </c>
      <c r="N32" s="24">
        <f>IF($A32="","",IF(OR(K32="",L32="",M32=""),"",K32*E32*L32/(M32*1000)*100))</f>
        <v/>
      </c>
      <c r="O32" s="24">
        <f>IF($A32="","",IF(N32="","",IF(COUNTIFS('1_原始數據'!$A$2:$A$1000,$A32,'1_原始數據'!$B$2:$B$1000,$B32,'1_原始數據'!$D$2:$D$1000,$D32,'1_原始數據'!$I$2:$I$1000,$I32,'1_原始數據'!$C$2:$C$1000,"pasco_pct_acid")=0,"",SUMIFS('1_原始數據'!$E$2:$E$1000,'1_原始數據'!$A$2:$A$1000,$A32,'1_原始數據'!$B$2:$B$1000,$B32,'1_原始數據'!$D$2:$D$1000,$D32,'1_原始數據'!$I$2:$I$1000,$I32,'1_原始數據'!$C$2:$C$1000,"pasco_pct_acid"))))</f>
        <v/>
      </c>
      <c r="P32" s="26">
        <f>IF($A32="","",IF(OR(N32="",O32=""),"",O32-N32))</f>
        <v/>
      </c>
      <c r="Q32" s="24">
        <f>IF($A32="","",IF(P32="","",(O32+N32)/2))</f>
        <v/>
      </c>
      <c r="R32" s="27">
        <f>IF($A32="","",IF(P32="","",COUNT($P$2:P32)))</f>
        <v/>
      </c>
    </row>
    <row r="33">
      <c r="A33" s="23" t="n">
        <v>1</v>
      </c>
      <c r="B33" s="23" t="inlineStr">
        <is>
          <t>G1_S2</t>
        </is>
      </c>
      <c r="C33" s="23" t="inlineStr">
        <is>
          <t>pasco_pct_acid</t>
        </is>
      </c>
      <c r="D33" s="23" t="n">
        <v>2</v>
      </c>
      <c r="E33" s="23" t="n">
        <v>0.794</v>
      </c>
      <c r="F33" s="23" t="inlineStr">
        <is>
          <t>%</t>
        </is>
      </c>
      <c r="G33" s="23" t="n">
        <v>25</v>
      </c>
      <c r="H33" s="23" t="n"/>
      <c r="I33" s="23" t="inlineStr">
        <is>
          <t>red_wine</t>
        </is>
      </c>
      <c r="J33" s="24">
        <f>IF($A33="","",IF($C33&lt;&gt;"khp_titration_mL","",IF(COUNTIFS('1_原始數據'!$A$2:$A$1000,$A33,'1_原始數據'!$B$2:$B$1000,$B33,'1_原始數據'!$D$2:$D$1000,$D33,'1_原始數據'!$C$2:$C$1000,"khp_mass_g")=0,"",SUMIFS('1_原始數據'!$E$2:$E$1000,'1_原始數據'!$A$2:$A$1000,$A33,'1_原始數據'!$B$2:$B$1000,$B33,'1_原始數據'!$D$2:$D$1000,$D33,'1_原始數據'!$C$2:$C$1000,"khp_mass_g")/('2_NaOH標定'!$C$5*$E33/1000))))</f>
        <v/>
      </c>
      <c r="K33" s="24">
        <f>IF($A33="","",IF($C33&lt;&gt;"manual_titration_mL","",IF(COUNTIFS('1_原始數據'!$A$2:$A$1000,$A33,'1_原始數據'!$C$2:$C$1000,"khp_titration_mL")=0,"",AVERAGEIFS('1_原始數據'!$J$2:$J$1000,'1_原始數據'!$A$2:$A$1000,$A33,'1_原始數據'!$C$2:$C$1000,"khp_titration_mL"))))</f>
        <v/>
      </c>
      <c r="L33" s="25">
        <f>IF($A33="","",IF($C33&lt;&gt;"manual_titration_mL","",IFERROR(INDEX('3_可滴定酸度'!$E$6:$E$13,MATCH($I33,'3_可滴定酸度'!$B$6:$B$13,0)),"")))</f>
        <v/>
      </c>
      <c r="M33" s="25">
        <f>IF($A33="","",IF($C33&lt;&gt;"manual_titration_mL","",IFERROR(INDEX('3_可滴定酸度'!$F$6:$F$13,MATCH($I33,'3_可滴定酸度'!$B$6:$B$13,0)),"")))</f>
        <v/>
      </c>
      <c r="N33" s="24">
        <f>IF($A33="","",IF(OR(K33="",L33="",M33=""),"",K33*E33*L33/(M33*1000)*100))</f>
        <v/>
      </c>
      <c r="O33" s="24">
        <f>IF($A33="","",IF(N33="","",IF(COUNTIFS('1_原始數據'!$A$2:$A$1000,$A33,'1_原始數據'!$B$2:$B$1000,$B33,'1_原始數據'!$D$2:$D$1000,$D33,'1_原始數據'!$I$2:$I$1000,$I33,'1_原始數據'!$C$2:$C$1000,"pasco_pct_acid")=0,"",SUMIFS('1_原始數據'!$E$2:$E$1000,'1_原始數據'!$A$2:$A$1000,$A33,'1_原始數據'!$B$2:$B$1000,$B33,'1_原始數據'!$D$2:$D$1000,$D33,'1_原始數據'!$I$2:$I$1000,$I33,'1_原始數據'!$C$2:$C$1000,"pasco_pct_acid"))))</f>
        <v/>
      </c>
      <c r="P33" s="26">
        <f>IF($A33="","",IF(OR(N33="",O33=""),"",O33-N33))</f>
        <v/>
      </c>
      <c r="Q33" s="24">
        <f>IF($A33="","",IF(P33="","",(O33+N33)/2))</f>
        <v/>
      </c>
      <c r="R33" s="27">
        <f>IF($A33="","",IF(P33="","",COUNT($P$2:P33)))</f>
        <v/>
      </c>
    </row>
    <row r="34">
      <c r="A34" s="23" t="n">
        <v>2</v>
      </c>
      <c r="B34" s="23" t="inlineStr">
        <is>
          <t>G2_S3</t>
        </is>
      </c>
      <c r="C34" s="23" t="inlineStr">
        <is>
          <t>manual_titration_mL</t>
        </is>
      </c>
      <c r="D34" s="23" t="n">
        <v>3</v>
      </c>
      <c r="E34" s="23" t="n">
        <v>3.6</v>
      </c>
      <c r="F34" s="23" t="inlineStr">
        <is>
          <t>mL</t>
        </is>
      </c>
      <c r="G34" s="23" t="n">
        <v>25</v>
      </c>
      <c r="H34" s="23" t="n"/>
      <c r="I34" s="23" t="inlineStr">
        <is>
          <t>red_wine</t>
        </is>
      </c>
      <c r="J34" s="24">
        <f>IF($A34="","",IF($C34&lt;&gt;"khp_titration_mL","",IF(COUNTIFS('1_原始數據'!$A$2:$A$1000,$A34,'1_原始數據'!$B$2:$B$1000,$B34,'1_原始數據'!$D$2:$D$1000,$D34,'1_原始數據'!$C$2:$C$1000,"khp_mass_g")=0,"",SUMIFS('1_原始數據'!$E$2:$E$1000,'1_原始數據'!$A$2:$A$1000,$A34,'1_原始數據'!$B$2:$B$1000,$B34,'1_原始數據'!$D$2:$D$1000,$D34,'1_原始數據'!$C$2:$C$1000,"khp_mass_g")/('2_NaOH標定'!$C$5*$E34/1000))))</f>
        <v/>
      </c>
      <c r="K34" s="24">
        <f>IF($A34="","",IF($C34&lt;&gt;"manual_titration_mL","",IF(COUNTIFS('1_原始數據'!$A$2:$A$1000,$A34,'1_原始數據'!$C$2:$C$1000,"khp_titration_mL")=0,"",AVERAGEIFS('1_原始數據'!$J$2:$J$1000,'1_原始數據'!$A$2:$A$1000,$A34,'1_原始數據'!$C$2:$C$1000,"khp_titration_mL"))))</f>
        <v/>
      </c>
      <c r="L34" s="25">
        <f>IF($A34="","",IF($C34&lt;&gt;"manual_titration_mL","",IFERROR(INDEX('3_可滴定酸度'!$E$6:$E$13,MATCH($I34,'3_可滴定酸度'!$B$6:$B$13,0)),"")))</f>
        <v/>
      </c>
      <c r="M34" s="25">
        <f>IF($A34="","",IF($C34&lt;&gt;"manual_titration_mL","",IFERROR(INDEX('3_可滴定酸度'!$F$6:$F$13,MATCH($I34,'3_可滴定酸度'!$B$6:$B$13,0)),"")))</f>
        <v/>
      </c>
      <c r="N34" s="24">
        <f>IF($A34="","",IF(OR(K34="",L34="",M34=""),"",K34*E34*L34/(M34*1000)*100))</f>
        <v/>
      </c>
      <c r="O34" s="24">
        <f>IF($A34="","",IF(N34="","",IF(COUNTIFS('1_原始數據'!$A$2:$A$1000,$A34,'1_原始數據'!$B$2:$B$1000,$B34,'1_原始數據'!$D$2:$D$1000,$D34,'1_原始數據'!$I$2:$I$1000,$I34,'1_原始數據'!$C$2:$C$1000,"pasco_pct_acid")=0,"",SUMIFS('1_原始數據'!$E$2:$E$1000,'1_原始數據'!$A$2:$A$1000,$A34,'1_原始數據'!$B$2:$B$1000,$B34,'1_原始數據'!$D$2:$D$1000,$D34,'1_原始數據'!$I$2:$I$1000,$I34,'1_原始數據'!$C$2:$C$1000,"pasco_pct_acid"))))</f>
        <v/>
      </c>
      <c r="P34" s="26">
        <f>IF($A34="","",IF(OR(N34="",O34=""),"",O34-N34))</f>
        <v/>
      </c>
      <c r="Q34" s="24">
        <f>IF($A34="","",IF(P34="","",(O34+N34)/2))</f>
        <v/>
      </c>
      <c r="R34" s="27">
        <f>IF($A34="","",IF(P34="","",COUNT($P$2:P34)))</f>
        <v/>
      </c>
    </row>
    <row r="35">
      <c r="A35" s="23" t="n">
        <v>2</v>
      </c>
      <c r="B35" s="23" t="inlineStr">
        <is>
          <t>G2_S3</t>
        </is>
      </c>
      <c r="C35" s="23" t="inlineStr">
        <is>
          <t>pasco_pct_acid</t>
        </is>
      </c>
      <c r="D35" s="23" t="n">
        <v>3</v>
      </c>
      <c r="E35" s="23" t="n">
        <v>0.454</v>
      </c>
      <c r="F35" s="23" t="inlineStr">
        <is>
          <t>%</t>
        </is>
      </c>
      <c r="G35" s="23" t="n">
        <v>25</v>
      </c>
      <c r="H35" s="23" t="n"/>
      <c r="I35" s="23" t="inlineStr">
        <is>
          <t>red_wine</t>
        </is>
      </c>
      <c r="J35" s="24">
        <f>IF($A35="","",IF($C35&lt;&gt;"khp_titration_mL","",IF(COUNTIFS('1_原始數據'!$A$2:$A$1000,$A35,'1_原始數據'!$B$2:$B$1000,$B35,'1_原始數據'!$D$2:$D$1000,$D35,'1_原始數據'!$C$2:$C$1000,"khp_mass_g")=0,"",SUMIFS('1_原始數據'!$E$2:$E$1000,'1_原始數據'!$A$2:$A$1000,$A35,'1_原始數據'!$B$2:$B$1000,$B35,'1_原始數據'!$D$2:$D$1000,$D35,'1_原始數據'!$C$2:$C$1000,"khp_mass_g")/('2_NaOH標定'!$C$5*$E35/1000))))</f>
        <v/>
      </c>
      <c r="K35" s="24">
        <f>IF($A35="","",IF($C35&lt;&gt;"manual_titration_mL","",IF(COUNTIFS('1_原始數據'!$A$2:$A$1000,$A35,'1_原始數據'!$C$2:$C$1000,"khp_titration_mL")=0,"",AVERAGEIFS('1_原始數據'!$J$2:$J$1000,'1_原始數據'!$A$2:$A$1000,$A35,'1_原始數據'!$C$2:$C$1000,"khp_titration_mL"))))</f>
        <v/>
      </c>
      <c r="L35" s="25">
        <f>IF($A35="","",IF($C35&lt;&gt;"manual_titration_mL","",IFERROR(INDEX('3_可滴定酸度'!$E$6:$E$13,MATCH($I35,'3_可滴定酸度'!$B$6:$B$13,0)),"")))</f>
        <v/>
      </c>
      <c r="M35" s="25">
        <f>IF($A35="","",IF($C35&lt;&gt;"manual_titration_mL","",IFERROR(INDEX('3_可滴定酸度'!$F$6:$F$13,MATCH($I35,'3_可滴定酸度'!$B$6:$B$13,0)),"")))</f>
        <v/>
      </c>
      <c r="N35" s="24">
        <f>IF($A35="","",IF(OR(K35="",L35="",M35=""),"",K35*E35*L35/(M35*1000)*100))</f>
        <v/>
      </c>
      <c r="O35" s="24">
        <f>IF($A35="","",IF(N35="","",IF(COUNTIFS('1_原始數據'!$A$2:$A$1000,$A35,'1_原始數據'!$B$2:$B$1000,$B35,'1_原始數據'!$D$2:$D$1000,$D35,'1_原始數據'!$I$2:$I$1000,$I35,'1_原始數據'!$C$2:$C$1000,"pasco_pct_acid")=0,"",SUMIFS('1_原始數據'!$E$2:$E$1000,'1_原始數據'!$A$2:$A$1000,$A35,'1_原始數據'!$B$2:$B$1000,$B35,'1_原始數據'!$D$2:$D$1000,$D35,'1_原始數據'!$I$2:$I$1000,$I35,'1_原始數據'!$C$2:$C$1000,"pasco_pct_acid"))))</f>
        <v/>
      </c>
      <c r="P35" s="26">
        <f>IF($A35="","",IF(OR(N35="",O35=""),"",O35-N35))</f>
        <v/>
      </c>
      <c r="Q35" s="24">
        <f>IF($A35="","",IF(P35="","",(O35+N35)/2))</f>
        <v/>
      </c>
      <c r="R35" s="27">
        <f>IF($A35="","",IF(P35="","",COUNT($P$2:P35)))</f>
        <v/>
      </c>
    </row>
    <row r="36">
      <c r="J36" s="24">
        <f>IF($A36="","",IF($C36&lt;&gt;"khp_titration_mL","",IF(COUNTIFS('1_原始數據'!$A$2:$A$1000,$A36,'1_原始數據'!$B$2:$B$1000,$B36,'1_原始數據'!$D$2:$D$1000,$D36,'1_原始數據'!$C$2:$C$1000,"khp_mass_g")=0,"",SUMIFS('1_原始數據'!$E$2:$E$1000,'1_原始數據'!$A$2:$A$1000,$A36,'1_原始數據'!$B$2:$B$1000,$B36,'1_原始數據'!$D$2:$D$1000,$D36,'1_原始數據'!$C$2:$C$1000,"khp_mass_g")/('2_NaOH標定'!$C$5*$E36/1000))))</f>
        <v/>
      </c>
      <c r="K36" s="24">
        <f>IF($A36="","",IF($C36&lt;&gt;"manual_titration_mL","",IF(COUNTIFS('1_原始數據'!$A$2:$A$1000,$A36,'1_原始數據'!$C$2:$C$1000,"khp_titration_mL")=0,"",AVERAGEIFS('1_原始數據'!$J$2:$J$1000,'1_原始數據'!$A$2:$A$1000,$A36,'1_原始數據'!$C$2:$C$1000,"khp_titration_mL"))))</f>
        <v/>
      </c>
      <c r="L36" s="25">
        <f>IF($A36="","",IF($C36&lt;&gt;"manual_titration_mL","",IFERROR(INDEX('3_可滴定酸度'!$E$6:$E$13,MATCH($I36,'3_可滴定酸度'!$B$6:$B$13,0)),"")))</f>
        <v/>
      </c>
      <c r="M36" s="25">
        <f>IF($A36="","",IF($C36&lt;&gt;"manual_titration_mL","",IFERROR(INDEX('3_可滴定酸度'!$F$6:$F$13,MATCH($I36,'3_可滴定酸度'!$B$6:$B$13,0)),"")))</f>
        <v/>
      </c>
      <c r="N36" s="24">
        <f>IF($A36="","",IF(OR(K36="",L36="",M36=""),"",K36*E36*L36/(M36*1000)*100))</f>
        <v/>
      </c>
      <c r="O36" s="24">
        <f>IF($A36="","",IF(N36="","",IF(COUNTIFS('1_原始數據'!$A$2:$A$1000,$A36,'1_原始數據'!$B$2:$B$1000,$B36,'1_原始數據'!$D$2:$D$1000,$D36,'1_原始數據'!$I$2:$I$1000,$I36,'1_原始數據'!$C$2:$C$1000,"pasco_pct_acid")=0,"",SUMIFS('1_原始數據'!$E$2:$E$1000,'1_原始數據'!$A$2:$A$1000,$A36,'1_原始數據'!$B$2:$B$1000,$B36,'1_原始數據'!$D$2:$D$1000,$D36,'1_原始數據'!$I$2:$I$1000,$I36,'1_原始數據'!$C$2:$C$1000,"pasco_pct_acid"))))</f>
        <v/>
      </c>
      <c r="P36" s="26">
        <f>IF($A36="","",IF(OR(N36="",O36=""),"",O36-N36))</f>
        <v/>
      </c>
      <c r="Q36" s="24">
        <f>IF($A36="","",IF(P36="","",(O36+N36)/2))</f>
        <v/>
      </c>
      <c r="R36" s="27">
        <f>IF($A36="","",IF(P36="","",COUNT($P$2:P36)))</f>
        <v/>
      </c>
    </row>
    <row r="37">
      <c r="J37" s="24">
        <f>IF($A37="","",IF($C37&lt;&gt;"khp_titration_mL","",IF(COUNTIFS('1_原始數據'!$A$2:$A$1000,$A37,'1_原始數據'!$B$2:$B$1000,$B37,'1_原始數據'!$D$2:$D$1000,$D37,'1_原始數據'!$C$2:$C$1000,"khp_mass_g")=0,"",SUMIFS('1_原始數據'!$E$2:$E$1000,'1_原始數據'!$A$2:$A$1000,$A37,'1_原始數據'!$B$2:$B$1000,$B37,'1_原始數據'!$D$2:$D$1000,$D37,'1_原始數據'!$C$2:$C$1000,"khp_mass_g")/('2_NaOH標定'!$C$5*$E37/1000))))</f>
        <v/>
      </c>
      <c r="K37" s="24">
        <f>IF($A37="","",IF($C37&lt;&gt;"manual_titration_mL","",IF(COUNTIFS('1_原始數據'!$A$2:$A$1000,$A37,'1_原始數據'!$C$2:$C$1000,"khp_titration_mL")=0,"",AVERAGEIFS('1_原始數據'!$J$2:$J$1000,'1_原始數據'!$A$2:$A$1000,$A37,'1_原始數據'!$C$2:$C$1000,"khp_titration_mL"))))</f>
        <v/>
      </c>
      <c r="L37" s="25">
        <f>IF($A37="","",IF($C37&lt;&gt;"manual_titration_mL","",IFERROR(INDEX('3_可滴定酸度'!$E$6:$E$13,MATCH($I37,'3_可滴定酸度'!$B$6:$B$13,0)),"")))</f>
        <v/>
      </c>
      <c r="M37" s="25">
        <f>IF($A37="","",IF($C37&lt;&gt;"manual_titration_mL","",IFERROR(INDEX('3_可滴定酸度'!$F$6:$F$13,MATCH($I37,'3_可滴定酸度'!$B$6:$B$13,0)),"")))</f>
        <v/>
      </c>
      <c r="N37" s="24">
        <f>IF($A37="","",IF(OR(K37="",L37="",M37=""),"",K37*E37*L37/(M37*1000)*100))</f>
        <v/>
      </c>
      <c r="O37" s="24">
        <f>IF($A37="","",IF(N37="","",IF(COUNTIFS('1_原始數據'!$A$2:$A$1000,$A37,'1_原始數據'!$B$2:$B$1000,$B37,'1_原始數據'!$D$2:$D$1000,$D37,'1_原始數據'!$I$2:$I$1000,$I37,'1_原始數據'!$C$2:$C$1000,"pasco_pct_acid")=0,"",SUMIFS('1_原始數據'!$E$2:$E$1000,'1_原始數據'!$A$2:$A$1000,$A37,'1_原始數據'!$B$2:$B$1000,$B37,'1_原始數據'!$D$2:$D$1000,$D37,'1_原始數據'!$I$2:$I$1000,$I37,'1_原始數據'!$C$2:$C$1000,"pasco_pct_acid"))))</f>
        <v/>
      </c>
      <c r="P37" s="26">
        <f>IF($A37="","",IF(OR(N37="",O37=""),"",O37-N37))</f>
        <v/>
      </c>
      <c r="Q37" s="24">
        <f>IF($A37="","",IF(P37="","",(O37+N37)/2))</f>
        <v/>
      </c>
      <c r="R37" s="27">
        <f>IF($A37="","",IF(P37="","",COUNT($P$2:P37)))</f>
        <v/>
      </c>
    </row>
    <row r="38">
      <c r="J38" s="24">
        <f>IF($A38="","",IF($C38&lt;&gt;"khp_titration_mL","",IF(COUNTIFS('1_原始數據'!$A$2:$A$1000,$A38,'1_原始數據'!$B$2:$B$1000,$B38,'1_原始數據'!$D$2:$D$1000,$D38,'1_原始數據'!$C$2:$C$1000,"khp_mass_g")=0,"",SUMIFS('1_原始數據'!$E$2:$E$1000,'1_原始數據'!$A$2:$A$1000,$A38,'1_原始數據'!$B$2:$B$1000,$B38,'1_原始數據'!$D$2:$D$1000,$D38,'1_原始數據'!$C$2:$C$1000,"khp_mass_g")/('2_NaOH標定'!$C$5*$E38/1000))))</f>
        <v/>
      </c>
      <c r="K38" s="24">
        <f>IF($A38="","",IF($C38&lt;&gt;"manual_titration_mL","",IF(COUNTIFS('1_原始數據'!$A$2:$A$1000,$A38,'1_原始數據'!$C$2:$C$1000,"khp_titration_mL")=0,"",AVERAGEIFS('1_原始數據'!$J$2:$J$1000,'1_原始數據'!$A$2:$A$1000,$A38,'1_原始數據'!$C$2:$C$1000,"khp_titration_mL"))))</f>
        <v/>
      </c>
      <c r="L38" s="25">
        <f>IF($A38="","",IF($C38&lt;&gt;"manual_titration_mL","",IFERROR(INDEX('3_可滴定酸度'!$E$6:$E$13,MATCH($I38,'3_可滴定酸度'!$B$6:$B$13,0)),"")))</f>
        <v/>
      </c>
      <c r="M38" s="25">
        <f>IF($A38="","",IF($C38&lt;&gt;"manual_titration_mL","",IFERROR(INDEX('3_可滴定酸度'!$F$6:$F$13,MATCH($I38,'3_可滴定酸度'!$B$6:$B$13,0)),"")))</f>
        <v/>
      </c>
      <c r="N38" s="24">
        <f>IF($A38="","",IF(OR(K38="",L38="",M38=""),"",K38*E38*L38/(M38*1000)*100))</f>
        <v/>
      </c>
      <c r="O38" s="24">
        <f>IF($A38="","",IF(N38="","",IF(COUNTIFS('1_原始數據'!$A$2:$A$1000,$A38,'1_原始數據'!$B$2:$B$1000,$B38,'1_原始數據'!$D$2:$D$1000,$D38,'1_原始數據'!$I$2:$I$1000,$I38,'1_原始數據'!$C$2:$C$1000,"pasco_pct_acid")=0,"",SUMIFS('1_原始數據'!$E$2:$E$1000,'1_原始數據'!$A$2:$A$1000,$A38,'1_原始數據'!$B$2:$B$1000,$B38,'1_原始數據'!$D$2:$D$1000,$D38,'1_原始數據'!$I$2:$I$1000,$I38,'1_原始數據'!$C$2:$C$1000,"pasco_pct_acid"))))</f>
        <v/>
      </c>
      <c r="P38" s="26">
        <f>IF($A38="","",IF(OR(N38="",O38=""),"",O38-N38))</f>
        <v/>
      </c>
      <c r="Q38" s="24">
        <f>IF($A38="","",IF(P38="","",(O38+N38)/2))</f>
        <v/>
      </c>
      <c r="R38" s="27">
        <f>IF($A38="","",IF(P38="","",COUNT($P$2:P38)))</f>
        <v/>
      </c>
    </row>
    <row r="39">
      <c r="J39" s="24">
        <f>IF($A39="","",IF($C39&lt;&gt;"khp_titration_mL","",IF(COUNTIFS('1_原始數據'!$A$2:$A$1000,$A39,'1_原始數據'!$B$2:$B$1000,$B39,'1_原始數據'!$D$2:$D$1000,$D39,'1_原始數據'!$C$2:$C$1000,"khp_mass_g")=0,"",SUMIFS('1_原始數據'!$E$2:$E$1000,'1_原始數據'!$A$2:$A$1000,$A39,'1_原始數據'!$B$2:$B$1000,$B39,'1_原始數據'!$D$2:$D$1000,$D39,'1_原始數據'!$C$2:$C$1000,"khp_mass_g")/('2_NaOH標定'!$C$5*$E39/1000))))</f>
        <v/>
      </c>
      <c r="K39" s="24">
        <f>IF($A39="","",IF($C39&lt;&gt;"manual_titration_mL","",IF(COUNTIFS('1_原始數據'!$A$2:$A$1000,$A39,'1_原始數據'!$C$2:$C$1000,"khp_titration_mL")=0,"",AVERAGEIFS('1_原始數據'!$J$2:$J$1000,'1_原始數據'!$A$2:$A$1000,$A39,'1_原始數據'!$C$2:$C$1000,"khp_titration_mL"))))</f>
        <v/>
      </c>
      <c r="L39" s="25">
        <f>IF($A39="","",IF($C39&lt;&gt;"manual_titration_mL","",IFERROR(INDEX('3_可滴定酸度'!$E$6:$E$13,MATCH($I39,'3_可滴定酸度'!$B$6:$B$13,0)),"")))</f>
        <v/>
      </c>
      <c r="M39" s="25">
        <f>IF($A39="","",IF($C39&lt;&gt;"manual_titration_mL","",IFERROR(INDEX('3_可滴定酸度'!$F$6:$F$13,MATCH($I39,'3_可滴定酸度'!$B$6:$B$13,0)),"")))</f>
        <v/>
      </c>
      <c r="N39" s="24">
        <f>IF($A39="","",IF(OR(K39="",L39="",M39=""),"",K39*E39*L39/(M39*1000)*100))</f>
        <v/>
      </c>
      <c r="O39" s="24">
        <f>IF($A39="","",IF(N39="","",IF(COUNTIFS('1_原始數據'!$A$2:$A$1000,$A39,'1_原始數據'!$B$2:$B$1000,$B39,'1_原始數據'!$D$2:$D$1000,$D39,'1_原始數據'!$I$2:$I$1000,$I39,'1_原始數據'!$C$2:$C$1000,"pasco_pct_acid")=0,"",SUMIFS('1_原始數據'!$E$2:$E$1000,'1_原始數據'!$A$2:$A$1000,$A39,'1_原始數據'!$B$2:$B$1000,$B39,'1_原始數據'!$D$2:$D$1000,$D39,'1_原始數據'!$I$2:$I$1000,$I39,'1_原始數據'!$C$2:$C$1000,"pasco_pct_acid"))))</f>
        <v/>
      </c>
      <c r="P39" s="26">
        <f>IF($A39="","",IF(OR(N39="",O39=""),"",O39-N39))</f>
        <v/>
      </c>
      <c r="Q39" s="24">
        <f>IF($A39="","",IF(P39="","",(O39+N39)/2))</f>
        <v/>
      </c>
      <c r="R39" s="27">
        <f>IF($A39="","",IF(P39="","",COUNT($P$2:P39)))</f>
        <v/>
      </c>
    </row>
    <row r="40">
      <c r="J40" s="24">
        <f>IF($A40="","",IF($C40&lt;&gt;"khp_titration_mL","",IF(COUNTIFS('1_原始數據'!$A$2:$A$1000,$A40,'1_原始數據'!$B$2:$B$1000,$B40,'1_原始數據'!$D$2:$D$1000,$D40,'1_原始數據'!$C$2:$C$1000,"khp_mass_g")=0,"",SUMIFS('1_原始數據'!$E$2:$E$1000,'1_原始數據'!$A$2:$A$1000,$A40,'1_原始數據'!$B$2:$B$1000,$B40,'1_原始數據'!$D$2:$D$1000,$D40,'1_原始數據'!$C$2:$C$1000,"khp_mass_g")/('2_NaOH標定'!$C$5*$E40/1000))))</f>
        <v/>
      </c>
      <c r="K40" s="24">
        <f>IF($A40="","",IF($C40&lt;&gt;"manual_titration_mL","",IF(COUNTIFS('1_原始數據'!$A$2:$A$1000,$A40,'1_原始數據'!$C$2:$C$1000,"khp_titration_mL")=0,"",AVERAGEIFS('1_原始數據'!$J$2:$J$1000,'1_原始數據'!$A$2:$A$1000,$A40,'1_原始數據'!$C$2:$C$1000,"khp_titration_mL"))))</f>
        <v/>
      </c>
      <c r="L40" s="25">
        <f>IF($A40="","",IF($C40&lt;&gt;"manual_titration_mL","",IFERROR(INDEX('3_可滴定酸度'!$E$6:$E$13,MATCH($I40,'3_可滴定酸度'!$B$6:$B$13,0)),"")))</f>
        <v/>
      </c>
      <c r="M40" s="25">
        <f>IF($A40="","",IF($C40&lt;&gt;"manual_titration_mL","",IFERROR(INDEX('3_可滴定酸度'!$F$6:$F$13,MATCH($I40,'3_可滴定酸度'!$B$6:$B$13,0)),"")))</f>
        <v/>
      </c>
      <c r="N40" s="24">
        <f>IF($A40="","",IF(OR(K40="",L40="",M40=""),"",K40*E40*L40/(M40*1000)*100))</f>
        <v/>
      </c>
      <c r="O40" s="24">
        <f>IF($A40="","",IF(N40="","",IF(COUNTIFS('1_原始數據'!$A$2:$A$1000,$A40,'1_原始數據'!$B$2:$B$1000,$B40,'1_原始數據'!$D$2:$D$1000,$D40,'1_原始數據'!$I$2:$I$1000,$I40,'1_原始數據'!$C$2:$C$1000,"pasco_pct_acid")=0,"",SUMIFS('1_原始數據'!$E$2:$E$1000,'1_原始數據'!$A$2:$A$1000,$A40,'1_原始數據'!$B$2:$B$1000,$B40,'1_原始數據'!$D$2:$D$1000,$D40,'1_原始數據'!$I$2:$I$1000,$I40,'1_原始數據'!$C$2:$C$1000,"pasco_pct_acid"))))</f>
        <v/>
      </c>
      <c r="P40" s="26">
        <f>IF($A40="","",IF(OR(N40="",O40=""),"",O40-N40))</f>
        <v/>
      </c>
      <c r="Q40" s="24">
        <f>IF($A40="","",IF(P40="","",(O40+N40)/2))</f>
        <v/>
      </c>
      <c r="R40" s="27">
        <f>IF($A40="","",IF(P40="","",COUNT($P$2:P40)))</f>
        <v/>
      </c>
    </row>
    <row r="41">
      <c r="J41" s="24">
        <f>IF($A41="","",IF($C41&lt;&gt;"khp_titration_mL","",IF(COUNTIFS('1_原始數據'!$A$2:$A$1000,$A41,'1_原始數據'!$B$2:$B$1000,$B41,'1_原始數據'!$D$2:$D$1000,$D41,'1_原始數據'!$C$2:$C$1000,"khp_mass_g")=0,"",SUMIFS('1_原始數據'!$E$2:$E$1000,'1_原始數據'!$A$2:$A$1000,$A41,'1_原始數據'!$B$2:$B$1000,$B41,'1_原始數據'!$D$2:$D$1000,$D41,'1_原始數據'!$C$2:$C$1000,"khp_mass_g")/('2_NaOH標定'!$C$5*$E41/1000))))</f>
        <v/>
      </c>
      <c r="K41" s="24">
        <f>IF($A41="","",IF($C41&lt;&gt;"manual_titration_mL","",IF(COUNTIFS('1_原始數據'!$A$2:$A$1000,$A41,'1_原始數據'!$C$2:$C$1000,"khp_titration_mL")=0,"",AVERAGEIFS('1_原始數據'!$J$2:$J$1000,'1_原始數據'!$A$2:$A$1000,$A41,'1_原始數據'!$C$2:$C$1000,"khp_titration_mL"))))</f>
        <v/>
      </c>
      <c r="L41" s="25">
        <f>IF($A41="","",IF($C41&lt;&gt;"manual_titration_mL","",IFERROR(INDEX('3_可滴定酸度'!$E$6:$E$13,MATCH($I41,'3_可滴定酸度'!$B$6:$B$13,0)),"")))</f>
        <v/>
      </c>
      <c r="M41" s="25">
        <f>IF($A41="","",IF($C41&lt;&gt;"manual_titration_mL","",IFERROR(INDEX('3_可滴定酸度'!$F$6:$F$13,MATCH($I41,'3_可滴定酸度'!$B$6:$B$13,0)),"")))</f>
        <v/>
      </c>
      <c r="N41" s="24">
        <f>IF($A41="","",IF(OR(K41="",L41="",M41=""),"",K41*E41*L41/(M41*1000)*100))</f>
        <v/>
      </c>
      <c r="O41" s="24">
        <f>IF($A41="","",IF(N41="","",IF(COUNTIFS('1_原始數據'!$A$2:$A$1000,$A41,'1_原始數據'!$B$2:$B$1000,$B41,'1_原始數據'!$D$2:$D$1000,$D41,'1_原始數據'!$I$2:$I$1000,$I41,'1_原始數據'!$C$2:$C$1000,"pasco_pct_acid")=0,"",SUMIFS('1_原始數據'!$E$2:$E$1000,'1_原始數據'!$A$2:$A$1000,$A41,'1_原始數據'!$B$2:$B$1000,$B41,'1_原始數據'!$D$2:$D$1000,$D41,'1_原始數據'!$I$2:$I$1000,$I41,'1_原始數據'!$C$2:$C$1000,"pasco_pct_acid"))))</f>
        <v/>
      </c>
      <c r="P41" s="26">
        <f>IF($A41="","",IF(OR(N41="",O41=""),"",O41-N41))</f>
        <v/>
      </c>
      <c r="Q41" s="24">
        <f>IF($A41="","",IF(P41="","",(O41+N41)/2))</f>
        <v/>
      </c>
      <c r="R41" s="27">
        <f>IF($A41="","",IF(P41="","",COUNT($P$2:P41)))</f>
        <v/>
      </c>
    </row>
    <row r="42">
      <c r="J42" s="24">
        <f>IF($A42="","",IF($C42&lt;&gt;"khp_titration_mL","",IF(COUNTIFS('1_原始數據'!$A$2:$A$1000,$A42,'1_原始數據'!$B$2:$B$1000,$B42,'1_原始數據'!$D$2:$D$1000,$D42,'1_原始數據'!$C$2:$C$1000,"khp_mass_g")=0,"",SUMIFS('1_原始數據'!$E$2:$E$1000,'1_原始數據'!$A$2:$A$1000,$A42,'1_原始數據'!$B$2:$B$1000,$B42,'1_原始數據'!$D$2:$D$1000,$D42,'1_原始數據'!$C$2:$C$1000,"khp_mass_g")/('2_NaOH標定'!$C$5*$E42/1000))))</f>
        <v/>
      </c>
      <c r="K42" s="24">
        <f>IF($A42="","",IF($C42&lt;&gt;"manual_titration_mL","",IF(COUNTIFS('1_原始數據'!$A$2:$A$1000,$A42,'1_原始數據'!$C$2:$C$1000,"khp_titration_mL")=0,"",AVERAGEIFS('1_原始數據'!$J$2:$J$1000,'1_原始數據'!$A$2:$A$1000,$A42,'1_原始數據'!$C$2:$C$1000,"khp_titration_mL"))))</f>
        <v/>
      </c>
      <c r="L42" s="25">
        <f>IF($A42="","",IF($C42&lt;&gt;"manual_titration_mL","",IFERROR(INDEX('3_可滴定酸度'!$E$6:$E$13,MATCH($I42,'3_可滴定酸度'!$B$6:$B$13,0)),"")))</f>
        <v/>
      </c>
      <c r="M42" s="25">
        <f>IF($A42="","",IF($C42&lt;&gt;"manual_titration_mL","",IFERROR(INDEX('3_可滴定酸度'!$F$6:$F$13,MATCH($I42,'3_可滴定酸度'!$B$6:$B$13,0)),"")))</f>
        <v/>
      </c>
      <c r="N42" s="24">
        <f>IF($A42="","",IF(OR(K42="",L42="",M42=""),"",K42*E42*L42/(M42*1000)*100))</f>
        <v/>
      </c>
      <c r="O42" s="24">
        <f>IF($A42="","",IF(N42="","",IF(COUNTIFS('1_原始數據'!$A$2:$A$1000,$A42,'1_原始數據'!$B$2:$B$1000,$B42,'1_原始數據'!$D$2:$D$1000,$D42,'1_原始數據'!$I$2:$I$1000,$I42,'1_原始數據'!$C$2:$C$1000,"pasco_pct_acid")=0,"",SUMIFS('1_原始數據'!$E$2:$E$1000,'1_原始數據'!$A$2:$A$1000,$A42,'1_原始數據'!$B$2:$B$1000,$B42,'1_原始數據'!$D$2:$D$1000,$D42,'1_原始數據'!$I$2:$I$1000,$I42,'1_原始數據'!$C$2:$C$1000,"pasco_pct_acid"))))</f>
        <v/>
      </c>
      <c r="P42" s="26">
        <f>IF($A42="","",IF(OR(N42="",O42=""),"",O42-N42))</f>
        <v/>
      </c>
      <c r="Q42" s="24">
        <f>IF($A42="","",IF(P42="","",(O42+N42)/2))</f>
        <v/>
      </c>
      <c r="R42" s="27">
        <f>IF($A42="","",IF(P42="","",COUNT($P$2:P42)))</f>
        <v/>
      </c>
    </row>
    <row r="43">
      <c r="J43" s="24">
        <f>IF($A43="","",IF($C43&lt;&gt;"khp_titration_mL","",IF(COUNTIFS('1_原始數據'!$A$2:$A$1000,$A43,'1_原始數據'!$B$2:$B$1000,$B43,'1_原始數據'!$D$2:$D$1000,$D43,'1_原始數據'!$C$2:$C$1000,"khp_mass_g")=0,"",SUMIFS('1_原始數據'!$E$2:$E$1000,'1_原始數據'!$A$2:$A$1000,$A43,'1_原始數據'!$B$2:$B$1000,$B43,'1_原始數據'!$D$2:$D$1000,$D43,'1_原始數據'!$C$2:$C$1000,"khp_mass_g")/('2_NaOH標定'!$C$5*$E43/1000))))</f>
        <v/>
      </c>
      <c r="K43" s="24">
        <f>IF($A43="","",IF($C43&lt;&gt;"manual_titration_mL","",IF(COUNTIFS('1_原始數據'!$A$2:$A$1000,$A43,'1_原始數據'!$C$2:$C$1000,"khp_titration_mL")=0,"",AVERAGEIFS('1_原始數據'!$J$2:$J$1000,'1_原始數據'!$A$2:$A$1000,$A43,'1_原始數據'!$C$2:$C$1000,"khp_titration_mL"))))</f>
        <v/>
      </c>
      <c r="L43" s="25">
        <f>IF($A43="","",IF($C43&lt;&gt;"manual_titration_mL","",IFERROR(INDEX('3_可滴定酸度'!$E$6:$E$13,MATCH($I43,'3_可滴定酸度'!$B$6:$B$13,0)),"")))</f>
        <v/>
      </c>
      <c r="M43" s="25">
        <f>IF($A43="","",IF($C43&lt;&gt;"manual_titration_mL","",IFERROR(INDEX('3_可滴定酸度'!$F$6:$F$13,MATCH($I43,'3_可滴定酸度'!$B$6:$B$13,0)),"")))</f>
        <v/>
      </c>
      <c r="N43" s="24">
        <f>IF($A43="","",IF(OR(K43="",L43="",M43=""),"",K43*E43*L43/(M43*1000)*100))</f>
        <v/>
      </c>
      <c r="O43" s="24">
        <f>IF($A43="","",IF(N43="","",IF(COUNTIFS('1_原始數據'!$A$2:$A$1000,$A43,'1_原始數據'!$B$2:$B$1000,$B43,'1_原始數據'!$D$2:$D$1000,$D43,'1_原始數據'!$I$2:$I$1000,$I43,'1_原始數據'!$C$2:$C$1000,"pasco_pct_acid")=0,"",SUMIFS('1_原始數據'!$E$2:$E$1000,'1_原始數據'!$A$2:$A$1000,$A43,'1_原始數據'!$B$2:$B$1000,$B43,'1_原始數據'!$D$2:$D$1000,$D43,'1_原始數據'!$I$2:$I$1000,$I43,'1_原始數據'!$C$2:$C$1000,"pasco_pct_acid"))))</f>
        <v/>
      </c>
      <c r="P43" s="26">
        <f>IF($A43="","",IF(OR(N43="",O43=""),"",O43-N43))</f>
        <v/>
      </c>
      <c r="Q43" s="24">
        <f>IF($A43="","",IF(P43="","",(O43+N43)/2))</f>
        <v/>
      </c>
      <c r="R43" s="27">
        <f>IF($A43="","",IF(P43="","",COUNT($P$2:P43)))</f>
        <v/>
      </c>
    </row>
    <row r="44">
      <c r="J44" s="24">
        <f>IF($A44="","",IF($C44&lt;&gt;"khp_titration_mL","",IF(COUNTIFS('1_原始數據'!$A$2:$A$1000,$A44,'1_原始數據'!$B$2:$B$1000,$B44,'1_原始數據'!$D$2:$D$1000,$D44,'1_原始數據'!$C$2:$C$1000,"khp_mass_g")=0,"",SUMIFS('1_原始數據'!$E$2:$E$1000,'1_原始數據'!$A$2:$A$1000,$A44,'1_原始數據'!$B$2:$B$1000,$B44,'1_原始數據'!$D$2:$D$1000,$D44,'1_原始數據'!$C$2:$C$1000,"khp_mass_g")/('2_NaOH標定'!$C$5*$E44/1000))))</f>
        <v/>
      </c>
      <c r="K44" s="24">
        <f>IF($A44="","",IF($C44&lt;&gt;"manual_titration_mL","",IF(COUNTIFS('1_原始數據'!$A$2:$A$1000,$A44,'1_原始數據'!$C$2:$C$1000,"khp_titration_mL")=0,"",AVERAGEIFS('1_原始數據'!$J$2:$J$1000,'1_原始數據'!$A$2:$A$1000,$A44,'1_原始數據'!$C$2:$C$1000,"khp_titration_mL"))))</f>
        <v/>
      </c>
      <c r="L44" s="25">
        <f>IF($A44="","",IF($C44&lt;&gt;"manual_titration_mL","",IFERROR(INDEX('3_可滴定酸度'!$E$6:$E$13,MATCH($I44,'3_可滴定酸度'!$B$6:$B$13,0)),"")))</f>
        <v/>
      </c>
      <c r="M44" s="25">
        <f>IF($A44="","",IF($C44&lt;&gt;"manual_titration_mL","",IFERROR(INDEX('3_可滴定酸度'!$F$6:$F$13,MATCH($I44,'3_可滴定酸度'!$B$6:$B$13,0)),"")))</f>
        <v/>
      </c>
      <c r="N44" s="24">
        <f>IF($A44="","",IF(OR(K44="",L44="",M44=""),"",K44*E44*L44/(M44*1000)*100))</f>
        <v/>
      </c>
      <c r="O44" s="24">
        <f>IF($A44="","",IF(N44="","",IF(COUNTIFS('1_原始數據'!$A$2:$A$1000,$A44,'1_原始數據'!$B$2:$B$1000,$B44,'1_原始數據'!$D$2:$D$1000,$D44,'1_原始數據'!$I$2:$I$1000,$I44,'1_原始數據'!$C$2:$C$1000,"pasco_pct_acid")=0,"",SUMIFS('1_原始數據'!$E$2:$E$1000,'1_原始數據'!$A$2:$A$1000,$A44,'1_原始數據'!$B$2:$B$1000,$B44,'1_原始數據'!$D$2:$D$1000,$D44,'1_原始數據'!$I$2:$I$1000,$I44,'1_原始數據'!$C$2:$C$1000,"pasco_pct_acid"))))</f>
        <v/>
      </c>
      <c r="P44" s="26">
        <f>IF($A44="","",IF(OR(N44="",O44=""),"",O44-N44))</f>
        <v/>
      </c>
      <c r="Q44" s="24">
        <f>IF($A44="","",IF(P44="","",(O44+N44)/2))</f>
        <v/>
      </c>
      <c r="R44" s="27">
        <f>IF($A44="","",IF(P44="","",COUNT($P$2:P44)))</f>
        <v/>
      </c>
    </row>
    <row r="45">
      <c r="J45" s="24">
        <f>IF($A45="","",IF($C45&lt;&gt;"khp_titration_mL","",IF(COUNTIFS('1_原始數據'!$A$2:$A$1000,$A45,'1_原始數據'!$B$2:$B$1000,$B45,'1_原始數據'!$D$2:$D$1000,$D45,'1_原始數據'!$C$2:$C$1000,"khp_mass_g")=0,"",SUMIFS('1_原始數據'!$E$2:$E$1000,'1_原始數據'!$A$2:$A$1000,$A45,'1_原始數據'!$B$2:$B$1000,$B45,'1_原始數據'!$D$2:$D$1000,$D45,'1_原始數據'!$C$2:$C$1000,"khp_mass_g")/('2_NaOH標定'!$C$5*$E45/1000))))</f>
        <v/>
      </c>
      <c r="K45" s="24">
        <f>IF($A45="","",IF($C45&lt;&gt;"manual_titration_mL","",IF(COUNTIFS('1_原始數據'!$A$2:$A$1000,$A45,'1_原始數據'!$C$2:$C$1000,"khp_titration_mL")=0,"",AVERAGEIFS('1_原始數據'!$J$2:$J$1000,'1_原始數據'!$A$2:$A$1000,$A45,'1_原始數據'!$C$2:$C$1000,"khp_titration_mL"))))</f>
        <v/>
      </c>
      <c r="L45" s="25">
        <f>IF($A45="","",IF($C45&lt;&gt;"manual_titration_mL","",IFERROR(INDEX('3_可滴定酸度'!$E$6:$E$13,MATCH($I45,'3_可滴定酸度'!$B$6:$B$13,0)),"")))</f>
        <v/>
      </c>
      <c r="M45" s="25">
        <f>IF($A45="","",IF($C45&lt;&gt;"manual_titration_mL","",IFERROR(INDEX('3_可滴定酸度'!$F$6:$F$13,MATCH($I45,'3_可滴定酸度'!$B$6:$B$13,0)),"")))</f>
        <v/>
      </c>
      <c r="N45" s="24">
        <f>IF($A45="","",IF(OR(K45="",L45="",M45=""),"",K45*E45*L45/(M45*1000)*100))</f>
        <v/>
      </c>
      <c r="O45" s="24">
        <f>IF($A45="","",IF(N45="","",IF(COUNTIFS('1_原始數據'!$A$2:$A$1000,$A45,'1_原始數據'!$B$2:$B$1000,$B45,'1_原始數據'!$D$2:$D$1000,$D45,'1_原始數據'!$I$2:$I$1000,$I45,'1_原始數據'!$C$2:$C$1000,"pasco_pct_acid")=0,"",SUMIFS('1_原始數據'!$E$2:$E$1000,'1_原始數據'!$A$2:$A$1000,$A45,'1_原始數據'!$B$2:$B$1000,$B45,'1_原始數據'!$D$2:$D$1000,$D45,'1_原始數據'!$I$2:$I$1000,$I45,'1_原始數據'!$C$2:$C$1000,"pasco_pct_acid"))))</f>
        <v/>
      </c>
      <c r="P45" s="26">
        <f>IF($A45="","",IF(OR(N45="",O45=""),"",O45-N45))</f>
        <v/>
      </c>
      <c r="Q45" s="24">
        <f>IF($A45="","",IF(P45="","",(O45+N45)/2))</f>
        <v/>
      </c>
      <c r="R45" s="27">
        <f>IF($A45="","",IF(P45="","",COUNT($P$2:P45)))</f>
        <v/>
      </c>
    </row>
    <row r="46">
      <c r="J46" s="24">
        <f>IF($A46="","",IF($C46&lt;&gt;"khp_titration_mL","",IF(COUNTIFS('1_原始數據'!$A$2:$A$1000,$A46,'1_原始數據'!$B$2:$B$1000,$B46,'1_原始數據'!$D$2:$D$1000,$D46,'1_原始數據'!$C$2:$C$1000,"khp_mass_g")=0,"",SUMIFS('1_原始數據'!$E$2:$E$1000,'1_原始數據'!$A$2:$A$1000,$A46,'1_原始數據'!$B$2:$B$1000,$B46,'1_原始數據'!$D$2:$D$1000,$D46,'1_原始數據'!$C$2:$C$1000,"khp_mass_g")/('2_NaOH標定'!$C$5*$E46/1000))))</f>
        <v/>
      </c>
      <c r="K46" s="24">
        <f>IF($A46="","",IF($C46&lt;&gt;"manual_titration_mL","",IF(COUNTIFS('1_原始數據'!$A$2:$A$1000,$A46,'1_原始數據'!$C$2:$C$1000,"khp_titration_mL")=0,"",AVERAGEIFS('1_原始數據'!$J$2:$J$1000,'1_原始數據'!$A$2:$A$1000,$A46,'1_原始數據'!$C$2:$C$1000,"khp_titration_mL"))))</f>
        <v/>
      </c>
      <c r="L46" s="25">
        <f>IF($A46="","",IF($C46&lt;&gt;"manual_titration_mL","",IFERROR(INDEX('3_可滴定酸度'!$E$6:$E$13,MATCH($I46,'3_可滴定酸度'!$B$6:$B$13,0)),"")))</f>
        <v/>
      </c>
      <c r="M46" s="25">
        <f>IF($A46="","",IF($C46&lt;&gt;"manual_titration_mL","",IFERROR(INDEX('3_可滴定酸度'!$F$6:$F$13,MATCH($I46,'3_可滴定酸度'!$B$6:$B$13,0)),"")))</f>
        <v/>
      </c>
      <c r="N46" s="24">
        <f>IF($A46="","",IF(OR(K46="",L46="",M46=""),"",K46*E46*L46/(M46*1000)*100))</f>
        <v/>
      </c>
      <c r="O46" s="24">
        <f>IF($A46="","",IF(N46="","",IF(COUNTIFS('1_原始數據'!$A$2:$A$1000,$A46,'1_原始數據'!$B$2:$B$1000,$B46,'1_原始數據'!$D$2:$D$1000,$D46,'1_原始數據'!$I$2:$I$1000,$I46,'1_原始數據'!$C$2:$C$1000,"pasco_pct_acid")=0,"",SUMIFS('1_原始數據'!$E$2:$E$1000,'1_原始數據'!$A$2:$A$1000,$A46,'1_原始數據'!$B$2:$B$1000,$B46,'1_原始數據'!$D$2:$D$1000,$D46,'1_原始數據'!$I$2:$I$1000,$I46,'1_原始數據'!$C$2:$C$1000,"pasco_pct_acid"))))</f>
        <v/>
      </c>
      <c r="P46" s="26">
        <f>IF($A46="","",IF(OR(N46="",O46=""),"",O46-N46))</f>
        <v/>
      </c>
      <c r="Q46" s="24">
        <f>IF($A46="","",IF(P46="","",(O46+N46)/2))</f>
        <v/>
      </c>
      <c r="R46" s="27">
        <f>IF($A46="","",IF(P46="","",COUNT($P$2:P46)))</f>
        <v/>
      </c>
    </row>
    <row r="47">
      <c r="J47" s="24">
        <f>IF($A47="","",IF($C47&lt;&gt;"khp_titration_mL","",IF(COUNTIFS('1_原始數據'!$A$2:$A$1000,$A47,'1_原始數據'!$B$2:$B$1000,$B47,'1_原始數據'!$D$2:$D$1000,$D47,'1_原始數據'!$C$2:$C$1000,"khp_mass_g")=0,"",SUMIFS('1_原始數據'!$E$2:$E$1000,'1_原始數據'!$A$2:$A$1000,$A47,'1_原始數據'!$B$2:$B$1000,$B47,'1_原始數據'!$D$2:$D$1000,$D47,'1_原始數據'!$C$2:$C$1000,"khp_mass_g")/('2_NaOH標定'!$C$5*$E47/1000))))</f>
        <v/>
      </c>
      <c r="K47" s="24">
        <f>IF($A47="","",IF($C47&lt;&gt;"manual_titration_mL","",IF(COUNTIFS('1_原始數據'!$A$2:$A$1000,$A47,'1_原始數據'!$C$2:$C$1000,"khp_titration_mL")=0,"",AVERAGEIFS('1_原始數據'!$J$2:$J$1000,'1_原始數據'!$A$2:$A$1000,$A47,'1_原始數據'!$C$2:$C$1000,"khp_titration_mL"))))</f>
        <v/>
      </c>
      <c r="L47" s="25">
        <f>IF($A47="","",IF($C47&lt;&gt;"manual_titration_mL","",IFERROR(INDEX('3_可滴定酸度'!$E$6:$E$13,MATCH($I47,'3_可滴定酸度'!$B$6:$B$13,0)),"")))</f>
        <v/>
      </c>
      <c r="M47" s="25">
        <f>IF($A47="","",IF($C47&lt;&gt;"manual_titration_mL","",IFERROR(INDEX('3_可滴定酸度'!$F$6:$F$13,MATCH($I47,'3_可滴定酸度'!$B$6:$B$13,0)),"")))</f>
        <v/>
      </c>
      <c r="N47" s="24">
        <f>IF($A47="","",IF(OR(K47="",L47="",M47=""),"",K47*E47*L47/(M47*1000)*100))</f>
        <v/>
      </c>
      <c r="O47" s="24">
        <f>IF($A47="","",IF(N47="","",IF(COUNTIFS('1_原始數據'!$A$2:$A$1000,$A47,'1_原始數據'!$B$2:$B$1000,$B47,'1_原始數據'!$D$2:$D$1000,$D47,'1_原始數據'!$I$2:$I$1000,$I47,'1_原始數據'!$C$2:$C$1000,"pasco_pct_acid")=0,"",SUMIFS('1_原始數據'!$E$2:$E$1000,'1_原始數據'!$A$2:$A$1000,$A47,'1_原始數據'!$B$2:$B$1000,$B47,'1_原始數據'!$D$2:$D$1000,$D47,'1_原始數據'!$I$2:$I$1000,$I47,'1_原始數據'!$C$2:$C$1000,"pasco_pct_acid"))))</f>
        <v/>
      </c>
      <c r="P47" s="26">
        <f>IF($A47="","",IF(OR(N47="",O47=""),"",O47-N47))</f>
        <v/>
      </c>
      <c r="Q47" s="24">
        <f>IF($A47="","",IF(P47="","",(O47+N47)/2))</f>
        <v/>
      </c>
      <c r="R47" s="27">
        <f>IF($A47="","",IF(P47="","",COUNT($P$2:P47)))</f>
        <v/>
      </c>
    </row>
    <row r="48">
      <c r="J48" s="24">
        <f>IF($A48="","",IF($C48&lt;&gt;"khp_titration_mL","",IF(COUNTIFS('1_原始數據'!$A$2:$A$1000,$A48,'1_原始數據'!$B$2:$B$1000,$B48,'1_原始數據'!$D$2:$D$1000,$D48,'1_原始數據'!$C$2:$C$1000,"khp_mass_g")=0,"",SUMIFS('1_原始數據'!$E$2:$E$1000,'1_原始數據'!$A$2:$A$1000,$A48,'1_原始數據'!$B$2:$B$1000,$B48,'1_原始數據'!$D$2:$D$1000,$D48,'1_原始數據'!$C$2:$C$1000,"khp_mass_g")/('2_NaOH標定'!$C$5*$E48/1000))))</f>
        <v/>
      </c>
      <c r="K48" s="24">
        <f>IF($A48="","",IF($C48&lt;&gt;"manual_titration_mL","",IF(COUNTIFS('1_原始數據'!$A$2:$A$1000,$A48,'1_原始數據'!$C$2:$C$1000,"khp_titration_mL")=0,"",AVERAGEIFS('1_原始數據'!$J$2:$J$1000,'1_原始數據'!$A$2:$A$1000,$A48,'1_原始數據'!$C$2:$C$1000,"khp_titration_mL"))))</f>
        <v/>
      </c>
      <c r="L48" s="25">
        <f>IF($A48="","",IF($C48&lt;&gt;"manual_titration_mL","",IFERROR(INDEX('3_可滴定酸度'!$E$6:$E$13,MATCH($I48,'3_可滴定酸度'!$B$6:$B$13,0)),"")))</f>
        <v/>
      </c>
      <c r="M48" s="25">
        <f>IF($A48="","",IF($C48&lt;&gt;"manual_titration_mL","",IFERROR(INDEX('3_可滴定酸度'!$F$6:$F$13,MATCH($I48,'3_可滴定酸度'!$B$6:$B$13,0)),"")))</f>
        <v/>
      </c>
      <c r="N48" s="24">
        <f>IF($A48="","",IF(OR(K48="",L48="",M48=""),"",K48*E48*L48/(M48*1000)*100))</f>
        <v/>
      </c>
      <c r="O48" s="24">
        <f>IF($A48="","",IF(N48="","",IF(COUNTIFS('1_原始數據'!$A$2:$A$1000,$A48,'1_原始數據'!$B$2:$B$1000,$B48,'1_原始數據'!$D$2:$D$1000,$D48,'1_原始數據'!$I$2:$I$1000,$I48,'1_原始數據'!$C$2:$C$1000,"pasco_pct_acid")=0,"",SUMIFS('1_原始數據'!$E$2:$E$1000,'1_原始數據'!$A$2:$A$1000,$A48,'1_原始數據'!$B$2:$B$1000,$B48,'1_原始數據'!$D$2:$D$1000,$D48,'1_原始數據'!$I$2:$I$1000,$I48,'1_原始數據'!$C$2:$C$1000,"pasco_pct_acid"))))</f>
        <v/>
      </c>
      <c r="P48" s="26">
        <f>IF($A48="","",IF(OR(N48="",O48=""),"",O48-N48))</f>
        <v/>
      </c>
      <c r="Q48" s="24">
        <f>IF($A48="","",IF(P48="","",(O48+N48)/2))</f>
        <v/>
      </c>
      <c r="R48" s="27">
        <f>IF($A48="","",IF(P48="","",COUNT($P$2:P48)))</f>
        <v/>
      </c>
    </row>
    <row r="49">
      <c r="J49" s="24">
        <f>IF($A49="","",IF($C49&lt;&gt;"khp_titration_mL","",IF(COUNTIFS('1_原始數據'!$A$2:$A$1000,$A49,'1_原始數據'!$B$2:$B$1000,$B49,'1_原始數據'!$D$2:$D$1000,$D49,'1_原始數據'!$C$2:$C$1000,"khp_mass_g")=0,"",SUMIFS('1_原始數據'!$E$2:$E$1000,'1_原始數據'!$A$2:$A$1000,$A49,'1_原始數據'!$B$2:$B$1000,$B49,'1_原始數據'!$D$2:$D$1000,$D49,'1_原始數據'!$C$2:$C$1000,"khp_mass_g")/('2_NaOH標定'!$C$5*$E49/1000))))</f>
        <v/>
      </c>
      <c r="K49" s="24">
        <f>IF($A49="","",IF($C49&lt;&gt;"manual_titration_mL","",IF(COUNTIFS('1_原始數據'!$A$2:$A$1000,$A49,'1_原始數據'!$C$2:$C$1000,"khp_titration_mL")=0,"",AVERAGEIFS('1_原始數據'!$J$2:$J$1000,'1_原始數據'!$A$2:$A$1000,$A49,'1_原始數據'!$C$2:$C$1000,"khp_titration_mL"))))</f>
        <v/>
      </c>
      <c r="L49" s="25">
        <f>IF($A49="","",IF($C49&lt;&gt;"manual_titration_mL","",IFERROR(INDEX('3_可滴定酸度'!$E$6:$E$13,MATCH($I49,'3_可滴定酸度'!$B$6:$B$13,0)),"")))</f>
        <v/>
      </c>
      <c r="M49" s="25">
        <f>IF($A49="","",IF($C49&lt;&gt;"manual_titration_mL","",IFERROR(INDEX('3_可滴定酸度'!$F$6:$F$13,MATCH($I49,'3_可滴定酸度'!$B$6:$B$13,0)),"")))</f>
        <v/>
      </c>
      <c r="N49" s="24">
        <f>IF($A49="","",IF(OR(K49="",L49="",M49=""),"",K49*E49*L49/(M49*1000)*100))</f>
        <v/>
      </c>
      <c r="O49" s="24">
        <f>IF($A49="","",IF(N49="","",IF(COUNTIFS('1_原始數據'!$A$2:$A$1000,$A49,'1_原始數據'!$B$2:$B$1000,$B49,'1_原始數據'!$D$2:$D$1000,$D49,'1_原始數據'!$I$2:$I$1000,$I49,'1_原始數據'!$C$2:$C$1000,"pasco_pct_acid")=0,"",SUMIFS('1_原始數據'!$E$2:$E$1000,'1_原始數據'!$A$2:$A$1000,$A49,'1_原始數據'!$B$2:$B$1000,$B49,'1_原始數據'!$D$2:$D$1000,$D49,'1_原始數據'!$I$2:$I$1000,$I49,'1_原始數據'!$C$2:$C$1000,"pasco_pct_acid"))))</f>
        <v/>
      </c>
      <c r="P49" s="26">
        <f>IF($A49="","",IF(OR(N49="",O49=""),"",O49-N49))</f>
        <v/>
      </c>
      <c r="Q49" s="24">
        <f>IF($A49="","",IF(P49="","",(O49+N49)/2))</f>
        <v/>
      </c>
      <c r="R49" s="27">
        <f>IF($A49="","",IF(P49="","",COUNT($P$2:P49)))</f>
        <v/>
      </c>
    </row>
    <row r="50">
      <c r="J50" s="24">
        <f>IF($A50="","",IF($C50&lt;&gt;"khp_titration_mL","",IF(COUNTIFS('1_原始數據'!$A$2:$A$1000,$A50,'1_原始數據'!$B$2:$B$1000,$B50,'1_原始數據'!$D$2:$D$1000,$D50,'1_原始數據'!$C$2:$C$1000,"khp_mass_g")=0,"",SUMIFS('1_原始數據'!$E$2:$E$1000,'1_原始數據'!$A$2:$A$1000,$A50,'1_原始數據'!$B$2:$B$1000,$B50,'1_原始數據'!$D$2:$D$1000,$D50,'1_原始數據'!$C$2:$C$1000,"khp_mass_g")/('2_NaOH標定'!$C$5*$E50/1000))))</f>
        <v/>
      </c>
      <c r="K50" s="24">
        <f>IF($A50="","",IF($C50&lt;&gt;"manual_titration_mL","",IF(COUNTIFS('1_原始數據'!$A$2:$A$1000,$A50,'1_原始數據'!$C$2:$C$1000,"khp_titration_mL")=0,"",AVERAGEIFS('1_原始數據'!$J$2:$J$1000,'1_原始數據'!$A$2:$A$1000,$A50,'1_原始數據'!$C$2:$C$1000,"khp_titration_mL"))))</f>
        <v/>
      </c>
      <c r="L50" s="25">
        <f>IF($A50="","",IF($C50&lt;&gt;"manual_titration_mL","",IFERROR(INDEX('3_可滴定酸度'!$E$6:$E$13,MATCH($I50,'3_可滴定酸度'!$B$6:$B$13,0)),"")))</f>
        <v/>
      </c>
      <c r="M50" s="25">
        <f>IF($A50="","",IF($C50&lt;&gt;"manual_titration_mL","",IFERROR(INDEX('3_可滴定酸度'!$F$6:$F$13,MATCH($I50,'3_可滴定酸度'!$B$6:$B$13,0)),"")))</f>
        <v/>
      </c>
      <c r="N50" s="24">
        <f>IF($A50="","",IF(OR(K50="",L50="",M50=""),"",K50*E50*L50/(M50*1000)*100))</f>
        <v/>
      </c>
      <c r="O50" s="24">
        <f>IF($A50="","",IF(N50="","",IF(COUNTIFS('1_原始數據'!$A$2:$A$1000,$A50,'1_原始數據'!$B$2:$B$1000,$B50,'1_原始數據'!$D$2:$D$1000,$D50,'1_原始數據'!$I$2:$I$1000,$I50,'1_原始數據'!$C$2:$C$1000,"pasco_pct_acid")=0,"",SUMIFS('1_原始數據'!$E$2:$E$1000,'1_原始數據'!$A$2:$A$1000,$A50,'1_原始數據'!$B$2:$B$1000,$B50,'1_原始數據'!$D$2:$D$1000,$D50,'1_原始數據'!$I$2:$I$1000,$I50,'1_原始數據'!$C$2:$C$1000,"pasco_pct_acid"))))</f>
        <v/>
      </c>
      <c r="P50" s="26">
        <f>IF($A50="","",IF(OR(N50="",O50=""),"",O50-N50))</f>
        <v/>
      </c>
      <c r="Q50" s="24">
        <f>IF($A50="","",IF(P50="","",(O50+N50)/2))</f>
        <v/>
      </c>
      <c r="R50" s="27">
        <f>IF($A50="","",IF(P50="","",COUNT($P$2:P50)))</f>
        <v/>
      </c>
    </row>
    <row r="51">
      <c r="J51" s="24">
        <f>IF($A51="","",IF($C51&lt;&gt;"khp_titration_mL","",IF(COUNTIFS('1_原始數據'!$A$2:$A$1000,$A51,'1_原始數據'!$B$2:$B$1000,$B51,'1_原始數據'!$D$2:$D$1000,$D51,'1_原始數據'!$C$2:$C$1000,"khp_mass_g")=0,"",SUMIFS('1_原始數據'!$E$2:$E$1000,'1_原始數據'!$A$2:$A$1000,$A51,'1_原始數據'!$B$2:$B$1000,$B51,'1_原始數據'!$D$2:$D$1000,$D51,'1_原始數據'!$C$2:$C$1000,"khp_mass_g")/('2_NaOH標定'!$C$5*$E51/1000))))</f>
        <v/>
      </c>
      <c r="K51" s="24">
        <f>IF($A51="","",IF($C51&lt;&gt;"manual_titration_mL","",IF(COUNTIFS('1_原始數據'!$A$2:$A$1000,$A51,'1_原始數據'!$C$2:$C$1000,"khp_titration_mL")=0,"",AVERAGEIFS('1_原始數據'!$J$2:$J$1000,'1_原始數據'!$A$2:$A$1000,$A51,'1_原始數據'!$C$2:$C$1000,"khp_titration_mL"))))</f>
        <v/>
      </c>
      <c r="L51" s="25">
        <f>IF($A51="","",IF($C51&lt;&gt;"manual_titration_mL","",IFERROR(INDEX('3_可滴定酸度'!$E$6:$E$13,MATCH($I51,'3_可滴定酸度'!$B$6:$B$13,0)),"")))</f>
        <v/>
      </c>
      <c r="M51" s="25">
        <f>IF($A51="","",IF($C51&lt;&gt;"manual_titration_mL","",IFERROR(INDEX('3_可滴定酸度'!$F$6:$F$13,MATCH($I51,'3_可滴定酸度'!$B$6:$B$13,0)),"")))</f>
        <v/>
      </c>
      <c r="N51" s="24">
        <f>IF($A51="","",IF(OR(K51="",L51="",M51=""),"",K51*E51*L51/(M51*1000)*100))</f>
        <v/>
      </c>
      <c r="O51" s="24">
        <f>IF($A51="","",IF(N51="","",IF(COUNTIFS('1_原始數據'!$A$2:$A$1000,$A51,'1_原始數據'!$B$2:$B$1000,$B51,'1_原始數據'!$D$2:$D$1000,$D51,'1_原始數據'!$I$2:$I$1000,$I51,'1_原始數據'!$C$2:$C$1000,"pasco_pct_acid")=0,"",SUMIFS('1_原始數據'!$E$2:$E$1000,'1_原始數據'!$A$2:$A$1000,$A51,'1_原始數據'!$B$2:$B$1000,$B51,'1_原始數據'!$D$2:$D$1000,$D51,'1_原始數據'!$I$2:$I$1000,$I51,'1_原始數據'!$C$2:$C$1000,"pasco_pct_acid"))))</f>
        <v/>
      </c>
      <c r="P51" s="26">
        <f>IF($A51="","",IF(OR(N51="",O51=""),"",O51-N51))</f>
        <v/>
      </c>
      <c r="Q51" s="24">
        <f>IF($A51="","",IF(P51="","",(O51+N51)/2))</f>
        <v/>
      </c>
      <c r="R51" s="27">
        <f>IF($A51="","",IF(P51="","",COUNT($P$2:P51)))</f>
        <v/>
      </c>
    </row>
    <row r="52">
      <c r="J52" s="24">
        <f>IF($A52="","",IF($C52&lt;&gt;"khp_titration_mL","",IF(COUNTIFS('1_原始數據'!$A$2:$A$1000,$A52,'1_原始數據'!$B$2:$B$1000,$B52,'1_原始數據'!$D$2:$D$1000,$D52,'1_原始數據'!$C$2:$C$1000,"khp_mass_g")=0,"",SUMIFS('1_原始數據'!$E$2:$E$1000,'1_原始數據'!$A$2:$A$1000,$A52,'1_原始數據'!$B$2:$B$1000,$B52,'1_原始數據'!$D$2:$D$1000,$D52,'1_原始數據'!$C$2:$C$1000,"khp_mass_g")/('2_NaOH標定'!$C$5*$E52/1000))))</f>
        <v/>
      </c>
      <c r="K52" s="24">
        <f>IF($A52="","",IF($C52&lt;&gt;"manual_titration_mL","",IF(COUNTIFS('1_原始數據'!$A$2:$A$1000,$A52,'1_原始數據'!$C$2:$C$1000,"khp_titration_mL")=0,"",AVERAGEIFS('1_原始數據'!$J$2:$J$1000,'1_原始數據'!$A$2:$A$1000,$A52,'1_原始數據'!$C$2:$C$1000,"khp_titration_mL"))))</f>
        <v/>
      </c>
      <c r="L52" s="25">
        <f>IF($A52="","",IF($C52&lt;&gt;"manual_titration_mL","",IFERROR(INDEX('3_可滴定酸度'!$E$6:$E$13,MATCH($I52,'3_可滴定酸度'!$B$6:$B$13,0)),"")))</f>
        <v/>
      </c>
      <c r="M52" s="25">
        <f>IF($A52="","",IF($C52&lt;&gt;"manual_titration_mL","",IFERROR(INDEX('3_可滴定酸度'!$F$6:$F$13,MATCH($I52,'3_可滴定酸度'!$B$6:$B$13,0)),"")))</f>
        <v/>
      </c>
      <c r="N52" s="24">
        <f>IF($A52="","",IF(OR(K52="",L52="",M52=""),"",K52*E52*L52/(M52*1000)*100))</f>
        <v/>
      </c>
      <c r="O52" s="24">
        <f>IF($A52="","",IF(N52="","",IF(COUNTIFS('1_原始數據'!$A$2:$A$1000,$A52,'1_原始數據'!$B$2:$B$1000,$B52,'1_原始數據'!$D$2:$D$1000,$D52,'1_原始數據'!$I$2:$I$1000,$I52,'1_原始數據'!$C$2:$C$1000,"pasco_pct_acid")=0,"",SUMIFS('1_原始數據'!$E$2:$E$1000,'1_原始數據'!$A$2:$A$1000,$A52,'1_原始數據'!$B$2:$B$1000,$B52,'1_原始數據'!$D$2:$D$1000,$D52,'1_原始數據'!$I$2:$I$1000,$I52,'1_原始數據'!$C$2:$C$1000,"pasco_pct_acid"))))</f>
        <v/>
      </c>
      <c r="P52" s="26">
        <f>IF($A52="","",IF(OR(N52="",O52=""),"",O52-N52))</f>
        <v/>
      </c>
      <c r="Q52" s="24">
        <f>IF($A52="","",IF(P52="","",(O52+N52)/2))</f>
        <v/>
      </c>
      <c r="R52" s="27">
        <f>IF($A52="","",IF(P52="","",COUNT($P$2:P52)))</f>
        <v/>
      </c>
    </row>
    <row r="53">
      <c r="J53" s="24">
        <f>IF($A53="","",IF($C53&lt;&gt;"khp_titration_mL","",IF(COUNTIFS('1_原始數據'!$A$2:$A$1000,$A53,'1_原始數據'!$B$2:$B$1000,$B53,'1_原始數據'!$D$2:$D$1000,$D53,'1_原始數據'!$C$2:$C$1000,"khp_mass_g")=0,"",SUMIFS('1_原始數據'!$E$2:$E$1000,'1_原始數據'!$A$2:$A$1000,$A53,'1_原始數據'!$B$2:$B$1000,$B53,'1_原始數據'!$D$2:$D$1000,$D53,'1_原始數據'!$C$2:$C$1000,"khp_mass_g")/('2_NaOH標定'!$C$5*$E53/1000))))</f>
        <v/>
      </c>
      <c r="K53" s="24">
        <f>IF($A53="","",IF($C53&lt;&gt;"manual_titration_mL","",IF(COUNTIFS('1_原始數據'!$A$2:$A$1000,$A53,'1_原始數據'!$C$2:$C$1000,"khp_titration_mL")=0,"",AVERAGEIFS('1_原始數據'!$J$2:$J$1000,'1_原始數據'!$A$2:$A$1000,$A53,'1_原始數據'!$C$2:$C$1000,"khp_titration_mL"))))</f>
        <v/>
      </c>
      <c r="L53" s="25">
        <f>IF($A53="","",IF($C53&lt;&gt;"manual_titration_mL","",IFERROR(INDEX('3_可滴定酸度'!$E$6:$E$13,MATCH($I53,'3_可滴定酸度'!$B$6:$B$13,0)),"")))</f>
        <v/>
      </c>
      <c r="M53" s="25">
        <f>IF($A53="","",IF($C53&lt;&gt;"manual_titration_mL","",IFERROR(INDEX('3_可滴定酸度'!$F$6:$F$13,MATCH($I53,'3_可滴定酸度'!$B$6:$B$13,0)),"")))</f>
        <v/>
      </c>
      <c r="N53" s="24">
        <f>IF($A53="","",IF(OR(K53="",L53="",M53=""),"",K53*E53*L53/(M53*1000)*100))</f>
        <v/>
      </c>
      <c r="O53" s="24">
        <f>IF($A53="","",IF(N53="","",IF(COUNTIFS('1_原始數據'!$A$2:$A$1000,$A53,'1_原始數據'!$B$2:$B$1000,$B53,'1_原始數據'!$D$2:$D$1000,$D53,'1_原始數據'!$I$2:$I$1000,$I53,'1_原始數據'!$C$2:$C$1000,"pasco_pct_acid")=0,"",SUMIFS('1_原始數據'!$E$2:$E$1000,'1_原始數據'!$A$2:$A$1000,$A53,'1_原始數據'!$B$2:$B$1000,$B53,'1_原始數據'!$D$2:$D$1000,$D53,'1_原始數據'!$I$2:$I$1000,$I53,'1_原始數據'!$C$2:$C$1000,"pasco_pct_acid"))))</f>
        <v/>
      </c>
      <c r="P53" s="26">
        <f>IF($A53="","",IF(OR(N53="",O53=""),"",O53-N53))</f>
        <v/>
      </c>
      <c r="Q53" s="24">
        <f>IF($A53="","",IF(P53="","",(O53+N53)/2))</f>
        <v/>
      </c>
      <c r="R53" s="27">
        <f>IF($A53="","",IF(P53="","",COUNT($P$2:P53)))</f>
        <v/>
      </c>
    </row>
    <row r="54">
      <c r="J54" s="24">
        <f>IF($A54="","",IF($C54&lt;&gt;"khp_titration_mL","",IF(COUNTIFS('1_原始數據'!$A$2:$A$1000,$A54,'1_原始數據'!$B$2:$B$1000,$B54,'1_原始數據'!$D$2:$D$1000,$D54,'1_原始數據'!$C$2:$C$1000,"khp_mass_g")=0,"",SUMIFS('1_原始數據'!$E$2:$E$1000,'1_原始數據'!$A$2:$A$1000,$A54,'1_原始數據'!$B$2:$B$1000,$B54,'1_原始數據'!$D$2:$D$1000,$D54,'1_原始數據'!$C$2:$C$1000,"khp_mass_g")/('2_NaOH標定'!$C$5*$E54/1000))))</f>
        <v/>
      </c>
      <c r="K54" s="24">
        <f>IF($A54="","",IF($C54&lt;&gt;"manual_titration_mL","",IF(COUNTIFS('1_原始數據'!$A$2:$A$1000,$A54,'1_原始數據'!$C$2:$C$1000,"khp_titration_mL")=0,"",AVERAGEIFS('1_原始數據'!$J$2:$J$1000,'1_原始數據'!$A$2:$A$1000,$A54,'1_原始數據'!$C$2:$C$1000,"khp_titration_mL"))))</f>
        <v/>
      </c>
      <c r="L54" s="25">
        <f>IF($A54="","",IF($C54&lt;&gt;"manual_titration_mL","",IFERROR(INDEX('3_可滴定酸度'!$E$6:$E$13,MATCH($I54,'3_可滴定酸度'!$B$6:$B$13,0)),"")))</f>
        <v/>
      </c>
      <c r="M54" s="25">
        <f>IF($A54="","",IF($C54&lt;&gt;"manual_titration_mL","",IFERROR(INDEX('3_可滴定酸度'!$F$6:$F$13,MATCH($I54,'3_可滴定酸度'!$B$6:$B$13,0)),"")))</f>
        <v/>
      </c>
      <c r="N54" s="24">
        <f>IF($A54="","",IF(OR(K54="",L54="",M54=""),"",K54*E54*L54/(M54*1000)*100))</f>
        <v/>
      </c>
      <c r="O54" s="24">
        <f>IF($A54="","",IF(N54="","",IF(COUNTIFS('1_原始數據'!$A$2:$A$1000,$A54,'1_原始數據'!$B$2:$B$1000,$B54,'1_原始數據'!$D$2:$D$1000,$D54,'1_原始數據'!$I$2:$I$1000,$I54,'1_原始數據'!$C$2:$C$1000,"pasco_pct_acid")=0,"",SUMIFS('1_原始數據'!$E$2:$E$1000,'1_原始數據'!$A$2:$A$1000,$A54,'1_原始數據'!$B$2:$B$1000,$B54,'1_原始數據'!$D$2:$D$1000,$D54,'1_原始數據'!$I$2:$I$1000,$I54,'1_原始數據'!$C$2:$C$1000,"pasco_pct_acid"))))</f>
        <v/>
      </c>
      <c r="P54" s="26">
        <f>IF($A54="","",IF(OR(N54="",O54=""),"",O54-N54))</f>
        <v/>
      </c>
      <c r="Q54" s="24">
        <f>IF($A54="","",IF(P54="","",(O54+N54)/2))</f>
        <v/>
      </c>
      <c r="R54" s="27">
        <f>IF($A54="","",IF(P54="","",COUNT($P$2:P54)))</f>
        <v/>
      </c>
    </row>
    <row r="55">
      <c r="J55" s="24">
        <f>IF($A55="","",IF($C55&lt;&gt;"khp_titration_mL","",IF(COUNTIFS('1_原始數據'!$A$2:$A$1000,$A55,'1_原始數據'!$B$2:$B$1000,$B55,'1_原始數據'!$D$2:$D$1000,$D55,'1_原始數據'!$C$2:$C$1000,"khp_mass_g")=0,"",SUMIFS('1_原始數據'!$E$2:$E$1000,'1_原始數據'!$A$2:$A$1000,$A55,'1_原始數據'!$B$2:$B$1000,$B55,'1_原始數據'!$D$2:$D$1000,$D55,'1_原始數據'!$C$2:$C$1000,"khp_mass_g")/('2_NaOH標定'!$C$5*$E55/1000))))</f>
        <v/>
      </c>
      <c r="K55" s="24">
        <f>IF($A55="","",IF($C55&lt;&gt;"manual_titration_mL","",IF(COUNTIFS('1_原始數據'!$A$2:$A$1000,$A55,'1_原始數據'!$C$2:$C$1000,"khp_titration_mL")=0,"",AVERAGEIFS('1_原始數據'!$J$2:$J$1000,'1_原始數據'!$A$2:$A$1000,$A55,'1_原始數據'!$C$2:$C$1000,"khp_titration_mL"))))</f>
        <v/>
      </c>
      <c r="L55" s="25">
        <f>IF($A55="","",IF($C55&lt;&gt;"manual_titration_mL","",IFERROR(INDEX('3_可滴定酸度'!$E$6:$E$13,MATCH($I55,'3_可滴定酸度'!$B$6:$B$13,0)),"")))</f>
        <v/>
      </c>
      <c r="M55" s="25">
        <f>IF($A55="","",IF($C55&lt;&gt;"manual_titration_mL","",IFERROR(INDEX('3_可滴定酸度'!$F$6:$F$13,MATCH($I55,'3_可滴定酸度'!$B$6:$B$13,0)),"")))</f>
        <v/>
      </c>
      <c r="N55" s="24">
        <f>IF($A55="","",IF(OR(K55="",L55="",M55=""),"",K55*E55*L55/(M55*1000)*100))</f>
        <v/>
      </c>
      <c r="O55" s="24">
        <f>IF($A55="","",IF(N55="","",IF(COUNTIFS('1_原始數據'!$A$2:$A$1000,$A55,'1_原始數據'!$B$2:$B$1000,$B55,'1_原始數據'!$D$2:$D$1000,$D55,'1_原始數據'!$I$2:$I$1000,$I55,'1_原始數據'!$C$2:$C$1000,"pasco_pct_acid")=0,"",SUMIFS('1_原始數據'!$E$2:$E$1000,'1_原始數據'!$A$2:$A$1000,$A55,'1_原始數據'!$B$2:$B$1000,$B55,'1_原始數據'!$D$2:$D$1000,$D55,'1_原始數據'!$I$2:$I$1000,$I55,'1_原始數據'!$C$2:$C$1000,"pasco_pct_acid"))))</f>
        <v/>
      </c>
      <c r="P55" s="26">
        <f>IF($A55="","",IF(OR(N55="",O55=""),"",O55-N55))</f>
        <v/>
      </c>
      <c r="Q55" s="24">
        <f>IF($A55="","",IF(P55="","",(O55+N55)/2))</f>
        <v/>
      </c>
      <c r="R55" s="27">
        <f>IF($A55="","",IF(P55="","",COUNT($P$2:P55)))</f>
        <v/>
      </c>
    </row>
    <row r="56">
      <c r="J56" s="24">
        <f>IF($A56="","",IF($C56&lt;&gt;"khp_titration_mL","",IF(COUNTIFS('1_原始數據'!$A$2:$A$1000,$A56,'1_原始數據'!$B$2:$B$1000,$B56,'1_原始數據'!$D$2:$D$1000,$D56,'1_原始數據'!$C$2:$C$1000,"khp_mass_g")=0,"",SUMIFS('1_原始數據'!$E$2:$E$1000,'1_原始數據'!$A$2:$A$1000,$A56,'1_原始數據'!$B$2:$B$1000,$B56,'1_原始數據'!$D$2:$D$1000,$D56,'1_原始數據'!$C$2:$C$1000,"khp_mass_g")/('2_NaOH標定'!$C$5*$E56/1000))))</f>
        <v/>
      </c>
      <c r="K56" s="24">
        <f>IF($A56="","",IF($C56&lt;&gt;"manual_titration_mL","",IF(COUNTIFS('1_原始數據'!$A$2:$A$1000,$A56,'1_原始數據'!$C$2:$C$1000,"khp_titration_mL")=0,"",AVERAGEIFS('1_原始數據'!$J$2:$J$1000,'1_原始數據'!$A$2:$A$1000,$A56,'1_原始數據'!$C$2:$C$1000,"khp_titration_mL"))))</f>
        <v/>
      </c>
      <c r="L56" s="25">
        <f>IF($A56="","",IF($C56&lt;&gt;"manual_titration_mL","",IFERROR(INDEX('3_可滴定酸度'!$E$6:$E$13,MATCH($I56,'3_可滴定酸度'!$B$6:$B$13,0)),"")))</f>
        <v/>
      </c>
      <c r="M56" s="25">
        <f>IF($A56="","",IF($C56&lt;&gt;"manual_titration_mL","",IFERROR(INDEX('3_可滴定酸度'!$F$6:$F$13,MATCH($I56,'3_可滴定酸度'!$B$6:$B$13,0)),"")))</f>
        <v/>
      </c>
      <c r="N56" s="24">
        <f>IF($A56="","",IF(OR(K56="",L56="",M56=""),"",K56*E56*L56/(M56*1000)*100))</f>
        <v/>
      </c>
      <c r="O56" s="24">
        <f>IF($A56="","",IF(N56="","",IF(COUNTIFS('1_原始數據'!$A$2:$A$1000,$A56,'1_原始數據'!$B$2:$B$1000,$B56,'1_原始數據'!$D$2:$D$1000,$D56,'1_原始數據'!$I$2:$I$1000,$I56,'1_原始數據'!$C$2:$C$1000,"pasco_pct_acid")=0,"",SUMIFS('1_原始數據'!$E$2:$E$1000,'1_原始數據'!$A$2:$A$1000,$A56,'1_原始數據'!$B$2:$B$1000,$B56,'1_原始數據'!$D$2:$D$1000,$D56,'1_原始數據'!$I$2:$I$1000,$I56,'1_原始數據'!$C$2:$C$1000,"pasco_pct_acid"))))</f>
        <v/>
      </c>
      <c r="P56" s="26">
        <f>IF($A56="","",IF(OR(N56="",O56=""),"",O56-N56))</f>
        <v/>
      </c>
      <c r="Q56" s="24">
        <f>IF($A56="","",IF(P56="","",(O56+N56)/2))</f>
        <v/>
      </c>
      <c r="R56" s="27">
        <f>IF($A56="","",IF(P56="","",COUNT($P$2:P56)))</f>
        <v/>
      </c>
    </row>
    <row r="57">
      <c r="J57" s="24">
        <f>IF($A57="","",IF($C57&lt;&gt;"khp_titration_mL","",IF(COUNTIFS('1_原始數據'!$A$2:$A$1000,$A57,'1_原始數據'!$B$2:$B$1000,$B57,'1_原始數據'!$D$2:$D$1000,$D57,'1_原始數據'!$C$2:$C$1000,"khp_mass_g")=0,"",SUMIFS('1_原始數據'!$E$2:$E$1000,'1_原始數據'!$A$2:$A$1000,$A57,'1_原始數據'!$B$2:$B$1000,$B57,'1_原始數據'!$D$2:$D$1000,$D57,'1_原始數據'!$C$2:$C$1000,"khp_mass_g")/('2_NaOH標定'!$C$5*$E57/1000))))</f>
        <v/>
      </c>
      <c r="K57" s="24">
        <f>IF($A57="","",IF($C57&lt;&gt;"manual_titration_mL","",IF(COUNTIFS('1_原始數據'!$A$2:$A$1000,$A57,'1_原始數據'!$C$2:$C$1000,"khp_titration_mL")=0,"",AVERAGEIFS('1_原始數據'!$J$2:$J$1000,'1_原始數據'!$A$2:$A$1000,$A57,'1_原始數據'!$C$2:$C$1000,"khp_titration_mL"))))</f>
        <v/>
      </c>
      <c r="L57" s="25">
        <f>IF($A57="","",IF($C57&lt;&gt;"manual_titration_mL","",IFERROR(INDEX('3_可滴定酸度'!$E$6:$E$13,MATCH($I57,'3_可滴定酸度'!$B$6:$B$13,0)),"")))</f>
        <v/>
      </c>
      <c r="M57" s="25">
        <f>IF($A57="","",IF($C57&lt;&gt;"manual_titration_mL","",IFERROR(INDEX('3_可滴定酸度'!$F$6:$F$13,MATCH($I57,'3_可滴定酸度'!$B$6:$B$13,0)),"")))</f>
        <v/>
      </c>
      <c r="N57" s="24">
        <f>IF($A57="","",IF(OR(K57="",L57="",M57=""),"",K57*E57*L57/(M57*1000)*100))</f>
        <v/>
      </c>
      <c r="O57" s="24">
        <f>IF($A57="","",IF(N57="","",IF(COUNTIFS('1_原始數據'!$A$2:$A$1000,$A57,'1_原始數據'!$B$2:$B$1000,$B57,'1_原始數據'!$D$2:$D$1000,$D57,'1_原始數據'!$I$2:$I$1000,$I57,'1_原始數據'!$C$2:$C$1000,"pasco_pct_acid")=0,"",SUMIFS('1_原始數據'!$E$2:$E$1000,'1_原始數據'!$A$2:$A$1000,$A57,'1_原始數據'!$B$2:$B$1000,$B57,'1_原始數據'!$D$2:$D$1000,$D57,'1_原始數據'!$I$2:$I$1000,$I57,'1_原始數據'!$C$2:$C$1000,"pasco_pct_acid"))))</f>
        <v/>
      </c>
      <c r="P57" s="26">
        <f>IF($A57="","",IF(OR(N57="",O57=""),"",O57-N57))</f>
        <v/>
      </c>
      <c r="Q57" s="24">
        <f>IF($A57="","",IF(P57="","",(O57+N57)/2))</f>
        <v/>
      </c>
      <c r="R57" s="27">
        <f>IF($A57="","",IF(P57="","",COUNT($P$2:P57)))</f>
        <v/>
      </c>
    </row>
    <row r="58">
      <c r="J58" s="24">
        <f>IF($A58="","",IF($C58&lt;&gt;"khp_titration_mL","",IF(COUNTIFS('1_原始數據'!$A$2:$A$1000,$A58,'1_原始數據'!$B$2:$B$1000,$B58,'1_原始數據'!$D$2:$D$1000,$D58,'1_原始數據'!$C$2:$C$1000,"khp_mass_g")=0,"",SUMIFS('1_原始數據'!$E$2:$E$1000,'1_原始數據'!$A$2:$A$1000,$A58,'1_原始數據'!$B$2:$B$1000,$B58,'1_原始數據'!$D$2:$D$1000,$D58,'1_原始數據'!$C$2:$C$1000,"khp_mass_g")/('2_NaOH標定'!$C$5*$E58/1000))))</f>
        <v/>
      </c>
      <c r="K58" s="24">
        <f>IF($A58="","",IF($C58&lt;&gt;"manual_titration_mL","",IF(COUNTIFS('1_原始數據'!$A$2:$A$1000,$A58,'1_原始數據'!$C$2:$C$1000,"khp_titration_mL")=0,"",AVERAGEIFS('1_原始數據'!$J$2:$J$1000,'1_原始數據'!$A$2:$A$1000,$A58,'1_原始數據'!$C$2:$C$1000,"khp_titration_mL"))))</f>
        <v/>
      </c>
      <c r="L58" s="25">
        <f>IF($A58="","",IF($C58&lt;&gt;"manual_titration_mL","",IFERROR(INDEX('3_可滴定酸度'!$E$6:$E$13,MATCH($I58,'3_可滴定酸度'!$B$6:$B$13,0)),"")))</f>
        <v/>
      </c>
      <c r="M58" s="25">
        <f>IF($A58="","",IF($C58&lt;&gt;"manual_titration_mL","",IFERROR(INDEX('3_可滴定酸度'!$F$6:$F$13,MATCH($I58,'3_可滴定酸度'!$B$6:$B$13,0)),"")))</f>
        <v/>
      </c>
      <c r="N58" s="24">
        <f>IF($A58="","",IF(OR(K58="",L58="",M58=""),"",K58*E58*L58/(M58*1000)*100))</f>
        <v/>
      </c>
      <c r="O58" s="24">
        <f>IF($A58="","",IF(N58="","",IF(COUNTIFS('1_原始數據'!$A$2:$A$1000,$A58,'1_原始數據'!$B$2:$B$1000,$B58,'1_原始數據'!$D$2:$D$1000,$D58,'1_原始數據'!$I$2:$I$1000,$I58,'1_原始數據'!$C$2:$C$1000,"pasco_pct_acid")=0,"",SUMIFS('1_原始數據'!$E$2:$E$1000,'1_原始數據'!$A$2:$A$1000,$A58,'1_原始數據'!$B$2:$B$1000,$B58,'1_原始數據'!$D$2:$D$1000,$D58,'1_原始數據'!$I$2:$I$1000,$I58,'1_原始數據'!$C$2:$C$1000,"pasco_pct_acid"))))</f>
        <v/>
      </c>
      <c r="P58" s="26">
        <f>IF($A58="","",IF(OR(N58="",O58=""),"",O58-N58))</f>
        <v/>
      </c>
      <c r="Q58" s="24">
        <f>IF($A58="","",IF(P58="","",(O58+N58)/2))</f>
        <v/>
      </c>
      <c r="R58" s="27">
        <f>IF($A58="","",IF(P58="","",COUNT($P$2:P58)))</f>
        <v/>
      </c>
    </row>
    <row r="59">
      <c r="J59" s="24">
        <f>IF($A59="","",IF($C59&lt;&gt;"khp_titration_mL","",IF(COUNTIFS('1_原始數據'!$A$2:$A$1000,$A59,'1_原始數據'!$B$2:$B$1000,$B59,'1_原始數據'!$D$2:$D$1000,$D59,'1_原始數據'!$C$2:$C$1000,"khp_mass_g")=0,"",SUMIFS('1_原始數據'!$E$2:$E$1000,'1_原始數據'!$A$2:$A$1000,$A59,'1_原始數據'!$B$2:$B$1000,$B59,'1_原始數據'!$D$2:$D$1000,$D59,'1_原始數據'!$C$2:$C$1000,"khp_mass_g")/('2_NaOH標定'!$C$5*$E59/1000))))</f>
        <v/>
      </c>
      <c r="K59" s="24">
        <f>IF($A59="","",IF($C59&lt;&gt;"manual_titration_mL","",IF(COUNTIFS('1_原始數據'!$A$2:$A$1000,$A59,'1_原始數據'!$C$2:$C$1000,"khp_titration_mL")=0,"",AVERAGEIFS('1_原始數據'!$J$2:$J$1000,'1_原始數據'!$A$2:$A$1000,$A59,'1_原始數據'!$C$2:$C$1000,"khp_titration_mL"))))</f>
        <v/>
      </c>
      <c r="L59" s="25">
        <f>IF($A59="","",IF($C59&lt;&gt;"manual_titration_mL","",IFERROR(INDEX('3_可滴定酸度'!$E$6:$E$13,MATCH($I59,'3_可滴定酸度'!$B$6:$B$13,0)),"")))</f>
        <v/>
      </c>
      <c r="M59" s="25">
        <f>IF($A59="","",IF($C59&lt;&gt;"manual_titration_mL","",IFERROR(INDEX('3_可滴定酸度'!$F$6:$F$13,MATCH($I59,'3_可滴定酸度'!$B$6:$B$13,0)),"")))</f>
        <v/>
      </c>
      <c r="N59" s="24">
        <f>IF($A59="","",IF(OR(K59="",L59="",M59=""),"",K59*E59*L59/(M59*1000)*100))</f>
        <v/>
      </c>
      <c r="O59" s="24">
        <f>IF($A59="","",IF(N59="","",IF(COUNTIFS('1_原始數據'!$A$2:$A$1000,$A59,'1_原始數據'!$B$2:$B$1000,$B59,'1_原始數據'!$D$2:$D$1000,$D59,'1_原始數據'!$I$2:$I$1000,$I59,'1_原始數據'!$C$2:$C$1000,"pasco_pct_acid")=0,"",SUMIFS('1_原始數據'!$E$2:$E$1000,'1_原始數據'!$A$2:$A$1000,$A59,'1_原始數據'!$B$2:$B$1000,$B59,'1_原始數據'!$D$2:$D$1000,$D59,'1_原始數據'!$I$2:$I$1000,$I59,'1_原始數據'!$C$2:$C$1000,"pasco_pct_acid"))))</f>
        <v/>
      </c>
      <c r="P59" s="26">
        <f>IF($A59="","",IF(OR(N59="",O59=""),"",O59-N59))</f>
        <v/>
      </c>
      <c r="Q59" s="24">
        <f>IF($A59="","",IF(P59="","",(O59+N59)/2))</f>
        <v/>
      </c>
      <c r="R59" s="27">
        <f>IF($A59="","",IF(P59="","",COUNT($P$2:P59)))</f>
        <v/>
      </c>
    </row>
    <row r="60">
      <c r="J60" s="24">
        <f>IF($A60="","",IF($C60&lt;&gt;"khp_titration_mL","",IF(COUNTIFS('1_原始數據'!$A$2:$A$1000,$A60,'1_原始數據'!$B$2:$B$1000,$B60,'1_原始數據'!$D$2:$D$1000,$D60,'1_原始數據'!$C$2:$C$1000,"khp_mass_g")=0,"",SUMIFS('1_原始數據'!$E$2:$E$1000,'1_原始數據'!$A$2:$A$1000,$A60,'1_原始數據'!$B$2:$B$1000,$B60,'1_原始數據'!$D$2:$D$1000,$D60,'1_原始數據'!$C$2:$C$1000,"khp_mass_g")/('2_NaOH標定'!$C$5*$E60/1000))))</f>
        <v/>
      </c>
      <c r="K60" s="24">
        <f>IF($A60="","",IF($C60&lt;&gt;"manual_titration_mL","",IF(COUNTIFS('1_原始數據'!$A$2:$A$1000,$A60,'1_原始數據'!$C$2:$C$1000,"khp_titration_mL")=0,"",AVERAGEIFS('1_原始數據'!$J$2:$J$1000,'1_原始數據'!$A$2:$A$1000,$A60,'1_原始數據'!$C$2:$C$1000,"khp_titration_mL"))))</f>
        <v/>
      </c>
      <c r="L60" s="25">
        <f>IF($A60="","",IF($C60&lt;&gt;"manual_titration_mL","",IFERROR(INDEX('3_可滴定酸度'!$E$6:$E$13,MATCH($I60,'3_可滴定酸度'!$B$6:$B$13,0)),"")))</f>
        <v/>
      </c>
      <c r="M60" s="25">
        <f>IF($A60="","",IF($C60&lt;&gt;"manual_titration_mL","",IFERROR(INDEX('3_可滴定酸度'!$F$6:$F$13,MATCH($I60,'3_可滴定酸度'!$B$6:$B$13,0)),"")))</f>
        <v/>
      </c>
      <c r="N60" s="24">
        <f>IF($A60="","",IF(OR(K60="",L60="",M60=""),"",K60*E60*L60/(M60*1000)*100))</f>
        <v/>
      </c>
      <c r="O60" s="24">
        <f>IF($A60="","",IF(N60="","",IF(COUNTIFS('1_原始數據'!$A$2:$A$1000,$A60,'1_原始數據'!$B$2:$B$1000,$B60,'1_原始數據'!$D$2:$D$1000,$D60,'1_原始數據'!$I$2:$I$1000,$I60,'1_原始數據'!$C$2:$C$1000,"pasco_pct_acid")=0,"",SUMIFS('1_原始數據'!$E$2:$E$1000,'1_原始數據'!$A$2:$A$1000,$A60,'1_原始數據'!$B$2:$B$1000,$B60,'1_原始數據'!$D$2:$D$1000,$D60,'1_原始數據'!$I$2:$I$1000,$I60,'1_原始數據'!$C$2:$C$1000,"pasco_pct_acid"))))</f>
        <v/>
      </c>
      <c r="P60" s="26">
        <f>IF($A60="","",IF(OR(N60="",O60=""),"",O60-N60))</f>
        <v/>
      </c>
      <c r="Q60" s="24">
        <f>IF($A60="","",IF(P60="","",(O60+N60)/2))</f>
        <v/>
      </c>
      <c r="R60" s="27">
        <f>IF($A60="","",IF(P60="","",COUNT($P$2:P60)))</f>
        <v/>
      </c>
    </row>
    <row r="61">
      <c r="J61" s="24">
        <f>IF($A61="","",IF($C61&lt;&gt;"khp_titration_mL","",IF(COUNTIFS('1_原始數據'!$A$2:$A$1000,$A61,'1_原始數據'!$B$2:$B$1000,$B61,'1_原始數據'!$D$2:$D$1000,$D61,'1_原始數據'!$C$2:$C$1000,"khp_mass_g")=0,"",SUMIFS('1_原始數據'!$E$2:$E$1000,'1_原始數據'!$A$2:$A$1000,$A61,'1_原始數據'!$B$2:$B$1000,$B61,'1_原始數據'!$D$2:$D$1000,$D61,'1_原始數據'!$C$2:$C$1000,"khp_mass_g")/('2_NaOH標定'!$C$5*$E61/1000))))</f>
        <v/>
      </c>
      <c r="K61" s="24">
        <f>IF($A61="","",IF($C61&lt;&gt;"manual_titration_mL","",IF(COUNTIFS('1_原始數據'!$A$2:$A$1000,$A61,'1_原始數據'!$C$2:$C$1000,"khp_titration_mL")=0,"",AVERAGEIFS('1_原始數據'!$J$2:$J$1000,'1_原始數據'!$A$2:$A$1000,$A61,'1_原始數據'!$C$2:$C$1000,"khp_titration_mL"))))</f>
        <v/>
      </c>
      <c r="L61" s="25">
        <f>IF($A61="","",IF($C61&lt;&gt;"manual_titration_mL","",IFERROR(INDEX('3_可滴定酸度'!$E$6:$E$13,MATCH($I61,'3_可滴定酸度'!$B$6:$B$13,0)),"")))</f>
        <v/>
      </c>
      <c r="M61" s="25">
        <f>IF($A61="","",IF($C61&lt;&gt;"manual_titration_mL","",IFERROR(INDEX('3_可滴定酸度'!$F$6:$F$13,MATCH($I61,'3_可滴定酸度'!$B$6:$B$13,0)),"")))</f>
        <v/>
      </c>
      <c r="N61" s="24">
        <f>IF($A61="","",IF(OR(K61="",L61="",M61=""),"",K61*E61*L61/(M61*1000)*100))</f>
        <v/>
      </c>
      <c r="O61" s="24">
        <f>IF($A61="","",IF(N61="","",IF(COUNTIFS('1_原始數據'!$A$2:$A$1000,$A61,'1_原始數據'!$B$2:$B$1000,$B61,'1_原始數據'!$D$2:$D$1000,$D61,'1_原始數據'!$I$2:$I$1000,$I61,'1_原始數據'!$C$2:$C$1000,"pasco_pct_acid")=0,"",SUMIFS('1_原始數據'!$E$2:$E$1000,'1_原始數據'!$A$2:$A$1000,$A61,'1_原始數據'!$B$2:$B$1000,$B61,'1_原始數據'!$D$2:$D$1000,$D61,'1_原始數據'!$I$2:$I$1000,$I61,'1_原始數據'!$C$2:$C$1000,"pasco_pct_acid"))))</f>
        <v/>
      </c>
      <c r="P61" s="26">
        <f>IF($A61="","",IF(OR(N61="",O61=""),"",O61-N61))</f>
        <v/>
      </c>
      <c r="Q61" s="24">
        <f>IF($A61="","",IF(P61="","",(O61+N61)/2))</f>
        <v/>
      </c>
      <c r="R61" s="27">
        <f>IF($A61="","",IF(P61="","",COUNT($P$2:P61)))</f>
        <v/>
      </c>
    </row>
    <row r="62">
      <c r="J62" s="24">
        <f>IF($A62="","",IF($C62&lt;&gt;"khp_titration_mL","",IF(COUNTIFS('1_原始數據'!$A$2:$A$1000,$A62,'1_原始數據'!$B$2:$B$1000,$B62,'1_原始數據'!$D$2:$D$1000,$D62,'1_原始數據'!$C$2:$C$1000,"khp_mass_g")=0,"",SUMIFS('1_原始數據'!$E$2:$E$1000,'1_原始數據'!$A$2:$A$1000,$A62,'1_原始數據'!$B$2:$B$1000,$B62,'1_原始數據'!$D$2:$D$1000,$D62,'1_原始數據'!$C$2:$C$1000,"khp_mass_g")/('2_NaOH標定'!$C$5*$E62/1000))))</f>
        <v/>
      </c>
      <c r="K62" s="24">
        <f>IF($A62="","",IF($C62&lt;&gt;"manual_titration_mL","",IF(COUNTIFS('1_原始數據'!$A$2:$A$1000,$A62,'1_原始數據'!$C$2:$C$1000,"khp_titration_mL")=0,"",AVERAGEIFS('1_原始數據'!$J$2:$J$1000,'1_原始數據'!$A$2:$A$1000,$A62,'1_原始數據'!$C$2:$C$1000,"khp_titration_mL"))))</f>
        <v/>
      </c>
      <c r="L62" s="25">
        <f>IF($A62="","",IF($C62&lt;&gt;"manual_titration_mL","",IFERROR(INDEX('3_可滴定酸度'!$E$6:$E$13,MATCH($I62,'3_可滴定酸度'!$B$6:$B$13,0)),"")))</f>
        <v/>
      </c>
      <c r="M62" s="25">
        <f>IF($A62="","",IF($C62&lt;&gt;"manual_titration_mL","",IFERROR(INDEX('3_可滴定酸度'!$F$6:$F$13,MATCH($I62,'3_可滴定酸度'!$B$6:$B$13,0)),"")))</f>
        <v/>
      </c>
      <c r="N62" s="24">
        <f>IF($A62="","",IF(OR(K62="",L62="",M62=""),"",K62*E62*L62/(M62*1000)*100))</f>
        <v/>
      </c>
      <c r="O62" s="24">
        <f>IF($A62="","",IF(N62="","",IF(COUNTIFS('1_原始數據'!$A$2:$A$1000,$A62,'1_原始數據'!$B$2:$B$1000,$B62,'1_原始數據'!$D$2:$D$1000,$D62,'1_原始數據'!$I$2:$I$1000,$I62,'1_原始數據'!$C$2:$C$1000,"pasco_pct_acid")=0,"",SUMIFS('1_原始數據'!$E$2:$E$1000,'1_原始數據'!$A$2:$A$1000,$A62,'1_原始數據'!$B$2:$B$1000,$B62,'1_原始數據'!$D$2:$D$1000,$D62,'1_原始數據'!$I$2:$I$1000,$I62,'1_原始數據'!$C$2:$C$1000,"pasco_pct_acid"))))</f>
        <v/>
      </c>
      <c r="P62" s="26">
        <f>IF($A62="","",IF(OR(N62="",O62=""),"",O62-N62))</f>
        <v/>
      </c>
      <c r="Q62" s="24">
        <f>IF($A62="","",IF(P62="","",(O62+N62)/2))</f>
        <v/>
      </c>
      <c r="R62" s="27">
        <f>IF($A62="","",IF(P62="","",COUNT($P$2:P62)))</f>
        <v/>
      </c>
    </row>
    <row r="63">
      <c r="J63" s="24">
        <f>IF($A63="","",IF($C63&lt;&gt;"khp_titration_mL","",IF(COUNTIFS('1_原始數據'!$A$2:$A$1000,$A63,'1_原始數據'!$B$2:$B$1000,$B63,'1_原始數據'!$D$2:$D$1000,$D63,'1_原始數據'!$C$2:$C$1000,"khp_mass_g")=0,"",SUMIFS('1_原始數據'!$E$2:$E$1000,'1_原始數據'!$A$2:$A$1000,$A63,'1_原始數據'!$B$2:$B$1000,$B63,'1_原始數據'!$D$2:$D$1000,$D63,'1_原始數據'!$C$2:$C$1000,"khp_mass_g")/('2_NaOH標定'!$C$5*$E63/1000))))</f>
        <v/>
      </c>
      <c r="K63" s="24">
        <f>IF($A63="","",IF($C63&lt;&gt;"manual_titration_mL","",IF(COUNTIFS('1_原始數據'!$A$2:$A$1000,$A63,'1_原始數據'!$C$2:$C$1000,"khp_titration_mL")=0,"",AVERAGEIFS('1_原始數據'!$J$2:$J$1000,'1_原始數據'!$A$2:$A$1000,$A63,'1_原始數據'!$C$2:$C$1000,"khp_titration_mL"))))</f>
        <v/>
      </c>
      <c r="L63" s="25">
        <f>IF($A63="","",IF($C63&lt;&gt;"manual_titration_mL","",IFERROR(INDEX('3_可滴定酸度'!$E$6:$E$13,MATCH($I63,'3_可滴定酸度'!$B$6:$B$13,0)),"")))</f>
        <v/>
      </c>
      <c r="M63" s="25">
        <f>IF($A63="","",IF($C63&lt;&gt;"manual_titration_mL","",IFERROR(INDEX('3_可滴定酸度'!$F$6:$F$13,MATCH($I63,'3_可滴定酸度'!$B$6:$B$13,0)),"")))</f>
        <v/>
      </c>
      <c r="N63" s="24">
        <f>IF($A63="","",IF(OR(K63="",L63="",M63=""),"",K63*E63*L63/(M63*1000)*100))</f>
        <v/>
      </c>
      <c r="O63" s="24">
        <f>IF($A63="","",IF(N63="","",IF(COUNTIFS('1_原始數據'!$A$2:$A$1000,$A63,'1_原始數據'!$B$2:$B$1000,$B63,'1_原始數據'!$D$2:$D$1000,$D63,'1_原始數據'!$I$2:$I$1000,$I63,'1_原始數據'!$C$2:$C$1000,"pasco_pct_acid")=0,"",SUMIFS('1_原始數據'!$E$2:$E$1000,'1_原始數據'!$A$2:$A$1000,$A63,'1_原始數據'!$B$2:$B$1000,$B63,'1_原始數據'!$D$2:$D$1000,$D63,'1_原始數據'!$I$2:$I$1000,$I63,'1_原始數據'!$C$2:$C$1000,"pasco_pct_acid"))))</f>
        <v/>
      </c>
      <c r="P63" s="26">
        <f>IF($A63="","",IF(OR(N63="",O63=""),"",O63-N63))</f>
        <v/>
      </c>
      <c r="Q63" s="24">
        <f>IF($A63="","",IF(P63="","",(O63+N63)/2))</f>
        <v/>
      </c>
      <c r="R63" s="27">
        <f>IF($A63="","",IF(P63="","",COUNT($P$2:P63)))</f>
        <v/>
      </c>
    </row>
    <row r="64">
      <c r="J64" s="24">
        <f>IF($A64="","",IF($C64&lt;&gt;"khp_titration_mL","",IF(COUNTIFS('1_原始數據'!$A$2:$A$1000,$A64,'1_原始數據'!$B$2:$B$1000,$B64,'1_原始數據'!$D$2:$D$1000,$D64,'1_原始數據'!$C$2:$C$1000,"khp_mass_g")=0,"",SUMIFS('1_原始數據'!$E$2:$E$1000,'1_原始數據'!$A$2:$A$1000,$A64,'1_原始數據'!$B$2:$B$1000,$B64,'1_原始數據'!$D$2:$D$1000,$D64,'1_原始數據'!$C$2:$C$1000,"khp_mass_g")/('2_NaOH標定'!$C$5*$E64/1000))))</f>
        <v/>
      </c>
      <c r="K64" s="24">
        <f>IF($A64="","",IF($C64&lt;&gt;"manual_titration_mL","",IF(COUNTIFS('1_原始數據'!$A$2:$A$1000,$A64,'1_原始數據'!$C$2:$C$1000,"khp_titration_mL")=0,"",AVERAGEIFS('1_原始數據'!$J$2:$J$1000,'1_原始數據'!$A$2:$A$1000,$A64,'1_原始數據'!$C$2:$C$1000,"khp_titration_mL"))))</f>
        <v/>
      </c>
      <c r="L64" s="25">
        <f>IF($A64="","",IF($C64&lt;&gt;"manual_titration_mL","",IFERROR(INDEX('3_可滴定酸度'!$E$6:$E$13,MATCH($I64,'3_可滴定酸度'!$B$6:$B$13,0)),"")))</f>
        <v/>
      </c>
      <c r="M64" s="25">
        <f>IF($A64="","",IF($C64&lt;&gt;"manual_titration_mL","",IFERROR(INDEX('3_可滴定酸度'!$F$6:$F$13,MATCH($I64,'3_可滴定酸度'!$B$6:$B$13,0)),"")))</f>
        <v/>
      </c>
      <c r="N64" s="24">
        <f>IF($A64="","",IF(OR(K64="",L64="",M64=""),"",K64*E64*L64/(M64*1000)*100))</f>
        <v/>
      </c>
      <c r="O64" s="24">
        <f>IF($A64="","",IF(N64="","",IF(COUNTIFS('1_原始數據'!$A$2:$A$1000,$A64,'1_原始數據'!$B$2:$B$1000,$B64,'1_原始數據'!$D$2:$D$1000,$D64,'1_原始數據'!$I$2:$I$1000,$I64,'1_原始數據'!$C$2:$C$1000,"pasco_pct_acid")=0,"",SUMIFS('1_原始數據'!$E$2:$E$1000,'1_原始數據'!$A$2:$A$1000,$A64,'1_原始數據'!$B$2:$B$1000,$B64,'1_原始數據'!$D$2:$D$1000,$D64,'1_原始數據'!$I$2:$I$1000,$I64,'1_原始數據'!$C$2:$C$1000,"pasco_pct_acid"))))</f>
        <v/>
      </c>
      <c r="P64" s="26">
        <f>IF($A64="","",IF(OR(N64="",O64=""),"",O64-N64))</f>
        <v/>
      </c>
      <c r="Q64" s="24">
        <f>IF($A64="","",IF(P64="","",(O64+N64)/2))</f>
        <v/>
      </c>
      <c r="R64" s="27">
        <f>IF($A64="","",IF(P64="","",COUNT($P$2:P64)))</f>
        <v/>
      </c>
    </row>
    <row r="65">
      <c r="J65" s="24">
        <f>IF($A65="","",IF($C65&lt;&gt;"khp_titration_mL","",IF(COUNTIFS('1_原始數據'!$A$2:$A$1000,$A65,'1_原始數據'!$B$2:$B$1000,$B65,'1_原始數據'!$D$2:$D$1000,$D65,'1_原始數據'!$C$2:$C$1000,"khp_mass_g")=0,"",SUMIFS('1_原始數據'!$E$2:$E$1000,'1_原始數據'!$A$2:$A$1000,$A65,'1_原始數據'!$B$2:$B$1000,$B65,'1_原始數據'!$D$2:$D$1000,$D65,'1_原始數據'!$C$2:$C$1000,"khp_mass_g")/('2_NaOH標定'!$C$5*$E65/1000))))</f>
        <v/>
      </c>
      <c r="K65" s="24">
        <f>IF($A65="","",IF($C65&lt;&gt;"manual_titration_mL","",IF(COUNTIFS('1_原始數據'!$A$2:$A$1000,$A65,'1_原始數據'!$C$2:$C$1000,"khp_titration_mL")=0,"",AVERAGEIFS('1_原始數據'!$J$2:$J$1000,'1_原始數據'!$A$2:$A$1000,$A65,'1_原始數據'!$C$2:$C$1000,"khp_titration_mL"))))</f>
        <v/>
      </c>
      <c r="L65" s="25">
        <f>IF($A65="","",IF($C65&lt;&gt;"manual_titration_mL","",IFERROR(INDEX('3_可滴定酸度'!$E$6:$E$13,MATCH($I65,'3_可滴定酸度'!$B$6:$B$13,0)),"")))</f>
        <v/>
      </c>
      <c r="M65" s="25">
        <f>IF($A65="","",IF($C65&lt;&gt;"manual_titration_mL","",IFERROR(INDEX('3_可滴定酸度'!$F$6:$F$13,MATCH($I65,'3_可滴定酸度'!$B$6:$B$13,0)),"")))</f>
        <v/>
      </c>
      <c r="N65" s="24">
        <f>IF($A65="","",IF(OR(K65="",L65="",M65=""),"",K65*E65*L65/(M65*1000)*100))</f>
        <v/>
      </c>
      <c r="O65" s="24">
        <f>IF($A65="","",IF(N65="","",IF(COUNTIFS('1_原始數據'!$A$2:$A$1000,$A65,'1_原始數據'!$B$2:$B$1000,$B65,'1_原始數據'!$D$2:$D$1000,$D65,'1_原始數據'!$I$2:$I$1000,$I65,'1_原始數據'!$C$2:$C$1000,"pasco_pct_acid")=0,"",SUMIFS('1_原始數據'!$E$2:$E$1000,'1_原始數據'!$A$2:$A$1000,$A65,'1_原始數據'!$B$2:$B$1000,$B65,'1_原始數據'!$D$2:$D$1000,$D65,'1_原始數據'!$I$2:$I$1000,$I65,'1_原始數據'!$C$2:$C$1000,"pasco_pct_acid"))))</f>
        <v/>
      </c>
      <c r="P65" s="26">
        <f>IF($A65="","",IF(OR(N65="",O65=""),"",O65-N65))</f>
        <v/>
      </c>
      <c r="Q65" s="24">
        <f>IF($A65="","",IF(P65="","",(O65+N65)/2))</f>
        <v/>
      </c>
      <c r="R65" s="27">
        <f>IF($A65="","",IF(P65="","",COUNT($P$2:P65)))</f>
        <v/>
      </c>
    </row>
    <row r="66">
      <c r="J66" s="24">
        <f>IF($A66="","",IF($C66&lt;&gt;"khp_titration_mL","",IF(COUNTIFS('1_原始數據'!$A$2:$A$1000,$A66,'1_原始數據'!$B$2:$B$1000,$B66,'1_原始數據'!$D$2:$D$1000,$D66,'1_原始數據'!$C$2:$C$1000,"khp_mass_g")=0,"",SUMIFS('1_原始數據'!$E$2:$E$1000,'1_原始數據'!$A$2:$A$1000,$A66,'1_原始數據'!$B$2:$B$1000,$B66,'1_原始數據'!$D$2:$D$1000,$D66,'1_原始數據'!$C$2:$C$1000,"khp_mass_g")/('2_NaOH標定'!$C$5*$E66/1000))))</f>
        <v/>
      </c>
      <c r="K66" s="24">
        <f>IF($A66="","",IF($C66&lt;&gt;"manual_titration_mL","",IF(COUNTIFS('1_原始數據'!$A$2:$A$1000,$A66,'1_原始數據'!$C$2:$C$1000,"khp_titration_mL")=0,"",AVERAGEIFS('1_原始數據'!$J$2:$J$1000,'1_原始數據'!$A$2:$A$1000,$A66,'1_原始數據'!$C$2:$C$1000,"khp_titration_mL"))))</f>
        <v/>
      </c>
      <c r="L66" s="25">
        <f>IF($A66="","",IF($C66&lt;&gt;"manual_titration_mL","",IFERROR(INDEX('3_可滴定酸度'!$E$6:$E$13,MATCH($I66,'3_可滴定酸度'!$B$6:$B$13,0)),"")))</f>
        <v/>
      </c>
      <c r="M66" s="25">
        <f>IF($A66="","",IF($C66&lt;&gt;"manual_titration_mL","",IFERROR(INDEX('3_可滴定酸度'!$F$6:$F$13,MATCH($I66,'3_可滴定酸度'!$B$6:$B$13,0)),"")))</f>
        <v/>
      </c>
      <c r="N66" s="24">
        <f>IF($A66="","",IF(OR(K66="",L66="",M66=""),"",K66*E66*L66/(M66*1000)*100))</f>
        <v/>
      </c>
      <c r="O66" s="24">
        <f>IF($A66="","",IF(N66="","",IF(COUNTIFS('1_原始數據'!$A$2:$A$1000,$A66,'1_原始數據'!$B$2:$B$1000,$B66,'1_原始數據'!$D$2:$D$1000,$D66,'1_原始數據'!$I$2:$I$1000,$I66,'1_原始數據'!$C$2:$C$1000,"pasco_pct_acid")=0,"",SUMIFS('1_原始數據'!$E$2:$E$1000,'1_原始數據'!$A$2:$A$1000,$A66,'1_原始數據'!$B$2:$B$1000,$B66,'1_原始數據'!$D$2:$D$1000,$D66,'1_原始數據'!$I$2:$I$1000,$I66,'1_原始數據'!$C$2:$C$1000,"pasco_pct_acid"))))</f>
        <v/>
      </c>
      <c r="P66" s="26">
        <f>IF($A66="","",IF(OR(N66="",O66=""),"",O66-N66))</f>
        <v/>
      </c>
      <c r="Q66" s="24">
        <f>IF($A66="","",IF(P66="","",(O66+N66)/2))</f>
        <v/>
      </c>
      <c r="R66" s="27">
        <f>IF($A66="","",IF(P66="","",COUNT($P$2:P66)))</f>
        <v/>
      </c>
    </row>
    <row r="67">
      <c r="J67" s="24">
        <f>IF($A67="","",IF($C67&lt;&gt;"khp_titration_mL","",IF(COUNTIFS('1_原始數據'!$A$2:$A$1000,$A67,'1_原始數據'!$B$2:$B$1000,$B67,'1_原始數據'!$D$2:$D$1000,$D67,'1_原始數據'!$C$2:$C$1000,"khp_mass_g")=0,"",SUMIFS('1_原始數據'!$E$2:$E$1000,'1_原始數據'!$A$2:$A$1000,$A67,'1_原始數據'!$B$2:$B$1000,$B67,'1_原始數據'!$D$2:$D$1000,$D67,'1_原始數據'!$C$2:$C$1000,"khp_mass_g")/('2_NaOH標定'!$C$5*$E67/1000))))</f>
        <v/>
      </c>
      <c r="K67" s="24">
        <f>IF($A67="","",IF($C67&lt;&gt;"manual_titration_mL","",IF(COUNTIFS('1_原始數據'!$A$2:$A$1000,$A67,'1_原始數據'!$C$2:$C$1000,"khp_titration_mL")=0,"",AVERAGEIFS('1_原始數據'!$J$2:$J$1000,'1_原始數據'!$A$2:$A$1000,$A67,'1_原始數據'!$C$2:$C$1000,"khp_titration_mL"))))</f>
        <v/>
      </c>
      <c r="L67" s="25">
        <f>IF($A67="","",IF($C67&lt;&gt;"manual_titration_mL","",IFERROR(INDEX('3_可滴定酸度'!$E$6:$E$13,MATCH($I67,'3_可滴定酸度'!$B$6:$B$13,0)),"")))</f>
        <v/>
      </c>
      <c r="M67" s="25">
        <f>IF($A67="","",IF($C67&lt;&gt;"manual_titration_mL","",IFERROR(INDEX('3_可滴定酸度'!$F$6:$F$13,MATCH($I67,'3_可滴定酸度'!$B$6:$B$13,0)),"")))</f>
        <v/>
      </c>
      <c r="N67" s="24">
        <f>IF($A67="","",IF(OR(K67="",L67="",M67=""),"",K67*E67*L67/(M67*1000)*100))</f>
        <v/>
      </c>
      <c r="O67" s="24">
        <f>IF($A67="","",IF(N67="","",IF(COUNTIFS('1_原始數據'!$A$2:$A$1000,$A67,'1_原始數據'!$B$2:$B$1000,$B67,'1_原始數據'!$D$2:$D$1000,$D67,'1_原始數據'!$I$2:$I$1000,$I67,'1_原始數據'!$C$2:$C$1000,"pasco_pct_acid")=0,"",SUMIFS('1_原始數據'!$E$2:$E$1000,'1_原始數據'!$A$2:$A$1000,$A67,'1_原始數據'!$B$2:$B$1000,$B67,'1_原始數據'!$D$2:$D$1000,$D67,'1_原始數據'!$I$2:$I$1000,$I67,'1_原始數據'!$C$2:$C$1000,"pasco_pct_acid"))))</f>
        <v/>
      </c>
      <c r="P67" s="26">
        <f>IF($A67="","",IF(OR(N67="",O67=""),"",O67-N67))</f>
        <v/>
      </c>
      <c r="Q67" s="24">
        <f>IF($A67="","",IF(P67="","",(O67+N67)/2))</f>
        <v/>
      </c>
      <c r="R67" s="27">
        <f>IF($A67="","",IF(P67="","",COUNT($P$2:P67)))</f>
        <v/>
      </c>
    </row>
    <row r="68">
      <c r="J68" s="24">
        <f>IF($A68="","",IF($C68&lt;&gt;"khp_titration_mL","",IF(COUNTIFS('1_原始數據'!$A$2:$A$1000,$A68,'1_原始數據'!$B$2:$B$1000,$B68,'1_原始數據'!$D$2:$D$1000,$D68,'1_原始數據'!$C$2:$C$1000,"khp_mass_g")=0,"",SUMIFS('1_原始數據'!$E$2:$E$1000,'1_原始數據'!$A$2:$A$1000,$A68,'1_原始數據'!$B$2:$B$1000,$B68,'1_原始數據'!$D$2:$D$1000,$D68,'1_原始數據'!$C$2:$C$1000,"khp_mass_g")/('2_NaOH標定'!$C$5*$E68/1000))))</f>
        <v/>
      </c>
      <c r="K68" s="24">
        <f>IF($A68="","",IF($C68&lt;&gt;"manual_titration_mL","",IF(COUNTIFS('1_原始數據'!$A$2:$A$1000,$A68,'1_原始數據'!$C$2:$C$1000,"khp_titration_mL")=0,"",AVERAGEIFS('1_原始數據'!$J$2:$J$1000,'1_原始數據'!$A$2:$A$1000,$A68,'1_原始數據'!$C$2:$C$1000,"khp_titration_mL"))))</f>
        <v/>
      </c>
      <c r="L68" s="25">
        <f>IF($A68="","",IF($C68&lt;&gt;"manual_titration_mL","",IFERROR(INDEX('3_可滴定酸度'!$E$6:$E$13,MATCH($I68,'3_可滴定酸度'!$B$6:$B$13,0)),"")))</f>
        <v/>
      </c>
      <c r="M68" s="25">
        <f>IF($A68="","",IF($C68&lt;&gt;"manual_titration_mL","",IFERROR(INDEX('3_可滴定酸度'!$F$6:$F$13,MATCH($I68,'3_可滴定酸度'!$B$6:$B$13,0)),"")))</f>
        <v/>
      </c>
      <c r="N68" s="24">
        <f>IF($A68="","",IF(OR(K68="",L68="",M68=""),"",K68*E68*L68/(M68*1000)*100))</f>
        <v/>
      </c>
      <c r="O68" s="24">
        <f>IF($A68="","",IF(N68="","",IF(COUNTIFS('1_原始數據'!$A$2:$A$1000,$A68,'1_原始數據'!$B$2:$B$1000,$B68,'1_原始數據'!$D$2:$D$1000,$D68,'1_原始數據'!$I$2:$I$1000,$I68,'1_原始數據'!$C$2:$C$1000,"pasco_pct_acid")=0,"",SUMIFS('1_原始數據'!$E$2:$E$1000,'1_原始數據'!$A$2:$A$1000,$A68,'1_原始數據'!$B$2:$B$1000,$B68,'1_原始數據'!$D$2:$D$1000,$D68,'1_原始數據'!$I$2:$I$1000,$I68,'1_原始數據'!$C$2:$C$1000,"pasco_pct_acid"))))</f>
        <v/>
      </c>
      <c r="P68" s="26">
        <f>IF($A68="","",IF(OR(N68="",O68=""),"",O68-N68))</f>
        <v/>
      </c>
      <c r="Q68" s="24">
        <f>IF($A68="","",IF(P68="","",(O68+N68)/2))</f>
        <v/>
      </c>
      <c r="R68" s="27">
        <f>IF($A68="","",IF(P68="","",COUNT($P$2:P68)))</f>
        <v/>
      </c>
    </row>
    <row r="69">
      <c r="J69" s="24">
        <f>IF($A69="","",IF($C69&lt;&gt;"khp_titration_mL","",IF(COUNTIFS('1_原始數據'!$A$2:$A$1000,$A69,'1_原始數據'!$B$2:$B$1000,$B69,'1_原始數據'!$D$2:$D$1000,$D69,'1_原始數據'!$C$2:$C$1000,"khp_mass_g")=0,"",SUMIFS('1_原始數據'!$E$2:$E$1000,'1_原始數據'!$A$2:$A$1000,$A69,'1_原始數據'!$B$2:$B$1000,$B69,'1_原始數據'!$D$2:$D$1000,$D69,'1_原始數據'!$C$2:$C$1000,"khp_mass_g")/('2_NaOH標定'!$C$5*$E69/1000))))</f>
        <v/>
      </c>
      <c r="K69" s="24">
        <f>IF($A69="","",IF($C69&lt;&gt;"manual_titration_mL","",IF(COUNTIFS('1_原始數據'!$A$2:$A$1000,$A69,'1_原始數據'!$C$2:$C$1000,"khp_titration_mL")=0,"",AVERAGEIFS('1_原始數據'!$J$2:$J$1000,'1_原始數據'!$A$2:$A$1000,$A69,'1_原始數據'!$C$2:$C$1000,"khp_titration_mL"))))</f>
        <v/>
      </c>
      <c r="L69" s="25">
        <f>IF($A69="","",IF($C69&lt;&gt;"manual_titration_mL","",IFERROR(INDEX('3_可滴定酸度'!$E$6:$E$13,MATCH($I69,'3_可滴定酸度'!$B$6:$B$13,0)),"")))</f>
        <v/>
      </c>
      <c r="M69" s="25">
        <f>IF($A69="","",IF($C69&lt;&gt;"manual_titration_mL","",IFERROR(INDEX('3_可滴定酸度'!$F$6:$F$13,MATCH($I69,'3_可滴定酸度'!$B$6:$B$13,0)),"")))</f>
        <v/>
      </c>
      <c r="N69" s="24">
        <f>IF($A69="","",IF(OR(K69="",L69="",M69=""),"",K69*E69*L69/(M69*1000)*100))</f>
        <v/>
      </c>
      <c r="O69" s="24">
        <f>IF($A69="","",IF(N69="","",IF(COUNTIFS('1_原始數據'!$A$2:$A$1000,$A69,'1_原始數據'!$B$2:$B$1000,$B69,'1_原始數據'!$D$2:$D$1000,$D69,'1_原始數據'!$I$2:$I$1000,$I69,'1_原始數據'!$C$2:$C$1000,"pasco_pct_acid")=0,"",SUMIFS('1_原始數據'!$E$2:$E$1000,'1_原始數據'!$A$2:$A$1000,$A69,'1_原始數據'!$B$2:$B$1000,$B69,'1_原始數據'!$D$2:$D$1000,$D69,'1_原始數據'!$I$2:$I$1000,$I69,'1_原始數據'!$C$2:$C$1000,"pasco_pct_acid"))))</f>
        <v/>
      </c>
      <c r="P69" s="26">
        <f>IF($A69="","",IF(OR(N69="",O69=""),"",O69-N69))</f>
        <v/>
      </c>
      <c r="Q69" s="24">
        <f>IF($A69="","",IF(P69="","",(O69+N69)/2))</f>
        <v/>
      </c>
      <c r="R69" s="27">
        <f>IF($A69="","",IF(P69="","",COUNT($P$2:P69)))</f>
        <v/>
      </c>
    </row>
    <row r="70">
      <c r="J70" s="24">
        <f>IF($A70="","",IF($C70&lt;&gt;"khp_titration_mL","",IF(COUNTIFS('1_原始數據'!$A$2:$A$1000,$A70,'1_原始數據'!$B$2:$B$1000,$B70,'1_原始數據'!$D$2:$D$1000,$D70,'1_原始數據'!$C$2:$C$1000,"khp_mass_g")=0,"",SUMIFS('1_原始數據'!$E$2:$E$1000,'1_原始數據'!$A$2:$A$1000,$A70,'1_原始數據'!$B$2:$B$1000,$B70,'1_原始數據'!$D$2:$D$1000,$D70,'1_原始數據'!$C$2:$C$1000,"khp_mass_g")/('2_NaOH標定'!$C$5*$E70/1000))))</f>
        <v/>
      </c>
      <c r="K70" s="24">
        <f>IF($A70="","",IF($C70&lt;&gt;"manual_titration_mL","",IF(COUNTIFS('1_原始數據'!$A$2:$A$1000,$A70,'1_原始數據'!$C$2:$C$1000,"khp_titration_mL")=0,"",AVERAGEIFS('1_原始數據'!$J$2:$J$1000,'1_原始數據'!$A$2:$A$1000,$A70,'1_原始數據'!$C$2:$C$1000,"khp_titration_mL"))))</f>
        <v/>
      </c>
      <c r="L70" s="25">
        <f>IF($A70="","",IF($C70&lt;&gt;"manual_titration_mL","",IFERROR(INDEX('3_可滴定酸度'!$E$6:$E$13,MATCH($I70,'3_可滴定酸度'!$B$6:$B$13,0)),"")))</f>
        <v/>
      </c>
      <c r="M70" s="25">
        <f>IF($A70="","",IF($C70&lt;&gt;"manual_titration_mL","",IFERROR(INDEX('3_可滴定酸度'!$F$6:$F$13,MATCH($I70,'3_可滴定酸度'!$B$6:$B$13,0)),"")))</f>
        <v/>
      </c>
      <c r="N70" s="24">
        <f>IF($A70="","",IF(OR(K70="",L70="",M70=""),"",K70*E70*L70/(M70*1000)*100))</f>
        <v/>
      </c>
      <c r="O70" s="24">
        <f>IF($A70="","",IF(N70="","",IF(COUNTIFS('1_原始數據'!$A$2:$A$1000,$A70,'1_原始數據'!$B$2:$B$1000,$B70,'1_原始數據'!$D$2:$D$1000,$D70,'1_原始數據'!$I$2:$I$1000,$I70,'1_原始數據'!$C$2:$C$1000,"pasco_pct_acid")=0,"",SUMIFS('1_原始數據'!$E$2:$E$1000,'1_原始數據'!$A$2:$A$1000,$A70,'1_原始數據'!$B$2:$B$1000,$B70,'1_原始數據'!$D$2:$D$1000,$D70,'1_原始數據'!$I$2:$I$1000,$I70,'1_原始數據'!$C$2:$C$1000,"pasco_pct_acid"))))</f>
        <v/>
      </c>
      <c r="P70" s="26">
        <f>IF($A70="","",IF(OR(N70="",O70=""),"",O70-N70))</f>
        <v/>
      </c>
      <c r="Q70" s="24">
        <f>IF($A70="","",IF(P70="","",(O70+N70)/2))</f>
        <v/>
      </c>
      <c r="R70" s="27">
        <f>IF($A70="","",IF(P70="","",COUNT($P$2:P70)))</f>
        <v/>
      </c>
    </row>
    <row r="71">
      <c r="J71" s="24">
        <f>IF($A71="","",IF($C71&lt;&gt;"khp_titration_mL","",IF(COUNTIFS('1_原始數據'!$A$2:$A$1000,$A71,'1_原始數據'!$B$2:$B$1000,$B71,'1_原始數據'!$D$2:$D$1000,$D71,'1_原始數據'!$C$2:$C$1000,"khp_mass_g")=0,"",SUMIFS('1_原始數據'!$E$2:$E$1000,'1_原始數據'!$A$2:$A$1000,$A71,'1_原始數據'!$B$2:$B$1000,$B71,'1_原始數據'!$D$2:$D$1000,$D71,'1_原始數據'!$C$2:$C$1000,"khp_mass_g")/('2_NaOH標定'!$C$5*$E71/1000))))</f>
        <v/>
      </c>
      <c r="K71" s="24">
        <f>IF($A71="","",IF($C71&lt;&gt;"manual_titration_mL","",IF(COUNTIFS('1_原始數據'!$A$2:$A$1000,$A71,'1_原始數據'!$C$2:$C$1000,"khp_titration_mL")=0,"",AVERAGEIFS('1_原始數據'!$J$2:$J$1000,'1_原始數據'!$A$2:$A$1000,$A71,'1_原始數據'!$C$2:$C$1000,"khp_titration_mL"))))</f>
        <v/>
      </c>
      <c r="L71" s="25">
        <f>IF($A71="","",IF($C71&lt;&gt;"manual_titration_mL","",IFERROR(INDEX('3_可滴定酸度'!$E$6:$E$13,MATCH($I71,'3_可滴定酸度'!$B$6:$B$13,0)),"")))</f>
        <v/>
      </c>
      <c r="M71" s="25">
        <f>IF($A71="","",IF($C71&lt;&gt;"manual_titration_mL","",IFERROR(INDEX('3_可滴定酸度'!$F$6:$F$13,MATCH($I71,'3_可滴定酸度'!$B$6:$B$13,0)),"")))</f>
        <v/>
      </c>
      <c r="N71" s="24">
        <f>IF($A71="","",IF(OR(K71="",L71="",M71=""),"",K71*E71*L71/(M71*1000)*100))</f>
        <v/>
      </c>
      <c r="O71" s="24">
        <f>IF($A71="","",IF(N71="","",IF(COUNTIFS('1_原始數據'!$A$2:$A$1000,$A71,'1_原始數據'!$B$2:$B$1000,$B71,'1_原始數據'!$D$2:$D$1000,$D71,'1_原始數據'!$I$2:$I$1000,$I71,'1_原始數據'!$C$2:$C$1000,"pasco_pct_acid")=0,"",SUMIFS('1_原始數據'!$E$2:$E$1000,'1_原始數據'!$A$2:$A$1000,$A71,'1_原始數據'!$B$2:$B$1000,$B71,'1_原始數據'!$D$2:$D$1000,$D71,'1_原始數據'!$I$2:$I$1000,$I71,'1_原始數據'!$C$2:$C$1000,"pasco_pct_acid"))))</f>
        <v/>
      </c>
      <c r="P71" s="26">
        <f>IF($A71="","",IF(OR(N71="",O71=""),"",O71-N71))</f>
        <v/>
      </c>
      <c r="Q71" s="24">
        <f>IF($A71="","",IF(P71="","",(O71+N71)/2))</f>
        <v/>
      </c>
      <c r="R71" s="27">
        <f>IF($A71="","",IF(P71="","",COUNT($P$2:P71)))</f>
        <v/>
      </c>
    </row>
    <row r="72">
      <c r="J72" s="24">
        <f>IF($A72="","",IF($C72&lt;&gt;"khp_titration_mL","",IF(COUNTIFS('1_原始數據'!$A$2:$A$1000,$A72,'1_原始數據'!$B$2:$B$1000,$B72,'1_原始數據'!$D$2:$D$1000,$D72,'1_原始數據'!$C$2:$C$1000,"khp_mass_g")=0,"",SUMIFS('1_原始數據'!$E$2:$E$1000,'1_原始數據'!$A$2:$A$1000,$A72,'1_原始數據'!$B$2:$B$1000,$B72,'1_原始數據'!$D$2:$D$1000,$D72,'1_原始數據'!$C$2:$C$1000,"khp_mass_g")/('2_NaOH標定'!$C$5*$E72/1000))))</f>
        <v/>
      </c>
      <c r="K72" s="24">
        <f>IF($A72="","",IF($C72&lt;&gt;"manual_titration_mL","",IF(COUNTIFS('1_原始數據'!$A$2:$A$1000,$A72,'1_原始數據'!$C$2:$C$1000,"khp_titration_mL")=0,"",AVERAGEIFS('1_原始數據'!$J$2:$J$1000,'1_原始數據'!$A$2:$A$1000,$A72,'1_原始數據'!$C$2:$C$1000,"khp_titration_mL"))))</f>
        <v/>
      </c>
      <c r="L72" s="25">
        <f>IF($A72="","",IF($C72&lt;&gt;"manual_titration_mL","",IFERROR(INDEX('3_可滴定酸度'!$E$6:$E$13,MATCH($I72,'3_可滴定酸度'!$B$6:$B$13,0)),"")))</f>
        <v/>
      </c>
      <c r="M72" s="25">
        <f>IF($A72="","",IF($C72&lt;&gt;"manual_titration_mL","",IFERROR(INDEX('3_可滴定酸度'!$F$6:$F$13,MATCH($I72,'3_可滴定酸度'!$B$6:$B$13,0)),"")))</f>
        <v/>
      </c>
      <c r="N72" s="24">
        <f>IF($A72="","",IF(OR(K72="",L72="",M72=""),"",K72*E72*L72/(M72*1000)*100))</f>
        <v/>
      </c>
      <c r="O72" s="24">
        <f>IF($A72="","",IF(N72="","",IF(COUNTIFS('1_原始數據'!$A$2:$A$1000,$A72,'1_原始數據'!$B$2:$B$1000,$B72,'1_原始數據'!$D$2:$D$1000,$D72,'1_原始數據'!$I$2:$I$1000,$I72,'1_原始數據'!$C$2:$C$1000,"pasco_pct_acid")=0,"",SUMIFS('1_原始數據'!$E$2:$E$1000,'1_原始數據'!$A$2:$A$1000,$A72,'1_原始數據'!$B$2:$B$1000,$B72,'1_原始數據'!$D$2:$D$1000,$D72,'1_原始數據'!$I$2:$I$1000,$I72,'1_原始數據'!$C$2:$C$1000,"pasco_pct_acid"))))</f>
        <v/>
      </c>
      <c r="P72" s="26">
        <f>IF($A72="","",IF(OR(N72="",O72=""),"",O72-N72))</f>
        <v/>
      </c>
      <c r="Q72" s="24">
        <f>IF($A72="","",IF(P72="","",(O72+N72)/2))</f>
        <v/>
      </c>
      <c r="R72" s="27">
        <f>IF($A72="","",IF(P72="","",COUNT($P$2:P72)))</f>
        <v/>
      </c>
    </row>
    <row r="73">
      <c r="J73" s="24">
        <f>IF($A73="","",IF($C73&lt;&gt;"khp_titration_mL","",IF(COUNTIFS('1_原始數據'!$A$2:$A$1000,$A73,'1_原始數據'!$B$2:$B$1000,$B73,'1_原始數據'!$D$2:$D$1000,$D73,'1_原始數據'!$C$2:$C$1000,"khp_mass_g")=0,"",SUMIFS('1_原始數據'!$E$2:$E$1000,'1_原始數據'!$A$2:$A$1000,$A73,'1_原始數據'!$B$2:$B$1000,$B73,'1_原始數據'!$D$2:$D$1000,$D73,'1_原始數據'!$C$2:$C$1000,"khp_mass_g")/('2_NaOH標定'!$C$5*$E73/1000))))</f>
        <v/>
      </c>
      <c r="K73" s="24">
        <f>IF($A73="","",IF($C73&lt;&gt;"manual_titration_mL","",IF(COUNTIFS('1_原始數據'!$A$2:$A$1000,$A73,'1_原始數據'!$C$2:$C$1000,"khp_titration_mL")=0,"",AVERAGEIFS('1_原始數據'!$J$2:$J$1000,'1_原始數據'!$A$2:$A$1000,$A73,'1_原始數據'!$C$2:$C$1000,"khp_titration_mL"))))</f>
        <v/>
      </c>
      <c r="L73" s="25">
        <f>IF($A73="","",IF($C73&lt;&gt;"manual_titration_mL","",IFERROR(INDEX('3_可滴定酸度'!$E$6:$E$13,MATCH($I73,'3_可滴定酸度'!$B$6:$B$13,0)),"")))</f>
        <v/>
      </c>
      <c r="M73" s="25">
        <f>IF($A73="","",IF($C73&lt;&gt;"manual_titration_mL","",IFERROR(INDEX('3_可滴定酸度'!$F$6:$F$13,MATCH($I73,'3_可滴定酸度'!$B$6:$B$13,0)),"")))</f>
        <v/>
      </c>
      <c r="N73" s="24">
        <f>IF($A73="","",IF(OR(K73="",L73="",M73=""),"",K73*E73*L73/(M73*1000)*100))</f>
        <v/>
      </c>
      <c r="O73" s="24">
        <f>IF($A73="","",IF(N73="","",IF(COUNTIFS('1_原始數據'!$A$2:$A$1000,$A73,'1_原始數據'!$B$2:$B$1000,$B73,'1_原始數據'!$D$2:$D$1000,$D73,'1_原始數據'!$I$2:$I$1000,$I73,'1_原始數據'!$C$2:$C$1000,"pasco_pct_acid")=0,"",SUMIFS('1_原始數據'!$E$2:$E$1000,'1_原始數據'!$A$2:$A$1000,$A73,'1_原始數據'!$B$2:$B$1000,$B73,'1_原始數據'!$D$2:$D$1000,$D73,'1_原始數據'!$I$2:$I$1000,$I73,'1_原始數據'!$C$2:$C$1000,"pasco_pct_acid"))))</f>
        <v/>
      </c>
      <c r="P73" s="26">
        <f>IF($A73="","",IF(OR(N73="",O73=""),"",O73-N73))</f>
        <v/>
      </c>
      <c r="Q73" s="24">
        <f>IF($A73="","",IF(P73="","",(O73+N73)/2))</f>
        <v/>
      </c>
      <c r="R73" s="27">
        <f>IF($A73="","",IF(P73="","",COUNT($P$2:P73)))</f>
        <v/>
      </c>
    </row>
    <row r="74">
      <c r="J74" s="24">
        <f>IF($A74="","",IF($C74&lt;&gt;"khp_titration_mL","",IF(COUNTIFS('1_原始數據'!$A$2:$A$1000,$A74,'1_原始數據'!$B$2:$B$1000,$B74,'1_原始數據'!$D$2:$D$1000,$D74,'1_原始數據'!$C$2:$C$1000,"khp_mass_g")=0,"",SUMIFS('1_原始數據'!$E$2:$E$1000,'1_原始數據'!$A$2:$A$1000,$A74,'1_原始數據'!$B$2:$B$1000,$B74,'1_原始數據'!$D$2:$D$1000,$D74,'1_原始數據'!$C$2:$C$1000,"khp_mass_g")/('2_NaOH標定'!$C$5*$E74/1000))))</f>
        <v/>
      </c>
      <c r="K74" s="24">
        <f>IF($A74="","",IF($C74&lt;&gt;"manual_titration_mL","",IF(COUNTIFS('1_原始數據'!$A$2:$A$1000,$A74,'1_原始數據'!$C$2:$C$1000,"khp_titration_mL")=0,"",AVERAGEIFS('1_原始數據'!$J$2:$J$1000,'1_原始數據'!$A$2:$A$1000,$A74,'1_原始數據'!$C$2:$C$1000,"khp_titration_mL"))))</f>
        <v/>
      </c>
      <c r="L74" s="25">
        <f>IF($A74="","",IF($C74&lt;&gt;"manual_titration_mL","",IFERROR(INDEX('3_可滴定酸度'!$E$6:$E$13,MATCH($I74,'3_可滴定酸度'!$B$6:$B$13,0)),"")))</f>
        <v/>
      </c>
      <c r="M74" s="25">
        <f>IF($A74="","",IF($C74&lt;&gt;"manual_titration_mL","",IFERROR(INDEX('3_可滴定酸度'!$F$6:$F$13,MATCH($I74,'3_可滴定酸度'!$B$6:$B$13,0)),"")))</f>
        <v/>
      </c>
      <c r="N74" s="24">
        <f>IF($A74="","",IF(OR(K74="",L74="",M74=""),"",K74*E74*L74/(M74*1000)*100))</f>
        <v/>
      </c>
      <c r="O74" s="24">
        <f>IF($A74="","",IF(N74="","",IF(COUNTIFS('1_原始數據'!$A$2:$A$1000,$A74,'1_原始數據'!$B$2:$B$1000,$B74,'1_原始數據'!$D$2:$D$1000,$D74,'1_原始數據'!$I$2:$I$1000,$I74,'1_原始數據'!$C$2:$C$1000,"pasco_pct_acid")=0,"",SUMIFS('1_原始數據'!$E$2:$E$1000,'1_原始數據'!$A$2:$A$1000,$A74,'1_原始數據'!$B$2:$B$1000,$B74,'1_原始數據'!$D$2:$D$1000,$D74,'1_原始數據'!$I$2:$I$1000,$I74,'1_原始數據'!$C$2:$C$1000,"pasco_pct_acid"))))</f>
        <v/>
      </c>
      <c r="P74" s="26">
        <f>IF($A74="","",IF(OR(N74="",O74=""),"",O74-N74))</f>
        <v/>
      </c>
      <c r="Q74" s="24">
        <f>IF($A74="","",IF(P74="","",(O74+N74)/2))</f>
        <v/>
      </c>
      <c r="R74" s="27">
        <f>IF($A74="","",IF(P74="","",COUNT($P$2:P74)))</f>
        <v/>
      </c>
    </row>
    <row r="75">
      <c r="J75" s="24">
        <f>IF($A75="","",IF($C75&lt;&gt;"khp_titration_mL","",IF(COUNTIFS('1_原始數據'!$A$2:$A$1000,$A75,'1_原始數據'!$B$2:$B$1000,$B75,'1_原始數據'!$D$2:$D$1000,$D75,'1_原始數據'!$C$2:$C$1000,"khp_mass_g")=0,"",SUMIFS('1_原始數據'!$E$2:$E$1000,'1_原始數據'!$A$2:$A$1000,$A75,'1_原始數據'!$B$2:$B$1000,$B75,'1_原始數據'!$D$2:$D$1000,$D75,'1_原始數據'!$C$2:$C$1000,"khp_mass_g")/('2_NaOH標定'!$C$5*$E75/1000))))</f>
        <v/>
      </c>
      <c r="K75" s="24">
        <f>IF($A75="","",IF($C75&lt;&gt;"manual_titration_mL","",IF(COUNTIFS('1_原始數據'!$A$2:$A$1000,$A75,'1_原始數據'!$C$2:$C$1000,"khp_titration_mL")=0,"",AVERAGEIFS('1_原始數據'!$J$2:$J$1000,'1_原始數據'!$A$2:$A$1000,$A75,'1_原始數據'!$C$2:$C$1000,"khp_titration_mL"))))</f>
        <v/>
      </c>
      <c r="L75" s="25">
        <f>IF($A75="","",IF($C75&lt;&gt;"manual_titration_mL","",IFERROR(INDEX('3_可滴定酸度'!$E$6:$E$13,MATCH($I75,'3_可滴定酸度'!$B$6:$B$13,0)),"")))</f>
        <v/>
      </c>
      <c r="M75" s="25">
        <f>IF($A75="","",IF($C75&lt;&gt;"manual_titration_mL","",IFERROR(INDEX('3_可滴定酸度'!$F$6:$F$13,MATCH($I75,'3_可滴定酸度'!$B$6:$B$13,0)),"")))</f>
        <v/>
      </c>
      <c r="N75" s="24">
        <f>IF($A75="","",IF(OR(K75="",L75="",M75=""),"",K75*E75*L75/(M75*1000)*100))</f>
        <v/>
      </c>
      <c r="O75" s="24">
        <f>IF($A75="","",IF(N75="","",IF(COUNTIFS('1_原始數據'!$A$2:$A$1000,$A75,'1_原始數據'!$B$2:$B$1000,$B75,'1_原始數據'!$D$2:$D$1000,$D75,'1_原始數據'!$I$2:$I$1000,$I75,'1_原始數據'!$C$2:$C$1000,"pasco_pct_acid")=0,"",SUMIFS('1_原始數據'!$E$2:$E$1000,'1_原始數據'!$A$2:$A$1000,$A75,'1_原始數據'!$B$2:$B$1000,$B75,'1_原始數據'!$D$2:$D$1000,$D75,'1_原始數據'!$I$2:$I$1000,$I75,'1_原始數據'!$C$2:$C$1000,"pasco_pct_acid"))))</f>
        <v/>
      </c>
      <c r="P75" s="26">
        <f>IF($A75="","",IF(OR(N75="",O75=""),"",O75-N75))</f>
        <v/>
      </c>
      <c r="Q75" s="24">
        <f>IF($A75="","",IF(P75="","",(O75+N75)/2))</f>
        <v/>
      </c>
      <c r="R75" s="27">
        <f>IF($A75="","",IF(P75="","",COUNT($P$2:P75)))</f>
        <v/>
      </c>
    </row>
    <row r="76">
      <c r="J76" s="24">
        <f>IF($A76="","",IF($C76&lt;&gt;"khp_titration_mL","",IF(COUNTIFS('1_原始數據'!$A$2:$A$1000,$A76,'1_原始數據'!$B$2:$B$1000,$B76,'1_原始數據'!$D$2:$D$1000,$D76,'1_原始數據'!$C$2:$C$1000,"khp_mass_g")=0,"",SUMIFS('1_原始數據'!$E$2:$E$1000,'1_原始數據'!$A$2:$A$1000,$A76,'1_原始數據'!$B$2:$B$1000,$B76,'1_原始數據'!$D$2:$D$1000,$D76,'1_原始數據'!$C$2:$C$1000,"khp_mass_g")/('2_NaOH標定'!$C$5*$E76/1000))))</f>
        <v/>
      </c>
      <c r="K76" s="24">
        <f>IF($A76="","",IF($C76&lt;&gt;"manual_titration_mL","",IF(COUNTIFS('1_原始數據'!$A$2:$A$1000,$A76,'1_原始數據'!$C$2:$C$1000,"khp_titration_mL")=0,"",AVERAGEIFS('1_原始數據'!$J$2:$J$1000,'1_原始數據'!$A$2:$A$1000,$A76,'1_原始數據'!$C$2:$C$1000,"khp_titration_mL"))))</f>
        <v/>
      </c>
      <c r="L76" s="25">
        <f>IF($A76="","",IF($C76&lt;&gt;"manual_titration_mL","",IFERROR(INDEX('3_可滴定酸度'!$E$6:$E$13,MATCH($I76,'3_可滴定酸度'!$B$6:$B$13,0)),"")))</f>
        <v/>
      </c>
      <c r="M76" s="25">
        <f>IF($A76="","",IF($C76&lt;&gt;"manual_titration_mL","",IFERROR(INDEX('3_可滴定酸度'!$F$6:$F$13,MATCH($I76,'3_可滴定酸度'!$B$6:$B$13,0)),"")))</f>
        <v/>
      </c>
      <c r="N76" s="24">
        <f>IF($A76="","",IF(OR(K76="",L76="",M76=""),"",K76*E76*L76/(M76*1000)*100))</f>
        <v/>
      </c>
      <c r="O76" s="24">
        <f>IF($A76="","",IF(N76="","",IF(COUNTIFS('1_原始數據'!$A$2:$A$1000,$A76,'1_原始數據'!$B$2:$B$1000,$B76,'1_原始數據'!$D$2:$D$1000,$D76,'1_原始數據'!$I$2:$I$1000,$I76,'1_原始數據'!$C$2:$C$1000,"pasco_pct_acid")=0,"",SUMIFS('1_原始數據'!$E$2:$E$1000,'1_原始數據'!$A$2:$A$1000,$A76,'1_原始數據'!$B$2:$B$1000,$B76,'1_原始數據'!$D$2:$D$1000,$D76,'1_原始數據'!$I$2:$I$1000,$I76,'1_原始數據'!$C$2:$C$1000,"pasco_pct_acid"))))</f>
        <v/>
      </c>
      <c r="P76" s="26">
        <f>IF($A76="","",IF(OR(N76="",O76=""),"",O76-N76))</f>
        <v/>
      </c>
      <c r="Q76" s="24">
        <f>IF($A76="","",IF(P76="","",(O76+N76)/2))</f>
        <v/>
      </c>
      <c r="R76" s="27">
        <f>IF($A76="","",IF(P76="","",COUNT($P$2:P76)))</f>
        <v/>
      </c>
    </row>
    <row r="77">
      <c r="J77" s="24">
        <f>IF($A77="","",IF($C77&lt;&gt;"khp_titration_mL","",IF(COUNTIFS('1_原始數據'!$A$2:$A$1000,$A77,'1_原始數據'!$B$2:$B$1000,$B77,'1_原始數據'!$D$2:$D$1000,$D77,'1_原始數據'!$C$2:$C$1000,"khp_mass_g")=0,"",SUMIFS('1_原始數據'!$E$2:$E$1000,'1_原始數據'!$A$2:$A$1000,$A77,'1_原始數據'!$B$2:$B$1000,$B77,'1_原始數據'!$D$2:$D$1000,$D77,'1_原始數據'!$C$2:$C$1000,"khp_mass_g")/('2_NaOH標定'!$C$5*$E77/1000))))</f>
        <v/>
      </c>
      <c r="K77" s="24">
        <f>IF($A77="","",IF($C77&lt;&gt;"manual_titration_mL","",IF(COUNTIFS('1_原始數據'!$A$2:$A$1000,$A77,'1_原始數據'!$C$2:$C$1000,"khp_titration_mL")=0,"",AVERAGEIFS('1_原始數據'!$J$2:$J$1000,'1_原始數據'!$A$2:$A$1000,$A77,'1_原始數據'!$C$2:$C$1000,"khp_titration_mL"))))</f>
        <v/>
      </c>
      <c r="L77" s="25">
        <f>IF($A77="","",IF($C77&lt;&gt;"manual_titration_mL","",IFERROR(INDEX('3_可滴定酸度'!$E$6:$E$13,MATCH($I77,'3_可滴定酸度'!$B$6:$B$13,0)),"")))</f>
        <v/>
      </c>
      <c r="M77" s="25">
        <f>IF($A77="","",IF($C77&lt;&gt;"manual_titration_mL","",IFERROR(INDEX('3_可滴定酸度'!$F$6:$F$13,MATCH($I77,'3_可滴定酸度'!$B$6:$B$13,0)),"")))</f>
        <v/>
      </c>
      <c r="N77" s="24">
        <f>IF($A77="","",IF(OR(K77="",L77="",M77=""),"",K77*E77*L77/(M77*1000)*100))</f>
        <v/>
      </c>
      <c r="O77" s="24">
        <f>IF($A77="","",IF(N77="","",IF(COUNTIFS('1_原始數據'!$A$2:$A$1000,$A77,'1_原始數據'!$B$2:$B$1000,$B77,'1_原始數據'!$D$2:$D$1000,$D77,'1_原始數據'!$I$2:$I$1000,$I77,'1_原始數據'!$C$2:$C$1000,"pasco_pct_acid")=0,"",SUMIFS('1_原始數據'!$E$2:$E$1000,'1_原始數據'!$A$2:$A$1000,$A77,'1_原始數據'!$B$2:$B$1000,$B77,'1_原始數據'!$D$2:$D$1000,$D77,'1_原始數據'!$I$2:$I$1000,$I77,'1_原始數據'!$C$2:$C$1000,"pasco_pct_acid"))))</f>
        <v/>
      </c>
      <c r="P77" s="26">
        <f>IF($A77="","",IF(OR(N77="",O77=""),"",O77-N77))</f>
        <v/>
      </c>
      <c r="Q77" s="24">
        <f>IF($A77="","",IF(P77="","",(O77+N77)/2))</f>
        <v/>
      </c>
      <c r="R77" s="27">
        <f>IF($A77="","",IF(P77="","",COUNT($P$2:P77)))</f>
        <v/>
      </c>
    </row>
    <row r="78">
      <c r="J78" s="24">
        <f>IF($A78="","",IF($C78&lt;&gt;"khp_titration_mL","",IF(COUNTIFS('1_原始數據'!$A$2:$A$1000,$A78,'1_原始數據'!$B$2:$B$1000,$B78,'1_原始數據'!$D$2:$D$1000,$D78,'1_原始數據'!$C$2:$C$1000,"khp_mass_g")=0,"",SUMIFS('1_原始數據'!$E$2:$E$1000,'1_原始數據'!$A$2:$A$1000,$A78,'1_原始數據'!$B$2:$B$1000,$B78,'1_原始數據'!$D$2:$D$1000,$D78,'1_原始數據'!$C$2:$C$1000,"khp_mass_g")/('2_NaOH標定'!$C$5*$E78/1000))))</f>
        <v/>
      </c>
      <c r="K78" s="24">
        <f>IF($A78="","",IF($C78&lt;&gt;"manual_titration_mL","",IF(COUNTIFS('1_原始數據'!$A$2:$A$1000,$A78,'1_原始數據'!$C$2:$C$1000,"khp_titration_mL")=0,"",AVERAGEIFS('1_原始數據'!$J$2:$J$1000,'1_原始數據'!$A$2:$A$1000,$A78,'1_原始數據'!$C$2:$C$1000,"khp_titration_mL"))))</f>
        <v/>
      </c>
      <c r="L78" s="25">
        <f>IF($A78="","",IF($C78&lt;&gt;"manual_titration_mL","",IFERROR(INDEX('3_可滴定酸度'!$E$6:$E$13,MATCH($I78,'3_可滴定酸度'!$B$6:$B$13,0)),"")))</f>
        <v/>
      </c>
      <c r="M78" s="25">
        <f>IF($A78="","",IF($C78&lt;&gt;"manual_titration_mL","",IFERROR(INDEX('3_可滴定酸度'!$F$6:$F$13,MATCH($I78,'3_可滴定酸度'!$B$6:$B$13,0)),"")))</f>
        <v/>
      </c>
      <c r="N78" s="24">
        <f>IF($A78="","",IF(OR(K78="",L78="",M78=""),"",K78*E78*L78/(M78*1000)*100))</f>
        <v/>
      </c>
      <c r="O78" s="24">
        <f>IF($A78="","",IF(N78="","",IF(COUNTIFS('1_原始數據'!$A$2:$A$1000,$A78,'1_原始數據'!$B$2:$B$1000,$B78,'1_原始數據'!$D$2:$D$1000,$D78,'1_原始數據'!$I$2:$I$1000,$I78,'1_原始數據'!$C$2:$C$1000,"pasco_pct_acid")=0,"",SUMIFS('1_原始數據'!$E$2:$E$1000,'1_原始數據'!$A$2:$A$1000,$A78,'1_原始數據'!$B$2:$B$1000,$B78,'1_原始數據'!$D$2:$D$1000,$D78,'1_原始數據'!$I$2:$I$1000,$I78,'1_原始數據'!$C$2:$C$1000,"pasco_pct_acid"))))</f>
        <v/>
      </c>
      <c r="P78" s="26">
        <f>IF($A78="","",IF(OR(N78="",O78=""),"",O78-N78))</f>
        <v/>
      </c>
      <c r="Q78" s="24">
        <f>IF($A78="","",IF(P78="","",(O78+N78)/2))</f>
        <v/>
      </c>
      <c r="R78" s="27">
        <f>IF($A78="","",IF(P78="","",COUNT($P$2:P78)))</f>
        <v/>
      </c>
    </row>
    <row r="79">
      <c r="J79" s="24">
        <f>IF($A79="","",IF($C79&lt;&gt;"khp_titration_mL","",IF(COUNTIFS('1_原始數據'!$A$2:$A$1000,$A79,'1_原始數據'!$B$2:$B$1000,$B79,'1_原始數據'!$D$2:$D$1000,$D79,'1_原始數據'!$C$2:$C$1000,"khp_mass_g")=0,"",SUMIFS('1_原始數據'!$E$2:$E$1000,'1_原始數據'!$A$2:$A$1000,$A79,'1_原始數據'!$B$2:$B$1000,$B79,'1_原始數據'!$D$2:$D$1000,$D79,'1_原始數據'!$C$2:$C$1000,"khp_mass_g")/('2_NaOH標定'!$C$5*$E79/1000))))</f>
        <v/>
      </c>
      <c r="K79" s="24">
        <f>IF($A79="","",IF($C79&lt;&gt;"manual_titration_mL","",IF(COUNTIFS('1_原始數據'!$A$2:$A$1000,$A79,'1_原始數據'!$C$2:$C$1000,"khp_titration_mL")=0,"",AVERAGEIFS('1_原始數據'!$J$2:$J$1000,'1_原始數據'!$A$2:$A$1000,$A79,'1_原始數據'!$C$2:$C$1000,"khp_titration_mL"))))</f>
        <v/>
      </c>
      <c r="L79" s="25">
        <f>IF($A79="","",IF($C79&lt;&gt;"manual_titration_mL","",IFERROR(INDEX('3_可滴定酸度'!$E$6:$E$13,MATCH($I79,'3_可滴定酸度'!$B$6:$B$13,0)),"")))</f>
        <v/>
      </c>
      <c r="M79" s="25">
        <f>IF($A79="","",IF($C79&lt;&gt;"manual_titration_mL","",IFERROR(INDEX('3_可滴定酸度'!$F$6:$F$13,MATCH($I79,'3_可滴定酸度'!$B$6:$B$13,0)),"")))</f>
        <v/>
      </c>
      <c r="N79" s="24">
        <f>IF($A79="","",IF(OR(K79="",L79="",M79=""),"",K79*E79*L79/(M79*1000)*100))</f>
        <v/>
      </c>
      <c r="O79" s="24">
        <f>IF($A79="","",IF(N79="","",IF(COUNTIFS('1_原始數據'!$A$2:$A$1000,$A79,'1_原始數據'!$B$2:$B$1000,$B79,'1_原始數據'!$D$2:$D$1000,$D79,'1_原始數據'!$I$2:$I$1000,$I79,'1_原始數據'!$C$2:$C$1000,"pasco_pct_acid")=0,"",SUMIFS('1_原始數據'!$E$2:$E$1000,'1_原始數據'!$A$2:$A$1000,$A79,'1_原始數據'!$B$2:$B$1000,$B79,'1_原始數據'!$D$2:$D$1000,$D79,'1_原始數據'!$I$2:$I$1000,$I79,'1_原始數據'!$C$2:$C$1000,"pasco_pct_acid"))))</f>
        <v/>
      </c>
      <c r="P79" s="26">
        <f>IF($A79="","",IF(OR(N79="",O79=""),"",O79-N79))</f>
        <v/>
      </c>
      <c r="Q79" s="24">
        <f>IF($A79="","",IF(P79="","",(O79+N79)/2))</f>
        <v/>
      </c>
      <c r="R79" s="27">
        <f>IF($A79="","",IF(P79="","",COUNT($P$2:P79)))</f>
        <v/>
      </c>
    </row>
    <row r="80">
      <c r="J80" s="24">
        <f>IF($A80="","",IF($C80&lt;&gt;"khp_titration_mL","",IF(COUNTIFS('1_原始數據'!$A$2:$A$1000,$A80,'1_原始數據'!$B$2:$B$1000,$B80,'1_原始數據'!$D$2:$D$1000,$D80,'1_原始數據'!$C$2:$C$1000,"khp_mass_g")=0,"",SUMIFS('1_原始數據'!$E$2:$E$1000,'1_原始數據'!$A$2:$A$1000,$A80,'1_原始數據'!$B$2:$B$1000,$B80,'1_原始數據'!$D$2:$D$1000,$D80,'1_原始數據'!$C$2:$C$1000,"khp_mass_g")/('2_NaOH標定'!$C$5*$E80/1000))))</f>
        <v/>
      </c>
      <c r="K80" s="24">
        <f>IF($A80="","",IF($C80&lt;&gt;"manual_titration_mL","",IF(COUNTIFS('1_原始數據'!$A$2:$A$1000,$A80,'1_原始數據'!$C$2:$C$1000,"khp_titration_mL")=0,"",AVERAGEIFS('1_原始數據'!$J$2:$J$1000,'1_原始數據'!$A$2:$A$1000,$A80,'1_原始數據'!$C$2:$C$1000,"khp_titration_mL"))))</f>
        <v/>
      </c>
      <c r="L80" s="25">
        <f>IF($A80="","",IF($C80&lt;&gt;"manual_titration_mL","",IFERROR(INDEX('3_可滴定酸度'!$E$6:$E$13,MATCH($I80,'3_可滴定酸度'!$B$6:$B$13,0)),"")))</f>
        <v/>
      </c>
      <c r="M80" s="25">
        <f>IF($A80="","",IF($C80&lt;&gt;"manual_titration_mL","",IFERROR(INDEX('3_可滴定酸度'!$F$6:$F$13,MATCH($I80,'3_可滴定酸度'!$B$6:$B$13,0)),"")))</f>
        <v/>
      </c>
      <c r="N80" s="24">
        <f>IF($A80="","",IF(OR(K80="",L80="",M80=""),"",K80*E80*L80/(M80*1000)*100))</f>
        <v/>
      </c>
      <c r="O80" s="24">
        <f>IF($A80="","",IF(N80="","",IF(COUNTIFS('1_原始數據'!$A$2:$A$1000,$A80,'1_原始數據'!$B$2:$B$1000,$B80,'1_原始數據'!$D$2:$D$1000,$D80,'1_原始數據'!$I$2:$I$1000,$I80,'1_原始數據'!$C$2:$C$1000,"pasco_pct_acid")=0,"",SUMIFS('1_原始數據'!$E$2:$E$1000,'1_原始數據'!$A$2:$A$1000,$A80,'1_原始數據'!$B$2:$B$1000,$B80,'1_原始數據'!$D$2:$D$1000,$D80,'1_原始數據'!$I$2:$I$1000,$I80,'1_原始數據'!$C$2:$C$1000,"pasco_pct_acid"))))</f>
        <v/>
      </c>
      <c r="P80" s="26">
        <f>IF($A80="","",IF(OR(N80="",O80=""),"",O80-N80))</f>
        <v/>
      </c>
      <c r="Q80" s="24">
        <f>IF($A80="","",IF(P80="","",(O80+N80)/2))</f>
        <v/>
      </c>
      <c r="R80" s="27">
        <f>IF($A80="","",IF(P80="","",COUNT($P$2:P80)))</f>
        <v/>
      </c>
    </row>
    <row r="81">
      <c r="J81" s="24">
        <f>IF($A81="","",IF($C81&lt;&gt;"khp_titration_mL","",IF(COUNTIFS('1_原始數據'!$A$2:$A$1000,$A81,'1_原始數據'!$B$2:$B$1000,$B81,'1_原始數據'!$D$2:$D$1000,$D81,'1_原始數據'!$C$2:$C$1000,"khp_mass_g")=0,"",SUMIFS('1_原始數據'!$E$2:$E$1000,'1_原始數據'!$A$2:$A$1000,$A81,'1_原始數據'!$B$2:$B$1000,$B81,'1_原始數據'!$D$2:$D$1000,$D81,'1_原始數據'!$C$2:$C$1000,"khp_mass_g")/('2_NaOH標定'!$C$5*$E81/1000))))</f>
        <v/>
      </c>
      <c r="K81" s="24">
        <f>IF($A81="","",IF($C81&lt;&gt;"manual_titration_mL","",IF(COUNTIFS('1_原始數據'!$A$2:$A$1000,$A81,'1_原始數據'!$C$2:$C$1000,"khp_titration_mL")=0,"",AVERAGEIFS('1_原始數據'!$J$2:$J$1000,'1_原始數據'!$A$2:$A$1000,$A81,'1_原始數據'!$C$2:$C$1000,"khp_titration_mL"))))</f>
        <v/>
      </c>
      <c r="L81" s="25">
        <f>IF($A81="","",IF($C81&lt;&gt;"manual_titration_mL","",IFERROR(INDEX('3_可滴定酸度'!$E$6:$E$13,MATCH($I81,'3_可滴定酸度'!$B$6:$B$13,0)),"")))</f>
        <v/>
      </c>
      <c r="M81" s="25">
        <f>IF($A81="","",IF($C81&lt;&gt;"manual_titration_mL","",IFERROR(INDEX('3_可滴定酸度'!$F$6:$F$13,MATCH($I81,'3_可滴定酸度'!$B$6:$B$13,0)),"")))</f>
        <v/>
      </c>
      <c r="N81" s="24">
        <f>IF($A81="","",IF(OR(K81="",L81="",M81=""),"",K81*E81*L81/(M81*1000)*100))</f>
        <v/>
      </c>
      <c r="O81" s="24">
        <f>IF($A81="","",IF(N81="","",IF(COUNTIFS('1_原始數據'!$A$2:$A$1000,$A81,'1_原始數據'!$B$2:$B$1000,$B81,'1_原始數據'!$D$2:$D$1000,$D81,'1_原始數據'!$I$2:$I$1000,$I81,'1_原始數據'!$C$2:$C$1000,"pasco_pct_acid")=0,"",SUMIFS('1_原始數據'!$E$2:$E$1000,'1_原始數據'!$A$2:$A$1000,$A81,'1_原始數據'!$B$2:$B$1000,$B81,'1_原始數據'!$D$2:$D$1000,$D81,'1_原始數據'!$I$2:$I$1000,$I81,'1_原始數據'!$C$2:$C$1000,"pasco_pct_acid"))))</f>
        <v/>
      </c>
      <c r="P81" s="26">
        <f>IF($A81="","",IF(OR(N81="",O81=""),"",O81-N81))</f>
        <v/>
      </c>
      <c r="Q81" s="24">
        <f>IF($A81="","",IF(P81="","",(O81+N81)/2))</f>
        <v/>
      </c>
      <c r="R81" s="27">
        <f>IF($A81="","",IF(P81="","",COUNT($P$2:P81)))</f>
        <v/>
      </c>
    </row>
    <row r="82">
      <c r="J82" s="24">
        <f>IF($A82="","",IF($C82&lt;&gt;"khp_titration_mL","",IF(COUNTIFS('1_原始數據'!$A$2:$A$1000,$A82,'1_原始數據'!$B$2:$B$1000,$B82,'1_原始數據'!$D$2:$D$1000,$D82,'1_原始數據'!$C$2:$C$1000,"khp_mass_g")=0,"",SUMIFS('1_原始數據'!$E$2:$E$1000,'1_原始數據'!$A$2:$A$1000,$A82,'1_原始數據'!$B$2:$B$1000,$B82,'1_原始數據'!$D$2:$D$1000,$D82,'1_原始數據'!$C$2:$C$1000,"khp_mass_g")/('2_NaOH標定'!$C$5*$E82/1000))))</f>
        <v/>
      </c>
      <c r="K82" s="24">
        <f>IF($A82="","",IF($C82&lt;&gt;"manual_titration_mL","",IF(COUNTIFS('1_原始數據'!$A$2:$A$1000,$A82,'1_原始數據'!$C$2:$C$1000,"khp_titration_mL")=0,"",AVERAGEIFS('1_原始數據'!$J$2:$J$1000,'1_原始數據'!$A$2:$A$1000,$A82,'1_原始數據'!$C$2:$C$1000,"khp_titration_mL"))))</f>
        <v/>
      </c>
      <c r="L82" s="25">
        <f>IF($A82="","",IF($C82&lt;&gt;"manual_titration_mL","",IFERROR(INDEX('3_可滴定酸度'!$E$6:$E$13,MATCH($I82,'3_可滴定酸度'!$B$6:$B$13,0)),"")))</f>
        <v/>
      </c>
      <c r="M82" s="25">
        <f>IF($A82="","",IF($C82&lt;&gt;"manual_titration_mL","",IFERROR(INDEX('3_可滴定酸度'!$F$6:$F$13,MATCH($I82,'3_可滴定酸度'!$B$6:$B$13,0)),"")))</f>
        <v/>
      </c>
      <c r="N82" s="24">
        <f>IF($A82="","",IF(OR(K82="",L82="",M82=""),"",K82*E82*L82/(M82*1000)*100))</f>
        <v/>
      </c>
      <c r="O82" s="24">
        <f>IF($A82="","",IF(N82="","",IF(COUNTIFS('1_原始數據'!$A$2:$A$1000,$A82,'1_原始數據'!$B$2:$B$1000,$B82,'1_原始數據'!$D$2:$D$1000,$D82,'1_原始數據'!$I$2:$I$1000,$I82,'1_原始數據'!$C$2:$C$1000,"pasco_pct_acid")=0,"",SUMIFS('1_原始數據'!$E$2:$E$1000,'1_原始數據'!$A$2:$A$1000,$A82,'1_原始數據'!$B$2:$B$1000,$B82,'1_原始數據'!$D$2:$D$1000,$D82,'1_原始數據'!$I$2:$I$1000,$I82,'1_原始數據'!$C$2:$C$1000,"pasco_pct_acid"))))</f>
        <v/>
      </c>
      <c r="P82" s="26">
        <f>IF($A82="","",IF(OR(N82="",O82=""),"",O82-N82))</f>
        <v/>
      </c>
      <c r="Q82" s="24">
        <f>IF($A82="","",IF(P82="","",(O82+N82)/2))</f>
        <v/>
      </c>
      <c r="R82" s="27">
        <f>IF($A82="","",IF(P82="","",COUNT($P$2:P82)))</f>
        <v/>
      </c>
    </row>
    <row r="83">
      <c r="J83" s="24">
        <f>IF($A83="","",IF($C83&lt;&gt;"khp_titration_mL","",IF(COUNTIFS('1_原始數據'!$A$2:$A$1000,$A83,'1_原始數據'!$B$2:$B$1000,$B83,'1_原始數據'!$D$2:$D$1000,$D83,'1_原始數據'!$C$2:$C$1000,"khp_mass_g")=0,"",SUMIFS('1_原始數據'!$E$2:$E$1000,'1_原始數據'!$A$2:$A$1000,$A83,'1_原始數據'!$B$2:$B$1000,$B83,'1_原始數據'!$D$2:$D$1000,$D83,'1_原始數據'!$C$2:$C$1000,"khp_mass_g")/('2_NaOH標定'!$C$5*$E83/1000))))</f>
        <v/>
      </c>
      <c r="K83" s="24">
        <f>IF($A83="","",IF($C83&lt;&gt;"manual_titration_mL","",IF(COUNTIFS('1_原始數據'!$A$2:$A$1000,$A83,'1_原始數據'!$C$2:$C$1000,"khp_titration_mL")=0,"",AVERAGEIFS('1_原始數據'!$J$2:$J$1000,'1_原始數據'!$A$2:$A$1000,$A83,'1_原始數據'!$C$2:$C$1000,"khp_titration_mL"))))</f>
        <v/>
      </c>
      <c r="L83" s="25">
        <f>IF($A83="","",IF($C83&lt;&gt;"manual_titration_mL","",IFERROR(INDEX('3_可滴定酸度'!$E$6:$E$13,MATCH($I83,'3_可滴定酸度'!$B$6:$B$13,0)),"")))</f>
        <v/>
      </c>
      <c r="M83" s="25">
        <f>IF($A83="","",IF($C83&lt;&gt;"manual_titration_mL","",IFERROR(INDEX('3_可滴定酸度'!$F$6:$F$13,MATCH($I83,'3_可滴定酸度'!$B$6:$B$13,0)),"")))</f>
        <v/>
      </c>
      <c r="N83" s="24">
        <f>IF($A83="","",IF(OR(K83="",L83="",M83=""),"",K83*E83*L83/(M83*1000)*100))</f>
        <v/>
      </c>
      <c r="O83" s="24">
        <f>IF($A83="","",IF(N83="","",IF(COUNTIFS('1_原始數據'!$A$2:$A$1000,$A83,'1_原始數據'!$B$2:$B$1000,$B83,'1_原始數據'!$D$2:$D$1000,$D83,'1_原始數據'!$I$2:$I$1000,$I83,'1_原始數據'!$C$2:$C$1000,"pasco_pct_acid")=0,"",SUMIFS('1_原始數據'!$E$2:$E$1000,'1_原始數據'!$A$2:$A$1000,$A83,'1_原始數據'!$B$2:$B$1000,$B83,'1_原始數據'!$D$2:$D$1000,$D83,'1_原始數據'!$I$2:$I$1000,$I83,'1_原始數據'!$C$2:$C$1000,"pasco_pct_acid"))))</f>
        <v/>
      </c>
      <c r="P83" s="26">
        <f>IF($A83="","",IF(OR(N83="",O83=""),"",O83-N83))</f>
        <v/>
      </c>
      <c r="Q83" s="24">
        <f>IF($A83="","",IF(P83="","",(O83+N83)/2))</f>
        <v/>
      </c>
      <c r="R83" s="27">
        <f>IF($A83="","",IF(P83="","",COUNT($P$2:P83)))</f>
        <v/>
      </c>
    </row>
    <row r="84">
      <c r="J84" s="24">
        <f>IF($A84="","",IF($C84&lt;&gt;"khp_titration_mL","",IF(COUNTIFS('1_原始數據'!$A$2:$A$1000,$A84,'1_原始數據'!$B$2:$B$1000,$B84,'1_原始數據'!$D$2:$D$1000,$D84,'1_原始數據'!$C$2:$C$1000,"khp_mass_g")=0,"",SUMIFS('1_原始數據'!$E$2:$E$1000,'1_原始數據'!$A$2:$A$1000,$A84,'1_原始數據'!$B$2:$B$1000,$B84,'1_原始數據'!$D$2:$D$1000,$D84,'1_原始數據'!$C$2:$C$1000,"khp_mass_g")/('2_NaOH標定'!$C$5*$E84/1000))))</f>
        <v/>
      </c>
      <c r="K84" s="24">
        <f>IF($A84="","",IF($C84&lt;&gt;"manual_titration_mL","",IF(COUNTIFS('1_原始數據'!$A$2:$A$1000,$A84,'1_原始數據'!$C$2:$C$1000,"khp_titration_mL")=0,"",AVERAGEIFS('1_原始數據'!$J$2:$J$1000,'1_原始數據'!$A$2:$A$1000,$A84,'1_原始數據'!$C$2:$C$1000,"khp_titration_mL"))))</f>
        <v/>
      </c>
      <c r="L84" s="25">
        <f>IF($A84="","",IF($C84&lt;&gt;"manual_titration_mL","",IFERROR(INDEX('3_可滴定酸度'!$E$6:$E$13,MATCH($I84,'3_可滴定酸度'!$B$6:$B$13,0)),"")))</f>
        <v/>
      </c>
      <c r="M84" s="25">
        <f>IF($A84="","",IF($C84&lt;&gt;"manual_titration_mL","",IFERROR(INDEX('3_可滴定酸度'!$F$6:$F$13,MATCH($I84,'3_可滴定酸度'!$B$6:$B$13,0)),"")))</f>
        <v/>
      </c>
      <c r="N84" s="24">
        <f>IF($A84="","",IF(OR(K84="",L84="",M84=""),"",K84*E84*L84/(M84*1000)*100))</f>
        <v/>
      </c>
      <c r="O84" s="24">
        <f>IF($A84="","",IF(N84="","",IF(COUNTIFS('1_原始數據'!$A$2:$A$1000,$A84,'1_原始數據'!$B$2:$B$1000,$B84,'1_原始數據'!$D$2:$D$1000,$D84,'1_原始數據'!$I$2:$I$1000,$I84,'1_原始數據'!$C$2:$C$1000,"pasco_pct_acid")=0,"",SUMIFS('1_原始數據'!$E$2:$E$1000,'1_原始數據'!$A$2:$A$1000,$A84,'1_原始數據'!$B$2:$B$1000,$B84,'1_原始數據'!$D$2:$D$1000,$D84,'1_原始數據'!$I$2:$I$1000,$I84,'1_原始數據'!$C$2:$C$1000,"pasco_pct_acid"))))</f>
        <v/>
      </c>
      <c r="P84" s="26">
        <f>IF($A84="","",IF(OR(N84="",O84=""),"",O84-N84))</f>
        <v/>
      </c>
      <c r="Q84" s="24">
        <f>IF($A84="","",IF(P84="","",(O84+N84)/2))</f>
        <v/>
      </c>
      <c r="R84" s="27">
        <f>IF($A84="","",IF(P84="","",COUNT($P$2:P84)))</f>
        <v/>
      </c>
    </row>
    <row r="85">
      <c r="J85" s="24">
        <f>IF($A85="","",IF($C85&lt;&gt;"khp_titration_mL","",IF(COUNTIFS('1_原始數據'!$A$2:$A$1000,$A85,'1_原始數據'!$B$2:$B$1000,$B85,'1_原始數據'!$D$2:$D$1000,$D85,'1_原始數據'!$C$2:$C$1000,"khp_mass_g")=0,"",SUMIFS('1_原始數據'!$E$2:$E$1000,'1_原始數據'!$A$2:$A$1000,$A85,'1_原始數據'!$B$2:$B$1000,$B85,'1_原始數據'!$D$2:$D$1000,$D85,'1_原始數據'!$C$2:$C$1000,"khp_mass_g")/('2_NaOH標定'!$C$5*$E85/1000))))</f>
        <v/>
      </c>
      <c r="K85" s="24">
        <f>IF($A85="","",IF($C85&lt;&gt;"manual_titration_mL","",IF(COUNTIFS('1_原始數據'!$A$2:$A$1000,$A85,'1_原始數據'!$C$2:$C$1000,"khp_titration_mL")=0,"",AVERAGEIFS('1_原始數據'!$J$2:$J$1000,'1_原始數據'!$A$2:$A$1000,$A85,'1_原始數據'!$C$2:$C$1000,"khp_titration_mL"))))</f>
        <v/>
      </c>
      <c r="L85" s="25">
        <f>IF($A85="","",IF($C85&lt;&gt;"manual_titration_mL","",IFERROR(INDEX('3_可滴定酸度'!$E$6:$E$13,MATCH($I85,'3_可滴定酸度'!$B$6:$B$13,0)),"")))</f>
        <v/>
      </c>
      <c r="M85" s="25">
        <f>IF($A85="","",IF($C85&lt;&gt;"manual_titration_mL","",IFERROR(INDEX('3_可滴定酸度'!$F$6:$F$13,MATCH($I85,'3_可滴定酸度'!$B$6:$B$13,0)),"")))</f>
        <v/>
      </c>
      <c r="N85" s="24">
        <f>IF($A85="","",IF(OR(K85="",L85="",M85=""),"",K85*E85*L85/(M85*1000)*100))</f>
        <v/>
      </c>
      <c r="O85" s="24">
        <f>IF($A85="","",IF(N85="","",IF(COUNTIFS('1_原始數據'!$A$2:$A$1000,$A85,'1_原始數據'!$B$2:$B$1000,$B85,'1_原始數據'!$D$2:$D$1000,$D85,'1_原始數據'!$I$2:$I$1000,$I85,'1_原始數據'!$C$2:$C$1000,"pasco_pct_acid")=0,"",SUMIFS('1_原始數據'!$E$2:$E$1000,'1_原始數據'!$A$2:$A$1000,$A85,'1_原始數據'!$B$2:$B$1000,$B85,'1_原始數據'!$D$2:$D$1000,$D85,'1_原始數據'!$I$2:$I$1000,$I85,'1_原始數據'!$C$2:$C$1000,"pasco_pct_acid"))))</f>
        <v/>
      </c>
      <c r="P85" s="26">
        <f>IF($A85="","",IF(OR(N85="",O85=""),"",O85-N85))</f>
        <v/>
      </c>
      <c r="Q85" s="24">
        <f>IF($A85="","",IF(P85="","",(O85+N85)/2))</f>
        <v/>
      </c>
      <c r="R85" s="27">
        <f>IF($A85="","",IF(P85="","",COUNT($P$2:P85)))</f>
        <v/>
      </c>
    </row>
    <row r="86">
      <c r="J86" s="24">
        <f>IF($A86="","",IF($C86&lt;&gt;"khp_titration_mL","",IF(COUNTIFS('1_原始數據'!$A$2:$A$1000,$A86,'1_原始數據'!$B$2:$B$1000,$B86,'1_原始數據'!$D$2:$D$1000,$D86,'1_原始數據'!$C$2:$C$1000,"khp_mass_g")=0,"",SUMIFS('1_原始數據'!$E$2:$E$1000,'1_原始數據'!$A$2:$A$1000,$A86,'1_原始數據'!$B$2:$B$1000,$B86,'1_原始數據'!$D$2:$D$1000,$D86,'1_原始數據'!$C$2:$C$1000,"khp_mass_g")/('2_NaOH標定'!$C$5*$E86/1000))))</f>
        <v/>
      </c>
      <c r="K86" s="24">
        <f>IF($A86="","",IF($C86&lt;&gt;"manual_titration_mL","",IF(COUNTIFS('1_原始數據'!$A$2:$A$1000,$A86,'1_原始數據'!$C$2:$C$1000,"khp_titration_mL")=0,"",AVERAGEIFS('1_原始數據'!$J$2:$J$1000,'1_原始數據'!$A$2:$A$1000,$A86,'1_原始數據'!$C$2:$C$1000,"khp_titration_mL"))))</f>
        <v/>
      </c>
      <c r="L86" s="25">
        <f>IF($A86="","",IF($C86&lt;&gt;"manual_titration_mL","",IFERROR(INDEX('3_可滴定酸度'!$E$6:$E$13,MATCH($I86,'3_可滴定酸度'!$B$6:$B$13,0)),"")))</f>
        <v/>
      </c>
      <c r="M86" s="25">
        <f>IF($A86="","",IF($C86&lt;&gt;"manual_titration_mL","",IFERROR(INDEX('3_可滴定酸度'!$F$6:$F$13,MATCH($I86,'3_可滴定酸度'!$B$6:$B$13,0)),"")))</f>
        <v/>
      </c>
      <c r="N86" s="24">
        <f>IF($A86="","",IF(OR(K86="",L86="",M86=""),"",K86*E86*L86/(M86*1000)*100))</f>
        <v/>
      </c>
      <c r="O86" s="24">
        <f>IF($A86="","",IF(N86="","",IF(COUNTIFS('1_原始數據'!$A$2:$A$1000,$A86,'1_原始數據'!$B$2:$B$1000,$B86,'1_原始數據'!$D$2:$D$1000,$D86,'1_原始數據'!$I$2:$I$1000,$I86,'1_原始數據'!$C$2:$C$1000,"pasco_pct_acid")=0,"",SUMIFS('1_原始數據'!$E$2:$E$1000,'1_原始數據'!$A$2:$A$1000,$A86,'1_原始數據'!$B$2:$B$1000,$B86,'1_原始數據'!$D$2:$D$1000,$D86,'1_原始數據'!$I$2:$I$1000,$I86,'1_原始數據'!$C$2:$C$1000,"pasco_pct_acid"))))</f>
        <v/>
      </c>
      <c r="P86" s="26">
        <f>IF($A86="","",IF(OR(N86="",O86=""),"",O86-N86))</f>
        <v/>
      </c>
      <c r="Q86" s="24">
        <f>IF($A86="","",IF(P86="","",(O86+N86)/2))</f>
        <v/>
      </c>
      <c r="R86" s="27">
        <f>IF($A86="","",IF(P86="","",COUNT($P$2:P86)))</f>
        <v/>
      </c>
    </row>
    <row r="87">
      <c r="J87" s="24">
        <f>IF($A87="","",IF($C87&lt;&gt;"khp_titration_mL","",IF(COUNTIFS('1_原始數據'!$A$2:$A$1000,$A87,'1_原始數據'!$B$2:$B$1000,$B87,'1_原始數據'!$D$2:$D$1000,$D87,'1_原始數據'!$C$2:$C$1000,"khp_mass_g")=0,"",SUMIFS('1_原始數據'!$E$2:$E$1000,'1_原始數據'!$A$2:$A$1000,$A87,'1_原始數據'!$B$2:$B$1000,$B87,'1_原始數據'!$D$2:$D$1000,$D87,'1_原始數據'!$C$2:$C$1000,"khp_mass_g")/('2_NaOH標定'!$C$5*$E87/1000))))</f>
        <v/>
      </c>
      <c r="K87" s="24">
        <f>IF($A87="","",IF($C87&lt;&gt;"manual_titration_mL","",IF(COUNTIFS('1_原始數據'!$A$2:$A$1000,$A87,'1_原始數據'!$C$2:$C$1000,"khp_titration_mL")=0,"",AVERAGEIFS('1_原始數據'!$J$2:$J$1000,'1_原始數據'!$A$2:$A$1000,$A87,'1_原始數據'!$C$2:$C$1000,"khp_titration_mL"))))</f>
        <v/>
      </c>
      <c r="L87" s="25">
        <f>IF($A87="","",IF($C87&lt;&gt;"manual_titration_mL","",IFERROR(INDEX('3_可滴定酸度'!$E$6:$E$13,MATCH($I87,'3_可滴定酸度'!$B$6:$B$13,0)),"")))</f>
        <v/>
      </c>
      <c r="M87" s="25">
        <f>IF($A87="","",IF($C87&lt;&gt;"manual_titration_mL","",IFERROR(INDEX('3_可滴定酸度'!$F$6:$F$13,MATCH($I87,'3_可滴定酸度'!$B$6:$B$13,0)),"")))</f>
        <v/>
      </c>
      <c r="N87" s="24">
        <f>IF($A87="","",IF(OR(K87="",L87="",M87=""),"",K87*E87*L87/(M87*1000)*100))</f>
        <v/>
      </c>
      <c r="O87" s="24">
        <f>IF($A87="","",IF(N87="","",IF(COUNTIFS('1_原始數據'!$A$2:$A$1000,$A87,'1_原始數據'!$B$2:$B$1000,$B87,'1_原始數據'!$D$2:$D$1000,$D87,'1_原始數據'!$I$2:$I$1000,$I87,'1_原始數據'!$C$2:$C$1000,"pasco_pct_acid")=0,"",SUMIFS('1_原始數據'!$E$2:$E$1000,'1_原始數據'!$A$2:$A$1000,$A87,'1_原始數據'!$B$2:$B$1000,$B87,'1_原始數據'!$D$2:$D$1000,$D87,'1_原始數據'!$I$2:$I$1000,$I87,'1_原始數據'!$C$2:$C$1000,"pasco_pct_acid"))))</f>
        <v/>
      </c>
      <c r="P87" s="26">
        <f>IF($A87="","",IF(OR(N87="",O87=""),"",O87-N87))</f>
        <v/>
      </c>
      <c r="Q87" s="24">
        <f>IF($A87="","",IF(P87="","",(O87+N87)/2))</f>
        <v/>
      </c>
      <c r="R87" s="27">
        <f>IF($A87="","",IF(P87="","",COUNT($P$2:P87)))</f>
        <v/>
      </c>
    </row>
    <row r="88">
      <c r="J88" s="24">
        <f>IF($A88="","",IF($C88&lt;&gt;"khp_titration_mL","",IF(COUNTIFS('1_原始數據'!$A$2:$A$1000,$A88,'1_原始數據'!$B$2:$B$1000,$B88,'1_原始數據'!$D$2:$D$1000,$D88,'1_原始數據'!$C$2:$C$1000,"khp_mass_g")=0,"",SUMIFS('1_原始數據'!$E$2:$E$1000,'1_原始數據'!$A$2:$A$1000,$A88,'1_原始數據'!$B$2:$B$1000,$B88,'1_原始數據'!$D$2:$D$1000,$D88,'1_原始數據'!$C$2:$C$1000,"khp_mass_g")/('2_NaOH標定'!$C$5*$E88/1000))))</f>
        <v/>
      </c>
      <c r="K88" s="24">
        <f>IF($A88="","",IF($C88&lt;&gt;"manual_titration_mL","",IF(COUNTIFS('1_原始數據'!$A$2:$A$1000,$A88,'1_原始數據'!$C$2:$C$1000,"khp_titration_mL")=0,"",AVERAGEIFS('1_原始數據'!$J$2:$J$1000,'1_原始數據'!$A$2:$A$1000,$A88,'1_原始數據'!$C$2:$C$1000,"khp_titration_mL"))))</f>
        <v/>
      </c>
      <c r="L88" s="25">
        <f>IF($A88="","",IF($C88&lt;&gt;"manual_titration_mL","",IFERROR(INDEX('3_可滴定酸度'!$E$6:$E$13,MATCH($I88,'3_可滴定酸度'!$B$6:$B$13,0)),"")))</f>
        <v/>
      </c>
      <c r="M88" s="25">
        <f>IF($A88="","",IF($C88&lt;&gt;"manual_titration_mL","",IFERROR(INDEX('3_可滴定酸度'!$F$6:$F$13,MATCH($I88,'3_可滴定酸度'!$B$6:$B$13,0)),"")))</f>
        <v/>
      </c>
      <c r="N88" s="24">
        <f>IF($A88="","",IF(OR(K88="",L88="",M88=""),"",K88*E88*L88/(M88*1000)*100))</f>
        <v/>
      </c>
      <c r="O88" s="24">
        <f>IF($A88="","",IF(N88="","",IF(COUNTIFS('1_原始數據'!$A$2:$A$1000,$A88,'1_原始數據'!$B$2:$B$1000,$B88,'1_原始數據'!$D$2:$D$1000,$D88,'1_原始數據'!$I$2:$I$1000,$I88,'1_原始數據'!$C$2:$C$1000,"pasco_pct_acid")=0,"",SUMIFS('1_原始數據'!$E$2:$E$1000,'1_原始數據'!$A$2:$A$1000,$A88,'1_原始數據'!$B$2:$B$1000,$B88,'1_原始數據'!$D$2:$D$1000,$D88,'1_原始數據'!$I$2:$I$1000,$I88,'1_原始數據'!$C$2:$C$1000,"pasco_pct_acid"))))</f>
        <v/>
      </c>
      <c r="P88" s="26">
        <f>IF($A88="","",IF(OR(N88="",O88=""),"",O88-N88))</f>
        <v/>
      </c>
      <c r="Q88" s="24">
        <f>IF($A88="","",IF(P88="","",(O88+N88)/2))</f>
        <v/>
      </c>
      <c r="R88" s="27">
        <f>IF($A88="","",IF(P88="","",COUNT($P$2:P88)))</f>
        <v/>
      </c>
    </row>
    <row r="89">
      <c r="J89" s="24">
        <f>IF($A89="","",IF($C89&lt;&gt;"khp_titration_mL","",IF(COUNTIFS('1_原始數據'!$A$2:$A$1000,$A89,'1_原始數據'!$B$2:$B$1000,$B89,'1_原始數據'!$D$2:$D$1000,$D89,'1_原始數據'!$C$2:$C$1000,"khp_mass_g")=0,"",SUMIFS('1_原始數據'!$E$2:$E$1000,'1_原始數據'!$A$2:$A$1000,$A89,'1_原始數據'!$B$2:$B$1000,$B89,'1_原始數據'!$D$2:$D$1000,$D89,'1_原始數據'!$C$2:$C$1000,"khp_mass_g")/('2_NaOH標定'!$C$5*$E89/1000))))</f>
        <v/>
      </c>
      <c r="K89" s="24">
        <f>IF($A89="","",IF($C89&lt;&gt;"manual_titration_mL","",IF(COUNTIFS('1_原始數據'!$A$2:$A$1000,$A89,'1_原始數據'!$C$2:$C$1000,"khp_titration_mL")=0,"",AVERAGEIFS('1_原始數據'!$J$2:$J$1000,'1_原始數據'!$A$2:$A$1000,$A89,'1_原始數據'!$C$2:$C$1000,"khp_titration_mL"))))</f>
        <v/>
      </c>
      <c r="L89" s="25">
        <f>IF($A89="","",IF($C89&lt;&gt;"manual_titration_mL","",IFERROR(INDEX('3_可滴定酸度'!$E$6:$E$13,MATCH($I89,'3_可滴定酸度'!$B$6:$B$13,0)),"")))</f>
        <v/>
      </c>
      <c r="M89" s="25">
        <f>IF($A89="","",IF($C89&lt;&gt;"manual_titration_mL","",IFERROR(INDEX('3_可滴定酸度'!$F$6:$F$13,MATCH($I89,'3_可滴定酸度'!$B$6:$B$13,0)),"")))</f>
        <v/>
      </c>
      <c r="N89" s="24">
        <f>IF($A89="","",IF(OR(K89="",L89="",M89=""),"",K89*E89*L89/(M89*1000)*100))</f>
        <v/>
      </c>
      <c r="O89" s="24">
        <f>IF($A89="","",IF(N89="","",IF(COUNTIFS('1_原始數據'!$A$2:$A$1000,$A89,'1_原始數據'!$B$2:$B$1000,$B89,'1_原始數據'!$D$2:$D$1000,$D89,'1_原始數據'!$I$2:$I$1000,$I89,'1_原始數據'!$C$2:$C$1000,"pasco_pct_acid")=0,"",SUMIFS('1_原始數據'!$E$2:$E$1000,'1_原始數據'!$A$2:$A$1000,$A89,'1_原始數據'!$B$2:$B$1000,$B89,'1_原始數據'!$D$2:$D$1000,$D89,'1_原始數據'!$I$2:$I$1000,$I89,'1_原始數據'!$C$2:$C$1000,"pasco_pct_acid"))))</f>
        <v/>
      </c>
      <c r="P89" s="26">
        <f>IF($A89="","",IF(OR(N89="",O89=""),"",O89-N89))</f>
        <v/>
      </c>
      <c r="Q89" s="24">
        <f>IF($A89="","",IF(P89="","",(O89+N89)/2))</f>
        <v/>
      </c>
      <c r="R89" s="27">
        <f>IF($A89="","",IF(P89="","",COUNT($P$2:P89)))</f>
        <v/>
      </c>
    </row>
    <row r="90">
      <c r="J90" s="24">
        <f>IF($A90="","",IF($C90&lt;&gt;"khp_titration_mL","",IF(COUNTIFS('1_原始數據'!$A$2:$A$1000,$A90,'1_原始數據'!$B$2:$B$1000,$B90,'1_原始數據'!$D$2:$D$1000,$D90,'1_原始數據'!$C$2:$C$1000,"khp_mass_g")=0,"",SUMIFS('1_原始數據'!$E$2:$E$1000,'1_原始數據'!$A$2:$A$1000,$A90,'1_原始數據'!$B$2:$B$1000,$B90,'1_原始數據'!$D$2:$D$1000,$D90,'1_原始數據'!$C$2:$C$1000,"khp_mass_g")/('2_NaOH標定'!$C$5*$E90/1000))))</f>
        <v/>
      </c>
      <c r="K90" s="24">
        <f>IF($A90="","",IF($C90&lt;&gt;"manual_titration_mL","",IF(COUNTIFS('1_原始數據'!$A$2:$A$1000,$A90,'1_原始數據'!$C$2:$C$1000,"khp_titration_mL")=0,"",AVERAGEIFS('1_原始數據'!$J$2:$J$1000,'1_原始數據'!$A$2:$A$1000,$A90,'1_原始數據'!$C$2:$C$1000,"khp_titration_mL"))))</f>
        <v/>
      </c>
      <c r="L90" s="25">
        <f>IF($A90="","",IF($C90&lt;&gt;"manual_titration_mL","",IFERROR(INDEX('3_可滴定酸度'!$E$6:$E$13,MATCH($I90,'3_可滴定酸度'!$B$6:$B$13,0)),"")))</f>
        <v/>
      </c>
      <c r="M90" s="25">
        <f>IF($A90="","",IF($C90&lt;&gt;"manual_titration_mL","",IFERROR(INDEX('3_可滴定酸度'!$F$6:$F$13,MATCH($I90,'3_可滴定酸度'!$B$6:$B$13,0)),"")))</f>
        <v/>
      </c>
      <c r="N90" s="24">
        <f>IF($A90="","",IF(OR(K90="",L90="",M90=""),"",K90*E90*L90/(M90*1000)*100))</f>
        <v/>
      </c>
      <c r="O90" s="24">
        <f>IF($A90="","",IF(N90="","",IF(COUNTIFS('1_原始數據'!$A$2:$A$1000,$A90,'1_原始數據'!$B$2:$B$1000,$B90,'1_原始數據'!$D$2:$D$1000,$D90,'1_原始數據'!$I$2:$I$1000,$I90,'1_原始數據'!$C$2:$C$1000,"pasco_pct_acid")=0,"",SUMIFS('1_原始數據'!$E$2:$E$1000,'1_原始數據'!$A$2:$A$1000,$A90,'1_原始數據'!$B$2:$B$1000,$B90,'1_原始數據'!$D$2:$D$1000,$D90,'1_原始數據'!$I$2:$I$1000,$I90,'1_原始數據'!$C$2:$C$1000,"pasco_pct_acid"))))</f>
        <v/>
      </c>
      <c r="P90" s="26">
        <f>IF($A90="","",IF(OR(N90="",O90=""),"",O90-N90))</f>
        <v/>
      </c>
      <c r="Q90" s="24">
        <f>IF($A90="","",IF(P90="","",(O90+N90)/2))</f>
        <v/>
      </c>
      <c r="R90" s="27">
        <f>IF($A90="","",IF(P90="","",COUNT($P$2:P90)))</f>
        <v/>
      </c>
    </row>
    <row r="91">
      <c r="J91" s="24">
        <f>IF($A91="","",IF($C91&lt;&gt;"khp_titration_mL","",IF(COUNTIFS('1_原始數據'!$A$2:$A$1000,$A91,'1_原始數據'!$B$2:$B$1000,$B91,'1_原始數據'!$D$2:$D$1000,$D91,'1_原始數據'!$C$2:$C$1000,"khp_mass_g")=0,"",SUMIFS('1_原始數據'!$E$2:$E$1000,'1_原始數據'!$A$2:$A$1000,$A91,'1_原始數據'!$B$2:$B$1000,$B91,'1_原始數據'!$D$2:$D$1000,$D91,'1_原始數據'!$C$2:$C$1000,"khp_mass_g")/('2_NaOH標定'!$C$5*$E91/1000))))</f>
        <v/>
      </c>
      <c r="K91" s="24">
        <f>IF($A91="","",IF($C91&lt;&gt;"manual_titration_mL","",IF(COUNTIFS('1_原始數據'!$A$2:$A$1000,$A91,'1_原始數據'!$C$2:$C$1000,"khp_titration_mL")=0,"",AVERAGEIFS('1_原始數據'!$J$2:$J$1000,'1_原始數據'!$A$2:$A$1000,$A91,'1_原始數據'!$C$2:$C$1000,"khp_titration_mL"))))</f>
        <v/>
      </c>
      <c r="L91" s="25">
        <f>IF($A91="","",IF($C91&lt;&gt;"manual_titration_mL","",IFERROR(INDEX('3_可滴定酸度'!$E$6:$E$13,MATCH($I91,'3_可滴定酸度'!$B$6:$B$13,0)),"")))</f>
        <v/>
      </c>
      <c r="M91" s="25">
        <f>IF($A91="","",IF($C91&lt;&gt;"manual_titration_mL","",IFERROR(INDEX('3_可滴定酸度'!$F$6:$F$13,MATCH($I91,'3_可滴定酸度'!$B$6:$B$13,0)),"")))</f>
        <v/>
      </c>
      <c r="N91" s="24">
        <f>IF($A91="","",IF(OR(K91="",L91="",M91=""),"",K91*E91*L91/(M91*1000)*100))</f>
        <v/>
      </c>
      <c r="O91" s="24">
        <f>IF($A91="","",IF(N91="","",IF(COUNTIFS('1_原始數據'!$A$2:$A$1000,$A91,'1_原始數據'!$B$2:$B$1000,$B91,'1_原始數據'!$D$2:$D$1000,$D91,'1_原始數據'!$I$2:$I$1000,$I91,'1_原始數據'!$C$2:$C$1000,"pasco_pct_acid")=0,"",SUMIFS('1_原始數據'!$E$2:$E$1000,'1_原始數據'!$A$2:$A$1000,$A91,'1_原始數據'!$B$2:$B$1000,$B91,'1_原始數據'!$D$2:$D$1000,$D91,'1_原始數據'!$I$2:$I$1000,$I91,'1_原始數據'!$C$2:$C$1000,"pasco_pct_acid"))))</f>
        <v/>
      </c>
      <c r="P91" s="26">
        <f>IF($A91="","",IF(OR(N91="",O91=""),"",O91-N91))</f>
        <v/>
      </c>
      <c r="Q91" s="24">
        <f>IF($A91="","",IF(P91="","",(O91+N91)/2))</f>
        <v/>
      </c>
      <c r="R91" s="27">
        <f>IF($A91="","",IF(P91="","",COUNT($P$2:P91)))</f>
        <v/>
      </c>
    </row>
    <row r="92">
      <c r="J92" s="24">
        <f>IF($A92="","",IF($C92&lt;&gt;"khp_titration_mL","",IF(COUNTIFS('1_原始數據'!$A$2:$A$1000,$A92,'1_原始數據'!$B$2:$B$1000,$B92,'1_原始數據'!$D$2:$D$1000,$D92,'1_原始數據'!$C$2:$C$1000,"khp_mass_g")=0,"",SUMIFS('1_原始數據'!$E$2:$E$1000,'1_原始數據'!$A$2:$A$1000,$A92,'1_原始數據'!$B$2:$B$1000,$B92,'1_原始數據'!$D$2:$D$1000,$D92,'1_原始數據'!$C$2:$C$1000,"khp_mass_g")/('2_NaOH標定'!$C$5*$E92/1000))))</f>
        <v/>
      </c>
      <c r="K92" s="24">
        <f>IF($A92="","",IF($C92&lt;&gt;"manual_titration_mL","",IF(COUNTIFS('1_原始數據'!$A$2:$A$1000,$A92,'1_原始數據'!$C$2:$C$1000,"khp_titration_mL")=0,"",AVERAGEIFS('1_原始數據'!$J$2:$J$1000,'1_原始數據'!$A$2:$A$1000,$A92,'1_原始數據'!$C$2:$C$1000,"khp_titration_mL"))))</f>
        <v/>
      </c>
      <c r="L92" s="25">
        <f>IF($A92="","",IF($C92&lt;&gt;"manual_titration_mL","",IFERROR(INDEX('3_可滴定酸度'!$E$6:$E$13,MATCH($I92,'3_可滴定酸度'!$B$6:$B$13,0)),"")))</f>
        <v/>
      </c>
      <c r="M92" s="25">
        <f>IF($A92="","",IF($C92&lt;&gt;"manual_titration_mL","",IFERROR(INDEX('3_可滴定酸度'!$F$6:$F$13,MATCH($I92,'3_可滴定酸度'!$B$6:$B$13,0)),"")))</f>
        <v/>
      </c>
      <c r="N92" s="24">
        <f>IF($A92="","",IF(OR(K92="",L92="",M92=""),"",K92*E92*L92/(M92*1000)*100))</f>
        <v/>
      </c>
      <c r="O92" s="24">
        <f>IF($A92="","",IF(N92="","",IF(COUNTIFS('1_原始數據'!$A$2:$A$1000,$A92,'1_原始數據'!$B$2:$B$1000,$B92,'1_原始數據'!$D$2:$D$1000,$D92,'1_原始數據'!$I$2:$I$1000,$I92,'1_原始數據'!$C$2:$C$1000,"pasco_pct_acid")=0,"",SUMIFS('1_原始數據'!$E$2:$E$1000,'1_原始數據'!$A$2:$A$1000,$A92,'1_原始數據'!$B$2:$B$1000,$B92,'1_原始數據'!$D$2:$D$1000,$D92,'1_原始數據'!$I$2:$I$1000,$I92,'1_原始數據'!$C$2:$C$1000,"pasco_pct_acid"))))</f>
        <v/>
      </c>
      <c r="P92" s="26">
        <f>IF($A92="","",IF(OR(N92="",O92=""),"",O92-N92))</f>
        <v/>
      </c>
      <c r="Q92" s="24">
        <f>IF($A92="","",IF(P92="","",(O92+N92)/2))</f>
        <v/>
      </c>
      <c r="R92" s="27">
        <f>IF($A92="","",IF(P92="","",COUNT($P$2:P92)))</f>
        <v/>
      </c>
    </row>
    <row r="93">
      <c r="J93" s="24">
        <f>IF($A93="","",IF($C93&lt;&gt;"khp_titration_mL","",IF(COUNTIFS('1_原始數據'!$A$2:$A$1000,$A93,'1_原始數據'!$B$2:$B$1000,$B93,'1_原始數據'!$D$2:$D$1000,$D93,'1_原始數據'!$C$2:$C$1000,"khp_mass_g")=0,"",SUMIFS('1_原始數據'!$E$2:$E$1000,'1_原始數據'!$A$2:$A$1000,$A93,'1_原始數據'!$B$2:$B$1000,$B93,'1_原始數據'!$D$2:$D$1000,$D93,'1_原始數據'!$C$2:$C$1000,"khp_mass_g")/('2_NaOH標定'!$C$5*$E93/1000))))</f>
        <v/>
      </c>
      <c r="K93" s="24">
        <f>IF($A93="","",IF($C93&lt;&gt;"manual_titration_mL","",IF(COUNTIFS('1_原始數據'!$A$2:$A$1000,$A93,'1_原始數據'!$C$2:$C$1000,"khp_titration_mL")=0,"",AVERAGEIFS('1_原始數據'!$J$2:$J$1000,'1_原始數據'!$A$2:$A$1000,$A93,'1_原始數據'!$C$2:$C$1000,"khp_titration_mL"))))</f>
        <v/>
      </c>
      <c r="L93" s="25">
        <f>IF($A93="","",IF($C93&lt;&gt;"manual_titration_mL","",IFERROR(INDEX('3_可滴定酸度'!$E$6:$E$13,MATCH($I93,'3_可滴定酸度'!$B$6:$B$13,0)),"")))</f>
        <v/>
      </c>
      <c r="M93" s="25">
        <f>IF($A93="","",IF($C93&lt;&gt;"manual_titration_mL","",IFERROR(INDEX('3_可滴定酸度'!$F$6:$F$13,MATCH($I93,'3_可滴定酸度'!$B$6:$B$13,0)),"")))</f>
        <v/>
      </c>
      <c r="N93" s="24">
        <f>IF($A93="","",IF(OR(K93="",L93="",M93=""),"",K93*E93*L93/(M93*1000)*100))</f>
        <v/>
      </c>
      <c r="O93" s="24">
        <f>IF($A93="","",IF(N93="","",IF(COUNTIFS('1_原始數據'!$A$2:$A$1000,$A93,'1_原始數據'!$B$2:$B$1000,$B93,'1_原始數據'!$D$2:$D$1000,$D93,'1_原始數據'!$I$2:$I$1000,$I93,'1_原始數據'!$C$2:$C$1000,"pasco_pct_acid")=0,"",SUMIFS('1_原始數據'!$E$2:$E$1000,'1_原始數據'!$A$2:$A$1000,$A93,'1_原始數據'!$B$2:$B$1000,$B93,'1_原始數據'!$D$2:$D$1000,$D93,'1_原始數據'!$I$2:$I$1000,$I93,'1_原始數據'!$C$2:$C$1000,"pasco_pct_acid"))))</f>
        <v/>
      </c>
      <c r="P93" s="26">
        <f>IF($A93="","",IF(OR(N93="",O93=""),"",O93-N93))</f>
        <v/>
      </c>
      <c r="Q93" s="24">
        <f>IF($A93="","",IF(P93="","",(O93+N93)/2))</f>
        <v/>
      </c>
      <c r="R93" s="27">
        <f>IF($A93="","",IF(P93="","",COUNT($P$2:P93)))</f>
        <v/>
      </c>
    </row>
    <row r="94">
      <c r="J94" s="24">
        <f>IF($A94="","",IF($C94&lt;&gt;"khp_titration_mL","",IF(COUNTIFS('1_原始數據'!$A$2:$A$1000,$A94,'1_原始數據'!$B$2:$B$1000,$B94,'1_原始數據'!$D$2:$D$1000,$D94,'1_原始數據'!$C$2:$C$1000,"khp_mass_g")=0,"",SUMIFS('1_原始數據'!$E$2:$E$1000,'1_原始數據'!$A$2:$A$1000,$A94,'1_原始數據'!$B$2:$B$1000,$B94,'1_原始數據'!$D$2:$D$1000,$D94,'1_原始數據'!$C$2:$C$1000,"khp_mass_g")/('2_NaOH標定'!$C$5*$E94/1000))))</f>
        <v/>
      </c>
      <c r="K94" s="24">
        <f>IF($A94="","",IF($C94&lt;&gt;"manual_titration_mL","",IF(COUNTIFS('1_原始數據'!$A$2:$A$1000,$A94,'1_原始數據'!$C$2:$C$1000,"khp_titration_mL")=0,"",AVERAGEIFS('1_原始數據'!$J$2:$J$1000,'1_原始數據'!$A$2:$A$1000,$A94,'1_原始數據'!$C$2:$C$1000,"khp_titration_mL"))))</f>
        <v/>
      </c>
      <c r="L94" s="25">
        <f>IF($A94="","",IF($C94&lt;&gt;"manual_titration_mL","",IFERROR(INDEX('3_可滴定酸度'!$E$6:$E$13,MATCH($I94,'3_可滴定酸度'!$B$6:$B$13,0)),"")))</f>
        <v/>
      </c>
      <c r="M94" s="25">
        <f>IF($A94="","",IF($C94&lt;&gt;"manual_titration_mL","",IFERROR(INDEX('3_可滴定酸度'!$F$6:$F$13,MATCH($I94,'3_可滴定酸度'!$B$6:$B$13,0)),"")))</f>
        <v/>
      </c>
      <c r="N94" s="24">
        <f>IF($A94="","",IF(OR(K94="",L94="",M94=""),"",K94*E94*L94/(M94*1000)*100))</f>
        <v/>
      </c>
      <c r="O94" s="24">
        <f>IF($A94="","",IF(N94="","",IF(COUNTIFS('1_原始數據'!$A$2:$A$1000,$A94,'1_原始數據'!$B$2:$B$1000,$B94,'1_原始數據'!$D$2:$D$1000,$D94,'1_原始數據'!$I$2:$I$1000,$I94,'1_原始數據'!$C$2:$C$1000,"pasco_pct_acid")=0,"",SUMIFS('1_原始數據'!$E$2:$E$1000,'1_原始數據'!$A$2:$A$1000,$A94,'1_原始數據'!$B$2:$B$1000,$B94,'1_原始數據'!$D$2:$D$1000,$D94,'1_原始數據'!$I$2:$I$1000,$I94,'1_原始數據'!$C$2:$C$1000,"pasco_pct_acid"))))</f>
        <v/>
      </c>
      <c r="P94" s="26">
        <f>IF($A94="","",IF(OR(N94="",O94=""),"",O94-N94))</f>
        <v/>
      </c>
      <c r="Q94" s="24">
        <f>IF($A94="","",IF(P94="","",(O94+N94)/2))</f>
        <v/>
      </c>
      <c r="R94" s="27">
        <f>IF($A94="","",IF(P94="","",COUNT($P$2:P94)))</f>
        <v/>
      </c>
    </row>
    <row r="95">
      <c r="J95" s="24">
        <f>IF($A95="","",IF($C95&lt;&gt;"khp_titration_mL","",IF(COUNTIFS('1_原始數據'!$A$2:$A$1000,$A95,'1_原始數據'!$B$2:$B$1000,$B95,'1_原始數據'!$D$2:$D$1000,$D95,'1_原始數據'!$C$2:$C$1000,"khp_mass_g")=0,"",SUMIFS('1_原始數據'!$E$2:$E$1000,'1_原始數據'!$A$2:$A$1000,$A95,'1_原始數據'!$B$2:$B$1000,$B95,'1_原始數據'!$D$2:$D$1000,$D95,'1_原始數據'!$C$2:$C$1000,"khp_mass_g")/('2_NaOH標定'!$C$5*$E95/1000))))</f>
        <v/>
      </c>
      <c r="K95" s="24">
        <f>IF($A95="","",IF($C95&lt;&gt;"manual_titration_mL","",IF(COUNTIFS('1_原始數據'!$A$2:$A$1000,$A95,'1_原始數據'!$C$2:$C$1000,"khp_titration_mL")=0,"",AVERAGEIFS('1_原始數據'!$J$2:$J$1000,'1_原始數據'!$A$2:$A$1000,$A95,'1_原始數據'!$C$2:$C$1000,"khp_titration_mL"))))</f>
        <v/>
      </c>
      <c r="L95" s="25">
        <f>IF($A95="","",IF($C95&lt;&gt;"manual_titration_mL","",IFERROR(INDEX('3_可滴定酸度'!$E$6:$E$13,MATCH($I95,'3_可滴定酸度'!$B$6:$B$13,0)),"")))</f>
        <v/>
      </c>
      <c r="M95" s="25">
        <f>IF($A95="","",IF($C95&lt;&gt;"manual_titration_mL","",IFERROR(INDEX('3_可滴定酸度'!$F$6:$F$13,MATCH($I95,'3_可滴定酸度'!$B$6:$B$13,0)),"")))</f>
        <v/>
      </c>
      <c r="N95" s="24">
        <f>IF($A95="","",IF(OR(K95="",L95="",M95=""),"",K95*E95*L95/(M95*1000)*100))</f>
        <v/>
      </c>
      <c r="O95" s="24">
        <f>IF($A95="","",IF(N95="","",IF(COUNTIFS('1_原始數據'!$A$2:$A$1000,$A95,'1_原始數據'!$B$2:$B$1000,$B95,'1_原始數據'!$D$2:$D$1000,$D95,'1_原始數據'!$I$2:$I$1000,$I95,'1_原始數據'!$C$2:$C$1000,"pasco_pct_acid")=0,"",SUMIFS('1_原始數據'!$E$2:$E$1000,'1_原始數據'!$A$2:$A$1000,$A95,'1_原始數據'!$B$2:$B$1000,$B95,'1_原始數據'!$D$2:$D$1000,$D95,'1_原始數據'!$I$2:$I$1000,$I95,'1_原始數據'!$C$2:$C$1000,"pasco_pct_acid"))))</f>
        <v/>
      </c>
      <c r="P95" s="26">
        <f>IF($A95="","",IF(OR(N95="",O95=""),"",O95-N95))</f>
        <v/>
      </c>
      <c r="Q95" s="24">
        <f>IF($A95="","",IF(P95="","",(O95+N95)/2))</f>
        <v/>
      </c>
      <c r="R95" s="27">
        <f>IF($A95="","",IF(P95="","",COUNT($P$2:P95)))</f>
        <v/>
      </c>
    </row>
    <row r="96">
      <c r="J96" s="24">
        <f>IF($A96="","",IF($C96&lt;&gt;"khp_titration_mL","",IF(COUNTIFS('1_原始數據'!$A$2:$A$1000,$A96,'1_原始數據'!$B$2:$B$1000,$B96,'1_原始數據'!$D$2:$D$1000,$D96,'1_原始數據'!$C$2:$C$1000,"khp_mass_g")=0,"",SUMIFS('1_原始數據'!$E$2:$E$1000,'1_原始數據'!$A$2:$A$1000,$A96,'1_原始數據'!$B$2:$B$1000,$B96,'1_原始數據'!$D$2:$D$1000,$D96,'1_原始數據'!$C$2:$C$1000,"khp_mass_g")/('2_NaOH標定'!$C$5*$E96/1000))))</f>
        <v/>
      </c>
      <c r="K96" s="24">
        <f>IF($A96="","",IF($C96&lt;&gt;"manual_titration_mL","",IF(COUNTIFS('1_原始數據'!$A$2:$A$1000,$A96,'1_原始數據'!$C$2:$C$1000,"khp_titration_mL")=0,"",AVERAGEIFS('1_原始數據'!$J$2:$J$1000,'1_原始數據'!$A$2:$A$1000,$A96,'1_原始數據'!$C$2:$C$1000,"khp_titration_mL"))))</f>
        <v/>
      </c>
      <c r="L96" s="25">
        <f>IF($A96="","",IF($C96&lt;&gt;"manual_titration_mL","",IFERROR(INDEX('3_可滴定酸度'!$E$6:$E$13,MATCH($I96,'3_可滴定酸度'!$B$6:$B$13,0)),"")))</f>
        <v/>
      </c>
      <c r="M96" s="25">
        <f>IF($A96="","",IF($C96&lt;&gt;"manual_titration_mL","",IFERROR(INDEX('3_可滴定酸度'!$F$6:$F$13,MATCH($I96,'3_可滴定酸度'!$B$6:$B$13,0)),"")))</f>
        <v/>
      </c>
      <c r="N96" s="24">
        <f>IF($A96="","",IF(OR(K96="",L96="",M96=""),"",K96*E96*L96/(M96*1000)*100))</f>
        <v/>
      </c>
      <c r="O96" s="24">
        <f>IF($A96="","",IF(N96="","",IF(COUNTIFS('1_原始數據'!$A$2:$A$1000,$A96,'1_原始數據'!$B$2:$B$1000,$B96,'1_原始數據'!$D$2:$D$1000,$D96,'1_原始數據'!$I$2:$I$1000,$I96,'1_原始數據'!$C$2:$C$1000,"pasco_pct_acid")=0,"",SUMIFS('1_原始數據'!$E$2:$E$1000,'1_原始數據'!$A$2:$A$1000,$A96,'1_原始數據'!$B$2:$B$1000,$B96,'1_原始數據'!$D$2:$D$1000,$D96,'1_原始數據'!$I$2:$I$1000,$I96,'1_原始數據'!$C$2:$C$1000,"pasco_pct_acid"))))</f>
        <v/>
      </c>
      <c r="P96" s="26">
        <f>IF($A96="","",IF(OR(N96="",O96=""),"",O96-N96))</f>
        <v/>
      </c>
      <c r="Q96" s="24">
        <f>IF($A96="","",IF(P96="","",(O96+N96)/2))</f>
        <v/>
      </c>
      <c r="R96" s="27">
        <f>IF($A96="","",IF(P96="","",COUNT($P$2:P96)))</f>
        <v/>
      </c>
    </row>
    <row r="97">
      <c r="J97" s="24">
        <f>IF($A97="","",IF($C97&lt;&gt;"khp_titration_mL","",IF(COUNTIFS('1_原始數據'!$A$2:$A$1000,$A97,'1_原始數據'!$B$2:$B$1000,$B97,'1_原始數據'!$D$2:$D$1000,$D97,'1_原始數據'!$C$2:$C$1000,"khp_mass_g")=0,"",SUMIFS('1_原始數據'!$E$2:$E$1000,'1_原始數據'!$A$2:$A$1000,$A97,'1_原始數據'!$B$2:$B$1000,$B97,'1_原始數據'!$D$2:$D$1000,$D97,'1_原始數據'!$C$2:$C$1000,"khp_mass_g")/('2_NaOH標定'!$C$5*$E97/1000))))</f>
        <v/>
      </c>
      <c r="K97" s="24">
        <f>IF($A97="","",IF($C97&lt;&gt;"manual_titration_mL","",IF(COUNTIFS('1_原始數據'!$A$2:$A$1000,$A97,'1_原始數據'!$C$2:$C$1000,"khp_titration_mL")=0,"",AVERAGEIFS('1_原始數據'!$J$2:$J$1000,'1_原始數據'!$A$2:$A$1000,$A97,'1_原始數據'!$C$2:$C$1000,"khp_titration_mL"))))</f>
        <v/>
      </c>
      <c r="L97" s="25">
        <f>IF($A97="","",IF($C97&lt;&gt;"manual_titration_mL","",IFERROR(INDEX('3_可滴定酸度'!$E$6:$E$13,MATCH($I97,'3_可滴定酸度'!$B$6:$B$13,0)),"")))</f>
        <v/>
      </c>
      <c r="M97" s="25">
        <f>IF($A97="","",IF($C97&lt;&gt;"manual_titration_mL","",IFERROR(INDEX('3_可滴定酸度'!$F$6:$F$13,MATCH($I97,'3_可滴定酸度'!$B$6:$B$13,0)),"")))</f>
        <v/>
      </c>
      <c r="N97" s="24">
        <f>IF($A97="","",IF(OR(K97="",L97="",M97=""),"",K97*E97*L97/(M97*1000)*100))</f>
        <v/>
      </c>
      <c r="O97" s="24">
        <f>IF($A97="","",IF(N97="","",IF(COUNTIFS('1_原始數據'!$A$2:$A$1000,$A97,'1_原始數據'!$B$2:$B$1000,$B97,'1_原始數據'!$D$2:$D$1000,$D97,'1_原始數據'!$I$2:$I$1000,$I97,'1_原始數據'!$C$2:$C$1000,"pasco_pct_acid")=0,"",SUMIFS('1_原始數據'!$E$2:$E$1000,'1_原始數據'!$A$2:$A$1000,$A97,'1_原始數據'!$B$2:$B$1000,$B97,'1_原始數據'!$D$2:$D$1000,$D97,'1_原始數據'!$I$2:$I$1000,$I97,'1_原始數據'!$C$2:$C$1000,"pasco_pct_acid"))))</f>
        <v/>
      </c>
      <c r="P97" s="26">
        <f>IF($A97="","",IF(OR(N97="",O97=""),"",O97-N97))</f>
        <v/>
      </c>
      <c r="Q97" s="24">
        <f>IF($A97="","",IF(P97="","",(O97+N97)/2))</f>
        <v/>
      </c>
      <c r="R97" s="27">
        <f>IF($A97="","",IF(P97="","",COUNT($P$2:P97)))</f>
        <v/>
      </c>
    </row>
    <row r="98">
      <c r="J98" s="24">
        <f>IF($A98="","",IF($C98&lt;&gt;"khp_titration_mL","",IF(COUNTIFS('1_原始數據'!$A$2:$A$1000,$A98,'1_原始數據'!$B$2:$B$1000,$B98,'1_原始數據'!$D$2:$D$1000,$D98,'1_原始數據'!$C$2:$C$1000,"khp_mass_g")=0,"",SUMIFS('1_原始數據'!$E$2:$E$1000,'1_原始數據'!$A$2:$A$1000,$A98,'1_原始數據'!$B$2:$B$1000,$B98,'1_原始數據'!$D$2:$D$1000,$D98,'1_原始數據'!$C$2:$C$1000,"khp_mass_g")/('2_NaOH標定'!$C$5*$E98/1000))))</f>
        <v/>
      </c>
      <c r="K98" s="24">
        <f>IF($A98="","",IF($C98&lt;&gt;"manual_titration_mL","",IF(COUNTIFS('1_原始數據'!$A$2:$A$1000,$A98,'1_原始數據'!$C$2:$C$1000,"khp_titration_mL")=0,"",AVERAGEIFS('1_原始數據'!$J$2:$J$1000,'1_原始數據'!$A$2:$A$1000,$A98,'1_原始數據'!$C$2:$C$1000,"khp_titration_mL"))))</f>
        <v/>
      </c>
      <c r="L98" s="25">
        <f>IF($A98="","",IF($C98&lt;&gt;"manual_titration_mL","",IFERROR(INDEX('3_可滴定酸度'!$E$6:$E$13,MATCH($I98,'3_可滴定酸度'!$B$6:$B$13,0)),"")))</f>
        <v/>
      </c>
      <c r="M98" s="25">
        <f>IF($A98="","",IF($C98&lt;&gt;"manual_titration_mL","",IFERROR(INDEX('3_可滴定酸度'!$F$6:$F$13,MATCH($I98,'3_可滴定酸度'!$B$6:$B$13,0)),"")))</f>
        <v/>
      </c>
      <c r="N98" s="24">
        <f>IF($A98="","",IF(OR(K98="",L98="",M98=""),"",K98*E98*L98/(M98*1000)*100))</f>
        <v/>
      </c>
      <c r="O98" s="24">
        <f>IF($A98="","",IF(N98="","",IF(COUNTIFS('1_原始數據'!$A$2:$A$1000,$A98,'1_原始數據'!$B$2:$B$1000,$B98,'1_原始數據'!$D$2:$D$1000,$D98,'1_原始數據'!$I$2:$I$1000,$I98,'1_原始數據'!$C$2:$C$1000,"pasco_pct_acid")=0,"",SUMIFS('1_原始數據'!$E$2:$E$1000,'1_原始數據'!$A$2:$A$1000,$A98,'1_原始數據'!$B$2:$B$1000,$B98,'1_原始數據'!$D$2:$D$1000,$D98,'1_原始數據'!$I$2:$I$1000,$I98,'1_原始數據'!$C$2:$C$1000,"pasco_pct_acid"))))</f>
        <v/>
      </c>
      <c r="P98" s="26">
        <f>IF($A98="","",IF(OR(N98="",O98=""),"",O98-N98))</f>
        <v/>
      </c>
      <c r="Q98" s="24">
        <f>IF($A98="","",IF(P98="","",(O98+N98)/2))</f>
        <v/>
      </c>
      <c r="R98" s="27">
        <f>IF($A98="","",IF(P98="","",COUNT($P$2:P98)))</f>
        <v/>
      </c>
    </row>
    <row r="99">
      <c r="J99" s="24">
        <f>IF($A99="","",IF($C99&lt;&gt;"khp_titration_mL","",IF(COUNTIFS('1_原始數據'!$A$2:$A$1000,$A99,'1_原始數據'!$B$2:$B$1000,$B99,'1_原始數據'!$D$2:$D$1000,$D99,'1_原始數據'!$C$2:$C$1000,"khp_mass_g")=0,"",SUMIFS('1_原始數據'!$E$2:$E$1000,'1_原始數據'!$A$2:$A$1000,$A99,'1_原始數據'!$B$2:$B$1000,$B99,'1_原始數據'!$D$2:$D$1000,$D99,'1_原始數據'!$C$2:$C$1000,"khp_mass_g")/('2_NaOH標定'!$C$5*$E99/1000))))</f>
        <v/>
      </c>
      <c r="K99" s="24">
        <f>IF($A99="","",IF($C99&lt;&gt;"manual_titration_mL","",IF(COUNTIFS('1_原始數據'!$A$2:$A$1000,$A99,'1_原始數據'!$C$2:$C$1000,"khp_titration_mL")=0,"",AVERAGEIFS('1_原始數據'!$J$2:$J$1000,'1_原始數據'!$A$2:$A$1000,$A99,'1_原始數據'!$C$2:$C$1000,"khp_titration_mL"))))</f>
        <v/>
      </c>
      <c r="L99" s="25">
        <f>IF($A99="","",IF($C99&lt;&gt;"manual_titration_mL","",IFERROR(INDEX('3_可滴定酸度'!$E$6:$E$13,MATCH($I99,'3_可滴定酸度'!$B$6:$B$13,0)),"")))</f>
        <v/>
      </c>
      <c r="M99" s="25">
        <f>IF($A99="","",IF($C99&lt;&gt;"manual_titration_mL","",IFERROR(INDEX('3_可滴定酸度'!$F$6:$F$13,MATCH($I99,'3_可滴定酸度'!$B$6:$B$13,0)),"")))</f>
        <v/>
      </c>
      <c r="N99" s="24">
        <f>IF($A99="","",IF(OR(K99="",L99="",M99=""),"",K99*E99*L99/(M99*1000)*100))</f>
        <v/>
      </c>
      <c r="O99" s="24">
        <f>IF($A99="","",IF(N99="","",IF(COUNTIFS('1_原始數據'!$A$2:$A$1000,$A99,'1_原始數據'!$B$2:$B$1000,$B99,'1_原始數據'!$D$2:$D$1000,$D99,'1_原始數據'!$I$2:$I$1000,$I99,'1_原始數據'!$C$2:$C$1000,"pasco_pct_acid")=0,"",SUMIFS('1_原始數據'!$E$2:$E$1000,'1_原始數據'!$A$2:$A$1000,$A99,'1_原始數據'!$B$2:$B$1000,$B99,'1_原始數據'!$D$2:$D$1000,$D99,'1_原始數據'!$I$2:$I$1000,$I99,'1_原始數據'!$C$2:$C$1000,"pasco_pct_acid"))))</f>
        <v/>
      </c>
      <c r="P99" s="26">
        <f>IF($A99="","",IF(OR(N99="",O99=""),"",O99-N99))</f>
        <v/>
      </c>
      <c r="Q99" s="24">
        <f>IF($A99="","",IF(P99="","",(O99+N99)/2))</f>
        <v/>
      </c>
      <c r="R99" s="27">
        <f>IF($A99="","",IF(P99="","",COUNT($P$2:P99)))</f>
        <v/>
      </c>
    </row>
    <row r="100">
      <c r="J100" s="24">
        <f>IF($A100="","",IF($C100&lt;&gt;"khp_titration_mL","",IF(COUNTIFS('1_原始數據'!$A$2:$A$1000,$A100,'1_原始數據'!$B$2:$B$1000,$B100,'1_原始數據'!$D$2:$D$1000,$D100,'1_原始數據'!$C$2:$C$1000,"khp_mass_g")=0,"",SUMIFS('1_原始數據'!$E$2:$E$1000,'1_原始數據'!$A$2:$A$1000,$A100,'1_原始數據'!$B$2:$B$1000,$B100,'1_原始數據'!$D$2:$D$1000,$D100,'1_原始數據'!$C$2:$C$1000,"khp_mass_g")/('2_NaOH標定'!$C$5*$E100/1000))))</f>
        <v/>
      </c>
      <c r="K100" s="24">
        <f>IF($A100="","",IF($C100&lt;&gt;"manual_titration_mL","",IF(COUNTIFS('1_原始數據'!$A$2:$A$1000,$A100,'1_原始數據'!$C$2:$C$1000,"khp_titration_mL")=0,"",AVERAGEIFS('1_原始數據'!$J$2:$J$1000,'1_原始數據'!$A$2:$A$1000,$A100,'1_原始數據'!$C$2:$C$1000,"khp_titration_mL"))))</f>
        <v/>
      </c>
      <c r="L100" s="25">
        <f>IF($A100="","",IF($C100&lt;&gt;"manual_titration_mL","",IFERROR(INDEX('3_可滴定酸度'!$E$6:$E$13,MATCH($I100,'3_可滴定酸度'!$B$6:$B$13,0)),"")))</f>
        <v/>
      </c>
      <c r="M100" s="25">
        <f>IF($A100="","",IF($C100&lt;&gt;"manual_titration_mL","",IFERROR(INDEX('3_可滴定酸度'!$F$6:$F$13,MATCH($I100,'3_可滴定酸度'!$B$6:$B$13,0)),"")))</f>
        <v/>
      </c>
      <c r="N100" s="24">
        <f>IF($A100="","",IF(OR(K100="",L100="",M100=""),"",K100*E100*L100/(M100*1000)*100))</f>
        <v/>
      </c>
      <c r="O100" s="24">
        <f>IF($A100="","",IF(N100="","",IF(COUNTIFS('1_原始數據'!$A$2:$A$1000,$A100,'1_原始數據'!$B$2:$B$1000,$B100,'1_原始數據'!$D$2:$D$1000,$D100,'1_原始數據'!$I$2:$I$1000,$I100,'1_原始數據'!$C$2:$C$1000,"pasco_pct_acid")=0,"",SUMIFS('1_原始數據'!$E$2:$E$1000,'1_原始數據'!$A$2:$A$1000,$A100,'1_原始數據'!$B$2:$B$1000,$B100,'1_原始數據'!$D$2:$D$1000,$D100,'1_原始數據'!$I$2:$I$1000,$I100,'1_原始數據'!$C$2:$C$1000,"pasco_pct_acid"))))</f>
        <v/>
      </c>
      <c r="P100" s="26">
        <f>IF($A100="","",IF(OR(N100="",O100=""),"",O100-N100))</f>
        <v/>
      </c>
      <c r="Q100" s="24">
        <f>IF($A100="","",IF(P100="","",(O100+N100)/2))</f>
        <v/>
      </c>
      <c r="R100" s="27">
        <f>IF($A100="","",IF(P100="","",COUNT($P$2:P100)))</f>
        <v/>
      </c>
    </row>
    <row r="101">
      <c r="J101" s="24">
        <f>IF($A101="","",IF($C101&lt;&gt;"khp_titration_mL","",IF(COUNTIFS('1_原始數據'!$A$2:$A$1000,$A101,'1_原始數據'!$B$2:$B$1000,$B101,'1_原始數據'!$D$2:$D$1000,$D101,'1_原始數據'!$C$2:$C$1000,"khp_mass_g")=0,"",SUMIFS('1_原始數據'!$E$2:$E$1000,'1_原始數據'!$A$2:$A$1000,$A101,'1_原始數據'!$B$2:$B$1000,$B101,'1_原始數據'!$D$2:$D$1000,$D101,'1_原始數據'!$C$2:$C$1000,"khp_mass_g")/('2_NaOH標定'!$C$5*$E101/1000))))</f>
        <v/>
      </c>
      <c r="K101" s="24">
        <f>IF($A101="","",IF($C101&lt;&gt;"manual_titration_mL","",IF(COUNTIFS('1_原始數據'!$A$2:$A$1000,$A101,'1_原始數據'!$C$2:$C$1000,"khp_titration_mL")=0,"",AVERAGEIFS('1_原始數據'!$J$2:$J$1000,'1_原始數據'!$A$2:$A$1000,$A101,'1_原始數據'!$C$2:$C$1000,"khp_titration_mL"))))</f>
        <v/>
      </c>
      <c r="L101" s="25">
        <f>IF($A101="","",IF($C101&lt;&gt;"manual_titration_mL","",IFERROR(INDEX('3_可滴定酸度'!$E$6:$E$13,MATCH($I101,'3_可滴定酸度'!$B$6:$B$13,0)),"")))</f>
        <v/>
      </c>
      <c r="M101" s="25">
        <f>IF($A101="","",IF($C101&lt;&gt;"manual_titration_mL","",IFERROR(INDEX('3_可滴定酸度'!$F$6:$F$13,MATCH($I101,'3_可滴定酸度'!$B$6:$B$13,0)),"")))</f>
        <v/>
      </c>
      <c r="N101" s="24">
        <f>IF($A101="","",IF(OR(K101="",L101="",M101=""),"",K101*E101*L101/(M101*1000)*100))</f>
        <v/>
      </c>
      <c r="O101" s="24">
        <f>IF($A101="","",IF(N101="","",IF(COUNTIFS('1_原始數據'!$A$2:$A$1000,$A101,'1_原始數據'!$B$2:$B$1000,$B101,'1_原始數據'!$D$2:$D$1000,$D101,'1_原始數據'!$I$2:$I$1000,$I101,'1_原始數據'!$C$2:$C$1000,"pasco_pct_acid")=0,"",SUMIFS('1_原始數據'!$E$2:$E$1000,'1_原始數據'!$A$2:$A$1000,$A101,'1_原始數據'!$B$2:$B$1000,$B101,'1_原始數據'!$D$2:$D$1000,$D101,'1_原始數據'!$I$2:$I$1000,$I101,'1_原始數據'!$C$2:$C$1000,"pasco_pct_acid"))))</f>
        <v/>
      </c>
      <c r="P101" s="26">
        <f>IF($A101="","",IF(OR(N101="",O101=""),"",O101-N101))</f>
        <v/>
      </c>
      <c r="Q101" s="24">
        <f>IF($A101="","",IF(P101="","",(O101+N101)/2))</f>
        <v/>
      </c>
      <c r="R101" s="27">
        <f>IF($A101="","",IF(P101="","",COUNT($P$2:P101)))</f>
        <v/>
      </c>
    </row>
    <row r="102">
      <c r="J102" s="24">
        <f>IF($A102="","",IF($C102&lt;&gt;"khp_titration_mL","",IF(COUNTIFS('1_原始數據'!$A$2:$A$1000,$A102,'1_原始數據'!$B$2:$B$1000,$B102,'1_原始數據'!$D$2:$D$1000,$D102,'1_原始數據'!$C$2:$C$1000,"khp_mass_g")=0,"",SUMIFS('1_原始數據'!$E$2:$E$1000,'1_原始數據'!$A$2:$A$1000,$A102,'1_原始數據'!$B$2:$B$1000,$B102,'1_原始數據'!$D$2:$D$1000,$D102,'1_原始數據'!$C$2:$C$1000,"khp_mass_g")/('2_NaOH標定'!$C$5*$E102/1000))))</f>
        <v/>
      </c>
      <c r="K102" s="24">
        <f>IF($A102="","",IF($C102&lt;&gt;"manual_titration_mL","",IF(COUNTIFS('1_原始數據'!$A$2:$A$1000,$A102,'1_原始數據'!$C$2:$C$1000,"khp_titration_mL")=0,"",AVERAGEIFS('1_原始數據'!$J$2:$J$1000,'1_原始數據'!$A$2:$A$1000,$A102,'1_原始數據'!$C$2:$C$1000,"khp_titration_mL"))))</f>
        <v/>
      </c>
      <c r="L102" s="25">
        <f>IF($A102="","",IF($C102&lt;&gt;"manual_titration_mL","",IFERROR(INDEX('3_可滴定酸度'!$E$6:$E$13,MATCH($I102,'3_可滴定酸度'!$B$6:$B$13,0)),"")))</f>
        <v/>
      </c>
      <c r="M102" s="25">
        <f>IF($A102="","",IF($C102&lt;&gt;"manual_titration_mL","",IFERROR(INDEX('3_可滴定酸度'!$F$6:$F$13,MATCH($I102,'3_可滴定酸度'!$B$6:$B$13,0)),"")))</f>
        <v/>
      </c>
      <c r="N102" s="24">
        <f>IF($A102="","",IF(OR(K102="",L102="",M102=""),"",K102*E102*L102/(M102*1000)*100))</f>
        <v/>
      </c>
      <c r="O102" s="24">
        <f>IF($A102="","",IF(N102="","",IF(COUNTIFS('1_原始數據'!$A$2:$A$1000,$A102,'1_原始數據'!$B$2:$B$1000,$B102,'1_原始數據'!$D$2:$D$1000,$D102,'1_原始數據'!$I$2:$I$1000,$I102,'1_原始數據'!$C$2:$C$1000,"pasco_pct_acid")=0,"",SUMIFS('1_原始數據'!$E$2:$E$1000,'1_原始數據'!$A$2:$A$1000,$A102,'1_原始數據'!$B$2:$B$1000,$B102,'1_原始數據'!$D$2:$D$1000,$D102,'1_原始數據'!$I$2:$I$1000,$I102,'1_原始數據'!$C$2:$C$1000,"pasco_pct_acid"))))</f>
        <v/>
      </c>
      <c r="P102" s="26">
        <f>IF($A102="","",IF(OR(N102="",O102=""),"",O102-N102))</f>
        <v/>
      </c>
      <c r="Q102" s="24">
        <f>IF($A102="","",IF(P102="","",(O102+N102)/2))</f>
        <v/>
      </c>
      <c r="R102" s="27">
        <f>IF($A102="","",IF(P102="","",COUNT($P$2:P102)))</f>
        <v/>
      </c>
    </row>
    <row r="103">
      <c r="J103" s="24">
        <f>IF($A103="","",IF($C103&lt;&gt;"khp_titration_mL","",IF(COUNTIFS('1_原始數據'!$A$2:$A$1000,$A103,'1_原始數據'!$B$2:$B$1000,$B103,'1_原始數據'!$D$2:$D$1000,$D103,'1_原始數據'!$C$2:$C$1000,"khp_mass_g")=0,"",SUMIFS('1_原始數據'!$E$2:$E$1000,'1_原始數據'!$A$2:$A$1000,$A103,'1_原始數據'!$B$2:$B$1000,$B103,'1_原始數據'!$D$2:$D$1000,$D103,'1_原始數據'!$C$2:$C$1000,"khp_mass_g")/('2_NaOH標定'!$C$5*$E103/1000))))</f>
        <v/>
      </c>
      <c r="K103" s="24">
        <f>IF($A103="","",IF($C103&lt;&gt;"manual_titration_mL","",IF(COUNTIFS('1_原始數據'!$A$2:$A$1000,$A103,'1_原始數據'!$C$2:$C$1000,"khp_titration_mL")=0,"",AVERAGEIFS('1_原始數據'!$J$2:$J$1000,'1_原始數據'!$A$2:$A$1000,$A103,'1_原始數據'!$C$2:$C$1000,"khp_titration_mL"))))</f>
        <v/>
      </c>
      <c r="L103" s="25">
        <f>IF($A103="","",IF($C103&lt;&gt;"manual_titration_mL","",IFERROR(INDEX('3_可滴定酸度'!$E$6:$E$13,MATCH($I103,'3_可滴定酸度'!$B$6:$B$13,0)),"")))</f>
        <v/>
      </c>
      <c r="M103" s="25">
        <f>IF($A103="","",IF($C103&lt;&gt;"manual_titration_mL","",IFERROR(INDEX('3_可滴定酸度'!$F$6:$F$13,MATCH($I103,'3_可滴定酸度'!$B$6:$B$13,0)),"")))</f>
        <v/>
      </c>
      <c r="N103" s="24">
        <f>IF($A103="","",IF(OR(K103="",L103="",M103=""),"",K103*E103*L103/(M103*1000)*100))</f>
        <v/>
      </c>
      <c r="O103" s="24">
        <f>IF($A103="","",IF(N103="","",IF(COUNTIFS('1_原始數據'!$A$2:$A$1000,$A103,'1_原始數據'!$B$2:$B$1000,$B103,'1_原始數據'!$D$2:$D$1000,$D103,'1_原始數據'!$I$2:$I$1000,$I103,'1_原始數據'!$C$2:$C$1000,"pasco_pct_acid")=0,"",SUMIFS('1_原始數據'!$E$2:$E$1000,'1_原始數據'!$A$2:$A$1000,$A103,'1_原始數據'!$B$2:$B$1000,$B103,'1_原始數據'!$D$2:$D$1000,$D103,'1_原始數據'!$I$2:$I$1000,$I103,'1_原始數據'!$C$2:$C$1000,"pasco_pct_acid"))))</f>
        <v/>
      </c>
      <c r="P103" s="26">
        <f>IF($A103="","",IF(OR(N103="",O103=""),"",O103-N103))</f>
        <v/>
      </c>
      <c r="Q103" s="24">
        <f>IF($A103="","",IF(P103="","",(O103+N103)/2))</f>
        <v/>
      </c>
      <c r="R103" s="27">
        <f>IF($A103="","",IF(P103="","",COUNT($P$2:P103)))</f>
        <v/>
      </c>
    </row>
    <row r="104">
      <c r="J104" s="24">
        <f>IF($A104="","",IF($C104&lt;&gt;"khp_titration_mL","",IF(COUNTIFS('1_原始數據'!$A$2:$A$1000,$A104,'1_原始數據'!$B$2:$B$1000,$B104,'1_原始數據'!$D$2:$D$1000,$D104,'1_原始數據'!$C$2:$C$1000,"khp_mass_g")=0,"",SUMIFS('1_原始數據'!$E$2:$E$1000,'1_原始數據'!$A$2:$A$1000,$A104,'1_原始數據'!$B$2:$B$1000,$B104,'1_原始數據'!$D$2:$D$1000,$D104,'1_原始數據'!$C$2:$C$1000,"khp_mass_g")/('2_NaOH標定'!$C$5*$E104/1000))))</f>
        <v/>
      </c>
      <c r="K104" s="24">
        <f>IF($A104="","",IF($C104&lt;&gt;"manual_titration_mL","",IF(COUNTIFS('1_原始數據'!$A$2:$A$1000,$A104,'1_原始數據'!$C$2:$C$1000,"khp_titration_mL")=0,"",AVERAGEIFS('1_原始數據'!$J$2:$J$1000,'1_原始數據'!$A$2:$A$1000,$A104,'1_原始數據'!$C$2:$C$1000,"khp_titration_mL"))))</f>
        <v/>
      </c>
      <c r="L104" s="25">
        <f>IF($A104="","",IF($C104&lt;&gt;"manual_titration_mL","",IFERROR(INDEX('3_可滴定酸度'!$E$6:$E$13,MATCH($I104,'3_可滴定酸度'!$B$6:$B$13,0)),"")))</f>
        <v/>
      </c>
      <c r="M104" s="25">
        <f>IF($A104="","",IF($C104&lt;&gt;"manual_titration_mL","",IFERROR(INDEX('3_可滴定酸度'!$F$6:$F$13,MATCH($I104,'3_可滴定酸度'!$B$6:$B$13,0)),"")))</f>
        <v/>
      </c>
      <c r="N104" s="24">
        <f>IF($A104="","",IF(OR(K104="",L104="",M104=""),"",K104*E104*L104/(M104*1000)*100))</f>
        <v/>
      </c>
      <c r="O104" s="24">
        <f>IF($A104="","",IF(N104="","",IF(COUNTIFS('1_原始數據'!$A$2:$A$1000,$A104,'1_原始數據'!$B$2:$B$1000,$B104,'1_原始數據'!$D$2:$D$1000,$D104,'1_原始數據'!$I$2:$I$1000,$I104,'1_原始數據'!$C$2:$C$1000,"pasco_pct_acid")=0,"",SUMIFS('1_原始數據'!$E$2:$E$1000,'1_原始數據'!$A$2:$A$1000,$A104,'1_原始數據'!$B$2:$B$1000,$B104,'1_原始數據'!$D$2:$D$1000,$D104,'1_原始數據'!$I$2:$I$1000,$I104,'1_原始數據'!$C$2:$C$1000,"pasco_pct_acid"))))</f>
        <v/>
      </c>
      <c r="P104" s="26">
        <f>IF($A104="","",IF(OR(N104="",O104=""),"",O104-N104))</f>
        <v/>
      </c>
      <c r="Q104" s="24">
        <f>IF($A104="","",IF(P104="","",(O104+N104)/2))</f>
        <v/>
      </c>
      <c r="R104" s="27">
        <f>IF($A104="","",IF(P104="","",COUNT($P$2:P104)))</f>
        <v/>
      </c>
    </row>
    <row r="105">
      <c r="J105" s="24">
        <f>IF($A105="","",IF($C105&lt;&gt;"khp_titration_mL","",IF(COUNTIFS('1_原始數據'!$A$2:$A$1000,$A105,'1_原始數據'!$B$2:$B$1000,$B105,'1_原始數據'!$D$2:$D$1000,$D105,'1_原始數據'!$C$2:$C$1000,"khp_mass_g")=0,"",SUMIFS('1_原始數據'!$E$2:$E$1000,'1_原始數據'!$A$2:$A$1000,$A105,'1_原始數據'!$B$2:$B$1000,$B105,'1_原始數據'!$D$2:$D$1000,$D105,'1_原始數據'!$C$2:$C$1000,"khp_mass_g")/('2_NaOH標定'!$C$5*$E105/1000))))</f>
        <v/>
      </c>
      <c r="K105" s="24">
        <f>IF($A105="","",IF($C105&lt;&gt;"manual_titration_mL","",IF(COUNTIFS('1_原始數據'!$A$2:$A$1000,$A105,'1_原始數據'!$C$2:$C$1000,"khp_titration_mL")=0,"",AVERAGEIFS('1_原始數據'!$J$2:$J$1000,'1_原始數據'!$A$2:$A$1000,$A105,'1_原始數據'!$C$2:$C$1000,"khp_titration_mL"))))</f>
        <v/>
      </c>
      <c r="L105" s="25">
        <f>IF($A105="","",IF($C105&lt;&gt;"manual_titration_mL","",IFERROR(INDEX('3_可滴定酸度'!$E$6:$E$13,MATCH($I105,'3_可滴定酸度'!$B$6:$B$13,0)),"")))</f>
        <v/>
      </c>
      <c r="M105" s="25">
        <f>IF($A105="","",IF($C105&lt;&gt;"manual_titration_mL","",IFERROR(INDEX('3_可滴定酸度'!$F$6:$F$13,MATCH($I105,'3_可滴定酸度'!$B$6:$B$13,0)),"")))</f>
        <v/>
      </c>
      <c r="N105" s="24">
        <f>IF($A105="","",IF(OR(K105="",L105="",M105=""),"",K105*E105*L105/(M105*1000)*100))</f>
        <v/>
      </c>
      <c r="O105" s="24">
        <f>IF($A105="","",IF(N105="","",IF(COUNTIFS('1_原始數據'!$A$2:$A$1000,$A105,'1_原始數據'!$B$2:$B$1000,$B105,'1_原始數據'!$D$2:$D$1000,$D105,'1_原始數據'!$I$2:$I$1000,$I105,'1_原始數據'!$C$2:$C$1000,"pasco_pct_acid")=0,"",SUMIFS('1_原始數據'!$E$2:$E$1000,'1_原始數據'!$A$2:$A$1000,$A105,'1_原始數據'!$B$2:$B$1000,$B105,'1_原始數據'!$D$2:$D$1000,$D105,'1_原始數據'!$I$2:$I$1000,$I105,'1_原始數據'!$C$2:$C$1000,"pasco_pct_acid"))))</f>
        <v/>
      </c>
      <c r="P105" s="26">
        <f>IF($A105="","",IF(OR(N105="",O105=""),"",O105-N105))</f>
        <v/>
      </c>
      <c r="Q105" s="24">
        <f>IF($A105="","",IF(P105="","",(O105+N105)/2))</f>
        <v/>
      </c>
      <c r="R105" s="27">
        <f>IF($A105="","",IF(P105="","",COUNT($P$2:P105)))</f>
        <v/>
      </c>
    </row>
    <row r="106">
      <c r="J106" s="24">
        <f>IF($A106="","",IF($C106&lt;&gt;"khp_titration_mL","",IF(COUNTIFS('1_原始數據'!$A$2:$A$1000,$A106,'1_原始數據'!$B$2:$B$1000,$B106,'1_原始數據'!$D$2:$D$1000,$D106,'1_原始數據'!$C$2:$C$1000,"khp_mass_g")=0,"",SUMIFS('1_原始數據'!$E$2:$E$1000,'1_原始數據'!$A$2:$A$1000,$A106,'1_原始數據'!$B$2:$B$1000,$B106,'1_原始數據'!$D$2:$D$1000,$D106,'1_原始數據'!$C$2:$C$1000,"khp_mass_g")/('2_NaOH標定'!$C$5*$E106/1000))))</f>
        <v/>
      </c>
      <c r="K106" s="24">
        <f>IF($A106="","",IF($C106&lt;&gt;"manual_titration_mL","",IF(COUNTIFS('1_原始數據'!$A$2:$A$1000,$A106,'1_原始數據'!$C$2:$C$1000,"khp_titration_mL")=0,"",AVERAGEIFS('1_原始數據'!$J$2:$J$1000,'1_原始數據'!$A$2:$A$1000,$A106,'1_原始數據'!$C$2:$C$1000,"khp_titration_mL"))))</f>
        <v/>
      </c>
      <c r="L106" s="25">
        <f>IF($A106="","",IF($C106&lt;&gt;"manual_titration_mL","",IFERROR(INDEX('3_可滴定酸度'!$E$6:$E$13,MATCH($I106,'3_可滴定酸度'!$B$6:$B$13,0)),"")))</f>
        <v/>
      </c>
      <c r="M106" s="25">
        <f>IF($A106="","",IF($C106&lt;&gt;"manual_titration_mL","",IFERROR(INDEX('3_可滴定酸度'!$F$6:$F$13,MATCH($I106,'3_可滴定酸度'!$B$6:$B$13,0)),"")))</f>
        <v/>
      </c>
      <c r="N106" s="24">
        <f>IF($A106="","",IF(OR(K106="",L106="",M106=""),"",K106*E106*L106/(M106*1000)*100))</f>
        <v/>
      </c>
      <c r="O106" s="24">
        <f>IF($A106="","",IF(N106="","",IF(COUNTIFS('1_原始數據'!$A$2:$A$1000,$A106,'1_原始數據'!$B$2:$B$1000,$B106,'1_原始數據'!$D$2:$D$1000,$D106,'1_原始數據'!$I$2:$I$1000,$I106,'1_原始數據'!$C$2:$C$1000,"pasco_pct_acid")=0,"",SUMIFS('1_原始數據'!$E$2:$E$1000,'1_原始數據'!$A$2:$A$1000,$A106,'1_原始數據'!$B$2:$B$1000,$B106,'1_原始數據'!$D$2:$D$1000,$D106,'1_原始數據'!$I$2:$I$1000,$I106,'1_原始數據'!$C$2:$C$1000,"pasco_pct_acid"))))</f>
        <v/>
      </c>
      <c r="P106" s="26">
        <f>IF($A106="","",IF(OR(N106="",O106=""),"",O106-N106))</f>
        <v/>
      </c>
      <c r="Q106" s="24">
        <f>IF($A106="","",IF(P106="","",(O106+N106)/2))</f>
        <v/>
      </c>
      <c r="R106" s="27">
        <f>IF($A106="","",IF(P106="","",COUNT($P$2:P106)))</f>
        <v/>
      </c>
    </row>
    <row r="107">
      <c r="J107" s="24">
        <f>IF($A107="","",IF($C107&lt;&gt;"khp_titration_mL","",IF(COUNTIFS('1_原始數據'!$A$2:$A$1000,$A107,'1_原始數據'!$B$2:$B$1000,$B107,'1_原始數據'!$D$2:$D$1000,$D107,'1_原始數據'!$C$2:$C$1000,"khp_mass_g")=0,"",SUMIFS('1_原始數據'!$E$2:$E$1000,'1_原始數據'!$A$2:$A$1000,$A107,'1_原始數據'!$B$2:$B$1000,$B107,'1_原始數據'!$D$2:$D$1000,$D107,'1_原始數據'!$C$2:$C$1000,"khp_mass_g")/('2_NaOH標定'!$C$5*$E107/1000))))</f>
        <v/>
      </c>
      <c r="K107" s="24">
        <f>IF($A107="","",IF($C107&lt;&gt;"manual_titration_mL","",IF(COUNTIFS('1_原始數據'!$A$2:$A$1000,$A107,'1_原始數據'!$C$2:$C$1000,"khp_titration_mL")=0,"",AVERAGEIFS('1_原始數據'!$J$2:$J$1000,'1_原始數據'!$A$2:$A$1000,$A107,'1_原始數據'!$C$2:$C$1000,"khp_titration_mL"))))</f>
        <v/>
      </c>
      <c r="L107" s="25">
        <f>IF($A107="","",IF($C107&lt;&gt;"manual_titration_mL","",IFERROR(INDEX('3_可滴定酸度'!$E$6:$E$13,MATCH($I107,'3_可滴定酸度'!$B$6:$B$13,0)),"")))</f>
        <v/>
      </c>
      <c r="M107" s="25">
        <f>IF($A107="","",IF($C107&lt;&gt;"manual_titration_mL","",IFERROR(INDEX('3_可滴定酸度'!$F$6:$F$13,MATCH($I107,'3_可滴定酸度'!$B$6:$B$13,0)),"")))</f>
        <v/>
      </c>
      <c r="N107" s="24">
        <f>IF($A107="","",IF(OR(K107="",L107="",M107=""),"",K107*E107*L107/(M107*1000)*100))</f>
        <v/>
      </c>
      <c r="O107" s="24">
        <f>IF($A107="","",IF(N107="","",IF(COUNTIFS('1_原始數據'!$A$2:$A$1000,$A107,'1_原始數據'!$B$2:$B$1000,$B107,'1_原始數據'!$D$2:$D$1000,$D107,'1_原始數據'!$I$2:$I$1000,$I107,'1_原始數據'!$C$2:$C$1000,"pasco_pct_acid")=0,"",SUMIFS('1_原始數據'!$E$2:$E$1000,'1_原始數據'!$A$2:$A$1000,$A107,'1_原始數據'!$B$2:$B$1000,$B107,'1_原始數據'!$D$2:$D$1000,$D107,'1_原始數據'!$I$2:$I$1000,$I107,'1_原始數據'!$C$2:$C$1000,"pasco_pct_acid"))))</f>
        <v/>
      </c>
      <c r="P107" s="26">
        <f>IF($A107="","",IF(OR(N107="",O107=""),"",O107-N107))</f>
        <v/>
      </c>
      <c r="Q107" s="24">
        <f>IF($A107="","",IF(P107="","",(O107+N107)/2))</f>
        <v/>
      </c>
      <c r="R107" s="27">
        <f>IF($A107="","",IF(P107="","",COUNT($P$2:P107)))</f>
        <v/>
      </c>
    </row>
    <row r="108">
      <c r="J108" s="24">
        <f>IF($A108="","",IF($C108&lt;&gt;"khp_titration_mL","",IF(COUNTIFS('1_原始數據'!$A$2:$A$1000,$A108,'1_原始數據'!$B$2:$B$1000,$B108,'1_原始數據'!$D$2:$D$1000,$D108,'1_原始數據'!$C$2:$C$1000,"khp_mass_g")=0,"",SUMIFS('1_原始數據'!$E$2:$E$1000,'1_原始數據'!$A$2:$A$1000,$A108,'1_原始數據'!$B$2:$B$1000,$B108,'1_原始數據'!$D$2:$D$1000,$D108,'1_原始數據'!$C$2:$C$1000,"khp_mass_g")/('2_NaOH標定'!$C$5*$E108/1000))))</f>
        <v/>
      </c>
      <c r="K108" s="24">
        <f>IF($A108="","",IF($C108&lt;&gt;"manual_titration_mL","",IF(COUNTIFS('1_原始數據'!$A$2:$A$1000,$A108,'1_原始數據'!$C$2:$C$1000,"khp_titration_mL")=0,"",AVERAGEIFS('1_原始數據'!$J$2:$J$1000,'1_原始數據'!$A$2:$A$1000,$A108,'1_原始數據'!$C$2:$C$1000,"khp_titration_mL"))))</f>
        <v/>
      </c>
      <c r="L108" s="25">
        <f>IF($A108="","",IF($C108&lt;&gt;"manual_titration_mL","",IFERROR(INDEX('3_可滴定酸度'!$E$6:$E$13,MATCH($I108,'3_可滴定酸度'!$B$6:$B$13,0)),"")))</f>
        <v/>
      </c>
      <c r="M108" s="25">
        <f>IF($A108="","",IF($C108&lt;&gt;"manual_titration_mL","",IFERROR(INDEX('3_可滴定酸度'!$F$6:$F$13,MATCH($I108,'3_可滴定酸度'!$B$6:$B$13,0)),"")))</f>
        <v/>
      </c>
      <c r="N108" s="24">
        <f>IF($A108="","",IF(OR(K108="",L108="",M108=""),"",K108*E108*L108/(M108*1000)*100))</f>
        <v/>
      </c>
      <c r="O108" s="24">
        <f>IF($A108="","",IF(N108="","",IF(COUNTIFS('1_原始數據'!$A$2:$A$1000,$A108,'1_原始數據'!$B$2:$B$1000,$B108,'1_原始數據'!$D$2:$D$1000,$D108,'1_原始數據'!$I$2:$I$1000,$I108,'1_原始數據'!$C$2:$C$1000,"pasco_pct_acid")=0,"",SUMIFS('1_原始數據'!$E$2:$E$1000,'1_原始數據'!$A$2:$A$1000,$A108,'1_原始數據'!$B$2:$B$1000,$B108,'1_原始數據'!$D$2:$D$1000,$D108,'1_原始數據'!$I$2:$I$1000,$I108,'1_原始數據'!$C$2:$C$1000,"pasco_pct_acid"))))</f>
        <v/>
      </c>
      <c r="P108" s="26">
        <f>IF($A108="","",IF(OR(N108="",O108=""),"",O108-N108))</f>
        <v/>
      </c>
      <c r="Q108" s="24">
        <f>IF($A108="","",IF(P108="","",(O108+N108)/2))</f>
        <v/>
      </c>
      <c r="R108" s="27">
        <f>IF($A108="","",IF(P108="","",COUNT($P$2:P108)))</f>
        <v/>
      </c>
    </row>
    <row r="109">
      <c r="J109" s="24">
        <f>IF($A109="","",IF($C109&lt;&gt;"khp_titration_mL","",IF(COUNTIFS('1_原始數據'!$A$2:$A$1000,$A109,'1_原始數據'!$B$2:$B$1000,$B109,'1_原始數據'!$D$2:$D$1000,$D109,'1_原始數據'!$C$2:$C$1000,"khp_mass_g")=0,"",SUMIFS('1_原始數據'!$E$2:$E$1000,'1_原始數據'!$A$2:$A$1000,$A109,'1_原始數據'!$B$2:$B$1000,$B109,'1_原始數據'!$D$2:$D$1000,$D109,'1_原始數據'!$C$2:$C$1000,"khp_mass_g")/('2_NaOH標定'!$C$5*$E109/1000))))</f>
        <v/>
      </c>
      <c r="K109" s="24">
        <f>IF($A109="","",IF($C109&lt;&gt;"manual_titration_mL","",IF(COUNTIFS('1_原始數據'!$A$2:$A$1000,$A109,'1_原始數據'!$C$2:$C$1000,"khp_titration_mL")=0,"",AVERAGEIFS('1_原始數據'!$J$2:$J$1000,'1_原始數據'!$A$2:$A$1000,$A109,'1_原始數據'!$C$2:$C$1000,"khp_titration_mL"))))</f>
        <v/>
      </c>
      <c r="L109" s="25">
        <f>IF($A109="","",IF($C109&lt;&gt;"manual_titration_mL","",IFERROR(INDEX('3_可滴定酸度'!$E$6:$E$13,MATCH($I109,'3_可滴定酸度'!$B$6:$B$13,0)),"")))</f>
        <v/>
      </c>
      <c r="M109" s="25">
        <f>IF($A109="","",IF($C109&lt;&gt;"manual_titration_mL","",IFERROR(INDEX('3_可滴定酸度'!$F$6:$F$13,MATCH($I109,'3_可滴定酸度'!$B$6:$B$13,0)),"")))</f>
        <v/>
      </c>
      <c r="N109" s="24">
        <f>IF($A109="","",IF(OR(K109="",L109="",M109=""),"",K109*E109*L109/(M109*1000)*100))</f>
        <v/>
      </c>
      <c r="O109" s="24">
        <f>IF($A109="","",IF(N109="","",IF(COUNTIFS('1_原始數據'!$A$2:$A$1000,$A109,'1_原始數據'!$B$2:$B$1000,$B109,'1_原始數據'!$D$2:$D$1000,$D109,'1_原始數據'!$I$2:$I$1000,$I109,'1_原始數據'!$C$2:$C$1000,"pasco_pct_acid")=0,"",SUMIFS('1_原始數據'!$E$2:$E$1000,'1_原始數據'!$A$2:$A$1000,$A109,'1_原始數據'!$B$2:$B$1000,$B109,'1_原始數據'!$D$2:$D$1000,$D109,'1_原始數據'!$I$2:$I$1000,$I109,'1_原始數據'!$C$2:$C$1000,"pasco_pct_acid"))))</f>
        <v/>
      </c>
      <c r="P109" s="26">
        <f>IF($A109="","",IF(OR(N109="",O109=""),"",O109-N109))</f>
        <v/>
      </c>
      <c r="Q109" s="24">
        <f>IF($A109="","",IF(P109="","",(O109+N109)/2))</f>
        <v/>
      </c>
      <c r="R109" s="27">
        <f>IF($A109="","",IF(P109="","",COUNT($P$2:P109)))</f>
        <v/>
      </c>
    </row>
    <row r="110">
      <c r="J110" s="24">
        <f>IF($A110="","",IF($C110&lt;&gt;"khp_titration_mL","",IF(COUNTIFS('1_原始數據'!$A$2:$A$1000,$A110,'1_原始數據'!$B$2:$B$1000,$B110,'1_原始數據'!$D$2:$D$1000,$D110,'1_原始數據'!$C$2:$C$1000,"khp_mass_g")=0,"",SUMIFS('1_原始數據'!$E$2:$E$1000,'1_原始數據'!$A$2:$A$1000,$A110,'1_原始數據'!$B$2:$B$1000,$B110,'1_原始數據'!$D$2:$D$1000,$D110,'1_原始數據'!$C$2:$C$1000,"khp_mass_g")/('2_NaOH標定'!$C$5*$E110/1000))))</f>
        <v/>
      </c>
      <c r="K110" s="24">
        <f>IF($A110="","",IF($C110&lt;&gt;"manual_titration_mL","",IF(COUNTIFS('1_原始數據'!$A$2:$A$1000,$A110,'1_原始數據'!$C$2:$C$1000,"khp_titration_mL")=0,"",AVERAGEIFS('1_原始數據'!$J$2:$J$1000,'1_原始數據'!$A$2:$A$1000,$A110,'1_原始數據'!$C$2:$C$1000,"khp_titration_mL"))))</f>
        <v/>
      </c>
      <c r="L110" s="25">
        <f>IF($A110="","",IF($C110&lt;&gt;"manual_titration_mL","",IFERROR(INDEX('3_可滴定酸度'!$E$6:$E$13,MATCH($I110,'3_可滴定酸度'!$B$6:$B$13,0)),"")))</f>
        <v/>
      </c>
      <c r="M110" s="25">
        <f>IF($A110="","",IF($C110&lt;&gt;"manual_titration_mL","",IFERROR(INDEX('3_可滴定酸度'!$F$6:$F$13,MATCH($I110,'3_可滴定酸度'!$B$6:$B$13,0)),"")))</f>
        <v/>
      </c>
      <c r="N110" s="24">
        <f>IF($A110="","",IF(OR(K110="",L110="",M110=""),"",K110*E110*L110/(M110*1000)*100))</f>
        <v/>
      </c>
      <c r="O110" s="24">
        <f>IF($A110="","",IF(N110="","",IF(COUNTIFS('1_原始數據'!$A$2:$A$1000,$A110,'1_原始數據'!$B$2:$B$1000,$B110,'1_原始數據'!$D$2:$D$1000,$D110,'1_原始數據'!$I$2:$I$1000,$I110,'1_原始數據'!$C$2:$C$1000,"pasco_pct_acid")=0,"",SUMIFS('1_原始數據'!$E$2:$E$1000,'1_原始數據'!$A$2:$A$1000,$A110,'1_原始數據'!$B$2:$B$1000,$B110,'1_原始數據'!$D$2:$D$1000,$D110,'1_原始數據'!$I$2:$I$1000,$I110,'1_原始數據'!$C$2:$C$1000,"pasco_pct_acid"))))</f>
        <v/>
      </c>
      <c r="P110" s="26">
        <f>IF($A110="","",IF(OR(N110="",O110=""),"",O110-N110))</f>
        <v/>
      </c>
      <c r="Q110" s="24">
        <f>IF($A110="","",IF(P110="","",(O110+N110)/2))</f>
        <v/>
      </c>
      <c r="R110" s="27">
        <f>IF($A110="","",IF(P110="","",COUNT($P$2:P110)))</f>
        <v/>
      </c>
    </row>
    <row r="111">
      <c r="J111" s="24">
        <f>IF($A111="","",IF($C111&lt;&gt;"khp_titration_mL","",IF(COUNTIFS('1_原始數據'!$A$2:$A$1000,$A111,'1_原始數據'!$B$2:$B$1000,$B111,'1_原始數據'!$D$2:$D$1000,$D111,'1_原始數據'!$C$2:$C$1000,"khp_mass_g")=0,"",SUMIFS('1_原始數據'!$E$2:$E$1000,'1_原始數據'!$A$2:$A$1000,$A111,'1_原始數據'!$B$2:$B$1000,$B111,'1_原始數據'!$D$2:$D$1000,$D111,'1_原始數據'!$C$2:$C$1000,"khp_mass_g")/('2_NaOH標定'!$C$5*$E111/1000))))</f>
        <v/>
      </c>
      <c r="K111" s="24">
        <f>IF($A111="","",IF($C111&lt;&gt;"manual_titration_mL","",IF(COUNTIFS('1_原始數據'!$A$2:$A$1000,$A111,'1_原始數據'!$C$2:$C$1000,"khp_titration_mL")=0,"",AVERAGEIFS('1_原始數據'!$J$2:$J$1000,'1_原始數據'!$A$2:$A$1000,$A111,'1_原始數據'!$C$2:$C$1000,"khp_titration_mL"))))</f>
        <v/>
      </c>
      <c r="L111" s="25">
        <f>IF($A111="","",IF($C111&lt;&gt;"manual_titration_mL","",IFERROR(INDEX('3_可滴定酸度'!$E$6:$E$13,MATCH($I111,'3_可滴定酸度'!$B$6:$B$13,0)),"")))</f>
        <v/>
      </c>
      <c r="M111" s="25">
        <f>IF($A111="","",IF($C111&lt;&gt;"manual_titration_mL","",IFERROR(INDEX('3_可滴定酸度'!$F$6:$F$13,MATCH($I111,'3_可滴定酸度'!$B$6:$B$13,0)),"")))</f>
        <v/>
      </c>
      <c r="N111" s="24">
        <f>IF($A111="","",IF(OR(K111="",L111="",M111=""),"",K111*E111*L111/(M111*1000)*100))</f>
        <v/>
      </c>
      <c r="O111" s="24">
        <f>IF($A111="","",IF(N111="","",IF(COUNTIFS('1_原始數據'!$A$2:$A$1000,$A111,'1_原始數據'!$B$2:$B$1000,$B111,'1_原始數據'!$D$2:$D$1000,$D111,'1_原始數據'!$I$2:$I$1000,$I111,'1_原始數據'!$C$2:$C$1000,"pasco_pct_acid")=0,"",SUMIFS('1_原始數據'!$E$2:$E$1000,'1_原始數據'!$A$2:$A$1000,$A111,'1_原始數據'!$B$2:$B$1000,$B111,'1_原始數據'!$D$2:$D$1000,$D111,'1_原始數據'!$I$2:$I$1000,$I111,'1_原始數據'!$C$2:$C$1000,"pasco_pct_acid"))))</f>
        <v/>
      </c>
      <c r="P111" s="26">
        <f>IF($A111="","",IF(OR(N111="",O111=""),"",O111-N111))</f>
        <v/>
      </c>
      <c r="Q111" s="24">
        <f>IF($A111="","",IF(P111="","",(O111+N111)/2))</f>
        <v/>
      </c>
      <c r="R111" s="27">
        <f>IF($A111="","",IF(P111="","",COUNT($P$2:P111)))</f>
        <v/>
      </c>
    </row>
    <row r="112">
      <c r="J112" s="24">
        <f>IF($A112="","",IF($C112&lt;&gt;"khp_titration_mL","",IF(COUNTIFS('1_原始數據'!$A$2:$A$1000,$A112,'1_原始數據'!$B$2:$B$1000,$B112,'1_原始數據'!$D$2:$D$1000,$D112,'1_原始數據'!$C$2:$C$1000,"khp_mass_g")=0,"",SUMIFS('1_原始數據'!$E$2:$E$1000,'1_原始數據'!$A$2:$A$1000,$A112,'1_原始數據'!$B$2:$B$1000,$B112,'1_原始數據'!$D$2:$D$1000,$D112,'1_原始數據'!$C$2:$C$1000,"khp_mass_g")/('2_NaOH標定'!$C$5*$E112/1000))))</f>
        <v/>
      </c>
      <c r="K112" s="24">
        <f>IF($A112="","",IF($C112&lt;&gt;"manual_titration_mL","",IF(COUNTIFS('1_原始數據'!$A$2:$A$1000,$A112,'1_原始數據'!$C$2:$C$1000,"khp_titration_mL")=0,"",AVERAGEIFS('1_原始數據'!$J$2:$J$1000,'1_原始數據'!$A$2:$A$1000,$A112,'1_原始數據'!$C$2:$C$1000,"khp_titration_mL"))))</f>
        <v/>
      </c>
      <c r="L112" s="25">
        <f>IF($A112="","",IF($C112&lt;&gt;"manual_titration_mL","",IFERROR(INDEX('3_可滴定酸度'!$E$6:$E$13,MATCH($I112,'3_可滴定酸度'!$B$6:$B$13,0)),"")))</f>
        <v/>
      </c>
      <c r="M112" s="25">
        <f>IF($A112="","",IF($C112&lt;&gt;"manual_titration_mL","",IFERROR(INDEX('3_可滴定酸度'!$F$6:$F$13,MATCH($I112,'3_可滴定酸度'!$B$6:$B$13,0)),"")))</f>
        <v/>
      </c>
      <c r="N112" s="24">
        <f>IF($A112="","",IF(OR(K112="",L112="",M112=""),"",K112*E112*L112/(M112*1000)*100))</f>
        <v/>
      </c>
      <c r="O112" s="24">
        <f>IF($A112="","",IF(N112="","",IF(COUNTIFS('1_原始數據'!$A$2:$A$1000,$A112,'1_原始數據'!$B$2:$B$1000,$B112,'1_原始數據'!$D$2:$D$1000,$D112,'1_原始數據'!$I$2:$I$1000,$I112,'1_原始數據'!$C$2:$C$1000,"pasco_pct_acid")=0,"",SUMIFS('1_原始數據'!$E$2:$E$1000,'1_原始數據'!$A$2:$A$1000,$A112,'1_原始數據'!$B$2:$B$1000,$B112,'1_原始數據'!$D$2:$D$1000,$D112,'1_原始數據'!$I$2:$I$1000,$I112,'1_原始數據'!$C$2:$C$1000,"pasco_pct_acid"))))</f>
        <v/>
      </c>
      <c r="P112" s="26">
        <f>IF($A112="","",IF(OR(N112="",O112=""),"",O112-N112))</f>
        <v/>
      </c>
      <c r="Q112" s="24">
        <f>IF($A112="","",IF(P112="","",(O112+N112)/2))</f>
        <v/>
      </c>
      <c r="R112" s="27">
        <f>IF($A112="","",IF(P112="","",COUNT($P$2:P112)))</f>
        <v/>
      </c>
    </row>
    <row r="113">
      <c r="J113" s="24">
        <f>IF($A113="","",IF($C113&lt;&gt;"khp_titration_mL","",IF(COUNTIFS('1_原始數據'!$A$2:$A$1000,$A113,'1_原始數據'!$B$2:$B$1000,$B113,'1_原始數據'!$D$2:$D$1000,$D113,'1_原始數據'!$C$2:$C$1000,"khp_mass_g")=0,"",SUMIFS('1_原始數據'!$E$2:$E$1000,'1_原始數據'!$A$2:$A$1000,$A113,'1_原始數據'!$B$2:$B$1000,$B113,'1_原始數據'!$D$2:$D$1000,$D113,'1_原始數據'!$C$2:$C$1000,"khp_mass_g")/('2_NaOH標定'!$C$5*$E113/1000))))</f>
        <v/>
      </c>
      <c r="K113" s="24">
        <f>IF($A113="","",IF($C113&lt;&gt;"manual_titration_mL","",IF(COUNTIFS('1_原始數據'!$A$2:$A$1000,$A113,'1_原始數據'!$C$2:$C$1000,"khp_titration_mL")=0,"",AVERAGEIFS('1_原始數據'!$J$2:$J$1000,'1_原始數據'!$A$2:$A$1000,$A113,'1_原始數據'!$C$2:$C$1000,"khp_titration_mL"))))</f>
        <v/>
      </c>
      <c r="L113" s="25">
        <f>IF($A113="","",IF($C113&lt;&gt;"manual_titration_mL","",IFERROR(INDEX('3_可滴定酸度'!$E$6:$E$13,MATCH($I113,'3_可滴定酸度'!$B$6:$B$13,0)),"")))</f>
        <v/>
      </c>
      <c r="M113" s="25">
        <f>IF($A113="","",IF($C113&lt;&gt;"manual_titration_mL","",IFERROR(INDEX('3_可滴定酸度'!$F$6:$F$13,MATCH($I113,'3_可滴定酸度'!$B$6:$B$13,0)),"")))</f>
        <v/>
      </c>
      <c r="N113" s="24">
        <f>IF($A113="","",IF(OR(K113="",L113="",M113=""),"",K113*E113*L113/(M113*1000)*100))</f>
        <v/>
      </c>
      <c r="O113" s="24">
        <f>IF($A113="","",IF(N113="","",IF(COUNTIFS('1_原始數據'!$A$2:$A$1000,$A113,'1_原始數據'!$B$2:$B$1000,$B113,'1_原始數據'!$D$2:$D$1000,$D113,'1_原始數據'!$I$2:$I$1000,$I113,'1_原始數據'!$C$2:$C$1000,"pasco_pct_acid")=0,"",SUMIFS('1_原始數據'!$E$2:$E$1000,'1_原始數據'!$A$2:$A$1000,$A113,'1_原始數據'!$B$2:$B$1000,$B113,'1_原始數據'!$D$2:$D$1000,$D113,'1_原始數據'!$I$2:$I$1000,$I113,'1_原始數據'!$C$2:$C$1000,"pasco_pct_acid"))))</f>
        <v/>
      </c>
      <c r="P113" s="26">
        <f>IF($A113="","",IF(OR(N113="",O113=""),"",O113-N113))</f>
        <v/>
      </c>
      <c r="Q113" s="24">
        <f>IF($A113="","",IF(P113="","",(O113+N113)/2))</f>
        <v/>
      </c>
      <c r="R113" s="27">
        <f>IF($A113="","",IF(P113="","",COUNT($P$2:P113)))</f>
        <v/>
      </c>
    </row>
    <row r="114">
      <c r="J114" s="24">
        <f>IF($A114="","",IF($C114&lt;&gt;"khp_titration_mL","",IF(COUNTIFS('1_原始數據'!$A$2:$A$1000,$A114,'1_原始數據'!$B$2:$B$1000,$B114,'1_原始數據'!$D$2:$D$1000,$D114,'1_原始數據'!$C$2:$C$1000,"khp_mass_g")=0,"",SUMIFS('1_原始數據'!$E$2:$E$1000,'1_原始數據'!$A$2:$A$1000,$A114,'1_原始數據'!$B$2:$B$1000,$B114,'1_原始數據'!$D$2:$D$1000,$D114,'1_原始數據'!$C$2:$C$1000,"khp_mass_g")/('2_NaOH標定'!$C$5*$E114/1000))))</f>
        <v/>
      </c>
      <c r="K114" s="24">
        <f>IF($A114="","",IF($C114&lt;&gt;"manual_titration_mL","",IF(COUNTIFS('1_原始數據'!$A$2:$A$1000,$A114,'1_原始數據'!$C$2:$C$1000,"khp_titration_mL")=0,"",AVERAGEIFS('1_原始數據'!$J$2:$J$1000,'1_原始數據'!$A$2:$A$1000,$A114,'1_原始數據'!$C$2:$C$1000,"khp_titration_mL"))))</f>
        <v/>
      </c>
      <c r="L114" s="25">
        <f>IF($A114="","",IF($C114&lt;&gt;"manual_titration_mL","",IFERROR(INDEX('3_可滴定酸度'!$E$6:$E$13,MATCH($I114,'3_可滴定酸度'!$B$6:$B$13,0)),"")))</f>
        <v/>
      </c>
      <c r="M114" s="25">
        <f>IF($A114="","",IF($C114&lt;&gt;"manual_titration_mL","",IFERROR(INDEX('3_可滴定酸度'!$F$6:$F$13,MATCH($I114,'3_可滴定酸度'!$B$6:$B$13,0)),"")))</f>
        <v/>
      </c>
      <c r="N114" s="24">
        <f>IF($A114="","",IF(OR(K114="",L114="",M114=""),"",K114*E114*L114/(M114*1000)*100))</f>
        <v/>
      </c>
      <c r="O114" s="24">
        <f>IF($A114="","",IF(N114="","",IF(COUNTIFS('1_原始數據'!$A$2:$A$1000,$A114,'1_原始數據'!$B$2:$B$1000,$B114,'1_原始數據'!$D$2:$D$1000,$D114,'1_原始數據'!$I$2:$I$1000,$I114,'1_原始數據'!$C$2:$C$1000,"pasco_pct_acid")=0,"",SUMIFS('1_原始數據'!$E$2:$E$1000,'1_原始數據'!$A$2:$A$1000,$A114,'1_原始數據'!$B$2:$B$1000,$B114,'1_原始數據'!$D$2:$D$1000,$D114,'1_原始數據'!$I$2:$I$1000,$I114,'1_原始數據'!$C$2:$C$1000,"pasco_pct_acid"))))</f>
        <v/>
      </c>
      <c r="P114" s="26">
        <f>IF($A114="","",IF(OR(N114="",O114=""),"",O114-N114))</f>
        <v/>
      </c>
      <c r="Q114" s="24">
        <f>IF($A114="","",IF(P114="","",(O114+N114)/2))</f>
        <v/>
      </c>
      <c r="R114" s="27">
        <f>IF($A114="","",IF(P114="","",COUNT($P$2:P114)))</f>
        <v/>
      </c>
    </row>
    <row r="115">
      <c r="J115" s="24">
        <f>IF($A115="","",IF($C115&lt;&gt;"khp_titration_mL","",IF(COUNTIFS('1_原始數據'!$A$2:$A$1000,$A115,'1_原始數據'!$B$2:$B$1000,$B115,'1_原始數據'!$D$2:$D$1000,$D115,'1_原始數據'!$C$2:$C$1000,"khp_mass_g")=0,"",SUMIFS('1_原始數據'!$E$2:$E$1000,'1_原始數據'!$A$2:$A$1000,$A115,'1_原始數據'!$B$2:$B$1000,$B115,'1_原始數據'!$D$2:$D$1000,$D115,'1_原始數據'!$C$2:$C$1000,"khp_mass_g")/('2_NaOH標定'!$C$5*$E115/1000))))</f>
        <v/>
      </c>
      <c r="K115" s="24">
        <f>IF($A115="","",IF($C115&lt;&gt;"manual_titration_mL","",IF(COUNTIFS('1_原始數據'!$A$2:$A$1000,$A115,'1_原始數據'!$C$2:$C$1000,"khp_titration_mL")=0,"",AVERAGEIFS('1_原始數據'!$J$2:$J$1000,'1_原始數據'!$A$2:$A$1000,$A115,'1_原始數據'!$C$2:$C$1000,"khp_titration_mL"))))</f>
        <v/>
      </c>
      <c r="L115" s="25">
        <f>IF($A115="","",IF($C115&lt;&gt;"manual_titration_mL","",IFERROR(INDEX('3_可滴定酸度'!$E$6:$E$13,MATCH($I115,'3_可滴定酸度'!$B$6:$B$13,0)),"")))</f>
        <v/>
      </c>
      <c r="M115" s="25">
        <f>IF($A115="","",IF($C115&lt;&gt;"manual_titration_mL","",IFERROR(INDEX('3_可滴定酸度'!$F$6:$F$13,MATCH($I115,'3_可滴定酸度'!$B$6:$B$13,0)),"")))</f>
        <v/>
      </c>
      <c r="N115" s="24">
        <f>IF($A115="","",IF(OR(K115="",L115="",M115=""),"",K115*E115*L115/(M115*1000)*100))</f>
        <v/>
      </c>
      <c r="O115" s="24">
        <f>IF($A115="","",IF(N115="","",IF(COUNTIFS('1_原始數據'!$A$2:$A$1000,$A115,'1_原始數據'!$B$2:$B$1000,$B115,'1_原始數據'!$D$2:$D$1000,$D115,'1_原始數據'!$I$2:$I$1000,$I115,'1_原始數據'!$C$2:$C$1000,"pasco_pct_acid")=0,"",SUMIFS('1_原始數據'!$E$2:$E$1000,'1_原始數據'!$A$2:$A$1000,$A115,'1_原始數據'!$B$2:$B$1000,$B115,'1_原始數據'!$D$2:$D$1000,$D115,'1_原始數據'!$I$2:$I$1000,$I115,'1_原始數據'!$C$2:$C$1000,"pasco_pct_acid"))))</f>
        <v/>
      </c>
      <c r="P115" s="26">
        <f>IF($A115="","",IF(OR(N115="",O115=""),"",O115-N115))</f>
        <v/>
      </c>
      <c r="Q115" s="24">
        <f>IF($A115="","",IF(P115="","",(O115+N115)/2))</f>
        <v/>
      </c>
      <c r="R115" s="27">
        <f>IF($A115="","",IF(P115="","",COUNT($P$2:P115)))</f>
        <v/>
      </c>
    </row>
    <row r="116">
      <c r="J116" s="24">
        <f>IF($A116="","",IF($C116&lt;&gt;"khp_titration_mL","",IF(COUNTIFS('1_原始數據'!$A$2:$A$1000,$A116,'1_原始數據'!$B$2:$B$1000,$B116,'1_原始數據'!$D$2:$D$1000,$D116,'1_原始數據'!$C$2:$C$1000,"khp_mass_g")=0,"",SUMIFS('1_原始數據'!$E$2:$E$1000,'1_原始數據'!$A$2:$A$1000,$A116,'1_原始數據'!$B$2:$B$1000,$B116,'1_原始數據'!$D$2:$D$1000,$D116,'1_原始數據'!$C$2:$C$1000,"khp_mass_g")/('2_NaOH標定'!$C$5*$E116/1000))))</f>
        <v/>
      </c>
      <c r="K116" s="24">
        <f>IF($A116="","",IF($C116&lt;&gt;"manual_titration_mL","",IF(COUNTIFS('1_原始數據'!$A$2:$A$1000,$A116,'1_原始數據'!$C$2:$C$1000,"khp_titration_mL")=0,"",AVERAGEIFS('1_原始數據'!$J$2:$J$1000,'1_原始數據'!$A$2:$A$1000,$A116,'1_原始數據'!$C$2:$C$1000,"khp_titration_mL"))))</f>
        <v/>
      </c>
      <c r="L116" s="25">
        <f>IF($A116="","",IF($C116&lt;&gt;"manual_titration_mL","",IFERROR(INDEX('3_可滴定酸度'!$E$6:$E$13,MATCH($I116,'3_可滴定酸度'!$B$6:$B$13,0)),"")))</f>
        <v/>
      </c>
      <c r="M116" s="25">
        <f>IF($A116="","",IF($C116&lt;&gt;"manual_titration_mL","",IFERROR(INDEX('3_可滴定酸度'!$F$6:$F$13,MATCH($I116,'3_可滴定酸度'!$B$6:$B$13,0)),"")))</f>
        <v/>
      </c>
      <c r="N116" s="24">
        <f>IF($A116="","",IF(OR(K116="",L116="",M116=""),"",K116*E116*L116/(M116*1000)*100))</f>
        <v/>
      </c>
      <c r="O116" s="24">
        <f>IF($A116="","",IF(N116="","",IF(COUNTIFS('1_原始數據'!$A$2:$A$1000,$A116,'1_原始數據'!$B$2:$B$1000,$B116,'1_原始數據'!$D$2:$D$1000,$D116,'1_原始數據'!$I$2:$I$1000,$I116,'1_原始數據'!$C$2:$C$1000,"pasco_pct_acid")=0,"",SUMIFS('1_原始數據'!$E$2:$E$1000,'1_原始數據'!$A$2:$A$1000,$A116,'1_原始數據'!$B$2:$B$1000,$B116,'1_原始數據'!$D$2:$D$1000,$D116,'1_原始數據'!$I$2:$I$1000,$I116,'1_原始數據'!$C$2:$C$1000,"pasco_pct_acid"))))</f>
        <v/>
      </c>
      <c r="P116" s="26">
        <f>IF($A116="","",IF(OR(N116="",O116=""),"",O116-N116))</f>
        <v/>
      </c>
      <c r="Q116" s="24">
        <f>IF($A116="","",IF(P116="","",(O116+N116)/2))</f>
        <v/>
      </c>
      <c r="R116" s="27">
        <f>IF($A116="","",IF(P116="","",COUNT($P$2:P116)))</f>
        <v/>
      </c>
    </row>
    <row r="117">
      <c r="J117" s="24">
        <f>IF($A117="","",IF($C117&lt;&gt;"khp_titration_mL","",IF(COUNTIFS('1_原始數據'!$A$2:$A$1000,$A117,'1_原始數據'!$B$2:$B$1000,$B117,'1_原始數據'!$D$2:$D$1000,$D117,'1_原始數據'!$C$2:$C$1000,"khp_mass_g")=0,"",SUMIFS('1_原始數據'!$E$2:$E$1000,'1_原始數據'!$A$2:$A$1000,$A117,'1_原始數據'!$B$2:$B$1000,$B117,'1_原始數據'!$D$2:$D$1000,$D117,'1_原始數據'!$C$2:$C$1000,"khp_mass_g")/('2_NaOH標定'!$C$5*$E117/1000))))</f>
        <v/>
      </c>
      <c r="K117" s="24">
        <f>IF($A117="","",IF($C117&lt;&gt;"manual_titration_mL","",IF(COUNTIFS('1_原始數據'!$A$2:$A$1000,$A117,'1_原始數據'!$C$2:$C$1000,"khp_titration_mL")=0,"",AVERAGEIFS('1_原始數據'!$J$2:$J$1000,'1_原始數據'!$A$2:$A$1000,$A117,'1_原始數據'!$C$2:$C$1000,"khp_titration_mL"))))</f>
        <v/>
      </c>
      <c r="L117" s="25">
        <f>IF($A117="","",IF($C117&lt;&gt;"manual_titration_mL","",IFERROR(INDEX('3_可滴定酸度'!$E$6:$E$13,MATCH($I117,'3_可滴定酸度'!$B$6:$B$13,0)),"")))</f>
        <v/>
      </c>
      <c r="M117" s="25">
        <f>IF($A117="","",IF($C117&lt;&gt;"manual_titration_mL","",IFERROR(INDEX('3_可滴定酸度'!$F$6:$F$13,MATCH($I117,'3_可滴定酸度'!$B$6:$B$13,0)),"")))</f>
        <v/>
      </c>
      <c r="N117" s="24">
        <f>IF($A117="","",IF(OR(K117="",L117="",M117=""),"",K117*E117*L117/(M117*1000)*100))</f>
        <v/>
      </c>
      <c r="O117" s="24">
        <f>IF($A117="","",IF(N117="","",IF(COUNTIFS('1_原始數據'!$A$2:$A$1000,$A117,'1_原始數據'!$B$2:$B$1000,$B117,'1_原始數據'!$D$2:$D$1000,$D117,'1_原始數據'!$I$2:$I$1000,$I117,'1_原始數據'!$C$2:$C$1000,"pasco_pct_acid")=0,"",SUMIFS('1_原始數據'!$E$2:$E$1000,'1_原始數據'!$A$2:$A$1000,$A117,'1_原始數據'!$B$2:$B$1000,$B117,'1_原始數據'!$D$2:$D$1000,$D117,'1_原始數據'!$I$2:$I$1000,$I117,'1_原始數據'!$C$2:$C$1000,"pasco_pct_acid"))))</f>
        <v/>
      </c>
      <c r="P117" s="26">
        <f>IF($A117="","",IF(OR(N117="",O117=""),"",O117-N117))</f>
        <v/>
      </c>
      <c r="Q117" s="24">
        <f>IF($A117="","",IF(P117="","",(O117+N117)/2))</f>
        <v/>
      </c>
      <c r="R117" s="27">
        <f>IF($A117="","",IF(P117="","",COUNT($P$2:P117)))</f>
        <v/>
      </c>
    </row>
    <row r="118">
      <c r="J118" s="24">
        <f>IF($A118="","",IF($C118&lt;&gt;"khp_titration_mL","",IF(COUNTIFS('1_原始數據'!$A$2:$A$1000,$A118,'1_原始數據'!$B$2:$B$1000,$B118,'1_原始數據'!$D$2:$D$1000,$D118,'1_原始數據'!$C$2:$C$1000,"khp_mass_g")=0,"",SUMIFS('1_原始數據'!$E$2:$E$1000,'1_原始數據'!$A$2:$A$1000,$A118,'1_原始數據'!$B$2:$B$1000,$B118,'1_原始數據'!$D$2:$D$1000,$D118,'1_原始數據'!$C$2:$C$1000,"khp_mass_g")/('2_NaOH標定'!$C$5*$E118/1000))))</f>
        <v/>
      </c>
      <c r="K118" s="24">
        <f>IF($A118="","",IF($C118&lt;&gt;"manual_titration_mL","",IF(COUNTIFS('1_原始數據'!$A$2:$A$1000,$A118,'1_原始數據'!$C$2:$C$1000,"khp_titration_mL")=0,"",AVERAGEIFS('1_原始數據'!$J$2:$J$1000,'1_原始數據'!$A$2:$A$1000,$A118,'1_原始數據'!$C$2:$C$1000,"khp_titration_mL"))))</f>
        <v/>
      </c>
      <c r="L118" s="25">
        <f>IF($A118="","",IF($C118&lt;&gt;"manual_titration_mL","",IFERROR(INDEX('3_可滴定酸度'!$E$6:$E$13,MATCH($I118,'3_可滴定酸度'!$B$6:$B$13,0)),"")))</f>
        <v/>
      </c>
      <c r="M118" s="25">
        <f>IF($A118="","",IF($C118&lt;&gt;"manual_titration_mL","",IFERROR(INDEX('3_可滴定酸度'!$F$6:$F$13,MATCH($I118,'3_可滴定酸度'!$B$6:$B$13,0)),"")))</f>
        <v/>
      </c>
      <c r="N118" s="24">
        <f>IF($A118="","",IF(OR(K118="",L118="",M118=""),"",K118*E118*L118/(M118*1000)*100))</f>
        <v/>
      </c>
      <c r="O118" s="24">
        <f>IF($A118="","",IF(N118="","",IF(COUNTIFS('1_原始數據'!$A$2:$A$1000,$A118,'1_原始數據'!$B$2:$B$1000,$B118,'1_原始數據'!$D$2:$D$1000,$D118,'1_原始數據'!$I$2:$I$1000,$I118,'1_原始數據'!$C$2:$C$1000,"pasco_pct_acid")=0,"",SUMIFS('1_原始數據'!$E$2:$E$1000,'1_原始數據'!$A$2:$A$1000,$A118,'1_原始數據'!$B$2:$B$1000,$B118,'1_原始數據'!$D$2:$D$1000,$D118,'1_原始數據'!$I$2:$I$1000,$I118,'1_原始數據'!$C$2:$C$1000,"pasco_pct_acid"))))</f>
        <v/>
      </c>
      <c r="P118" s="26">
        <f>IF($A118="","",IF(OR(N118="",O118=""),"",O118-N118))</f>
        <v/>
      </c>
      <c r="Q118" s="24">
        <f>IF($A118="","",IF(P118="","",(O118+N118)/2))</f>
        <v/>
      </c>
      <c r="R118" s="27">
        <f>IF($A118="","",IF(P118="","",COUNT($P$2:P118)))</f>
        <v/>
      </c>
    </row>
    <row r="119">
      <c r="J119" s="24">
        <f>IF($A119="","",IF($C119&lt;&gt;"khp_titration_mL","",IF(COUNTIFS('1_原始數據'!$A$2:$A$1000,$A119,'1_原始數據'!$B$2:$B$1000,$B119,'1_原始數據'!$D$2:$D$1000,$D119,'1_原始數據'!$C$2:$C$1000,"khp_mass_g")=0,"",SUMIFS('1_原始數據'!$E$2:$E$1000,'1_原始數據'!$A$2:$A$1000,$A119,'1_原始數據'!$B$2:$B$1000,$B119,'1_原始數據'!$D$2:$D$1000,$D119,'1_原始數據'!$C$2:$C$1000,"khp_mass_g")/('2_NaOH標定'!$C$5*$E119/1000))))</f>
        <v/>
      </c>
      <c r="K119" s="24">
        <f>IF($A119="","",IF($C119&lt;&gt;"manual_titration_mL","",IF(COUNTIFS('1_原始數據'!$A$2:$A$1000,$A119,'1_原始數據'!$C$2:$C$1000,"khp_titration_mL")=0,"",AVERAGEIFS('1_原始數據'!$J$2:$J$1000,'1_原始數據'!$A$2:$A$1000,$A119,'1_原始數據'!$C$2:$C$1000,"khp_titration_mL"))))</f>
        <v/>
      </c>
      <c r="L119" s="25">
        <f>IF($A119="","",IF($C119&lt;&gt;"manual_titration_mL","",IFERROR(INDEX('3_可滴定酸度'!$E$6:$E$13,MATCH($I119,'3_可滴定酸度'!$B$6:$B$13,0)),"")))</f>
        <v/>
      </c>
      <c r="M119" s="25">
        <f>IF($A119="","",IF($C119&lt;&gt;"manual_titration_mL","",IFERROR(INDEX('3_可滴定酸度'!$F$6:$F$13,MATCH($I119,'3_可滴定酸度'!$B$6:$B$13,0)),"")))</f>
        <v/>
      </c>
      <c r="N119" s="24">
        <f>IF($A119="","",IF(OR(K119="",L119="",M119=""),"",K119*E119*L119/(M119*1000)*100))</f>
        <v/>
      </c>
      <c r="O119" s="24">
        <f>IF($A119="","",IF(N119="","",IF(COUNTIFS('1_原始數據'!$A$2:$A$1000,$A119,'1_原始數據'!$B$2:$B$1000,$B119,'1_原始數據'!$D$2:$D$1000,$D119,'1_原始數據'!$I$2:$I$1000,$I119,'1_原始數據'!$C$2:$C$1000,"pasco_pct_acid")=0,"",SUMIFS('1_原始數據'!$E$2:$E$1000,'1_原始數據'!$A$2:$A$1000,$A119,'1_原始數據'!$B$2:$B$1000,$B119,'1_原始數據'!$D$2:$D$1000,$D119,'1_原始數據'!$I$2:$I$1000,$I119,'1_原始數據'!$C$2:$C$1000,"pasco_pct_acid"))))</f>
        <v/>
      </c>
      <c r="P119" s="26">
        <f>IF($A119="","",IF(OR(N119="",O119=""),"",O119-N119))</f>
        <v/>
      </c>
      <c r="Q119" s="24">
        <f>IF($A119="","",IF(P119="","",(O119+N119)/2))</f>
        <v/>
      </c>
      <c r="R119" s="27">
        <f>IF($A119="","",IF(P119="","",COUNT($P$2:P119)))</f>
        <v/>
      </c>
    </row>
    <row r="120">
      <c r="J120" s="24">
        <f>IF($A120="","",IF($C120&lt;&gt;"khp_titration_mL","",IF(COUNTIFS('1_原始數據'!$A$2:$A$1000,$A120,'1_原始數據'!$B$2:$B$1000,$B120,'1_原始數據'!$D$2:$D$1000,$D120,'1_原始數據'!$C$2:$C$1000,"khp_mass_g")=0,"",SUMIFS('1_原始數據'!$E$2:$E$1000,'1_原始數據'!$A$2:$A$1000,$A120,'1_原始數據'!$B$2:$B$1000,$B120,'1_原始數據'!$D$2:$D$1000,$D120,'1_原始數據'!$C$2:$C$1000,"khp_mass_g")/('2_NaOH標定'!$C$5*$E120/1000))))</f>
        <v/>
      </c>
      <c r="K120" s="24">
        <f>IF($A120="","",IF($C120&lt;&gt;"manual_titration_mL","",IF(COUNTIFS('1_原始數據'!$A$2:$A$1000,$A120,'1_原始數據'!$C$2:$C$1000,"khp_titration_mL")=0,"",AVERAGEIFS('1_原始數據'!$J$2:$J$1000,'1_原始數據'!$A$2:$A$1000,$A120,'1_原始數據'!$C$2:$C$1000,"khp_titration_mL"))))</f>
        <v/>
      </c>
      <c r="L120" s="25">
        <f>IF($A120="","",IF($C120&lt;&gt;"manual_titration_mL","",IFERROR(INDEX('3_可滴定酸度'!$E$6:$E$13,MATCH($I120,'3_可滴定酸度'!$B$6:$B$13,0)),"")))</f>
        <v/>
      </c>
      <c r="M120" s="25">
        <f>IF($A120="","",IF($C120&lt;&gt;"manual_titration_mL","",IFERROR(INDEX('3_可滴定酸度'!$F$6:$F$13,MATCH($I120,'3_可滴定酸度'!$B$6:$B$13,0)),"")))</f>
        <v/>
      </c>
      <c r="N120" s="24">
        <f>IF($A120="","",IF(OR(K120="",L120="",M120=""),"",K120*E120*L120/(M120*1000)*100))</f>
        <v/>
      </c>
      <c r="O120" s="24">
        <f>IF($A120="","",IF(N120="","",IF(COUNTIFS('1_原始數據'!$A$2:$A$1000,$A120,'1_原始數據'!$B$2:$B$1000,$B120,'1_原始數據'!$D$2:$D$1000,$D120,'1_原始數據'!$I$2:$I$1000,$I120,'1_原始數據'!$C$2:$C$1000,"pasco_pct_acid")=0,"",SUMIFS('1_原始數據'!$E$2:$E$1000,'1_原始數據'!$A$2:$A$1000,$A120,'1_原始數據'!$B$2:$B$1000,$B120,'1_原始數據'!$D$2:$D$1000,$D120,'1_原始數據'!$I$2:$I$1000,$I120,'1_原始數據'!$C$2:$C$1000,"pasco_pct_acid"))))</f>
        <v/>
      </c>
      <c r="P120" s="26">
        <f>IF($A120="","",IF(OR(N120="",O120=""),"",O120-N120))</f>
        <v/>
      </c>
      <c r="Q120" s="24">
        <f>IF($A120="","",IF(P120="","",(O120+N120)/2))</f>
        <v/>
      </c>
      <c r="R120" s="27">
        <f>IF($A120="","",IF(P120="","",COUNT($P$2:P120)))</f>
        <v/>
      </c>
    </row>
    <row r="121">
      <c r="J121" s="24">
        <f>IF($A121="","",IF($C121&lt;&gt;"khp_titration_mL","",IF(COUNTIFS('1_原始數據'!$A$2:$A$1000,$A121,'1_原始數據'!$B$2:$B$1000,$B121,'1_原始數據'!$D$2:$D$1000,$D121,'1_原始數據'!$C$2:$C$1000,"khp_mass_g")=0,"",SUMIFS('1_原始數據'!$E$2:$E$1000,'1_原始數據'!$A$2:$A$1000,$A121,'1_原始數據'!$B$2:$B$1000,$B121,'1_原始數據'!$D$2:$D$1000,$D121,'1_原始數據'!$C$2:$C$1000,"khp_mass_g")/('2_NaOH標定'!$C$5*$E121/1000))))</f>
        <v/>
      </c>
      <c r="K121" s="24">
        <f>IF($A121="","",IF($C121&lt;&gt;"manual_titration_mL","",IF(COUNTIFS('1_原始數據'!$A$2:$A$1000,$A121,'1_原始數據'!$C$2:$C$1000,"khp_titration_mL")=0,"",AVERAGEIFS('1_原始數據'!$J$2:$J$1000,'1_原始數據'!$A$2:$A$1000,$A121,'1_原始數據'!$C$2:$C$1000,"khp_titration_mL"))))</f>
        <v/>
      </c>
      <c r="L121" s="25">
        <f>IF($A121="","",IF($C121&lt;&gt;"manual_titration_mL","",IFERROR(INDEX('3_可滴定酸度'!$E$6:$E$13,MATCH($I121,'3_可滴定酸度'!$B$6:$B$13,0)),"")))</f>
        <v/>
      </c>
      <c r="M121" s="25">
        <f>IF($A121="","",IF($C121&lt;&gt;"manual_titration_mL","",IFERROR(INDEX('3_可滴定酸度'!$F$6:$F$13,MATCH($I121,'3_可滴定酸度'!$B$6:$B$13,0)),"")))</f>
        <v/>
      </c>
      <c r="N121" s="24">
        <f>IF($A121="","",IF(OR(K121="",L121="",M121=""),"",K121*E121*L121/(M121*1000)*100))</f>
        <v/>
      </c>
      <c r="O121" s="24">
        <f>IF($A121="","",IF(N121="","",IF(COUNTIFS('1_原始數據'!$A$2:$A$1000,$A121,'1_原始數據'!$B$2:$B$1000,$B121,'1_原始數據'!$D$2:$D$1000,$D121,'1_原始數據'!$I$2:$I$1000,$I121,'1_原始數據'!$C$2:$C$1000,"pasco_pct_acid")=0,"",SUMIFS('1_原始數據'!$E$2:$E$1000,'1_原始數據'!$A$2:$A$1000,$A121,'1_原始數據'!$B$2:$B$1000,$B121,'1_原始數據'!$D$2:$D$1000,$D121,'1_原始數據'!$I$2:$I$1000,$I121,'1_原始數據'!$C$2:$C$1000,"pasco_pct_acid"))))</f>
        <v/>
      </c>
      <c r="P121" s="26">
        <f>IF($A121="","",IF(OR(N121="",O121=""),"",O121-N121))</f>
        <v/>
      </c>
      <c r="Q121" s="24">
        <f>IF($A121="","",IF(P121="","",(O121+N121)/2))</f>
        <v/>
      </c>
      <c r="R121" s="27">
        <f>IF($A121="","",IF(P121="","",COUNT($P$2:P121)))</f>
        <v/>
      </c>
    </row>
    <row r="122">
      <c r="J122" s="24">
        <f>IF($A122="","",IF($C122&lt;&gt;"khp_titration_mL","",IF(COUNTIFS('1_原始數據'!$A$2:$A$1000,$A122,'1_原始數據'!$B$2:$B$1000,$B122,'1_原始數據'!$D$2:$D$1000,$D122,'1_原始數據'!$C$2:$C$1000,"khp_mass_g")=0,"",SUMIFS('1_原始數據'!$E$2:$E$1000,'1_原始數據'!$A$2:$A$1000,$A122,'1_原始數據'!$B$2:$B$1000,$B122,'1_原始數據'!$D$2:$D$1000,$D122,'1_原始數據'!$C$2:$C$1000,"khp_mass_g")/('2_NaOH標定'!$C$5*$E122/1000))))</f>
        <v/>
      </c>
      <c r="K122" s="24">
        <f>IF($A122="","",IF($C122&lt;&gt;"manual_titration_mL","",IF(COUNTIFS('1_原始數據'!$A$2:$A$1000,$A122,'1_原始數據'!$C$2:$C$1000,"khp_titration_mL")=0,"",AVERAGEIFS('1_原始數據'!$J$2:$J$1000,'1_原始數據'!$A$2:$A$1000,$A122,'1_原始數據'!$C$2:$C$1000,"khp_titration_mL"))))</f>
        <v/>
      </c>
      <c r="L122" s="25">
        <f>IF($A122="","",IF($C122&lt;&gt;"manual_titration_mL","",IFERROR(INDEX('3_可滴定酸度'!$E$6:$E$13,MATCH($I122,'3_可滴定酸度'!$B$6:$B$13,0)),"")))</f>
        <v/>
      </c>
      <c r="M122" s="25">
        <f>IF($A122="","",IF($C122&lt;&gt;"manual_titration_mL","",IFERROR(INDEX('3_可滴定酸度'!$F$6:$F$13,MATCH($I122,'3_可滴定酸度'!$B$6:$B$13,0)),"")))</f>
        <v/>
      </c>
      <c r="N122" s="24">
        <f>IF($A122="","",IF(OR(K122="",L122="",M122=""),"",K122*E122*L122/(M122*1000)*100))</f>
        <v/>
      </c>
      <c r="O122" s="24">
        <f>IF($A122="","",IF(N122="","",IF(COUNTIFS('1_原始數據'!$A$2:$A$1000,$A122,'1_原始數據'!$B$2:$B$1000,$B122,'1_原始數據'!$D$2:$D$1000,$D122,'1_原始數據'!$I$2:$I$1000,$I122,'1_原始數據'!$C$2:$C$1000,"pasco_pct_acid")=0,"",SUMIFS('1_原始數據'!$E$2:$E$1000,'1_原始數據'!$A$2:$A$1000,$A122,'1_原始數據'!$B$2:$B$1000,$B122,'1_原始數據'!$D$2:$D$1000,$D122,'1_原始數據'!$I$2:$I$1000,$I122,'1_原始數據'!$C$2:$C$1000,"pasco_pct_acid"))))</f>
        <v/>
      </c>
      <c r="P122" s="26">
        <f>IF($A122="","",IF(OR(N122="",O122=""),"",O122-N122))</f>
        <v/>
      </c>
      <c r="Q122" s="24">
        <f>IF($A122="","",IF(P122="","",(O122+N122)/2))</f>
        <v/>
      </c>
      <c r="R122" s="27">
        <f>IF($A122="","",IF(P122="","",COUNT($P$2:P122)))</f>
        <v/>
      </c>
    </row>
    <row r="123">
      <c r="J123" s="24">
        <f>IF($A123="","",IF($C123&lt;&gt;"khp_titration_mL","",IF(COUNTIFS('1_原始數據'!$A$2:$A$1000,$A123,'1_原始數據'!$B$2:$B$1000,$B123,'1_原始數據'!$D$2:$D$1000,$D123,'1_原始數據'!$C$2:$C$1000,"khp_mass_g")=0,"",SUMIFS('1_原始數據'!$E$2:$E$1000,'1_原始數據'!$A$2:$A$1000,$A123,'1_原始數據'!$B$2:$B$1000,$B123,'1_原始數據'!$D$2:$D$1000,$D123,'1_原始數據'!$C$2:$C$1000,"khp_mass_g")/('2_NaOH標定'!$C$5*$E123/1000))))</f>
        <v/>
      </c>
      <c r="K123" s="24">
        <f>IF($A123="","",IF($C123&lt;&gt;"manual_titration_mL","",IF(COUNTIFS('1_原始數據'!$A$2:$A$1000,$A123,'1_原始數據'!$C$2:$C$1000,"khp_titration_mL")=0,"",AVERAGEIFS('1_原始數據'!$J$2:$J$1000,'1_原始數據'!$A$2:$A$1000,$A123,'1_原始數據'!$C$2:$C$1000,"khp_titration_mL"))))</f>
        <v/>
      </c>
      <c r="L123" s="25">
        <f>IF($A123="","",IF($C123&lt;&gt;"manual_titration_mL","",IFERROR(INDEX('3_可滴定酸度'!$E$6:$E$13,MATCH($I123,'3_可滴定酸度'!$B$6:$B$13,0)),"")))</f>
        <v/>
      </c>
      <c r="M123" s="25">
        <f>IF($A123="","",IF($C123&lt;&gt;"manual_titration_mL","",IFERROR(INDEX('3_可滴定酸度'!$F$6:$F$13,MATCH($I123,'3_可滴定酸度'!$B$6:$B$13,0)),"")))</f>
        <v/>
      </c>
      <c r="N123" s="24">
        <f>IF($A123="","",IF(OR(K123="",L123="",M123=""),"",K123*E123*L123/(M123*1000)*100))</f>
        <v/>
      </c>
      <c r="O123" s="24">
        <f>IF($A123="","",IF(N123="","",IF(COUNTIFS('1_原始數據'!$A$2:$A$1000,$A123,'1_原始數據'!$B$2:$B$1000,$B123,'1_原始數據'!$D$2:$D$1000,$D123,'1_原始數據'!$I$2:$I$1000,$I123,'1_原始數據'!$C$2:$C$1000,"pasco_pct_acid")=0,"",SUMIFS('1_原始數據'!$E$2:$E$1000,'1_原始數據'!$A$2:$A$1000,$A123,'1_原始數據'!$B$2:$B$1000,$B123,'1_原始數據'!$D$2:$D$1000,$D123,'1_原始數據'!$I$2:$I$1000,$I123,'1_原始數據'!$C$2:$C$1000,"pasco_pct_acid"))))</f>
        <v/>
      </c>
      <c r="P123" s="26">
        <f>IF($A123="","",IF(OR(N123="",O123=""),"",O123-N123))</f>
        <v/>
      </c>
      <c r="Q123" s="24">
        <f>IF($A123="","",IF(P123="","",(O123+N123)/2))</f>
        <v/>
      </c>
      <c r="R123" s="27">
        <f>IF($A123="","",IF(P123="","",COUNT($P$2:P123)))</f>
        <v/>
      </c>
    </row>
    <row r="124">
      <c r="J124" s="24">
        <f>IF($A124="","",IF($C124&lt;&gt;"khp_titration_mL","",IF(COUNTIFS('1_原始數據'!$A$2:$A$1000,$A124,'1_原始數據'!$B$2:$B$1000,$B124,'1_原始數據'!$D$2:$D$1000,$D124,'1_原始數據'!$C$2:$C$1000,"khp_mass_g")=0,"",SUMIFS('1_原始數據'!$E$2:$E$1000,'1_原始數據'!$A$2:$A$1000,$A124,'1_原始數據'!$B$2:$B$1000,$B124,'1_原始數據'!$D$2:$D$1000,$D124,'1_原始數據'!$C$2:$C$1000,"khp_mass_g")/('2_NaOH標定'!$C$5*$E124/1000))))</f>
        <v/>
      </c>
      <c r="K124" s="24">
        <f>IF($A124="","",IF($C124&lt;&gt;"manual_titration_mL","",IF(COUNTIFS('1_原始數據'!$A$2:$A$1000,$A124,'1_原始數據'!$C$2:$C$1000,"khp_titration_mL")=0,"",AVERAGEIFS('1_原始數據'!$J$2:$J$1000,'1_原始數據'!$A$2:$A$1000,$A124,'1_原始數據'!$C$2:$C$1000,"khp_titration_mL"))))</f>
        <v/>
      </c>
      <c r="L124" s="25">
        <f>IF($A124="","",IF($C124&lt;&gt;"manual_titration_mL","",IFERROR(INDEX('3_可滴定酸度'!$E$6:$E$13,MATCH($I124,'3_可滴定酸度'!$B$6:$B$13,0)),"")))</f>
        <v/>
      </c>
      <c r="M124" s="25">
        <f>IF($A124="","",IF($C124&lt;&gt;"manual_titration_mL","",IFERROR(INDEX('3_可滴定酸度'!$F$6:$F$13,MATCH($I124,'3_可滴定酸度'!$B$6:$B$13,0)),"")))</f>
        <v/>
      </c>
      <c r="N124" s="24">
        <f>IF($A124="","",IF(OR(K124="",L124="",M124=""),"",K124*E124*L124/(M124*1000)*100))</f>
        <v/>
      </c>
      <c r="O124" s="24">
        <f>IF($A124="","",IF(N124="","",IF(COUNTIFS('1_原始數據'!$A$2:$A$1000,$A124,'1_原始數據'!$B$2:$B$1000,$B124,'1_原始數據'!$D$2:$D$1000,$D124,'1_原始數據'!$I$2:$I$1000,$I124,'1_原始數據'!$C$2:$C$1000,"pasco_pct_acid")=0,"",SUMIFS('1_原始數據'!$E$2:$E$1000,'1_原始數據'!$A$2:$A$1000,$A124,'1_原始數據'!$B$2:$B$1000,$B124,'1_原始數據'!$D$2:$D$1000,$D124,'1_原始數據'!$I$2:$I$1000,$I124,'1_原始數據'!$C$2:$C$1000,"pasco_pct_acid"))))</f>
        <v/>
      </c>
      <c r="P124" s="26">
        <f>IF($A124="","",IF(OR(N124="",O124=""),"",O124-N124))</f>
        <v/>
      </c>
      <c r="Q124" s="24">
        <f>IF($A124="","",IF(P124="","",(O124+N124)/2))</f>
        <v/>
      </c>
      <c r="R124" s="27">
        <f>IF($A124="","",IF(P124="","",COUNT($P$2:P124)))</f>
        <v/>
      </c>
    </row>
    <row r="125">
      <c r="J125" s="24">
        <f>IF($A125="","",IF($C125&lt;&gt;"khp_titration_mL","",IF(COUNTIFS('1_原始數據'!$A$2:$A$1000,$A125,'1_原始數據'!$B$2:$B$1000,$B125,'1_原始數據'!$D$2:$D$1000,$D125,'1_原始數據'!$C$2:$C$1000,"khp_mass_g")=0,"",SUMIFS('1_原始數據'!$E$2:$E$1000,'1_原始數據'!$A$2:$A$1000,$A125,'1_原始數據'!$B$2:$B$1000,$B125,'1_原始數據'!$D$2:$D$1000,$D125,'1_原始數據'!$C$2:$C$1000,"khp_mass_g")/('2_NaOH標定'!$C$5*$E125/1000))))</f>
        <v/>
      </c>
      <c r="K125" s="24">
        <f>IF($A125="","",IF($C125&lt;&gt;"manual_titration_mL","",IF(COUNTIFS('1_原始數據'!$A$2:$A$1000,$A125,'1_原始數據'!$C$2:$C$1000,"khp_titration_mL")=0,"",AVERAGEIFS('1_原始數據'!$J$2:$J$1000,'1_原始數據'!$A$2:$A$1000,$A125,'1_原始數據'!$C$2:$C$1000,"khp_titration_mL"))))</f>
        <v/>
      </c>
      <c r="L125" s="25">
        <f>IF($A125="","",IF($C125&lt;&gt;"manual_titration_mL","",IFERROR(INDEX('3_可滴定酸度'!$E$6:$E$13,MATCH($I125,'3_可滴定酸度'!$B$6:$B$13,0)),"")))</f>
        <v/>
      </c>
      <c r="M125" s="25">
        <f>IF($A125="","",IF($C125&lt;&gt;"manual_titration_mL","",IFERROR(INDEX('3_可滴定酸度'!$F$6:$F$13,MATCH($I125,'3_可滴定酸度'!$B$6:$B$13,0)),"")))</f>
        <v/>
      </c>
      <c r="N125" s="24">
        <f>IF($A125="","",IF(OR(K125="",L125="",M125=""),"",K125*E125*L125/(M125*1000)*100))</f>
        <v/>
      </c>
      <c r="O125" s="24">
        <f>IF($A125="","",IF(N125="","",IF(COUNTIFS('1_原始數據'!$A$2:$A$1000,$A125,'1_原始數據'!$B$2:$B$1000,$B125,'1_原始數據'!$D$2:$D$1000,$D125,'1_原始數據'!$I$2:$I$1000,$I125,'1_原始數據'!$C$2:$C$1000,"pasco_pct_acid")=0,"",SUMIFS('1_原始數據'!$E$2:$E$1000,'1_原始數據'!$A$2:$A$1000,$A125,'1_原始數據'!$B$2:$B$1000,$B125,'1_原始數據'!$D$2:$D$1000,$D125,'1_原始數據'!$I$2:$I$1000,$I125,'1_原始數據'!$C$2:$C$1000,"pasco_pct_acid"))))</f>
        <v/>
      </c>
      <c r="P125" s="26">
        <f>IF($A125="","",IF(OR(N125="",O125=""),"",O125-N125))</f>
        <v/>
      </c>
      <c r="Q125" s="24">
        <f>IF($A125="","",IF(P125="","",(O125+N125)/2))</f>
        <v/>
      </c>
      <c r="R125" s="27">
        <f>IF($A125="","",IF(P125="","",COUNT($P$2:P125)))</f>
        <v/>
      </c>
    </row>
    <row r="126">
      <c r="J126" s="24">
        <f>IF($A126="","",IF($C126&lt;&gt;"khp_titration_mL","",IF(COUNTIFS('1_原始數據'!$A$2:$A$1000,$A126,'1_原始數據'!$B$2:$B$1000,$B126,'1_原始數據'!$D$2:$D$1000,$D126,'1_原始數據'!$C$2:$C$1000,"khp_mass_g")=0,"",SUMIFS('1_原始數據'!$E$2:$E$1000,'1_原始數據'!$A$2:$A$1000,$A126,'1_原始數據'!$B$2:$B$1000,$B126,'1_原始數據'!$D$2:$D$1000,$D126,'1_原始數據'!$C$2:$C$1000,"khp_mass_g")/('2_NaOH標定'!$C$5*$E126/1000))))</f>
        <v/>
      </c>
      <c r="K126" s="24">
        <f>IF($A126="","",IF($C126&lt;&gt;"manual_titration_mL","",IF(COUNTIFS('1_原始數據'!$A$2:$A$1000,$A126,'1_原始數據'!$C$2:$C$1000,"khp_titration_mL")=0,"",AVERAGEIFS('1_原始數據'!$J$2:$J$1000,'1_原始數據'!$A$2:$A$1000,$A126,'1_原始數據'!$C$2:$C$1000,"khp_titration_mL"))))</f>
        <v/>
      </c>
      <c r="L126" s="25">
        <f>IF($A126="","",IF($C126&lt;&gt;"manual_titration_mL","",IFERROR(INDEX('3_可滴定酸度'!$E$6:$E$13,MATCH($I126,'3_可滴定酸度'!$B$6:$B$13,0)),"")))</f>
        <v/>
      </c>
      <c r="M126" s="25">
        <f>IF($A126="","",IF($C126&lt;&gt;"manual_titration_mL","",IFERROR(INDEX('3_可滴定酸度'!$F$6:$F$13,MATCH($I126,'3_可滴定酸度'!$B$6:$B$13,0)),"")))</f>
        <v/>
      </c>
      <c r="N126" s="24">
        <f>IF($A126="","",IF(OR(K126="",L126="",M126=""),"",K126*E126*L126/(M126*1000)*100))</f>
        <v/>
      </c>
      <c r="O126" s="24">
        <f>IF($A126="","",IF(N126="","",IF(COUNTIFS('1_原始數據'!$A$2:$A$1000,$A126,'1_原始數據'!$B$2:$B$1000,$B126,'1_原始數據'!$D$2:$D$1000,$D126,'1_原始數據'!$I$2:$I$1000,$I126,'1_原始數據'!$C$2:$C$1000,"pasco_pct_acid")=0,"",SUMIFS('1_原始數據'!$E$2:$E$1000,'1_原始數據'!$A$2:$A$1000,$A126,'1_原始數據'!$B$2:$B$1000,$B126,'1_原始數據'!$D$2:$D$1000,$D126,'1_原始數據'!$I$2:$I$1000,$I126,'1_原始數據'!$C$2:$C$1000,"pasco_pct_acid"))))</f>
        <v/>
      </c>
      <c r="P126" s="26">
        <f>IF($A126="","",IF(OR(N126="",O126=""),"",O126-N126))</f>
        <v/>
      </c>
      <c r="Q126" s="24">
        <f>IF($A126="","",IF(P126="","",(O126+N126)/2))</f>
        <v/>
      </c>
      <c r="R126" s="27">
        <f>IF($A126="","",IF(P126="","",COUNT($P$2:P126)))</f>
        <v/>
      </c>
    </row>
    <row r="127">
      <c r="J127" s="24">
        <f>IF($A127="","",IF($C127&lt;&gt;"khp_titration_mL","",IF(COUNTIFS('1_原始數據'!$A$2:$A$1000,$A127,'1_原始數據'!$B$2:$B$1000,$B127,'1_原始數據'!$D$2:$D$1000,$D127,'1_原始數據'!$C$2:$C$1000,"khp_mass_g")=0,"",SUMIFS('1_原始數據'!$E$2:$E$1000,'1_原始數據'!$A$2:$A$1000,$A127,'1_原始數據'!$B$2:$B$1000,$B127,'1_原始數據'!$D$2:$D$1000,$D127,'1_原始數據'!$C$2:$C$1000,"khp_mass_g")/('2_NaOH標定'!$C$5*$E127/1000))))</f>
        <v/>
      </c>
      <c r="K127" s="24">
        <f>IF($A127="","",IF($C127&lt;&gt;"manual_titration_mL","",IF(COUNTIFS('1_原始數據'!$A$2:$A$1000,$A127,'1_原始數據'!$C$2:$C$1000,"khp_titration_mL")=0,"",AVERAGEIFS('1_原始數據'!$J$2:$J$1000,'1_原始數據'!$A$2:$A$1000,$A127,'1_原始數據'!$C$2:$C$1000,"khp_titration_mL"))))</f>
        <v/>
      </c>
      <c r="L127" s="25">
        <f>IF($A127="","",IF($C127&lt;&gt;"manual_titration_mL","",IFERROR(INDEX('3_可滴定酸度'!$E$6:$E$13,MATCH($I127,'3_可滴定酸度'!$B$6:$B$13,0)),"")))</f>
        <v/>
      </c>
      <c r="M127" s="25">
        <f>IF($A127="","",IF($C127&lt;&gt;"manual_titration_mL","",IFERROR(INDEX('3_可滴定酸度'!$F$6:$F$13,MATCH($I127,'3_可滴定酸度'!$B$6:$B$13,0)),"")))</f>
        <v/>
      </c>
      <c r="N127" s="24">
        <f>IF($A127="","",IF(OR(K127="",L127="",M127=""),"",K127*E127*L127/(M127*1000)*100))</f>
        <v/>
      </c>
      <c r="O127" s="24">
        <f>IF($A127="","",IF(N127="","",IF(COUNTIFS('1_原始數據'!$A$2:$A$1000,$A127,'1_原始數據'!$B$2:$B$1000,$B127,'1_原始數據'!$D$2:$D$1000,$D127,'1_原始數據'!$I$2:$I$1000,$I127,'1_原始數據'!$C$2:$C$1000,"pasco_pct_acid")=0,"",SUMIFS('1_原始數據'!$E$2:$E$1000,'1_原始數據'!$A$2:$A$1000,$A127,'1_原始數據'!$B$2:$B$1000,$B127,'1_原始數據'!$D$2:$D$1000,$D127,'1_原始數據'!$I$2:$I$1000,$I127,'1_原始數據'!$C$2:$C$1000,"pasco_pct_acid"))))</f>
        <v/>
      </c>
      <c r="P127" s="26">
        <f>IF($A127="","",IF(OR(N127="",O127=""),"",O127-N127))</f>
        <v/>
      </c>
      <c r="Q127" s="24">
        <f>IF($A127="","",IF(P127="","",(O127+N127)/2))</f>
        <v/>
      </c>
      <c r="R127" s="27">
        <f>IF($A127="","",IF(P127="","",COUNT($P$2:P127)))</f>
        <v/>
      </c>
    </row>
    <row r="128">
      <c r="J128" s="24">
        <f>IF($A128="","",IF($C128&lt;&gt;"khp_titration_mL","",IF(COUNTIFS('1_原始數據'!$A$2:$A$1000,$A128,'1_原始數據'!$B$2:$B$1000,$B128,'1_原始數據'!$D$2:$D$1000,$D128,'1_原始數據'!$C$2:$C$1000,"khp_mass_g")=0,"",SUMIFS('1_原始數據'!$E$2:$E$1000,'1_原始數據'!$A$2:$A$1000,$A128,'1_原始數據'!$B$2:$B$1000,$B128,'1_原始數據'!$D$2:$D$1000,$D128,'1_原始數據'!$C$2:$C$1000,"khp_mass_g")/('2_NaOH標定'!$C$5*$E128/1000))))</f>
        <v/>
      </c>
      <c r="K128" s="24">
        <f>IF($A128="","",IF($C128&lt;&gt;"manual_titration_mL","",IF(COUNTIFS('1_原始數據'!$A$2:$A$1000,$A128,'1_原始數據'!$C$2:$C$1000,"khp_titration_mL")=0,"",AVERAGEIFS('1_原始數據'!$J$2:$J$1000,'1_原始數據'!$A$2:$A$1000,$A128,'1_原始數據'!$C$2:$C$1000,"khp_titration_mL"))))</f>
        <v/>
      </c>
      <c r="L128" s="25">
        <f>IF($A128="","",IF($C128&lt;&gt;"manual_titration_mL","",IFERROR(INDEX('3_可滴定酸度'!$E$6:$E$13,MATCH($I128,'3_可滴定酸度'!$B$6:$B$13,0)),"")))</f>
        <v/>
      </c>
      <c r="M128" s="25">
        <f>IF($A128="","",IF($C128&lt;&gt;"manual_titration_mL","",IFERROR(INDEX('3_可滴定酸度'!$F$6:$F$13,MATCH($I128,'3_可滴定酸度'!$B$6:$B$13,0)),"")))</f>
        <v/>
      </c>
      <c r="N128" s="24">
        <f>IF($A128="","",IF(OR(K128="",L128="",M128=""),"",K128*E128*L128/(M128*1000)*100))</f>
        <v/>
      </c>
      <c r="O128" s="24">
        <f>IF($A128="","",IF(N128="","",IF(COUNTIFS('1_原始數據'!$A$2:$A$1000,$A128,'1_原始數據'!$B$2:$B$1000,$B128,'1_原始數據'!$D$2:$D$1000,$D128,'1_原始數據'!$I$2:$I$1000,$I128,'1_原始數據'!$C$2:$C$1000,"pasco_pct_acid")=0,"",SUMIFS('1_原始數據'!$E$2:$E$1000,'1_原始數據'!$A$2:$A$1000,$A128,'1_原始數據'!$B$2:$B$1000,$B128,'1_原始數據'!$D$2:$D$1000,$D128,'1_原始數據'!$I$2:$I$1000,$I128,'1_原始數據'!$C$2:$C$1000,"pasco_pct_acid"))))</f>
        <v/>
      </c>
      <c r="P128" s="26">
        <f>IF($A128="","",IF(OR(N128="",O128=""),"",O128-N128))</f>
        <v/>
      </c>
      <c r="Q128" s="24">
        <f>IF($A128="","",IF(P128="","",(O128+N128)/2))</f>
        <v/>
      </c>
      <c r="R128" s="27">
        <f>IF($A128="","",IF(P128="","",COUNT($P$2:P128)))</f>
        <v/>
      </c>
    </row>
    <row r="129">
      <c r="J129" s="24">
        <f>IF($A129="","",IF($C129&lt;&gt;"khp_titration_mL","",IF(COUNTIFS('1_原始數據'!$A$2:$A$1000,$A129,'1_原始數據'!$B$2:$B$1000,$B129,'1_原始數據'!$D$2:$D$1000,$D129,'1_原始數據'!$C$2:$C$1000,"khp_mass_g")=0,"",SUMIFS('1_原始數據'!$E$2:$E$1000,'1_原始數據'!$A$2:$A$1000,$A129,'1_原始數據'!$B$2:$B$1000,$B129,'1_原始數據'!$D$2:$D$1000,$D129,'1_原始數據'!$C$2:$C$1000,"khp_mass_g")/('2_NaOH標定'!$C$5*$E129/1000))))</f>
        <v/>
      </c>
      <c r="K129" s="24">
        <f>IF($A129="","",IF($C129&lt;&gt;"manual_titration_mL","",IF(COUNTIFS('1_原始數據'!$A$2:$A$1000,$A129,'1_原始數據'!$C$2:$C$1000,"khp_titration_mL")=0,"",AVERAGEIFS('1_原始數據'!$J$2:$J$1000,'1_原始數據'!$A$2:$A$1000,$A129,'1_原始數據'!$C$2:$C$1000,"khp_titration_mL"))))</f>
        <v/>
      </c>
      <c r="L129" s="25">
        <f>IF($A129="","",IF($C129&lt;&gt;"manual_titration_mL","",IFERROR(INDEX('3_可滴定酸度'!$E$6:$E$13,MATCH($I129,'3_可滴定酸度'!$B$6:$B$13,0)),"")))</f>
        <v/>
      </c>
      <c r="M129" s="25">
        <f>IF($A129="","",IF($C129&lt;&gt;"manual_titration_mL","",IFERROR(INDEX('3_可滴定酸度'!$F$6:$F$13,MATCH($I129,'3_可滴定酸度'!$B$6:$B$13,0)),"")))</f>
        <v/>
      </c>
      <c r="N129" s="24">
        <f>IF($A129="","",IF(OR(K129="",L129="",M129=""),"",K129*E129*L129/(M129*1000)*100))</f>
        <v/>
      </c>
      <c r="O129" s="24">
        <f>IF($A129="","",IF(N129="","",IF(COUNTIFS('1_原始數據'!$A$2:$A$1000,$A129,'1_原始數據'!$B$2:$B$1000,$B129,'1_原始數據'!$D$2:$D$1000,$D129,'1_原始數據'!$I$2:$I$1000,$I129,'1_原始數據'!$C$2:$C$1000,"pasco_pct_acid")=0,"",SUMIFS('1_原始數據'!$E$2:$E$1000,'1_原始數據'!$A$2:$A$1000,$A129,'1_原始數據'!$B$2:$B$1000,$B129,'1_原始數據'!$D$2:$D$1000,$D129,'1_原始數據'!$I$2:$I$1000,$I129,'1_原始數據'!$C$2:$C$1000,"pasco_pct_acid"))))</f>
        <v/>
      </c>
      <c r="P129" s="26">
        <f>IF($A129="","",IF(OR(N129="",O129=""),"",O129-N129))</f>
        <v/>
      </c>
      <c r="Q129" s="24">
        <f>IF($A129="","",IF(P129="","",(O129+N129)/2))</f>
        <v/>
      </c>
      <c r="R129" s="27">
        <f>IF($A129="","",IF(P129="","",COUNT($P$2:P129)))</f>
        <v/>
      </c>
    </row>
    <row r="130">
      <c r="J130" s="24">
        <f>IF($A130="","",IF($C130&lt;&gt;"khp_titration_mL","",IF(COUNTIFS('1_原始數據'!$A$2:$A$1000,$A130,'1_原始數據'!$B$2:$B$1000,$B130,'1_原始數據'!$D$2:$D$1000,$D130,'1_原始數據'!$C$2:$C$1000,"khp_mass_g")=0,"",SUMIFS('1_原始數據'!$E$2:$E$1000,'1_原始數據'!$A$2:$A$1000,$A130,'1_原始數據'!$B$2:$B$1000,$B130,'1_原始數據'!$D$2:$D$1000,$D130,'1_原始數據'!$C$2:$C$1000,"khp_mass_g")/('2_NaOH標定'!$C$5*$E130/1000))))</f>
        <v/>
      </c>
      <c r="K130" s="24">
        <f>IF($A130="","",IF($C130&lt;&gt;"manual_titration_mL","",IF(COUNTIFS('1_原始數據'!$A$2:$A$1000,$A130,'1_原始數據'!$C$2:$C$1000,"khp_titration_mL")=0,"",AVERAGEIFS('1_原始數據'!$J$2:$J$1000,'1_原始數據'!$A$2:$A$1000,$A130,'1_原始數據'!$C$2:$C$1000,"khp_titration_mL"))))</f>
        <v/>
      </c>
      <c r="L130" s="25">
        <f>IF($A130="","",IF($C130&lt;&gt;"manual_titration_mL","",IFERROR(INDEX('3_可滴定酸度'!$E$6:$E$13,MATCH($I130,'3_可滴定酸度'!$B$6:$B$13,0)),"")))</f>
        <v/>
      </c>
      <c r="M130" s="25">
        <f>IF($A130="","",IF($C130&lt;&gt;"manual_titration_mL","",IFERROR(INDEX('3_可滴定酸度'!$F$6:$F$13,MATCH($I130,'3_可滴定酸度'!$B$6:$B$13,0)),"")))</f>
        <v/>
      </c>
      <c r="N130" s="24">
        <f>IF($A130="","",IF(OR(K130="",L130="",M130=""),"",K130*E130*L130/(M130*1000)*100))</f>
        <v/>
      </c>
      <c r="O130" s="24">
        <f>IF($A130="","",IF(N130="","",IF(COUNTIFS('1_原始數據'!$A$2:$A$1000,$A130,'1_原始數據'!$B$2:$B$1000,$B130,'1_原始數據'!$D$2:$D$1000,$D130,'1_原始數據'!$I$2:$I$1000,$I130,'1_原始數據'!$C$2:$C$1000,"pasco_pct_acid")=0,"",SUMIFS('1_原始數據'!$E$2:$E$1000,'1_原始數據'!$A$2:$A$1000,$A130,'1_原始數據'!$B$2:$B$1000,$B130,'1_原始數據'!$D$2:$D$1000,$D130,'1_原始數據'!$I$2:$I$1000,$I130,'1_原始數據'!$C$2:$C$1000,"pasco_pct_acid"))))</f>
        <v/>
      </c>
      <c r="P130" s="26">
        <f>IF($A130="","",IF(OR(N130="",O130=""),"",O130-N130))</f>
        <v/>
      </c>
      <c r="Q130" s="24">
        <f>IF($A130="","",IF(P130="","",(O130+N130)/2))</f>
        <v/>
      </c>
      <c r="R130" s="27">
        <f>IF($A130="","",IF(P130="","",COUNT($P$2:P130)))</f>
        <v/>
      </c>
    </row>
    <row r="131">
      <c r="J131" s="24">
        <f>IF($A131="","",IF($C131&lt;&gt;"khp_titration_mL","",IF(COUNTIFS('1_原始數據'!$A$2:$A$1000,$A131,'1_原始數據'!$B$2:$B$1000,$B131,'1_原始數據'!$D$2:$D$1000,$D131,'1_原始數據'!$C$2:$C$1000,"khp_mass_g")=0,"",SUMIFS('1_原始數據'!$E$2:$E$1000,'1_原始數據'!$A$2:$A$1000,$A131,'1_原始數據'!$B$2:$B$1000,$B131,'1_原始數據'!$D$2:$D$1000,$D131,'1_原始數據'!$C$2:$C$1000,"khp_mass_g")/('2_NaOH標定'!$C$5*$E131/1000))))</f>
        <v/>
      </c>
      <c r="K131" s="24">
        <f>IF($A131="","",IF($C131&lt;&gt;"manual_titration_mL","",IF(COUNTIFS('1_原始數據'!$A$2:$A$1000,$A131,'1_原始數據'!$C$2:$C$1000,"khp_titration_mL")=0,"",AVERAGEIFS('1_原始數據'!$J$2:$J$1000,'1_原始數據'!$A$2:$A$1000,$A131,'1_原始數據'!$C$2:$C$1000,"khp_titration_mL"))))</f>
        <v/>
      </c>
      <c r="L131" s="25">
        <f>IF($A131="","",IF($C131&lt;&gt;"manual_titration_mL","",IFERROR(INDEX('3_可滴定酸度'!$E$6:$E$13,MATCH($I131,'3_可滴定酸度'!$B$6:$B$13,0)),"")))</f>
        <v/>
      </c>
      <c r="M131" s="25">
        <f>IF($A131="","",IF($C131&lt;&gt;"manual_titration_mL","",IFERROR(INDEX('3_可滴定酸度'!$F$6:$F$13,MATCH($I131,'3_可滴定酸度'!$B$6:$B$13,0)),"")))</f>
        <v/>
      </c>
      <c r="N131" s="24">
        <f>IF($A131="","",IF(OR(K131="",L131="",M131=""),"",K131*E131*L131/(M131*1000)*100))</f>
        <v/>
      </c>
      <c r="O131" s="24">
        <f>IF($A131="","",IF(N131="","",IF(COUNTIFS('1_原始數據'!$A$2:$A$1000,$A131,'1_原始數據'!$B$2:$B$1000,$B131,'1_原始數據'!$D$2:$D$1000,$D131,'1_原始數據'!$I$2:$I$1000,$I131,'1_原始數據'!$C$2:$C$1000,"pasco_pct_acid")=0,"",SUMIFS('1_原始數據'!$E$2:$E$1000,'1_原始數據'!$A$2:$A$1000,$A131,'1_原始數據'!$B$2:$B$1000,$B131,'1_原始數據'!$D$2:$D$1000,$D131,'1_原始數據'!$I$2:$I$1000,$I131,'1_原始數據'!$C$2:$C$1000,"pasco_pct_acid"))))</f>
        <v/>
      </c>
      <c r="P131" s="26">
        <f>IF($A131="","",IF(OR(N131="",O131=""),"",O131-N131))</f>
        <v/>
      </c>
      <c r="Q131" s="24">
        <f>IF($A131="","",IF(P131="","",(O131+N131)/2))</f>
        <v/>
      </c>
      <c r="R131" s="27">
        <f>IF($A131="","",IF(P131="","",COUNT($P$2:P131)))</f>
        <v/>
      </c>
    </row>
    <row r="132">
      <c r="J132" s="24">
        <f>IF($A132="","",IF($C132&lt;&gt;"khp_titration_mL","",IF(COUNTIFS('1_原始數據'!$A$2:$A$1000,$A132,'1_原始數據'!$B$2:$B$1000,$B132,'1_原始數據'!$D$2:$D$1000,$D132,'1_原始數據'!$C$2:$C$1000,"khp_mass_g")=0,"",SUMIFS('1_原始數據'!$E$2:$E$1000,'1_原始數據'!$A$2:$A$1000,$A132,'1_原始數據'!$B$2:$B$1000,$B132,'1_原始數據'!$D$2:$D$1000,$D132,'1_原始數據'!$C$2:$C$1000,"khp_mass_g")/('2_NaOH標定'!$C$5*$E132/1000))))</f>
        <v/>
      </c>
      <c r="K132" s="24">
        <f>IF($A132="","",IF($C132&lt;&gt;"manual_titration_mL","",IF(COUNTIFS('1_原始數據'!$A$2:$A$1000,$A132,'1_原始數據'!$C$2:$C$1000,"khp_titration_mL")=0,"",AVERAGEIFS('1_原始數據'!$J$2:$J$1000,'1_原始數據'!$A$2:$A$1000,$A132,'1_原始數據'!$C$2:$C$1000,"khp_titration_mL"))))</f>
        <v/>
      </c>
      <c r="L132" s="25">
        <f>IF($A132="","",IF($C132&lt;&gt;"manual_titration_mL","",IFERROR(INDEX('3_可滴定酸度'!$E$6:$E$13,MATCH($I132,'3_可滴定酸度'!$B$6:$B$13,0)),"")))</f>
        <v/>
      </c>
      <c r="M132" s="25">
        <f>IF($A132="","",IF($C132&lt;&gt;"manual_titration_mL","",IFERROR(INDEX('3_可滴定酸度'!$F$6:$F$13,MATCH($I132,'3_可滴定酸度'!$B$6:$B$13,0)),"")))</f>
        <v/>
      </c>
      <c r="N132" s="24">
        <f>IF($A132="","",IF(OR(K132="",L132="",M132=""),"",K132*E132*L132/(M132*1000)*100))</f>
        <v/>
      </c>
      <c r="O132" s="24">
        <f>IF($A132="","",IF(N132="","",IF(COUNTIFS('1_原始數據'!$A$2:$A$1000,$A132,'1_原始數據'!$B$2:$B$1000,$B132,'1_原始數據'!$D$2:$D$1000,$D132,'1_原始數據'!$I$2:$I$1000,$I132,'1_原始數據'!$C$2:$C$1000,"pasco_pct_acid")=0,"",SUMIFS('1_原始數據'!$E$2:$E$1000,'1_原始數據'!$A$2:$A$1000,$A132,'1_原始數據'!$B$2:$B$1000,$B132,'1_原始數據'!$D$2:$D$1000,$D132,'1_原始數據'!$I$2:$I$1000,$I132,'1_原始數據'!$C$2:$C$1000,"pasco_pct_acid"))))</f>
        <v/>
      </c>
      <c r="P132" s="26">
        <f>IF($A132="","",IF(OR(N132="",O132=""),"",O132-N132))</f>
        <v/>
      </c>
      <c r="Q132" s="24">
        <f>IF($A132="","",IF(P132="","",(O132+N132)/2))</f>
        <v/>
      </c>
      <c r="R132" s="27">
        <f>IF($A132="","",IF(P132="","",COUNT($P$2:P132)))</f>
        <v/>
      </c>
    </row>
    <row r="133">
      <c r="J133" s="24">
        <f>IF($A133="","",IF($C133&lt;&gt;"khp_titration_mL","",IF(COUNTIFS('1_原始數據'!$A$2:$A$1000,$A133,'1_原始數據'!$B$2:$B$1000,$B133,'1_原始數據'!$D$2:$D$1000,$D133,'1_原始數據'!$C$2:$C$1000,"khp_mass_g")=0,"",SUMIFS('1_原始數據'!$E$2:$E$1000,'1_原始數據'!$A$2:$A$1000,$A133,'1_原始數據'!$B$2:$B$1000,$B133,'1_原始數據'!$D$2:$D$1000,$D133,'1_原始數據'!$C$2:$C$1000,"khp_mass_g")/('2_NaOH標定'!$C$5*$E133/1000))))</f>
        <v/>
      </c>
      <c r="K133" s="24">
        <f>IF($A133="","",IF($C133&lt;&gt;"manual_titration_mL","",IF(COUNTIFS('1_原始數據'!$A$2:$A$1000,$A133,'1_原始數據'!$C$2:$C$1000,"khp_titration_mL")=0,"",AVERAGEIFS('1_原始數據'!$J$2:$J$1000,'1_原始數據'!$A$2:$A$1000,$A133,'1_原始數據'!$C$2:$C$1000,"khp_titration_mL"))))</f>
        <v/>
      </c>
      <c r="L133" s="25">
        <f>IF($A133="","",IF($C133&lt;&gt;"manual_titration_mL","",IFERROR(INDEX('3_可滴定酸度'!$E$6:$E$13,MATCH($I133,'3_可滴定酸度'!$B$6:$B$13,0)),"")))</f>
        <v/>
      </c>
      <c r="M133" s="25">
        <f>IF($A133="","",IF($C133&lt;&gt;"manual_titration_mL","",IFERROR(INDEX('3_可滴定酸度'!$F$6:$F$13,MATCH($I133,'3_可滴定酸度'!$B$6:$B$13,0)),"")))</f>
        <v/>
      </c>
      <c r="N133" s="24">
        <f>IF($A133="","",IF(OR(K133="",L133="",M133=""),"",K133*E133*L133/(M133*1000)*100))</f>
        <v/>
      </c>
      <c r="O133" s="24">
        <f>IF($A133="","",IF(N133="","",IF(COUNTIFS('1_原始數據'!$A$2:$A$1000,$A133,'1_原始數據'!$B$2:$B$1000,$B133,'1_原始數據'!$D$2:$D$1000,$D133,'1_原始數據'!$I$2:$I$1000,$I133,'1_原始數據'!$C$2:$C$1000,"pasco_pct_acid")=0,"",SUMIFS('1_原始數據'!$E$2:$E$1000,'1_原始數據'!$A$2:$A$1000,$A133,'1_原始數據'!$B$2:$B$1000,$B133,'1_原始數據'!$D$2:$D$1000,$D133,'1_原始數據'!$I$2:$I$1000,$I133,'1_原始數據'!$C$2:$C$1000,"pasco_pct_acid"))))</f>
        <v/>
      </c>
      <c r="P133" s="26">
        <f>IF($A133="","",IF(OR(N133="",O133=""),"",O133-N133))</f>
        <v/>
      </c>
      <c r="Q133" s="24">
        <f>IF($A133="","",IF(P133="","",(O133+N133)/2))</f>
        <v/>
      </c>
      <c r="R133" s="27">
        <f>IF($A133="","",IF(P133="","",COUNT($P$2:P133)))</f>
        <v/>
      </c>
    </row>
    <row r="134">
      <c r="J134" s="24">
        <f>IF($A134="","",IF($C134&lt;&gt;"khp_titration_mL","",IF(COUNTIFS('1_原始數據'!$A$2:$A$1000,$A134,'1_原始數據'!$B$2:$B$1000,$B134,'1_原始數據'!$D$2:$D$1000,$D134,'1_原始數據'!$C$2:$C$1000,"khp_mass_g")=0,"",SUMIFS('1_原始數據'!$E$2:$E$1000,'1_原始數據'!$A$2:$A$1000,$A134,'1_原始數據'!$B$2:$B$1000,$B134,'1_原始數據'!$D$2:$D$1000,$D134,'1_原始數據'!$C$2:$C$1000,"khp_mass_g")/('2_NaOH標定'!$C$5*$E134/1000))))</f>
        <v/>
      </c>
      <c r="K134" s="24">
        <f>IF($A134="","",IF($C134&lt;&gt;"manual_titration_mL","",IF(COUNTIFS('1_原始數據'!$A$2:$A$1000,$A134,'1_原始數據'!$C$2:$C$1000,"khp_titration_mL")=0,"",AVERAGEIFS('1_原始數據'!$J$2:$J$1000,'1_原始數據'!$A$2:$A$1000,$A134,'1_原始數據'!$C$2:$C$1000,"khp_titration_mL"))))</f>
        <v/>
      </c>
      <c r="L134" s="25">
        <f>IF($A134="","",IF($C134&lt;&gt;"manual_titration_mL","",IFERROR(INDEX('3_可滴定酸度'!$E$6:$E$13,MATCH($I134,'3_可滴定酸度'!$B$6:$B$13,0)),"")))</f>
        <v/>
      </c>
      <c r="M134" s="25">
        <f>IF($A134="","",IF($C134&lt;&gt;"manual_titration_mL","",IFERROR(INDEX('3_可滴定酸度'!$F$6:$F$13,MATCH($I134,'3_可滴定酸度'!$B$6:$B$13,0)),"")))</f>
        <v/>
      </c>
      <c r="N134" s="24">
        <f>IF($A134="","",IF(OR(K134="",L134="",M134=""),"",K134*E134*L134/(M134*1000)*100))</f>
        <v/>
      </c>
      <c r="O134" s="24">
        <f>IF($A134="","",IF(N134="","",IF(COUNTIFS('1_原始數據'!$A$2:$A$1000,$A134,'1_原始數據'!$B$2:$B$1000,$B134,'1_原始數據'!$D$2:$D$1000,$D134,'1_原始數據'!$I$2:$I$1000,$I134,'1_原始數據'!$C$2:$C$1000,"pasco_pct_acid")=0,"",SUMIFS('1_原始數據'!$E$2:$E$1000,'1_原始數據'!$A$2:$A$1000,$A134,'1_原始數據'!$B$2:$B$1000,$B134,'1_原始數據'!$D$2:$D$1000,$D134,'1_原始數據'!$I$2:$I$1000,$I134,'1_原始數據'!$C$2:$C$1000,"pasco_pct_acid"))))</f>
        <v/>
      </c>
      <c r="P134" s="26">
        <f>IF($A134="","",IF(OR(N134="",O134=""),"",O134-N134))</f>
        <v/>
      </c>
      <c r="Q134" s="24">
        <f>IF($A134="","",IF(P134="","",(O134+N134)/2))</f>
        <v/>
      </c>
      <c r="R134" s="27">
        <f>IF($A134="","",IF(P134="","",COUNT($P$2:P134)))</f>
        <v/>
      </c>
    </row>
    <row r="135">
      <c r="J135" s="24">
        <f>IF($A135="","",IF($C135&lt;&gt;"khp_titration_mL","",IF(COUNTIFS('1_原始數據'!$A$2:$A$1000,$A135,'1_原始數據'!$B$2:$B$1000,$B135,'1_原始數據'!$D$2:$D$1000,$D135,'1_原始數據'!$C$2:$C$1000,"khp_mass_g")=0,"",SUMIFS('1_原始數據'!$E$2:$E$1000,'1_原始數據'!$A$2:$A$1000,$A135,'1_原始數據'!$B$2:$B$1000,$B135,'1_原始數據'!$D$2:$D$1000,$D135,'1_原始數據'!$C$2:$C$1000,"khp_mass_g")/('2_NaOH標定'!$C$5*$E135/1000))))</f>
        <v/>
      </c>
      <c r="K135" s="24">
        <f>IF($A135="","",IF($C135&lt;&gt;"manual_titration_mL","",IF(COUNTIFS('1_原始數據'!$A$2:$A$1000,$A135,'1_原始數據'!$C$2:$C$1000,"khp_titration_mL")=0,"",AVERAGEIFS('1_原始數據'!$J$2:$J$1000,'1_原始數據'!$A$2:$A$1000,$A135,'1_原始數據'!$C$2:$C$1000,"khp_titration_mL"))))</f>
        <v/>
      </c>
      <c r="L135" s="25">
        <f>IF($A135="","",IF($C135&lt;&gt;"manual_titration_mL","",IFERROR(INDEX('3_可滴定酸度'!$E$6:$E$13,MATCH($I135,'3_可滴定酸度'!$B$6:$B$13,0)),"")))</f>
        <v/>
      </c>
      <c r="M135" s="25">
        <f>IF($A135="","",IF($C135&lt;&gt;"manual_titration_mL","",IFERROR(INDEX('3_可滴定酸度'!$F$6:$F$13,MATCH($I135,'3_可滴定酸度'!$B$6:$B$13,0)),"")))</f>
        <v/>
      </c>
      <c r="N135" s="24">
        <f>IF($A135="","",IF(OR(K135="",L135="",M135=""),"",K135*E135*L135/(M135*1000)*100))</f>
        <v/>
      </c>
      <c r="O135" s="24">
        <f>IF($A135="","",IF(N135="","",IF(COUNTIFS('1_原始數據'!$A$2:$A$1000,$A135,'1_原始數據'!$B$2:$B$1000,$B135,'1_原始數據'!$D$2:$D$1000,$D135,'1_原始數據'!$I$2:$I$1000,$I135,'1_原始數據'!$C$2:$C$1000,"pasco_pct_acid")=0,"",SUMIFS('1_原始數據'!$E$2:$E$1000,'1_原始數據'!$A$2:$A$1000,$A135,'1_原始數據'!$B$2:$B$1000,$B135,'1_原始數據'!$D$2:$D$1000,$D135,'1_原始數據'!$I$2:$I$1000,$I135,'1_原始數據'!$C$2:$C$1000,"pasco_pct_acid"))))</f>
        <v/>
      </c>
      <c r="P135" s="26">
        <f>IF($A135="","",IF(OR(N135="",O135=""),"",O135-N135))</f>
        <v/>
      </c>
      <c r="Q135" s="24">
        <f>IF($A135="","",IF(P135="","",(O135+N135)/2))</f>
        <v/>
      </c>
      <c r="R135" s="27">
        <f>IF($A135="","",IF(P135="","",COUNT($P$2:P135)))</f>
        <v/>
      </c>
    </row>
    <row r="136">
      <c r="J136" s="24">
        <f>IF($A136="","",IF($C136&lt;&gt;"khp_titration_mL","",IF(COUNTIFS('1_原始數據'!$A$2:$A$1000,$A136,'1_原始數據'!$B$2:$B$1000,$B136,'1_原始數據'!$D$2:$D$1000,$D136,'1_原始數據'!$C$2:$C$1000,"khp_mass_g")=0,"",SUMIFS('1_原始數據'!$E$2:$E$1000,'1_原始數據'!$A$2:$A$1000,$A136,'1_原始數據'!$B$2:$B$1000,$B136,'1_原始數據'!$D$2:$D$1000,$D136,'1_原始數據'!$C$2:$C$1000,"khp_mass_g")/('2_NaOH標定'!$C$5*$E136/1000))))</f>
        <v/>
      </c>
      <c r="K136" s="24">
        <f>IF($A136="","",IF($C136&lt;&gt;"manual_titration_mL","",IF(COUNTIFS('1_原始數據'!$A$2:$A$1000,$A136,'1_原始數據'!$C$2:$C$1000,"khp_titration_mL")=0,"",AVERAGEIFS('1_原始數據'!$J$2:$J$1000,'1_原始數據'!$A$2:$A$1000,$A136,'1_原始數據'!$C$2:$C$1000,"khp_titration_mL"))))</f>
        <v/>
      </c>
      <c r="L136" s="25">
        <f>IF($A136="","",IF($C136&lt;&gt;"manual_titration_mL","",IFERROR(INDEX('3_可滴定酸度'!$E$6:$E$13,MATCH($I136,'3_可滴定酸度'!$B$6:$B$13,0)),"")))</f>
        <v/>
      </c>
      <c r="M136" s="25">
        <f>IF($A136="","",IF($C136&lt;&gt;"manual_titration_mL","",IFERROR(INDEX('3_可滴定酸度'!$F$6:$F$13,MATCH($I136,'3_可滴定酸度'!$B$6:$B$13,0)),"")))</f>
        <v/>
      </c>
      <c r="N136" s="24">
        <f>IF($A136="","",IF(OR(K136="",L136="",M136=""),"",K136*E136*L136/(M136*1000)*100))</f>
        <v/>
      </c>
      <c r="O136" s="24">
        <f>IF($A136="","",IF(N136="","",IF(COUNTIFS('1_原始數據'!$A$2:$A$1000,$A136,'1_原始數據'!$B$2:$B$1000,$B136,'1_原始數據'!$D$2:$D$1000,$D136,'1_原始數據'!$I$2:$I$1000,$I136,'1_原始數據'!$C$2:$C$1000,"pasco_pct_acid")=0,"",SUMIFS('1_原始數據'!$E$2:$E$1000,'1_原始數據'!$A$2:$A$1000,$A136,'1_原始數據'!$B$2:$B$1000,$B136,'1_原始數據'!$D$2:$D$1000,$D136,'1_原始數據'!$I$2:$I$1000,$I136,'1_原始數據'!$C$2:$C$1000,"pasco_pct_acid"))))</f>
        <v/>
      </c>
      <c r="P136" s="26">
        <f>IF($A136="","",IF(OR(N136="",O136=""),"",O136-N136))</f>
        <v/>
      </c>
      <c r="Q136" s="24">
        <f>IF($A136="","",IF(P136="","",(O136+N136)/2))</f>
        <v/>
      </c>
      <c r="R136" s="27">
        <f>IF($A136="","",IF(P136="","",COUNT($P$2:P136)))</f>
        <v/>
      </c>
    </row>
    <row r="137">
      <c r="J137" s="24">
        <f>IF($A137="","",IF($C137&lt;&gt;"khp_titration_mL","",IF(COUNTIFS('1_原始數據'!$A$2:$A$1000,$A137,'1_原始數據'!$B$2:$B$1000,$B137,'1_原始數據'!$D$2:$D$1000,$D137,'1_原始數據'!$C$2:$C$1000,"khp_mass_g")=0,"",SUMIFS('1_原始數據'!$E$2:$E$1000,'1_原始數據'!$A$2:$A$1000,$A137,'1_原始數據'!$B$2:$B$1000,$B137,'1_原始數據'!$D$2:$D$1000,$D137,'1_原始數據'!$C$2:$C$1000,"khp_mass_g")/('2_NaOH標定'!$C$5*$E137/1000))))</f>
        <v/>
      </c>
      <c r="K137" s="24">
        <f>IF($A137="","",IF($C137&lt;&gt;"manual_titration_mL","",IF(COUNTIFS('1_原始數據'!$A$2:$A$1000,$A137,'1_原始數據'!$C$2:$C$1000,"khp_titration_mL")=0,"",AVERAGEIFS('1_原始數據'!$J$2:$J$1000,'1_原始數據'!$A$2:$A$1000,$A137,'1_原始數據'!$C$2:$C$1000,"khp_titration_mL"))))</f>
        <v/>
      </c>
      <c r="L137" s="25">
        <f>IF($A137="","",IF($C137&lt;&gt;"manual_titration_mL","",IFERROR(INDEX('3_可滴定酸度'!$E$6:$E$13,MATCH($I137,'3_可滴定酸度'!$B$6:$B$13,0)),"")))</f>
        <v/>
      </c>
      <c r="M137" s="25">
        <f>IF($A137="","",IF($C137&lt;&gt;"manual_titration_mL","",IFERROR(INDEX('3_可滴定酸度'!$F$6:$F$13,MATCH($I137,'3_可滴定酸度'!$B$6:$B$13,0)),"")))</f>
        <v/>
      </c>
      <c r="N137" s="24">
        <f>IF($A137="","",IF(OR(K137="",L137="",M137=""),"",K137*E137*L137/(M137*1000)*100))</f>
        <v/>
      </c>
      <c r="O137" s="24">
        <f>IF($A137="","",IF(N137="","",IF(COUNTIFS('1_原始數據'!$A$2:$A$1000,$A137,'1_原始數據'!$B$2:$B$1000,$B137,'1_原始數據'!$D$2:$D$1000,$D137,'1_原始數據'!$I$2:$I$1000,$I137,'1_原始數據'!$C$2:$C$1000,"pasco_pct_acid")=0,"",SUMIFS('1_原始數據'!$E$2:$E$1000,'1_原始數據'!$A$2:$A$1000,$A137,'1_原始數據'!$B$2:$B$1000,$B137,'1_原始數據'!$D$2:$D$1000,$D137,'1_原始數據'!$I$2:$I$1000,$I137,'1_原始數據'!$C$2:$C$1000,"pasco_pct_acid"))))</f>
        <v/>
      </c>
      <c r="P137" s="26">
        <f>IF($A137="","",IF(OR(N137="",O137=""),"",O137-N137))</f>
        <v/>
      </c>
      <c r="Q137" s="24">
        <f>IF($A137="","",IF(P137="","",(O137+N137)/2))</f>
        <v/>
      </c>
      <c r="R137" s="27">
        <f>IF($A137="","",IF(P137="","",COUNT($P$2:P137)))</f>
        <v/>
      </c>
    </row>
    <row r="138">
      <c r="J138" s="24">
        <f>IF($A138="","",IF($C138&lt;&gt;"khp_titration_mL","",IF(COUNTIFS('1_原始數據'!$A$2:$A$1000,$A138,'1_原始數據'!$B$2:$B$1000,$B138,'1_原始數據'!$D$2:$D$1000,$D138,'1_原始數據'!$C$2:$C$1000,"khp_mass_g")=0,"",SUMIFS('1_原始數據'!$E$2:$E$1000,'1_原始數據'!$A$2:$A$1000,$A138,'1_原始數據'!$B$2:$B$1000,$B138,'1_原始數據'!$D$2:$D$1000,$D138,'1_原始數據'!$C$2:$C$1000,"khp_mass_g")/('2_NaOH標定'!$C$5*$E138/1000))))</f>
        <v/>
      </c>
      <c r="K138" s="24">
        <f>IF($A138="","",IF($C138&lt;&gt;"manual_titration_mL","",IF(COUNTIFS('1_原始數據'!$A$2:$A$1000,$A138,'1_原始數據'!$C$2:$C$1000,"khp_titration_mL")=0,"",AVERAGEIFS('1_原始數據'!$J$2:$J$1000,'1_原始數據'!$A$2:$A$1000,$A138,'1_原始數據'!$C$2:$C$1000,"khp_titration_mL"))))</f>
        <v/>
      </c>
      <c r="L138" s="25">
        <f>IF($A138="","",IF($C138&lt;&gt;"manual_titration_mL","",IFERROR(INDEX('3_可滴定酸度'!$E$6:$E$13,MATCH($I138,'3_可滴定酸度'!$B$6:$B$13,0)),"")))</f>
        <v/>
      </c>
      <c r="M138" s="25">
        <f>IF($A138="","",IF($C138&lt;&gt;"manual_titration_mL","",IFERROR(INDEX('3_可滴定酸度'!$F$6:$F$13,MATCH($I138,'3_可滴定酸度'!$B$6:$B$13,0)),"")))</f>
        <v/>
      </c>
      <c r="N138" s="24">
        <f>IF($A138="","",IF(OR(K138="",L138="",M138=""),"",K138*E138*L138/(M138*1000)*100))</f>
        <v/>
      </c>
      <c r="O138" s="24">
        <f>IF($A138="","",IF(N138="","",IF(COUNTIFS('1_原始數據'!$A$2:$A$1000,$A138,'1_原始數據'!$B$2:$B$1000,$B138,'1_原始數據'!$D$2:$D$1000,$D138,'1_原始數據'!$I$2:$I$1000,$I138,'1_原始數據'!$C$2:$C$1000,"pasco_pct_acid")=0,"",SUMIFS('1_原始數據'!$E$2:$E$1000,'1_原始數據'!$A$2:$A$1000,$A138,'1_原始數據'!$B$2:$B$1000,$B138,'1_原始數據'!$D$2:$D$1000,$D138,'1_原始數據'!$I$2:$I$1000,$I138,'1_原始數據'!$C$2:$C$1000,"pasco_pct_acid"))))</f>
        <v/>
      </c>
      <c r="P138" s="26">
        <f>IF($A138="","",IF(OR(N138="",O138=""),"",O138-N138))</f>
        <v/>
      </c>
      <c r="Q138" s="24">
        <f>IF($A138="","",IF(P138="","",(O138+N138)/2))</f>
        <v/>
      </c>
      <c r="R138" s="27">
        <f>IF($A138="","",IF(P138="","",COUNT($P$2:P138)))</f>
        <v/>
      </c>
    </row>
    <row r="139">
      <c r="J139" s="24">
        <f>IF($A139="","",IF($C139&lt;&gt;"khp_titration_mL","",IF(COUNTIFS('1_原始數據'!$A$2:$A$1000,$A139,'1_原始數據'!$B$2:$B$1000,$B139,'1_原始數據'!$D$2:$D$1000,$D139,'1_原始數據'!$C$2:$C$1000,"khp_mass_g")=0,"",SUMIFS('1_原始數據'!$E$2:$E$1000,'1_原始數據'!$A$2:$A$1000,$A139,'1_原始數據'!$B$2:$B$1000,$B139,'1_原始數據'!$D$2:$D$1000,$D139,'1_原始數據'!$C$2:$C$1000,"khp_mass_g")/('2_NaOH標定'!$C$5*$E139/1000))))</f>
        <v/>
      </c>
      <c r="K139" s="24">
        <f>IF($A139="","",IF($C139&lt;&gt;"manual_titration_mL","",IF(COUNTIFS('1_原始數據'!$A$2:$A$1000,$A139,'1_原始數據'!$C$2:$C$1000,"khp_titration_mL")=0,"",AVERAGEIFS('1_原始數據'!$J$2:$J$1000,'1_原始數據'!$A$2:$A$1000,$A139,'1_原始數據'!$C$2:$C$1000,"khp_titration_mL"))))</f>
        <v/>
      </c>
      <c r="L139" s="25">
        <f>IF($A139="","",IF($C139&lt;&gt;"manual_titration_mL","",IFERROR(INDEX('3_可滴定酸度'!$E$6:$E$13,MATCH($I139,'3_可滴定酸度'!$B$6:$B$13,0)),"")))</f>
        <v/>
      </c>
      <c r="M139" s="25">
        <f>IF($A139="","",IF($C139&lt;&gt;"manual_titration_mL","",IFERROR(INDEX('3_可滴定酸度'!$F$6:$F$13,MATCH($I139,'3_可滴定酸度'!$B$6:$B$13,0)),"")))</f>
        <v/>
      </c>
      <c r="N139" s="24">
        <f>IF($A139="","",IF(OR(K139="",L139="",M139=""),"",K139*E139*L139/(M139*1000)*100))</f>
        <v/>
      </c>
      <c r="O139" s="24">
        <f>IF($A139="","",IF(N139="","",IF(COUNTIFS('1_原始數據'!$A$2:$A$1000,$A139,'1_原始數據'!$B$2:$B$1000,$B139,'1_原始數據'!$D$2:$D$1000,$D139,'1_原始數據'!$I$2:$I$1000,$I139,'1_原始數據'!$C$2:$C$1000,"pasco_pct_acid")=0,"",SUMIFS('1_原始數據'!$E$2:$E$1000,'1_原始數據'!$A$2:$A$1000,$A139,'1_原始數據'!$B$2:$B$1000,$B139,'1_原始數據'!$D$2:$D$1000,$D139,'1_原始數據'!$I$2:$I$1000,$I139,'1_原始數據'!$C$2:$C$1000,"pasco_pct_acid"))))</f>
        <v/>
      </c>
      <c r="P139" s="26">
        <f>IF($A139="","",IF(OR(N139="",O139=""),"",O139-N139))</f>
        <v/>
      </c>
      <c r="Q139" s="24">
        <f>IF($A139="","",IF(P139="","",(O139+N139)/2))</f>
        <v/>
      </c>
      <c r="R139" s="27">
        <f>IF($A139="","",IF(P139="","",COUNT($P$2:P139)))</f>
        <v/>
      </c>
    </row>
    <row r="140">
      <c r="J140" s="24">
        <f>IF($A140="","",IF($C140&lt;&gt;"khp_titration_mL","",IF(COUNTIFS('1_原始數據'!$A$2:$A$1000,$A140,'1_原始數據'!$B$2:$B$1000,$B140,'1_原始數據'!$D$2:$D$1000,$D140,'1_原始數據'!$C$2:$C$1000,"khp_mass_g")=0,"",SUMIFS('1_原始數據'!$E$2:$E$1000,'1_原始數據'!$A$2:$A$1000,$A140,'1_原始數據'!$B$2:$B$1000,$B140,'1_原始數據'!$D$2:$D$1000,$D140,'1_原始數據'!$C$2:$C$1000,"khp_mass_g")/('2_NaOH標定'!$C$5*$E140/1000))))</f>
        <v/>
      </c>
      <c r="K140" s="24">
        <f>IF($A140="","",IF($C140&lt;&gt;"manual_titration_mL","",IF(COUNTIFS('1_原始數據'!$A$2:$A$1000,$A140,'1_原始數據'!$C$2:$C$1000,"khp_titration_mL")=0,"",AVERAGEIFS('1_原始數據'!$J$2:$J$1000,'1_原始數據'!$A$2:$A$1000,$A140,'1_原始數據'!$C$2:$C$1000,"khp_titration_mL"))))</f>
        <v/>
      </c>
      <c r="L140" s="25">
        <f>IF($A140="","",IF($C140&lt;&gt;"manual_titration_mL","",IFERROR(INDEX('3_可滴定酸度'!$E$6:$E$13,MATCH($I140,'3_可滴定酸度'!$B$6:$B$13,0)),"")))</f>
        <v/>
      </c>
      <c r="M140" s="25">
        <f>IF($A140="","",IF($C140&lt;&gt;"manual_titration_mL","",IFERROR(INDEX('3_可滴定酸度'!$F$6:$F$13,MATCH($I140,'3_可滴定酸度'!$B$6:$B$13,0)),"")))</f>
        <v/>
      </c>
      <c r="N140" s="24">
        <f>IF($A140="","",IF(OR(K140="",L140="",M140=""),"",K140*E140*L140/(M140*1000)*100))</f>
        <v/>
      </c>
      <c r="O140" s="24">
        <f>IF($A140="","",IF(N140="","",IF(COUNTIFS('1_原始數據'!$A$2:$A$1000,$A140,'1_原始數據'!$B$2:$B$1000,$B140,'1_原始數據'!$D$2:$D$1000,$D140,'1_原始數據'!$I$2:$I$1000,$I140,'1_原始數據'!$C$2:$C$1000,"pasco_pct_acid")=0,"",SUMIFS('1_原始數據'!$E$2:$E$1000,'1_原始數據'!$A$2:$A$1000,$A140,'1_原始數據'!$B$2:$B$1000,$B140,'1_原始數據'!$D$2:$D$1000,$D140,'1_原始數據'!$I$2:$I$1000,$I140,'1_原始數據'!$C$2:$C$1000,"pasco_pct_acid"))))</f>
        <v/>
      </c>
      <c r="P140" s="26">
        <f>IF($A140="","",IF(OR(N140="",O140=""),"",O140-N140))</f>
        <v/>
      </c>
      <c r="Q140" s="24">
        <f>IF($A140="","",IF(P140="","",(O140+N140)/2))</f>
        <v/>
      </c>
      <c r="R140" s="27">
        <f>IF($A140="","",IF(P140="","",COUNT($P$2:P140)))</f>
        <v/>
      </c>
    </row>
    <row r="141">
      <c r="J141" s="24">
        <f>IF($A141="","",IF($C141&lt;&gt;"khp_titration_mL","",IF(COUNTIFS('1_原始數據'!$A$2:$A$1000,$A141,'1_原始數據'!$B$2:$B$1000,$B141,'1_原始數據'!$D$2:$D$1000,$D141,'1_原始數據'!$C$2:$C$1000,"khp_mass_g")=0,"",SUMIFS('1_原始數據'!$E$2:$E$1000,'1_原始數據'!$A$2:$A$1000,$A141,'1_原始數據'!$B$2:$B$1000,$B141,'1_原始數據'!$D$2:$D$1000,$D141,'1_原始數據'!$C$2:$C$1000,"khp_mass_g")/('2_NaOH標定'!$C$5*$E141/1000))))</f>
        <v/>
      </c>
      <c r="K141" s="24">
        <f>IF($A141="","",IF($C141&lt;&gt;"manual_titration_mL","",IF(COUNTIFS('1_原始數據'!$A$2:$A$1000,$A141,'1_原始數據'!$C$2:$C$1000,"khp_titration_mL")=0,"",AVERAGEIFS('1_原始數據'!$J$2:$J$1000,'1_原始數據'!$A$2:$A$1000,$A141,'1_原始數據'!$C$2:$C$1000,"khp_titration_mL"))))</f>
        <v/>
      </c>
      <c r="L141" s="25">
        <f>IF($A141="","",IF($C141&lt;&gt;"manual_titration_mL","",IFERROR(INDEX('3_可滴定酸度'!$E$6:$E$13,MATCH($I141,'3_可滴定酸度'!$B$6:$B$13,0)),"")))</f>
        <v/>
      </c>
      <c r="M141" s="25">
        <f>IF($A141="","",IF($C141&lt;&gt;"manual_titration_mL","",IFERROR(INDEX('3_可滴定酸度'!$F$6:$F$13,MATCH($I141,'3_可滴定酸度'!$B$6:$B$13,0)),"")))</f>
        <v/>
      </c>
      <c r="N141" s="24">
        <f>IF($A141="","",IF(OR(K141="",L141="",M141=""),"",K141*E141*L141/(M141*1000)*100))</f>
        <v/>
      </c>
      <c r="O141" s="24">
        <f>IF($A141="","",IF(N141="","",IF(COUNTIFS('1_原始數據'!$A$2:$A$1000,$A141,'1_原始數據'!$B$2:$B$1000,$B141,'1_原始數據'!$D$2:$D$1000,$D141,'1_原始數據'!$I$2:$I$1000,$I141,'1_原始數據'!$C$2:$C$1000,"pasco_pct_acid")=0,"",SUMIFS('1_原始數據'!$E$2:$E$1000,'1_原始數據'!$A$2:$A$1000,$A141,'1_原始數據'!$B$2:$B$1000,$B141,'1_原始數據'!$D$2:$D$1000,$D141,'1_原始數據'!$I$2:$I$1000,$I141,'1_原始數據'!$C$2:$C$1000,"pasco_pct_acid"))))</f>
        <v/>
      </c>
      <c r="P141" s="26">
        <f>IF($A141="","",IF(OR(N141="",O141=""),"",O141-N141))</f>
        <v/>
      </c>
      <c r="Q141" s="24">
        <f>IF($A141="","",IF(P141="","",(O141+N141)/2))</f>
        <v/>
      </c>
      <c r="R141" s="27">
        <f>IF($A141="","",IF(P141="","",COUNT($P$2:P141)))</f>
        <v/>
      </c>
    </row>
    <row r="142">
      <c r="J142" s="24">
        <f>IF($A142="","",IF($C142&lt;&gt;"khp_titration_mL","",IF(COUNTIFS('1_原始數據'!$A$2:$A$1000,$A142,'1_原始數據'!$B$2:$B$1000,$B142,'1_原始數據'!$D$2:$D$1000,$D142,'1_原始數據'!$C$2:$C$1000,"khp_mass_g")=0,"",SUMIFS('1_原始數據'!$E$2:$E$1000,'1_原始數據'!$A$2:$A$1000,$A142,'1_原始數據'!$B$2:$B$1000,$B142,'1_原始數據'!$D$2:$D$1000,$D142,'1_原始數據'!$C$2:$C$1000,"khp_mass_g")/('2_NaOH標定'!$C$5*$E142/1000))))</f>
        <v/>
      </c>
      <c r="K142" s="24">
        <f>IF($A142="","",IF($C142&lt;&gt;"manual_titration_mL","",IF(COUNTIFS('1_原始數據'!$A$2:$A$1000,$A142,'1_原始數據'!$C$2:$C$1000,"khp_titration_mL")=0,"",AVERAGEIFS('1_原始數據'!$J$2:$J$1000,'1_原始數據'!$A$2:$A$1000,$A142,'1_原始數據'!$C$2:$C$1000,"khp_titration_mL"))))</f>
        <v/>
      </c>
      <c r="L142" s="25">
        <f>IF($A142="","",IF($C142&lt;&gt;"manual_titration_mL","",IFERROR(INDEX('3_可滴定酸度'!$E$6:$E$13,MATCH($I142,'3_可滴定酸度'!$B$6:$B$13,0)),"")))</f>
        <v/>
      </c>
      <c r="M142" s="25">
        <f>IF($A142="","",IF($C142&lt;&gt;"manual_titration_mL","",IFERROR(INDEX('3_可滴定酸度'!$F$6:$F$13,MATCH($I142,'3_可滴定酸度'!$B$6:$B$13,0)),"")))</f>
        <v/>
      </c>
      <c r="N142" s="24">
        <f>IF($A142="","",IF(OR(K142="",L142="",M142=""),"",K142*E142*L142/(M142*1000)*100))</f>
        <v/>
      </c>
      <c r="O142" s="24">
        <f>IF($A142="","",IF(N142="","",IF(COUNTIFS('1_原始數據'!$A$2:$A$1000,$A142,'1_原始數據'!$B$2:$B$1000,$B142,'1_原始數據'!$D$2:$D$1000,$D142,'1_原始數據'!$I$2:$I$1000,$I142,'1_原始數據'!$C$2:$C$1000,"pasco_pct_acid")=0,"",SUMIFS('1_原始數據'!$E$2:$E$1000,'1_原始數據'!$A$2:$A$1000,$A142,'1_原始數據'!$B$2:$B$1000,$B142,'1_原始數據'!$D$2:$D$1000,$D142,'1_原始數據'!$I$2:$I$1000,$I142,'1_原始數據'!$C$2:$C$1000,"pasco_pct_acid"))))</f>
        <v/>
      </c>
      <c r="P142" s="26">
        <f>IF($A142="","",IF(OR(N142="",O142=""),"",O142-N142))</f>
        <v/>
      </c>
      <c r="Q142" s="24">
        <f>IF($A142="","",IF(P142="","",(O142+N142)/2))</f>
        <v/>
      </c>
      <c r="R142" s="27">
        <f>IF($A142="","",IF(P142="","",COUNT($P$2:P142)))</f>
        <v/>
      </c>
    </row>
    <row r="143">
      <c r="J143" s="24">
        <f>IF($A143="","",IF($C143&lt;&gt;"khp_titration_mL","",IF(COUNTIFS('1_原始數據'!$A$2:$A$1000,$A143,'1_原始數據'!$B$2:$B$1000,$B143,'1_原始數據'!$D$2:$D$1000,$D143,'1_原始數據'!$C$2:$C$1000,"khp_mass_g")=0,"",SUMIFS('1_原始數據'!$E$2:$E$1000,'1_原始數據'!$A$2:$A$1000,$A143,'1_原始數據'!$B$2:$B$1000,$B143,'1_原始數據'!$D$2:$D$1000,$D143,'1_原始數據'!$C$2:$C$1000,"khp_mass_g")/('2_NaOH標定'!$C$5*$E143/1000))))</f>
        <v/>
      </c>
      <c r="K143" s="24">
        <f>IF($A143="","",IF($C143&lt;&gt;"manual_titration_mL","",IF(COUNTIFS('1_原始數據'!$A$2:$A$1000,$A143,'1_原始數據'!$C$2:$C$1000,"khp_titration_mL")=0,"",AVERAGEIFS('1_原始數據'!$J$2:$J$1000,'1_原始數據'!$A$2:$A$1000,$A143,'1_原始數據'!$C$2:$C$1000,"khp_titration_mL"))))</f>
        <v/>
      </c>
      <c r="L143" s="25">
        <f>IF($A143="","",IF($C143&lt;&gt;"manual_titration_mL","",IFERROR(INDEX('3_可滴定酸度'!$E$6:$E$13,MATCH($I143,'3_可滴定酸度'!$B$6:$B$13,0)),"")))</f>
        <v/>
      </c>
      <c r="M143" s="25">
        <f>IF($A143="","",IF($C143&lt;&gt;"manual_titration_mL","",IFERROR(INDEX('3_可滴定酸度'!$F$6:$F$13,MATCH($I143,'3_可滴定酸度'!$B$6:$B$13,0)),"")))</f>
        <v/>
      </c>
      <c r="N143" s="24">
        <f>IF($A143="","",IF(OR(K143="",L143="",M143=""),"",K143*E143*L143/(M143*1000)*100))</f>
        <v/>
      </c>
      <c r="O143" s="24">
        <f>IF($A143="","",IF(N143="","",IF(COUNTIFS('1_原始數據'!$A$2:$A$1000,$A143,'1_原始數據'!$B$2:$B$1000,$B143,'1_原始數據'!$D$2:$D$1000,$D143,'1_原始數據'!$I$2:$I$1000,$I143,'1_原始數據'!$C$2:$C$1000,"pasco_pct_acid")=0,"",SUMIFS('1_原始數據'!$E$2:$E$1000,'1_原始數據'!$A$2:$A$1000,$A143,'1_原始數據'!$B$2:$B$1000,$B143,'1_原始數據'!$D$2:$D$1000,$D143,'1_原始數據'!$I$2:$I$1000,$I143,'1_原始數據'!$C$2:$C$1000,"pasco_pct_acid"))))</f>
        <v/>
      </c>
      <c r="P143" s="26">
        <f>IF($A143="","",IF(OR(N143="",O143=""),"",O143-N143))</f>
        <v/>
      </c>
      <c r="Q143" s="24">
        <f>IF($A143="","",IF(P143="","",(O143+N143)/2))</f>
        <v/>
      </c>
      <c r="R143" s="27">
        <f>IF($A143="","",IF(P143="","",COUNT($P$2:P143)))</f>
        <v/>
      </c>
    </row>
    <row r="144">
      <c r="J144" s="24">
        <f>IF($A144="","",IF($C144&lt;&gt;"khp_titration_mL","",IF(COUNTIFS('1_原始數據'!$A$2:$A$1000,$A144,'1_原始數據'!$B$2:$B$1000,$B144,'1_原始數據'!$D$2:$D$1000,$D144,'1_原始數據'!$C$2:$C$1000,"khp_mass_g")=0,"",SUMIFS('1_原始數據'!$E$2:$E$1000,'1_原始數據'!$A$2:$A$1000,$A144,'1_原始數據'!$B$2:$B$1000,$B144,'1_原始數據'!$D$2:$D$1000,$D144,'1_原始數據'!$C$2:$C$1000,"khp_mass_g")/('2_NaOH標定'!$C$5*$E144/1000))))</f>
        <v/>
      </c>
      <c r="K144" s="24">
        <f>IF($A144="","",IF($C144&lt;&gt;"manual_titration_mL","",IF(COUNTIFS('1_原始數據'!$A$2:$A$1000,$A144,'1_原始數據'!$C$2:$C$1000,"khp_titration_mL")=0,"",AVERAGEIFS('1_原始數據'!$J$2:$J$1000,'1_原始數據'!$A$2:$A$1000,$A144,'1_原始數據'!$C$2:$C$1000,"khp_titration_mL"))))</f>
        <v/>
      </c>
      <c r="L144" s="25">
        <f>IF($A144="","",IF($C144&lt;&gt;"manual_titration_mL","",IFERROR(INDEX('3_可滴定酸度'!$E$6:$E$13,MATCH($I144,'3_可滴定酸度'!$B$6:$B$13,0)),"")))</f>
        <v/>
      </c>
      <c r="M144" s="25">
        <f>IF($A144="","",IF($C144&lt;&gt;"manual_titration_mL","",IFERROR(INDEX('3_可滴定酸度'!$F$6:$F$13,MATCH($I144,'3_可滴定酸度'!$B$6:$B$13,0)),"")))</f>
        <v/>
      </c>
      <c r="N144" s="24">
        <f>IF($A144="","",IF(OR(K144="",L144="",M144=""),"",K144*E144*L144/(M144*1000)*100))</f>
        <v/>
      </c>
      <c r="O144" s="24">
        <f>IF($A144="","",IF(N144="","",IF(COUNTIFS('1_原始數據'!$A$2:$A$1000,$A144,'1_原始數據'!$B$2:$B$1000,$B144,'1_原始數據'!$D$2:$D$1000,$D144,'1_原始數據'!$I$2:$I$1000,$I144,'1_原始數據'!$C$2:$C$1000,"pasco_pct_acid")=0,"",SUMIFS('1_原始數據'!$E$2:$E$1000,'1_原始數據'!$A$2:$A$1000,$A144,'1_原始數據'!$B$2:$B$1000,$B144,'1_原始數據'!$D$2:$D$1000,$D144,'1_原始數據'!$I$2:$I$1000,$I144,'1_原始數據'!$C$2:$C$1000,"pasco_pct_acid"))))</f>
        <v/>
      </c>
      <c r="P144" s="26">
        <f>IF($A144="","",IF(OR(N144="",O144=""),"",O144-N144))</f>
        <v/>
      </c>
      <c r="Q144" s="24">
        <f>IF($A144="","",IF(P144="","",(O144+N144)/2))</f>
        <v/>
      </c>
      <c r="R144" s="27">
        <f>IF($A144="","",IF(P144="","",COUNT($P$2:P144)))</f>
        <v/>
      </c>
    </row>
    <row r="145">
      <c r="J145" s="24">
        <f>IF($A145="","",IF($C145&lt;&gt;"khp_titration_mL","",IF(COUNTIFS('1_原始數據'!$A$2:$A$1000,$A145,'1_原始數據'!$B$2:$B$1000,$B145,'1_原始數據'!$D$2:$D$1000,$D145,'1_原始數據'!$C$2:$C$1000,"khp_mass_g")=0,"",SUMIFS('1_原始數據'!$E$2:$E$1000,'1_原始數據'!$A$2:$A$1000,$A145,'1_原始數據'!$B$2:$B$1000,$B145,'1_原始數據'!$D$2:$D$1000,$D145,'1_原始數據'!$C$2:$C$1000,"khp_mass_g")/('2_NaOH標定'!$C$5*$E145/1000))))</f>
        <v/>
      </c>
      <c r="K145" s="24">
        <f>IF($A145="","",IF($C145&lt;&gt;"manual_titration_mL","",IF(COUNTIFS('1_原始數據'!$A$2:$A$1000,$A145,'1_原始數據'!$C$2:$C$1000,"khp_titration_mL")=0,"",AVERAGEIFS('1_原始數據'!$J$2:$J$1000,'1_原始數據'!$A$2:$A$1000,$A145,'1_原始數據'!$C$2:$C$1000,"khp_titration_mL"))))</f>
        <v/>
      </c>
      <c r="L145" s="25">
        <f>IF($A145="","",IF($C145&lt;&gt;"manual_titration_mL","",IFERROR(INDEX('3_可滴定酸度'!$E$6:$E$13,MATCH($I145,'3_可滴定酸度'!$B$6:$B$13,0)),"")))</f>
        <v/>
      </c>
      <c r="M145" s="25">
        <f>IF($A145="","",IF($C145&lt;&gt;"manual_titration_mL","",IFERROR(INDEX('3_可滴定酸度'!$F$6:$F$13,MATCH($I145,'3_可滴定酸度'!$B$6:$B$13,0)),"")))</f>
        <v/>
      </c>
      <c r="N145" s="24">
        <f>IF($A145="","",IF(OR(K145="",L145="",M145=""),"",K145*E145*L145/(M145*1000)*100))</f>
        <v/>
      </c>
      <c r="O145" s="24">
        <f>IF($A145="","",IF(N145="","",IF(COUNTIFS('1_原始數據'!$A$2:$A$1000,$A145,'1_原始數據'!$B$2:$B$1000,$B145,'1_原始數據'!$D$2:$D$1000,$D145,'1_原始數據'!$I$2:$I$1000,$I145,'1_原始數據'!$C$2:$C$1000,"pasco_pct_acid")=0,"",SUMIFS('1_原始數據'!$E$2:$E$1000,'1_原始數據'!$A$2:$A$1000,$A145,'1_原始數據'!$B$2:$B$1000,$B145,'1_原始數據'!$D$2:$D$1000,$D145,'1_原始數據'!$I$2:$I$1000,$I145,'1_原始數據'!$C$2:$C$1000,"pasco_pct_acid"))))</f>
        <v/>
      </c>
      <c r="P145" s="26">
        <f>IF($A145="","",IF(OR(N145="",O145=""),"",O145-N145))</f>
        <v/>
      </c>
      <c r="Q145" s="24">
        <f>IF($A145="","",IF(P145="","",(O145+N145)/2))</f>
        <v/>
      </c>
      <c r="R145" s="27">
        <f>IF($A145="","",IF(P145="","",COUNT($P$2:P145)))</f>
        <v/>
      </c>
    </row>
    <row r="146">
      <c r="J146" s="24">
        <f>IF($A146="","",IF($C146&lt;&gt;"khp_titration_mL","",IF(COUNTIFS('1_原始數據'!$A$2:$A$1000,$A146,'1_原始數據'!$B$2:$B$1000,$B146,'1_原始數據'!$D$2:$D$1000,$D146,'1_原始數據'!$C$2:$C$1000,"khp_mass_g")=0,"",SUMIFS('1_原始數據'!$E$2:$E$1000,'1_原始數據'!$A$2:$A$1000,$A146,'1_原始數據'!$B$2:$B$1000,$B146,'1_原始數據'!$D$2:$D$1000,$D146,'1_原始數據'!$C$2:$C$1000,"khp_mass_g")/('2_NaOH標定'!$C$5*$E146/1000))))</f>
        <v/>
      </c>
      <c r="K146" s="24">
        <f>IF($A146="","",IF($C146&lt;&gt;"manual_titration_mL","",IF(COUNTIFS('1_原始數據'!$A$2:$A$1000,$A146,'1_原始數據'!$C$2:$C$1000,"khp_titration_mL")=0,"",AVERAGEIFS('1_原始數據'!$J$2:$J$1000,'1_原始數據'!$A$2:$A$1000,$A146,'1_原始數據'!$C$2:$C$1000,"khp_titration_mL"))))</f>
        <v/>
      </c>
      <c r="L146" s="25">
        <f>IF($A146="","",IF($C146&lt;&gt;"manual_titration_mL","",IFERROR(INDEX('3_可滴定酸度'!$E$6:$E$13,MATCH($I146,'3_可滴定酸度'!$B$6:$B$13,0)),"")))</f>
        <v/>
      </c>
      <c r="M146" s="25">
        <f>IF($A146="","",IF($C146&lt;&gt;"manual_titration_mL","",IFERROR(INDEX('3_可滴定酸度'!$F$6:$F$13,MATCH($I146,'3_可滴定酸度'!$B$6:$B$13,0)),"")))</f>
        <v/>
      </c>
      <c r="N146" s="24">
        <f>IF($A146="","",IF(OR(K146="",L146="",M146=""),"",K146*E146*L146/(M146*1000)*100))</f>
        <v/>
      </c>
      <c r="O146" s="24">
        <f>IF($A146="","",IF(N146="","",IF(COUNTIFS('1_原始數據'!$A$2:$A$1000,$A146,'1_原始數據'!$B$2:$B$1000,$B146,'1_原始數據'!$D$2:$D$1000,$D146,'1_原始數據'!$I$2:$I$1000,$I146,'1_原始數據'!$C$2:$C$1000,"pasco_pct_acid")=0,"",SUMIFS('1_原始數據'!$E$2:$E$1000,'1_原始數據'!$A$2:$A$1000,$A146,'1_原始數據'!$B$2:$B$1000,$B146,'1_原始數據'!$D$2:$D$1000,$D146,'1_原始數據'!$I$2:$I$1000,$I146,'1_原始數據'!$C$2:$C$1000,"pasco_pct_acid"))))</f>
        <v/>
      </c>
      <c r="P146" s="26">
        <f>IF($A146="","",IF(OR(N146="",O146=""),"",O146-N146))</f>
        <v/>
      </c>
      <c r="Q146" s="24">
        <f>IF($A146="","",IF(P146="","",(O146+N146)/2))</f>
        <v/>
      </c>
      <c r="R146" s="27">
        <f>IF($A146="","",IF(P146="","",COUNT($P$2:P146)))</f>
        <v/>
      </c>
    </row>
    <row r="147">
      <c r="J147" s="24">
        <f>IF($A147="","",IF($C147&lt;&gt;"khp_titration_mL","",IF(COUNTIFS('1_原始數據'!$A$2:$A$1000,$A147,'1_原始數據'!$B$2:$B$1000,$B147,'1_原始數據'!$D$2:$D$1000,$D147,'1_原始數據'!$C$2:$C$1000,"khp_mass_g")=0,"",SUMIFS('1_原始數據'!$E$2:$E$1000,'1_原始數據'!$A$2:$A$1000,$A147,'1_原始數據'!$B$2:$B$1000,$B147,'1_原始數據'!$D$2:$D$1000,$D147,'1_原始數據'!$C$2:$C$1000,"khp_mass_g")/('2_NaOH標定'!$C$5*$E147/1000))))</f>
        <v/>
      </c>
      <c r="K147" s="24">
        <f>IF($A147="","",IF($C147&lt;&gt;"manual_titration_mL","",IF(COUNTIFS('1_原始數據'!$A$2:$A$1000,$A147,'1_原始數據'!$C$2:$C$1000,"khp_titration_mL")=0,"",AVERAGEIFS('1_原始數據'!$J$2:$J$1000,'1_原始數據'!$A$2:$A$1000,$A147,'1_原始數據'!$C$2:$C$1000,"khp_titration_mL"))))</f>
        <v/>
      </c>
      <c r="L147" s="25">
        <f>IF($A147="","",IF($C147&lt;&gt;"manual_titration_mL","",IFERROR(INDEX('3_可滴定酸度'!$E$6:$E$13,MATCH($I147,'3_可滴定酸度'!$B$6:$B$13,0)),"")))</f>
        <v/>
      </c>
      <c r="M147" s="25">
        <f>IF($A147="","",IF($C147&lt;&gt;"manual_titration_mL","",IFERROR(INDEX('3_可滴定酸度'!$F$6:$F$13,MATCH($I147,'3_可滴定酸度'!$B$6:$B$13,0)),"")))</f>
        <v/>
      </c>
      <c r="N147" s="24">
        <f>IF($A147="","",IF(OR(K147="",L147="",M147=""),"",K147*E147*L147/(M147*1000)*100))</f>
        <v/>
      </c>
      <c r="O147" s="24">
        <f>IF($A147="","",IF(N147="","",IF(COUNTIFS('1_原始數據'!$A$2:$A$1000,$A147,'1_原始數據'!$B$2:$B$1000,$B147,'1_原始數據'!$D$2:$D$1000,$D147,'1_原始數據'!$I$2:$I$1000,$I147,'1_原始數據'!$C$2:$C$1000,"pasco_pct_acid")=0,"",SUMIFS('1_原始數據'!$E$2:$E$1000,'1_原始數據'!$A$2:$A$1000,$A147,'1_原始數據'!$B$2:$B$1000,$B147,'1_原始數據'!$D$2:$D$1000,$D147,'1_原始數據'!$I$2:$I$1000,$I147,'1_原始數據'!$C$2:$C$1000,"pasco_pct_acid"))))</f>
        <v/>
      </c>
      <c r="P147" s="26">
        <f>IF($A147="","",IF(OR(N147="",O147=""),"",O147-N147))</f>
        <v/>
      </c>
      <c r="Q147" s="24">
        <f>IF($A147="","",IF(P147="","",(O147+N147)/2))</f>
        <v/>
      </c>
      <c r="R147" s="27">
        <f>IF($A147="","",IF(P147="","",COUNT($P$2:P147)))</f>
        <v/>
      </c>
    </row>
    <row r="148">
      <c r="J148" s="24">
        <f>IF($A148="","",IF($C148&lt;&gt;"khp_titration_mL","",IF(COUNTIFS('1_原始數據'!$A$2:$A$1000,$A148,'1_原始數據'!$B$2:$B$1000,$B148,'1_原始數據'!$D$2:$D$1000,$D148,'1_原始數據'!$C$2:$C$1000,"khp_mass_g")=0,"",SUMIFS('1_原始數據'!$E$2:$E$1000,'1_原始數據'!$A$2:$A$1000,$A148,'1_原始數據'!$B$2:$B$1000,$B148,'1_原始數據'!$D$2:$D$1000,$D148,'1_原始數據'!$C$2:$C$1000,"khp_mass_g")/('2_NaOH標定'!$C$5*$E148/1000))))</f>
        <v/>
      </c>
      <c r="K148" s="24">
        <f>IF($A148="","",IF($C148&lt;&gt;"manual_titration_mL","",IF(COUNTIFS('1_原始數據'!$A$2:$A$1000,$A148,'1_原始數據'!$C$2:$C$1000,"khp_titration_mL")=0,"",AVERAGEIFS('1_原始數據'!$J$2:$J$1000,'1_原始數據'!$A$2:$A$1000,$A148,'1_原始數據'!$C$2:$C$1000,"khp_titration_mL"))))</f>
        <v/>
      </c>
      <c r="L148" s="25">
        <f>IF($A148="","",IF($C148&lt;&gt;"manual_titration_mL","",IFERROR(INDEX('3_可滴定酸度'!$E$6:$E$13,MATCH($I148,'3_可滴定酸度'!$B$6:$B$13,0)),"")))</f>
        <v/>
      </c>
      <c r="M148" s="25">
        <f>IF($A148="","",IF($C148&lt;&gt;"manual_titration_mL","",IFERROR(INDEX('3_可滴定酸度'!$F$6:$F$13,MATCH($I148,'3_可滴定酸度'!$B$6:$B$13,0)),"")))</f>
        <v/>
      </c>
      <c r="N148" s="24">
        <f>IF($A148="","",IF(OR(K148="",L148="",M148=""),"",K148*E148*L148/(M148*1000)*100))</f>
        <v/>
      </c>
      <c r="O148" s="24">
        <f>IF($A148="","",IF(N148="","",IF(COUNTIFS('1_原始數據'!$A$2:$A$1000,$A148,'1_原始數據'!$B$2:$B$1000,$B148,'1_原始數據'!$D$2:$D$1000,$D148,'1_原始數據'!$I$2:$I$1000,$I148,'1_原始數據'!$C$2:$C$1000,"pasco_pct_acid")=0,"",SUMIFS('1_原始數據'!$E$2:$E$1000,'1_原始數據'!$A$2:$A$1000,$A148,'1_原始數據'!$B$2:$B$1000,$B148,'1_原始數據'!$D$2:$D$1000,$D148,'1_原始數據'!$I$2:$I$1000,$I148,'1_原始數據'!$C$2:$C$1000,"pasco_pct_acid"))))</f>
        <v/>
      </c>
      <c r="P148" s="26">
        <f>IF($A148="","",IF(OR(N148="",O148=""),"",O148-N148))</f>
        <v/>
      </c>
      <c r="Q148" s="24">
        <f>IF($A148="","",IF(P148="","",(O148+N148)/2))</f>
        <v/>
      </c>
      <c r="R148" s="27">
        <f>IF($A148="","",IF(P148="","",COUNT($P$2:P148)))</f>
        <v/>
      </c>
    </row>
    <row r="149">
      <c r="J149" s="24">
        <f>IF($A149="","",IF($C149&lt;&gt;"khp_titration_mL","",IF(COUNTIFS('1_原始數據'!$A$2:$A$1000,$A149,'1_原始數據'!$B$2:$B$1000,$B149,'1_原始數據'!$D$2:$D$1000,$D149,'1_原始數據'!$C$2:$C$1000,"khp_mass_g")=0,"",SUMIFS('1_原始數據'!$E$2:$E$1000,'1_原始數據'!$A$2:$A$1000,$A149,'1_原始數據'!$B$2:$B$1000,$B149,'1_原始數據'!$D$2:$D$1000,$D149,'1_原始數據'!$C$2:$C$1000,"khp_mass_g")/('2_NaOH標定'!$C$5*$E149/1000))))</f>
        <v/>
      </c>
      <c r="K149" s="24">
        <f>IF($A149="","",IF($C149&lt;&gt;"manual_titration_mL","",IF(COUNTIFS('1_原始數據'!$A$2:$A$1000,$A149,'1_原始數據'!$C$2:$C$1000,"khp_titration_mL")=0,"",AVERAGEIFS('1_原始數據'!$J$2:$J$1000,'1_原始數據'!$A$2:$A$1000,$A149,'1_原始數據'!$C$2:$C$1000,"khp_titration_mL"))))</f>
        <v/>
      </c>
      <c r="L149" s="25">
        <f>IF($A149="","",IF($C149&lt;&gt;"manual_titration_mL","",IFERROR(INDEX('3_可滴定酸度'!$E$6:$E$13,MATCH($I149,'3_可滴定酸度'!$B$6:$B$13,0)),"")))</f>
        <v/>
      </c>
      <c r="M149" s="25">
        <f>IF($A149="","",IF($C149&lt;&gt;"manual_titration_mL","",IFERROR(INDEX('3_可滴定酸度'!$F$6:$F$13,MATCH($I149,'3_可滴定酸度'!$B$6:$B$13,0)),"")))</f>
        <v/>
      </c>
      <c r="N149" s="24">
        <f>IF($A149="","",IF(OR(K149="",L149="",M149=""),"",K149*E149*L149/(M149*1000)*100))</f>
        <v/>
      </c>
      <c r="O149" s="24">
        <f>IF($A149="","",IF(N149="","",IF(COUNTIFS('1_原始數據'!$A$2:$A$1000,$A149,'1_原始數據'!$B$2:$B$1000,$B149,'1_原始數據'!$D$2:$D$1000,$D149,'1_原始數據'!$I$2:$I$1000,$I149,'1_原始數據'!$C$2:$C$1000,"pasco_pct_acid")=0,"",SUMIFS('1_原始數據'!$E$2:$E$1000,'1_原始數據'!$A$2:$A$1000,$A149,'1_原始數據'!$B$2:$B$1000,$B149,'1_原始數據'!$D$2:$D$1000,$D149,'1_原始數據'!$I$2:$I$1000,$I149,'1_原始數據'!$C$2:$C$1000,"pasco_pct_acid"))))</f>
        <v/>
      </c>
      <c r="P149" s="26">
        <f>IF($A149="","",IF(OR(N149="",O149=""),"",O149-N149))</f>
        <v/>
      </c>
      <c r="Q149" s="24">
        <f>IF($A149="","",IF(P149="","",(O149+N149)/2))</f>
        <v/>
      </c>
      <c r="R149" s="27">
        <f>IF($A149="","",IF(P149="","",COUNT($P$2:P149)))</f>
        <v/>
      </c>
    </row>
    <row r="150">
      <c r="J150" s="24">
        <f>IF($A150="","",IF($C150&lt;&gt;"khp_titration_mL","",IF(COUNTIFS('1_原始數據'!$A$2:$A$1000,$A150,'1_原始數據'!$B$2:$B$1000,$B150,'1_原始數據'!$D$2:$D$1000,$D150,'1_原始數據'!$C$2:$C$1000,"khp_mass_g")=0,"",SUMIFS('1_原始數據'!$E$2:$E$1000,'1_原始數據'!$A$2:$A$1000,$A150,'1_原始數據'!$B$2:$B$1000,$B150,'1_原始數據'!$D$2:$D$1000,$D150,'1_原始數據'!$C$2:$C$1000,"khp_mass_g")/('2_NaOH標定'!$C$5*$E150/1000))))</f>
        <v/>
      </c>
      <c r="K150" s="24">
        <f>IF($A150="","",IF($C150&lt;&gt;"manual_titration_mL","",IF(COUNTIFS('1_原始數據'!$A$2:$A$1000,$A150,'1_原始數據'!$C$2:$C$1000,"khp_titration_mL")=0,"",AVERAGEIFS('1_原始數據'!$J$2:$J$1000,'1_原始數據'!$A$2:$A$1000,$A150,'1_原始數據'!$C$2:$C$1000,"khp_titration_mL"))))</f>
        <v/>
      </c>
      <c r="L150" s="25">
        <f>IF($A150="","",IF($C150&lt;&gt;"manual_titration_mL","",IFERROR(INDEX('3_可滴定酸度'!$E$6:$E$13,MATCH($I150,'3_可滴定酸度'!$B$6:$B$13,0)),"")))</f>
        <v/>
      </c>
      <c r="M150" s="25">
        <f>IF($A150="","",IF($C150&lt;&gt;"manual_titration_mL","",IFERROR(INDEX('3_可滴定酸度'!$F$6:$F$13,MATCH($I150,'3_可滴定酸度'!$B$6:$B$13,0)),"")))</f>
        <v/>
      </c>
      <c r="N150" s="24">
        <f>IF($A150="","",IF(OR(K150="",L150="",M150=""),"",K150*E150*L150/(M150*1000)*100))</f>
        <v/>
      </c>
      <c r="O150" s="24">
        <f>IF($A150="","",IF(N150="","",IF(COUNTIFS('1_原始數據'!$A$2:$A$1000,$A150,'1_原始數據'!$B$2:$B$1000,$B150,'1_原始數據'!$D$2:$D$1000,$D150,'1_原始數據'!$I$2:$I$1000,$I150,'1_原始數據'!$C$2:$C$1000,"pasco_pct_acid")=0,"",SUMIFS('1_原始數據'!$E$2:$E$1000,'1_原始數據'!$A$2:$A$1000,$A150,'1_原始數據'!$B$2:$B$1000,$B150,'1_原始數據'!$D$2:$D$1000,$D150,'1_原始數據'!$I$2:$I$1000,$I150,'1_原始數據'!$C$2:$C$1000,"pasco_pct_acid"))))</f>
        <v/>
      </c>
      <c r="P150" s="26">
        <f>IF($A150="","",IF(OR(N150="",O150=""),"",O150-N150))</f>
        <v/>
      </c>
      <c r="Q150" s="24">
        <f>IF($A150="","",IF(P150="","",(O150+N150)/2))</f>
        <v/>
      </c>
      <c r="R150" s="27">
        <f>IF($A150="","",IF(P150="","",COUNT($P$2:P150)))</f>
        <v/>
      </c>
    </row>
    <row r="151">
      <c r="J151" s="24">
        <f>IF($A151="","",IF($C151&lt;&gt;"khp_titration_mL","",IF(COUNTIFS('1_原始數據'!$A$2:$A$1000,$A151,'1_原始數據'!$B$2:$B$1000,$B151,'1_原始數據'!$D$2:$D$1000,$D151,'1_原始數據'!$C$2:$C$1000,"khp_mass_g")=0,"",SUMIFS('1_原始數據'!$E$2:$E$1000,'1_原始數據'!$A$2:$A$1000,$A151,'1_原始數據'!$B$2:$B$1000,$B151,'1_原始數據'!$D$2:$D$1000,$D151,'1_原始數據'!$C$2:$C$1000,"khp_mass_g")/('2_NaOH標定'!$C$5*$E151/1000))))</f>
        <v/>
      </c>
      <c r="K151" s="24">
        <f>IF($A151="","",IF($C151&lt;&gt;"manual_titration_mL","",IF(COUNTIFS('1_原始數據'!$A$2:$A$1000,$A151,'1_原始數據'!$C$2:$C$1000,"khp_titration_mL")=0,"",AVERAGEIFS('1_原始數據'!$J$2:$J$1000,'1_原始數據'!$A$2:$A$1000,$A151,'1_原始數據'!$C$2:$C$1000,"khp_titration_mL"))))</f>
        <v/>
      </c>
      <c r="L151" s="25">
        <f>IF($A151="","",IF($C151&lt;&gt;"manual_titration_mL","",IFERROR(INDEX('3_可滴定酸度'!$E$6:$E$13,MATCH($I151,'3_可滴定酸度'!$B$6:$B$13,0)),"")))</f>
        <v/>
      </c>
      <c r="M151" s="25">
        <f>IF($A151="","",IF($C151&lt;&gt;"manual_titration_mL","",IFERROR(INDEX('3_可滴定酸度'!$F$6:$F$13,MATCH($I151,'3_可滴定酸度'!$B$6:$B$13,0)),"")))</f>
        <v/>
      </c>
      <c r="N151" s="24">
        <f>IF($A151="","",IF(OR(K151="",L151="",M151=""),"",K151*E151*L151/(M151*1000)*100))</f>
        <v/>
      </c>
      <c r="O151" s="24">
        <f>IF($A151="","",IF(N151="","",IF(COUNTIFS('1_原始數據'!$A$2:$A$1000,$A151,'1_原始數據'!$B$2:$B$1000,$B151,'1_原始數據'!$D$2:$D$1000,$D151,'1_原始數據'!$I$2:$I$1000,$I151,'1_原始數據'!$C$2:$C$1000,"pasco_pct_acid")=0,"",SUMIFS('1_原始數據'!$E$2:$E$1000,'1_原始數據'!$A$2:$A$1000,$A151,'1_原始數據'!$B$2:$B$1000,$B151,'1_原始數據'!$D$2:$D$1000,$D151,'1_原始數據'!$I$2:$I$1000,$I151,'1_原始數據'!$C$2:$C$1000,"pasco_pct_acid"))))</f>
        <v/>
      </c>
      <c r="P151" s="26">
        <f>IF($A151="","",IF(OR(N151="",O151=""),"",O151-N151))</f>
        <v/>
      </c>
      <c r="Q151" s="24">
        <f>IF($A151="","",IF(P151="","",(O151+N151)/2))</f>
        <v/>
      </c>
      <c r="R151" s="27">
        <f>IF($A151="","",IF(P151="","",COUNT($P$2:P151)))</f>
        <v/>
      </c>
    </row>
    <row r="152">
      <c r="J152" s="24">
        <f>IF($A152="","",IF($C152&lt;&gt;"khp_titration_mL","",IF(COUNTIFS('1_原始數據'!$A$2:$A$1000,$A152,'1_原始數據'!$B$2:$B$1000,$B152,'1_原始數據'!$D$2:$D$1000,$D152,'1_原始數據'!$C$2:$C$1000,"khp_mass_g")=0,"",SUMIFS('1_原始數據'!$E$2:$E$1000,'1_原始數據'!$A$2:$A$1000,$A152,'1_原始數據'!$B$2:$B$1000,$B152,'1_原始數據'!$D$2:$D$1000,$D152,'1_原始數據'!$C$2:$C$1000,"khp_mass_g")/('2_NaOH標定'!$C$5*$E152/1000))))</f>
        <v/>
      </c>
      <c r="K152" s="24">
        <f>IF($A152="","",IF($C152&lt;&gt;"manual_titration_mL","",IF(COUNTIFS('1_原始數據'!$A$2:$A$1000,$A152,'1_原始數據'!$C$2:$C$1000,"khp_titration_mL")=0,"",AVERAGEIFS('1_原始數據'!$J$2:$J$1000,'1_原始數據'!$A$2:$A$1000,$A152,'1_原始數據'!$C$2:$C$1000,"khp_titration_mL"))))</f>
        <v/>
      </c>
      <c r="L152" s="25">
        <f>IF($A152="","",IF($C152&lt;&gt;"manual_titration_mL","",IFERROR(INDEX('3_可滴定酸度'!$E$6:$E$13,MATCH($I152,'3_可滴定酸度'!$B$6:$B$13,0)),"")))</f>
        <v/>
      </c>
      <c r="M152" s="25">
        <f>IF($A152="","",IF($C152&lt;&gt;"manual_titration_mL","",IFERROR(INDEX('3_可滴定酸度'!$F$6:$F$13,MATCH($I152,'3_可滴定酸度'!$B$6:$B$13,0)),"")))</f>
        <v/>
      </c>
      <c r="N152" s="24">
        <f>IF($A152="","",IF(OR(K152="",L152="",M152=""),"",K152*E152*L152/(M152*1000)*100))</f>
        <v/>
      </c>
      <c r="O152" s="24">
        <f>IF($A152="","",IF(N152="","",IF(COUNTIFS('1_原始數據'!$A$2:$A$1000,$A152,'1_原始數據'!$B$2:$B$1000,$B152,'1_原始數據'!$D$2:$D$1000,$D152,'1_原始數據'!$I$2:$I$1000,$I152,'1_原始數據'!$C$2:$C$1000,"pasco_pct_acid")=0,"",SUMIFS('1_原始數據'!$E$2:$E$1000,'1_原始數據'!$A$2:$A$1000,$A152,'1_原始數據'!$B$2:$B$1000,$B152,'1_原始數據'!$D$2:$D$1000,$D152,'1_原始數據'!$I$2:$I$1000,$I152,'1_原始數據'!$C$2:$C$1000,"pasco_pct_acid"))))</f>
        <v/>
      </c>
      <c r="P152" s="26">
        <f>IF($A152="","",IF(OR(N152="",O152=""),"",O152-N152))</f>
        <v/>
      </c>
      <c r="Q152" s="24">
        <f>IF($A152="","",IF(P152="","",(O152+N152)/2))</f>
        <v/>
      </c>
      <c r="R152" s="27">
        <f>IF($A152="","",IF(P152="","",COUNT($P$2:P152)))</f>
        <v/>
      </c>
    </row>
    <row r="153">
      <c r="J153" s="24">
        <f>IF($A153="","",IF($C153&lt;&gt;"khp_titration_mL","",IF(COUNTIFS('1_原始數據'!$A$2:$A$1000,$A153,'1_原始數據'!$B$2:$B$1000,$B153,'1_原始數據'!$D$2:$D$1000,$D153,'1_原始數據'!$C$2:$C$1000,"khp_mass_g")=0,"",SUMIFS('1_原始數據'!$E$2:$E$1000,'1_原始數據'!$A$2:$A$1000,$A153,'1_原始數據'!$B$2:$B$1000,$B153,'1_原始數據'!$D$2:$D$1000,$D153,'1_原始數據'!$C$2:$C$1000,"khp_mass_g")/('2_NaOH標定'!$C$5*$E153/1000))))</f>
        <v/>
      </c>
      <c r="K153" s="24">
        <f>IF($A153="","",IF($C153&lt;&gt;"manual_titration_mL","",IF(COUNTIFS('1_原始數據'!$A$2:$A$1000,$A153,'1_原始數據'!$C$2:$C$1000,"khp_titration_mL")=0,"",AVERAGEIFS('1_原始數據'!$J$2:$J$1000,'1_原始數據'!$A$2:$A$1000,$A153,'1_原始數據'!$C$2:$C$1000,"khp_titration_mL"))))</f>
        <v/>
      </c>
      <c r="L153" s="25">
        <f>IF($A153="","",IF($C153&lt;&gt;"manual_titration_mL","",IFERROR(INDEX('3_可滴定酸度'!$E$6:$E$13,MATCH($I153,'3_可滴定酸度'!$B$6:$B$13,0)),"")))</f>
        <v/>
      </c>
      <c r="M153" s="25">
        <f>IF($A153="","",IF($C153&lt;&gt;"manual_titration_mL","",IFERROR(INDEX('3_可滴定酸度'!$F$6:$F$13,MATCH($I153,'3_可滴定酸度'!$B$6:$B$13,0)),"")))</f>
        <v/>
      </c>
      <c r="N153" s="24">
        <f>IF($A153="","",IF(OR(K153="",L153="",M153=""),"",K153*E153*L153/(M153*1000)*100))</f>
        <v/>
      </c>
      <c r="O153" s="24">
        <f>IF($A153="","",IF(N153="","",IF(COUNTIFS('1_原始數據'!$A$2:$A$1000,$A153,'1_原始數據'!$B$2:$B$1000,$B153,'1_原始數據'!$D$2:$D$1000,$D153,'1_原始數據'!$I$2:$I$1000,$I153,'1_原始數據'!$C$2:$C$1000,"pasco_pct_acid")=0,"",SUMIFS('1_原始數據'!$E$2:$E$1000,'1_原始數據'!$A$2:$A$1000,$A153,'1_原始數據'!$B$2:$B$1000,$B153,'1_原始數據'!$D$2:$D$1000,$D153,'1_原始數據'!$I$2:$I$1000,$I153,'1_原始數據'!$C$2:$C$1000,"pasco_pct_acid"))))</f>
        <v/>
      </c>
      <c r="P153" s="26">
        <f>IF($A153="","",IF(OR(N153="",O153=""),"",O153-N153))</f>
        <v/>
      </c>
      <c r="Q153" s="24">
        <f>IF($A153="","",IF(P153="","",(O153+N153)/2))</f>
        <v/>
      </c>
      <c r="R153" s="27">
        <f>IF($A153="","",IF(P153="","",COUNT($P$2:P153)))</f>
        <v/>
      </c>
    </row>
    <row r="154">
      <c r="J154" s="24">
        <f>IF($A154="","",IF($C154&lt;&gt;"khp_titration_mL","",IF(COUNTIFS('1_原始數據'!$A$2:$A$1000,$A154,'1_原始數據'!$B$2:$B$1000,$B154,'1_原始數據'!$D$2:$D$1000,$D154,'1_原始數據'!$C$2:$C$1000,"khp_mass_g")=0,"",SUMIFS('1_原始數據'!$E$2:$E$1000,'1_原始數據'!$A$2:$A$1000,$A154,'1_原始數據'!$B$2:$B$1000,$B154,'1_原始數據'!$D$2:$D$1000,$D154,'1_原始數據'!$C$2:$C$1000,"khp_mass_g")/('2_NaOH標定'!$C$5*$E154/1000))))</f>
        <v/>
      </c>
      <c r="K154" s="24">
        <f>IF($A154="","",IF($C154&lt;&gt;"manual_titration_mL","",IF(COUNTIFS('1_原始數據'!$A$2:$A$1000,$A154,'1_原始數據'!$C$2:$C$1000,"khp_titration_mL")=0,"",AVERAGEIFS('1_原始數據'!$J$2:$J$1000,'1_原始數據'!$A$2:$A$1000,$A154,'1_原始數據'!$C$2:$C$1000,"khp_titration_mL"))))</f>
        <v/>
      </c>
      <c r="L154" s="25">
        <f>IF($A154="","",IF($C154&lt;&gt;"manual_titration_mL","",IFERROR(INDEX('3_可滴定酸度'!$E$6:$E$13,MATCH($I154,'3_可滴定酸度'!$B$6:$B$13,0)),"")))</f>
        <v/>
      </c>
      <c r="M154" s="25">
        <f>IF($A154="","",IF($C154&lt;&gt;"manual_titration_mL","",IFERROR(INDEX('3_可滴定酸度'!$F$6:$F$13,MATCH($I154,'3_可滴定酸度'!$B$6:$B$13,0)),"")))</f>
        <v/>
      </c>
      <c r="N154" s="24">
        <f>IF($A154="","",IF(OR(K154="",L154="",M154=""),"",K154*E154*L154/(M154*1000)*100))</f>
        <v/>
      </c>
      <c r="O154" s="24">
        <f>IF($A154="","",IF(N154="","",IF(COUNTIFS('1_原始數據'!$A$2:$A$1000,$A154,'1_原始數據'!$B$2:$B$1000,$B154,'1_原始數據'!$D$2:$D$1000,$D154,'1_原始數據'!$I$2:$I$1000,$I154,'1_原始數據'!$C$2:$C$1000,"pasco_pct_acid")=0,"",SUMIFS('1_原始數據'!$E$2:$E$1000,'1_原始數據'!$A$2:$A$1000,$A154,'1_原始數據'!$B$2:$B$1000,$B154,'1_原始數據'!$D$2:$D$1000,$D154,'1_原始數據'!$I$2:$I$1000,$I154,'1_原始數據'!$C$2:$C$1000,"pasco_pct_acid"))))</f>
        <v/>
      </c>
      <c r="P154" s="26">
        <f>IF($A154="","",IF(OR(N154="",O154=""),"",O154-N154))</f>
        <v/>
      </c>
      <c r="Q154" s="24">
        <f>IF($A154="","",IF(P154="","",(O154+N154)/2))</f>
        <v/>
      </c>
      <c r="R154" s="27">
        <f>IF($A154="","",IF(P154="","",COUNT($P$2:P154)))</f>
        <v/>
      </c>
    </row>
    <row r="155">
      <c r="J155" s="24">
        <f>IF($A155="","",IF($C155&lt;&gt;"khp_titration_mL","",IF(COUNTIFS('1_原始數據'!$A$2:$A$1000,$A155,'1_原始數據'!$B$2:$B$1000,$B155,'1_原始數據'!$D$2:$D$1000,$D155,'1_原始數據'!$C$2:$C$1000,"khp_mass_g")=0,"",SUMIFS('1_原始數據'!$E$2:$E$1000,'1_原始數據'!$A$2:$A$1000,$A155,'1_原始數據'!$B$2:$B$1000,$B155,'1_原始數據'!$D$2:$D$1000,$D155,'1_原始數據'!$C$2:$C$1000,"khp_mass_g")/('2_NaOH標定'!$C$5*$E155/1000))))</f>
        <v/>
      </c>
      <c r="K155" s="24">
        <f>IF($A155="","",IF($C155&lt;&gt;"manual_titration_mL","",IF(COUNTIFS('1_原始數據'!$A$2:$A$1000,$A155,'1_原始數據'!$C$2:$C$1000,"khp_titration_mL")=0,"",AVERAGEIFS('1_原始數據'!$J$2:$J$1000,'1_原始數據'!$A$2:$A$1000,$A155,'1_原始數據'!$C$2:$C$1000,"khp_titration_mL"))))</f>
        <v/>
      </c>
      <c r="L155" s="25">
        <f>IF($A155="","",IF($C155&lt;&gt;"manual_titration_mL","",IFERROR(INDEX('3_可滴定酸度'!$E$6:$E$13,MATCH($I155,'3_可滴定酸度'!$B$6:$B$13,0)),"")))</f>
        <v/>
      </c>
      <c r="M155" s="25">
        <f>IF($A155="","",IF($C155&lt;&gt;"manual_titration_mL","",IFERROR(INDEX('3_可滴定酸度'!$F$6:$F$13,MATCH($I155,'3_可滴定酸度'!$B$6:$B$13,0)),"")))</f>
        <v/>
      </c>
      <c r="N155" s="24">
        <f>IF($A155="","",IF(OR(K155="",L155="",M155=""),"",K155*E155*L155/(M155*1000)*100))</f>
        <v/>
      </c>
      <c r="O155" s="24">
        <f>IF($A155="","",IF(N155="","",IF(COUNTIFS('1_原始數據'!$A$2:$A$1000,$A155,'1_原始數據'!$B$2:$B$1000,$B155,'1_原始數據'!$D$2:$D$1000,$D155,'1_原始數據'!$I$2:$I$1000,$I155,'1_原始數據'!$C$2:$C$1000,"pasco_pct_acid")=0,"",SUMIFS('1_原始數據'!$E$2:$E$1000,'1_原始數據'!$A$2:$A$1000,$A155,'1_原始數據'!$B$2:$B$1000,$B155,'1_原始數據'!$D$2:$D$1000,$D155,'1_原始數據'!$I$2:$I$1000,$I155,'1_原始數據'!$C$2:$C$1000,"pasco_pct_acid"))))</f>
        <v/>
      </c>
      <c r="P155" s="26">
        <f>IF($A155="","",IF(OR(N155="",O155=""),"",O155-N155))</f>
        <v/>
      </c>
      <c r="Q155" s="24">
        <f>IF($A155="","",IF(P155="","",(O155+N155)/2))</f>
        <v/>
      </c>
      <c r="R155" s="27">
        <f>IF($A155="","",IF(P155="","",COUNT($P$2:P155)))</f>
        <v/>
      </c>
    </row>
    <row r="156">
      <c r="J156" s="24">
        <f>IF($A156="","",IF($C156&lt;&gt;"khp_titration_mL","",IF(COUNTIFS('1_原始數據'!$A$2:$A$1000,$A156,'1_原始數據'!$B$2:$B$1000,$B156,'1_原始數據'!$D$2:$D$1000,$D156,'1_原始數據'!$C$2:$C$1000,"khp_mass_g")=0,"",SUMIFS('1_原始數據'!$E$2:$E$1000,'1_原始數據'!$A$2:$A$1000,$A156,'1_原始數據'!$B$2:$B$1000,$B156,'1_原始數據'!$D$2:$D$1000,$D156,'1_原始數據'!$C$2:$C$1000,"khp_mass_g")/('2_NaOH標定'!$C$5*$E156/1000))))</f>
        <v/>
      </c>
      <c r="K156" s="24">
        <f>IF($A156="","",IF($C156&lt;&gt;"manual_titration_mL","",IF(COUNTIFS('1_原始數據'!$A$2:$A$1000,$A156,'1_原始數據'!$C$2:$C$1000,"khp_titration_mL")=0,"",AVERAGEIFS('1_原始數據'!$J$2:$J$1000,'1_原始數據'!$A$2:$A$1000,$A156,'1_原始數據'!$C$2:$C$1000,"khp_titration_mL"))))</f>
        <v/>
      </c>
      <c r="L156" s="25">
        <f>IF($A156="","",IF($C156&lt;&gt;"manual_titration_mL","",IFERROR(INDEX('3_可滴定酸度'!$E$6:$E$13,MATCH($I156,'3_可滴定酸度'!$B$6:$B$13,0)),"")))</f>
        <v/>
      </c>
      <c r="M156" s="25">
        <f>IF($A156="","",IF($C156&lt;&gt;"manual_titration_mL","",IFERROR(INDEX('3_可滴定酸度'!$F$6:$F$13,MATCH($I156,'3_可滴定酸度'!$B$6:$B$13,0)),"")))</f>
        <v/>
      </c>
      <c r="N156" s="24">
        <f>IF($A156="","",IF(OR(K156="",L156="",M156=""),"",K156*E156*L156/(M156*1000)*100))</f>
        <v/>
      </c>
      <c r="O156" s="24">
        <f>IF($A156="","",IF(N156="","",IF(COUNTIFS('1_原始數據'!$A$2:$A$1000,$A156,'1_原始數據'!$B$2:$B$1000,$B156,'1_原始數據'!$D$2:$D$1000,$D156,'1_原始數據'!$I$2:$I$1000,$I156,'1_原始數據'!$C$2:$C$1000,"pasco_pct_acid")=0,"",SUMIFS('1_原始數據'!$E$2:$E$1000,'1_原始數據'!$A$2:$A$1000,$A156,'1_原始數據'!$B$2:$B$1000,$B156,'1_原始數據'!$D$2:$D$1000,$D156,'1_原始數據'!$I$2:$I$1000,$I156,'1_原始數據'!$C$2:$C$1000,"pasco_pct_acid"))))</f>
        <v/>
      </c>
      <c r="P156" s="26">
        <f>IF($A156="","",IF(OR(N156="",O156=""),"",O156-N156))</f>
        <v/>
      </c>
      <c r="Q156" s="24">
        <f>IF($A156="","",IF(P156="","",(O156+N156)/2))</f>
        <v/>
      </c>
      <c r="R156" s="27">
        <f>IF($A156="","",IF(P156="","",COUNT($P$2:P156)))</f>
        <v/>
      </c>
    </row>
    <row r="157">
      <c r="J157" s="24">
        <f>IF($A157="","",IF($C157&lt;&gt;"khp_titration_mL","",IF(COUNTIFS('1_原始數據'!$A$2:$A$1000,$A157,'1_原始數據'!$B$2:$B$1000,$B157,'1_原始數據'!$D$2:$D$1000,$D157,'1_原始數據'!$C$2:$C$1000,"khp_mass_g")=0,"",SUMIFS('1_原始數據'!$E$2:$E$1000,'1_原始數據'!$A$2:$A$1000,$A157,'1_原始數據'!$B$2:$B$1000,$B157,'1_原始數據'!$D$2:$D$1000,$D157,'1_原始數據'!$C$2:$C$1000,"khp_mass_g")/('2_NaOH標定'!$C$5*$E157/1000))))</f>
        <v/>
      </c>
      <c r="K157" s="24">
        <f>IF($A157="","",IF($C157&lt;&gt;"manual_titration_mL","",IF(COUNTIFS('1_原始數據'!$A$2:$A$1000,$A157,'1_原始數據'!$C$2:$C$1000,"khp_titration_mL")=0,"",AVERAGEIFS('1_原始數據'!$J$2:$J$1000,'1_原始數據'!$A$2:$A$1000,$A157,'1_原始數據'!$C$2:$C$1000,"khp_titration_mL"))))</f>
        <v/>
      </c>
      <c r="L157" s="25">
        <f>IF($A157="","",IF($C157&lt;&gt;"manual_titration_mL","",IFERROR(INDEX('3_可滴定酸度'!$E$6:$E$13,MATCH($I157,'3_可滴定酸度'!$B$6:$B$13,0)),"")))</f>
        <v/>
      </c>
      <c r="M157" s="25">
        <f>IF($A157="","",IF($C157&lt;&gt;"manual_titration_mL","",IFERROR(INDEX('3_可滴定酸度'!$F$6:$F$13,MATCH($I157,'3_可滴定酸度'!$B$6:$B$13,0)),"")))</f>
        <v/>
      </c>
      <c r="N157" s="24">
        <f>IF($A157="","",IF(OR(K157="",L157="",M157=""),"",K157*E157*L157/(M157*1000)*100))</f>
        <v/>
      </c>
      <c r="O157" s="24">
        <f>IF($A157="","",IF(N157="","",IF(COUNTIFS('1_原始數據'!$A$2:$A$1000,$A157,'1_原始數據'!$B$2:$B$1000,$B157,'1_原始數據'!$D$2:$D$1000,$D157,'1_原始數據'!$I$2:$I$1000,$I157,'1_原始數據'!$C$2:$C$1000,"pasco_pct_acid")=0,"",SUMIFS('1_原始數據'!$E$2:$E$1000,'1_原始數據'!$A$2:$A$1000,$A157,'1_原始數據'!$B$2:$B$1000,$B157,'1_原始數據'!$D$2:$D$1000,$D157,'1_原始數據'!$I$2:$I$1000,$I157,'1_原始數據'!$C$2:$C$1000,"pasco_pct_acid"))))</f>
        <v/>
      </c>
      <c r="P157" s="26">
        <f>IF($A157="","",IF(OR(N157="",O157=""),"",O157-N157))</f>
        <v/>
      </c>
      <c r="Q157" s="24">
        <f>IF($A157="","",IF(P157="","",(O157+N157)/2))</f>
        <v/>
      </c>
      <c r="R157" s="27">
        <f>IF($A157="","",IF(P157="","",COUNT($P$2:P157)))</f>
        <v/>
      </c>
    </row>
    <row r="158">
      <c r="J158" s="24">
        <f>IF($A158="","",IF($C158&lt;&gt;"khp_titration_mL","",IF(COUNTIFS('1_原始數據'!$A$2:$A$1000,$A158,'1_原始數據'!$B$2:$B$1000,$B158,'1_原始數據'!$D$2:$D$1000,$D158,'1_原始數據'!$C$2:$C$1000,"khp_mass_g")=0,"",SUMIFS('1_原始數據'!$E$2:$E$1000,'1_原始數據'!$A$2:$A$1000,$A158,'1_原始數據'!$B$2:$B$1000,$B158,'1_原始數據'!$D$2:$D$1000,$D158,'1_原始數據'!$C$2:$C$1000,"khp_mass_g")/('2_NaOH標定'!$C$5*$E158/1000))))</f>
        <v/>
      </c>
      <c r="K158" s="24">
        <f>IF($A158="","",IF($C158&lt;&gt;"manual_titration_mL","",IF(COUNTIFS('1_原始數據'!$A$2:$A$1000,$A158,'1_原始數據'!$C$2:$C$1000,"khp_titration_mL")=0,"",AVERAGEIFS('1_原始數據'!$J$2:$J$1000,'1_原始數據'!$A$2:$A$1000,$A158,'1_原始數據'!$C$2:$C$1000,"khp_titration_mL"))))</f>
        <v/>
      </c>
      <c r="L158" s="25">
        <f>IF($A158="","",IF($C158&lt;&gt;"manual_titration_mL","",IFERROR(INDEX('3_可滴定酸度'!$E$6:$E$13,MATCH($I158,'3_可滴定酸度'!$B$6:$B$13,0)),"")))</f>
        <v/>
      </c>
      <c r="M158" s="25">
        <f>IF($A158="","",IF($C158&lt;&gt;"manual_titration_mL","",IFERROR(INDEX('3_可滴定酸度'!$F$6:$F$13,MATCH($I158,'3_可滴定酸度'!$B$6:$B$13,0)),"")))</f>
        <v/>
      </c>
      <c r="N158" s="24">
        <f>IF($A158="","",IF(OR(K158="",L158="",M158=""),"",K158*E158*L158/(M158*1000)*100))</f>
        <v/>
      </c>
      <c r="O158" s="24">
        <f>IF($A158="","",IF(N158="","",IF(COUNTIFS('1_原始數據'!$A$2:$A$1000,$A158,'1_原始數據'!$B$2:$B$1000,$B158,'1_原始數據'!$D$2:$D$1000,$D158,'1_原始數據'!$I$2:$I$1000,$I158,'1_原始數據'!$C$2:$C$1000,"pasco_pct_acid")=0,"",SUMIFS('1_原始數據'!$E$2:$E$1000,'1_原始數據'!$A$2:$A$1000,$A158,'1_原始數據'!$B$2:$B$1000,$B158,'1_原始數據'!$D$2:$D$1000,$D158,'1_原始數據'!$I$2:$I$1000,$I158,'1_原始數據'!$C$2:$C$1000,"pasco_pct_acid"))))</f>
        <v/>
      </c>
      <c r="P158" s="26">
        <f>IF($A158="","",IF(OR(N158="",O158=""),"",O158-N158))</f>
        <v/>
      </c>
      <c r="Q158" s="24">
        <f>IF($A158="","",IF(P158="","",(O158+N158)/2))</f>
        <v/>
      </c>
      <c r="R158" s="27">
        <f>IF($A158="","",IF(P158="","",COUNT($P$2:P158)))</f>
        <v/>
      </c>
    </row>
    <row r="159">
      <c r="J159" s="24">
        <f>IF($A159="","",IF($C159&lt;&gt;"khp_titration_mL","",IF(COUNTIFS('1_原始數據'!$A$2:$A$1000,$A159,'1_原始數據'!$B$2:$B$1000,$B159,'1_原始數據'!$D$2:$D$1000,$D159,'1_原始數據'!$C$2:$C$1000,"khp_mass_g")=0,"",SUMIFS('1_原始數據'!$E$2:$E$1000,'1_原始數據'!$A$2:$A$1000,$A159,'1_原始數據'!$B$2:$B$1000,$B159,'1_原始數據'!$D$2:$D$1000,$D159,'1_原始數據'!$C$2:$C$1000,"khp_mass_g")/('2_NaOH標定'!$C$5*$E159/1000))))</f>
        <v/>
      </c>
      <c r="K159" s="24">
        <f>IF($A159="","",IF($C159&lt;&gt;"manual_titration_mL","",IF(COUNTIFS('1_原始數據'!$A$2:$A$1000,$A159,'1_原始數據'!$C$2:$C$1000,"khp_titration_mL")=0,"",AVERAGEIFS('1_原始數據'!$J$2:$J$1000,'1_原始數據'!$A$2:$A$1000,$A159,'1_原始數據'!$C$2:$C$1000,"khp_titration_mL"))))</f>
        <v/>
      </c>
      <c r="L159" s="25">
        <f>IF($A159="","",IF($C159&lt;&gt;"manual_titration_mL","",IFERROR(INDEX('3_可滴定酸度'!$E$6:$E$13,MATCH($I159,'3_可滴定酸度'!$B$6:$B$13,0)),"")))</f>
        <v/>
      </c>
      <c r="M159" s="25">
        <f>IF($A159="","",IF($C159&lt;&gt;"manual_titration_mL","",IFERROR(INDEX('3_可滴定酸度'!$F$6:$F$13,MATCH($I159,'3_可滴定酸度'!$B$6:$B$13,0)),"")))</f>
        <v/>
      </c>
      <c r="N159" s="24">
        <f>IF($A159="","",IF(OR(K159="",L159="",M159=""),"",K159*E159*L159/(M159*1000)*100))</f>
        <v/>
      </c>
      <c r="O159" s="24">
        <f>IF($A159="","",IF(N159="","",IF(COUNTIFS('1_原始數據'!$A$2:$A$1000,$A159,'1_原始數據'!$B$2:$B$1000,$B159,'1_原始數據'!$D$2:$D$1000,$D159,'1_原始數據'!$I$2:$I$1000,$I159,'1_原始數據'!$C$2:$C$1000,"pasco_pct_acid")=0,"",SUMIFS('1_原始數據'!$E$2:$E$1000,'1_原始數據'!$A$2:$A$1000,$A159,'1_原始數據'!$B$2:$B$1000,$B159,'1_原始數據'!$D$2:$D$1000,$D159,'1_原始數據'!$I$2:$I$1000,$I159,'1_原始數據'!$C$2:$C$1000,"pasco_pct_acid"))))</f>
        <v/>
      </c>
      <c r="P159" s="26">
        <f>IF($A159="","",IF(OR(N159="",O159=""),"",O159-N159))</f>
        <v/>
      </c>
      <c r="Q159" s="24">
        <f>IF($A159="","",IF(P159="","",(O159+N159)/2))</f>
        <v/>
      </c>
      <c r="R159" s="27">
        <f>IF($A159="","",IF(P159="","",COUNT($P$2:P159)))</f>
        <v/>
      </c>
    </row>
    <row r="160">
      <c r="J160" s="24">
        <f>IF($A160="","",IF($C160&lt;&gt;"khp_titration_mL","",IF(COUNTIFS('1_原始數據'!$A$2:$A$1000,$A160,'1_原始數據'!$B$2:$B$1000,$B160,'1_原始數據'!$D$2:$D$1000,$D160,'1_原始數據'!$C$2:$C$1000,"khp_mass_g")=0,"",SUMIFS('1_原始數據'!$E$2:$E$1000,'1_原始數據'!$A$2:$A$1000,$A160,'1_原始數據'!$B$2:$B$1000,$B160,'1_原始數據'!$D$2:$D$1000,$D160,'1_原始數據'!$C$2:$C$1000,"khp_mass_g")/('2_NaOH標定'!$C$5*$E160/1000))))</f>
        <v/>
      </c>
      <c r="K160" s="24">
        <f>IF($A160="","",IF($C160&lt;&gt;"manual_titration_mL","",IF(COUNTIFS('1_原始數據'!$A$2:$A$1000,$A160,'1_原始數據'!$C$2:$C$1000,"khp_titration_mL")=0,"",AVERAGEIFS('1_原始數據'!$J$2:$J$1000,'1_原始數據'!$A$2:$A$1000,$A160,'1_原始數據'!$C$2:$C$1000,"khp_titration_mL"))))</f>
        <v/>
      </c>
      <c r="L160" s="25">
        <f>IF($A160="","",IF($C160&lt;&gt;"manual_titration_mL","",IFERROR(INDEX('3_可滴定酸度'!$E$6:$E$13,MATCH($I160,'3_可滴定酸度'!$B$6:$B$13,0)),"")))</f>
        <v/>
      </c>
      <c r="M160" s="25">
        <f>IF($A160="","",IF($C160&lt;&gt;"manual_titration_mL","",IFERROR(INDEX('3_可滴定酸度'!$F$6:$F$13,MATCH($I160,'3_可滴定酸度'!$B$6:$B$13,0)),"")))</f>
        <v/>
      </c>
      <c r="N160" s="24">
        <f>IF($A160="","",IF(OR(K160="",L160="",M160=""),"",K160*E160*L160/(M160*1000)*100))</f>
        <v/>
      </c>
      <c r="O160" s="24">
        <f>IF($A160="","",IF(N160="","",IF(COUNTIFS('1_原始數據'!$A$2:$A$1000,$A160,'1_原始數據'!$B$2:$B$1000,$B160,'1_原始數據'!$D$2:$D$1000,$D160,'1_原始數據'!$I$2:$I$1000,$I160,'1_原始數據'!$C$2:$C$1000,"pasco_pct_acid")=0,"",SUMIFS('1_原始數據'!$E$2:$E$1000,'1_原始數據'!$A$2:$A$1000,$A160,'1_原始數據'!$B$2:$B$1000,$B160,'1_原始數據'!$D$2:$D$1000,$D160,'1_原始數據'!$I$2:$I$1000,$I160,'1_原始數據'!$C$2:$C$1000,"pasco_pct_acid"))))</f>
        <v/>
      </c>
      <c r="P160" s="26">
        <f>IF($A160="","",IF(OR(N160="",O160=""),"",O160-N160))</f>
        <v/>
      </c>
      <c r="Q160" s="24">
        <f>IF($A160="","",IF(P160="","",(O160+N160)/2))</f>
        <v/>
      </c>
      <c r="R160" s="27">
        <f>IF($A160="","",IF(P160="","",COUNT($P$2:P160)))</f>
        <v/>
      </c>
    </row>
    <row r="161">
      <c r="J161" s="24">
        <f>IF($A161="","",IF($C161&lt;&gt;"khp_titration_mL","",IF(COUNTIFS('1_原始數據'!$A$2:$A$1000,$A161,'1_原始數據'!$B$2:$B$1000,$B161,'1_原始數據'!$D$2:$D$1000,$D161,'1_原始數據'!$C$2:$C$1000,"khp_mass_g")=0,"",SUMIFS('1_原始數據'!$E$2:$E$1000,'1_原始數據'!$A$2:$A$1000,$A161,'1_原始數據'!$B$2:$B$1000,$B161,'1_原始數據'!$D$2:$D$1000,$D161,'1_原始數據'!$C$2:$C$1000,"khp_mass_g")/('2_NaOH標定'!$C$5*$E161/1000))))</f>
        <v/>
      </c>
      <c r="K161" s="24">
        <f>IF($A161="","",IF($C161&lt;&gt;"manual_titration_mL","",IF(COUNTIFS('1_原始數據'!$A$2:$A$1000,$A161,'1_原始數據'!$C$2:$C$1000,"khp_titration_mL")=0,"",AVERAGEIFS('1_原始數據'!$J$2:$J$1000,'1_原始數據'!$A$2:$A$1000,$A161,'1_原始數據'!$C$2:$C$1000,"khp_titration_mL"))))</f>
        <v/>
      </c>
      <c r="L161" s="25">
        <f>IF($A161="","",IF($C161&lt;&gt;"manual_titration_mL","",IFERROR(INDEX('3_可滴定酸度'!$E$6:$E$13,MATCH($I161,'3_可滴定酸度'!$B$6:$B$13,0)),"")))</f>
        <v/>
      </c>
      <c r="M161" s="25">
        <f>IF($A161="","",IF($C161&lt;&gt;"manual_titration_mL","",IFERROR(INDEX('3_可滴定酸度'!$F$6:$F$13,MATCH($I161,'3_可滴定酸度'!$B$6:$B$13,0)),"")))</f>
        <v/>
      </c>
      <c r="N161" s="24">
        <f>IF($A161="","",IF(OR(K161="",L161="",M161=""),"",K161*E161*L161/(M161*1000)*100))</f>
        <v/>
      </c>
      <c r="O161" s="24">
        <f>IF($A161="","",IF(N161="","",IF(COUNTIFS('1_原始數據'!$A$2:$A$1000,$A161,'1_原始數據'!$B$2:$B$1000,$B161,'1_原始數據'!$D$2:$D$1000,$D161,'1_原始數據'!$I$2:$I$1000,$I161,'1_原始數據'!$C$2:$C$1000,"pasco_pct_acid")=0,"",SUMIFS('1_原始數據'!$E$2:$E$1000,'1_原始數據'!$A$2:$A$1000,$A161,'1_原始數據'!$B$2:$B$1000,$B161,'1_原始數據'!$D$2:$D$1000,$D161,'1_原始數據'!$I$2:$I$1000,$I161,'1_原始數據'!$C$2:$C$1000,"pasco_pct_acid"))))</f>
        <v/>
      </c>
      <c r="P161" s="26">
        <f>IF($A161="","",IF(OR(N161="",O161=""),"",O161-N161))</f>
        <v/>
      </c>
      <c r="Q161" s="24">
        <f>IF($A161="","",IF(P161="","",(O161+N161)/2))</f>
        <v/>
      </c>
      <c r="R161" s="27">
        <f>IF($A161="","",IF(P161="","",COUNT($P$2:P161)))</f>
        <v/>
      </c>
    </row>
    <row r="162">
      <c r="J162" s="24">
        <f>IF($A162="","",IF($C162&lt;&gt;"khp_titration_mL","",IF(COUNTIFS('1_原始數據'!$A$2:$A$1000,$A162,'1_原始數據'!$B$2:$B$1000,$B162,'1_原始數據'!$D$2:$D$1000,$D162,'1_原始數據'!$C$2:$C$1000,"khp_mass_g")=0,"",SUMIFS('1_原始數據'!$E$2:$E$1000,'1_原始數據'!$A$2:$A$1000,$A162,'1_原始數據'!$B$2:$B$1000,$B162,'1_原始數據'!$D$2:$D$1000,$D162,'1_原始數據'!$C$2:$C$1000,"khp_mass_g")/('2_NaOH標定'!$C$5*$E162/1000))))</f>
        <v/>
      </c>
      <c r="K162" s="24">
        <f>IF($A162="","",IF($C162&lt;&gt;"manual_titration_mL","",IF(COUNTIFS('1_原始數據'!$A$2:$A$1000,$A162,'1_原始數據'!$C$2:$C$1000,"khp_titration_mL")=0,"",AVERAGEIFS('1_原始數據'!$J$2:$J$1000,'1_原始數據'!$A$2:$A$1000,$A162,'1_原始數據'!$C$2:$C$1000,"khp_titration_mL"))))</f>
        <v/>
      </c>
      <c r="L162" s="25">
        <f>IF($A162="","",IF($C162&lt;&gt;"manual_titration_mL","",IFERROR(INDEX('3_可滴定酸度'!$E$6:$E$13,MATCH($I162,'3_可滴定酸度'!$B$6:$B$13,0)),"")))</f>
        <v/>
      </c>
      <c r="M162" s="25">
        <f>IF($A162="","",IF($C162&lt;&gt;"manual_titration_mL","",IFERROR(INDEX('3_可滴定酸度'!$F$6:$F$13,MATCH($I162,'3_可滴定酸度'!$B$6:$B$13,0)),"")))</f>
        <v/>
      </c>
      <c r="N162" s="24">
        <f>IF($A162="","",IF(OR(K162="",L162="",M162=""),"",K162*E162*L162/(M162*1000)*100))</f>
        <v/>
      </c>
      <c r="O162" s="24">
        <f>IF($A162="","",IF(N162="","",IF(COUNTIFS('1_原始數據'!$A$2:$A$1000,$A162,'1_原始數據'!$B$2:$B$1000,$B162,'1_原始數據'!$D$2:$D$1000,$D162,'1_原始數據'!$I$2:$I$1000,$I162,'1_原始數據'!$C$2:$C$1000,"pasco_pct_acid")=0,"",SUMIFS('1_原始數據'!$E$2:$E$1000,'1_原始數據'!$A$2:$A$1000,$A162,'1_原始數據'!$B$2:$B$1000,$B162,'1_原始數據'!$D$2:$D$1000,$D162,'1_原始數據'!$I$2:$I$1000,$I162,'1_原始數據'!$C$2:$C$1000,"pasco_pct_acid"))))</f>
        <v/>
      </c>
      <c r="P162" s="26">
        <f>IF($A162="","",IF(OR(N162="",O162=""),"",O162-N162))</f>
        <v/>
      </c>
      <c r="Q162" s="24">
        <f>IF($A162="","",IF(P162="","",(O162+N162)/2))</f>
        <v/>
      </c>
      <c r="R162" s="27">
        <f>IF($A162="","",IF(P162="","",COUNT($P$2:P162)))</f>
        <v/>
      </c>
    </row>
    <row r="163">
      <c r="J163" s="24">
        <f>IF($A163="","",IF($C163&lt;&gt;"khp_titration_mL","",IF(COUNTIFS('1_原始數據'!$A$2:$A$1000,$A163,'1_原始數據'!$B$2:$B$1000,$B163,'1_原始數據'!$D$2:$D$1000,$D163,'1_原始數據'!$C$2:$C$1000,"khp_mass_g")=0,"",SUMIFS('1_原始數據'!$E$2:$E$1000,'1_原始數據'!$A$2:$A$1000,$A163,'1_原始數據'!$B$2:$B$1000,$B163,'1_原始數據'!$D$2:$D$1000,$D163,'1_原始數據'!$C$2:$C$1000,"khp_mass_g")/('2_NaOH標定'!$C$5*$E163/1000))))</f>
        <v/>
      </c>
      <c r="K163" s="24">
        <f>IF($A163="","",IF($C163&lt;&gt;"manual_titration_mL","",IF(COUNTIFS('1_原始數據'!$A$2:$A$1000,$A163,'1_原始數據'!$C$2:$C$1000,"khp_titration_mL")=0,"",AVERAGEIFS('1_原始數據'!$J$2:$J$1000,'1_原始數據'!$A$2:$A$1000,$A163,'1_原始數據'!$C$2:$C$1000,"khp_titration_mL"))))</f>
        <v/>
      </c>
      <c r="L163" s="25">
        <f>IF($A163="","",IF($C163&lt;&gt;"manual_titration_mL","",IFERROR(INDEX('3_可滴定酸度'!$E$6:$E$13,MATCH($I163,'3_可滴定酸度'!$B$6:$B$13,0)),"")))</f>
        <v/>
      </c>
      <c r="M163" s="25">
        <f>IF($A163="","",IF($C163&lt;&gt;"manual_titration_mL","",IFERROR(INDEX('3_可滴定酸度'!$F$6:$F$13,MATCH($I163,'3_可滴定酸度'!$B$6:$B$13,0)),"")))</f>
        <v/>
      </c>
      <c r="N163" s="24">
        <f>IF($A163="","",IF(OR(K163="",L163="",M163=""),"",K163*E163*L163/(M163*1000)*100))</f>
        <v/>
      </c>
      <c r="O163" s="24">
        <f>IF($A163="","",IF(N163="","",IF(COUNTIFS('1_原始數據'!$A$2:$A$1000,$A163,'1_原始數據'!$B$2:$B$1000,$B163,'1_原始數據'!$D$2:$D$1000,$D163,'1_原始數據'!$I$2:$I$1000,$I163,'1_原始數據'!$C$2:$C$1000,"pasco_pct_acid")=0,"",SUMIFS('1_原始數據'!$E$2:$E$1000,'1_原始數據'!$A$2:$A$1000,$A163,'1_原始數據'!$B$2:$B$1000,$B163,'1_原始數據'!$D$2:$D$1000,$D163,'1_原始數據'!$I$2:$I$1000,$I163,'1_原始數據'!$C$2:$C$1000,"pasco_pct_acid"))))</f>
        <v/>
      </c>
      <c r="P163" s="26">
        <f>IF($A163="","",IF(OR(N163="",O163=""),"",O163-N163))</f>
        <v/>
      </c>
      <c r="Q163" s="24">
        <f>IF($A163="","",IF(P163="","",(O163+N163)/2))</f>
        <v/>
      </c>
      <c r="R163" s="27">
        <f>IF($A163="","",IF(P163="","",COUNT($P$2:P163)))</f>
        <v/>
      </c>
    </row>
    <row r="164">
      <c r="J164" s="24">
        <f>IF($A164="","",IF($C164&lt;&gt;"khp_titration_mL","",IF(COUNTIFS('1_原始數據'!$A$2:$A$1000,$A164,'1_原始數據'!$B$2:$B$1000,$B164,'1_原始數據'!$D$2:$D$1000,$D164,'1_原始數據'!$C$2:$C$1000,"khp_mass_g")=0,"",SUMIFS('1_原始數據'!$E$2:$E$1000,'1_原始數據'!$A$2:$A$1000,$A164,'1_原始數據'!$B$2:$B$1000,$B164,'1_原始數據'!$D$2:$D$1000,$D164,'1_原始數據'!$C$2:$C$1000,"khp_mass_g")/('2_NaOH標定'!$C$5*$E164/1000))))</f>
        <v/>
      </c>
      <c r="K164" s="24">
        <f>IF($A164="","",IF($C164&lt;&gt;"manual_titration_mL","",IF(COUNTIFS('1_原始數據'!$A$2:$A$1000,$A164,'1_原始數據'!$C$2:$C$1000,"khp_titration_mL")=0,"",AVERAGEIFS('1_原始數據'!$J$2:$J$1000,'1_原始數據'!$A$2:$A$1000,$A164,'1_原始數據'!$C$2:$C$1000,"khp_titration_mL"))))</f>
        <v/>
      </c>
      <c r="L164" s="25">
        <f>IF($A164="","",IF($C164&lt;&gt;"manual_titration_mL","",IFERROR(INDEX('3_可滴定酸度'!$E$6:$E$13,MATCH($I164,'3_可滴定酸度'!$B$6:$B$13,0)),"")))</f>
        <v/>
      </c>
      <c r="M164" s="25">
        <f>IF($A164="","",IF($C164&lt;&gt;"manual_titration_mL","",IFERROR(INDEX('3_可滴定酸度'!$F$6:$F$13,MATCH($I164,'3_可滴定酸度'!$B$6:$B$13,0)),"")))</f>
        <v/>
      </c>
      <c r="N164" s="24">
        <f>IF($A164="","",IF(OR(K164="",L164="",M164=""),"",K164*E164*L164/(M164*1000)*100))</f>
        <v/>
      </c>
      <c r="O164" s="24">
        <f>IF($A164="","",IF(N164="","",IF(COUNTIFS('1_原始數據'!$A$2:$A$1000,$A164,'1_原始數據'!$B$2:$B$1000,$B164,'1_原始數據'!$D$2:$D$1000,$D164,'1_原始數據'!$I$2:$I$1000,$I164,'1_原始數據'!$C$2:$C$1000,"pasco_pct_acid")=0,"",SUMIFS('1_原始數據'!$E$2:$E$1000,'1_原始數據'!$A$2:$A$1000,$A164,'1_原始數據'!$B$2:$B$1000,$B164,'1_原始數據'!$D$2:$D$1000,$D164,'1_原始數據'!$I$2:$I$1000,$I164,'1_原始數據'!$C$2:$C$1000,"pasco_pct_acid"))))</f>
        <v/>
      </c>
      <c r="P164" s="26">
        <f>IF($A164="","",IF(OR(N164="",O164=""),"",O164-N164))</f>
        <v/>
      </c>
      <c r="Q164" s="24">
        <f>IF($A164="","",IF(P164="","",(O164+N164)/2))</f>
        <v/>
      </c>
      <c r="R164" s="27">
        <f>IF($A164="","",IF(P164="","",COUNT($P$2:P164)))</f>
        <v/>
      </c>
    </row>
    <row r="165">
      <c r="J165" s="24">
        <f>IF($A165="","",IF($C165&lt;&gt;"khp_titration_mL","",IF(COUNTIFS('1_原始數據'!$A$2:$A$1000,$A165,'1_原始數據'!$B$2:$B$1000,$B165,'1_原始數據'!$D$2:$D$1000,$D165,'1_原始數據'!$C$2:$C$1000,"khp_mass_g")=0,"",SUMIFS('1_原始數據'!$E$2:$E$1000,'1_原始數據'!$A$2:$A$1000,$A165,'1_原始數據'!$B$2:$B$1000,$B165,'1_原始數據'!$D$2:$D$1000,$D165,'1_原始數據'!$C$2:$C$1000,"khp_mass_g")/('2_NaOH標定'!$C$5*$E165/1000))))</f>
        <v/>
      </c>
      <c r="K165" s="24">
        <f>IF($A165="","",IF($C165&lt;&gt;"manual_titration_mL","",IF(COUNTIFS('1_原始數據'!$A$2:$A$1000,$A165,'1_原始數據'!$C$2:$C$1000,"khp_titration_mL")=0,"",AVERAGEIFS('1_原始數據'!$J$2:$J$1000,'1_原始數據'!$A$2:$A$1000,$A165,'1_原始數據'!$C$2:$C$1000,"khp_titration_mL"))))</f>
        <v/>
      </c>
      <c r="L165" s="25">
        <f>IF($A165="","",IF($C165&lt;&gt;"manual_titration_mL","",IFERROR(INDEX('3_可滴定酸度'!$E$6:$E$13,MATCH($I165,'3_可滴定酸度'!$B$6:$B$13,0)),"")))</f>
        <v/>
      </c>
      <c r="M165" s="25">
        <f>IF($A165="","",IF($C165&lt;&gt;"manual_titration_mL","",IFERROR(INDEX('3_可滴定酸度'!$F$6:$F$13,MATCH($I165,'3_可滴定酸度'!$B$6:$B$13,0)),"")))</f>
        <v/>
      </c>
      <c r="N165" s="24">
        <f>IF($A165="","",IF(OR(K165="",L165="",M165=""),"",K165*E165*L165/(M165*1000)*100))</f>
        <v/>
      </c>
      <c r="O165" s="24">
        <f>IF($A165="","",IF(N165="","",IF(COUNTIFS('1_原始數據'!$A$2:$A$1000,$A165,'1_原始數據'!$B$2:$B$1000,$B165,'1_原始數據'!$D$2:$D$1000,$D165,'1_原始數據'!$I$2:$I$1000,$I165,'1_原始數據'!$C$2:$C$1000,"pasco_pct_acid")=0,"",SUMIFS('1_原始數據'!$E$2:$E$1000,'1_原始數據'!$A$2:$A$1000,$A165,'1_原始數據'!$B$2:$B$1000,$B165,'1_原始數據'!$D$2:$D$1000,$D165,'1_原始數據'!$I$2:$I$1000,$I165,'1_原始數據'!$C$2:$C$1000,"pasco_pct_acid"))))</f>
        <v/>
      </c>
      <c r="P165" s="26">
        <f>IF($A165="","",IF(OR(N165="",O165=""),"",O165-N165))</f>
        <v/>
      </c>
      <c r="Q165" s="24">
        <f>IF($A165="","",IF(P165="","",(O165+N165)/2))</f>
        <v/>
      </c>
      <c r="R165" s="27">
        <f>IF($A165="","",IF(P165="","",COUNT($P$2:P165)))</f>
        <v/>
      </c>
    </row>
    <row r="166">
      <c r="J166" s="24">
        <f>IF($A166="","",IF($C166&lt;&gt;"khp_titration_mL","",IF(COUNTIFS('1_原始數據'!$A$2:$A$1000,$A166,'1_原始數據'!$B$2:$B$1000,$B166,'1_原始數據'!$D$2:$D$1000,$D166,'1_原始數據'!$C$2:$C$1000,"khp_mass_g")=0,"",SUMIFS('1_原始數據'!$E$2:$E$1000,'1_原始數據'!$A$2:$A$1000,$A166,'1_原始數據'!$B$2:$B$1000,$B166,'1_原始數據'!$D$2:$D$1000,$D166,'1_原始數據'!$C$2:$C$1000,"khp_mass_g")/('2_NaOH標定'!$C$5*$E166/1000))))</f>
        <v/>
      </c>
      <c r="K166" s="24">
        <f>IF($A166="","",IF($C166&lt;&gt;"manual_titration_mL","",IF(COUNTIFS('1_原始數據'!$A$2:$A$1000,$A166,'1_原始數據'!$C$2:$C$1000,"khp_titration_mL")=0,"",AVERAGEIFS('1_原始數據'!$J$2:$J$1000,'1_原始數據'!$A$2:$A$1000,$A166,'1_原始數據'!$C$2:$C$1000,"khp_titration_mL"))))</f>
        <v/>
      </c>
      <c r="L166" s="25">
        <f>IF($A166="","",IF($C166&lt;&gt;"manual_titration_mL","",IFERROR(INDEX('3_可滴定酸度'!$E$6:$E$13,MATCH($I166,'3_可滴定酸度'!$B$6:$B$13,0)),"")))</f>
        <v/>
      </c>
      <c r="M166" s="25">
        <f>IF($A166="","",IF($C166&lt;&gt;"manual_titration_mL","",IFERROR(INDEX('3_可滴定酸度'!$F$6:$F$13,MATCH($I166,'3_可滴定酸度'!$B$6:$B$13,0)),"")))</f>
        <v/>
      </c>
      <c r="N166" s="24">
        <f>IF($A166="","",IF(OR(K166="",L166="",M166=""),"",K166*E166*L166/(M166*1000)*100))</f>
        <v/>
      </c>
      <c r="O166" s="24">
        <f>IF($A166="","",IF(N166="","",IF(COUNTIFS('1_原始數據'!$A$2:$A$1000,$A166,'1_原始數據'!$B$2:$B$1000,$B166,'1_原始數據'!$D$2:$D$1000,$D166,'1_原始數據'!$I$2:$I$1000,$I166,'1_原始數據'!$C$2:$C$1000,"pasco_pct_acid")=0,"",SUMIFS('1_原始數據'!$E$2:$E$1000,'1_原始數據'!$A$2:$A$1000,$A166,'1_原始數據'!$B$2:$B$1000,$B166,'1_原始數據'!$D$2:$D$1000,$D166,'1_原始數據'!$I$2:$I$1000,$I166,'1_原始數據'!$C$2:$C$1000,"pasco_pct_acid"))))</f>
        <v/>
      </c>
      <c r="P166" s="26">
        <f>IF($A166="","",IF(OR(N166="",O166=""),"",O166-N166))</f>
        <v/>
      </c>
      <c r="Q166" s="24">
        <f>IF($A166="","",IF(P166="","",(O166+N166)/2))</f>
        <v/>
      </c>
      <c r="R166" s="27">
        <f>IF($A166="","",IF(P166="","",COUNT($P$2:P166)))</f>
        <v/>
      </c>
    </row>
    <row r="167">
      <c r="J167" s="24">
        <f>IF($A167="","",IF($C167&lt;&gt;"khp_titration_mL","",IF(COUNTIFS('1_原始數據'!$A$2:$A$1000,$A167,'1_原始數據'!$B$2:$B$1000,$B167,'1_原始數據'!$D$2:$D$1000,$D167,'1_原始數據'!$C$2:$C$1000,"khp_mass_g")=0,"",SUMIFS('1_原始數據'!$E$2:$E$1000,'1_原始數據'!$A$2:$A$1000,$A167,'1_原始數據'!$B$2:$B$1000,$B167,'1_原始數據'!$D$2:$D$1000,$D167,'1_原始數據'!$C$2:$C$1000,"khp_mass_g")/('2_NaOH標定'!$C$5*$E167/1000))))</f>
        <v/>
      </c>
      <c r="K167" s="24">
        <f>IF($A167="","",IF($C167&lt;&gt;"manual_titration_mL","",IF(COUNTIFS('1_原始數據'!$A$2:$A$1000,$A167,'1_原始數據'!$C$2:$C$1000,"khp_titration_mL")=0,"",AVERAGEIFS('1_原始數據'!$J$2:$J$1000,'1_原始數據'!$A$2:$A$1000,$A167,'1_原始數據'!$C$2:$C$1000,"khp_titration_mL"))))</f>
        <v/>
      </c>
      <c r="L167" s="25">
        <f>IF($A167="","",IF($C167&lt;&gt;"manual_titration_mL","",IFERROR(INDEX('3_可滴定酸度'!$E$6:$E$13,MATCH($I167,'3_可滴定酸度'!$B$6:$B$13,0)),"")))</f>
        <v/>
      </c>
      <c r="M167" s="25">
        <f>IF($A167="","",IF($C167&lt;&gt;"manual_titration_mL","",IFERROR(INDEX('3_可滴定酸度'!$F$6:$F$13,MATCH($I167,'3_可滴定酸度'!$B$6:$B$13,0)),"")))</f>
        <v/>
      </c>
      <c r="N167" s="24">
        <f>IF($A167="","",IF(OR(K167="",L167="",M167=""),"",K167*E167*L167/(M167*1000)*100))</f>
        <v/>
      </c>
      <c r="O167" s="24">
        <f>IF($A167="","",IF(N167="","",IF(COUNTIFS('1_原始數據'!$A$2:$A$1000,$A167,'1_原始數據'!$B$2:$B$1000,$B167,'1_原始數據'!$D$2:$D$1000,$D167,'1_原始數據'!$I$2:$I$1000,$I167,'1_原始數據'!$C$2:$C$1000,"pasco_pct_acid")=0,"",SUMIFS('1_原始數據'!$E$2:$E$1000,'1_原始數據'!$A$2:$A$1000,$A167,'1_原始數據'!$B$2:$B$1000,$B167,'1_原始數據'!$D$2:$D$1000,$D167,'1_原始數據'!$I$2:$I$1000,$I167,'1_原始數據'!$C$2:$C$1000,"pasco_pct_acid"))))</f>
        <v/>
      </c>
      <c r="P167" s="26">
        <f>IF($A167="","",IF(OR(N167="",O167=""),"",O167-N167))</f>
        <v/>
      </c>
      <c r="Q167" s="24">
        <f>IF($A167="","",IF(P167="","",(O167+N167)/2))</f>
        <v/>
      </c>
      <c r="R167" s="27">
        <f>IF($A167="","",IF(P167="","",COUNT($P$2:P167)))</f>
        <v/>
      </c>
    </row>
    <row r="168">
      <c r="J168" s="24">
        <f>IF($A168="","",IF($C168&lt;&gt;"khp_titration_mL","",IF(COUNTIFS('1_原始數據'!$A$2:$A$1000,$A168,'1_原始數據'!$B$2:$B$1000,$B168,'1_原始數據'!$D$2:$D$1000,$D168,'1_原始數據'!$C$2:$C$1000,"khp_mass_g")=0,"",SUMIFS('1_原始數據'!$E$2:$E$1000,'1_原始數據'!$A$2:$A$1000,$A168,'1_原始數據'!$B$2:$B$1000,$B168,'1_原始數據'!$D$2:$D$1000,$D168,'1_原始數據'!$C$2:$C$1000,"khp_mass_g")/('2_NaOH標定'!$C$5*$E168/1000))))</f>
        <v/>
      </c>
      <c r="K168" s="24">
        <f>IF($A168="","",IF($C168&lt;&gt;"manual_titration_mL","",IF(COUNTIFS('1_原始數據'!$A$2:$A$1000,$A168,'1_原始數據'!$C$2:$C$1000,"khp_titration_mL")=0,"",AVERAGEIFS('1_原始數據'!$J$2:$J$1000,'1_原始數據'!$A$2:$A$1000,$A168,'1_原始數據'!$C$2:$C$1000,"khp_titration_mL"))))</f>
        <v/>
      </c>
      <c r="L168" s="25">
        <f>IF($A168="","",IF($C168&lt;&gt;"manual_titration_mL","",IFERROR(INDEX('3_可滴定酸度'!$E$6:$E$13,MATCH($I168,'3_可滴定酸度'!$B$6:$B$13,0)),"")))</f>
        <v/>
      </c>
      <c r="M168" s="25">
        <f>IF($A168="","",IF($C168&lt;&gt;"manual_titration_mL","",IFERROR(INDEX('3_可滴定酸度'!$F$6:$F$13,MATCH($I168,'3_可滴定酸度'!$B$6:$B$13,0)),"")))</f>
        <v/>
      </c>
      <c r="N168" s="24">
        <f>IF($A168="","",IF(OR(K168="",L168="",M168=""),"",K168*E168*L168/(M168*1000)*100))</f>
        <v/>
      </c>
      <c r="O168" s="24">
        <f>IF($A168="","",IF(N168="","",IF(COUNTIFS('1_原始數據'!$A$2:$A$1000,$A168,'1_原始數據'!$B$2:$B$1000,$B168,'1_原始數據'!$D$2:$D$1000,$D168,'1_原始數據'!$I$2:$I$1000,$I168,'1_原始數據'!$C$2:$C$1000,"pasco_pct_acid")=0,"",SUMIFS('1_原始數據'!$E$2:$E$1000,'1_原始數據'!$A$2:$A$1000,$A168,'1_原始數據'!$B$2:$B$1000,$B168,'1_原始數據'!$D$2:$D$1000,$D168,'1_原始數據'!$I$2:$I$1000,$I168,'1_原始數據'!$C$2:$C$1000,"pasco_pct_acid"))))</f>
        <v/>
      </c>
      <c r="P168" s="26">
        <f>IF($A168="","",IF(OR(N168="",O168=""),"",O168-N168))</f>
        <v/>
      </c>
      <c r="Q168" s="24">
        <f>IF($A168="","",IF(P168="","",(O168+N168)/2))</f>
        <v/>
      </c>
      <c r="R168" s="27">
        <f>IF($A168="","",IF(P168="","",COUNT($P$2:P168)))</f>
        <v/>
      </c>
    </row>
    <row r="169">
      <c r="J169" s="24">
        <f>IF($A169="","",IF($C169&lt;&gt;"khp_titration_mL","",IF(COUNTIFS('1_原始數據'!$A$2:$A$1000,$A169,'1_原始數據'!$B$2:$B$1000,$B169,'1_原始數據'!$D$2:$D$1000,$D169,'1_原始數據'!$C$2:$C$1000,"khp_mass_g")=0,"",SUMIFS('1_原始數據'!$E$2:$E$1000,'1_原始數據'!$A$2:$A$1000,$A169,'1_原始數據'!$B$2:$B$1000,$B169,'1_原始數據'!$D$2:$D$1000,$D169,'1_原始數據'!$C$2:$C$1000,"khp_mass_g")/('2_NaOH標定'!$C$5*$E169/1000))))</f>
        <v/>
      </c>
      <c r="K169" s="24">
        <f>IF($A169="","",IF($C169&lt;&gt;"manual_titration_mL","",IF(COUNTIFS('1_原始數據'!$A$2:$A$1000,$A169,'1_原始數據'!$C$2:$C$1000,"khp_titration_mL")=0,"",AVERAGEIFS('1_原始數據'!$J$2:$J$1000,'1_原始數據'!$A$2:$A$1000,$A169,'1_原始數據'!$C$2:$C$1000,"khp_titration_mL"))))</f>
        <v/>
      </c>
      <c r="L169" s="25">
        <f>IF($A169="","",IF($C169&lt;&gt;"manual_titration_mL","",IFERROR(INDEX('3_可滴定酸度'!$E$6:$E$13,MATCH($I169,'3_可滴定酸度'!$B$6:$B$13,0)),"")))</f>
        <v/>
      </c>
      <c r="M169" s="25">
        <f>IF($A169="","",IF($C169&lt;&gt;"manual_titration_mL","",IFERROR(INDEX('3_可滴定酸度'!$F$6:$F$13,MATCH($I169,'3_可滴定酸度'!$B$6:$B$13,0)),"")))</f>
        <v/>
      </c>
      <c r="N169" s="24">
        <f>IF($A169="","",IF(OR(K169="",L169="",M169=""),"",K169*E169*L169/(M169*1000)*100))</f>
        <v/>
      </c>
      <c r="O169" s="24">
        <f>IF($A169="","",IF(N169="","",IF(COUNTIFS('1_原始數據'!$A$2:$A$1000,$A169,'1_原始數據'!$B$2:$B$1000,$B169,'1_原始數據'!$D$2:$D$1000,$D169,'1_原始數據'!$I$2:$I$1000,$I169,'1_原始數據'!$C$2:$C$1000,"pasco_pct_acid")=0,"",SUMIFS('1_原始數據'!$E$2:$E$1000,'1_原始數據'!$A$2:$A$1000,$A169,'1_原始數據'!$B$2:$B$1000,$B169,'1_原始數據'!$D$2:$D$1000,$D169,'1_原始數據'!$I$2:$I$1000,$I169,'1_原始數據'!$C$2:$C$1000,"pasco_pct_acid"))))</f>
        <v/>
      </c>
      <c r="P169" s="26">
        <f>IF($A169="","",IF(OR(N169="",O169=""),"",O169-N169))</f>
        <v/>
      </c>
      <c r="Q169" s="24">
        <f>IF($A169="","",IF(P169="","",(O169+N169)/2))</f>
        <v/>
      </c>
      <c r="R169" s="27">
        <f>IF($A169="","",IF(P169="","",COUNT($P$2:P169)))</f>
        <v/>
      </c>
    </row>
    <row r="170">
      <c r="J170" s="24">
        <f>IF($A170="","",IF($C170&lt;&gt;"khp_titration_mL","",IF(COUNTIFS('1_原始數據'!$A$2:$A$1000,$A170,'1_原始數據'!$B$2:$B$1000,$B170,'1_原始數據'!$D$2:$D$1000,$D170,'1_原始數據'!$C$2:$C$1000,"khp_mass_g")=0,"",SUMIFS('1_原始數據'!$E$2:$E$1000,'1_原始數據'!$A$2:$A$1000,$A170,'1_原始數據'!$B$2:$B$1000,$B170,'1_原始數據'!$D$2:$D$1000,$D170,'1_原始數據'!$C$2:$C$1000,"khp_mass_g")/('2_NaOH標定'!$C$5*$E170/1000))))</f>
        <v/>
      </c>
      <c r="K170" s="24">
        <f>IF($A170="","",IF($C170&lt;&gt;"manual_titration_mL","",IF(COUNTIFS('1_原始數據'!$A$2:$A$1000,$A170,'1_原始數據'!$C$2:$C$1000,"khp_titration_mL")=0,"",AVERAGEIFS('1_原始數據'!$J$2:$J$1000,'1_原始數據'!$A$2:$A$1000,$A170,'1_原始數據'!$C$2:$C$1000,"khp_titration_mL"))))</f>
        <v/>
      </c>
      <c r="L170" s="25">
        <f>IF($A170="","",IF($C170&lt;&gt;"manual_titration_mL","",IFERROR(INDEX('3_可滴定酸度'!$E$6:$E$13,MATCH($I170,'3_可滴定酸度'!$B$6:$B$13,0)),"")))</f>
        <v/>
      </c>
      <c r="M170" s="25">
        <f>IF($A170="","",IF($C170&lt;&gt;"manual_titration_mL","",IFERROR(INDEX('3_可滴定酸度'!$F$6:$F$13,MATCH($I170,'3_可滴定酸度'!$B$6:$B$13,0)),"")))</f>
        <v/>
      </c>
      <c r="N170" s="24">
        <f>IF($A170="","",IF(OR(K170="",L170="",M170=""),"",K170*E170*L170/(M170*1000)*100))</f>
        <v/>
      </c>
      <c r="O170" s="24">
        <f>IF($A170="","",IF(N170="","",IF(COUNTIFS('1_原始數據'!$A$2:$A$1000,$A170,'1_原始數據'!$B$2:$B$1000,$B170,'1_原始數據'!$D$2:$D$1000,$D170,'1_原始數據'!$I$2:$I$1000,$I170,'1_原始數據'!$C$2:$C$1000,"pasco_pct_acid")=0,"",SUMIFS('1_原始數據'!$E$2:$E$1000,'1_原始數據'!$A$2:$A$1000,$A170,'1_原始數據'!$B$2:$B$1000,$B170,'1_原始數據'!$D$2:$D$1000,$D170,'1_原始數據'!$I$2:$I$1000,$I170,'1_原始數據'!$C$2:$C$1000,"pasco_pct_acid"))))</f>
        <v/>
      </c>
      <c r="P170" s="26">
        <f>IF($A170="","",IF(OR(N170="",O170=""),"",O170-N170))</f>
        <v/>
      </c>
      <c r="Q170" s="24">
        <f>IF($A170="","",IF(P170="","",(O170+N170)/2))</f>
        <v/>
      </c>
      <c r="R170" s="27">
        <f>IF($A170="","",IF(P170="","",COUNT($P$2:P170)))</f>
        <v/>
      </c>
    </row>
    <row r="171">
      <c r="J171" s="24">
        <f>IF($A171="","",IF($C171&lt;&gt;"khp_titration_mL","",IF(COUNTIFS('1_原始數據'!$A$2:$A$1000,$A171,'1_原始數據'!$B$2:$B$1000,$B171,'1_原始數據'!$D$2:$D$1000,$D171,'1_原始數據'!$C$2:$C$1000,"khp_mass_g")=0,"",SUMIFS('1_原始數據'!$E$2:$E$1000,'1_原始數據'!$A$2:$A$1000,$A171,'1_原始數據'!$B$2:$B$1000,$B171,'1_原始數據'!$D$2:$D$1000,$D171,'1_原始數據'!$C$2:$C$1000,"khp_mass_g")/('2_NaOH標定'!$C$5*$E171/1000))))</f>
        <v/>
      </c>
      <c r="K171" s="24">
        <f>IF($A171="","",IF($C171&lt;&gt;"manual_titration_mL","",IF(COUNTIFS('1_原始數據'!$A$2:$A$1000,$A171,'1_原始數據'!$C$2:$C$1000,"khp_titration_mL")=0,"",AVERAGEIFS('1_原始數據'!$J$2:$J$1000,'1_原始數據'!$A$2:$A$1000,$A171,'1_原始數據'!$C$2:$C$1000,"khp_titration_mL"))))</f>
        <v/>
      </c>
      <c r="L171" s="25">
        <f>IF($A171="","",IF($C171&lt;&gt;"manual_titration_mL","",IFERROR(INDEX('3_可滴定酸度'!$E$6:$E$13,MATCH($I171,'3_可滴定酸度'!$B$6:$B$13,0)),"")))</f>
        <v/>
      </c>
      <c r="M171" s="25">
        <f>IF($A171="","",IF($C171&lt;&gt;"manual_titration_mL","",IFERROR(INDEX('3_可滴定酸度'!$F$6:$F$13,MATCH($I171,'3_可滴定酸度'!$B$6:$B$13,0)),"")))</f>
        <v/>
      </c>
      <c r="N171" s="24">
        <f>IF($A171="","",IF(OR(K171="",L171="",M171=""),"",K171*E171*L171/(M171*1000)*100))</f>
        <v/>
      </c>
      <c r="O171" s="24">
        <f>IF($A171="","",IF(N171="","",IF(COUNTIFS('1_原始數據'!$A$2:$A$1000,$A171,'1_原始數據'!$B$2:$B$1000,$B171,'1_原始數據'!$D$2:$D$1000,$D171,'1_原始數據'!$I$2:$I$1000,$I171,'1_原始數據'!$C$2:$C$1000,"pasco_pct_acid")=0,"",SUMIFS('1_原始數據'!$E$2:$E$1000,'1_原始數據'!$A$2:$A$1000,$A171,'1_原始數據'!$B$2:$B$1000,$B171,'1_原始數據'!$D$2:$D$1000,$D171,'1_原始數據'!$I$2:$I$1000,$I171,'1_原始數據'!$C$2:$C$1000,"pasco_pct_acid"))))</f>
        <v/>
      </c>
      <c r="P171" s="26">
        <f>IF($A171="","",IF(OR(N171="",O171=""),"",O171-N171))</f>
        <v/>
      </c>
      <c r="Q171" s="24">
        <f>IF($A171="","",IF(P171="","",(O171+N171)/2))</f>
        <v/>
      </c>
      <c r="R171" s="27">
        <f>IF($A171="","",IF(P171="","",COUNT($P$2:P171)))</f>
        <v/>
      </c>
    </row>
    <row r="172">
      <c r="J172" s="24">
        <f>IF($A172="","",IF($C172&lt;&gt;"khp_titration_mL","",IF(COUNTIFS('1_原始數據'!$A$2:$A$1000,$A172,'1_原始數據'!$B$2:$B$1000,$B172,'1_原始數據'!$D$2:$D$1000,$D172,'1_原始數據'!$C$2:$C$1000,"khp_mass_g")=0,"",SUMIFS('1_原始數據'!$E$2:$E$1000,'1_原始數據'!$A$2:$A$1000,$A172,'1_原始數據'!$B$2:$B$1000,$B172,'1_原始數據'!$D$2:$D$1000,$D172,'1_原始數據'!$C$2:$C$1000,"khp_mass_g")/('2_NaOH標定'!$C$5*$E172/1000))))</f>
        <v/>
      </c>
      <c r="K172" s="24">
        <f>IF($A172="","",IF($C172&lt;&gt;"manual_titration_mL","",IF(COUNTIFS('1_原始數據'!$A$2:$A$1000,$A172,'1_原始數據'!$C$2:$C$1000,"khp_titration_mL")=0,"",AVERAGEIFS('1_原始數據'!$J$2:$J$1000,'1_原始數據'!$A$2:$A$1000,$A172,'1_原始數據'!$C$2:$C$1000,"khp_titration_mL"))))</f>
        <v/>
      </c>
      <c r="L172" s="25">
        <f>IF($A172="","",IF($C172&lt;&gt;"manual_titration_mL","",IFERROR(INDEX('3_可滴定酸度'!$E$6:$E$13,MATCH($I172,'3_可滴定酸度'!$B$6:$B$13,0)),"")))</f>
        <v/>
      </c>
      <c r="M172" s="25">
        <f>IF($A172="","",IF($C172&lt;&gt;"manual_titration_mL","",IFERROR(INDEX('3_可滴定酸度'!$F$6:$F$13,MATCH($I172,'3_可滴定酸度'!$B$6:$B$13,0)),"")))</f>
        <v/>
      </c>
      <c r="N172" s="24">
        <f>IF($A172="","",IF(OR(K172="",L172="",M172=""),"",K172*E172*L172/(M172*1000)*100))</f>
        <v/>
      </c>
      <c r="O172" s="24">
        <f>IF($A172="","",IF(N172="","",IF(COUNTIFS('1_原始數據'!$A$2:$A$1000,$A172,'1_原始數據'!$B$2:$B$1000,$B172,'1_原始數據'!$D$2:$D$1000,$D172,'1_原始數據'!$I$2:$I$1000,$I172,'1_原始數據'!$C$2:$C$1000,"pasco_pct_acid")=0,"",SUMIFS('1_原始數據'!$E$2:$E$1000,'1_原始數據'!$A$2:$A$1000,$A172,'1_原始數據'!$B$2:$B$1000,$B172,'1_原始數據'!$D$2:$D$1000,$D172,'1_原始數據'!$I$2:$I$1000,$I172,'1_原始數據'!$C$2:$C$1000,"pasco_pct_acid"))))</f>
        <v/>
      </c>
      <c r="P172" s="26">
        <f>IF($A172="","",IF(OR(N172="",O172=""),"",O172-N172))</f>
        <v/>
      </c>
      <c r="Q172" s="24">
        <f>IF($A172="","",IF(P172="","",(O172+N172)/2))</f>
        <v/>
      </c>
      <c r="R172" s="27">
        <f>IF($A172="","",IF(P172="","",COUNT($P$2:P172)))</f>
        <v/>
      </c>
    </row>
    <row r="173">
      <c r="J173" s="24">
        <f>IF($A173="","",IF($C173&lt;&gt;"khp_titration_mL","",IF(COUNTIFS('1_原始數據'!$A$2:$A$1000,$A173,'1_原始數據'!$B$2:$B$1000,$B173,'1_原始數據'!$D$2:$D$1000,$D173,'1_原始數據'!$C$2:$C$1000,"khp_mass_g")=0,"",SUMIFS('1_原始數據'!$E$2:$E$1000,'1_原始數據'!$A$2:$A$1000,$A173,'1_原始數據'!$B$2:$B$1000,$B173,'1_原始數據'!$D$2:$D$1000,$D173,'1_原始數據'!$C$2:$C$1000,"khp_mass_g")/('2_NaOH標定'!$C$5*$E173/1000))))</f>
        <v/>
      </c>
      <c r="K173" s="24">
        <f>IF($A173="","",IF($C173&lt;&gt;"manual_titration_mL","",IF(COUNTIFS('1_原始數據'!$A$2:$A$1000,$A173,'1_原始數據'!$C$2:$C$1000,"khp_titration_mL")=0,"",AVERAGEIFS('1_原始數據'!$J$2:$J$1000,'1_原始數據'!$A$2:$A$1000,$A173,'1_原始數據'!$C$2:$C$1000,"khp_titration_mL"))))</f>
        <v/>
      </c>
      <c r="L173" s="25">
        <f>IF($A173="","",IF($C173&lt;&gt;"manual_titration_mL","",IFERROR(INDEX('3_可滴定酸度'!$E$6:$E$13,MATCH($I173,'3_可滴定酸度'!$B$6:$B$13,0)),"")))</f>
        <v/>
      </c>
      <c r="M173" s="25">
        <f>IF($A173="","",IF($C173&lt;&gt;"manual_titration_mL","",IFERROR(INDEX('3_可滴定酸度'!$F$6:$F$13,MATCH($I173,'3_可滴定酸度'!$B$6:$B$13,0)),"")))</f>
        <v/>
      </c>
      <c r="N173" s="24">
        <f>IF($A173="","",IF(OR(K173="",L173="",M173=""),"",K173*E173*L173/(M173*1000)*100))</f>
        <v/>
      </c>
      <c r="O173" s="24">
        <f>IF($A173="","",IF(N173="","",IF(COUNTIFS('1_原始數據'!$A$2:$A$1000,$A173,'1_原始數據'!$B$2:$B$1000,$B173,'1_原始數據'!$D$2:$D$1000,$D173,'1_原始數據'!$I$2:$I$1000,$I173,'1_原始數據'!$C$2:$C$1000,"pasco_pct_acid")=0,"",SUMIFS('1_原始數據'!$E$2:$E$1000,'1_原始數據'!$A$2:$A$1000,$A173,'1_原始數據'!$B$2:$B$1000,$B173,'1_原始數據'!$D$2:$D$1000,$D173,'1_原始數據'!$I$2:$I$1000,$I173,'1_原始數據'!$C$2:$C$1000,"pasco_pct_acid"))))</f>
        <v/>
      </c>
      <c r="P173" s="26">
        <f>IF($A173="","",IF(OR(N173="",O173=""),"",O173-N173))</f>
        <v/>
      </c>
      <c r="Q173" s="24">
        <f>IF($A173="","",IF(P173="","",(O173+N173)/2))</f>
        <v/>
      </c>
      <c r="R173" s="27">
        <f>IF($A173="","",IF(P173="","",COUNT($P$2:P173)))</f>
        <v/>
      </c>
    </row>
    <row r="174">
      <c r="J174" s="24">
        <f>IF($A174="","",IF($C174&lt;&gt;"khp_titration_mL","",IF(COUNTIFS('1_原始數據'!$A$2:$A$1000,$A174,'1_原始數據'!$B$2:$B$1000,$B174,'1_原始數據'!$D$2:$D$1000,$D174,'1_原始數據'!$C$2:$C$1000,"khp_mass_g")=0,"",SUMIFS('1_原始數據'!$E$2:$E$1000,'1_原始數據'!$A$2:$A$1000,$A174,'1_原始數據'!$B$2:$B$1000,$B174,'1_原始數據'!$D$2:$D$1000,$D174,'1_原始數據'!$C$2:$C$1000,"khp_mass_g")/('2_NaOH標定'!$C$5*$E174/1000))))</f>
        <v/>
      </c>
      <c r="K174" s="24">
        <f>IF($A174="","",IF($C174&lt;&gt;"manual_titration_mL","",IF(COUNTIFS('1_原始數據'!$A$2:$A$1000,$A174,'1_原始數據'!$C$2:$C$1000,"khp_titration_mL")=0,"",AVERAGEIFS('1_原始數據'!$J$2:$J$1000,'1_原始數據'!$A$2:$A$1000,$A174,'1_原始數據'!$C$2:$C$1000,"khp_titration_mL"))))</f>
        <v/>
      </c>
      <c r="L174" s="25">
        <f>IF($A174="","",IF($C174&lt;&gt;"manual_titration_mL","",IFERROR(INDEX('3_可滴定酸度'!$E$6:$E$13,MATCH($I174,'3_可滴定酸度'!$B$6:$B$13,0)),"")))</f>
        <v/>
      </c>
      <c r="M174" s="25">
        <f>IF($A174="","",IF($C174&lt;&gt;"manual_titration_mL","",IFERROR(INDEX('3_可滴定酸度'!$F$6:$F$13,MATCH($I174,'3_可滴定酸度'!$B$6:$B$13,0)),"")))</f>
        <v/>
      </c>
      <c r="N174" s="24">
        <f>IF($A174="","",IF(OR(K174="",L174="",M174=""),"",K174*E174*L174/(M174*1000)*100))</f>
        <v/>
      </c>
      <c r="O174" s="24">
        <f>IF($A174="","",IF(N174="","",IF(COUNTIFS('1_原始數據'!$A$2:$A$1000,$A174,'1_原始數據'!$B$2:$B$1000,$B174,'1_原始數據'!$D$2:$D$1000,$D174,'1_原始數據'!$I$2:$I$1000,$I174,'1_原始數據'!$C$2:$C$1000,"pasco_pct_acid")=0,"",SUMIFS('1_原始數據'!$E$2:$E$1000,'1_原始數據'!$A$2:$A$1000,$A174,'1_原始數據'!$B$2:$B$1000,$B174,'1_原始數據'!$D$2:$D$1000,$D174,'1_原始數據'!$I$2:$I$1000,$I174,'1_原始數據'!$C$2:$C$1000,"pasco_pct_acid"))))</f>
        <v/>
      </c>
      <c r="P174" s="26">
        <f>IF($A174="","",IF(OR(N174="",O174=""),"",O174-N174))</f>
        <v/>
      </c>
      <c r="Q174" s="24">
        <f>IF($A174="","",IF(P174="","",(O174+N174)/2))</f>
        <v/>
      </c>
      <c r="R174" s="27">
        <f>IF($A174="","",IF(P174="","",COUNT($P$2:P174)))</f>
        <v/>
      </c>
    </row>
    <row r="175">
      <c r="J175" s="24">
        <f>IF($A175="","",IF($C175&lt;&gt;"khp_titration_mL","",IF(COUNTIFS('1_原始數據'!$A$2:$A$1000,$A175,'1_原始數據'!$B$2:$B$1000,$B175,'1_原始數據'!$D$2:$D$1000,$D175,'1_原始數據'!$C$2:$C$1000,"khp_mass_g")=0,"",SUMIFS('1_原始數據'!$E$2:$E$1000,'1_原始數據'!$A$2:$A$1000,$A175,'1_原始數據'!$B$2:$B$1000,$B175,'1_原始數據'!$D$2:$D$1000,$D175,'1_原始數據'!$C$2:$C$1000,"khp_mass_g")/('2_NaOH標定'!$C$5*$E175/1000))))</f>
        <v/>
      </c>
      <c r="K175" s="24">
        <f>IF($A175="","",IF($C175&lt;&gt;"manual_titration_mL","",IF(COUNTIFS('1_原始數據'!$A$2:$A$1000,$A175,'1_原始數據'!$C$2:$C$1000,"khp_titration_mL")=0,"",AVERAGEIFS('1_原始數據'!$J$2:$J$1000,'1_原始數據'!$A$2:$A$1000,$A175,'1_原始數據'!$C$2:$C$1000,"khp_titration_mL"))))</f>
        <v/>
      </c>
      <c r="L175" s="25">
        <f>IF($A175="","",IF($C175&lt;&gt;"manual_titration_mL","",IFERROR(INDEX('3_可滴定酸度'!$E$6:$E$13,MATCH($I175,'3_可滴定酸度'!$B$6:$B$13,0)),"")))</f>
        <v/>
      </c>
      <c r="M175" s="25">
        <f>IF($A175="","",IF($C175&lt;&gt;"manual_titration_mL","",IFERROR(INDEX('3_可滴定酸度'!$F$6:$F$13,MATCH($I175,'3_可滴定酸度'!$B$6:$B$13,0)),"")))</f>
        <v/>
      </c>
      <c r="N175" s="24">
        <f>IF($A175="","",IF(OR(K175="",L175="",M175=""),"",K175*E175*L175/(M175*1000)*100))</f>
        <v/>
      </c>
      <c r="O175" s="24">
        <f>IF($A175="","",IF(N175="","",IF(COUNTIFS('1_原始數據'!$A$2:$A$1000,$A175,'1_原始數據'!$B$2:$B$1000,$B175,'1_原始數據'!$D$2:$D$1000,$D175,'1_原始數據'!$I$2:$I$1000,$I175,'1_原始數據'!$C$2:$C$1000,"pasco_pct_acid")=0,"",SUMIFS('1_原始數據'!$E$2:$E$1000,'1_原始數據'!$A$2:$A$1000,$A175,'1_原始數據'!$B$2:$B$1000,$B175,'1_原始數據'!$D$2:$D$1000,$D175,'1_原始數據'!$I$2:$I$1000,$I175,'1_原始數據'!$C$2:$C$1000,"pasco_pct_acid"))))</f>
        <v/>
      </c>
      <c r="P175" s="26">
        <f>IF($A175="","",IF(OR(N175="",O175=""),"",O175-N175))</f>
        <v/>
      </c>
      <c r="Q175" s="24">
        <f>IF($A175="","",IF(P175="","",(O175+N175)/2))</f>
        <v/>
      </c>
      <c r="R175" s="27">
        <f>IF($A175="","",IF(P175="","",COUNT($P$2:P175)))</f>
        <v/>
      </c>
    </row>
    <row r="176">
      <c r="J176" s="24">
        <f>IF($A176="","",IF($C176&lt;&gt;"khp_titration_mL","",IF(COUNTIFS('1_原始數據'!$A$2:$A$1000,$A176,'1_原始數據'!$B$2:$B$1000,$B176,'1_原始數據'!$D$2:$D$1000,$D176,'1_原始數據'!$C$2:$C$1000,"khp_mass_g")=0,"",SUMIFS('1_原始數據'!$E$2:$E$1000,'1_原始數據'!$A$2:$A$1000,$A176,'1_原始數據'!$B$2:$B$1000,$B176,'1_原始數據'!$D$2:$D$1000,$D176,'1_原始數據'!$C$2:$C$1000,"khp_mass_g")/('2_NaOH標定'!$C$5*$E176/1000))))</f>
        <v/>
      </c>
      <c r="K176" s="24">
        <f>IF($A176="","",IF($C176&lt;&gt;"manual_titration_mL","",IF(COUNTIFS('1_原始數據'!$A$2:$A$1000,$A176,'1_原始數據'!$C$2:$C$1000,"khp_titration_mL")=0,"",AVERAGEIFS('1_原始數據'!$J$2:$J$1000,'1_原始數據'!$A$2:$A$1000,$A176,'1_原始數據'!$C$2:$C$1000,"khp_titration_mL"))))</f>
        <v/>
      </c>
      <c r="L176" s="25">
        <f>IF($A176="","",IF($C176&lt;&gt;"manual_titration_mL","",IFERROR(INDEX('3_可滴定酸度'!$E$6:$E$13,MATCH($I176,'3_可滴定酸度'!$B$6:$B$13,0)),"")))</f>
        <v/>
      </c>
      <c r="M176" s="25">
        <f>IF($A176="","",IF($C176&lt;&gt;"manual_titration_mL","",IFERROR(INDEX('3_可滴定酸度'!$F$6:$F$13,MATCH($I176,'3_可滴定酸度'!$B$6:$B$13,0)),"")))</f>
        <v/>
      </c>
      <c r="N176" s="24">
        <f>IF($A176="","",IF(OR(K176="",L176="",M176=""),"",K176*E176*L176/(M176*1000)*100))</f>
        <v/>
      </c>
      <c r="O176" s="24">
        <f>IF($A176="","",IF(N176="","",IF(COUNTIFS('1_原始數據'!$A$2:$A$1000,$A176,'1_原始數據'!$B$2:$B$1000,$B176,'1_原始數據'!$D$2:$D$1000,$D176,'1_原始數據'!$I$2:$I$1000,$I176,'1_原始數據'!$C$2:$C$1000,"pasco_pct_acid")=0,"",SUMIFS('1_原始數據'!$E$2:$E$1000,'1_原始數據'!$A$2:$A$1000,$A176,'1_原始數據'!$B$2:$B$1000,$B176,'1_原始數據'!$D$2:$D$1000,$D176,'1_原始數據'!$I$2:$I$1000,$I176,'1_原始數據'!$C$2:$C$1000,"pasco_pct_acid"))))</f>
        <v/>
      </c>
      <c r="P176" s="26">
        <f>IF($A176="","",IF(OR(N176="",O176=""),"",O176-N176))</f>
        <v/>
      </c>
      <c r="Q176" s="24">
        <f>IF($A176="","",IF(P176="","",(O176+N176)/2))</f>
        <v/>
      </c>
      <c r="R176" s="27">
        <f>IF($A176="","",IF(P176="","",COUNT($P$2:P176)))</f>
        <v/>
      </c>
    </row>
    <row r="177">
      <c r="J177" s="24">
        <f>IF($A177="","",IF($C177&lt;&gt;"khp_titration_mL","",IF(COUNTIFS('1_原始數據'!$A$2:$A$1000,$A177,'1_原始數據'!$B$2:$B$1000,$B177,'1_原始數據'!$D$2:$D$1000,$D177,'1_原始數據'!$C$2:$C$1000,"khp_mass_g")=0,"",SUMIFS('1_原始數據'!$E$2:$E$1000,'1_原始數據'!$A$2:$A$1000,$A177,'1_原始數據'!$B$2:$B$1000,$B177,'1_原始數據'!$D$2:$D$1000,$D177,'1_原始數據'!$C$2:$C$1000,"khp_mass_g")/('2_NaOH標定'!$C$5*$E177/1000))))</f>
        <v/>
      </c>
      <c r="K177" s="24">
        <f>IF($A177="","",IF($C177&lt;&gt;"manual_titration_mL","",IF(COUNTIFS('1_原始數據'!$A$2:$A$1000,$A177,'1_原始數據'!$C$2:$C$1000,"khp_titration_mL")=0,"",AVERAGEIFS('1_原始數據'!$J$2:$J$1000,'1_原始數據'!$A$2:$A$1000,$A177,'1_原始數據'!$C$2:$C$1000,"khp_titration_mL"))))</f>
        <v/>
      </c>
      <c r="L177" s="25">
        <f>IF($A177="","",IF($C177&lt;&gt;"manual_titration_mL","",IFERROR(INDEX('3_可滴定酸度'!$E$6:$E$13,MATCH($I177,'3_可滴定酸度'!$B$6:$B$13,0)),"")))</f>
        <v/>
      </c>
      <c r="M177" s="25">
        <f>IF($A177="","",IF($C177&lt;&gt;"manual_titration_mL","",IFERROR(INDEX('3_可滴定酸度'!$F$6:$F$13,MATCH($I177,'3_可滴定酸度'!$B$6:$B$13,0)),"")))</f>
        <v/>
      </c>
      <c r="N177" s="24">
        <f>IF($A177="","",IF(OR(K177="",L177="",M177=""),"",K177*E177*L177/(M177*1000)*100))</f>
        <v/>
      </c>
      <c r="O177" s="24">
        <f>IF($A177="","",IF(N177="","",IF(COUNTIFS('1_原始數據'!$A$2:$A$1000,$A177,'1_原始數據'!$B$2:$B$1000,$B177,'1_原始數據'!$D$2:$D$1000,$D177,'1_原始數據'!$I$2:$I$1000,$I177,'1_原始數據'!$C$2:$C$1000,"pasco_pct_acid")=0,"",SUMIFS('1_原始數據'!$E$2:$E$1000,'1_原始數據'!$A$2:$A$1000,$A177,'1_原始數據'!$B$2:$B$1000,$B177,'1_原始數據'!$D$2:$D$1000,$D177,'1_原始數據'!$I$2:$I$1000,$I177,'1_原始數據'!$C$2:$C$1000,"pasco_pct_acid"))))</f>
        <v/>
      </c>
      <c r="P177" s="26">
        <f>IF($A177="","",IF(OR(N177="",O177=""),"",O177-N177))</f>
        <v/>
      </c>
      <c r="Q177" s="24">
        <f>IF($A177="","",IF(P177="","",(O177+N177)/2))</f>
        <v/>
      </c>
      <c r="R177" s="27">
        <f>IF($A177="","",IF(P177="","",COUNT($P$2:P177)))</f>
        <v/>
      </c>
    </row>
    <row r="178">
      <c r="J178" s="24">
        <f>IF($A178="","",IF($C178&lt;&gt;"khp_titration_mL","",IF(COUNTIFS('1_原始數據'!$A$2:$A$1000,$A178,'1_原始數據'!$B$2:$B$1000,$B178,'1_原始數據'!$D$2:$D$1000,$D178,'1_原始數據'!$C$2:$C$1000,"khp_mass_g")=0,"",SUMIFS('1_原始數據'!$E$2:$E$1000,'1_原始數據'!$A$2:$A$1000,$A178,'1_原始數據'!$B$2:$B$1000,$B178,'1_原始數據'!$D$2:$D$1000,$D178,'1_原始數據'!$C$2:$C$1000,"khp_mass_g")/('2_NaOH標定'!$C$5*$E178/1000))))</f>
        <v/>
      </c>
      <c r="K178" s="24">
        <f>IF($A178="","",IF($C178&lt;&gt;"manual_titration_mL","",IF(COUNTIFS('1_原始數據'!$A$2:$A$1000,$A178,'1_原始數據'!$C$2:$C$1000,"khp_titration_mL")=0,"",AVERAGEIFS('1_原始數據'!$J$2:$J$1000,'1_原始數據'!$A$2:$A$1000,$A178,'1_原始數據'!$C$2:$C$1000,"khp_titration_mL"))))</f>
        <v/>
      </c>
      <c r="L178" s="25">
        <f>IF($A178="","",IF($C178&lt;&gt;"manual_titration_mL","",IFERROR(INDEX('3_可滴定酸度'!$E$6:$E$13,MATCH($I178,'3_可滴定酸度'!$B$6:$B$13,0)),"")))</f>
        <v/>
      </c>
      <c r="M178" s="25">
        <f>IF($A178="","",IF($C178&lt;&gt;"manual_titration_mL","",IFERROR(INDEX('3_可滴定酸度'!$F$6:$F$13,MATCH($I178,'3_可滴定酸度'!$B$6:$B$13,0)),"")))</f>
        <v/>
      </c>
      <c r="N178" s="24">
        <f>IF($A178="","",IF(OR(K178="",L178="",M178=""),"",K178*E178*L178/(M178*1000)*100))</f>
        <v/>
      </c>
      <c r="O178" s="24">
        <f>IF($A178="","",IF(N178="","",IF(COUNTIFS('1_原始數據'!$A$2:$A$1000,$A178,'1_原始數據'!$B$2:$B$1000,$B178,'1_原始數據'!$D$2:$D$1000,$D178,'1_原始數據'!$I$2:$I$1000,$I178,'1_原始數據'!$C$2:$C$1000,"pasco_pct_acid")=0,"",SUMIFS('1_原始數據'!$E$2:$E$1000,'1_原始數據'!$A$2:$A$1000,$A178,'1_原始數據'!$B$2:$B$1000,$B178,'1_原始數據'!$D$2:$D$1000,$D178,'1_原始數據'!$I$2:$I$1000,$I178,'1_原始數據'!$C$2:$C$1000,"pasco_pct_acid"))))</f>
        <v/>
      </c>
      <c r="P178" s="26">
        <f>IF($A178="","",IF(OR(N178="",O178=""),"",O178-N178))</f>
        <v/>
      </c>
      <c r="Q178" s="24">
        <f>IF($A178="","",IF(P178="","",(O178+N178)/2))</f>
        <v/>
      </c>
      <c r="R178" s="27">
        <f>IF($A178="","",IF(P178="","",COUNT($P$2:P178)))</f>
        <v/>
      </c>
    </row>
    <row r="179">
      <c r="J179" s="24">
        <f>IF($A179="","",IF($C179&lt;&gt;"khp_titration_mL","",IF(COUNTIFS('1_原始數據'!$A$2:$A$1000,$A179,'1_原始數據'!$B$2:$B$1000,$B179,'1_原始數據'!$D$2:$D$1000,$D179,'1_原始數據'!$C$2:$C$1000,"khp_mass_g")=0,"",SUMIFS('1_原始數據'!$E$2:$E$1000,'1_原始數據'!$A$2:$A$1000,$A179,'1_原始數據'!$B$2:$B$1000,$B179,'1_原始數據'!$D$2:$D$1000,$D179,'1_原始數據'!$C$2:$C$1000,"khp_mass_g")/('2_NaOH標定'!$C$5*$E179/1000))))</f>
        <v/>
      </c>
      <c r="K179" s="24">
        <f>IF($A179="","",IF($C179&lt;&gt;"manual_titration_mL","",IF(COUNTIFS('1_原始數據'!$A$2:$A$1000,$A179,'1_原始數據'!$C$2:$C$1000,"khp_titration_mL")=0,"",AVERAGEIFS('1_原始數據'!$J$2:$J$1000,'1_原始數據'!$A$2:$A$1000,$A179,'1_原始數據'!$C$2:$C$1000,"khp_titration_mL"))))</f>
        <v/>
      </c>
      <c r="L179" s="25">
        <f>IF($A179="","",IF($C179&lt;&gt;"manual_titration_mL","",IFERROR(INDEX('3_可滴定酸度'!$E$6:$E$13,MATCH($I179,'3_可滴定酸度'!$B$6:$B$13,0)),"")))</f>
        <v/>
      </c>
      <c r="M179" s="25">
        <f>IF($A179="","",IF($C179&lt;&gt;"manual_titration_mL","",IFERROR(INDEX('3_可滴定酸度'!$F$6:$F$13,MATCH($I179,'3_可滴定酸度'!$B$6:$B$13,0)),"")))</f>
        <v/>
      </c>
      <c r="N179" s="24">
        <f>IF($A179="","",IF(OR(K179="",L179="",M179=""),"",K179*E179*L179/(M179*1000)*100))</f>
        <v/>
      </c>
      <c r="O179" s="24">
        <f>IF($A179="","",IF(N179="","",IF(COUNTIFS('1_原始數據'!$A$2:$A$1000,$A179,'1_原始數據'!$B$2:$B$1000,$B179,'1_原始數據'!$D$2:$D$1000,$D179,'1_原始數據'!$I$2:$I$1000,$I179,'1_原始數據'!$C$2:$C$1000,"pasco_pct_acid")=0,"",SUMIFS('1_原始數據'!$E$2:$E$1000,'1_原始數據'!$A$2:$A$1000,$A179,'1_原始數據'!$B$2:$B$1000,$B179,'1_原始數據'!$D$2:$D$1000,$D179,'1_原始數據'!$I$2:$I$1000,$I179,'1_原始數據'!$C$2:$C$1000,"pasco_pct_acid"))))</f>
        <v/>
      </c>
      <c r="P179" s="26">
        <f>IF($A179="","",IF(OR(N179="",O179=""),"",O179-N179))</f>
        <v/>
      </c>
      <c r="Q179" s="24">
        <f>IF($A179="","",IF(P179="","",(O179+N179)/2))</f>
        <v/>
      </c>
      <c r="R179" s="27">
        <f>IF($A179="","",IF(P179="","",COUNT($P$2:P179)))</f>
        <v/>
      </c>
    </row>
    <row r="180">
      <c r="J180" s="24">
        <f>IF($A180="","",IF($C180&lt;&gt;"khp_titration_mL","",IF(COUNTIFS('1_原始數據'!$A$2:$A$1000,$A180,'1_原始數據'!$B$2:$B$1000,$B180,'1_原始數據'!$D$2:$D$1000,$D180,'1_原始數據'!$C$2:$C$1000,"khp_mass_g")=0,"",SUMIFS('1_原始數據'!$E$2:$E$1000,'1_原始數據'!$A$2:$A$1000,$A180,'1_原始數據'!$B$2:$B$1000,$B180,'1_原始數據'!$D$2:$D$1000,$D180,'1_原始數據'!$C$2:$C$1000,"khp_mass_g")/('2_NaOH標定'!$C$5*$E180/1000))))</f>
        <v/>
      </c>
      <c r="K180" s="24">
        <f>IF($A180="","",IF($C180&lt;&gt;"manual_titration_mL","",IF(COUNTIFS('1_原始數據'!$A$2:$A$1000,$A180,'1_原始數據'!$C$2:$C$1000,"khp_titration_mL")=0,"",AVERAGEIFS('1_原始數據'!$J$2:$J$1000,'1_原始數據'!$A$2:$A$1000,$A180,'1_原始數據'!$C$2:$C$1000,"khp_titration_mL"))))</f>
        <v/>
      </c>
      <c r="L180" s="25">
        <f>IF($A180="","",IF($C180&lt;&gt;"manual_titration_mL","",IFERROR(INDEX('3_可滴定酸度'!$E$6:$E$13,MATCH($I180,'3_可滴定酸度'!$B$6:$B$13,0)),"")))</f>
        <v/>
      </c>
      <c r="M180" s="25">
        <f>IF($A180="","",IF($C180&lt;&gt;"manual_titration_mL","",IFERROR(INDEX('3_可滴定酸度'!$F$6:$F$13,MATCH($I180,'3_可滴定酸度'!$B$6:$B$13,0)),"")))</f>
        <v/>
      </c>
      <c r="N180" s="24">
        <f>IF($A180="","",IF(OR(K180="",L180="",M180=""),"",K180*E180*L180/(M180*1000)*100))</f>
        <v/>
      </c>
      <c r="O180" s="24">
        <f>IF($A180="","",IF(N180="","",IF(COUNTIFS('1_原始數據'!$A$2:$A$1000,$A180,'1_原始數據'!$B$2:$B$1000,$B180,'1_原始數據'!$D$2:$D$1000,$D180,'1_原始數據'!$I$2:$I$1000,$I180,'1_原始數據'!$C$2:$C$1000,"pasco_pct_acid")=0,"",SUMIFS('1_原始數據'!$E$2:$E$1000,'1_原始數據'!$A$2:$A$1000,$A180,'1_原始數據'!$B$2:$B$1000,$B180,'1_原始數據'!$D$2:$D$1000,$D180,'1_原始數據'!$I$2:$I$1000,$I180,'1_原始數據'!$C$2:$C$1000,"pasco_pct_acid"))))</f>
        <v/>
      </c>
      <c r="P180" s="26">
        <f>IF($A180="","",IF(OR(N180="",O180=""),"",O180-N180))</f>
        <v/>
      </c>
      <c r="Q180" s="24">
        <f>IF($A180="","",IF(P180="","",(O180+N180)/2))</f>
        <v/>
      </c>
      <c r="R180" s="27">
        <f>IF($A180="","",IF(P180="","",COUNT($P$2:P180)))</f>
        <v/>
      </c>
    </row>
    <row r="181">
      <c r="J181" s="24">
        <f>IF($A181="","",IF($C181&lt;&gt;"khp_titration_mL","",IF(COUNTIFS('1_原始數據'!$A$2:$A$1000,$A181,'1_原始數據'!$B$2:$B$1000,$B181,'1_原始數據'!$D$2:$D$1000,$D181,'1_原始數據'!$C$2:$C$1000,"khp_mass_g")=0,"",SUMIFS('1_原始數據'!$E$2:$E$1000,'1_原始數據'!$A$2:$A$1000,$A181,'1_原始數據'!$B$2:$B$1000,$B181,'1_原始數據'!$D$2:$D$1000,$D181,'1_原始數據'!$C$2:$C$1000,"khp_mass_g")/('2_NaOH標定'!$C$5*$E181/1000))))</f>
        <v/>
      </c>
      <c r="K181" s="24">
        <f>IF($A181="","",IF($C181&lt;&gt;"manual_titration_mL","",IF(COUNTIFS('1_原始數據'!$A$2:$A$1000,$A181,'1_原始數據'!$C$2:$C$1000,"khp_titration_mL")=0,"",AVERAGEIFS('1_原始數據'!$J$2:$J$1000,'1_原始數據'!$A$2:$A$1000,$A181,'1_原始數據'!$C$2:$C$1000,"khp_titration_mL"))))</f>
        <v/>
      </c>
      <c r="L181" s="25">
        <f>IF($A181="","",IF($C181&lt;&gt;"manual_titration_mL","",IFERROR(INDEX('3_可滴定酸度'!$E$6:$E$13,MATCH($I181,'3_可滴定酸度'!$B$6:$B$13,0)),"")))</f>
        <v/>
      </c>
      <c r="M181" s="25">
        <f>IF($A181="","",IF($C181&lt;&gt;"manual_titration_mL","",IFERROR(INDEX('3_可滴定酸度'!$F$6:$F$13,MATCH($I181,'3_可滴定酸度'!$B$6:$B$13,0)),"")))</f>
        <v/>
      </c>
      <c r="N181" s="24">
        <f>IF($A181="","",IF(OR(K181="",L181="",M181=""),"",K181*E181*L181/(M181*1000)*100))</f>
        <v/>
      </c>
      <c r="O181" s="24">
        <f>IF($A181="","",IF(N181="","",IF(COUNTIFS('1_原始數據'!$A$2:$A$1000,$A181,'1_原始數據'!$B$2:$B$1000,$B181,'1_原始數據'!$D$2:$D$1000,$D181,'1_原始數據'!$I$2:$I$1000,$I181,'1_原始數據'!$C$2:$C$1000,"pasco_pct_acid")=0,"",SUMIFS('1_原始數據'!$E$2:$E$1000,'1_原始數據'!$A$2:$A$1000,$A181,'1_原始數據'!$B$2:$B$1000,$B181,'1_原始數據'!$D$2:$D$1000,$D181,'1_原始數據'!$I$2:$I$1000,$I181,'1_原始數據'!$C$2:$C$1000,"pasco_pct_acid"))))</f>
        <v/>
      </c>
      <c r="P181" s="26">
        <f>IF($A181="","",IF(OR(N181="",O181=""),"",O181-N181))</f>
        <v/>
      </c>
      <c r="Q181" s="24">
        <f>IF($A181="","",IF(P181="","",(O181+N181)/2))</f>
        <v/>
      </c>
      <c r="R181" s="27">
        <f>IF($A181="","",IF(P181="","",COUNT($P$2:P181)))</f>
        <v/>
      </c>
    </row>
    <row r="182">
      <c r="J182" s="24">
        <f>IF($A182="","",IF($C182&lt;&gt;"khp_titration_mL","",IF(COUNTIFS('1_原始數據'!$A$2:$A$1000,$A182,'1_原始數據'!$B$2:$B$1000,$B182,'1_原始數據'!$D$2:$D$1000,$D182,'1_原始數據'!$C$2:$C$1000,"khp_mass_g")=0,"",SUMIFS('1_原始數據'!$E$2:$E$1000,'1_原始數據'!$A$2:$A$1000,$A182,'1_原始數據'!$B$2:$B$1000,$B182,'1_原始數據'!$D$2:$D$1000,$D182,'1_原始數據'!$C$2:$C$1000,"khp_mass_g")/('2_NaOH標定'!$C$5*$E182/1000))))</f>
        <v/>
      </c>
      <c r="K182" s="24">
        <f>IF($A182="","",IF($C182&lt;&gt;"manual_titration_mL","",IF(COUNTIFS('1_原始數據'!$A$2:$A$1000,$A182,'1_原始數據'!$C$2:$C$1000,"khp_titration_mL")=0,"",AVERAGEIFS('1_原始數據'!$J$2:$J$1000,'1_原始數據'!$A$2:$A$1000,$A182,'1_原始數據'!$C$2:$C$1000,"khp_titration_mL"))))</f>
        <v/>
      </c>
      <c r="L182" s="25">
        <f>IF($A182="","",IF($C182&lt;&gt;"manual_titration_mL","",IFERROR(INDEX('3_可滴定酸度'!$E$6:$E$13,MATCH($I182,'3_可滴定酸度'!$B$6:$B$13,0)),"")))</f>
        <v/>
      </c>
      <c r="M182" s="25">
        <f>IF($A182="","",IF($C182&lt;&gt;"manual_titration_mL","",IFERROR(INDEX('3_可滴定酸度'!$F$6:$F$13,MATCH($I182,'3_可滴定酸度'!$B$6:$B$13,0)),"")))</f>
        <v/>
      </c>
      <c r="N182" s="24">
        <f>IF($A182="","",IF(OR(K182="",L182="",M182=""),"",K182*E182*L182/(M182*1000)*100))</f>
        <v/>
      </c>
      <c r="O182" s="24">
        <f>IF($A182="","",IF(N182="","",IF(COUNTIFS('1_原始數據'!$A$2:$A$1000,$A182,'1_原始數據'!$B$2:$B$1000,$B182,'1_原始數據'!$D$2:$D$1000,$D182,'1_原始數據'!$I$2:$I$1000,$I182,'1_原始數據'!$C$2:$C$1000,"pasco_pct_acid")=0,"",SUMIFS('1_原始數據'!$E$2:$E$1000,'1_原始數據'!$A$2:$A$1000,$A182,'1_原始數據'!$B$2:$B$1000,$B182,'1_原始數據'!$D$2:$D$1000,$D182,'1_原始數據'!$I$2:$I$1000,$I182,'1_原始數據'!$C$2:$C$1000,"pasco_pct_acid"))))</f>
        <v/>
      </c>
      <c r="P182" s="26">
        <f>IF($A182="","",IF(OR(N182="",O182=""),"",O182-N182))</f>
        <v/>
      </c>
      <c r="Q182" s="24">
        <f>IF($A182="","",IF(P182="","",(O182+N182)/2))</f>
        <v/>
      </c>
      <c r="R182" s="27">
        <f>IF($A182="","",IF(P182="","",COUNT($P$2:P182)))</f>
        <v/>
      </c>
    </row>
    <row r="183">
      <c r="J183" s="24">
        <f>IF($A183="","",IF($C183&lt;&gt;"khp_titration_mL","",IF(COUNTIFS('1_原始數據'!$A$2:$A$1000,$A183,'1_原始數據'!$B$2:$B$1000,$B183,'1_原始數據'!$D$2:$D$1000,$D183,'1_原始數據'!$C$2:$C$1000,"khp_mass_g")=0,"",SUMIFS('1_原始數據'!$E$2:$E$1000,'1_原始數據'!$A$2:$A$1000,$A183,'1_原始數據'!$B$2:$B$1000,$B183,'1_原始數據'!$D$2:$D$1000,$D183,'1_原始數據'!$C$2:$C$1000,"khp_mass_g")/('2_NaOH標定'!$C$5*$E183/1000))))</f>
        <v/>
      </c>
      <c r="K183" s="24">
        <f>IF($A183="","",IF($C183&lt;&gt;"manual_titration_mL","",IF(COUNTIFS('1_原始數據'!$A$2:$A$1000,$A183,'1_原始數據'!$C$2:$C$1000,"khp_titration_mL")=0,"",AVERAGEIFS('1_原始數據'!$J$2:$J$1000,'1_原始數據'!$A$2:$A$1000,$A183,'1_原始數據'!$C$2:$C$1000,"khp_titration_mL"))))</f>
        <v/>
      </c>
      <c r="L183" s="25">
        <f>IF($A183="","",IF($C183&lt;&gt;"manual_titration_mL","",IFERROR(INDEX('3_可滴定酸度'!$E$6:$E$13,MATCH($I183,'3_可滴定酸度'!$B$6:$B$13,0)),"")))</f>
        <v/>
      </c>
      <c r="M183" s="25">
        <f>IF($A183="","",IF($C183&lt;&gt;"manual_titration_mL","",IFERROR(INDEX('3_可滴定酸度'!$F$6:$F$13,MATCH($I183,'3_可滴定酸度'!$B$6:$B$13,0)),"")))</f>
        <v/>
      </c>
      <c r="N183" s="24">
        <f>IF($A183="","",IF(OR(K183="",L183="",M183=""),"",K183*E183*L183/(M183*1000)*100))</f>
        <v/>
      </c>
      <c r="O183" s="24">
        <f>IF($A183="","",IF(N183="","",IF(COUNTIFS('1_原始數據'!$A$2:$A$1000,$A183,'1_原始數據'!$B$2:$B$1000,$B183,'1_原始數據'!$D$2:$D$1000,$D183,'1_原始數據'!$I$2:$I$1000,$I183,'1_原始數據'!$C$2:$C$1000,"pasco_pct_acid")=0,"",SUMIFS('1_原始數據'!$E$2:$E$1000,'1_原始數據'!$A$2:$A$1000,$A183,'1_原始數據'!$B$2:$B$1000,$B183,'1_原始數據'!$D$2:$D$1000,$D183,'1_原始數據'!$I$2:$I$1000,$I183,'1_原始數據'!$C$2:$C$1000,"pasco_pct_acid"))))</f>
        <v/>
      </c>
      <c r="P183" s="26">
        <f>IF($A183="","",IF(OR(N183="",O183=""),"",O183-N183))</f>
        <v/>
      </c>
      <c r="Q183" s="24">
        <f>IF($A183="","",IF(P183="","",(O183+N183)/2))</f>
        <v/>
      </c>
      <c r="R183" s="27">
        <f>IF($A183="","",IF(P183="","",COUNT($P$2:P183)))</f>
        <v/>
      </c>
    </row>
    <row r="184">
      <c r="J184" s="24">
        <f>IF($A184="","",IF($C184&lt;&gt;"khp_titration_mL","",IF(COUNTIFS('1_原始數據'!$A$2:$A$1000,$A184,'1_原始數據'!$B$2:$B$1000,$B184,'1_原始數據'!$D$2:$D$1000,$D184,'1_原始數據'!$C$2:$C$1000,"khp_mass_g")=0,"",SUMIFS('1_原始數據'!$E$2:$E$1000,'1_原始數據'!$A$2:$A$1000,$A184,'1_原始數據'!$B$2:$B$1000,$B184,'1_原始數據'!$D$2:$D$1000,$D184,'1_原始數據'!$C$2:$C$1000,"khp_mass_g")/('2_NaOH標定'!$C$5*$E184/1000))))</f>
        <v/>
      </c>
      <c r="K184" s="24">
        <f>IF($A184="","",IF($C184&lt;&gt;"manual_titration_mL","",IF(COUNTIFS('1_原始數據'!$A$2:$A$1000,$A184,'1_原始數據'!$C$2:$C$1000,"khp_titration_mL")=0,"",AVERAGEIFS('1_原始數據'!$J$2:$J$1000,'1_原始數據'!$A$2:$A$1000,$A184,'1_原始數據'!$C$2:$C$1000,"khp_titration_mL"))))</f>
        <v/>
      </c>
      <c r="L184" s="25">
        <f>IF($A184="","",IF($C184&lt;&gt;"manual_titration_mL","",IFERROR(INDEX('3_可滴定酸度'!$E$6:$E$13,MATCH($I184,'3_可滴定酸度'!$B$6:$B$13,0)),"")))</f>
        <v/>
      </c>
      <c r="M184" s="25">
        <f>IF($A184="","",IF($C184&lt;&gt;"manual_titration_mL","",IFERROR(INDEX('3_可滴定酸度'!$F$6:$F$13,MATCH($I184,'3_可滴定酸度'!$B$6:$B$13,0)),"")))</f>
        <v/>
      </c>
      <c r="N184" s="24">
        <f>IF($A184="","",IF(OR(K184="",L184="",M184=""),"",K184*E184*L184/(M184*1000)*100))</f>
        <v/>
      </c>
      <c r="O184" s="24">
        <f>IF($A184="","",IF(N184="","",IF(COUNTIFS('1_原始數據'!$A$2:$A$1000,$A184,'1_原始數據'!$B$2:$B$1000,$B184,'1_原始數據'!$D$2:$D$1000,$D184,'1_原始數據'!$I$2:$I$1000,$I184,'1_原始數據'!$C$2:$C$1000,"pasco_pct_acid")=0,"",SUMIFS('1_原始數據'!$E$2:$E$1000,'1_原始數據'!$A$2:$A$1000,$A184,'1_原始數據'!$B$2:$B$1000,$B184,'1_原始數據'!$D$2:$D$1000,$D184,'1_原始數據'!$I$2:$I$1000,$I184,'1_原始數據'!$C$2:$C$1000,"pasco_pct_acid"))))</f>
        <v/>
      </c>
      <c r="P184" s="26">
        <f>IF($A184="","",IF(OR(N184="",O184=""),"",O184-N184))</f>
        <v/>
      </c>
      <c r="Q184" s="24">
        <f>IF($A184="","",IF(P184="","",(O184+N184)/2))</f>
        <v/>
      </c>
      <c r="R184" s="27">
        <f>IF($A184="","",IF(P184="","",COUNT($P$2:P184)))</f>
        <v/>
      </c>
    </row>
    <row r="185">
      <c r="J185" s="24">
        <f>IF($A185="","",IF($C185&lt;&gt;"khp_titration_mL","",IF(COUNTIFS('1_原始數據'!$A$2:$A$1000,$A185,'1_原始數據'!$B$2:$B$1000,$B185,'1_原始數據'!$D$2:$D$1000,$D185,'1_原始數據'!$C$2:$C$1000,"khp_mass_g")=0,"",SUMIFS('1_原始數據'!$E$2:$E$1000,'1_原始數據'!$A$2:$A$1000,$A185,'1_原始數據'!$B$2:$B$1000,$B185,'1_原始數據'!$D$2:$D$1000,$D185,'1_原始數據'!$C$2:$C$1000,"khp_mass_g")/('2_NaOH標定'!$C$5*$E185/1000))))</f>
        <v/>
      </c>
      <c r="K185" s="24">
        <f>IF($A185="","",IF($C185&lt;&gt;"manual_titration_mL","",IF(COUNTIFS('1_原始數據'!$A$2:$A$1000,$A185,'1_原始數據'!$C$2:$C$1000,"khp_titration_mL")=0,"",AVERAGEIFS('1_原始數據'!$J$2:$J$1000,'1_原始數據'!$A$2:$A$1000,$A185,'1_原始數據'!$C$2:$C$1000,"khp_titration_mL"))))</f>
        <v/>
      </c>
      <c r="L185" s="25">
        <f>IF($A185="","",IF($C185&lt;&gt;"manual_titration_mL","",IFERROR(INDEX('3_可滴定酸度'!$E$6:$E$13,MATCH($I185,'3_可滴定酸度'!$B$6:$B$13,0)),"")))</f>
        <v/>
      </c>
      <c r="M185" s="25">
        <f>IF($A185="","",IF($C185&lt;&gt;"manual_titration_mL","",IFERROR(INDEX('3_可滴定酸度'!$F$6:$F$13,MATCH($I185,'3_可滴定酸度'!$B$6:$B$13,0)),"")))</f>
        <v/>
      </c>
      <c r="N185" s="24">
        <f>IF($A185="","",IF(OR(K185="",L185="",M185=""),"",K185*E185*L185/(M185*1000)*100))</f>
        <v/>
      </c>
      <c r="O185" s="24">
        <f>IF($A185="","",IF(N185="","",IF(COUNTIFS('1_原始數據'!$A$2:$A$1000,$A185,'1_原始數據'!$B$2:$B$1000,$B185,'1_原始數據'!$D$2:$D$1000,$D185,'1_原始數據'!$I$2:$I$1000,$I185,'1_原始數據'!$C$2:$C$1000,"pasco_pct_acid")=0,"",SUMIFS('1_原始數據'!$E$2:$E$1000,'1_原始數據'!$A$2:$A$1000,$A185,'1_原始數據'!$B$2:$B$1000,$B185,'1_原始數據'!$D$2:$D$1000,$D185,'1_原始數據'!$I$2:$I$1000,$I185,'1_原始數據'!$C$2:$C$1000,"pasco_pct_acid"))))</f>
        <v/>
      </c>
      <c r="P185" s="26">
        <f>IF($A185="","",IF(OR(N185="",O185=""),"",O185-N185))</f>
        <v/>
      </c>
      <c r="Q185" s="24">
        <f>IF($A185="","",IF(P185="","",(O185+N185)/2))</f>
        <v/>
      </c>
      <c r="R185" s="27">
        <f>IF($A185="","",IF(P185="","",COUNT($P$2:P185)))</f>
        <v/>
      </c>
    </row>
    <row r="186">
      <c r="J186" s="24">
        <f>IF($A186="","",IF($C186&lt;&gt;"khp_titration_mL","",IF(COUNTIFS('1_原始數據'!$A$2:$A$1000,$A186,'1_原始數據'!$B$2:$B$1000,$B186,'1_原始數據'!$D$2:$D$1000,$D186,'1_原始數據'!$C$2:$C$1000,"khp_mass_g")=0,"",SUMIFS('1_原始數據'!$E$2:$E$1000,'1_原始數據'!$A$2:$A$1000,$A186,'1_原始數據'!$B$2:$B$1000,$B186,'1_原始數據'!$D$2:$D$1000,$D186,'1_原始數據'!$C$2:$C$1000,"khp_mass_g")/('2_NaOH標定'!$C$5*$E186/1000))))</f>
        <v/>
      </c>
      <c r="K186" s="24">
        <f>IF($A186="","",IF($C186&lt;&gt;"manual_titration_mL","",IF(COUNTIFS('1_原始數據'!$A$2:$A$1000,$A186,'1_原始數據'!$C$2:$C$1000,"khp_titration_mL")=0,"",AVERAGEIFS('1_原始數據'!$J$2:$J$1000,'1_原始數據'!$A$2:$A$1000,$A186,'1_原始數據'!$C$2:$C$1000,"khp_titration_mL"))))</f>
        <v/>
      </c>
      <c r="L186" s="25">
        <f>IF($A186="","",IF($C186&lt;&gt;"manual_titration_mL","",IFERROR(INDEX('3_可滴定酸度'!$E$6:$E$13,MATCH($I186,'3_可滴定酸度'!$B$6:$B$13,0)),"")))</f>
        <v/>
      </c>
      <c r="M186" s="25">
        <f>IF($A186="","",IF($C186&lt;&gt;"manual_titration_mL","",IFERROR(INDEX('3_可滴定酸度'!$F$6:$F$13,MATCH($I186,'3_可滴定酸度'!$B$6:$B$13,0)),"")))</f>
        <v/>
      </c>
      <c r="N186" s="24">
        <f>IF($A186="","",IF(OR(K186="",L186="",M186=""),"",K186*E186*L186/(M186*1000)*100))</f>
        <v/>
      </c>
      <c r="O186" s="24">
        <f>IF($A186="","",IF(N186="","",IF(COUNTIFS('1_原始數據'!$A$2:$A$1000,$A186,'1_原始數據'!$B$2:$B$1000,$B186,'1_原始數據'!$D$2:$D$1000,$D186,'1_原始數據'!$I$2:$I$1000,$I186,'1_原始數據'!$C$2:$C$1000,"pasco_pct_acid")=0,"",SUMIFS('1_原始數據'!$E$2:$E$1000,'1_原始數據'!$A$2:$A$1000,$A186,'1_原始數據'!$B$2:$B$1000,$B186,'1_原始數據'!$D$2:$D$1000,$D186,'1_原始數據'!$I$2:$I$1000,$I186,'1_原始數據'!$C$2:$C$1000,"pasco_pct_acid"))))</f>
        <v/>
      </c>
      <c r="P186" s="26">
        <f>IF($A186="","",IF(OR(N186="",O186=""),"",O186-N186))</f>
        <v/>
      </c>
      <c r="Q186" s="24">
        <f>IF($A186="","",IF(P186="","",(O186+N186)/2))</f>
        <v/>
      </c>
      <c r="R186" s="27">
        <f>IF($A186="","",IF(P186="","",COUNT($P$2:P186)))</f>
        <v/>
      </c>
    </row>
    <row r="187">
      <c r="J187" s="24">
        <f>IF($A187="","",IF($C187&lt;&gt;"khp_titration_mL","",IF(COUNTIFS('1_原始數據'!$A$2:$A$1000,$A187,'1_原始數據'!$B$2:$B$1000,$B187,'1_原始數據'!$D$2:$D$1000,$D187,'1_原始數據'!$C$2:$C$1000,"khp_mass_g")=0,"",SUMIFS('1_原始數據'!$E$2:$E$1000,'1_原始數據'!$A$2:$A$1000,$A187,'1_原始數據'!$B$2:$B$1000,$B187,'1_原始數據'!$D$2:$D$1000,$D187,'1_原始數據'!$C$2:$C$1000,"khp_mass_g")/('2_NaOH標定'!$C$5*$E187/1000))))</f>
        <v/>
      </c>
      <c r="K187" s="24">
        <f>IF($A187="","",IF($C187&lt;&gt;"manual_titration_mL","",IF(COUNTIFS('1_原始數據'!$A$2:$A$1000,$A187,'1_原始數據'!$C$2:$C$1000,"khp_titration_mL")=0,"",AVERAGEIFS('1_原始數據'!$J$2:$J$1000,'1_原始數據'!$A$2:$A$1000,$A187,'1_原始數據'!$C$2:$C$1000,"khp_titration_mL"))))</f>
        <v/>
      </c>
      <c r="L187" s="25">
        <f>IF($A187="","",IF($C187&lt;&gt;"manual_titration_mL","",IFERROR(INDEX('3_可滴定酸度'!$E$6:$E$13,MATCH($I187,'3_可滴定酸度'!$B$6:$B$13,0)),"")))</f>
        <v/>
      </c>
      <c r="M187" s="25">
        <f>IF($A187="","",IF($C187&lt;&gt;"manual_titration_mL","",IFERROR(INDEX('3_可滴定酸度'!$F$6:$F$13,MATCH($I187,'3_可滴定酸度'!$B$6:$B$13,0)),"")))</f>
        <v/>
      </c>
      <c r="N187" s="24">
        <f>IF($A187="","",IF(OR(K187="",L187="",M187=""),"",K187*E187*L187/(M187*1000)*100))</f>
        <v/>
      </c>
      <c r="O187" s="24">
        <f>IF($A187="","",IF(N187="","",IF(COUNTIFS('1_原始數據'!$A$2:$A$1000,$A187,'1_原始數據'!$B$2:$B$1000,$B187,'1_原始數據'!$D$2:$D$1000,$D187,'1_原始數據'!$I$2:$I$1000,$I187,'1_原始數據'!$C$2:$C$1000,"pasco_pct_acid")=0,"",SUMIFS('1_原始數據'!$E$2:$E$1000,'1_原始數據'!$A$2:$A$1000,$A187,'1_原始數據'!$B$2:$B$1000,$B187,'1_原始數據'!$D$2:$D$1000,$D187,'1_原始數據'!$I$2:$I$1000,$I187,'1_原始數據'!$C$2:$C$1000,"pasco_pct_acid"))))</f>
        <v/>
      </c>
      <c r="P187" s="26">
        <f>IF($A187="","",IF(OR(N187="",O187=""),"",O187-N187))</f>
        <v/>
      </c>
      <c r="Q187" s="24">
        <f>IF($A187="","",IF(P187="","",(O187+N187)/2))</f>
        <v/>
      </c>
      <c r="R187" s="27">
        <f>IF($A187="","",IF(P187="","",COUNT($P$2:P187)))</f>
        <v/>
      </c>
    </row>
    <row r="188">
      <c r="J188" s="24">
        <f>IF($A188="","",IF($C188&lt;&gt;"khp_titration_mL","",IF(COUNTIFS('1_原始數據'!$A$2:$A$1000,$A188,'1_原始數據'!$B$2:$B$1000,$B188,'1_原始數據'!$D$2:$D$1000,$D188,'1_原始數據'!$C$2:$C$1000,"khp_mass_g")=0,"",SUMIFS('1_原始數據'!$E$2:$E$1000,'1_原始數據'!$A$2:$A$1000,$A188,'1_原始數據'!$B$2:$B$1000,$B188,'1_原始數據'!$D$2:$D$1000,$D188,'1_原始數據'!$C$2:$C$1000,"khp_mass_g")/('2_NaOH標定'!$C$5*$E188/1000))))</f>
        <v/>
      </c>
      <c r="K188" s="24">
        <f>IF($A188="","",IF($C188&lt;&gt;"manual_titration_mL","",IF(COUNTIFS('1_原始數據'!$A$2:$A$1000,$A188,'1_原始數據'!$C$2:$C$1000,"khp_titration_mL")=0,"",AVERAGEIFS('1_原始數據'!$J$2:$J$1000,'1_原始數據'!$A$2:$A$1000,$A188,'1_原始數據'!$C$2:$C$1000,"khp_titration_mL"))))</f>
        <v/>
      </c>
      <c r="L188" s="25">
        <f>IF($A188="","",IF($C188&lt;&gt;"manual_titration_mL","",IFERROR(INDEX('3_可滴定酸度'!$E$6:$E$13,MATCH($I188,'3_可滴定酸度'!$B$6:$B$13,0)),"")))</f>
        <v/>
      </c>
      <c r="M188" s="25">
        <f>IF($A188="","",IF($C188&lt;&gt;"manual_titration_mL","",IFERROR(INDEX('3_可滴定酸度'!$F$6:$F$13,MATCH($I188,'3_可滴定酸度'!$B$6:$B$13,0)),"")))</f>
        <v/>
      </c>
      <c r="N188" s="24">
        <f>IF($A188="","",IF(OR(K188="",L188="",M188=""),"",K188*E188*L188/(M188*1000)*100))</f>
        <v/>
      </c>
      <c r="O188" s="24">
        <f>IF($A188="","",IF(N188="","",IF(COUNTIFS('1_原始數據'!$A$2:$A$1000,$A188,'1_原始數據'!$B$2:$B$1000,$B188,'1_原始數據'!$D$2:$D$1000,$D188,'1_原始數據'!$I$2:$I$1000,$I188,'1_原始數據'!$C$2:$C$1000,"pasco_pct_acid")=0,"",SUMIFS('1_原始數據'!$E$2:$E$1000,'1_原始數據'!$A$2:$A$1000,$A188,'1_原始數據'!$B$2:$B$1000,$B188,'1_原始數據'!$D$2:$D$1000,$D188,'1_原始數據'!$I$2:$I$1000,$I188,'1_原始數據'!$C$2:$C$1000,"pasco_pct_acid"))))</f>
        <v/>
      </c>
      <c r="P188" s="26">
        <f>IF($A188="","",IF(OR(N188="",O188=""),"",O188-N188))</f>
        <v/>
      </c>
      <c r="Q188" s="24">
        <f>IF($A188="","",IF(P188="","",(O188+N188)/2))</f>
        <v/>
      </c>
      <c r="R188" s="27">
        <f>IF($A188="","",IF(P188="","",COUNT($P$2:P188)))</f>
        <v/>
      </c>
    </row>
    <row r="189">
      <c r="J189" s="24">
        <f>IF($A189="","",IF($C189&lt;&gt;"khp_titration_mL","",IF(COUNTIFS('1_原始數據'!$A$2:$A$1000,$A189,'1_原始數據'!$B$2:$B$1000,$B189,'1_原始數據'!$D$2:$D$1000,$D189,'1_原始數據'!$C$2:$C$1000,"khp_mass_g")=0,"",SUMIFS('1_原始數據'!$E$2:$E$1000,'1_原始數據'!$A$2:$A$1000,$A189,'1_原始數據'!$B$2:$B$1000,$B189,'1_原始數據'!$D$2:$D$1000,$D189,'1_原始數據'!$C$2:$C$1000,"khp_mass_g")/('2_NaOH標定'!$C$5*$E189/1000))))</f>
        <v/>
      </c>
      <c r="K189" s="24">
        <f>IF($A189="","",IF($C189&lt;&gt;"manual_titration_mL","",IF(COUNTIFS('1_原始數據'!$A$2:$A$1000,$A189,'1_原始數據'!$C$2:$C$1000,"khp_titration_mL")=0,"",AVERAGEIFS('1_原始數據'!$J$2:$J$1000,'1_原始數據'!$A$2:$A$1000,$A189,'1_原始數據'!$C$2:$C$1000,"khp_titration_mL"))))</f>
        <v/>
      </c>
      <c r="L189" s="25">
        <f>IF($A189="","",IF($C189&lt;&gt;"manual_titration_mL","",IFERROR(INDEX('3_可滴定酸度'!$E$6:$E$13,MATCH($I189,'3_可滴定酸度'!$B$6:$B$13,0)),"")))</f>
        <v/>
      </c>
      <c r="M189" s="25">
        <f>IF($A189="","",IF($C189&lt;&gt;"manual_titration_mL","",IFERROR(INDEX('3_可滴定酸度'!$F$6:$F$13,MATCH($I189,'3_可滴定酸度'!$B$6:$B$13,0)),"")))</f>
        <v/>
      </c>
      <c r="N189" s="24">
        <f>IF($A189="","",IF(OR(K189="",L189="",M189=""),"",K189*E189*L189/(M189*1000)*100))</f>
        <v/>
      </c>
      <c r="O189" s="24">
        <f>IF($A189="","",IF(N189="","",IF(COUNTIFS('1_原始數據'!$A$2:$A$1000,$A189,'1_原始數據'!$B$2:$B$1000,$B189,'1_原始數據'!$D$2:$D$1000,$D189,'1_原始數據'!$I$2:$I$1000,$I189,'1_原始數據'!$C$2:$C$1000,"pasco_pct_acid")=0,"",SUMIFS('1_原始數據'!$E$2:$E$1000,'1_原始數據'!$A$2:$A$1000,$A189,'1_原始數據'!$B$2:$B$1000,$B189,'1_原始數據'!$D$2:$D$1000,$D189,'1_原始數據'!$I$2:$I$1000,$I189,'1_原始數據'!$C$2:$C$1000,"pasco_pct_acid"))))</f>
        <v/>
      </c>
      <c r="P189" s="26">
        <f>IF($A189="","",IF(OR(N189="",O189=""),"",O189-N189))</f>
        <v/>
      </c>
      <c r="Q189" s="24">
        <f>IF($A189="","",IF(P189="","",(O189+N189)/2))</f>
        <v/>
      </c>
      <c r="R189" s="27">
        <f>IF($A189="","",IF(P189="","",COUNT($P$2:P189)))</f>
        <v/>
      </c>
    </row>
    <row r="190">
      <c r="J190" s="24">
        <f>IF($A190="","",IF($C190&lt;&gt;"khp_titration_mL","",IF(COUNTIFS('1_原始數據'!$A$2:$A$1000,$A190,'1_原始數據'!$B$2:$B$1000,$B190,'1_原始數據'!$D$2:$D$1000,$D190,'1_原始數據'!$C$2:$C$1000,"khp_mass_g")=0,"",SUMIFS('1_原始數據'!$E$2:$E$1000,'1_原始數據'!$A$2:$A$1000,$A190,'1_原始數據'!$B$2:$B$1000,$B190,'1_原始數據'!$D$2:$D$1000,$D190,'1_原始數據'!$C$2:$C$1000,"khp_mass_g")/('2_NaOH標定'!$C$5*$E190/1000))))</f>
        <v/>
      </c>
      <c r="K190" s="24">
        <f>IF($A190="","",IF($C190&lt;&gt;"manual_titration_mL","",IF(COUNTIFS('1_原始數據'!$A$2:$A$1000,$A190,'1_原始數據'!$C$2:$C$1000,"khp_titration_mL")=0,"",AVERAGEIFS('1_原始數據'!$J$2:$J$1000,'1_原始數據'!$A$2:$A$1000,$A190,'1_原始數據'!$C$2:$C$1000,"khp_titration_mL"))))</f>
        <v/>
      </c>
      <c r="L190" s="25">
        <f>IF($A190="","",IF($C190&lt;&gt;"manual_titration_mL","",IFERROR(INDEX('3_可滴定酸度'!$E$6:$E$13,MATCH($I190,'3_可滴定酸度'!$B$6:$B$13,0)),"")))</f>
        <v/>
      </c>
      <c r="M190" s="25">
        <f>IF($A190="","",IF($C190&lt;&gt;"manual_titration_mL","",IFERROR(INDEX('3_可滴定酸度'!$F$6:$F$13,MATCH($I190,'3_可滴定酸度'!$B$6:$B$13,0)),"")))</f>
        <v/>
      </c>
      <c r="N190" s="24">
        <f>IF($A190="","",IF(OR(K190="",L190="",M190=""),"",K190*E190*L190/(M190*1000)*100))</f>
        <v/>
      </c>
      <c r="O190" s="24">
        <f>IF($A190="","",IF(N190="","",IF(COUNTIFS('1_原始數據'!$A$2:$A$1000,$A190,'1_原始數據'!$B$2:$B$1000,$B190,'1_原始數據'!$D$2:$D$1000,$D190,'1_原始數據'!$I$2:$I$1000,$I190,'1_原始數據'!$C$2:$C$1000,"pasco_pct_acid")=0,"",SUMIFS('1_原始數據'!$E$2:$E$1000,'1_原始數據'!$A$2:$A$1000,$A190,'1_原始數據'!$B$2:$B$1000,$B190,'1_原始數據'!$D$2:$D$1000,$D190,'1_原始數據'!$I$2:$I$1000,$I190,'1_原始數據'!$C$2:$C$1000,"pasco_pct_acid"))))</f>
        <v/>
      </c>
      <c r="P190" s="26">
        <f>IF($A190="","",IF(OR(N190="",O190=""),"",O190-N190))</f>
        <v/>
      </c>
      <c r="Q190" s="24">
        <f>IF($A190="","",IF(P190="","",(O190+N190)/2))</f>
        <v/>
      </c>
      <c r="R190" s="27">
        <f>IF($A190="","",IF(P190="","",COUNT($P$2:P190)))</f>
        <v/>
      </c>
    </row>
    <row r="191">
      <c r="J191" s="24">
        <f>IF($A191="","",IF($C191&lt;&gt;"khp_titration_mL","",IF(COUNTIFS('1_原始數據'!$A$2:$A$1000,$A191,'1_原始數據'!$B$2:$B$1000,$B191,'1_原始數據'!$D$2:$D$1000,$D191,'1_原始數據'!$C$2:$C$1000,"khp_mass_g")=0,"",SUMIFS('1_原始數據'!$E$2:$E$1000,'1_原始數據'!$A$2:$A$1000,$A191,'1_原始數據'!$B$2:$B$1000,$B191,'1_原始數據'!$D$2:$D$1000,$D191,'1_原始數據'!$C$2:$C$1000,"khp_mass_g")/('2_NaOH標定'!$C$5*$E191/1000))))</f>
        <v/>
      </c>
      <c r="K191" s="24">
        <f>IF($A191="","",IF($C191&lt;&gt;"manual_titration_mL","",IF(COUNTIFS('1_原始數據'!$A$2:$A$1000,$A191,'1_原始數據'!$C$2:$C$1000,"khp_titration_mL")=0,"",AVERAGEIFS('1_原始數據'!$J$2:$J$1000,'1_原始數據'!$A$2:$A$1000,$A191,'1_原始數據'!$C$2:$C$1000,"khp_titration_mL"))))</f>
        <v/>
      </c>
      <c r="L191" s="25">
        <f>IF($A191="","",IF($C191&lt;&gt;"manual_titration_mL","",IFERROR(INDEX('3_可滴定酸度'!$E$6:$E$13,MATCH($I191,'3_可滴定酸度'!$B$6:$B$13,0)),"")))</f>
        <v/>
      </c>
      <c r="M191" s="25">
        <f>IF($A191="","",IF($C191&lt;&gt;"manual_titration_mL","",IFERROR(INDEX('3_可滴定酸度'!$F$6:$F$13,MATCH($I191,'3_可滴定酸度'!$B$6:$B$13,0)),"")))</f>
        <v/>
      </c>
      <c r="N191" s="24">
        <f>IF($A191="","",IF(OR(K191="",L191="",M191=""),"",K191*E191*L191/(M191*1000)*100))</f>
        <v/>
      </c>
      <c r="O191" s="24">
        <f>IF($A191="","",IF(N191="","",IF(COUNTIFS('1_原始數據'!$A$2:$A$1000,$A191,'1_原始數據'!$B$2:$B$1000,$B191,'1_原始數據'!$D$2:$D$1000,$D191,'1_原始數據'!$I$2:$I$1000,$I191,'1_原始數據'!$C$2:$C$1000,"pasco_pct_acid")=0,"",SUMIFS('1_原始數據'!$E$2:$E$1000,'1_原始數據'!$A$2:$A$1000,$A191,'1_原始數據'!$B$2:$B$1000,$B191,'1_原始數據'!$D$2:$D$1000,$D191,'1_原始數據'!$I$2:$I$1000,$I191,'1_原始數據'!$C$2:$C$1000,"pasco_pct_acid"))))</f>
        <v/>
      </c>
      <c r="P191" s="26">
        <f>IF($A191="","",IF(OR(N191="",O191=""),"",O191-N191))</f>
        <v/>
      </c>
      <c r="Q191" s="24">
        <f>IF($A191="","",IF(P191="","",(O191+N191)/2))</f>
        <v/>
      </c>
      <c r="R191" s="27">
        <f>IF($A191="","",IF(P191="","",COUNT($P$2:P191)))</f>
        <v/>
      </c>
    </row>
    <row r="192">
      <c r="J192" s="24">
        <f>IF($A192="","",IF($C192&lt;&gt;"khp_titration_mL","",IF(COUNTIFS('1_原始數據'!$A$2:$A$1000,$A192,'1_原始數據'!$B$2:$B$1000,$B192,'1_原始數據'!$D$2:$D$1000,$D192,'1_原始數據'!$C$2:$C$1000,"khp_mass_g")=0,"",SUMIFS('1_原始數據'!$E$2:$E$1000,'1_原始數據'!$A$2:$A$1000,$A192,'1_原始數據'!$B$2:$B$1000,$B192,'1_原始數據'!$D$2:$D$1000,$D192,'1_原始數據'!$C$2:$C$1000,"khp_mass_g")/('2_NaOH標定'!$C$5*$E192/1000))))</f>
        <v/>
      </c>
      <c r="K192" s="24">
        <f>IF($A192="","",IF($C192&lt;&gt;"manual_titration_mL","",IF(COUNTIFS('1_原始數據'!$A$2:$A$1000,$A192,'1_原始數據'!$C$2:$C$1000,"khp_titration_mL")=0,"",AVERAGEIFS('1_原始數據'!$J$2:$J$1000,'1_原始數據'!$A$2:$A$1000,$A192,'1_原始數據'!$C$2:$C$1000,"khp_titration_mL"))))</f>
        <v/>
      </c>
      <c r="L192" s="25">
        <f>IF($A192="","",IF($C192&lt;&gt;"manual_titration_mL","",IFERROR(INDEX('3_可滴定酸度'!$E$6:$E$13,MATCH($I192,'3_可滴定酸度'!$B$6:$B$13,0)),"")))</f>
        <v/>
      </c>
      <c r="M192" s="25">
        <f>IF($A192="","",IF($C192&lt;&gt;"manual_titration_mL","",IFERROR(INDEX('3_可滴定酸度'!$F$6:$F$13,MATCH($I192,'3_可滴定酸度'!$B$6:$B$13,0)),"")))</f>
        <v/>
      </c>
      <c r="N192" s="24">
        <f>IF($A192="","",IF(OR(K192="",L192="",M192=""),"",K192*E192*L192/(M192*1000)*100))</f>
        <v/>
      </c>
      <c r="O192" s="24">
        <f>IF($A192="","",IF(N192="","",IF(COUNTIFS('1_原始數據'!$A$2:$A$1000,$A192,'1_原始數據'!$B$2:$B$1000,$B192,'1_原始數據'!$D$2:$D$1000,$D192,'1_原始數據'!$I$2:$I$1000,$I192,'1_原始數據'!$C$2:$C$1000,"pasco_pct_acid")=0,"",SUMIFS('1_原始數據'!$E$2:$E$1000,'1_原始數據'!$A$2:$A$1000,$A192,'1_原始數據'!$B$2:$B$1000,$B192,'1_原始數據'!$D$2:$D$1000,$D192,'1_原始數據'!$I$2:$I$1000,$I192,'1_原始數據'!$C$2:$C$1000,"pasco_pct_acid"))))</f>
        <v/>
      </c>
      <c r="P192" s="26">
        <f>IF($A192="","",IF(OR(N192="",O192=""),"",O192-N192))</f>
        <v/>
      </c>
      <c r="Q192" s="24">
        <f>IF($A192="","",IF(P192="","",(O192+N192)/2))</f>
        <v/>
      </c>
      <c r="R192" s="27">
        <f>IF($A192="","",IF(P192="","",COUNT($P$2:P192)))</f>
        <v/>
      </c>
    </row>
    <row r="193">
      <c r="J193" s="24">
        <f>IF($A193="","",IF($C193&lt;&gt;"khp_titration_mL","",IF(COUNTIFS('1_原始數據'!$A$2:$A$1000,$A193,'1_原始數據'!$B$2:$B$1000,$B193,'1_原始數據'!$D$2:$D$1000,$D193,'1_原始數據'!$C$2:$C$1000,"khp_mass_g")=0,"",SUMIFS('1_原始數據'!$E$2:$E$1000,'1_原始數據'!$A$2:$A$1000,$A193,'1_原始數據'!$B$2:$B$1000,$B193,'1_原始數據'!$D$2:$D$1000,$D193,'1_原始數據'!$C$2:$C$1000,"khp_mass_g")/('2_NaOH標定'!$C$5*$E193/1000))))</f>
        <v/>
      </c>
      <c r="K193" s="24">
        <f>IF($A193="","",IF($C193&lt;&gt;"manual_titration_mL","",IF(COUNTIFS('1_原始數據'!$A$2:$A$1000,$A193,'1_原始數據'!$C$2:$C$1000,"khp_titration_mL")=0,"",AVERAGEIFS('1_原始數據'!$J$2:$J$1000,'1_原始數據'!$A$2:$A$1000,$A193,'1_原始數據'!$C$2:$C$1000,"khp_titration_mL"))))</f>
        <v/>
      </c>
      <c r="L193" s="25">
        <f>IF($A193="","",IF($C193&lt;&gt;"manual_titration_mL","",IFERROR(INDEX('3_可滴定酸度'!$E$6:$E$13,MATCH($I193,'3_可滴定酸度'!$B$6:$B$13,0)),"")))</f>
        <v/>
      </c>
      <c r="M193" s="25">
        <f>IF($A193="","",IF($C193&lt;&gt;"manual_titration_mL","",IFERROR(INDEX('3_可滴定酸度'!$F$6:$F$13,MATCH($I193,'3_可滴定酸度'!$B$6:$B$13,0)),"")))</f>
        <v/>
      </c>
      <c r="N193" s="24">
        <f>IF($A193="","",IF(OR(K193="",L193="",M193=""),"",K193*E193*L193/(M193*1000)*100))</f>
        <v/>
      </c>
      <c r="O193" s="24">
        <f>IF($A193="","",IF(N193="","",IF(COUNTIFS('1_原始數據'!$A$2:$A$1000,$A193,'1_原始數據'!$B$2:$B$1000,$B193,'1_原始數據'!$D$2:$D$1000,$D193,'1_原始數據'!$I$2:$I$1000,$I193,'1_原始數據'!$C$2:$C$1000,"pasco_pct_acid")=0,"",SUMIFS('1_原始數據'!$E$2:$E$1000,'1_原始數據'!$A$2:$A$1000,$A193,'1_原始數據'!$B$2:$B$1000,$B193,'1_原始數據'!$D$2:$D$1000,$D193,'1_原始數據'!$I$2:$I$1000,$I193,'1_原始數據'!$C$2:$C$1000,"pasco_pct_acid"))))</f>
        <v/>
      </c>
      <c r="P193" s="26">
        <f>IF($A193="","",IF(OR(N193="",O193=""),"",O193-N193))</f>
        <v/>
      </c>
      <c r="Q193" s="24">
        <f>IF($A193="","",IF(P193="","",(O193+N193)/2))</f>
        <v/>
      </c>
      <c r="R193" s="27">
        <f>IF($A193="","",IF(P193="","",COUNT($P$2:P193)))</f>
        <v/>
      </c>
    </row>
    <row r="194">
      <c r="J194" s="24">
        <f>IF($A194="","",IF($C194&lt;&gt;"khp_titration_mL","",IF(COUNTIFS('1_原始數據'!$A$2:$A$1000,$A194,'1_原始數據'!$B$2:$B$1000,$B194,'1_原始數據'!$D$2:$D$1000,$D194,'1_原始數據'!$C$2:$C$1000,"khp_mass_g")=0,"",SUMIFS('1_原始數據'!$E$2:$E$1000,'1_原始數據'!$A$2:$A$1000,$A194,'1_原始數據'!$B$2:$B$1000,$B194,'1_原始數據'!$D$2:$D$1000,$D194,'1_原始數據'!$C$2:$C$1000,"khp_mass_g")/('2_NaOH標定'!$C$5*$E194/1000))))</f>
        <v/>
      </c>
      <c r="K194" s="24">
        <f>IF($A194="","",IF($C194&lt;&gt;"manual_titration_mL","",IF(COUNTIFS('1_原始數據'!$A$2:$A$1000,$A194,'1_原始數據'!$C$2:$C$1000,"khp_titration_mL")=0,"",AVERAGEIFS('1_原始數據'!$J$2:$J$1000,'1_原始數據'!$A$2:$A$1000,$A194,'1_原始數據'!$C$2:$C$1000,"khp_titration_mL"))))</f>
        <v/>
      </c>
      <c r="L194" s="25">
        <f>IF($A194="","",IF($C194&lt;&gt;"manual_titration_mL","",IFERROR(INDEX('3_可滴定酸度'!$E$6:$E$13,MATCH($I194,'3_可滴定酸度'!$B$6:$B$13,0)),"")))</f>
        <v/>
      </c>
      <c r="M194" s="25">
        <f>IF($A194="","",IF($C194&lt;&gt;"manual_titration_mL","",IFERROR(INDEX('3_可滴定酸度'!$F$6:$F$13,MATCH($I194,'3_可滴定酸度'!$B$6:$B$13,0)),"")))</f>
        <v/>
      </c>
      <c r="N194" s="24">
        <f>IF($A194="","",IF(OR(K194="",L194="",M194=""),"",K194*E194*L194/(M194*1000)*100))</f>
        <v/>
      </c>
      <c r="O194" s="24">
        <f>IF($A194="","",IF(N194="","",IF(COUNTIFS('1_原始數據'!$A$2:$A$1000,$A194,'1_原始數據'!$B$2:$B$1000,$B194,'1_原始數據'!$D$2:$D$1000,$D194,'1_原始數據'!$I$2:$I$1000,$I194,'1_原始數據'!$C$2:$C$1000,"pasco_pct_acid")=0,"",SUMIFS('1_原始數據'!$E$2:$E$1000,'1_原始數據'!$A$2:$A$1000,$A194,'1_原始數據'!$B$2:$B$1000,$B194,'1_原始數據'!$D$2:$D$1000,$D194,'1_原始數據'!$I$2:$I$1000,$I194,'1_原始數據'!$C$2:$C$1000,"pasco_pct_acid"))))</f>
        <v/>
      </c>
      <c r="P194" s="26">
        <f>IF($A194="","",IF(OR(N194="",O194=""),"",O194-N194))</f>
        <v/>
      </c>
      <c r="Q194" s="24">
        <f>IF($A194="","",IF(P194="","",(O194+N194)/2))</f>
        <v/>
      </c>
      <c r="R194" s="27">
        <f>IF($A194="","",IF(P194="","",COUNT($P$2:P194)))</f>
        <v/>
      </c>
    </row>
    <row r="195">
      <c r="J195" s="24">
        <f>IF($A195="","",IF($C195&lt;&gt;"khp_titration_mL","",IF(COUNTIFS('1_原始數據'!$A$2:$A$1000,$A195,'1_原始數據'!$B$2:$B$1000,$B195,'1_原始數據'!$D$2:$D$1000,$D195,'1_原始數據'!$C$2:$C$1000,"khp_mass_g")=0,"",SUMIFS('1_原始數據'!$E$2:$E$1000,'1_原始數據'!$A$2:$A$1000,$A195,'1_原始數據'!$B$2:$B$1000,$B195,'1_原始數據'!$D$2:$D$1000,$D195,'1_原始數據'!$C$2:$C$1000,"khp_mass_g")/('2_NaOH標定'!$C$5*$E195/1000))))</f>
        <v/>
      </c>
      <c r="K195" s="24">
        <f>IF($A195="","",IF($C195&lt;&gt;"manual_titration_mL","",IF(COUNTIFS('1_原始數據'!$A$2:$A$1000,$A195,'1_原始數據'!$C$2:$C$1000,"khp_titration_mL")=0,"",AVERAGEIFS('1_原始數據'!$J$2:$J$1000,'1_原始數據'!$A$2:$A$1000,$A195,'1_原始數據'!$C$2:$C$1000,"khp_titration_mL"))))</f>
        <v/>
      </c>
      <c r="L195" s="25">
        <f>IF($A195="","",IF($C195&lt;&gt;"manual_titration_mL","",IFERROR(INDEX('3_可滴定酸度'!$E$6:$E$13,MATCH($I195,'3_可滴定酸度'!$B$6:$B$13,0)),"")))</f>
        <v/>
      </c>
      <c r="M195" s="25">
        <f>IF($A195="","",IF($C195&lt;&gt;"manual_titration_mL","",IFERROR(INDEX('3_可滴定酸度'!$F$6:$F$13,MATCH($I195,'3_可滴定酸度'!$B$6:$B$13,0)),"")))</f>
        <v/>
      </c>
      <c r="N195" s="24">
        <f>IF($A195="","",IF(OR(K195="",L195="",M195=""),"",K195*E195*L195/(M195*1000)*100))</f>
        <v/>
      </c>
      <c r="O195" s="24">
        <f>IF($A195="","",IF(N195="","",IF(COUNTIFS('1_原始數據'!$A$2:$A$1000,$A195,'1_原始數據'!$B$2:$B$1000,$B195,'1_原始數據'!$D$2:$D$1000,$D195,'1_原始數據'!$I$2:$I$1000,$I195,'1_原始數據'!$C$2:$C$1000,"pasco_pct_acid")=0,"",SUMIFS('1_原始數據'!$E$2:$E$1000,'1_原始數據'!$A$2:$A$1000,$A195,'1_原始數據'!$B$2:$B$1000,$B195,'1_原始數據'!$D$2:$D$1000,$D195,'1_原始數據'!$I$2:$I$1000,$I195,'1_原始數據'!$C$2:$C$1000,"pasco_pct_acid"))))</f>
        <v/>
      </c>
      <c r="P195" s="26">
        <f>IF($A195="","",IF(OR(N195="",O195=""),"",O195-N195))</f>
        <v/>
      </c>
      <c r="Q195" s="24">
        <f>IF($A195="","",IF(P195="","",(O195+N195)/2))</f>
        <v/>
      </c>
      <c r="R195" s="27">
        <f>IF($A195="","",IF(P195="","",COUNT($P$2:P195)))</f>
        <v/>
      </c>
    </row>
    <row r="196">
      <c r="J196" s="24">
        <f>IF($A196="","",IF($C196&lt;&gt;"khp_titration_mL","",IF(COUNTIFS('1_原始數據'!$A$2:$A$1000,$A196,'1_原始數據'!$B$2:$B$1000,$B196,'1_原始數據'!$D$2:$D$1000,$D196,'1_原始數據'!$C$2:$C$1000,"khp_mass_g")=0,"",SUMIFS('1_原始數據'!$E$2:$E$1000,'1_原始數據'!$A$2:$A$1000,$A196,'1_原始數據'!$B$2:$B$1000,$B196,'1_原始數據'!$D$2:$D$1000,$D196,'1_原始數據'!$C$2:$C$1000,"khp_mass_g")/('2_NaOH標定'!$C$5*$E196/1000))))</f>
        <v/>
      </c>
      <c r="K196" s="24">
        <f>IF($A196="","",IF($C196&lt;&gt;"manual_titration_mL","",IF(COUNTIFS('1_原始數據'!$A$2:$A$1000,$A196,'1_原始數據'!$C$2:$C$1000,"khp_titration_mL")=0,"",AVERAGEIFS('1_原始數據'!$J$2:$J$1000,'1_原始數據'!$A$2:$A$1000,$A196,'1_原始數據'!$C$2:$C$1000,"khp_titration_mL"))))</f>
        <v/>
      </c>
      <c r="L196" s="25">
        <f>IF($A196="","",IF($C196&lt;&gt;"manual_titration_mL","",IFERROR(INDEX('3_可滴定酸度'!$E$6:$E$13,MATCH($I196,'3_可滴定酸度'!$B$6:$B$13,0)),"")))</f>
        <v/>
      </c>
      <c r="M196" s="25">
        <f>IF($A196="","",IF($C196&lt;&gt;"manual_titration_mL","",IFERROR(INDEX('3_可滴定酸度'!$F$6:$F$13,MATCH($I196,'3_可滴定酸度'!$B$6:$B$13,0)),"")))</f>
        <v/>
      </c>
      <c r="N196" s="24">
        <f>IF($A196="","",IF(OR(K196="",L196="",M196=""),"",K196*E196*L196/(M196*1000)*100))</f>
        <v/>
      </c>
      <c r="O196" s="24">
        <f>IF($A196="","",IF(N196="","",IF(COUNTIFS('1_原始數據'!$A$2:$A$1000,$A196,'1_原始數據'!$B$2:$B$1000,$B196,'1_原始數據'!$D$2:$D$1000,$D196,'1_原始數據'!$I$2:$I$1000,$I196,'1_原始數據'!$C$2:$C$1000,"pasco_pct_acid")=0,"",SUMIFS('1_原始數據'!$E$2:$E$1000,'1_原始數據'!$A$2:$A$1000,$A196,'1_原始數據'!$B$2:$B$1000,$B196,'1_原始數據'!$D$2:$D$1000,$D196,'1_原始數據'!$I$2:$I$1000,$I196,'1_原始數據'!$C$2:$C$1000,"pasco_pct_acid"))))</f>
        <v/>
      </c>
      <c r="P196" s="26">
        <f>IF($A196="","",IF(OR(N196="",O196=""),"",O196-N196))</f>
        <v/>
      </c>
      <c r="Q196" s="24">
        <f>IF($A196="","",IF(P196="","",(O196+N196)/2))</f>
        <v/>
      </c>
      <c r="R196" s="27">
        <f>IF($A196="","",IF(P196="","",COUNT($P$2:P196)))</f>
        <v/>
      </c>
    </row>
    <row r="197">
      <c r="J197" s="24">
        <f>IF($A197="","",IF($C197&lt;&gt;"khp_titration_mL","",IF(COUNTIFS('1_原始數據'!$A$2:$A$1000,$A197,'1_原始數據'!$B$2:$B$1000,$B197,'1_原始數據'!$D$2:$D$1000,$D197,'1_原始數據'!$C$2:$C$1000,"khp_mass_g")=0,"",SUMIFS('1_原始數據'!$E$2:$E$1000,'1_原始數據'!$A$2:$A$1000,$A197,'1_原始數據'!$B$2:$B$1000,$B197,'1_原始數據'!$D$2:$D$1000,$D197,'1_原始數據'!$C$2:$C$1000,"khp_mass_g")/('2_NaOH標定'!$C$5*$E197/1000))))</f>
        <v/>
      </c>
      <c r="K197" s="24">
        <f>IF($A197="","",IF($C197&lt;&gt;"manual_titration_mL","",IF(COUNTIFS('1_原始數據'!$A$2:$A$1000,$A197,'1_原始數據'!$C$2:$C$1000,"khp_titration_mL")=0,"",AVERAGEIFS('1_原始數據'!$J$2:$J$1000,'1_原始數據'!$A$2:$A$1000,$A197,'1_原始數據'!$C$2:$C$1000,"khp_titration_mL"))))</f>
        <v/>
      </c>
      <c r="L197" s="25">
        <f>IF($A197="","",IF($C197&lt;&gt;"manual_titration_mL","",IFERROR(INDEX('3_可滴定酸度'!$E$6:$E$13,MATCH($I197,'3_可滴定酸度'!$B$6:$B$13,0)),"")))</f>
        <v/>
      </c>
      <c r="M197" s="25">
        <f>IF($A197="","",IF($C197&lt;&gt;"manual_titration_mL","",IFERROR(INDEX('3_可滴定酸度'!$F$6:$F$13,MATCH($I197,'3_可滴定酸度'!$B$6:$B$13,0)),"")))</f>
        <v/>
      </c>
      <c r="N197" s="24">
        <f>IF($A197="","",IF(OR(K197="",L197="",M197=""),"",K197*E197*L197/(M197*1000)*100))</f>
        <v/>
      </c>
      <c r="O197" s="24">
        <f>IF($A197="","",IF(N197="","",IF(COUNTIFS('1_原始數據'!$A$2:$A$1000,$A197,'1_原始數據'!$B$2:$B$1000,$B197,'1_原始數據'!$D$2:$D$1000,$D197,'1_原始數據'!$I$2:$I$1000,$I197,'1_原始數據'!$C$2:$C$1000,"pasco_pct_acid")=0,"",SUMIFS('1_原始數據'!$E$2:$E$1000,'1_原始數據'!$A$2:$A$1000,$A197,'1_原始數據'!$B$2:$B$1000,$B197,'1_原始數據'!$D$2:$D$1000,$D197,'1_原始數據'!$I$2:$I$1000,$I197,'1_原始數據'!$C$2:$C$1000,"pasco_pct_acid"))))</f>
        <v/>
      </c>
      <c r="P197" s="26">
        <f>IF($A197="","",IF(OR(N197="",O197=""),"",O197-N197))</f>
        <v/>
      </c>
      <c r="Q197" s="24">
        <f>IF($A197="","",IF(P197="","",(O197+N197)/2))</f>
        <v/>
      </c>
      <c r="R197" s="27">
        <f>IF($A197="","",IF(P197="","",COUNT($P$2:P197)))</f>
        <v/>
      </c>
    </row>
    <row r="198">
      <c r="J198" s="24">
        <f>IF($A198="","",IF($C198&lt;&gt;"khp_titration_mL","",IF(COUNTIFS('1_原始數據'!$A$2:$A$1000,$A198,'1_原始數據'!$B$2:$B$1000,$B198,'1_原始數據'!$D$2:$D$1000,$D198,'1_原始數據'!$C$2:$C$1000,"khp_mass_g")=0,"",SUMIFS('1_原始數據'!$E$2:$E$1000,'1_原始數據'!$A$2:$A$1000,$A198,'1_原始數據'!$B$2:$B$1000,$B198,'1_原始數據'!$D$2:$D$1000,$D198,'1_原始數據'!$C$2:$C$1000,"khp_mass_g")/('2_NaOH標定'!$C$5*$E198/1000))))</f>
        <v/>
      </c>
      <c r="K198" s="24">
        <f>IF($A198="","",IF($C198&lt;&gt;"manual_titration_mL","",IF(COUNTIFS('1_原始數據'!$A$2:$A$1000,$A198,'1_原始數據'!$C$2:$C$1000,"khp_titration_mL")=0,"",AVERAGEIFS('1_原始數據'!$J$2:$J$1000,'1_原始數據'!$A$2:$A$1000,$A198,'1_原始數據'!$C$2:$C$1000,"khp_titration_mL"))))</f>
        <v/>
      </c>
      <c r="L198" s="25">
        <f>IF($A198="","",IF($C198&lt;&gt;"manual_titration_mL","",IFERROR(INDEX('3_可滴定酸度'!$E$6:$E$13,MATCH($I198,'3_可滴定酸度'!$B$6:$B$13,0)),"")))</f>
        <v/>
      </c>
      <c r="M198" s="25">
        <f>IF($A198="","",IF($C198&lt;&gt;"manual_titration_mL","",IFERROR(INDEX('3_可滴定酸度'!$F$6:$F$13,MATCH($I198,'3_可滴定酸度'!$B$6:$B$13,0)),"")))</f>
        <v/>
      </c>
      <c r="N198" s="24">
        <f>IF($A198="","",IF(OR(K198="",L198="",M198=""),"",K198*E198*L198/(M198*1000)*100))</f>
        <v/>
      </c>
      <c r="O198" s="24">
        <f>IF($A198="","",IF(N198="","",IF(COUNTIFS('1_原始數據'!$A$2:$A$1000,$A198,'1_原始數據'!$B$2:$B$1000,$B198,'1_原始數據'!$D$2:$D$1000,$D198,'1_原始數據'!$I$2:$I$1000,$I198,'1_原始數據'!$C$2:$C$1000,"pasco_pct_acid")=0,"",SUMIFS('1_原始數據'!$E$2:$E$1000,'1_原始數據'!$A$2:$A$1000,$A198,'1_原始數據'!$B$2:$B$1000,$B198,'1_原始數據'!$D$2:$D$1000,$D198,'1_原始數據'!$I$2:$I$1000,$I198,'1_原始數據'!$C$2:$C$1000,"pasco_pct_acid"))))</f>
        <v/>
      </c>
      <c r="P198" s="26">
        <f>IF($A198="","",IF(OR(N198="",O198=""),"",O198-N198))</f>
        <v/>
      </c>
      <c r="Q198" s="24">
        <f>IF($A198="","",IF(P198="","",(O198+N198)/2))</f>
        <v/>
      </c>
      <c r="R198" s="27">
        <f>IF($A198="","",IF(P198="","",COUNT($P$2:P198)))</f>
        <v/>
      </c>
    </row>
    <row r="199">
      <c r="J199" s="24">
        <f>IF($A199="","",IF($C199&lt;&gt;"khp_titration_mL","",IF(COUNTIFS('1_原始數據'!$A$2:$A$1000,$A199,'1_原始數據'!$B$2:$B$1000,$B199,'1_原始數據'!$D$2:$D$1000,$D199,'1_原始數據'!$C$2:$C$1000,"khp_mass_g")=0,"",SUMIFS('1_原始數據'!$E$2:$E$1000,'1_原始數據'!$A$2:$A$1000,$A199,'1_原始數據'!$B$2:$B$1000,$B199,'1_原始數據'!$D$2:$D$1000,$D199,'1_原始數據'!$C$2:$C$1000,"khp_mass_g")/('2_NaOH標定'!$C$5*$E199/1000))))</f>
        <v/>
      </c>
      <c r="K199" s="24">
        <f>IF($A199="","",IF($C199&lt;&gt;"manual_titration_mL","",IF(COUNTIFS('1_原始數據'!$A$2:$A$1000,$A199,'1_原始數據'!$C$2:$C$1000,"khp_titration_mL")=0,"",AVERAGEIFS('1_原始數據'!$J$2:$J$1000,'1_原始數據'!$A$2:$A$1000,$A199,'1_原始數據'!$C$2:$C$1000,"khp_titration_mL"))))</f>
        <v/>
      </c>
      <c r="L199" s="25">
        <f>IF($A199="","",IF($C199&lt;&gt;"manual_titration_mL","",IFERROR(INDEX('3_可滴定酸度'!$E$6:$E$13,MATCH($I199,'3_可滴定酸度'!$B$6:$B$13,0)),"")))</f>
        <v/>
      </c>
      <c r="M199" s="25">
        <f>IF($A199="","",IF($C199&lt;&gt;"manual_titration_mL","",IFERROR(INDEX('3_可滴定酸度'!$F$6:$F$13,MATCH($I199,'3_可滴定酸度'!$B$6:$B$13,0)),"")))</f>
        <v/>
      </c>
      <c r="N199" s="24">
        <f>IF($A199="","",IF(OR(K199="",L199="",M199=""),"",K199*E199*L199/(M199*1000)*100))</f>
        <v/>
      </c>
      <c r="O199" s="24">
        <f>IF($A199="","",IF(N199="","",IF(COUNTIFS('1_原始數據'!$A$2:$A$1000,$A199,'1_原始數據'!$B$2:$B$1000,$B199,'1_原始數據'!$D$2:$D$1000,$D199,'1_原始數據'!$I$2:$I$1000,$I199,'1_原始數據'!$C$2:$C$1000,"pasco_pct_acid")=0,"",SUMIFS('1_原始數據'!$E$2:$E$1000,'1_原始數據'!$A$2:$A$1000,$A199,'1_原始數據'!$B$2:$B$1000,$B199,'1_原始數據'!$D$2:$D$1000,$D199,'1_原始數據'!$I$2:$I$1000,$I199,'1_原始數據'!$C$2:$C$1000,"pasco_pct_acid"))))</f>
        <v/>
      </c>
      <c r="P199" s="26">
        <f>IF($A199="","",IF(OR(N199="",O199=""),"",O199-N199))</f>
        <v/>
      </c>
      <c r="Q199" s="24">
        <f>IF($A199="","",IF(P199="","",(O199+N199)/2))</f>
        <v/>
      </c>
      <c r="R199" s="27">
        <f>IF($A199="","",IF(P199="","",COUNT($P$2:P199)))</f>
        <v/>
      </c>
    </row>
    <row r="200">
      <c r="J200" s="24">
        <f>IF($A200="","",IF($C200&lt;&gt;"khp_titration_mL","",IF(COUNTIFS('1_原始數據'!$A$2:$A$1000,$A200,'1_原始數據'!$B$2:$B$1000,$B200,'1_原始數據'!$D$2:$D$1000,$D200,'1_原始數據'!$C$2:$C$1000,"khp_mass_g")=0,"",SUMIFS('1_原始數據'!$E$2:$E$1000,'1_原始數據'!$A$2:$A$1000,$A200,'1_原始數據'!$B$2:$B$1000,$B200,'1_原始數據'!$D$2:$D$1000,$D200,'1_原始數據'!$C$2:$C$1000,"khp_mass_g")/('2_NaOH標定'!$C$5*$E200/1000))))</f>
        <v/>
      </c>
      <c r="K200" s="24">
        <f>IF($A200="","",IF($C200&lt;&gt;"manual_titration_mL","",IF(COUNTIFS('1_原始數據'!$A$2:$A$1000,$A200,'1_原始數據'!$C$2:$C$1000,"khp_titration_mL")=0,"",AVERAGEIFS('1_原始數據'!$J$2:$J$1000,'1_原始數據'!$A$2:$A$1000,$A200,'1_原始數據'!$C$2:$C$1000,"khp_titration_mL"))))</f>
        <v/>
      </c>
      <c r="L200" s="25">
        <f>IF($A200="","",IF($C200&lt;&gt;"manual_titration_mL","",IFERROR(INDEX('3_可滴定酸度'!$E$6:$E$13,MATCH($I200,'3_可滴定酸度'!$B$6:$B$13,0)),"")))</f>
        <v/>
      </c>
      <c r="M200" s="25">
        <f>IF($A200="","",IF($C200&lt;&gt;"manual_titration_mL","",IFERROR(INDEX('3_可滴定酸度'!$F$6:$F$13,MATCH($I200,'3_可滴定酸度'!$B$6:$B$13,0)),"")))</f>
        <v/>
      </c>
      <c r="N200" s="24">
        <f>IF($A200="","",IF(OR(K200="",L200="",M200=""),"",K200*E200*L200/(M200*1000)*100))</f>
        <v/>
      </c>
      <c r="O200" s="24">
        <f>IF($A200="","",IF(N200="","",IF(COUNTIFS('1_原始數據'!$A$2:$A$1000,$A200,'1_原始數據'!$B$2:$B$1000,$B200,'1_原始數據'!$D$2:$D$1000,$D200,'1_原始數據'!$I$2:$I$1000,$I200,'1_原始數據'!$C$2:$C$1000,"pasco_pct_acid")=0,"",SUMIFS('1_原始數據'!$E$2:$E$1000,'1_原始數據'!$A$2:$A$1000,$A200,'1_原始數據'!$B$2:$B$1000,$B200,'1_原始數據'!$D$2:$D$1000,$D200,'1_原始數據'!$I$2:$I$1000,$I200,'1_原始數據'!$C$2:$C$1000,"pasco_pct_acid"))))</f>
        <v/>
      </c>
      <c r="P200" s="26">
        <f>IF($A200="","",IF(OR(N200="",O200=""),"",O200-N200))</f>
        <v/>
      </c>
      <c r="Q200" s="24">
        <f>IF($A200="","",IF(P200="","",(O200+N200)/2))</f>
        <v/>
      </c>
      <c r="R200" s="27">
        <f>IF($A200="","",IF(P200="","",COUNT($P$2:P200)))</f>
        <v/>
      </c>
    </row>
    <row r="201">
      <c r="J201" s="24">
        <f>IF($A201="","",IF($C201&lt;&gt;"khp_titration_mL","",IF(COUNTIFS('1_原始數據'!$A$2:$A$1000,$A201,'1_原始數據'!$B$2:$B$1000,$B201,'1_原始數據'!$D$2:$D$1000,$D201,'1_原始數據'!$C$2:$C$1000,"khp_mass_g")=0,"",SUMIFS('1_原始數據'!$E$2:$E$1000,'1_原始數據'!$A$2:$A$1000,$A201,'1_原始數據'!$B$2:$B$1000,$B201,'1_原始數據'!$D$2:$D$1000,$D201,'1_原始數據'!$C$2:$C$1000,"khp_mass_g")/('2_NaOH標定'!$C$5*$E201/1000))))</f>
        <v/>
      </c>
      <c r="K201" s="24">
        <f>IF($A201="","",IF($C201&lt;&gt;"manual_titration_mL","",IF(COUNTIFS('1_原始數據'!$A$2:$A$1000,$A201,'1_原始數據'!$C$2:$C$1000,"khp_titration_mL")=0,"",AVERAGEIFS('1_原始數據'!$J$2:$J$1000,'1_原始數據'!$A$2:$A$1000,$A201,'1_原始數據'!$C$2:$C$1000,"khp_titration_mL"))))</f>
        <v/>
      </c>
      <c r="L201" s="25">
        <f>IF($A201="","",IF($C201&lt;&gt;"manual_titration_mL","",IFERROR(INDEX('3_可滴定酸度'!$E$6:$E$13,MATCH($I201,'3_可滴定酸度'!$B$6:$B$13,0)),"")))</f>
        <v/>
      </c>
      <c r="M201" s="25">
        <f>IF($A201="","",IF($C201&lt;&gt;"manual_titration_mL","",IFERROR(INDEX('3_可滴定酸度'!$F$6:$F$13,MATCH($I201,'3_可滴定酸度'!$B$6:$B$13,0)),"")))</f>
        <v/>
      </c>
      <c r="N201" s="24">
        <f>IF($A201="","",IF(OR(K201="",L201="",M201=""),"",K201*E201*L201/(M201*1000)*100))</f>
        <v/>
      </c>
      <c r="O201" s="24">
        <f>IF($A201="","",IF(N201="","",IF(COUNTIFS('1_原始數據'!$A$2:$A$1000,$A201,'1_原始數據'!$B$2:$B$1000,$B201,'1_原始數據'!$D$2:$D$1000,$D201,'1_原始數據'!$I$2:$I$1000,$I201,'1_原始數據'!$C$2:$C$1000,"pasco_pct_acid")=0,"",SUMIFS('1_原始數據'!$E$2:$E$1000,'1_原始數據'!$A$2:$A$1000,$A201,'1_原始數據'!$B$2:$B$1000,$B201,'1_原始數據'!$D$2:$D$1000,$D201,'1_原始數據'!$I$2:$I$1000,$I201,'1_原始數據'!$C$2:$C$1000,"pasco_pct_acid"))))</f>
        <v/>
      </c>
      <c r="P201" s="26">
        <f>IF($A201="","",IF(OR(N201="",O201=""),"",O201-N201))</f>
        <v/>
      </c>
      <c r="Q201" s="24">
        <f>IF($A201="","",IF(P201="","",(O201+N201)/2))</f>
        <v/>
      </c>
      <c r="R201" s="27">
        <f>IF($A201="","",IF(P201="","",COUNT($P$2:P201)))</f>
        <v/>
      </c>
    </row>
    <row r="202">
      <c r="J202" s="24">
        <f>IF($A202="","",IF($C202&lt;&gt;"khp_titration_mL","",IF(COUNTIFS('1_原始數據'!$A$2:$A$1000,$A202,'1_原始數據'!$B$2:$B$1000,$B202,'1_原始數據'!$D$2:$D$1000,$D202,'1_原始數據'!$C$2:$C$1000,"khp_mass_g")=0,"",SUMIFS('1_原始數據'!$E$2:$E$1000,'1_原始數據'!$A$2:$A$1000,$A202,'1_原始數據'!$B$2:$B$1000,$B202,'1_原始數據'!$D$2:$D$1000,$D202,'1_原始數據'!$C$2:$C$1000,"khp_mass_g")/('2_NaOH標定'!$C$5*$E202/1000))))</f>
        <v/>
      </c>
      <c r="K202" s="24">
        <f>IF($A202="","",IF($C202&lt;&gt;"manual_titration_mL","",IF(COUNTIFS('1_原始數據'!$A$2:$A$1000,$A202,'1_原始數據'!$C$2:$C$1000,"khp_titration_mL")=0,"",AVERAGEIFS('1_原始數據'!$J$2:$J$1000,'1_原始數據'!$A$2:$A$1000,$A202,'1_原始數據'!$C$2:$C$1000,"khp_titration_mL"))))</f>
        <v/>
      </c>
      <c r="L202" s="25">
        <f>IF($A202="","",IF($C202&lt;&gt;"manual_titration_mL","",IFERROR(INDEX('3_可滴定酸度'!$E$6:$E$13,MATCH($I202,'3_可滴定酸度'!$B$6:$B$13,0)),"")))</f>
        <v/>
      </c>
      <c r="M202" s="25">
        <f>IF($A202="","",IF($C202&lt;&gt;"manual_titration_mL","",IFERROR(INDEX('3_可滴定酸度'!$F$6:$F$13,MATCH($I202,'3_可滴定酸度'!$B$6:$B$13,0)),"")))</f>
        <v/>
      </c>
      <c r="N202" s="24">
        <f>IF($A202="","",IF(OR(K202="",L202="",M202=""),"",K202*E202*L202/(M202*1000)*100))</f>
        <v/>
      </c>
      <c r="O202" s="24">
        <f>IF($A202="","",IF(N202="","",IF(COUNTIFS('1_原始數據'!$A$2:$A$1000,$A202,'1_原始數據'!$B$2:$B$1000,$B202,'1_原始數據'!$D$2:$D$1000,$D202,'1_原始數據'!$I$2:$I$1000,$I202,'1_原始數據'!$C$2:$C$1000,"pasco_pct_acid")=0,"",SUMIFS('1_原始數據'!$E$2:$E$1000,'1_原始數據'!$A$2:$A$1000,$A202,'1_原始數據'!$B$2:$B$1000,$B202,'1_原始數據'!$D$2:$D$1000,$D202,'1_原始數據'!$I$2:$I$1000,$I202,'1_原始數據'!$C$2:$C$1000,"pasco_pct_acid"))))</f>
        <v/>
      </c>
      <c r="P202" s="26">
        <f>IF($A202="","",IF(OR(N202="",O202=""),"",O202-N202))</f>
        <v/>
      </c>
      <c r="Q202" s="24">
        <f>IF($A202="","",IF(P202="","",(O202+N202)/2))</f>
        <v/>
      </c>
      <c r="R202" s="27">
        <f>IF($A202="","",IF(P202="","",COUNT($P$2:P202)))</f>
        <v/>
      </c>
    </row>
    <row r="203">
      <c r="J203" s="24">
        <f>IF($A203="","",IF($C203&lt;&gt;"khp_titration_mL","",IF(COUNTIFS('1_原始數據'!$A$2:$A$1000,$A203,'1_原始數據'!$B$2:$B$1000,$B203,'1_原始數據'!$D$2:$D$1000,$D203,'1_原始數據'!$C$2:$C$1000,"khp_mass_g")=0,"",SUMIFS('1_原始數據'!$E$2:$E$1000,'1_原始數據'!$A$2:$A$1000,$A203,'1_原始數據'!$B$2:$B$1000,$B203,'1_原始數據'!$D$2:$D$1000,$D203,'1_原始數據'!$C$2:$C$1000,"khp_mass_g")/('2_NaOH標定'!$C$5*$E203/1000))))</f>
        <v/>
      </c>
      <c r="K203" s="24">
        <f>IF($A203="","",IF($C203&lt;&gt;"manual_titration_mL","",IF(COUNTIFS('1_原始數據'!$A$2:$A$1000,$A203,'1_原始數據'!$C$2:$C$1000,"khp_titration_mL")=0,"",AVERAGEIFS('1_原始數據'!$J$2:$J$1000,'1_原始數據'!$A$2:$A$1000,$A203,'1_原始數據'!$C$2:$C$1000,"khp_titration_mL"))))</f>
        <v/>
      </c>
      <c r="L203" s="25">
        <f>IF($A203="","",IF($C203&lt;&gt;"manual_titration_mL","",IFERROR(INDEX('3_可滴定酸度'!$E$6:$E$13,MATCH($I203,'3_可滴定酸度'!$B$6:$B$13,0)),"")))</f>
        <v/>
      </c>
      <c r="M203" s="25">
        <f>IF($A203="","",IF($C203&lt;&gt;"manual_titration_mL","",IFERROR(INDEX('3_可滴定酸度'!$F$6:$F$13,MATCH($I203,'3_可滴定酸度'!$B$6:$B$13,0)),"")))</f>
        <v/>
      </c>
      <c r="N203" s="24">
        <f>IF($A203="","",IF(OR(K203="",L203="",M203=""),"",K203*E203*L203/(M203*1000)*100))</f>
        <v/>
      </c>
      <c r="O203" s="24">
        <f>IF($A203="","",IF(N203="","",IF(COUNTIFS('1_原始數據'!$A$2:$A$1000,$A203,'1_原始數據'!$B$2:$B$1000,$B203,'1_原始數據'!$D$2:$D$1000,$D203,'1_原始數據'!$I$2:$I$1000,$I203,'1_原始數據'!$C$2:$C$1000,"pasco_pct_acid")=0,"",SUMIFS('1_原始數據'!$E$2:$E$1000,'1_原始數據'!$A$2:$A$1000,$A203,'1_原始數據'!$B$2:$B$1000,$B203,'1_原始數據'!$D$2:$D$1000,$D203,'1_原始數據'!$I$2:$I$1000,$I203,'1_原始數據'!$C$2:$C$1000,"pasco_pct_acid"))))</f>
        <v/>
      </c>
      <c r="P203" s="26">
        <f>IF($A203="","",IF(OR(N203="",O203=""),"",O203-N203))</f>
        <v/>
      </c>
      <c r="Q203" s="24">
        <f>IF($A203="","",IF(P203="","",(O203+N203)/2))</f>
        <v/>
      </c>
      <c r="R203" s="27">
        <f>IF($A203="","",IF(P203="","",COUNT($P$2:P203)))</f>
        <v/>
      </c>
    </row>
    <row r="204">
      <c r="J204" s="24">
        <f>IF($A204="","",IF($C204&lt;&gt;"khp_titration_mL","",IF(COUNTIFS('1_原始數據'!$A$2:$A$1000,$A204,'1_原始數據'!$B$2:$B$1000,$B204,'1_原始數據'!$D$2:$D$1000,$D204,'1_原始數據'!$C$2:$C$1000,"khp_mass_g")=0,"",SUMIFS('1_原始數據'!$E$2:$E$1000,'1_原始數據'!$A$2:$A$1000,$A204,'1_原始數據'!$B$2:$B$1000,$B204,'1_原始數據'!$D$2:$D$1000,$D204,'1_原始數據'!$C$2:$C$1000,"khp_mass_g")/('2_NaOH標定'!$C$5*$E204/1000))))</f>
        <v/>
      </c>
      <c r="K204" s="24">
        <f>IF($A204="","",IF($C204&lt;&gt;"manual_titration_mL","",IF(COUNTIFS('1_原始數據'!$A$2:$A$1000,$A204,'1_原始數據'!$C$2:$C$1000,"khp_titration_mL")=0,"",AVERAGEIFS('1_原始數據'!$J$2:$J$1000,'1_原始數據'!$A$2:$A$1000,$A204,'1_原始數據'!$C$2:$C$1000,"khp_titration_mL"))))</f>
        <v/>
      </c>
      <c r="L204" s="25">
        <f>IF($A204="","",IF($C204&lt;&gt;"manual_titration_mL","",IFERROR(INDEX('3_可滴定酸度'!$E$6:$E$13,MATCH($I204,'3_可滴定酸度'!$B$6:$B$13,0)),"")))</f>
        <v/>
      </c>
      <c r="M204" s="25">
        <f>IF($A204="","",IF($C204&lt;&gt;"manual_titration_mL","",IFERROR(INDEX('3_可滴定酸度'!$F$6:$F$13,MATCH($I204,'3_可滴定酸度'!$B$6:$B$13,0)),"")))</f>
        <v/>
      </c>
      <c r="N204" s="24">
        <f>IF($A204="","",IF(OR(K204="",L204="",M204=""),"",K204*E204*L204/(M204*1000)*100))</f>
        <v/>
      </c>
      <c r="O204" s="24">
        <f>IF($A204="","",IF(N204="","",IF(COUNTIFS('1_原始數據'!$A$2:$A$1000,$A204,'1_原始數據'!$B$2:$B$1000,$B204,'1_原始數據'!$D$2:$D$1000,$D204,'1_原始數據'!$I$2:$I$1000,$I204,'1_原始數據'!$C$2:$C$1000,"pasco_pct_acid")=0,"",SUMIFS('1_原始數據'!$E$2:$E$1000,'1_原始數據'!$A$2:$A$1000,$A204,'1_原始數據'!$B$2:$B$1000,$B204,'1_原始數據'!$D$2:$D$1000,$D204,'1_原始數據'!$I$2:$I$1000,$I204,'1_原始數據'!$C$2:$C$1000,"pasco_pct_acid"))))</f>
        <v/>
      </c>
      <c r="P204" s="26">
        <f>IF($A204="","",IF(OR(N204="",O204=""),"",O204-N204))</f>
        <v/>
      </c>
      <c r="Q204" s="24">
        <f>IF($A204="","",IF(P204="","",(O204+N204)/2))</f>
        <v/>
      </c>
      <c r="R204" s="27">
        <f>IF($A204="","",IF(P204="","",COUNT($P$2:P204)))</f>
        <v/>
      </c>
    </row>
    <row r="205">
      <c r="J205" s="24">
        <f>IF($A205="","",IF($C205&lt;&gt;"khp_titration_mL","",IF(COUNTIFS('1_原始數據'!$A$2:$A$1000,$A205,'1_原始數據'!$B$2:$B$1000,$B205,'1_原始數據'!$D$2:$D$1000,$D205,'1_原始數據'!$C$2:$C$1000,"khp_mass_g")=0,"",SUMIFS('1_原始數據'!$E$2:$E$1000,'1_原始數據'!$A$2:$A$1000,$A205,'1_原始數據'!$B$2:$B$1000,$B205,'1_原始數據'!$D$2:$D$1000,$D205,'1_原始數據'!$C$2:$C$1000,"khp_mass_g")/('2_NaOH標定'!$C$5*$E205/1000))))</f>
        <v/>
      </c>
      <c r="K205" s="24">
        <f>IF($A205="","",IF($C205&lt;&gt;"manual_titration_mL","",IF(COUNTIFS('1_原始數據'!$A$2:$A$1000,$A205,'1_原始數據'!$C$2:$C$1000,"khp_titration_mL")=0,"",AVERAGEIFS('1_原始數據'!$J$2:$J$1000,'1_原始數據'!$A$2:$A$1000,$A205,'1_原始數據'!$C$2:$C$1000,"khp_titration_mL"))))</f>
        <v/>
      </c>
      <c r="L205" s="25">
        <f>IF($A205="","",IF($C205&lt;&gt;"manual_titration_mL","",IFERROR(INDEX('3_可滴定酸度'!$E$6:$E$13,MATCH($I205,'3_可滴定酸度'!$B$6:$B$13,0)),"")))</f>
        <v/>
      </c>
      <c r="M205" s="25">
        <f>IF($A205="","",IF($C205&lt;&gt;"manual_titration_mL","",IFERROR(INDEX('3_可滴定酸度'!$F$6:$F$13,MATCH($I205,'3_可滴定酸度'!$B$6:$B$13,0)),"")))</f>
        <v/>
      </c>
      <c r="N205" s="24">
        <f>IF($A205="","",IF(OR(K205="",L205="",M205=""),"",K205*E205*L205/(M205*1000)*100))</f>
        <v/>
      </c>
      <c r="O205" s="24">
        <f>IF($A205="","",IF(N205="","",IF(COUNTIFS('1_原始數據'!$A$2:$A$1000,$A205,'1_原始數據'!$B$2:$B$1000,$B205,'1_原始數據'!$D$2:$D$1000,$D205,'1_原始數據'!$I$2:$I$1000,$I205,'1_原始數據'!$C$2:$C$1000,"pasco_pct_acid")=0,"",SUMIFS('1_原始數據'!$E$2:$E$1000,'1_原始數據'!$A$2:$A$1000,$A205,'1_原始數據'!$B$2:$B$1000,$B205,'1_原始數據'!$D$2:$D$1000,$D205,'1_原始數據'!$I$2:$I$1000,$I205,'1_原始數據'!$C$2:$C$1000,"pasco_pct_acid"))))</f>
        <v/>
      </c>
      <c r="P205" s="26">
        <f>IF($A205="","",IF(OR(N205="",O205=""),"",O205-N205))</f>
        <v/>
      </c>
      <c r="Q205" s="24">
        <f>IF($A205="","",IF(P205="","",(O205+N205)/2))</f>
        <v/>
      </c>
      <c r="R205" s="27">
        <f>IF($A205="","",IF(P205="","",COUNT($P$2:P205)))</f>
        <v/>
      </c>
    </row>
    <row r="206">
      <c r="J206" s="24">
        <f>IF($A206="","",IF($C206&lt;&gt;"khp_titration_mL","",IF(COUNTIFS('1_原始數據'!$A$2:$A$1000,$A206,'1_原始數據'!$B$2:$B$1000,$B206,'1_原始數據'!$D$2:$D$1000,$D206,'1_原始數據'!$C$2:$C$1000,"khp_mass_g")=0,"",SUMIFS('1_原始數據'!$E$2:$E$1000,'1_原始數據'!$A$2:$A$1000,$A206,'1_原始數據'!$B$2:$B$1000,$B206,'1_原始數據'!$D$2:$D$1000,$D206,'1_原始數據'!$C$2:$C$1000,"khp_mass_g")/('2_NaOH標定'!$C$5*$E206/1000))))</f>
        <v/>
      </c>
      <c r="K206" s="24">
        <f>IF($A206="","",IF($C206&lt;&gt;"manual_titration_mL","",IF(COUNTIFS('1_原始數據'!$A$2:$A$1000,$A206,'1_原始數據'!$C$2:$C$1000,"khp_titration_mL")=0,"",AVERAGEIFS('1_原始數據'!$J$2:$J$1000,'1_原始數據'!$A$2:$A$1000,$A206,'1_原始數據'!$C$2:$C$1000,"khp_titration_mL"))))</f>
        <v/>
      </c>
      <c r="L206" s="25">
        <f>IF($A206="","",IF($C206&lt;&gt;"manual_titration_mL","",IFERROR(INDEX('3_可滴定酸度'!$E$6:$E$13,MATCH($I206,'3_可滴定酸度'!$B$6:$B$13,0)),"")))</f>
        <v/>
      </c>
      <c r="M206" s="25">
        <f>IF($A206="","",IF($C206&lt;&gt;"manual_titration_mL","",IFERROR(INDEX('3_可滴定酸度'!$F$6:$F$13,MATCH($I206,'3_可滴定酸度'!$B$6:$B$13,0)),"")))</f>
        <v/>
      </c>
      <c r="N206" s="24">
        <f>IF($A206="","",IF(OR(K206="",L206="",M206=""),"",K206*E206*L206/(M206*1000)*100))</f>
        <v/>
      </c>
      <c r="O206" s="24">
        <f>IF($A206="","",IF(N206="","",IF(COUNTIFS('1_原始數據'!$A$2:$A$1000,$A206,'1_原始數據'!$B$2:$B$1000,$B206,'1_原始數據'!$D$2:$D$1000,$D206,'1_原始數據'!$I$2:$I$1000,$I206,'1_原始數據'!$C$2:$C$1000,"pasco_pct_acid")=0,"",SUMIFS('1_原始數據'!$E$2:$E$1000,'1_原始數據'!$A$2:$A$1000,$A206,'1_原始數據'!$B$2:$B$1000,$B206,'1_原始數據'!$D$2:$D$1000,$D206,'1_原始數據'!$I$2:$I$1000,$I206,'1_原始數據'!$C$2:$C$1000,"pasco_pct_acid"))))</f>
        <v/>
      </c>
      <c r="P206" s="26">
        <f>IF($A206="","",IF(OR(N206="",O206=""),"",O206-N206))</f>
        <v/>
      </c>
      <c r="Q206" s="24">
        <f>IF($A206="","",IF(P206="","",(O206+N206)/2))</f>
        <v/>
      </c>
      <c r="R206" s="27">
        <f>IF($A206="","",IF(P206="","",COUNT($P$2:P206)))</f>
        <v/>
      </c>
    </row>
    <row r="207">
      <c r="J207" s="24">
        <f>IF($A207="","",IF($C207&lt;&gt;"khp_titration_mL","",IF(COUNTIFS('1_原始數據'!$A$2:$A$1000,$A207,'1_原始數據'!$B$2:$B$1000,$B207,'1_原始數據'!$D$2:$D$1000,$D207,'1_原始數據'!$C$2:$C$1000,"khp_mass_g")=0,"",SUMIFS('1_原始數據'!$E$2:$E$1000,'1_原始數據'!$A$2:$A$1000,$A207,'1_原始數據'!$B$2:$B$1000,$B207,'1_原始數據'!$D$2:$D$1000,$D207,'1_原始數據'!$C$2:$C$1000,"khp_mass_g")/('2_NaOH標定'!$C$5*$E207/1000))))</f>
        <v/>
      </c>
      <c r="K207" s="24">
        <f>IF($A207="","",IF($C207&lt;&gt;"manual_titration_mL","",IF(COUNTIFS('1_原始數據'!$A$2:$A$1000,$A207,'1_原始數據'!$C$2:$C$1000,"khp_titration_mL")=0,"",AVERAGEIFS('1_原始數據'!$J$2:$J$1000,'1_原始數據'!$A$2:$A$1000,$A207,'1_原始數據'!$C$2:$C$1000,"khp_titration_mL"))))</f>
        <v/>
      </c>
      <c r="L207" s="25">
        <f>IF($A207="","",IF($C207&lt;&gt;"manual_titration_mL","",IFERROR(INDEX('3_可滴定酸度'!$E$6:$E$13,MATCH($I207,'3_可滴定酸度'!$B$6:$B$13,0)),"")))</f>
        <v/>
      </c>
      <c r="M207" s="25">
        <f>IF($A207="","",IF($C207&lt;&gt;"manual_titration_mL","",IFERROR(INDEX('3_可滴定酸度'!$F$6:$F$13,MATCH($I207,'3_可滴定酸度'!$B$6:$B$13,0)),"")))</f>
        <v/>
      </c>
      <c r="N207" s="24">
        <f>IF($A207="","",IF(OR(K207="",L207="",M207=""),"",K207*E207*L207/(M207*1000)*100))</f>
        <v/>
      </c>
      <c r="O207" s="24">
        <f>IF($A207="","",IF(N207="","",IF(COUNTIFS('1_原始數據'!$A$2:$A$1000,$A207,'1_原始數據'!$B$2:$B$1000,$B207,'1_原始數據'!$D$2:$D$1000,$D207,'1_原始數據'!$I$2:$I$1000,$I207,'1_原始數據'!$C$2:$C$1000,"pasco_pct_acid")=0,"",SUMIFS('1_原始數據'!$E$2:$E$1000,'1_原始數據'!$A$2:$A$1000,$A207,'1_原始數據'!$B$2:$B$1000,$B207,'1_原始數據'!$D$2:$D$1000,$D207,'1_原始數據'!$I$2:$I$1000,$I207,'1_原始數據'!$C$2:$C$1000,"pasco_pct_acid"))))</f>
        <v/>
      </c>
      <c r="P207" s="26">
        <f>IF($A207="","",IF(OR(N207="",O207=""),"",O207-N207))</f>
        <v/>
      </c>
      <c r="Q207" s="24">
        <f>IF($A207="","",IF(P207="","",(O207+N207)/2))</f>
        <v/>
      </c>
      <c r="R207" s="27">
        <f>IF($A207="","",IF(P207="","",COUNT($P$2:P207)))</f>
        <v/>
      </c>
    </row>
    <row r="208">
      <c r="J208" s="24">
        <f>IF($A208="","",IF($C208&lt;&gt;"khp_titration_mL","",IF(COUNTIFS('1_原始數據'!$A$2:$A$1000,$A208,'1_原始數據'!$B$2:$B$1000,$B208,'1_原始數據'!$D$2:$D$1000,$D208,'1_原始數據'!$C$2:$C$1000,"khp_mass_g")=0,"",SUMIFS('1_原始數據'!$E$2:$E$1000,'1_原始數據'!$A$2:$A$1000,$A208,'1_原始數據'!$B$2:$B$1000,$B208,'1_原始數據'!$D$2:$D$1000,$D208,'1_原始數據'!$C$2:$C$1000,"khp_mass_g")/('2_NaOH標定'!$C$5*$E208/1000))))</f>
        <v/>
      </c>
      <c r="K208" s="24">
        <f>IF($A208="","",IF($C208&lt;&gt;"manual_titration_mL","",IF(COUNTIFS('1_原始數據'!$A$2:$A$1000,$A208,'1_原始數據'!$C$2:$C$1000,"khp_titration_mL")=0,"",AVERAGEIFS('1_原始數據'!$J$2:$J$1000,'1_原始數據'!$A$2:$A$1000,$A208,'1_原始數據'!$C$2:$C$1000,"khp_titration_mL"))))</f>
        <v/>
      </c>
      <c r="L208" s="25">
        <f>IF($A208="","",IF($C208&lt;&gt;"manual_titration_mL","",IFERROR(INDEX('3_可滴定酸度'!$E$6:$E$13,MATCH($I208,'3_可滴定酸度'!$B$6:$B$13,0)),"")))</f>
        <v/>
      </c>
      <c r="M208" s="25">
        <f>IF($A208="","",IF($C208&lt;&gt;"manual_titration_mL","",IFERROR(INDEX('3_可滴定酸度'!$F$6:$F$13,MATCH($I208,'3_可滴定酸度'!$B$6:$B$13,0)),"")))</f>
        <v/>
      </c>
      <c r="N208" s="24">
        <f>IF($A208="","",IF(OR(K208="",L208="",M208=""),"",K208*E208*L208/(M208*1000)*100))</f>
        <v/>
      </c>
      <c r="O208" s="24">
        <f>IF($A208="","",IF(N208="","",IF(COUNTIFS('1_原始數據'!$A$2:$A$1000,$A208,'1_原始數據'!$B$2:$B$1000,$B208,'1_原始數據'!$D$2:$D$1000,$D208,'1_原始數據'!$I$2:$I$1000,$I208,'1_原始數據'!$C$2:$C$1000,"pasco_pct_acid")=0,"",SUMIFS('1_原始數據'!$E$2:$E$1000,'1_原始數據'!$A$2:$A$1000,$A208,'1_原始數據'!$B$2:$B$1000,$B208,'1_原始數據'!$D$2:$D$1000,$D208,'1_原始數據'!$I$2:$I$1000,$I208,'1_原始數據'!$C$2:$C$1000,"pasco_pct_acid"))))</f>
        <v/>
      </c>
      <c r="P208" s="26">
        <f>IF($A208="","",IF(OR(N208="",O208=""),"",O208-N208))</f>
        <v/>
      </c>
      <c r="Q208" s="24">
        <f>IF($A208="","",IF(P208="","",(O208+N208)/2))</f>
        <v/>
      </c>
      <c r="R208" s="27">
        <f>IF($A208="","",IF(P208="","",COUNT($P$2:P208)))</f>
        <v/>
      </c>
    </row>
    <row r="209">
      <c r="J209" s="24">
        <f>IF($A209="","",IF($C209&lt;&gt;"khp_titration_mL","",IF(COUNTIFS('1_原始數據'!$A$2:$A$1000,$A209,'1_原始數據'!$B$2:$B$1000,$B209,'1_原始數據'!$D$2:$D$1000,$D209,'1_原始數據'!$C$2:$C$1000,"khp_mass_g")=0,"",SUMIFS('1_原始數據'!$E$2:$E$1000,'1_原始數據'!$A$2:$A$1000,$A209,'1_原始數據'!$B$2:$B$1000,$B209,'1_原始數據'!$D$2:$D$1000,$D209,'1_原始數據'!$C$2:$C$1000,"khp_mass_g")/('2_NaOH標定'!$C$5*$E209/1000))))</f>
        <v/>
      </c>
      <c r="K209" s="24">
        <f>IF($A209="","",IF($C209&lt;&gt;"manual_titration_mL","",IF(COUNTIFS('1_原始數據'!$A$2:$A$1000,$A209,'1_原始數據'!$C$2:$C$1000,"khp_titration_mL")=0,"",AVERAGEIFS('1_原始數據'!$J$2:$J$1000,'1_原始數據'!$A$2:$A$1000,$A209,'1_原始數據'!$C$2:$C$1000,"khp_titration_mL"))))</f>
        <v/>
      </c>
      <c r="L209" s="25">
        <f>IF($A209="","",IF($C209&lt;&gt;"manual_titration_mL","",IFERROR(INDEX('3_可滴定酸度'!$E$6:$E$13,MATCH($I209,'3_可滴定酸度'!$B$6:$B$13,0)),"")))</f>
        <v/>
      </c>
      <c r="M209" s="25">
        <f>IF($A209="","",IF($C209&lt;&gt;"manual_titration_mL","",IFERROR(INDEX('3_可滴定酸度'!$F$6:$F$13,MATCH($I209,'3_可滴定酸度'!$B$6:$B$13,0)),"")))</f>
        <v/>
      </c>
      <c r="N209" s="24">
        <f>IF($A209="","",IF(OR(K209="",L209="",M209=""),"",K209*E209*L209/(M209*1000)*100))</f>
        <v/>
      </c>
      <c r="O209" s="24">
        <f>IF($A209="","",IF(N209="","",IF(COUNTIFS('1_原始數據'!$A$2:$A$1000,$A209,'1_原始數據'!$B$2:$B$1000,$B209,'1_原始數據'!$D$2:$D$1000,$D209,'1_原始數據'!$I$2:$I$1000,$I209,'1_原始數據'!$C$2:$C$1000,"pasco_pct_acid")=0,"",SUMIFS('1_原始數據'!$E$2:$E$1000,'1_原始數據'!$A$2:$A$1000,$A209,'1_原始數據'!$B$2:$B$1000,$B209,'1_原始數據'!$D$2:$D$1000,$D209,'1_原始數據'!$I$2:$I$1000,$I209,'1_原始數據'!$C$2:$C$1000,"pasco_pct_acid"))))</f>
        <v/>
      </c>
      <c r="P209" s="26">
        <f>IF($A209="","",IF(OR(N209="",O209=""),"",O209-N209))</f>
        <v/>
      </c>
      <c r="Q209" s="24">
        <f>IF($A209="","",IF(P209="","",(O209+N209)/2))</f>
        <v/>
      </c>
      <c r="R209" s="27">
        <f>IF($A209="","",IF(P209="","",COUNT($P$2:P209)))</f>
        <v/>
      </c>
    </row>
    <row r="210">
      <c r="J210" s="24">
        <f>IF($A210="","",IF($C210&lt;&gt;"khp_titration_mL","",IF(COUNTIFS('1_原始數據'!$A$2:$A$1000,$A210,'1_原始數據'!$B$2:$B$1000,$B210,'1_原始數據'!$D$2:$D$1000,$D210,'1_原始數據'!$C$2:$C$1000,"khp_mass_g")=0,"",SUMIFS('1_原始數據'!$E$2:$E$1000,'1_原始數據'!$A$2:$A$1000,$A210,'1_原始數據'!$B$2:$B$1000,$B210,'1_原始數據'!$D$2:$D$1000,$D210,'1_原始數據'!$C$2:$C$1000,"khp_mass_g")/('2_NaOH標定'!$C$5*$E210/1000))))</f>
        <v/>
      </c>
      <c r="K210" s="24">
        <f>IF($A210="","",IF($C210&lt;&gt;"manual_titration_mL","",IF(COUNTIFS('1_原始數據'!$A$2:$A$1000,$A210,'1_原始數據'!$C$2:$C$1000,"khp_titration_mL")=0,"",AVERAGEIFS('1_原始數據'!$J$2:$J$1000,'1_原始數據'!$A$2:$A$1000,$A210,'1_原始數據'!$C$2:$C$1000,"khp_titration_mL"))))</f>
        <v/>
      </c>
      <c r="L210" s="25">
        <f>IF($A210="","",IF($C210&lt;&gt;"manual_titration_mL","",IFERROR(INDEX('3_可滴定酸度'!$E$6:$E$13,MATCH($I210,'3_可滴定酸度'!$B$6:$B$13,0)),"")))</f>
        <v/>
      </c>
      <c r="M210" s="25">
        <f>IF($A210="","",IF($C210&lt;&gt;"manual_titration_mL","",IFERROR(INDEX('3_可滴定酸度'!$F$6:$F$13,MATCH($I210,'3_可滴定酸度'!$B$6:$B$13,0)),"")))</f>
        <v/>
      </c>
      <c r="N210" s="24">
        <f>IF($A210="","",IF(OR(K210="",L210="",M210=""),"",K210*E210*L210/(M210*1000)*100))</f>
        <v/>
      </c>
      <c r="O210" s="24">
        <f>IF($A210="","",IF(N210="","",IF(COUNTIFS('1_原始數據'!$A$2:$A$1000,$A210,'1_原始數據'!$B$2:$B$1000,$B210,'1_原始數據'!$D$2:$D$1000,$D210,'1_原始數據'!$I$2:$I$1000,$I210,'1_原始數據'!$C$2:$C$1000,"pasco_pct_acid")=0,"",SUMIFS('1_原始數據'!$E$2:$E$1000,'1_原始數據'!$A$2:$A$1000,$A210,'1_原始數據'!$B$2:$B$1000,$B210,'1_原始數據'!$D$2:$D$1000,$D210,'1_原始數據'!$I$2:$I$1000,$I210,'1_原始數據'!$C$2:$C$1000,"pasco_pct_acid"))))</f>
        <v/>
      </c>
      <c r="P210" s="26">
        <f>IF($A210="","",IF(OR(N210="",O210=""),"",O210-N210))</f>
        <v/>
      </c>
      <c r="Q210" s="24">
        <f>IF($A210="","",IF(P210="","",(O210+N210)/2))</f>
        <v/>
      </c>
      <c r="R210" s="27">
        <f>IF($A210="","",IF(P210="","",COUNT($P$2:P210)))</f>
        <v/>
      </c>
    </row>
    <row r="211">
      <c r="J211" s="24">
        <f>IF($A211="","",IF($C211&lt;&gt;"khp_titration_mL","",IF(COUNTIFS('1_原始數據'!$A$2:$A$1000,$A211,'1_原始數據'!$B$2:$B$1000,$B211,'1_原始數據'!$D$2:$D$1000,$D211,'1_原始數據'!$C$2:$C$1000,"khp_mass_g")=0,"",SUMIFS('1_原始數據'!$E$2:$E$1000,'1_原始數據'!$A$2:$A$1000,$A211,'1_原始數據'!$B$2:$B$1000,$B211,'1_原始數據'!$D$2:$D$1000,$D211,'1_原始數據'!$C$2:$C$1000,"khp_mass_g")/('2_NaOH標定'!$C$5*$E211/1000))))</f>
        <v/>
      </c>
      <c r="K211" s="24">
        <f>IF($A211="","",IF($C211&lt;&gt;"manual_titration_mL","",IF(COUNTIFS('1_原始數據'!$A$2:$A$1000,$A211,'1_原始數據'!$C$2:$C$1000,"khp_titration_mL")=0,"",AVERAGEIFS('1_原始數據'!$J$2:$J$1000,'1_原始數據'!$A$2:$A$1000,$A211,'1_原始數據'!$C$2:$C$1000,"khp_titration_mL"))))</f>
        <v/>
      </c>
      <c r="L211" s="25">
        <f>IF($A211="","",IF($C211&lt;&gt;"manual_titration_mL","",IFERROR(INDEX('3_可滴定酸度'!$E$6:$E$13,MATCH($I211,'3_可滴定酸度'!$B$6:$B$13,0)),"")))</f>
        <v/>
      </c>
      <c r="M211" s="25">
        <f>IF($A211="","",IF($C211&lt;&gt;"manual_titration_mL","",IFERROR(INDEX('3_可滴定酸度'!$F$6:$F$13,MATCH($I211,'3_可滴定酸度'!$B$6:$B$13,0)),"")))</f>
        <v/>
      </c>
      <c r="N211" s="24">
        <f>IF($A211="","",IF(OR(K211="",L211="",M211=""),"",K211*E211*L211/(M211*1000)*100))</f>
        <v/>
      </c>
      <c r="O211" s="24">
        <f>IF($A211="","",IF(N211="","",IF(COUNTIFS('1_原始數據'!$A$2:$A$1000,$A211,'1_原始數據'!$B$2:$B$1000,$B211,'1_原始數據'!$D$2:$D$1000,$D211,'1_原始數據'!$I$2:$I$1000,$I211,'1_原始數據'!$C$2:$C$1000,"pasco_pct_acid")=0,"",SUMIFS('1_原始數據'!$E$2:$E$1000,'1_原始數據'!$A$2:$A$1000,$A211,'1_原始數據'!$B$2:$B$1000,$B211,'1_原始數據'!$D$2:$D$1000,$D211,'1_原始數據'!$I$2:$I$1000,$I211,'1_原始數據'!$C$2:$C$1000,"pasco_pct_acid"))))</f>
        <v/>
      </c>
      <c r="P211" s="26">
        <f>IF($A211="","",IF(OR(N211="",O211=""),"",O211-N211))</f>
        <v/>
      </c>
      <c r="Q211" s="24">
        <f>IF($A211="","",IF(P211="","",(O211+N211)/2))</f>
        <v/>
      </c>
      <c r="R211" s="27">
        <f>IF($A211="","",IF(P211="","",COUNT($P$2:P211)))</f>
        <v/>
      </c>
    </row>
    <row r="212">
      <c r="J212" s="24">
        <f>IF($A212="","",IF($C212&lt;&gt;"khp_titration_mL","",IF(COUNTIFS('1_原始數據'!$A$2:$A$1000,$A212,'1_原始數據'!$B$2:$B$1000,$B212,'1_原始數據'!$D$2:$D$1000,$D212,'1_原始數據'!$C$2:$C$1000,"khp_mass_g")=0,"",SUMIFS('1_原始數據'!$E$2:$E$1000,'1_原始數據'!$A$2:$A$1000,$A212,'1_原始數據'!$B$2:$B$1000,$B212,'1_原始數據'!$D$2:$D$1000,$D212,'1_原始數據'!$C$2:$C$1000,"khp_mass_g")/('2_NaOH標定'!$C$5*$E212/1000))))</f>
        <v/>
      </c>
      <c r="K212" s="24">
        <f>IF($A212="","",IF($C212&lt;&gt;"manual_titration_mL","",IF(COUNTIFS('1_原始數據'!$A$2:$A$1000,$A212,'1_原始數據'!$C$2:$C$1000,"khp_titration_mL")=0,"",AVERAGEIFS('1_原始數據'!$J$2:$J$1000,'1_原始數據'!$A$2:$A$1000,$A212,'1_原始數據'!$C$2:$C$1000,"khp_titration_mL"))))</f>
        <v/>
      </c>
      <c r="L212" s="25">
        <f>IF($A212="","",IF($C212&lt;&gt;"manual_titration_mL","",IFERROR(INDEX('3_可滴定酸度'!$E$6:$E$13,MATCH($I212,'3_可滴定酸度'!$B$6:$B$13,0)),"")))</f>
        <v/>
      </c>
      <c r="M212" s="25">
        <f>IF($A212="","",IF($C212&lt;&gt;"manual_titration_mL","",IFERROR(INDEX('3_可滴定酸度'!$F$6:$F$13,MATCH($I212,'3_可滴定酸度'!$B$6:$B$13,0)),"")))</f>
        <v/>
      </c>
      <c r="N212" s="24">
        <f>IF($A212="","",IF(OR(K212="",L212="",M212=""),"",K212*E212*L212/(M212*1000)*100))</f>
        <v/>
      </c>
      <c r="O212" s="24">
        <f>IF($A212="","",IF(N212="","",IF(COUNTIFS('1_原始數據'!$A$2:$A$1000,$A212,'1_原始數據'!$B$2:$B$1000,$B212,'1_原始數據'!$D$2:$D$1000,$D212,'1_原始數據'!$I$2:$I$1000,$I212,'1_原始數據'!$C$2:$C$1000,"pasco_pct_acid")=0,"",SUMIFS('1_原始數據'!$E$2:$E$1000,'1_原始數據'!$A$2:$A$1000,$A212,'1_原始數據'!$B$2:$B$1000,$B212,'1_原始數據'!$D$2:$D$1000,$D212,'1_原始數據'!$I$2:$I$1000,$I212,'1_原始數據'!$C$2:$C$1000,"pasco_pct_acid"))))</f>
        <v/>
      </c>
      <c r="P212" s="26">
        <f>IF($A212="","",IF(OR(N212="",O212=""),"",O212-N212))</f>
        <v/>
      </c>
      <c r="Q212" s="24">
        <f>IF($A212="","",IF(P212="","",(O212+N212)/2))</f>
        <v/>
      </c>
      <c r="R212" s="27">
        <f>IF($A212="","",IF(P212="","",COUNT($P$2:P212)))</f>
        <v/>
      </c>
    </row>
    <row r="213">
      <c r="J213" s="24">
        <f>IF($A213="","",IF($C213&lt;&gt;"khp_titration_mL","",IF(COUNTIFS('1_原始數據'!$A$2:$A$1000,$A213,'1_原始數據'!$B$2:$B$1000,$B213,'1_原始數據'!$D$2:$D$1000,$D213,'1_原始數據'!$C$2:$C$1000,"khp_mass_g")=0,"",SUMIFS('1_原始數據'!$E$2:$E$1000,'1_原始數據'!$A$2:$A$1000,$A213,'1_原始數據'!$B$2:$B$1000,$B213,'1_原始數據'!$D$2:$D$1000,$D213,'1_原始數據'!$C$2:$C$1000,"khp_mass_g")/('2_NaOH標定'!$C$5*$E213/1000))))</f>
        <v/>
      </c>
      <c r="K213" s="24">
        <f>IF($A213="","",IF($C213&lt;&gt;"manual_titration_mL","",IF(COUNTIFS('1_原始數據'!$A$2:$A$1000,$A213,'1_原始數據'!$C$2:$C$1000,"khp_titration_mL")=0,"",AVERAGEIFS('1_原始數據'!$J$2:$J$1000,'1_原始數據'!$A$2:$A$1000,$A213,'1_原始數據'!$C$2:$C$1000,"khp_titration_mL"))))</f>
        <v/>
      </c>
      <c r="L213" s="25">
        <f>IF($A213="","",IF($C213&lt;&gt;"manual_titration_mL","",IFERROR(INDEX('3_可滴定酸度'!$E$6:$E$13,MATCH($I213,'3_可滴定酸度'!$B$6:$B$13,0)),"")))</f>
        <v/>
      </c>
      <c r="M213" s="25">
        <f>IF($A213="","",IF($C213&lt;&gt;"manual_titration_mL","",IFERROR(INDEX('3_可滴定酸度'!$F$6:$F$13,MATCH($I213,'3_可滴定酸度'!$B$6:$B$13,0)),"")))</f>
        <v/>
      </c>
      <c r="N213" s="24">
        <f>IF($A213="","",IF(OR(K213="",L213="",M213=""),"",K213*E213*L213/(M213*1000)*100))</f>
        <v/>
      </c>
      <c r="O213" s="24">
        <f>IF($A213="","",IF(N213="","",IF(COUNTIFS('1_原始數據'!$A$2:$A$1000,$A213,'1_原始數據'!$B$2:$B$1000,$B213,'1_原始數據'!$D$2:$D$1000,$D213,'1_原始數據'!$I$2:$I$1000,$I213,'1_原始數據'!$C$2:$C$1000,"pasco_pct_acid")=0,"",SUMIFS('1_原始數據'!$E$2:$E$1000,'1_原始數據'!$A$2:$A$1000,$A213,'1_原始數據'!$B$2:$B$1000,$B213,'1_原始數據'!$D$2:$D$1000,$D213,'1_原始數據'!$I$2:$I$1000,$I213,'1_原始數據'!$C$2:$C$1000,"pasco_pct_acid"))))</f>
        <v/>
      </c>
      <c r="P213" s="26">
        <f>IF($A213="","",IF(OR(N213="",O213=""),"",O213-N213))</f>
        <v/>
      </c>
      <c r="Q213" s="24">
        <f>IF($A213="","",IF(P213="","",(O213+N213)/2))</f>
        <v/>
      </c>
      <c r="R213" s="27">
        <f>IF($A213="","",IF(P213="","",COUNT($P$2:P213)))</f>
        <v/>
      </c>
    </row>
    <row r="214">
      <c r="J214" s="24">
        <f>IF($A214="","",IF($C214&lt;&gt;"khp_titration_mL","",IF(COUNTIFS('1_原始數據'!$A$2:$A$1000,$A214,'1_原始數據'!$B$2:$B$1000,$B214,'1_原始數據'!$D$2:$D$1000,$D214,'1_原始數據'!$C$2:$C$1000,"khp_mass_g")=0,"",SUMIFS('1_原始數據'!$E$2:$E$1000,'1_原始數據'!$A$2:$A$1000,$A214,'1_原始數據'!$B$2:$B$1000,$B214,'1_原始數據'!$D$2:$D$1000,$D214,'1_原始數據'!$C$2:$C$1000,"khp_mass_g")/('2_NaOH標定'!$C$5*$E214/1000))))</f>
        <v/>
      </c>
      <c r="K214" s="24">
        <f>IF($A214="","",IF($C214&lt;&gt;"manual_titration_mL","",IF(COUNTIFS('1_原始數據'!$A$2:$A$1000,$A214,'1_原始數據'!$C$2:$C$1000,"khp_titration_mL")=0,"",AVERAGEIFS('1_原始數據'!$J$2:$J$1000,'1_原始數據'!$A$2:$A$1000,$A214,'1_原始數據'!$C$2:$C$1000,"khp_titration_mL"))))</f>
        <v/>
      </c>
      <c r="L214" s="25">
        <f>IF($A214="","",IF($C214&lt;&gt;"manual_titration_mL","",IFERROR(INDEX('3_可滴定酸度'!$E$6:$E$13,MATCH($I214,'3_可滴定酸度'!$B$6:$B$13,0)),"")))</f>
        <v/>
      </c>
      <c r="M214" s="25">
        <f>IF($A214="","",IF($C214&lt;&gt;"manual_titration_mL","",IFERROR(INDEX('3_可滴定酸度'!$F$6:$F$13,MATCH($I214,'3_可滴定酸度'!$B$6:$B$13,0)),"")))</f>
        <v/>
      </c>
      <c r="N214" s="24">
        <f>IF($A214="","",IF(OR(K214="",L214="",M214=""),"",K214*E214*L214/(M214*1000)*100))</f>
        <v/>
      </c>
      <c r="O214" s="24">
        <f>IF($A214="","",IF(N214="","",IF(COUNTIFS('1_原始數據'!$A$2:$A$1000,$A214,'1_原始數據'!$B$2:$B$1000,$B214,'1_原始數據'!$D$2:$D$1000,$D214,'1_原始數據'!$I$2:$I$1000,$I214,'1_原始數據'!$C$2:$C$1000,"pasco_pct_acid")=0,"",SUMIFS('1_原始數據'!$E$2:$E$1000,'1_原始數據'!$A$2:$A$1000,$A214,'1_原始數據'!$B$2:$B$1000,$B214,'1_原始數據'!$D$2:$D$1000,$D214,'1_原始數據'!$I$2:$I$1000,$I214,'1_原始數據'!$C$2:$C$1000,"pasco_pct_acid"))))</f>
        <v/>
      </c>
      <c r="P214" s="26">
        <f>IF($A214="","",IF(OR(N214="",O214=""),"",O214-N214))</f>
        <v/>
      </c>
      <c r="Q214" s="24">
        <f>IF($A214="","",IF(P214="","",(O214+N214)/2))</f>
        <v/>
      </c>
      <c r="R214" s="27">
        <f>IF($A214="","",IF(P214="","",COUNT($P$2:P214)))</f>
        <v/>
      </c>
    </row>
    <row r="215">
      <c r="J215" s="24">
        <f>IF($A215="","",IF($C215&lt;&gt;"khp_titration_mL","",IF(COUNTIFS('1_原始數據'!$A$2:$A$1000,$A215,'1_原始數據'!$B$2:$B$1000,$B215,'1_原始數據'!$D$2:$D$1000,$D215,'1_原始數據'!$C$2:$C$1000,"khp_mass_g")=0,"",SUMIFS('1_原始數據'!$E$2:$E$1000,'1_原始數據'!$A$2:$A$1000,$A215,'1_原始數據'!$B$2:$B$1000,$B215,'1_原始數據'!$D$2:$D$1000,$D215,'1_原始數據'!$C$2:$C$1000,"khp_mass_g")/('2_NaOH標定'!$C$5*$E215/1000))))</f>
        <v/>
      </c>
      <c r="K215" s="24">
        <f>IF($A215="","",IF($C215&lt;&gt;"manual_titration_mL","",IF(COUNTIFS('1_原始數據'!$A$2:$A$1000,$A215,'1_原始數據'!$C$2:$C$1000,"khp_titration_mL")=0,"",AVERAGEIFS('1_原始數據'!$J$2:$J$1000,'1_原始數據'!$A$2:$A$1000,$A215,'1_原始數據'!$C$2:$C$1000,"khp_titration_mL"))))</f>
        <v/>
      </c>
      <c r="L215" s="25">
        <f>IF($A215="","",IF($C215&lt;&gt;"manual_titration_mL","",IFERROR(INDEX('3_可滴定酸度'!$E$6:$E$13,MATCH($I215,'3_可滴定酸度'!$B$6:$B$13,0)),"")))</f>
        <v/>
      </c>
      <c r="M215" s="25">
        <f>IF($A215="","",IF($C215&lt;&gt;"manual_titration_mL","",IFERROR(INDEX('3_可滴定酸度'!$F$6:$F$13,MATCH($I215,'3_可滴定酸度'!$B$6:$B$13,0)),"")))</f>
        <v/>
      </c>
      <c r="N215" s="24">
        <f>IF($A215="","",IF(OR(K215="",L215="",M215=""),"",K215*E215*L215/(M215*1000)*100))</f>
        <v/>
      </c>
      <c r="O215" s="24">
        <f>IF($A215="","",IF(N215="","",IF(COUNTIFS('1_原始數據'!$A$2:$A$1000,$A215,'1_原始數據'!$B$2:$B$1000,$B215,'1_原始數據'!$D$2:$D$1000,$D215,'1_原始數據'!$I$2:$I$1000,$I215,'1_原始數據'!$C$2:$C$1000,"pasco_pct_acid")=0,"",SUMIFS('1_原始數據'!$E$2:$E$1000,'1_原始數據'!$A$2:$A$1000,$A215,'1_原始數據'!$B$2:$B$1000,$B215,'1_原始數據'!$D$2:$D$1000,$D215,'1_原始數據'!$I$2:$I$1000,$I215,'1_原始數據'!$C$2:$C$1000,"pasco_pct_acid"))))</f>
        <v/>
      </c>
      <c r="P215" s="26">
        <f>IF($A215="","",IF(OR(N215="",O215=""),"",O215-N215))</f>
        <v/>
      </c>
      <c r="Q215" s="24">
        <f>IF($A215="","",IF(P215="","",(O215+N215)/2))</f>
        <v/>
      </c>
      <c r="R215" s="27">
        <f>IF($A215="","",IF(P215="","",COUNT($P$2:P215)))</f>
        <v/>
      </c>
    </row>
    <row r="216">
      <c r="J216" s="24">
        <f>IF($A216="","",IF($C216&lt;&gt;"khp_titration_mL","",IF(COUNTIFS('1_原始數據'!$A$2:$A$1000,$A216,'1_原始數據'!$B$2:$B$1000,$B216,'1_原始數據'!$D$2:$D$1000,$D216,'1_原始數據'!$C$2:$C$1000,"khp_mass_g")=0,"",SUMIFS('1_原始數據'!$E$2:$E$1000,'1_原始數據'!$A$2:$A$1000,$A216,'1_原始數據'!$B$2:$B$1000,$B216,'1_原始數據'!$D$2:$D$1000,$D216,'1_原始數據'!$C$2:$C$1000,"khp_mass_g")/('2_NaOH標定'!$C$5*$E216/1000))))</f>
        <v/>
      </c>
      <c r="K216" s="24">
        <f>IF($A216="","",IF($C216&lt;&gt;"manual_titration_mL","",IF(COUNTIFS('1_原始數據'!$A$2:$A$1000,$A216,'1_原始數據'!$C$2:$C$1000,"khp_titration_mL")=0,"",AVERAGEIFS('1_原始數據'!$J$2:$J$1000,'1_原始數據'!$A$2:$A$1000,$A216,'1_原始數據'!$C$2:$C$1000,"khp_titration_mL"))))</f>
        <v/>
      </c>
      <c r="L216" s="25">
        <f>IF($A216="","",IF($C216&lt;&gt;"manual_titration_mL","",IFERROR(INDEX('3_可滴定酸度'!$E$6:$E$13,MATCH($I216,'3_可滴定酸度'!$B$6:$B$13,0)),"")))</f>
        <v/>
      </c>
      <c r="M216" s="25">
        <f>IF($A216="","",IF($C216&lt;&gt;"manual_titration_mL","",IFERROR(INDEX('3_可滴定酸度'!$F$6:$F$13,MATCH($I216,'3_可滴定酸度'!$B$6:$B$13,0)),"")))</f>
        <v/>
      </c>
      <c r="N216" s="24">
        <f>IF($A216="","",IF(OR(K216="",L216="",M216=""),"",K216*E216*L216/(M216*1000)*100))</f>
        <v/>
      </c>
      <c r="O216" s="24">
        <f>IF($A216="","",IF(N216="","",IF(COUNTIFS('1_原始數據'!$A$2:$A$1000,$A216,'1_原始數據'!$B$2:$B$1000,$B216,'1_原始數據'!$D$2:$D$1000,$D216,'1_原始數據'!$I$2:$I$1000,$I216,'1_原始數據'!$C$2:$C$1000,"pasco_pct_acid")=0,"",SUMIFS('1_原始數據'!$E$2:$E$1000,'1_原始數據'!$A$2:$A$1000,$A216,'1_原始數據'!$B$2:$B$1000,$B216,'1_原始數據'!$D$2:$D$1000,$D216,'1_原始數據'!$I$2:$I$1000,$I216,'1_原始數據'!$C$2:$C$1000,"pasco_pct_acid"))))</f>
        <v/>
      </c>
      <c r="P216" s="26">
        <f>IF($A216="","",IF(OR(N216="",O216=""),"",O216-N216))</f>
        <v/>
      </c>
      <c r="Q216" s="24">
        <f>IF($A216="","",IF(P216="","",(O216+N216)/2))</f>
        <v/>
      </c>
      <c r="R216" s="27">
        <f>IF($A216="","",IF(P216="","",COUNT($P$2:P216)))</f>
        <v/>
      </c>
    </row>
    <row r="217">
      <c r="J217" s="24">
        <f>IF($A217="","",IF($C217&lt;&gt;"khp_titration_mL","",IF(COUNTIFS('1_原始數據'!$A$2:$A$1000,$A217,'1_原始數據'!$B$2:$B$1000,$B217,'1_原始數據'!$D$2:$D$1000,$D217,'1_原始數據'!$C$2:$C$1000,"khp_mass_g")=0,"",SUMIFS('1_原始數據'!$E$2:$E$1000,'1_原始數據'!$A$2:$A$1000,$A217,'1_原始數據'!$B$2:$B$1000,$B217,'1_原始數據'!$D$2:$D$1000,$D217,'1_原始數據'!$C$2:$C$1000,"khp_mass_g")/('2_NaOH標定'!$C$5*$E217/1000))))</f>
        <v/>
      </c>
      <c r="K217" s="24">
        <f>IF($A217="","",IF($C217&lt;&gt;"manual_titration_mL","",IF(COUNTIFS('1_原始數據'!$A$2:$A$1000,$A217,'1_原始數據'!$C$2:$C$1000,"khp_titration_mL")=0,"",AVERAGEIFS('1_原始數據'!$J$2:$J$1000,'1_原始數據'!$A$2:$A$1000,$A217,'1_原始數據'!$C$2:$C$1000,"khp_titration_mL"))))</f>
        <v/>
      </c>
      <c r="L217" s="25">
        <f>IF($A217="","",IF($C217&lt;&gt;"manual_titration_mL","",IFERROR(INDEX('3_可滴定酸度'!$E$6:$E$13,MATCH($I217,'3_可滴定酸度'!$B$6:$B$13,0)),"")))</f>
        <v/>
      </c>
      <c r="M217" s="25">
        <f>IF($A217="","",IF($C217&lt;&gt;"manual_titration_mL","",IFERROR(INDEX('3_可滴定酸度'!$F$6:$F$13,MATCH($I217,'3_可滴定酸度'!$B$6:$B$13,0)),"")))</f>
        <v/>
      </c>
      <c r="N217" s="24">
        <f>IF($A217="","",IF(OR(K217="",L217="",M217=""),"",K217*E217*L217/(M217*1000)*100))</f>
        <v/>
      </c>
      <c r="O217" s="24">
        <f>IF($A217="","",IF(N217="","",IF(COUNTIFS('1_原始數據'!$A$2:$A$1000,$A217,'1_原始數據'!$B$2:$B$1000,$B217,'1_原始數據'!$D$2:$D$1000,$D217,'1_原始數據'!$I$2:$I$1000,$I217,'1_原始數據'!$C$2:$C$1000,"pasco_pct_acid")=0,"",SUMIFS('1_原始數據'!$E$2:$E$1000,'1_原始數據'!$A$2:$A$1000,$A217,'1_原始數據'!$B$2:$B$1000,$B217,'1_原始數據'!$D$2:$D$1000,$D217,'1_原始數據'!$I$2:$I$1000,$I217,'1_原始數據'!$C$2:$C$1000,"pasco_pct_acid"))))</f>
        <v/>
      </c>
      <c r="P217" s="26">
        <f>IF($A217="","",IF(OR(N217="",O217=""),"",O217-N217))</f>
        <v/>
      </c>
      <c r="Q217" s="24">
        <f>IF($A217="","",IF(P217="","",(O217+N217)/2))</f>
        <v/>
      </c>
      <c r="R217" s="27">
        <f>IF($A217="","",IF(P217="","",COUNT($P$2:P217)))</f>
        <v/>
      </c>
    </row>
    <row r="218">
      <c r="J218" s="24">
        <f>IF($A218="","",IF($C218&lt;&gt;"khp_titration_mL","",IF(COUNTIFS('1_原始數據'!$A$2:$A$1000,$A218,'1_原始數據'!$B$2:$B$1000,$B218,'1_原始數據'!$D$2:$D$1000,$D218,'1_原始數據'!$C$2:$C$1000,"khp_mass_g")=0,"",SUMIFS('1_原始數據'!$E$2:$E$1000,'1_原始數據'!$A$2:$A$1000,$A218,'1_原始數據'!$B$2:$B$1000,$B218,'1_原始數據'!$D$2:$D$1000,$D218,'1_原始數據'!$C$2:$C$1000,"khp_mass_g")/('2_NaOH標定'!$C$5*$E218/1000))))</f>
        <v/>
      </c>
      <c r="K218" s="24">
        <f>IF($A218="","",IF($C218&lt;&gt;"manual_titration_mL","",IF(COUNTIFS('1_原始數據'!$A$2:$A$1000,$A218,'1_原始數據'!$C$2:$C$1000,"khp_titration_mL")=0,"",AVERAGEIFS('1_原始數據'!$J$2:$J$1000,'1_原始數據'!$A$2:$A$1000,$A218,'1_原始數據'!$C$2:$C$1000,"khp_titration_mL"))))</f>
        <v/>
      </c>
      <c r="L218" s="25">
        <f>IF($A218="","",IF($C218&lt;&gt;"manual_titration_mL","",IFERROR(INDEX('3_可滴定酸度'!$E$6:$E$13,MATCH($I218,'3_可滴定酸度'!$B$6:$B$13,0)),"")))</f>
        <v/>
      </c>
      <c r="M218" s="25">
        <f>IF($A218="","",IF($C218&lt;&gt;"manual_titration_mL","",IFERROR(INDEX('3_可滴定酸度'!$F$6:$F$13,MATCH($I218,'3_可滴定酸度'!$B$6:$B$13,0)),"")))</f>
        <v/>
      </c>
      <c r="N218" s="24">
        <f>IF($A218="","",IF(OR(K218="",L218="",M218=""),"",K218*E218*L218/(M218*1000)*100))</f>
        <v/>
      </c>
      <c r="O218" s="24">
        <f>IF($A218="","",IF(N218="","",IF(COUNTIFS('1_原始數據'!$A$2:$A$1000,$A218,'1_原始數據'!$B$2:$B$1000,$B218,'1_原始數據'!$D$2:$D$1000,$D218,'1_原始數據'!$I$2:$I$1000,$I218,'1_原始數據'!$C$2:$C$1000,"pasco_pct_acid")=0,"",SUMIFS('1_原始數據'!$E$2:$E$1000,'1_原始數據'!$A$2:$A$1000,$A218,'1_原始數據'!$B$2:$B$1000,$B218,'1_原始數據'!$D$2:$D$1000,$D218,'1_原始數據'!$I$2:$I$1000,$I218,'1_原始數據'!$C$2:$C$1000,"pasco_pct_acid"))))</f>
        <v/>
      </c>
      <c r="P218" s="26">
        <f>IF($A218="","",IF(OR(N218="",O218=""),"",O218-N218))</f>
        <v/>
      </c>
      <c r="Q218" s="24">
        <f>IF($A218="","",IF(P218="","",(O218+N218)/2))</f>
        <v/>
      </c>
      <c r="R218" s="27">
        <f>IF($A218="","",IF(P218="","",COUNT($P$2:P218)))</f>
        <v/>
      </c>
    </row>
    <row r="219">
      <c r="J219" s="24">
        <f>IF($A219="","",IF($C219&lt;&gt;"khp_titration_mL","",IF(COUNTIFS('1_原始數據'!$A$2:$A$1000,$A219,'1_原始數據'!$B$2:$B$1000,$B219,'1_原始數據'!$D$2:$D$1000,$D219,'1_原始數據'!$C$2:$C$1000,"khp_mass_g")=0,"",SUMIFS('1_原始數據'!$E$2:$E$1000,'1_原始數據'!$A$2:$A$1000,$A219,'1_原始數據'!$B$2:$B$1000,$B219,'1_原始數據'!$D$2:$D$1000,$D219,'1_原始數據'!$C$2:$C$1000,"khp_mass_g")/('2_NaOH標定'!$C$5*$E219/1000))))</f>
        <v/>
      </c>
      <c r="K219" s="24">
        <f>IF($A219="","",IF($C219&lt;&gt;"manual_titration_mL","",IF(COUNTIFS('1_原始數據'!$A$2:$A$1000,$A219,'1_原始數據'!$C$2:$C$1000,"khp_titration_mL")=0,"",AVERAGEIFS('1_原始數據'!$J$2:$J$1000,'1_原始數據'!$A$2:$A$1000,$A219,'1_原始數據'!$C$2:$C$1000,"khp_titration_mL"))))</f>
        <v/>
      </c>
      <c r="L219" s="25">
        <f>IF($A219="","",IF($C219&lt;&gt;"manual_titration_mL","",IFERROR(INDEX('3_可滴定酸度'!$E$6:$E$13,MATCH($I219,'3_可滴定酸度'!$B$6:$B$13,0)),"")))</f>
        <v/>
      </c>
      <c r="M219" s="25">
        <f>IF($A219="","",IF($C219&lt;&gt;"manual_titration_mL","",IFERROR(INDEX('3_可滴定酸度'!$F$6:$F$13,MATCH($I219,'3_可滴定酸度'!$B$6:$B$13,0)),"")))</f>
        <v/>
      </c>
      <c r="N219" s="24">
        <f>IF($A219="","",IF(OR(K219="",L219="",M219=""),"",K219*E219*L219/(M219*1000)*100))</f>
        <v/>
      </c>
      <c r="O219" s="24">
        <f>IF($A219="","",IF(N219="","",IF(COUNTIFS('1_原始數據'!$A$2:$A$1000,$A219,'1_原始數據'!$B$2:$B$1000,$B219,'1_原始數據'!$D$2:$D$1000,$D219,'1_原始數據'!$I$2:$I$1000,$I219,'1_原始數據'!$C$2:$C$1000,"pasco_pct_acid")=0,"",SUMIFS('1_原始數據'!$E$2:$E$1000,'1_原始數據'!$A$2:$A$1000,$A219,'1_原始數據'!$B$2:$B$1000,$B219,'1_原始數據'!$D$2:$D$1000,$D219,'1_原始數據'!$I$2:$I$1000,$I219,'1_原始數據'!$C$2:$C$1000,"pasco_pct_acid"))))</f>
        <v/>
      </c>
      <c r="P219" s="26">
        <f>IF($A219="","",IF(OR(N219="",O219=""),"",O219-N219))</f>
        <v/>
      </c>
      <c r="Q219" s="24">
        <f>IF($A219="","",IF(P219="","",(O219+N219)/2))</f>
        <v/>
      </c>
      <c r="R219" s="27">
        <f>IF($A219="","",IF(P219="","",COUNT($P$2:P219)))</f>
        <v/>
      </c>
    </row>
    <row r="220">
      <c r="J220" s="24">
        <f>IF($A220="","",IF($C220&lt;&gt;"khp_titration_mL","",IF(COUNTIFS('1_原始數據'!$A$2:$A$1000,$A220,'1_原始數據'!$B$2:$B$1000,$B220,'1_原始數據'!$D$2:$D$1000,$D220,'1_原始數據'!$C$2:$C$1000,"khp_mass_g")=0,"",SUMIFS('1_原始數據'!$E$2:$E$1000,'1_原始數據'!$A$2:$A$1000,$A220,'1_原始數據'!$B$2:$B$1000,$B220,'1_原始數據'!$D$2:$D$1000,$D220,'1_原始數據'!$C$2:$C$1000,"khp_mass_g")/('2_NaOH標定'!$C$5*$E220/1000))))</f>
        <v/>
      </c>
      <c r="K220" s="24">
        <f>IF($A220="","",IF($C220&lt;&gt;"manual_titration_mL","",IF(COUNTIFS('1_原始數據'!$A$2:$A$1000,$A220,'1_原始數據'!$C$2:$C$1000,"khp_titration_mL")=0,"",AVERAGEIFS('1_原始數據'!$J$2:$J$1000,'1_原始數據'!$A$2:$A$1000,$A220,'1_原始數據'!$C$2:$C$1000,"khp_titration_mL"))))</f>
        <v/>
      </c>
      <c r="L220" s="25">
        <f>IF($A220="","",IF($C220&lt;&gt;"manual_titration_mL","",IFERROR(INDEX('3_可滴定酸度'!$E$6:$E$13,MATCH($I220,'3_可滴定酸度'!$B$6:$B$13,0)),"")))</f>
        <v/>
      </c>
      <c r="M220" s="25">
        <f>IF($A220="","",IF($C220&lt;&gt;"manual_titration_mL","",IFERROR(INDEX('3_可滴定酸度'!$F$6:$F$13,MATCH($I220,'3_可滴定酸度'!$B$6:$B$13,0)),"")))</f>
        <v/>
      </c>
      <c r="N220" s="24">
        <f>IF($A220="","",IF(OR(K220="",L220="",M220=""),"",K220*E220*L220/(M220*1000)*100))</f>
        <v/>
      </c>
      <c r="O220" s="24">
        <f>IF($A220="","",IF(N220="","",IF(COUNTIFS('1_原始數據'!$A$2:$A$1000,$A220,'1_原始數據'!$B$2:$B$1000,$B220,'1_原始數據'!$D$2:$D$1000,$D220,'1_原始數據'!$I$2:$I$1000,$I220,'1_原始數據'!$C$2:$C$1000,"pasco_pct_acid")=0,"",SUMIFS('1_原始數據'!$E$2:$E$1000,'1_原始數據'!$A$2:$A$1000,$A220,'1_原始數據'!$B$2:$B$1000,$B220,'1_原始數據'!$D$2:$D$1000,$D220,'1_原始數據'!$I$2:$I$1000,$I220,'1_原始數據'!$C$2:$C$1000,"pasco_pct_acid"))))</f>
        <v/>
      </c>
      <c r="P220" s="26">
        <f>IF($A220="","",IF(OR(N220="",O220=""),"",O220-N220))</f>
        <v/>
      </c>
      <c r="Q220" s="24">
        <f>IF($A220="","",IF(P220="","",(O220+N220)/2))</f>
        <v/>
      </c>
      <c r="R220" s="27">
        <f>IF($A220="","",IF(P220="","",COUNT($P$2:P220)))</f>
        <v/>
      </c>
    </row>
    <row r="221">
      <c r="J221" s="24">
        <f>IF($A221="","",IF($C221&lt;&gt;"khp_titration_mL","",IF(COUNTIFS('1_原始數據'!$A$2:$A$1000,$A221,'1_原始數據'!$B$2:$B$1000,$B221,'1_原始數據'!$D$2:$D$1000,$D221,'1_原始數據'!$C$2:$C$1000,"khp_mass_g")=0,"",SUMIFS('1_原始數據'!$E$2:$E$1000,'1_原始數據'!$A$2:$A$1000,$A221,'1_原始數據'!$B$2:$B$1000,$B221,'1_原始數據'!$D$2:$D$1000,$D221,'1_原始數據'!$C$2:$C$1000,"khp_mass_g")/('2_NaOH標定'!$C$5*$E221/1000))))</f>
        <v/>
      </c>
      <c r="K221" s="24">
        <f>IF($A221="","",IF($C221&lt;&gt;"manual_titration_mL","",IF(COUNTIFS('1_原始數據'!$A$2:$A$1000,$A221,'1_原始數據'!$C$2:$C$1000,"khp_titration_mL")=0,"",AVERAGEIFS('1_原始數據'!$J$2:$J$1000,'1_原始數據'!$A$2:$A$1000,$A221,'1_原始數據'!$C$2:$C$1000,"khp_titration_mL"))))</f>
        <v/>
      </c>
      <c r="L221" s="25">
        <f>IF($A221="","",IF($C221&lt;&gt;"manual_titration_mL","",IFERROR(INDEX('3_可滴定酸度'!$E$6:$E$13,MATCH($I221,'3_可滴定酸度'!$B$6:$B$13,0)),"")))</f>
        <v/>
      </c>
      <c r="M221" s="25">
        <f>IF($A221="","",IF($C221&lt;&gt;"manual_titration_mL","",IFERROR(INDEX('3_可滴定酸度'!$F$6:$F$13,MATCH($I221,'3_可滴定酸度'!$B$6:$B$13,0)),"")))</f>
        <v/>
      </c>
      <c r="N221" s="24">
        <f>IF($A221="","",IF(OR(K221="",L221="",M221=""),"",K221*E221*L221/(M221*1000)*100))</f>
        <v/>
      </c>
      <c r="O221" s="24">
        <f>IF($A221="","",IF(N221="","",IF(COUNTIFS('1_原始數據'!$A$2:$A$1000,$A221,'1_原始數據'!$B$2:$B$1000,$B221,'1_原始數據'!$D$2:$D$1000,$D221,'1_原始數據'!$I$2:$I$1000,$I221,'1_原始數據'!$C$2:$C$1000,"pasco_pct_acid")=0,"",SUMIFS('1_原始數據'!$E$2:$E$1000,'1_原始數據'!$A$2:$A$1000,$A221,'1_原始數據'!$B$2:$B$1000,$B221,'1_原始數據'!$D$2:$D$1000,$D221,'1_原始數據'!$I$2:$I$1000,$I221,'1_原始數據'!$C$2:$C$1000,"pasco_pct_acid"))))</f>
        <v/>
      </c>
      <c r="P221" s="26">
        <f>IF($A221="","",IF(OR(N221="",O221=""),"",O221-N221))</f>
        <v/>
      </c>
      <c r="Q221" s="24">
        <f>IF($A221="","",IF(P221="","",(O221+N221)/2))</f>
        <v/>
      </c>
      <c r="R221" s="27">
        <f>IF($A221="","",IF(P221="","",COUNT($P$2:P221)))</f>
        <v/>
      </c>
    </row>
    <row r="222">
      <c r="J222" s="24">
        <f>IF($A222="","",IF($C222&lt;&gt;"khp_titration_mL","",IF(COUNTIFS('1_原始數據'!$A$2:$A$1000,$A222,'1_原始數據'!$B$2:$B$1000,$B222,'1_原始數據'!$D$2:$D$1000,$D222,'1_原始數據'!$C$2:$C$1000,"khp_mass_g")=0,"",SUMIFS('1_原始數據'!$E$2:$E$1000,'1_原始數據'!$A$2:$A$1000,$A222,'1_原始數據'!$B$2:$B$1000,$B222,'1_原始數據'!$D$2:$D$1000,$D222,'1_原始數據'!$C$2:$C$1000,"khp_mass_g")/('2_NaOH標定'!$C$5*$E222/1000))))</f>
        <v/>
      </c>
      <c r="K222" s="24">
        <f>IF($A222="","",IF($C222&lt;&gt;"manual_titration_mL","",IF(COUNTIFS('1_原始數據'!$A$2:$A$1000,$A222,'1_原始數據'!$C$2:$C$1000,"khp_titration_mL")=0,"",AVERAGEIFS('1_原始數據'!$J$2:$J$1000,'1_原始數據'!$A$2:$A$1000,$A222,'1_原始數據'!$C$2:$C$1000,"khp_titration_mL"))))</f>
        <v/>
      </c>
      <c r="L222" s="25">
        <f>IF($A222="","",IF($C222&lt;&gt;"manual_titration_mL","",IFERROR(INDEX('3_可滴定酸度'!$E$6:$E$13,MATCH($I222,'3_可滴定酸度'!$B$6:$B$13,0)),"")))</f>
        <v/>
      </c>
      <c r="M222" s="25">
        <f>IF($A222="","",IF($C222&lt;&gt;"manual_titration_mL","",IFERROR(INDEX('3_可滴定酸度'!$F$6:$F$13,MATCH($I222,'3_可滴定酸度'!$B$6:$B$13,0)),"")))</f>
        <v/>
      </c>
      <c r="N222" s="24">
        <f>IF($A222="","",IF(OR(K222="",L222="",M222=""),"",K222*E222*L222/(M222*1000)*100))</f>
        <v/>
      </c>
      <c r="O222" s="24">
        <f>IF($A222="","",IF(N222="","",IF(COUNTIFS('1_原始數據'!$A$2:$A$1000,$A222,'1_原始數據'!$B$2:$B$1000,$B222,'1_原始數據'!$D$2:$D$1000,$D222,'1_原始數據'!$I$2:$I$1000,$I222,'1_原始數據'!$C$2:$C$1000,"pasco_pct_acid")=0,"",SUMIFS('1_原始數據'!$E$2:$E$1000,'1_原始數據'!$A$2:$A$1000,$A222,'1_原始數據'!$B$2:$B$1000,$B222,'1_原始數據'!$D$2:$D$1000,$D222,'1_原始數據'!$I$2:$I$1000,$I222,'1_原始數據'!$C$2:$C$1000,"pasco_pct_acid"))))</f>
        <v/>
      </c>
      <c r="P222" s="26">
        <f>IF($A222="","",IF(OR(N222="",O222=""),"",O222-N222))</f>
        <v/>
      </c>
      <c r="Q222" s="24">
        <f>IF($A222="","",IF(P222="","",(O222+N222)/2))</f>
        <v/>
      </c>
      <c r="R222" s="27">
        <f>IF($A222="","",IF(P222="","",COUNT($P$2:P222)))</f>
        <v/>
      </c>
    </row>
    <row r="223">
      <c r="J223" s="24">
        <f>IF($A223="","",IF($C223&lt;&gt;"khp_titration_mL","",IF(COUNTIFS('1_原始數據'!$A$2:$A$1000,$A223,'1_原始數據'!$B$2:$B$1000,$B223,'1_原始數據'!$D$2:$D$1000,$D223,'1_原始數據'!$C$2:$C$1000,"khp_mass_g")=0,"",SUMIFS('1_原始數據'!$E$2:$E$1000,'1_原始數據'!$A$2:$A$1000,$A223,'1_原始數據'!$B$2:$B$1000,$B223,'1_原始數據'!$D$2:$D$1000,$D223,'1_原始數據'!$C$2:$C$1000,"khp_mass_g")/('2_NaOH標定'!$C$5*$E223/1000))))</f>
        <v/>
      </c>
      <c r="K223" s="24">
        <f>IF($A223="","",IF($C223&lt;&gt;"manual_titration_mL","",IF(COUNTIFS('1_原始數據'!$A$2:$A$1000,$A223,'1_原始數據'!$C$2:$C$1000,"khp_titration_mL")=0,"",AVERAGEIFS('1_原始數據'!$J$2:$J$1000,'1_原始數據'!$A$2:$A$1000,$A223,'1_原始數據'!$C$2:$C$1000,"khp_titration_mL"))))</f>
        <v/>
      </c>
      <c r="L223" s="25">
        <f>IF($A223="","",IF($C223&lt;&gt;"manual_titration_mL","",IFERROR(INDEX('3_可滴定酸度'!$E$6:$E$13,MATCH($I223,'3_可滴定酸度'!$B$6:$B$13,0)),"")))</f>
        <v/>
      </c>
      <c r="M223" s="25">
        <f>IF($A223="","",IF($C223&lt;&gt;"manual_titration_mL","",IFERROR(INDEX('3_可滴定酸度'!$F$6:$F$13,MATCH($I223,'3_可滴定酸度'!$B$6:$B$13,0)),"")))</f>
        <v/>
      </c>
      <c r="N223" s="24">
        <f>IF($A223="","",IF(OR(K223="",L223="",M223=""),"",K223*E223*L223/(M223*1000)*100))</f>
        <v/>
      </c>
      <c r="O223" s="24">
        <f>IF($A223="","",IF(N223="","",IF(COUNTIFS('1_原始數據'!$A$2:$A$1000,$A223,'1_原始數據'!$B$2:$B$1000,$B223,'1_原始數據'!$D$2:$D$1000,$D223,'1_原始數據'!$I$2:$I$1000,$I223,'1_原始數據'!$C$2:$C$1000,"pasco_pct_acid")=0,"",SUMIFS('1_原始數據'!$E$2:$E$1000,'1_原始數據'!$A$2:$A$1000,$A223,'1_原始數據'!$B$2:$B$1000,$B223,'1_原始數據'!$D$2:$D$1000,$D223,'1_原始數據'!$I$2:$I$1000,$I223,'1_原始數據'!$C$2:$C$1000,"pasco_pct_acid"))))</f>
        <v/>
      </c>
      <c r="P223" s="26">
        <f>IF($A223="","",IF(OR(N223="",O223=""),"",O223-N223))</f>
        <v/>
      </c>
      <c r="Q223" s="24">
        <f>IF($A223="","",IF(P223="","",(O223+N223)/2))</f>
        <v/>
      </c>
      <c r="R223" s="27">
        <f>IF($A223="","",IF(P223="","",COUNT($P$2:P223)))</f>
        <v/>
      </c>
    </row>
    <row r="224">
      <c r="J224" s="24">
        <f>IF($A224="","",IF($C224&lt;&gt;"khp_titration_mL","",IF(COUNTIFS('1_原始數據'!$A$2:$A$1000,$A224,'1_原始數據'!$B$2:$B$1000,$B224,'1_原始數據'!$D$2:$D$1000,$D224,'1_原始數據'!$C$2:$C$1000,"khp_mass_g")=0,"",SUMIFS('1_原始數據'!$E$2:$E$1000,'1_原始數據'!$A$2:$A$1000,$A224,'1_原始數據'!$B$2:$B$1000,$B224,'1_原始數據'!$D$2:$D$1000,$D224,'1_原始數據'!$C$2:$C$1000,"khp_mass_g")/('2_NaOH標定'!$C$5*$E224/1000))))</f>
        <v/>
      </c>
      <c r="K224" s="24">
        <f>IF($A224="","",IF($C224&lt;&gt;"manual_titration_mL","",IF(COUNTIFS('1_原始數據'!$A$2:$A$1000,$A224,'1_原始數據'!$C$2:$C$1000,"khp_titration_mL")=0,"",AVERAGEIFS('1_原始數據'!$J$2:$J$1000,'1_原始數據'!$A$2:$A$1000,$A224,'1_原始數據'!$C$2:$C$1000,"khp_titration_mL"))))</f>
        <v/>
      </c>
      <c r="L224" s="25">
        <f>IF($A224="","",IF($C224&lt;&gt;"manual_titration_mL","",IFERROR(INDEX('3_可滴定酸度'!$E$6:$E$13,MATCH($I224,'3_可滴定酸度'!$B$6:$B$13,0)),"")))</f>
        <v/>
      </c>
      <c r="M224" s="25">
        <f>IF($A224="","",IF($C224&lt;&gt;"manual_titration_mL","",IFERROR(INDEX('3_可滴定酸度'!$F$6:$F$13,MATCH($I224,'3_可滴定酸度'!$B$6:$B$13,0)),"")))</f>
        <v/>
      </c>
      <c r="N224" s="24">
        <f>IF($A224="","",IF(OR(K224="",L224="",M224=""),"",K224*E224*L224/(M224*1000)*100))</f>
        <v/>
      </c>
      <c r="O224" s="24">
        <f>IF($A224="","",IF(N224="","",IF(COUNTIFS('1_原始數據'!$A$2:$A$1000,$A224,'1_原始數據'!$B$2:$B$1000,$B224,'1_原始數據'!$D$2:$D$1000,$D224,'1_原始數據'!$I$2:$I$1000,$I224,'1_原始數據'!$C$2:$C$1000,"pasco_pct_acid")=0,"",SUMIFS('1_原始數據'!$E$2:$E$1000,'1_原始數據'!$A$2:$A$1000,$A224,'1_原始數據'!$B$2:$B$1000,$B224,'1_原始數據'!$D$2:$D$1000,$D224,'1_原始數據'!$I$2:$I$1000,$I224,'1_原始數據'!$C$2:$C$1000,"pasco_pct_acid"))))</f>
        <v/>
      </c>
      <c r="P224" s="26">
        <f>IF($A224="","",IF(OR(N224="",O224=""),"",O224-N224))</f>
        <v/>
      </c>
      <c r="Q224" s="24">
        <f>IF($A224="","",IF(P224="","",(O224+N224)/2))</f>
        <v/>
      </c>
      <c r="R224" s="27">
        <f>IF($A224="","",IF(P224="","",COUNT($P$2:P224)))</f>
        <v/>
      </c>
    </row>
    <row r="225">
      <c r="J225" s="24">
        <f>IF($A225="","",IF($C225&lt;&gt;"khp_titration_mL","",IF(COUNTIFS('1_原始數據'!$A$2:$A$1000,$A225,'1_原始數據'!$B$2:$B$1000,$B225,'1_原始數據'!$D$2:$D$1000,$D225,'1_原始數據'!$C$2:$C$1000,"khp_mass_g")=0,"",SUMIFS('1_原始數據'!$E$2:$E$1000,'1_原始數據'!$A$2:$A$1000,$A225,'1_原始數據'!$B$2:$B$1000,$B225,'1_原始數據'!$D$2:$D$1000,$D225,'1_原始數據'!$C$2:$C$1000,"khp_mass_g")/('2_NaOH標定'!$C$5*$E225/1000))))</f>
        <v/>
      </c>
      <c r="K225" s="24">
        <f>IF($A225="","",IF($C225&lt;&gt;"manual_titration_mL","",IF(COUNTIFS('1_原始數據'!$A$2:$A$1000,$A225,'1_原始數據'!$C$2:$C$1000,"khp_titration_mL")=0,"",AVERAGEIFS('1_原始數據'!$J$2:$J$1000,'1_原始數據'!$A$2:$A$1000,$A225,'1_原始數據'!$C$2:$C$1000,"khp_titration_mL"))))</f>
        <v/>
      </c>
      <c r="L225" s="25">
        <f>IF($A225="","",IF($C225&lt;&gt;"manual_titration_mL","",IFERROR(INDEX('3_可滴定酸度'!$E$6:$E$13,MATCH($I225,'3_可滴定酸度'!$B$6:$B$13,0)),"")))</f>
        <v/>
      </c>
      <c r="M225" s="25">
        <f>IF($A225="","",IF($C225&lt;&gt;"manual_titration_mL","",IFERROR(INDEX('3_可滴定酸度'!$F$6:$F$13,MATCH($I225,'3_可滴定酸度'!$B$6:$B$13,0)),"")))</f>
        <v/>
      </c>
      <c r="N225" s="24">
        <f>IF($A225="","",IF(OR(K225="",L225="",M225=""),"",K225*E225*L225/(M225*1000)*100))</f>
        <v/>
      </c>
      <c r="O225" s="24">
        <f>IF($A225="","",IF(N225="","",IF(COUNTIFS('1_原始數據'!$A$2:$A$1000,$A225,'1_原始數據'!$B$2:$B$1000,$B225,'1_原始數據'!$D$2:$D$1000,$D225,'1_原始數據'!$I$2:$I$1000,$I225,'1_原始數據'!$C$2:$C$1000,"pasco_pct_acid")=0,"",SUMIFS('1_原始數據'!$E$2:$E$1000,'1_原始數據'!$A$2:$A$1000,$A225,'1_原始數據'!$B$2:$B$1000,$B225,'1_原始數據'!$D$2:$D$1000,$D225,'1_原始數據'!$I$2:$I$1000,$I225,'1_原始數據'!$C$2:$C$1000,"pasco_pct_acid"))))</f>
        <v/>
      </c>
      <c r="P225" s="26">
        <f>IF($A225="","",IF(OR(N225="",O225=""),"",O225-N225))</f>
        <v/>
      </c>
      <c r="Q225" s="24">
        <f>IF($A225="","",IF(P225="","",(O225+N225)/2))</f>
        <v/>
      </c>
      <c r="R225" s="27">
        <f>IF($A225="","",IF(P225="","",COUNT($P$2:P225)))</f>
        <v/>
      </c>
    </row>
    <row r="226">
      <c r="J226" s="24">
        <f>IF($A226="","",IF($C226&lt;&gt;"khp_titration_mL","",IF(COUNTIFS('1_原始數據'!$A$2:$A$1000,$A226,'1_原始數據'!$B$2:$B$1000,$B226,'1_原始數據'!$D$2:$D$1000,$D226,'1_原始數據'!$C$2:$C$1000,"khp_mass_g")=0,"",SUMIFS('1_原始數據'!$E$2:$E$1000,'1_原始數據'!$A$2:$A$1000,$A226,'1_原始數據'!$B$2:$B$1000,$B226,'1_原始數據'!$D$2:$D$1000,$D226,'1_原始數據'!$C$2:$C$1000,"khp_mass_g")/('2_NaOH標定'!$C$5*$E226/1000))))</f>
        <v/>
      </c>
      <c r="K226" s="24">
        <f>IF($A226="","",IF($C226&lt;&gt;"manual_titration_mL","",IF(COUNTIFS('1_原始數據'!$A$2:$A$1000,$A226,'1_原始數據'!$C$2:$C$1000,"khp_titration_mL")=0,"",AVERAGEIFS('1_原始數據'!$J$2:$J$1000,'1_原始數據'!$A$2:$A$1000,$A226,'1_原始數據'!$C$2:$C$1000,"khp_titration_mL"))))</f>
        <v/>
      </c>
      <c r="L226" s="25">
        <f>IF($A226="","",IF($C226&lt;&gt;"manual_titration_mL","",IFERROR(INDEX('3_可滴定酸度'!$E$6:$E$13,MATCH($I226,'3_可滴定酸度'!$B$6:$B$13,0)),"")))</f>
        <v/>
      </c>
      <c r="M226" s="25">
        <f>IF($A226="","",IF($C226&lt;&gt;"manual_titration_mL","",IFERROR(INDEX('3_可滴定酸度'!$F$6:$F$13,MATCH($I226,'3_可滴定酸度'!$B$6:$B$13,0)),"")))</f>
        <v/>
      </c>
      <c r="N226" s="24">
        <f>IF($A226="","",IF(OR(K226="",L226="",M226=""),"",K226*E226*L226/(M226*1000)*100))</f>
        <v/>
      </c>
      <c r="O226" s="24">
        <f>IF($A226="","",IF(N226="","",IF(COUNTIFS('1_原始數據'!$A$2:$A$1000,$A226,'1_原始數據'!$B$2:$B$1000,$B226,'1_原始數據'!$D$2:$D$1000,$D226,'1_原始數據'!$I$2:$I$1000,$I226,'1_原始數據'!$C$2:$C$1000,"pasco_pct_acid")=0,"",SUMIFS('1_原始數據'!$E$2:$E$1000,'1_原始數據'!$A$2:$A$1000,$A226,'1_原始數據'!$B$2:$B$1000,$B226,'1_原始數據'!$D$2:$D$1000,$D226,'1_原始數據'!$I$2:$I$1000,$I226,'1_原始數據'!$C$2:$C$1000,"pasco_pct_acid"))))</f>
        <v/>
      </c>
      <c r="P226" s="26">
        <f>IF($A226="","",IF(OR(N226="",O226=""),"",O226-N226))</f>
        <v/>
      </c>
      <c r="Q226" s="24">
        <f>IF($A226="","",IF(P226="","",(O226+N226)/2))</f>
        <v/>
      </c>
      <c r="R226" s="27">
        <f>IF($A226="","",IF(P226="","",COUNT($P$2:P226)))</f>
        <v/>
      </c>
    </row>
    <row r="227">
      <c r="J227" s="24">
        <f>IF($A227="","",IF($C227&lt;&gt;"khp_titration_mL","",IF(COUNTIFS('1_原始數據'!$A$2:$A$1000,$A227,'1_原始數據'!$B$2:$B$1000,$B227,'1_原始數據'!$D$2:$D$1000,$D227,'1_原始數據'!$C$2:$C$1000,"khp_mass_g")=0,"",SUMIFS('1_原始數據'!$E$2:$E$1000,'1_原始數據'!$A$2:$A$1000,$A227,'1_原始數據'!$B$2:$B$1000,$B227,'1_原始數據'!$D$2:$D$1000,$D227,'1_原始數據'!$C$2:$C$1000,"khp_mass_g")/('2_NaOH標定'!$C$5*$E227/1000))))</f>
        <v/>
      </c>
      <c r="K227" s="24">
        <f>IF($A227="","",IF($C227&lt;&gt;"manual_titration_mL","",IF(COUNTIFS('1_原始數據'!$A$2:$A$1000,$A227,'1_原始數據'!$C$2:$C$1000,"khp_titration_mL")=0,"",AVERAGEIFS('1_原始數據'!$J$2:$J$1000,'1_原始數據'!$A$2:$A$1000,$A227,'1_原始數據'!$C$2:$C$1000,"khp_titration_mL"))))</f>
        <v/>
      </c>
      <c r="L227" s="25">
        <f>IF($A227="","",IF($C227&lt;&gt;"manual_titration_mL","",IFERROR(INDEX('3_可滴定酸度'!$E$6:$E$13,MATCH($I227,'3_可滴定酸度'!$B$6:$B$13,0)),"")))</f>
        <v/>
      </c>
      <c r="M227" s="25">
        <f>IF($A227="","",IF($C227&lt;&gt;"manual_titration_mL","",IFERROR(INDEX('3_可滴定酸度'!$F$6:$F$13,MATCH($I227,'3_可滴定酸度'!$B$6:$B$13,0)),"")))</f>
        <v/>
      </c>
      <c r="N227" s="24">
        <f>IF($A227="","",IF(OR(K227="",L227="",M227=""),"",K227*E227*L227/(M227*1000)*100))</f>
        <v/>
      </c>
      <c r="O227" s="24">
        <f>IF($A227="","",IF(N227="","",IF(COUNTIFS('1_原始數據'!$A$2:$A$1000,$A227,'1_原始數據'!$B$2:$B$1000,$B227,'1_原始數據'!$D$2:$D$1000,$D227,'1_原始數據'!$I$2:$I$1000,$I227,'1_原始數據'!$C$2:$C$1000,"pasco_pct_acid")=0,"",SUMIFS('1_原始數據'!$E$2:$E$1000,'1_原始數據'!$A$2:$A$1000,$A227,'1_原始數據'!$B$2:$B$1000,$B227,'1_原始數據'!$D$2:$D$1000,$D227,'1_原始數據'!$I$2:$I$1000,$I227,'1_原始數據'!$C$2:$C$1000,"pasco_pct_acid"))))</f>
        <v/>
      </c>
      <c r="P227" s="26">
        <f>IF($A227="","",IF(OR(N227="",O227=""),"",O227-N227))</f>
        <v/>
      </c>
      <c r="Q227" s="24">
        <f>IF($A227="","",IF(P227="","",(O227+N227)/2))</f>
        <v/>
      </c>
      <c r="R227" s="27">
        <f>IF($A227="","",IF(P227="","",COUNT($P$2:P227)))</f>
        <v/>
      </c>
    </row>
    <row r="228">
      <c r="J228" s="24">
        <f>IF($A228="","",IF($C228&lt;&gt;"khp_titration_mL","",IF(COUNTIFS('1_原始數據'!$A$2:$A$1000,$A228,'1_原始數據'!$B$2:$B$1000,$B228,'1_原始數據'!$D$2:$D$1000,$D228,'1_原始數據'!$C$2:$C$1000,"khp_mass_g")=0,"",SUMIFS('1_原始數據'!$E$2:$E$1000,'1_原始數據'!$A$2:$A$1000,$A228,'1_原始數據'!$B$2:$B$1000,$B228,'1_原始數據'!$D$2:$D$1000,$D228,'1_原始數據'!$C$2:$C$1000,"khp_mass_g")/('2_NaOH標定'!$C$5*$E228/1000))))</f>
        <v/>
      </c>
      <c r="K228" s="24">
        <f>IF($A228="","",IF($C228&lt;&gt;"manual_titration_mL","",IF(COUNTIFS('1_原始數據'!$A$2:$A$1000,$A228,'1_原始數據'!$C$2:$C$1000,"khp_titration_mL")=0,"",AVERAGEIFS('1_原始數據'!$J$2:$J$1000,'1_原始數據'!$A$2:$A$1000,$A228,'1_原始數據'!$C$2:$C$1000,"khp_titration_mL"))))</f>
        <v/>
      </c>
      <c r="L228" s="25">
        <f>IF($A228="","",IF($C228&lt;&gt;"manual_titration_mL","",IFERROR(INDEX('3_可滴定酸度'!$E$6:$E$13,MATCH($I228,'3_可滴定酸度'!$B$6:$B$13,0)),"")))</f>
        <v/>
      </c>
      <c r="M228" s="25">
        <f>IF($A228="","",IF($C228&lt;&gt;"manual_titration_mL","",IFERROR(INDEX('3_可滴定酸度'!$F$6:$F$13,MATCH($I228,'3_可滴定酸度'!$B$6:$B$13,0)),"")))</f>
        <v/>
      </c>
      <c r="N228" s="24">
        <f>IF($A228="","",IF(OR(K228="",L228="",M228=""),"",K228*E228*L228/(M228*1000)*100))</f>
        <v/>
      </c>
      <c r="O228" s="24">
        <f>IF($A228="","",IF(N228="","",IF(COUNTIFS('1_原始數據'!$A$2:$A$1000,$A228,'1_原始數據'!$B$2:$B$1000,$B228,'1_原始數據'!$D$2:$D$1000,$D228,'1_原始數據'!$I$2:$I$1000,$I228,'1_原始數據'!$C$2:$C$1000,"pasco_pct_acid")=0,"",SUMIFS('1_原始數據'!$E$2:$E$1000,'1_原始數據'!$A$2:$A$1000,$A228,'1_原始數據'!$B$2:$B$1000,$B228,'1_原始數據'!$D$2:$D$1000,$D228,'1_原始數據'!$I$2:$I$1000,$I228,'1_原始數據'!$C$2:$C$1000,"pasco_pct_acid"))))</f>
        <v/>
      </c>
      <c r="P228" s="26">
        <f>IF($A228="","",IF(OR(N228="",O228=""),"",O228-N228))</f>
        <v/>
      </c>
      <c r="Q228" s="24">
        <f>IF($A228="","",IF(P228="","",(O228+N228)/2))</f>
        <v/>
      </c>
      <c r="R228" s="27">
        <f>IF($A228="","",IF(P228="","",COUNT($P$2:P228)))</f>
        <v/>
      </c>
    </row>
    <row r="229">
      <c r="J229" s="24">
        <f>IF($A229="","",IF($C229&lt;&gt;"khp_titration_mL","",IF(COUNTIFS('1_原始數據'!$A$2:$A$1000,$A229,'1_原始數據'!$B$2:$B$1000,$B229,'1_原始數據'!$D$2:$D$1000,$D229,'1_原始數據'!$C$2:$C$1000,"khp_mass_g")=0,"",SUMIFS('1_原始數據'!$E$2:$E$1000,'1_原始數據'!$A$2:$A$1000,$A229,'1_原始數據'!$B$2:$B$1000,$B229,'1_原始數據'!$D$2:$D$1000,$D229,'1_原始數據'!$C$2:$C$1000,"khp_mass_g")/('2_NaOH標定'!$C$5*$E229/1000))))</f>
        <v/>
      </c>
      <c r="K229" s="24">
        <f>IF($A229="","",IF($C229&lt;&gt;"manual_titration_mL","",IF(COUNTIFS('1_原始數據'!$A$2:$A$1000,$A229,'1_原始數據'!$C$2:$C$1000,"khp_titration_mL")=0,"",AVERAGEIFS('1_原始數據'!$J$2:$J$1000,'1_原始數據'!$A$2:$A$1000,$A229,'1_原始數據'!$C$2:$C$1000,"khp_titration_mL"))))</f>
        <v/>
      </c>
      <c r="L229" s="25">
        <f>IF($A229="","",IF($C229&lt;&gt;"manual_titration_mL","",IFERROR(INDEX('3_可滴定酸度'!$E$6:$E$13,MATCH($I229,'3_可滴定酸度'!$B$6:$B$13,0)),"")))</f>
        <v/>
      </c>
      <c r="M229" s="25">
        <f>IF($A229="","",IF($C229&lt;&gt;"manual_titration_mL","",IFERROR(INDEX('3_可滴定酸度'!$F$6:$F$13,MATCH($I229,'3_可滴定酸度'!$B$6:$B$13,0)),"")))</f>
        <v/>
      </c>
      <c r="N229" s="24">
        <f>IF($A229="","",IF(OR(K229="",L229="",M229=""),"",K229*E229*L229/(M229*1000)*100))</f>
        <v/>
      </c>
      <c r="O229" s="24">
        <f>IF($A229="","",IF(N229="","",IF(COUNTIFS('1_原始數據'!$A$2:$A$1000,$A229,'1_原始數據'!$B$2:$B$1000,$B229,'1_原始數據'!$D$2:$D$1000,$D229,'1_原始數據'!$I$2:$I$1000,$I229,'1_原始數據'!$C$2:$C$1000,"pasco_pct_acid")=0,"",SUMIFS('1_原始數據'!$E$2:$E$1000,'1_原始數據'!$A$2:$A$1000,$A229,'1_原始數據'!$B$2:$B$1000,$B229,'1_原始數據'!$D$2:$D$1000,$D229,'1_原始數據'!$I$2:$I$1000,$I229,'1_原始數據'!$C$2:$C$1000,"pasco_pct_acid"))))</f>
        <v/>
      </c>
      <c r="P229" s="26">
        <f>IF($A229="","",IF(OR(N229="",O229=""),"",O229-N229))</f>
        <v/>
      </c>
      <c r="Q229" s="24">
        <f>IF($A229="","",IF(P229="","",(O229+N229)/2))</f>
        <v/>
      </c>
      <c r="R229" s="27">
        <f>IF($A229="","",IF(P229="","",COUNT($P$2:P229)))</f>
        <v/>
      </c>
    </row>
    <row r="230">
      <c r="J230" s="24">
        <f>IF($A230="","",IF($C230&lt;&gt;"khp_titration_mL","",IF(COUNTIFS('1_原始數據'!$A$2:$A$1000,$A230,'1_原始數據'!$B$2:$B$1000,$B230,'1_原始數據'!$D$2:$D$1000,$D230,'1_原始數據'!$C$2:$C$1000,"khp_mass_g")=0,"",SUMIFS('1_原始數據'!$E$2:$E$1000,'1_原始數據'!$A$2:$A$1000,$A230,'1_原始數據'!$B$2:$B$1000,$B230,'1_原始數據'!$D$2:$D$1000,$D230,'1_原始數據'!$C$2:$C$1000,"khp_mass_g")/('2_NaOH標定'!$C$5*$E230/1000))))</f>
        <v/>
      </c>
      <c r="K230" s="24">
        <f>IF($A230="","",IF($C230&lt;&gt;"manual_titration_mL","",IF(COUNTIFS('1_原始數據'!$A$2:$A$1000,$A230,'1_原始數據'!$C$2:$C$1000,"khp_titration_mL")=0,"",AVERAGEIFS('1_原始數據'!$J$2:$J$1000,'1_原始數據'!$A$2:$A$1000,$A230,'1_原始數據'!$C$2:$C$1000,"khp_titration_mL"))))</f>
        <v/>
      </c>
      <c r="L230" s="25">
        <f>IF($A230="","",IF($C230&lt;&gt;"manual_titration_mL","",IFERROR(INDEX('3_可滴定酸度'!$E$6:$E$13,MATCH($I230,'3_可滴定酸度'!$B$6:$B$13,0)),"")))</f>
        <v/>
      </c>
      <c r="M230" s="25">
        <f>IF($A230="","",IF($C230&lt;&gt;"manual_titration_mL","",IFERROR(INDEX('3_可滴定酸度'!$F$6:$F$13,MATCH($I230,'3_可滴定酸度'!$B$6:$B$13,0)),"")))</f>
        <v/>
      </c>
      <c r="N230" s="24">
        <f>IF($A230="","",IF(OR(K230="",L230="",M230=""),"",K230*E230*L230/(M230*1000)*100))</f>
        <v/>
      </c>
      <c r="O230" s="24">
        <f>IF($A230="","",IF(N230="","",IF(COUNTIFS('1_原始數據'!$A$2:$A$1000,$A230,'1_原始數據'!$B$2:$B$1000,$B230,'1_原始數據'!$D$2:$D$1000,$D230,'1_原始數據'!$I$2:$I$1000,$I230,'1_原始數據'!$C$2:$C$1000,"pasco_pct_acid")=0,"",SUMIFS('1_原始數據'!$E$2:$E$1000,'1_原始數據'!$A$2:$A$1000,$A230,'1_原始數據'!$B$2:$B$1000,$B230,'1_原始數據'!$D$2:$D$1000,$D230,'1_原始數據'!$I$2:$I$1000,$I230,'1_原始數據'!$C$2:$C$1000,"pasco_pct_acid"))))</f>
        <v/>
      </c>
      <c r="P230" s="26">
        <f>IF($A230="","",IF(OR(N230="",O230=""),"",O230-N230))</f>
        <v/>
      </c>
      <c r="Q230" s="24">
        <f>IF($A230="","",IF(P230="","",(O230+N230)/2))</f>
        <v/>
      </c>
      <c r="R230" s="27">
        <f>IF($A230="","",IF(P230="","",COUNT($P$2:P230)))</f>
        <v/>
      </c>
    </row>
    <row r="231">
      <c r="J231" s="24">
        <f>IF($A231="","",IF($C231&lt;&gt;"khp_titration_mL","",IF(COUNTIFS('1_原始數據'!$A$2:$A$1000,$A231,'1_原始數據'!$B$2:$B$1000,$B231,'1_原始數據'!$D$2:$D$1000,$D231,'1_原始數據'!$C$2:$C$1000,"khp_mass_g")=0,"",SUMIFS('1_原始數據'!$E$2:$E$1000,'1_原始數據'!$A$2:$A$1000,$A231,'1_原始數據'!$B$2:$B$1000,$B231,'1_原始數據'!$D$2:$D$1000,$D231,'1_原始數據'!$C$2:$C$1000,"khp_mass_g")/('2_NaOH標定'!$C$5*$E231/1000))))</f>
        <v/>
      </c>
      <c r="K231" s="24">
        <f>IF($A231="","",IF($C231&lt;&gt;"manual_titration_mL","",IF(COUNTIFS('1_原始數據'!$A$2:$A$1000,$A231,'1_原始數據'!$C$2:$C$1000,"khp_titration_mL")=0,"",AVERAGEIFS('1_原始數據'!$J$2:$J$1000,'1_原始數據'!$A$2:$A$1000,$A231,'1_原始數據'!$C$2:$C$1000,"khp_titration_mL"))))</f>
        <v/>
      </c>
      <c r="L231" s="25">
        <f>IF($A231="","",IF($C231&lt;&gt;"manual_titration_mL","",IFERROR(INDEX('3_可滴定酸度'!$E$6:$E$13,MATCH($I231,'3_可滴定酸度'!$B$6:$B$13,0)),"")))</f>
        <v/>
      </c>
      <c r="M231" s="25">
        <f>IF($A231="","",IF($C231&lt;&gt;"manual_titration_mL","",IFERROR(INDEX('3_可滴定酸度'!$F$6:$F$13,MATCH($I231,'3_可滴定酸度'!$B$6:$B$13,0)),"")))</f>
        <v/>
      </c>
      <c r="N231" s="24">
        <f>IF($A231="","",IF(OR(K231="",L231="",M231=""),"",K231*E231*L231/(M231*1000)*100))</f>
        <v/>
      </c>
      <c r="O231" s="24">
        <f>IF($A231="","",IF(N231="","",IF(COUNTIFS('1_原始數據'!$A$2:$A$1000,$A231,'1_原始數據'!$B$2:$B$1000,$B231,'1_原始數據'!$D$2:$D$1000,$D231,'1_原始數據'!$I$2:$I$1000,$I231,'1_原始數據'!$C$2:$C$1000,"pasco_pct_acid")=0,"",SUMIFS('1_原始數據'!$E$2:$E$1000,'1_原始數據'!$A$2:$A$1000,$A231,'1_原始數據'!$B$2:$B$1000,$B231,'1_原始數據'!$D$2:$D$1000,$D231,'1_原始數據'!$I$2:$I$1000,$I231,'1_原始數據'!$C$2:$C$1000,"pasco_pct_acid"))))</f>
        <v/>
      </c>
      <c r="P231" s="26">
        <f>IF($A231="","",IF(OR(N231="",O231=""),"",O231-N231))</f>
        <v/>
      </c>
      <c r="Q231" s="24">
        <f>IF($A231="","",IF(P231="","",(O231+N231)/2))</f>
        <v/>
      </c>
      <c r="R231" s="27">
        <f>IF($A231="","",IF(P231="","",COUNT($P$2:P231)))</f>
        <v/>
      </c>
    </row>
    <row r="232">
      <c r="J232" s="24">
        <f>IF($A232="","",IF($C232&lt;&gt;"khp_titration_mL","",IF(COUNTIFS('1_原始數據'!$A$2:$A$1000,$A232,'1_原始數據'!$B$2:$B$1000,$B232,'1_原始數據'!$D$2:$D$1000,$D232,'1_原始數據'!$C$2:$C$1000,"khp_mass_g")=0,"",SUMIFS('1_原始數據'!$E$2:$E$1000,'1_原始數據'!$A$2:$A$1000,$A232,'1_原始數據'!$B$2:$B$1000,$B232,'1_原始數據'!$D$2:$D$1000,$D232,'1_原始數據'!$C$2:$C$1000,"khp_mass_g")/('2_NaOH標定'!$C$5*$E232/1000))))</f>
        <v/>
      </c>
      <c r="K232" s="24">
        <f>IF($A232="","",IF($C232&lt;&gt;"manual_titration_mL","",IF(COUNTIFS('1_原始數據'!$A$2:$A$1000,$A232,'1_原始數據'!$C$2:$C$1000,"khp_titration_mL")=0,"",AVERAGEIFS('1_原始數據'!$J$2:$J$1000,'1_原始數據'!$A$2:$A$1000,$A232,'1_原始數據'!$C$2:$C$1000,"khp_titration_mL"))))</f>
        <v/>
      </c>
      <c r="L232" s="25">
        <f>IF($A232="","",IF($C232&lt;&gt;"manual_titration_mL","",IFERROR(INDEX('3_可滴定酸度'!$E$6:$E$13,MATCH($I232,'3_可滴定酸度'!$B$6:$B$13,0)),"")))</f>
        <v/>
      </c>
      <c r="M232" s="25">
        <f>IF($A232="","",IF($C232&lt;&gt;"manual_titration_mL","",IFERROR(INDEX('3_可滴定酸度'!$F$6:$F$13,MATCH($I232,'3_可滴定酸度'!$B$6:$B$13,0)),"")))</f>
        <v/>
      </c>
      <c r="N232" s="24">
        <f>IF($A232="","",IF(OR(K232="",L232="",M232=""),"",K232*E232*L232/(M232*1000)*100))</f>
        <v/>
      </c>
      <c r="O232" s="24">
        <f>IF($A232="","",IF(N232="","",IF(COUNTIFS('1_原始數據'!$A$2:$A$1000,$A232,'1_原始數據'!$B$2:$B$1000,$B232,'1_原始數據'!$D$2:$D$1000,$D232,'1_原始數據'!$I$2:$I$1000,$I232,'1_原始數據'!$C$2:$C$1000,"pasco_pct_acid")=0,"",SUMIFS('1_原始數據'!$E$2:$E$1000,'1_原始數據'!$A$2:$A$1000,$A232,'1_原始數據'!$B$2:$B$1000,$B232,'1_原始數據'!$D$2:$D$1000,$D232,'1_原始數據'!$I$2:$I$1000,$I232,'1_原始數據'!$C$2:$C$1000,"pasco_pct_acid"))))</f>
        <v/>
      </c>
      <c r="P232" s="26">
        <f>IF($A232="","",IF(OR(N232="",O232=""),"",O232-N232))</f>
        <v/>
      </c>
      <c r="Q232" s="24">
        <f>IF($A232="","",IF(P232="","",(O232+N232)/2))</f>
        <v/>
      </c>
      <c r="R232" s="27">
        <f>IF($A232="","",IF(P232="","",COUNT($P$2:P232)))</f>
        <v/>
      </c>
    </row>
    <row r="233">
      <c r="J233" s="24">
        <f>IF($A233="","",IF($C233&lt;&gt;"khp_titration_mL","",IF(COUNTIFS('1_原始數據'!$A$2:$A$1000,$A233,'1_原始數據'!$B$2:$B$1000,$B233,'1_原始數據'!$D$2:$D$1000,$D233,'1_原始數據'!$C$2:$C$1000,"khp_mass_g")=0,"",SUMIFS('1_原始數據'!$E$2:$E$1000,'1_原始數據'!$A$2:$A$1000,$A233,'1_原始數據'!$B$2:$B$1000,$B233,'1_原始數據'!$D$2:$D$1000,$D233,'1_原始數據'!$C$2:$C$1000,"khp_mass_g")/('2_NaOH標定'!$C$5*$E233/1000))))</f>
        <v/>
      </c>
      <c r="K233" s="24">
        <f>IF($A233="","",IF($C233&lt;&gt;"manual_titration_mL","",IF(COUNTIFS('1_原始數據'!$A$2:$A$1000,$A233,'1_原始數據'!$C$2:$C$1000,"khp_titration_mL")=0,"",AVERAGEIFS('1_原始數據'!$J$2:$J$1000,'1_原始數據'!$A$2:$A$1000,$A233,'1_原始數據'!$C$2:$C$1000,"khp_titration_mL"))))</f>
        <v/>
      </c>
      <c r="L233" s="25">
        <f>IF($A233="","",IF($C233&lt;&gt;"manual_titration_mL","",IFERROR(INDEX('3_可滴定酸度'!$E$6:$E$13,MATCH($I233,'3_可滴定酸度'!$B$6:$B$13,0)),"")))</f>
        <v/>
      </c>
      <c r="M233" s="25">
        <f>IF($A233="","",IF($C233&lt;&gt;"manual_titration_mL","",IFERROR(INDEX('3_可滴定酸度'!$F$6:$F$13,MATCH($I233,'3_可滴定酸度'!$B$6:$B$13,0)),"")))</f>
        <v/>
      </c>
      <c r="N233" s="24">
        <f>IF($A233="","",IF(OR(K233="",L233="",M233=""),"",K233*E233*L233/(M233*1000)*100))</f>
        <v/>
      </c>
      <c r="O233" s="24">
        <f>IF($A233="","",IF(N233="","",IF(COUNTIFS('1_原始數據'!$A$2:$A$1000,$A233,'1_原始數據'!$B$2:$B$1000,$B233,'1_原始數據'!$D$2:$D$1000,$D233,'1_原始數據'!$I$2:$I$1000,$I233,'1_原始數據'!$C$2:$C$1000,"pasco_pct_acid")=0,"",SUMIFS('1_原始數據'!$E$2:$E$1000,'1_原始數據'!$A$2:$A$1000,$A233,'1_原始數據'!$B$2:$B$1000,$B233,'1_原始數據'!$D$2:$D$1000,$D233,'1_原始數據'!$I$2:$I$1000,$I233,'1_原始數據'!$C$2:$C$1000,"pasco_pct_acid"))))</f>
        <v/>
      </c>
      <c r="P233" s="26">
        <f>IF($A233="","",IF(OR(N233="",O233=""),"",O233-N233))</f>
        <v/>
      </c>
      <c r="Q233" s="24">
        <f>IF($A233="","",IF(P233="","",(O233+N233)/2))</f>
        <v/>
      </c>
      <c r="R233" s="27">
        <f>IF($A233="","",IF(P233="","",COUNT($P$2:P233)))</f>
        <v/>
      </c>
    </row>
    <row r="234">
      <c r="J234" s="24">
        <f>IF($A234="","",IF($C234&lt;&gt;"khp_titration_mL","",IF(COUNTIFS('1_原始數據'!$A$2:$A$1000,$A234,'1_原始數據'!$B$2:$B$1000,$B234,'1_原始數據'!$D$2:$D$1000,$D234,'1_原始數據'!$C$2:$C$1000,"khp_mass_g")=0,"",SUMIFS('1_原始數據'!$E$2:$E$1000,'1_原始數據'!$A$2:$A$1000,$A234,'1_原始數據'!$B$2:$B$1000,$B234,'1_原始數據'!$D$2:$D$1000,$D234,'1_原始數據'!$C$2:$C$1000,"khp_mass_g")/('2_NaOH標定'!$C$5*$E234/1000))))</f>
        <v/>
      </c>
      <c r="K234" s="24">
        <f>IF($A234="","",IF($C234&lt;&gt;"manual_titration_mL","",IF(COUNTIFS('1_原始數據'!$A$2:$A$1000,$A234,'1_原始數據'!$C$2:$C$1000,"khp_titration_mL")=0,"",AVERAGEIFS('1_原始數據'!$J$2:$J$1000,'1_原始數據'!$A$2:$A$1000,$A234,'1_原始數據'!$C$2:$C$1000,"khp_titration_mL"))))</f>
        <v/>
      </c>
      <c r="L234" s="25">
        <f>IF($A234="","",IF($C234&lt;&gt;"manual_titration_mL","",IFERROR(INDEX('3_可滴定酸度'!$E$6:$E$13,MATCH($I234,'3_可滴定酸度'!$B$6:$B$13,0)),"")))</f>
        <v/>
      </c>
      <c r="M234" s="25">
        <f>IF($A234="","",IF($C234&lt;&gt;"manual_titration_mL","",IFERROR(INDEX('3_可滴定酸度'!$F$6:$F$13,MATCH($I234,'3_可滴定酸度'!$B$6:$B$13,0)),"")))</f>
        <v/>
      </c>
      <c r="N234" s="24">
        <f>IF($A234="","",IF(OR(K234="",L234="",M234=""),"",K234*E234*L234/(M234*1000)*100))</f>
        <v/>
      </c>
      <c r="O234" s="24">
        <f>IF($A234="","",IF(N234="","",IF(COUNTIFS('1_原始數據'!$A$2:$A$1000,$A234,'1_原始數據'!$B$2:$B$1000,$B234,'1_原始數據'!$D$2:$D$1000,$D234,'1_原始數據'!$I$2:$I$1000,$I234,'1_原始數據'!$C$2:$C$1000,"pasco_pct_acid")=0,"",SUMIFS('1_原始數據'!$E$2:$E$1000,'1_原始數據'!$A$2:$A$1000,$A234,'1_原始數據'!$B$2:$B$1000,$B234,'1_原始數據'!$D$2:$D$1000,$D234,'1_原始數據'!$I$2:$I$1000,$I234,'1_原始數據'!$C$2:$C$1000,"pasco_pct_acid"))))</f>
        <v/>
      </c>
      <c r="P234" s="26">
        <f>IF($A234="","",IF(OR(N234="",O234=""),"",O234-N234))</f>
        <v/>
      </c>
      <c r="Q234" s="24">
        <f>IF($A234="","",IF(P234="","",(O234+N234)/2))</f>
        <v/>
      </c>
      <c r="R234" s="27">
        <f>IF($A234="","",IF(P234="","",COUNT($P$2:P234)))</f>
        <v/>
      </c>
    </row>
    <row r="235">
      <c r="J235" s="24">
        <f>IF($A235="","",IF($C235&lt;&gt;"khp_titration_mL","",IF(COUNTIFS('1_原始數據'!$A$2:$A$1000,$A235,'1_原始數據'!$B$2:$B$1000,$B235,'1_原始數據'!$D$2:$D$1000,$D235,'1_原始數據'!$C$2:$C$1000,"khp_mass_g")=0,"",SUMIFS('1_原始數據'!$E$2:$E$1000,'1_原始數據'!$A$2:$A$1000,$A235,'1_原始數據'!$B$2:$B$1000,$B235,'1_原始數據'!$D$2:$D$1000,$D235,'1_原始數據'!$C$2:$C$1000,"khp_mass_g")/('2_NaOH標定'!$C$5*$E235/1000))))</f>
        <v/>
      </c>
      <c r="K235" s="24">
        <f>IF($A235="","",IF($C235&lt;&gt;"manual_titration_mL","",IF(COUNTIFS('1_原始數據'!$A$2:$A$1000,$A235,'1_原始數據'!$C$2:$C$1000,"khp_titration_mL")=0,"",AVERAGEIFS('1_原始數據'!$J$2:$J$1000,'1_原始數據'!$A$2:$A$1000,$A235,'1_原始數據'!$C$2:$C$1000,"khp_titration_mL"))))</f>
        <v/>
      </c>
      <c r="L235" s="25">
        <f>IF($A235="","",IF($C235&lt;&gt;"manual_titration_mL","",IFERROR(INDEX('3_可滴定酸度'!$E$6:$E$13,MATCH($I235,'3_可滴定酸度'!$B$6:$B$13,0)),"")))</f>
        <v/>
      </c>
      <c r="M235" s="25">
        <f>IF($A235="","",IF($C235&lt;&gt;"manual_titration_mL","",IFERROR(INDEX('3_可滴定酸度'!$F$6:$F$13,MATCH($I235,'3_可滴定酸度'!$B$6:$B$13,0)),"")))</f>
        <v/>
      </c>
      <c r="N235" s="24">
        <f>IF($A235="","",IF(OR(K235="",L235="",M235=""),"",K235*E235*L235/(M235*1000)*100))</f>
        <v/>
      </c>
      <c r="O235" s="24">
        <f>IF($A235="","",IF(N235="","",IF(COUNTIFS('1_原始數據'!$A$2:$A$1000,$A235,'1_原始數據'!$B$2:$B$1000,$B235,'1_原始數據'!$D$2:$D$1000,$D235,'1_原始數據'!$I$2:$I$1000,$I235,'1_原始數據'!$C$2:$C$1000,"pasco_pct_acid")=0,"",SUMIFS('1_原始數據'!$E$2:$E$1000,'1_原始數據'!$A$2:$A$1000,$A235,'1_原始數據'!$B$2:$B$1000,$B235,'1_原始數據'!$D$2:$D$1000,$D235,'1_原始數據'!$I$2:$I$1000,$I235,'1_原始數據'!$C$2:$C$1000,"pasco_pct_acid"))))</f>
        <v/>
      </c>
      <c r="P235" s="26">
        <f>IF($A235="","",IF(OR(N235="",O235=""),"",O235-N235))</f>
        <v/>
      </c>
      <c r="Q235" s="24">
        <f>IF($A235="","",IF(P235="","",(O235+N235)/2))</f>
        <v/>
      </c>
      <c r="R235" s="27">
        <f>IF($A235="","",IF(P235="","",COUNT($P$2:P235)))</f>
        <v/>
      </c>
    </row>
    <row r="236">
      <c r="J236" s="24">
        <f>IF($A236="","",IF($C236&lt;&gt;"khp_titration_mL","",IF(COUNTIFS('1_原始數據'!$A$2:$A$1000,$A236,'1_原始數據'!$B$2:$B$1000,$B236,'1_原始數據'!$D$2:$D$1000,$D236,'1_原始數據'!$C$2:$C$1000,"khp_mass_g")=0,"",SUMIFS('1_原始數據'!$E$2:$E$1000,'1_原始數據'!$A$2:$A$1000,$A236,'1_原始數據'!$B$2:$B$1000,$B236,'1_原始數據'!$D$2:$D$1000,$D236,'1_原始數據'!$C$2:$C$1000,"khp_mass_g")/('2_NaOH標定'!$C$5*$E236/1000))))</f>
        <v/>
      </c>
      <c r="K236" s="24">
        <f>IF($A236="","",IF($C236&lt;&gt;"manual_titration_mL","",IF(COUNTIFS('1_原始數據'!$A$2:$A$1000,$A236,'1_原始數據'!$C$2:$C$1000,"khp_titration_mL")=0,"",AVERAGEIFS('1_原始數據'!$J$2:$J$1000,'1_原始數據'!$A$2:$A$1000,$A236,'1_原始數據'!$C$2:$C$1000,"khp_titration_mL"))))</f>
        <v/>
      </c>
      <c r="L236" s="25">
        <f>IF($A236="","",IF($C236&lt;&gt;"manual_titration_mL","",IFERROR(INDEX('3_可滴定酸度'!$E$6:$E$13,MATCH($I236,'3_可滴定酸度'!$B$6:$B$13,0)),"")))</f>
        <v/>
      </c>
      <c r="M236" s="25">
        <f>IF($A236="","",IF($C236&lt;&gt;"manual_titration_mL","",IFERROR(INDEX('3_可滴定酸度'!$F$6:$F$13,MATCH($I236,'3_可滴定酸度'!$B$6:$B$13,0)),"")))</f>
        <v/>
      </c>
      <c r="N236" s="24">
        <f>IF($A236="","",IF(OR(K236="",L236="",M236=""),"",K236*E236*L236/(M236*1000)*100))</f>
        <v/>
      </c>
      <c r="O236" s="24">
        <f>IF($A236="","",IF(N236="","",IF(COUNTIFS('1_原始數據'!$A$2:$A$1000,$A236,'1_原始數據'!$B$2:$B$1000,$B236,'1_原始數據'!$D$2:$D$1000,$D236,'1_原始數據'!$I$2:$I$1000,$I236,'1_原始數據'!$C$2:$C$1000,"pasco_pct_acid")=0,"",SUMIFS('1_原始數據'!$E$2:$E$1000,'1_原始數據'!$A$2:$A$1000,$A236,'1_原始數據'!$B$2:$B$1000,$B236,'1_原始數據'!$D$2:$D$1000,$D236,'1_原始數據'!$I$2:$I$1000,$I236,'1_原始數據'!$C$2:$C$1000,"pasco_pct_acid"))))</f>
        <v/>
      </c>
      <c r="P236" s="26">
        <f>IF($A236="","",IF(OR(N236="",O236=""),"",O236-N236))</f>
        <v/>
      </c>
      <c r="Q236" s="24">
        <f>IF($A236="","",IF(P236="","",(O236+N236)/2))</f>
        <v/>
      </c>
      <c r="R236" s="27">
        <f>IF($A236="","",IF(P236="","",COUNT($P$2:P236)))</f>
        <v/>
      </c>
    </row>
    <row r="237">
      <c r="J237" s="24">
        <f>IF($A237="","",IF($C237&lt;&gt;"khp_titration_mL","",IF(COUNTIFS('1_原始數據'!$A$2:$A$1000,$A237,'1_原始數據'!$B$2:$B$1000,$B237,'1_原始數據'!$D$2:$D$1000,$D237,'1_原始數據'!$C$2:$C$1000,"khp_mass_g")=0,"",SUMIFS('1_原始數據'!$E$2:$E$1000,'1_原始數據'!$A$2:$A$1000,$A237,'1_原始數據'!$B$2:$B$1000,$B237,'1_原始數據'!$D$2:$D$1000,$D237,'1_原始數據'!$C$2:$C$1000,"khp_mass_g")/('2_NaOH標定'!$C$5*$E237/1000))))</f>
        <v/>
      </c>
      <c r="K237" s="24">
        <f>IF($A237="","",IF($C237&lt;&gt;"manual_titration_mL","",IF(COUNTIFS('1_原始數據'!$A$2:$A$1000,$A237,'1_原始數據'!$C$2:$C$1000,"khp_titration_mL")=0,"",AVERAGEIFS('1_原始數據'!$J$2:$J$1000,'1_原始數據'!$A$2:$A$1000,$A237,'1_原始數據'!$C$2:$C$1000,"khp_titration_mL"))))</f>
        <v/>
      </c>
      <c r="L237" s="25">
        <f>IF($A237="","",IF($C237&lt;&gt;"manual_titration_mL","",IFERROR(INDEX('3_可滴定酸度'!$E$6:$E$13,MATCH($I237,'3_可滴定酸度'!$B$6:$B$13,0)),"")))</f>
        <v/>
      </c>
      <c r="M237" s="25">
        <f>IF($A237="","",IF($C237&lt;&gt;"manual_titration_mL","",IFERROR(INDEX('3_可滴定酸度'!$F$6:$F$13,MATCH($I237,'3_可滴定酸度'!$B$6:$B$13,0)),"")))</f>
        <v/>
      </c>
      <c r="N237" s="24">
        <f>IF($A237="","",IF(OR(K237="",L237="",M237=""),"",K237*E237*L237/(M237*1000)*100))</f>
        <v/>
      </c>
      <c r="O237" s="24">
        <f>IF($A237="","",IF(N237="","",IF(COUNTIFS('1_原始數據'!$A$2:$A$1000,$A237,'1_原始數據'!$B$2:$B$1000,$B237,'1_原始數據'!$D$2:$D$1000,$D237,'1_原始數據'!$I$2:$I$1000,$I237,'1_原始數據'!$C$2:$C$1000,"pasco_pct_acid")=0,"",SUMIFS('1_原始數據'!$E$2:$E$1000,'1_原始數據'!$A$2:$A$1000,$A237,'1_原始數據'!$B$2:$B$1000,$B237,'1_原始數據'!$D$2:$D$1000,$D237,'1_原始數據'!$I$2:$I$1000,$I237,'1_原始數據'!$C$2:$C$1000,"pasco_pct_acid"))))</f>
        <v/>
      </c>
      <c r="P237" s="26">
        <f>IF($A237="","",IF(OR(N237="",O237=""),"",O237-N237))</f>
        <v/>
      </c>
      <c r="Q237" s="24">
        <f>IF($A237="","",IF(P237="","",(O237+N237)/2))</f>
        <v/>
      </c>
      <c r="R237" s="27">
        <f>IF($A237="","",IF(P237="","",COUNT($P$2:P237)))</f>
        <v/>
      </c>
    </row>
    <row r="238">
      <c r="J238" s="24">
        <f>IF($A238="","",IF($C238&lt;&gt;"khp_titration_mL","",IF(COUNTIFS('1_原始數據'!$A$2:$A$1000,$A238,'1_原始數據'!$B$2:$B$1000,$B238,'1_原始數據'!$D$2:$D$1000,$D238,'1_原始數據'!$C$2:$C$1000,"khp_mass_g")=0,"",SUMIFS('1_原始數據'!$E$2:$E$1000,'1_原始數據'!$A$2:$A$1000,$A238,'1_原始數據'!$B$2:$B$1000,$B238,'1_原始數據'!$D$2:$D$1000,$D238,'1_原始數據'!$C$2:$C$1000,"khp_mass_g")/('2_NaOH標定'!$C$5*$E238/1000))))</f>
        <v/>
      </c>
      <c r="K238" s="24">
        <f>IF($A238="","",IF($C238&lt;&gt;"manual_titration_mL","",IF(COUNTIFS('1_原始數據'!$A$2:$A$1000,$A238,'1_原始數據'!$C$2:$C$1000,"khp_titration_mL")=0,"",AVERAGEIFS('1_原始數據'!$J$2:$J$1000,'1_原始數據'!$A$2:$A$1000,$A238,'1_原始數據'!$C$2:$C$1000,"khp_titration_mL"))))</f>
        <v/>
      </c>
      <c r="L238" s="25">
        <f>IF($A238="","",IF($C238&lt;&gt;"manual_titration_mL","",IFERROR(INDEX('3_可滴定酸度'!$E$6:$E$13,MATCH($I238,'3_可滴定酸度'!$B$6:$B$13,0)),"")))</f>
        <v/>
      </c>
      <c r="M238" s="25">
        <f>IF($A238="","",IF($C238&lt;&gt;"manual_titration_mL","",IFERROR(INDEX('3_可滴定酸度'!$F$6:$F$13,MATCH($I238,'3_可滴定酸度'!$B$6:$B$13,0)),"")))</f>
        <v/>
      </c>
      <c r="N238" s="24">
        <f>IF($A238="","",IF(OR(K238="",L238="",M238=""),"",K238*E238*L238/(M238*1000)*100))</f>
        <v/>
      </c>
      <c r="O238" s="24">
        <f>IF($A238="","",IF(N238="","",IF(COUNTIFS('1_原始數據'!$A$2:$A$1000,$A238,'1_原始數據'!$B$2:$B$1000,$B238,'1_原始數據'!$D$2:$D$1000,$D238,'1_原始數據'!$I$2:$I$1000,$I238,'1_原始數據'!$C$2:$C$1000,"pasco_pct_acid")=0,"",SUMIFS('1_原始數據'!$E$2:$E$1000,'1_原始數據'!$A$2:$A$1000,$A238,'1_原始數據'!$B$2:$B$1000,$B238,'1_原始數據'!$D$2:$D$1000,$D238,'1_原始數據'!$I$2:$I$1000,$I238,'1_原始數據'!$C$2:$C$1000,"pasco_pct_acid"))))</f>
        <v/>
      </c>
      <c r="P238" s="26">
        <f>IF($A238="","",IF(OR(N238="",O238=""),"",O238-N238))</f>
        <v/>
      </c>
      <c r="Q238" s="24">
        <f>IF($A238="","",IF(P238="","",(O238+N238)/2))</f>
        <v/>
      </c>
      <c r="R238" s="27">
        <f>IF($A238="","",IF(P238="","",COUNT($P$2:P238)))</f>
        <v/>
      </c>
    </row>
    <row r="239">
      <c r="J239" s="24">
        <f>IF($A239="","",IF($C239&lt;&gt;"khp_titration_mL","",IF(COUNTIFS('1_原始數據'!$A$2:$A$1000,$A239,'1_原始數據'!$B$2:$B$1000,$B239,'1_原始數據'!$D$2:$D$1000,$D239,'1_原始數據'!$C$2:$C$1000,"khp_mass_g")=0,"",SUMIFS('1_原始數據'!$E$2:$E$1000,'1_原始數據'!$A$2:$A$1000,$A239,'1_原始數據'!$B$2:$B$1000,$B239,'1_原始數據'!$D$2:$D$1000,$D239,'1_原始數據'!$C$2:$C$1000,"khp_mass_g")/('2_NaOH標定'!$C$5*$E239/1000))))</f>
        <v/>
      </c>
      <c r="K239" s="24">
        <f>IF($A239="","",IF($C239&lt;&gt;"manual_titration_mL","",IF(COUNTIFS('1_原始數據'!$A$2:$A$1000,$A239,'1_原始數據'!$C$2:$C$1000,"khp_titration_mL")=0,"",AVERAGEIFS('1_原始數據'!$J$2:$J$1000,'1_原始數據'!$A$2:$A$1000,$A239,'1_原始數據'!$C$2:$C$1000,"khp_titration_mL"))))</f>
        <v/>
      </c>
      <c r="L239" s="25">
        <f>IF($A239="","",IF($C239&lt;&gt;"manual_titration_mL","",IFERROR(INDEX('3_可滴定酸度'!$E$6:$E$13,MATCH($I239,'3_可滴定酸度'!$B$6:$B$13,0)),"")))</f>
        <v/>
      </c>
      <c r="M239" s="25">
        <f>IF($A239="","",IF($C239&lt;&gt;"manual_titration_mL","",IFERROR(INDEX('3_可滴定酸度'!$F$6:$F$13,MATCH($I239,'3_可滴定酸度'!$B$6:$B$13,0)),"")))</f>
        <v/>
      </c>
      <c r="N239" s="24">
        <f>IF($A239="","",IF(OR(K239="",L239="",M239=""),"",K239*E239*L239/(M239*1000)*100))</f>
        <v/>
      </c>
      <c r="O239" s="24">
        <f>IF($A239="","",IF(N239="","",IF(COUNTIFS('1_原始數據'!$A$2:$A$1000,$A239,'1_原始數據'!$B$2:$B$1000,$B239,'1_原始數據'!$D$2:$D$1000,$D239,'1_原始數據'!$I$2:$I$1000,$I239,'1_原始數據'!$C$2:$C$1000,"pasco_pct_acid")=0,"",SUMIFS('1_原始數據'!$E$2:$E$1000,'1_原始數據'!$A$2:$A$1000,$A239,'1_原始數據'!$B$2:$B$1000,$B239,'1_原始數據'!$D$2:$D$1000,$D239,'1_原始數據'!$I$2:$I$1000,$I239,'1_原始數據'!$C$2:$C$1000,"pasco_pct_acid"))))</f>
        <v/>
      </c>
      <c r="P239" s="26">
        <f>IF($A239="","",IF(OR(N239="",O239=""),"",O239-N239))</f>
        <v/>
      </c>
      <c r="Q239" s="24">
        <f>IF($A239="","",IF(P239="","",(O239+N239)/2))</f>
        <v/>
      </c>
      <c r="R239" s="27">
        <f>IF($A239="","",IF(P239="","",COUNT($P$2:P239)))</f>
        <v/>
      </c>
    </row>
    <row r="240">
      <c r="J240" s="24">
        <f>IF($A240="","",IF($C240&lt;&gt;"khp_titration_mL","",IF(COUNTIFS('1_原始數據'!$A$2:$A$1000,$A240,'1_原始數據'!$B$2:$B$1000,$B240,'1_原始數據'!$D$2:$D$1000,$D240,'1_原始數據'!$C$2:$C$1000,"khp_mass_g")=0,"",SUMIFS('1_原始數據'!$E$2:$E$1000,'1_原始數據'!$A$2:$A$1000,$A240,'1_原始數據'!$B$2:$B$1000,$B240,'1_原始數據'!$D$2:$D$1000,$D240,'1_原始數據'!$C$2:$C$1000,"khp_mass_g")/('2_NaOH標定'!$C$5*$E240/1000))))</f>
        <v/>
      </c>
      <c r="K240" s="24">
        <f>IF($A240="","",IF($C240&lt;&gt;"manual_titration_mL","",IF(COUNTIFS('1_原始數據'!$A$2:$A$1000,$A240,'1_原始數據'!$C$2:$C$1000,"khp_titration_mL")=0,"",AVERAGEIFS('1_原始數據'!$J$2:$J$1000,'1_原始數據'!$A$2:$A$1000,$A240,'1_原始數據'!$C$2:$C$1000,"khp_titration_mL"))))</f>
        <v/>
      </c>
      <c r="L240" s="25">
        <f>IF($A240="","",IF($C240&lt;&gt;"manual_titration_mL","",IFERROR(INDEX('3_可滴定酸度'!$E$6:$E$13,MATCH($I240,'3_可滴定酸度'!$B$6:$B$13,0)),"")))</f>
        <v/>
      </c>
      <c r="M240" s="25">
        <f>IF($A240="","",IF($C240&lt;&gt;"manual_titration_mL","",IFERROR(INDEX('3_可滴定酸度'!$F$6:$F$13,MATCH($I240,'3_可滴定酸度'!$B$6:$B$13,0)),"")))</f>
        <v/>
      </c>
      <c r="N240" s="24">
        <f>IF($A240="","",IF(OR(K240="",L240="",M240=""),"",K240*E240*L240/(M240*1000)*100))</f>
        <v/>
      </c>
      <c r="O240" s="24">
        <f>IF($A240="","",IF(N240="","",IF(COUNTIFS('1_原始數據'!$A$2:$A$1000,$A240,'1_原始數據'!$B$2:$B$1000,$B240,'1_原始數據'!$D$2:$D$1000,$D240,'1_原始數據'!$I$2:$I$1000,$I240,'1_原始數據'!$C$2:$C$1000,"pasco_pct_acid")=0,"",SUMIFS('1_原始數據'!$E$2:$E$1000,'1_原始數據'!$A$2:$A$1000,$A240,'1_原始數據'!$B$2:$B$1000,$B240,'1_原始數據'!$D$2:$D$1000,$D240,'1_原始數據'!$I$2:$I$1000,$I240,'1_原始數據'!$C$2:$C$1000,"pasco_pct_acid"))))</f>
        <v/>
      </c>
      <c r="P240" s="26">
        <f>IF($A240="","",IF(OR(N240="",O240=""),"",O240-N240))</f>
        <v/>
      </c>
      <c r="Q240" s="24">
        <f>IF($A240="","",IF(P240="","",(O240+N240)/2))</f>
        <v/>
      </c>
      <c r="R240" s="27">
        <f>IF($A240="","",IF(P240="","",COUNT($P$2:P240)))</f>
        <v/>
      </c>
    </row>
    <row r="241">
      <c r="J241" s="24">
        <f>IF($A241="","",IF($C241&lt;&gt;"khp_titration_mL","",IF(COUNTIFS('1_原始數據'!$A$2:$A$1000,$A241,'1_原始數據'!$B$2:$B$1000,$B241,'1_原始數據'!$D$2:$D$1000,$D241,'1_原始數據'!$C$2:$C$1000,"khp_mass_g")=0,"",SUMIFS('1_原始數據'!$E$2:$E$1000,'1_原始數據'!$A$2:$A$1000,$A241,'1_原始數據'!$B$2:$B$1000,$B241,'1_原始數據'!$D$2:$D$1000,$D241,'1_原始數據'!$C$2:$C$1000,"khp_mass_g")/('2_NaOH標定'!$C$5*$E241/1000))))</f>
        <v/>
      </c>
      <c r="K241" s="24">
        <f>IF($A241="","",IF($C241&lt;&gt;"manual_titration_mL","",IF(COUNTIFS('1_原始數據'!$A$2:$A$1000,$A241,'1_原始數據'!$C$2:$C$1000,"khp_titration_mL")=0,"",AVERAGEIFS('1_原始數據'!$J$2:$J$1000,'1_原始數據'!$A$2:$A$1000,$A241,'1_原始數據'!$C$2:$C$1000,"khp_titration_mL"))))</f>
        <v/>
      </c>
      <c r="L241" s="25">
        <f>IF($A241="","",IF($C241&lt;&gt;"manual_titration_mL","",IFERROR(INDEX('3_可滴定酸度'!$E$6:$E$13,MATCH($I241,'3_可滴定酸度'!$B$6:$B$13,0)),"")))</f>
        <v/>
      </c>
      <c r="M241" s="25">
        <f>IF($A241="","",IF($C241&lt;&gt;"manual_titration_mL","",IFERROR(INDEX('3_可滴定酸度'!$F$6:$F$13,MATCH($I241,'3_可滴定酸度'!$B$6:$B$13,0)),"")))</f>
        <v/>
      </c>
      <c r="N241" s="24">
        <f>IF($A241="","",IF(OR(K241="",L241="",M241=""),"",K241*E241*L241/(M241*1000)*100))</f>
        <v/>
      </c>
      <c r="O241" s="24">
        <f>IF($A241="","",IF(N241="","",IF(COUNTIFS('1_原始數據'!$A$2:$A$1000,$A241,'1_原始數據'!$B$2:$B$1000,$B241,'1_原始數據'!$D$2:$D$1000,$D241,'1_原始數據'!$I$2:$I$1000,$I241,'1_原始數據'!$C$2:$C$1000,"pasco_pct_acid")=0,"",SUMIFS('1_原始數據'!$E$2:$E$1000,'1_原始數據'!$A$2:$A$1000,$A241,'1_原始數據'!$B$2:$B$1000,$B241,'1_原始數據'!$D$2:$D$1000,$D241,'1_原始數據'!$I$2:$I$1000,$I241,'1_原始數據'!$C$2:$C$1000,"pasco_pct_acid"))))</f>
        <v/>
      </c>
      <c r="P241" s="26">
        <f>IF($A241="","",IF(OR(N241="",O241=""),"",O241-N241))</f>
        <v/>
      </c>
      <c r="Q241" s="24">
        <f>IF($A241="","",IF(P241="","",(O241+N241)/2))</f>
        <v/>
      </c>
      <c r="R241" s="27">
        <f>IF($A241="","",IF(P241="","",COUNT($P$2:P241)))</f>
        <v/>
      </c>
    </row>
    <row r="242">
      <c r="J242" s="24">
        <f>IF($A242="","",IF($C242&lt;&gt;"khp_titration_mL","",IF(COUNTIFS('1_原始數據'!$A$2:$A$1000,$A242,'1_原始數據'!$B$2:$B$1000,$B242,'1_原始數據'!$D$2:$D$1000,$D242,'1_原始數據'!$C$2:$C$1000,"khp_mass_g")=0,"",SUMIFS('1_原始數據'!$E$2:$E$1000,'1_原始數據'!$A$2:$A$1000,$A242,'1_原始數據'!$B$2:$B$1000,$B242,'1_原始數據'!$D$2:$D$1000,$D242,'1_原始數據'!$C$2:$C$1000,"khp_mass_g")/('2_NaOH標定'!$C$5*$E242/1000))))</f>
        <v/>
      </c>
      <c r="K242" s="24">
        <f>IF($A242="","",IF($C242&lt;&gt;"manual_titration_mL","",IF(COUNTIFS('1_原始數據'!$A$2:$A$1000,$A242,'1_原始數據'!$C$2:$C$1000,"khp_titration_mL")=0,"",AVERAGEIFS('1_原始數據'!$J$2:$J$1000,'1_原始數據'!$A$2:$A$1000,$A242,'1_原始數據'!$C$2:$C$1000,"khp_titration_mL"))))</f>
        <v/>
      </c>
      <c r="L242" s="25">
        <f>IF($A242="","",IF($C242&lt;&gt;"manual_titration_mL","",IFERROR(INDEX('3_可滴定酸度'!$E$6:$E$13,MATCH($I242,'3_可滴定酸度'!$B$6:$B$13,0)),"")))</f>
        <v/>
      </c>
      <c r="M242" s="25">
        <f>IF($A242="","",IF($C242&lt;&gt;"manual_titration_mL","",IFERROR(INDEX('3_可滴定酸度'!$F$6:$F$13,MATCH($I242,'3_可滴定酸度'!$B$6:$B$13,0)),"")))</f>
        <v/>
      </c>
      <c r="N242" s="24">
        <f>IF($A242="","",IF(OR(K242="",L242="",M242=""),"",K242*E242*L242/(M242*1000)*100))</f>
        <v/>
      </c>
      <c r="O242" s="24">
        <f>IF($A242="","",IF(N242="","",IF(COUNTIFS('1_原始數據'!$A$2:$A$1000,$A242,'1_原始數據'!$B$2:$B$1000,$B242,'1_原始數據'!$D$2:$D$1000,$D242,'1_原始數據'!$I$2:$I$1000,$I242,'1_原始數據'!$C$2:$C$1000,"pasco_pct_acid")=0,"",SUMIFS('1_原始數據'!$E$2:$E$1000,'1_原始數據'!$A$2:$A$1000,$A242,'1_原始數據'!$B$2:$B$1000,$B242,'1_原始數據'!$D$2:$D$1000,$D242,'1_原始數據'!$I$2:$I$1000,$I242,'1_原始數據'!$C$2:$C$1000,"pasco_pct_acid"))))</f>
        <v/>
      </c>
      <c r="P242" s="26">
        <f>IF($A242="","",IF(OR(N242="",O242=""),"",O242-N242))</f>
        <v/>
      </c>
      <c r="Q242" s="24">
        <f>IF($A242="","",IF(P242="","",(O242+N242)/2))</f>
        <v/>
      </c>
      <c r="R242" s="27">
        <f>IF($A242="","",IF(P242="","",COUNT($P$2:P242)))</f>
        <v/>
      </c>
    </row>
    <row r="243">
      <c r="J243" s="24">
        <f>IF($A243="","",IF($C243&lt;&gt;"khp_titration_mL","",IF(COUNTIFS('1_原始數據'!$A$2:$A$1000,$A243,'1_原始數據'!$B$2:$B$1000,$B243,'1_原始數據'!$D$2:$D$1000,$D243,'1_原始數據'!$C$2:$C$1000,"khp_mass_g")=0,"",SUMIFS('1_原始數據'!$E$2:$E$1000,'1_原始數據'!$A$2:$A$1000,$A243,'1_原始數據'!$B$2:$B$1000,$B243,'1_原始數據'!$D$2:$D$1000,$D243,'1_原始數據'!$C$2:$C$1000,"khp_mass_g")/('2_NaOH標定'!$C$5*$E243/1000))))</f>
        <v/>
      </c>
      <c r="K243" s="24">
        <f>IF($A243="","",IF($C243&lt;&gt;"manual_titration_mL","",IF(COUNTIFS('1_原始數據'!$A$2:$A$1000,$A243,'1_原始數據'!$C$2:$C$1000,"khp_titration_mL")=0,"",AVERAGEIFS('1_原始數據'!$J$2:$J$1000,'1_原始數據'!$A$2:$A$1000,$A243,'1_原始數據'!$C$2:$C$1000,"khp_titration_mL"))))</f>
        <v/>
      </c>
      <c r="L243" s="25">
        <f>IF($A243="","",IF($C243&lt;&gt;"manual_titration_mL","",IFERROR(INDEX('3_可滴定酸度'!$E$6:$E$13,MATCH($I243,'3_可滴定酸度'!$B$6:$B$13,0)),"")))</f>
        <v/>
      </c>
      <c r="M243" s="25">
        <f>IF($A243="","",IF($C243&lt;&gt;"manual_titration_mL","",IFERROR(INDEX('3_可滴定酸度'!$F$6:$F$13,MATCH($I243,'3_可滴定酸度'!$B$6:$B$13,0)),"")))</f>
        <v/>
      </c>
      <c r="N243" s="24">
        <f>IF($A243="","",IF(OR(K243="",L243="",M243=""),"",K243*E243*L243/(M243*1000)*100))</f>
        <v/>
      </c>
      <c r="O243" s="24">
        <f>IF($A243="","",IF(N243="","",IF(COUNTIFS('1_原始數據'!$A$2:$A$1000,$A243,'1_原始數據'!$B$2:$B$1000,$B243,'1_原始數據'!$D$2:$D$1000,$D243,'1_原始數據'!$I$2:$I$1000,$I243,'1_原始數據'!$C$2:$C$1000,"pasco_pct_acid")=0,"",SUMIFS('1_原始數據'!$E$2:$E$1000,'1_原始數據'!$A$2:$A$1000,$A243,'1_原始數據'!$B$2:$B$1000,$B243,'1_原始數據'!$D$2:$D$1000,$D243,'1_原始數據'!$I$2:$I$1000,$I243,'1_原始數據'!$C$2:$C$1000,"pasco_pct_acid"))))</f>
        <v/>
      </c>
      <c r="P243" s="26">
        <f>IF($A243="","",IF(OR(N243="",O243=""),"",O243-N243))</f>
        <v/>
      </c>
      <c r="Q243" s="24">
        <f>IF($A243="","",IF(P243="","",(O243+N243)/2))</f>
        <v/>
      </c>
      <c r="R243" s="27">
        <f>IF($A243="","",IF(P243="","",COUNT($P$2:P243)))</f>
        <v/>
      </c>
    </row>
    <row r="244">
      <c r="J244" s="24">
        <f>IF($A244="","",IF($C244&lt;&gt;"khp_titration_mL","",IF(COUNTIFS('1_原始數據'!$A$2:$A$1000,$A244,'1_原始數據'!$B$2:$B$1000,$B244,'1_原始數據'!$D$2:$D$1000,$D244,'1_原始數據'!$C$2:$C$1000,"khp_mass_g")=0,"",SUMIFS('1_原始數據'!$E$2:$E$1000,'1_原始數據'!$A$2:$A$1000,$A244,'1_原始數據'!$B$2:$B$1000,$B244,'1_原始數據'!$D$2:$D$1000,$D244,'1_原始數據'!$C$2:$C$1000,"khp_mass_g")/('2_NaOH標定'!$C$5*$E244/1000))))</f>
        <v/>
      </c>
      <c r="K244" s="24">
        <f>IF($A244="","",IF($C244&lt;&gt;"manual_titration_mL","",IF(COUNTIFS('1_原始數據'!$A$2:$A$1000,$A244,'1_原始數據'!$C$2:$C$1000,"khp_titration_mL")=0,"",AVERAGEIFS('1_原始數據'!$J$2:$J$1000,'1_原始數據'!$A$2:$A$1000,$A244,'1_原始數據'!$C$2:$C$1000,"khp_titration_mL"))))</f>
        <v/>
      </c>
      <c r="L244" s="25">
        <f>IF($A244="","",IF($C244&lt;&gt;"manual_titration_mL","",IFERROR(INDEX('3_可滴定酸度'!$E$6:$E$13,MATCH($I244,'3_可滴定酸度'!$B$6:$B$13,0)),"")))</f>
        <v/>
      </c>
      <c r="M244" s="25">
        <f>IF($A244="","",IF($C244&lt;&gt;"manual_titration_mL","",IFERROR(INDEX('3_可滴定酸度'!$F$6:$F$13,MATCH($I244,'3_可滴定酸度'!$B$6:$B$13,0)),"")))</f>
        <v/>
      </c>
      <c r="N244" s="24">
        <f>IF($A244="","",IF(OR(K244="",L244="",M244=""),"",K244*E244*L244/(M244*1000)*100))</f>
        <v/>
      </c>
      <c r="O244" s="24">
        <f>IF($A244="","",IF(N244="","",IF(COUNTIFS('1_原始數據'!$A$2:$A$1000,$A244,'1_原始數據'!$B$2:$B$1000,$B244,'1_原始數據'!$D$2:$D$1000,$D244,'1_原始數據'!$I$2:$I$1000,$I244,'1_原始數據'!$C$2:$C$1000,"pasco_pct_acid")=0,"",SUMIFS('1_原始數據'!$E$2:$E$1000,'1_原始數據'!$A$2:$A$1000,$A244,'1_原始數據'!$B$2:$B$1000,$B244,'1_原始數據'!$D$2:$D$1000,$D244,'1_原始數據'!$I$2:$I$1000,$I244,'1_原始數據'!$C$2:$C$1000,"pasco_pct_acid"))))</f>
        <v/>
      </c>
      <c r="P244" s="26">
        <f>IF($A244="","",IF(OR(N244="",O244=""),"",O244-N244))</f>
        <v/>
      </c>
      <c r="Q244" s="24">
        <f>IF($A244="","",IF(P244="","",(O244+N244)/2))</f>
        <v/>
      </c>
      <c r="R244" s="27">
        <f>IF($A244="","",IF(P244="","",COUNT($P$2:P244)))</f>
        <v/>
      </c>
    </row>
    <row r="245">
      <c r="J245" s="24">
        <f>IF($A245="","",IF($C245&lt;&gt;"khp_titration_mL","",IF(COUNTIFS('1_原始數據'!$A$2:$A$1000,$A245,'1_原始數據'!$B$2:$B$1000,$B245,'1_原始數據'!$D$2:$D$1000,$D245,'1_原始數據'!$C$2:$C$1000,"khp_mass_g")=0,"",SUMIFS('1_原始數據'!$E$2:$E$1000,'1_原始數據'!$A$2:$A$1000,$A245,'1_原始數據'!$B$2:$B$1000,$B245,'1_原始數據'!$D$2:$D$1000,$D245,'1_原始數據'!$C$2:$C$1000,"khp_mass_g")/('2_NaOH標定'!$C$5*$E245/1000))))</f>
        <v/>
      </c>
      <c r="K245" s="24">
        <f>IF($A245="","",IF($C245&lt;&gt;"manual_titration_mL","",IF(COUNTIFS('1_原始數據'!$A$2:$A$1000,$A245,'1_原始數據'!$C$2:$C$1000,"khp_titration_mL")=0,"",AVERAGEIFS('1_原始數據'!$J$2:$J$1000,'1_原始數據'!$A$2:$A$1000,$A245,'1_原始數據'!$C$2:$C$1000,"khp_titration_mL"))))</f>
        <v/>
      </c>
      <c r="L245" s="25">
        <f>IF($A245="","",IF($C245&lt;&gt;"manual_titration_mL","",IFERROR(INDEX('3_可滴定酸度'!$E$6:$E$13,MATCH($I245,'3_可滴定酸度'!$B$6:$B$13,0)),"")))</f>
        <v/>
      </c>
      <c r="M245" s="25">
        <f>IF($A245="","",IF($C245&lt;&gt;"manual_titration_mL","",IFERROR(INDEX('3_可滴定酸度'!$F$6:$F$13,MATCH($I245,'3_可滴定酸度'!$B$6:$B$13,0)),"")))</f>
        <v/>
      </c>
      <c r="N245" s="24">
        <f>IF($A245="","",IF(OR(K245="",L245="",M245=""),"",K245*E245*L245/(M245*1000)*100))</f>
        <v/>
      </c>
      <c r="O245" s="24">
        <f>IF($A245="","",IF(N245="","",IF(COUNTIFS('1_原始數據'!$A$2:$A$1000,$A245,'1_原始數據'!$B$2:$B$1000,$B245,'1_原始數據'!$D$2:$D$1000,$D245,'1_原始數據'!$I$2:$I$1000,$I245,'1_原始數據'!$C$2:$C$1000,"pasco_pct_acid")=0,"",SUMIFS('1_原始數據'!$E$2:$E$1000,'1_原始數據'!$A$2:$A$1000,$A245,'1_原始數據'!$B$2:$B$1000,$B245,'1_原始數據'!$D$2:$D$1000,$D245,'1_原始數據'!$I$2:$I$1000,$I245,'1_原始數據'!$C$2:$C$1000,"pasco_pct_acid"))))</f>
        <v/>
      </c>
      <c r="P245" s="26">
        <f>IF($A245="","",IF(OR(N245="",O245=""),"",O245-N245))</f>
        <v/>
      </c>
      <c r="Q245" s="24">
        <f>IF($A245="","",IF(P245="","",(O245+N245)/2))</f>
        <v/>
      </c>
      <c r="R245" s="27">
        <f>IF($A245="","",IF(P245="","",COUNT($P$2:P245)))</f>
        <v/>
      </c>
    </row>
    <row r="246">
      <c r="J246" s="24">
        <f>IF($A246="","",IF($C246&lt;&gt;"khp_titration_mL","",IF(COUNTIFS('1_原始數據'!$A$2:$A$1000,$A246,'1_原始數據'!$B$2:$B$1000,$B246,'1_原始數據'!$D$2:$D$1000,$D246,'1_原始數據'!$C$2:$C$1000,"khp_mass_g")=0,"",SUMIFS('1_原始數據'!$E$2:$E$1000,'1_原始數據'!$A$2:$A$1000,$A246,'1_原始數據'!$B$2:$B$1000,$B246,'1_原始數據'!$D$2:$D$1000,$D246,'1_原始數據'!$C$2:$C$1000,"khp_mass_g")/('2_NaOH標定'!$C$5*$E246/1000))))</f>
        <v/>
      </c>
      <c r="K246" s="24">
        <f>IF($A246="","",IF($C246&lt;&gt;"manual_titration_mL","",IF(COUNTIFS('1_原始數據'!$A$2:$A$1000,$A246,'1_原始數據'!$C$2:$C$1000,"khp_titration_mL")=0,"",AVERAGEIFS('1_原始數據'!$J$2:$J$1000,'1_原始數據'!$A$2:$A$1000,$A246,'1_原始數據'!$C$2:$C$1000,"khp_titration_mL"))))</f>
        <v/>
      </c>
      <c r="L246" s="25">
        <f>IF($A246="","",IF($C246&lt;&gt;"manual_titration_mL","",IFERROR(INDEX('3_可滴定酸度'!$E$6:$E$13,MATCH($I246,'3_可滴定酸度'!$B$6:$B$13,0)),"")))</f>
        <v/>
      </c>
      <c r="M246" s="25">
        <f>IF($A246="","",IF($C246&lt;&gt;"manual_titration_mL","",IFERROR(INDEX('3_可滴定酸度'!$F$6:$F$13,MATCH($I246,'3_可滴定酸度'!$B$6:$B$13,0)),"")))</f>
        <v/>
      </c>
      <c r="N246" s="24">
        <f>IF($A246="","",IF(OR(K246="",L246="",M246=""),"",K246*E246*L246/(M246*1000)*100))</f>
        <v/>
      </c>
      <c r="O246" s="24">
        <f>IF($A246="","",IF(N246="","",IF(COUNTIFS('1_原始數據'!$A$2:$A$1000,$A246,'1_原始數據'!$B$2:$B$1000,$B246,'1_原始數據'!$D$2:$D$1000,$D246,'1_原始數據'!$I$2:$I$1000,$I246,'1_原始數據'!$C$2:$C$1000,"pasco_pct_acid")=0,"",SUMIFS('1_原始數據'!$E$2:$E$1000,'1_原始數據'!$A$2:$A$1000,$A246,'1_原始數據'!$B$2:$B$1000,$B246,'1_原始數據'!$D$2:$D$1000,$D246,'1_原始數據'!$I$2:$I$1000,$I246,'1_原始數據'!$C$2:$C$1000,"pasco_pct_acid"))))</f>
        <v/>
      </c>
      <c r="P246" s="26">
        <f>IF($A246="","",IF(OR(N246="",O246=""),"",O246-N246))</f>
        <v/>
      </c>
      <c r="Q246" s="24">
        <f>IF($A246="","",IF(P246="","",(O246+N246)/2))</f>
        <v/>
      </c>
      <c r="R246" s="27">
        <f>IF($A246="","",IF(P246="","",COUNT($P$2:P246)))</f>
        <v/>
      </c>
    </row>
    <row r="247">
      <c r="J247" s="24">
        <f>IF($A247="","",IF($C247&lt;&gt;"khp_titration_mL","",IF(COUNTIFS('1_原始數據'!$A$2:$A$1000,$A247,'1_原始數據'!$B$2:$B$1000,$B247,'1_原始數據'!$D$2:$D$1000,$D247,'1_原始數據'!$C$2:$C$1000,"khp_mass_g")=0,"",SUMIFS('1_原始數據'!$E$2:$E$1000,'1_原始數據'!$A$2:$A$1000,$A247,'1_原始數據'!$B$2:$B$1000,$B247,'1_原始數據'!$D$2:$D$1000,$D247,'1_原始數據'!$C$2:$C$1000,"khp_mass_g")/('2_NaOH標定'!$C$5*$E247/1000))))</f>
        <v/>
      </c>
      <c r="K247" s="24">
        <f>IF($A247="","",IF($C247&lt;&gt;"manual_titration_mL","",IF(COUNTIFS('1_原始數據'!$A$2:$A$1000,$A247,'1_原始數據'!$C$2:$C$1000,"khp_titration_mL")=0,"",AVERAGEIFS('1_原始數據'!$J$2:$J$1000,'1_原始數據'!$A$2:$A$1000,$A247,'1_原始數據'!$C$2:$C$1000,"khp_titration_mL"))))</f>
        <v/>
      </c>
      <c r="L247" s="25">
        <f>IF($A247="","",IF($C247&lt;&gt;"manual_titration_mL","",IFERROR(INDEX('3_可滴定酸度'!$E$6:$E$13,MATCH($I247,'3_可滴定酸度'!$B$6:$B$13,0)),"")))</f>
        <v/>
      </c>
      <c r="M247" s="25">
        <f>IF($A247="","",IF($C247&lt;&gt;"manual_titration_mL","",IFERROR(INDEX('3_可滴定酸度'!$F$6:$F$13,MATCH($I247,'3_可滴定酸度'!$B$6:$B$13,0)),"")))</f>
        <v/>
      </c>
      <c r="N247" s="24">
        <f>IF($A247="","",IF(OR(K247="",L247="",M247=""),"",K247*E247*L247/(M247*1000)*100))</f>
        <v/>
      </c>
      <c r="O247" s="24">
        <f>IF($A247="","",IF(N247="","",IF(COUNTIFS('1_原始數據'!$A$2:$A$1000,$A247,'1_原始數據'!$B$2:$B$1000,$B247,'1_原始數據'!$D$2:$D$1000,$D247,'1_原始數據'!$I$2:$I$1000,$I247,'1_原始數據'!$C$2:$C$1000,"pasco_pct_acid")=0,"",SUMIFS('1_原始數據'!$E$2:$E$1000,'1_原始數據'!$A$2:$A$1000,$A247,'1_原始數據'!$B$2:$B$1000,$B247,'1_原始數據'!$D$2:$D$1000,$D247,'1_原始數據'!$I$2:$I$1000,$I247,'1_原始數據'!$C$2:$C$1000,"pasco_pct_acid"))))</f>
        <v/>
      </c>
      <c r="P247" s="26">
        <f>IF($A247="","",IF(OR(N247="",O247=""),"",O247-N247))</f>
        <v/>
      </c>
      <c r="Q247" s="24">
        <f>IF($A247="","",IF(P247="","",(O247+N247)/2))</f>
        <v/>
      </c>
      <c r="R247" s="27">
        <f>IF($A247="","",IF(P247="","",COUNT($P$2:P247)))</f>
        <v/>
      </c>
    </row>
    <row r="248">
      <c r="J248" s="24">
        <f>IF($A248="","",IF($C248&lt;&gt;"khp_titration_mL","",IF(COUNTIFS('1_原始數據'!$A$2:$A$1000,$A248,'1_原始數據'!$B$2:$B$1000,$B248,'1_原始數據'!$D$2:$D$1000,$D248,'1_原始數據'!$C$2:$C$1000,"khp_mass_g")=0,"",SUMIFS('1_原始數據'!$E$2:$E$1000,'1_原始數據'!$A$2:$A$1000,$A248,'1_原始數據'!$B$2:$B$1000,$B248,'1_原始數據'!$D$2:$D$1000,$D248,'1_原始數據'!$C$2:$C$1000,"khp_mass_g")/('2_NaOH標定'!$C$5*$E248/1000))))</f>
        <v/>
      </c>
      <c r="K248" s="24">
        <f>IF($A248="","",IF($C248&lt;&gt;"manual_titration_mL","",IF(COUNTIFS('1_原始數據'!$A$2:$A$1000,$A248,'1_原始數據'!$C$2:$C$1000,"khp_titration_mL")=0,"",AVERAGEIFS('1_原始數據'!$J$2:$J$1000,'1_原始數據'!$A$2:$A$1000,$A248,'1_原始數據'!$C$2:$C$1000,"khp_titration_mL"))))</f>
        <v/>
      </c>
      <c r="L248" s="25">
        <f>IF($A248="","",IF($C248&lt;&gt;"manual_titration_mL","",IFERROR(INDEX('3_可滴定酸度'!$E$6:$E$13,MATCH($I248,'3_可滴定酸度'!$B$6:$B$13,0)),"")))</f>
        <v/>
      </c>
      <c r="M248" s="25">
        <f>IF($A248="","",IF($C248&lt;&gt;"manual_titration_mL","",IFERROR(INDEX('3_可滴定酸度'!$F$6:$F$13,MATCH($I248,'3_可滴定酸度'!$B$6:$B$13,0)),"")))</f>
        <v/>
      </c>
      <c r="N248" s="24">
        <f>IF($A248="","",IF(OR(K248="",L248="",M248=""),"",K248*E248*L248/(M248*1000)*100))</f>
        <v/>
      </c>
      <c r="O248" s="24">
        <f>IF($A248="","",IF(N248="","",IF(COUNTIFS('1_原始數據'!$A$2:$A$1000,$A248,'1_原始數據'!$B$2:$B$1000,$B248,'1_原始數據'!$D$2:$D$1000,$D248,'1_原始數據'!$I$2:$I$1000,$I248,'1_原始數據'!$C$2:$C$1000,"pasco_pct_acid")=0,"",SUMIFS('1_原始數據'!$E$2:$E$1000,'1_原始數據'!$A$2:$A$1000,$A248,'1_原始數據'!$B$2:$B$1000,$B248,'1_原始數據'!$D$2:$D$1000,$D248,'1_原始數據'!$I$2:$I$1000,$I248,'1_原始數據'!$C$2:$C$1000,"pasco_pct_acid"))))</f>
        <v/>
      </c>
      <c r="P248" s="26">
        <f>IF($A248="","",IF(OR(N248="",O248=""),"",O248-N248))</f>
        <v/>
      </c>
      <c r="Q248" s="24">
        <f>IF($A248="","",IF(P248="","",(O248+N248)/2))</f>
        <v/>
      </c>
      <c r="R248" s="27">
        <f>IF($A248="","",IF(P248="","",COUNT($P$2:P248)))</f>
        <v/>
      </c>
    </row>
    <row r="249">
      <c r="J249" s="24">
        <f>IF($A249="","",IF($C249&lt;&gt;"khp_titration_mL","",IF(COUNTIFS('1_原始數據'!$A$2:$A$1000,$A249,'1_原始數據'!$B$2:$B$1000,$B249,'1_原始數據'!$D$2:$D$1000,$D249,'1_原始數據'!$C$2:$C$1000,"khp_mass_g")=0,"",SUMIFS('1_原始數據'!$E$2:$E$1000,'1_原始數據'!$A$2:$A$1000,$A249,'1_原始數據'!$B$2:$B$1000,$B249,'1_原始數據'!$D$2:$D$1000,$D249,'1_原始數據'!$C$2:$C$1000,"khp_mass_g")/('2_NaOH標定'!$C$5*$E249/1000))))</f>
        <v/>
      </c>
      <c r="K249" s="24">
        <f>IF($A249="","",IF($C249&lt;&gt;"manual_titration_mL","",IF(COUNTIFS('1_原始數據'!$A$2:$A$1000,$A249,'1_原始數據'!$C$2:$C$1000,"khp_titration_mL")=0,"",AVERAGEIFS('1_原始數據'!$J$2:$J$1000,'1_原始數據'!$A$2:$A$1000,$A249,'1_原始數據'!$C$2:$C$1000,"khp_titration_mL"))))</f>
        <v/>
      </c>
      <c r="L249" s="25">
        <f>IF($A249="","",IF($C249&lt;&gt;"manual_titration_mL","",IFERROR(INDEX('3_可滴定酸度'!$E$6:$E$13,MATCH($I249,'3_可滴定酸度'!$B$6:$B$13,0)),"")))</f>
        <v/>
      </c>
      <c r="M249" s="25">
        <f>IF($A249="","",IF($C249&lt;&gt;"manual_titration_mL","",IFERROR(INDEX('3_可滴定酸度'!$F$6:$F$13,MATCH($I249,'3_可滴定酸度'!$B$6:$B$13,0)),"")))</f>
        <v/>
      </c>
      <c r="N249" s="24">
        <f>IF($A249="","",IF(OR(K249="",L249="",M249=""),"",K249*E249*L249/(M249*1000)*100))</f>
        <v/>
      </c>
      <c r="O249" s="24">
        <f>IF($A249="","",IF(N249="","",IF(COUNTIFS('1_原始數據'!$A$2:$A$1000,$A249,'1_原始數據'!$B$2:$B$1000,$B249,'1_原始數據'!$D$2:$D$1000,$D249,'1_原始數據'!$I$2:$I$1000,$I249,'1_原始數據'!$C$2:$C$1000,"pasco_pct_acid")=0,"",SUMIFS('1_原始數據'!$E$2:$E$1000,'1_原始數據'!$A$2:$A$1000,$A249,'1_原始數據'!$B$2:$B$1000,$B249,'1_原始數據'!$D$2:$D$1000,$D249,'1_原始數據'!$I$2:$I$1000,$I249,'1_原始數據'!$C$2:$C$1000,"pasco_pct_acid"))))</f>
        <v/>
      </c>
      <c r="P249" s="26">
        <f>IF($A249="","",IF(OR(N249="",O249=""),"",O249-N249))</f>
        <v/>
      </c>
      <c r="Q249" s="24">
        <f>IF($A249="","",IF(P249="","",(O249+N249)/2))</f>
        <v/>
      </c>
      <c r="R249" s="27">
        <f>IF($A249="","",IF(P249="","",COUNT($P$2:P249)))</f>
        <v/>
      </c>
    </row>
    <row r="250">
      <c r="J250" s="24">
        <f>IF($A250="","",IF($C250&lt;&gt;"khp_titration_mL","",IF(COUNTIFS('1_原始數據'!$A$2:$A$1000,$A250,'1_原始數據'!$B$2:$B$1000,$B250,'1_原始數據'!$D$2:$D$1000,$D250,'1_原始數據'!$C$2:$C$1000,"khp_mass_g")=0,"",SUMIFS('1_原始數據'!$E$2:$E$1000,'1_原始數據'!$A$2:$A$1000,$A250,'1_原始數據'!$B$2:$B$1000,$B250,'1_原始數據'!$D$2:$D$1000,$D250,'1_原始數據'!$C$2:$C$1000,"khp_mass_g")/('2_NaOH標定'!$C$5*$E250/1000))))</f>
        <v/>
      </c>
      <c r="K250" s="24">
        <f>IF($A250="","",IF($C250&lt;&gt;"manual_titration_mL","",IF(COUNTIFS('1_原始數據'!$A$2:$A$1000,$A250,'1_原始數據'!$C$2:$C$1000,"khp_titration_mL")=0,"",AVERAGEIFS('1_原始數據'!$J$2:$J$1000,'1_原始數據'!$A$2:$A$1000,$A250,'1_原始數據'!$C$2:$C$1000,"khp_titration_mL"))))</f>
        <v/>
      </c>
      <c r="L250" s="25">
        <f>IF($A250="","",IF($C250&lt;&gt;"manual_titration_mL","",IFERROR(INDEX('3_可滴定酸度'!$E$6:$E$13,MATCH($I250,'3_可滴定酸度'!$B$6:$B$13,0)),"")))</f>
        <v/>
      </c>
      <c r="M250" s="25">
        <f>IF($A250="","",IF($C250&lt;&gt;"manual_titration_mL","",IFERROR(INDEX('3_可滴定酸度'!$F$6:$F$13,MATCH($I250,'3_可滴定酸度'!$B$6:$B$13,0)),"")))</f>
        <v/>
      </c>
      <c r="N250" s="24">
        <f>IF($A250="","",IF(OR(K250="",L250="",M250=""),"",K250*E250*L250/(M250*1000)*100))</f>
        <v/>
      </c>
      <c r="O250" s="24">
        <f>IF($A250="","",IF(N250="","",IF(COUNTIFS('1_原始數據'!$A$2:$A$1000,$A250,'1_原始數據'!$B$2:$B$1000,$B250,'1_原始數據'!$D$2:$D$1000,$D250,'1_原始數據'!$I$2:$I$1000,$I250,'1_原始數據'!$C$2:$C$1000,"pasco_pct_acid")=0,"",SUMIFS('1_原始數據'!$E$2:$E$1000,'1_原始數據'!$A$2:$A$1000,$A250,'1_原始數據'!$B$2:$B$1000,$B250,'1_原始數據'!$D$2:$D$1000,$D250,'1_原始數據'!$I$2:$I$1000,$I250,'1_原始數據'!$C$2:$C$1000,"pasco_pct_acid"))))</f>
        <v/>
      </c>
      <c r="P250" s="26">
        <f>IF($A250="","",IF(OR(N250="",O250=""),"",O250-N250))</f>
        <v/>
      </c>
      <c r="Q250" s="24">
        <f>IF($A250="","",IF(P250="","",(O250+N250)/2))</f>
        <v/>
      </c>
      <c r="R250" s="27">
        <f>IF($A250="","",IF(P250="","",COUNT($P$2:P250)))</f>
        <v/>
      </c>
    </row>
    <row r="251">
      <c r="J251" s="24">
        <f>IF($A251="","",IF($C251&lt;&gt;"khp_titration_mL","",IF(COUNTIFS('1_原始數據'!$A$2:$A$1000,$A251,'1_原始數據'!$B$2:$B$1000,$B251,'1_原始數據'!$D$2:$D$1000,$D251,'1_原始數據'!$C$2:$C$1000,"khp_mass_g")=0,"",SUMIFS('1_原始數據'!$E$2:$E$1000,'1_原始數據'!$A$2:$A$1000,$A251,'1_原始數據'!$B$2:$B$1000,$B251,'1_原始數據'!$D$2:$D$1000,$D251,'1_原始數據'!$C$2:$C$1000,"khp_mass_g")/('2_NaOH標定'!$C$5*$E251/1000))))</f>
        <v/>
      </c>
      <c r="K251" s="24">
        <f>IF($A251="","",IF($C251&lt;&gt;"manual_titration_mL","",IF(COUNTIFS('1_原始數據'!$A$2:$A$1000,$A251,'1_原始數據'!$C$2:$C$1000,"khp_titration_mL")=0,"",AVERAGEIFS('1_原始數據'!$J$2:$J$1000,'1_原始數據'!$A$2:$A$1000,$A251,'1_原始數據'!$C$2:$C$1000,"khp_titration_mL"))))</f>
        <v/>
      </c>
      <c r="L251" s="25">
        <f>IF($A251="","",IF($C251&lt;&gt;"manual_titration_mL","",IFERROR(INDEX('3_可滴定酸度'!$E$6:$E$13,MATCH($I251,'3_可滴定酸度'!$B$6:$B$13,0)),"")))</f>
        <v/>
      </c>
      <c r="M251" s="25">
        <f>IF($A251="","",IF($C251&lt;&gt;"manual_titration_mL","",IFERROR(INDEX('3_可滴定酸度'!$F$6:$F$13,MATCH($I251,'3_可滴定酸度'!$B$6:$B$13,0)),"")))</f>
        <v/>
      </c>
      <c r="N251" s="24">
        <f>IF($A251="","",IF(OR(K251="",L251="",M251=""),"",K251*E251*L251/(M251*1000)*100))</f>
        <v/>
      </c>
      <c r="O251" s="24">
        <f>IF($A251="","",IF(N251="","",IF(COUNTIFS('1_原始數據'!$A$2:$A$1000,$A251,'1_原始數據'!$B$2:$B$1000,$B251,'1_原始數據'!$D$2:$D$1000,$D251,'1_原始數據'!$I$2:$I$1000,$I251,'1_原始數據'!$C$2:$C$1000,"pasco_pct_acid")=0,"",SUMIFS('1_原始數據'!$E$2:$E$1000,'1_原始數據'!$A$2:$A$1000,$A251,'1_原始數據'!$B$2:$B$1000,$B251,'1_原始數據'!$D$2:$D$1000,$D251,'1_原始數據'!$I$2:$I$1000,$I251,'1_原始數據'!$C$2:$C$1000,"pasco_pct_acid"))))</f>
        <v/>
      </c>
      <c r="P251" s="26">
        <f>IF($A251="","",IF(OR(N251="",O251=""),"",O251-N251))</f>
        <v/>
      </c>
      <c r="Q251" s="24">
        <f>IF($A251="","",IF(P251="","",(O251+N251)/2))</f>
        <v/>
      </c>
      <c r="R251" s="27">
        <f>IF($A251="","",IF(P251="","",COUNT($P$2:P251)))</f>
        <v/>
      </c>
    </row>
    <row r="252">
      <c r="J252" s="24">
        <f>IF($A252="","",IF($C252&lt;&gt;"khp_titration_mL","",IF(COUNTIFS('1_原始數據'!$A$2:$A$1000,$A252,'1_原始數據'!$B$2:$B$1000,$B252,'1_原始數據'!$D$2:$D$1000,$D252,'1_原始數據'!$C$2:$C$1000,"khp_mass_g")=0,"",SUMIFS('1_原始數據'!$E$2:$E$1000,'1_原始數據'!$A$2:$A$1000,$A252,'1_原始數據'!$B$2:$B$1000,$B252,'1_原始數據'!$D$2:$D$1000,$D252,'1_原始數據'!$C$2:$C$1000,"khp_mass_g")/('2_NaOH標定'!$C$5*$E252/1000))))</f>
        <v/>
      </c>
      <c r="K252" s="24">
        <f>IF($A252="","",IF($C252&lt;&gt;"manual_titration_mL","",IF(COUNTIFS('1_原始數據'!$A$2:$A$1000,$A252,'1_原始數據'!$C$2:$C$1000,"khp_titration_mL")=0,"",AVERAGEIFS('1_原始數據'!$J$2:$J$1000,'1_原始數據'!$A$2:$A$1000,$A252,'1_原始數據'!$C$2:$C$1000,"khp_titration_mL"))))</f>
        <v/>
      </c>
      <c r="L252" s="25">
        <f>IF($A252="","",IF($C252&lt;&gt;"manual_titration_mL","",IFERROR(INDEX('3_可滴定酸度'!$E$6:$E$13,MATCH($I252,'3_可滴定酸度'!$B$6:$B$13,0)),"")))</f>
        <v/>
      </c>
      <c r="M252" s="25">
        <f>IF($A252="","",IF($C252&lt;&gt;"manual_titration_mL","",IFERROR(INDEX('3_可滴定酸度'!$F$6:$F$13,MATCH($I252,'3_可滴定酸度'!$B$6:$B$13,0)),"")))</f>
        <v/>
      </c>
      <c r="N252" s="24">
        <f>IF($A252="","",IF(OR(K252="",L252="",M252=""),"",K252*E252*L252/(M252*1000)*100))</f>
        <v/>
      </c>
      <c r="O252" s="24">
        <f>IF($A252="","",IF(N252="","",IF(COUNTIFS('1_原始數據'!$A$2:$A$1000,$A252,'1_原始數據'!$B$2:$B$1000,$B252,'1_原始數據'!$D$2:$D$1000,$D252,'1_原始數據'!$I$2:$I$1000,$I252,'1_原始數據'!$C$2:$C$1000,"pasco_pct_acid")=0,"",SUMIFS('1_原始數據'!$E$2:$E$1000,'1_原始數據'!$A$2:$A$1000,$A252,'1_原始數據'!$B$2:$B$1000,$B252,'1_原始數據'!$D$2:$D$1000,$D252,'1_原始數據'!$I$2:$I$1000,$I252,'1_原始數據'!$C$2:$C$1000,"pasco_pct_acid"))))</f>
        <v/>
      </c>
      <c r="P252" s="26">
        <f>IF($A252="","",IF(OR(N252="",O252=""),"",O252-N252))</f>
        <v/>
      </c>
      <c r="Q252" s="24">
        <f>IF($A252="","",IF(P252="","",(O252+N252)/2))</f>
        <v/>
      </c>
      <c r="R252" s="27">
        <f>IF($A252="","",IF(P252="","",COUNT($P$2:P252)))</f>
        <v/>
      </c>
    </row>
    <row r="253">
      <c r="J253" s="24">
        <f>IF($A253="","",IF($C253&lt;&gt;"khp_titration_mL","",IF(COUNTIFS('1_原始數據'!$A$2:$A$1000,$A253,'1_原始數據'!$B$2:$B$1000,$B253,'1_原始數據'!$D$2:$D$1000,$D253,'1_原始數據'!$C$2:$C$1000,"khp_mass_g")=0,"",SUMIFS('1_原始數據'!$E$2:$E$1000,'1_原始數據'!$A$2:$A$1000,$A253,'1_原始數據'!$B$2:$B$1000,$B253,'1_原始數據'!$D$2:$D$1000,$D253,'1_原始數據'!$C$2:$C$1000,"khp_mass_g")/('2_NaOH標定'!$C$5*$E253/1000))))</f>
        <v/>
      </c>
      <c r="K253" s="24">
        <f>IF($A253="","",IF($C253&lt;&gt;"manual_titration_mL","",IF(COUNTIFS('1_原始數據'!$A$2:$A$1000,$A253,'1_原始數據'!$C$2:$C$1000,"khp_titration_mL")=0,"",AVERAGEIFS('1_原始數據'!$J$2:$J$1000,'1_原始數據'!$A$2:$A$1000,$A253,'1_原始數據'!$C$2:$C$1000,"khp_titration_mL"))))</f>
        <v/>
      </c>
      <c r="L253" s="25">
        <f>IF($A253="","",IF($C253&lt;&gt;"manual_titration_mL","",IFERROR(INDEX('3_可滴定酸度'!$E$6:$E$13,MATCH($I253,'3_可滴定酸度'!$B$6:$B$13,0)),"")))</f>
        <v/>
      </c>
      <c r="M253" s="25">
        <f>IF($A253="","",IF($C253&lt;&gt;"manual_titration_mL","",IFERROR(INDEX('3_可滴定酸度'!$F$6:$F$13,MATCH($I253,'3_可滴定酸度'!$B$6:$B$13,0)),"")))</f>
        <v/>
      </c>
      <c r="N253" s="24">
        <f>IF($A253="","",IF(OR(K253="",L253="",M253=""),"",K253*E253*L253/(M253*1000)*100))</f>
        <v/>
      </c>
      <c r="O253" s="24">
        <f>IF($A253="","",IF(N253="","",IF(COUNTIFS('1_原始數據'!$A$2:$A$1000,$A253,'1_原始數據'!$B$2:$B$1000,$B253,'1_原始數據'!$D$2:$D$1000,$D253,'1_原始數據'!$I$2:$I$1000,$I253,'1_原始數據'!$C$2:$C$1000,"pasco_pct_acid")=0,"",SUMIFS('1_原始數據'!$E$2:$E$1000,'1_原始數據'!$A$2:$A$1000,$A253,'1_原始數據'!$B$2:$B$1000,$B253,'1_原始數據'!$D$2:$D$1000,$D253,'1_原始數據'!$I$2:$I$1000,$I253,'1_原始數據'!$C$2:$C$1000,"pasco_pct_acid"))))</f>
        <v/>
      </c>
      <c r="P253" s="26">
        <f>IF($A253="","",IF(OR(N253="",O253=""),"",O253-N253))</f>
        <v/>
      </c>
      <c r="Q253" s="24">
        <f>IF($A253="","",IF(P253="","",(O253+N253)/2))</f>
        <v/>
      </c>
      <c r="R253" s="27">
        <f>IF($A253="","",IF(P253="","",COUNT($P$2:P253)))</f>
        <v/>
      </c>
    </row>
    <row r="254">
      <c r="J254" s="24">
        <f>IF($A254="","",IF($C254&lt;&gt;"khp_titration_mL","",IF(COUNTIFS('1_原始數據'!$A$2:$A$1000,$A254,'1_原始數據'!$B$2:$B$1000,$B254,'1_原始數據'!$D$2:$D$1000,$D254,'1_原始數據'!$C$2:$C$1000,"khp_mass_g")=0,"",SUMIFS('1_原始數據'!$E$2:$E$1000,'1_原始數據'!$A$2:$A$1000,$A254,'1_原始數據'!$B$2:$B$1000,$B254,'1_原始數據'!$D$2:$D$1000,$D254,'1_原始數據'!$C$2:$C$1000,"khp_mass_g")/('2_NaOH標定'!$C$5*$E254/1000))))</f>
        <v/>
      </c>
      <c r="K254" s="24">
        <f>IF($A254="","",IF($C254&lt;&gt;"manual_titration_mL","",IF(COUNTIFS('1_原始數據'!$A$2:$A$1000,$A254,'1_原始數據'!$C$2:$C$1000,"khp_titration_mL")=0,"",AVERAGEIFS('1_原始數據'!$J$2:$J$1000,'1_原始數據'!$A$2:$A$1000,$A254,'1_原始數據'!$C$2:$C$1000,"khp_titration_mL"))))</f>
        <v/>
      </c>
      <c r="L254" s="25">
        <f>IF($A254="","",IF($C254&lt;&gt;"manual_titration_mL","",IFERROR(INDEX('3_可滴定酸度'!$E$6:$E$13,MATCH($I254,'3_可滴定酸度'!$B$6:$B$13,0)),"")))</f>
        <v/>
      </c>
      <c r="M254" s="25">
        <f>IF($A254="","",IF($C254&lt;&gt;"manual_titration_mL","",IFERROR(INDEX('3_可滴定酸度'!$F$6:$F$13,MATCH($I254,'3_可滴定酸度'!$B$6:$B$13,0)),"")))</f>
        <v/>
      </c>
      <c r="N254" s="24">
        <f>IF($A254="","",IF(OR(K254="",L254="",M254=""),"",K254*E254*L254/(M254*1000)*100))</f>
        <v/>
      </c>
      <c r="O254" s="24">
        <f>IF($A254="","",IF(N254="","",IF(COUNTIFS('1_原始數據'!$A$2:$A$1000,$A254,'1_原始數據'!$B$2:$B$1000,$B254,'1_原始數據'!$D$2:$D$1000,$D254,'1_原始數據'!$I$2:$I$1000,$I254,'1_原始數據'!$C$2:$C$1000,"pasco_pct_acid")=0,"",SUMIFS('1_原始數據'!$E$2:$E$1000,'1_原始數據'!$A$2:$A$1000,$A254,'1_原始數據'!$B$2:$B$1000,$B254,'1_原始數據'!$D$2:$D$1000,$D254,'1_原始數據'!$I$2:$I$1000,$I254,'1_原始數據'!$C$2:$C$1000,"pasco_pct_acid"))))</f>
        <v/>
      </c>
      <c r="P254" s="26">
        <f>IF($A254="","",IF(OR(N254="",O254=""),"",O254-N254))</f>
        <v/>
      </c>
      <c r="Q254" s="24">
        <f>IF($A254="","",IF(P254="","",(O254+N254)/2))</f>
        <v/>
      </c>
      <c r="R254" s="27">
        <f>IF($A254="","",IF(P254="","",COUNT($P$2:P254)))</f>
        <v/>
      </c>
    </row>
    <row r="255">
      <c r="J255" s="24">
        <f>IF($A255="","",IF($C255&lt;&gt;"khp_titration_mL","",IF(COUNTIFS('1_原始數據'!$A$2:$A$1000,$A255,'1_原始數據'!$B$2:$B$1000,$B255,'1_原始數據'!$D$2:$D$1000,$D255,'1_原始數據'!$C$2:$C$1000,"khp_mass_g")=0,"",SUMIFS('1_原始數據'!$E$2:$E$1000,'1_原始數據'!$A$2:$A$1000,$A255,'1_原始數據'!$B$2:$B$1000,$B255,'1_原始數據'!$D$2:$D$1000,$D255,'1_原始數據'!$C$2:$C$1000,"khp_mass_g")/('2_NaOH標定'!$C$5*$E255/1000))))</f>
        <v/>
      </c>
      <c r="K255" s="24">
        <f>IF($A255="","",IF($C255&lt;&gt;"manual_titration_mL","",IF(COUNTIFS('1_原始數據'!$A$2:$A$1000,$A255,'1_原始數據'!$C$2:$C$1000,"khp_titration_mL")=0,"",AVERAGEIFS('1_原始數據'!$J$2:$J$1000,'1_原始數據'!$A$2:$A$1000,$A255,'1_原始數據'!$C$2:$C$1000,"khp_titration_mL"))))</f>
        <v/>
      </c>
      <c r="L255" s="25">
        <f>IF($A255="","",IF($C255&lt;&gt;"manual_titration_mL","",IFERROR(INDEX('3_可滴定酸度'!$E$6:$E$13,MATCH($I255,'3_可滴定酸度'!$B$6:$B$13,0)),"")))</f>
        <v/>
      </c>
      <c r="M255" s="25">
        <f>IF($A255="","",IF($C255&lt;&gt;"manual_titration_mL","",IFERROR(INDEX('3_可滴定酸度'!$F$6:$F$13,MATCH($I255,'3_可滴定酸度'!$B$6:$B$13,0)),"")))</f>
        <v/>
      </c>
      <c r="N255" s="24">
        <f>IF($A255="","",IF(OR(K255="",L255="",M255=""),"",K255*E255*L255/(M255*1000)*100))</f>
        <v/>
      </c>
      <c r="O255" s="24">
        <f>IF($A255="","",IF(N255="","",IF(COUNTIFS('1_原始數據'!$A$2:$A$1000,$A255,'1_原始數據'!$B$2:$B$1000,$B255,'1_原始數據'!$D$2:$D$1000,$D255,'1_原始數據'!$I$2:$I$1000,$I255,'1_原始數據'!$C$2:$C$1000,"pasco_pct_acid")=0,"",SUMIFS('1_原始數據'!$E$2:$E$1000,'1_原始數據'!$A$2:$A$1000,$A255,'1_原始數據'!$B$2:$B$1000,$B255,'1_原始數據'!$D$2:$D$1000,$D255,'1_原始數據'!$I$2:$I$1000,$I255,'1_原始數據'!$C$2:$C$1000,"pasco_pct_acid"))))</f>
        <v/>
      </c>
      <c r="P255" s="26">
        <f>IF($A255="","",IF(OR(N255="",O255=""),"",O255-N255))</f>
        <v/>
      </c>
      <c r="Q255" s="24">
        <f>IF($A255="","",IF(P255="","",(O255+N255)/2))</f>
        <v/>
      </c>
      <c r="R255" s="27">
        <f>IF($A255="","",IF(P255="","",COUNT($P$2:P255)))</f>
        <v/>
      </c>
    </row>
    <row r="256">
      <c r="J256" s="24">
        <f>IF($A256="","",IF($C256&lt;&gt;"khp_titration_mL","",IF(COUNTIFS('1_原始數據'!$A$2:$A$1000,$A256,'1_原始數據'!$B$2:$B$1000,$B256,'1_原始數據'!$D$2:$D$1000,$D256,'1_原始數據'!$C$2:$C$1000,"khp_mass_g")=0,"",SUMIFS('1_原始數據'!$E$2:$E$1000,'1_原始數據'!$A$2:$A$1000,$A256,'1_原始數據'!$B$2:$B$1000,$B256,'1_原始數據'!$D$2:$D$1000,$D256,'1_原始數據'!$C$2:$C$1000,"khp_mass_g")/('2_NaOH標定'!$C$5*$E256/1000))))</f>
        <v/>
      </c>
      <c r="K256" s="24">
        <f>IF($A256="","",IF($C256&lt;&gt;"manual_titration_mL","",IF(COUNTIFS('1_原始數據'!$A$2:$A$1000,$A256,'1_原始數據'!$C$2:$C$1000,"khp_titration_mL")=0,"",AVERAGEIFS('1_原始數據'!$J$2:$J$1000,'1_原始數據'!$A$2:$A$1000,$A256,'1_原始數據'!$C$2:$C$1000,"khp_titration_mL"))))</f>
        <v/>
      </c>
      <c r="L256" s="25">
        <f>IF($A256="","",IF($C256&lt;&gt;"manual_titration_mL","",IFERROR(INDEX('3_可滴定酸度'!$E$6:$E$13,MATCH($I256,'3_可滴定酸度'!$B$6:$B$13,0)),"")))</f>
        <v/>
      </c>
      <c r="M256" s="25">
        <f>IF($A256="","",IF($C256&lt;&gt;"manual_titration_mL","",IFERROR(INDEX('3_可滴定酸度'!$F$6:$F$13,MATCH($I256,'3_可滴定酸度'!$B$6:$B$13,0)),"")))</f>
        <v/>
      </c>
      <c r="N256" s="24">
        <f>IF($A256="","",IF(OR(K256="",L256="",M256=""),"",K256*E256*L256/(M256*1000)*100))</f>
        <v/>
      </c>
      <c r="O256" s="24">
        <f>IF($A256="","",IF(N256="","",IF(COUNTIFS('1_原始數據'!$A$2:$A$1000,$A256,'1_原始數據'!$B$2:$B$1000,$B256,'1_原始數據'!$D$2:$D$1000,$D256,'1_原始數據'!$I$2:$I$1000,$I256,'1_原始數據'!$C$2:$C$1000,"pasco_pct_acid")=0,"",SUMIFS('1_原始數據'!$E$2:$E$1000,'1_原始數據'!$A$2:$A$1000,$A256,'1_原始數據'!$B$2:$B$1000,$B256,'1_原始數據'!$D$2:$D$1000,$D256,'1_原始數據'!$I$2:$I$1000,$I256,'1_原始數據'!$C$2:$C$1000,"pasco_pct_acid"))))</f>
        <v/>
      </c>
      <c r="P256" s="26">
        <f>IF($A256="","",IF(OR(N256="",O256=""),"",O256-N256))</f>
        <v/>
      </c>
      <c r="Q256" s="24">
        <f>IF($A256="","",IF(P256="","",(O256+N256)/2))</f>
        <v/>
      </c>
      <c r="R256" s="27">
        <f>IF($A256="","",IF(P256="","",COUNT($P$2:P256)))</f>
        <v/>
      </c>
    </row>
    <row r="257">
      <c r="J257" s="24">
        <f>IF($A257="","",IF($C257&lt;&gt;"khp_titration_mL","",IF(COUNTIFS('1_原始數據'!$A$2:$A$1000,$A257,'1_原始數據'!$B$2:$B$1000,$B257,'1_原始數據'!$D$2:$D$1000,$D257,'1_原始數據'!$C$2:$C$1000,"khp_mass_g")=0,"",SUMIFS('1_原始數據'!$E$2:$E$1000,'1_原始數據'!$A$2:$A$1000,$A257,'1_原始數據'!$B$2:$B$1000,$B257,'1_原始數據'!$D$2:$D$1000,$D257,'1_原始數據'!$C$2:$C$1000,"khp_mass_g")/('2_NaOH標定'!$C$5*$E257/1000))))</f>
        <v/>
      </c>
      <c r="K257" s="24">
        <f>IF($A257="","",IF($C257&lt;&gt;"manual_titration_mL","",IF(COUNTIFS('1_原始數據'!$A$2:$A$1000,$A257,'1_原始數據'!$C$2:$C$1000,"khp_titration_mL")=0,"",AVERAGEIFS('1_原始數據'!$J$2:$J$1000,'1_原始數據'!$A$2:$A$1000,$A257,'1_原始數據'!$C$2:$C$1000,"khp_titration_mL"))))</f>
        <v/>
      </c>
      <c r="L257" s="25">
        <f>IF($A257="","",IF($C257&lt;&gt;"manual_titration_mL","",IFERROR(INDEX('3_可滴定酸度'!$E$6:$E$13,MATCH($I257,'3_可滴定酸度'!$B$6:$B$13,0)),"")))</f>
        <v/>
      </c>
      <c r="M257" s="25">
        <f>IF($A257="","",IF($C257&lt;&gt;"manual_titration_mL","",IFERROR(INDEX('3_可滴定酸度'!$F$6:$F$13,MATCH($I257,'3_可滴定酸度'!$B$6:$B$13,0)),"")))</f>
        <v/>
      </c>
      <c r="N257" s="24">
        <f>IF($A257="","",IF(OR(K257="",L257="",M257=""),"",K257*E257*L257/(M257*1000)*100))</f>
        <v/>
      </c>
      <c r="O257" s="24">
        <f>IF($A257="","",IF(N257="","",IF(COUNTIFS('1_原始數據'!$A$2:$A$1000,$A257,'1_原始數據'!$B$2:$B$1000,$B257,'1_原始數據'!$D$2:$D$1000,$D257,'1_原始數據'!$I$2:$I$1000,$I257,'1_原始數據'!$C$2:$C$1000,"pasco_pct_acid")=0,"",SUMIFS('1_原始數據'!$E$2:$E$1000,'1_原始數據'!$A$2:$A$1000,$A257,'1_原始數據'!$B$2:$B$1000,$B257,'1_原始數據'!$D$2:$D$1000,$D257,'1_原始數據'!$I$2:$I$1000,$I257,'1_原始數據'!$C$2:$C$1000,"pasco_pct_acid"))))</f>
        <v/>
      </c>
      <c r="P257" s="26">
        <f>IF($A257="","",IF(OR(N257="",O257=""),"",O257-N257))</f>
        <v/>
      </c>
      <c r="Q257" s="24">
        <f>IF($A257="","",IF(P257="","",(O257+N257)/2))</f>
        <v/>
      </c>
      <c r="R257" s="27">
        <f>IF($A257="","",IF(P257="","",COUNT($P$2:P257)))</f>
        <v/>
      </c>
    </row>
    <row r="258">
      <c r="J258" s="24">
        <f>IF($A258="","",IF($C258&lt;&gt;"khp_titration_mL","",IF(COUNTIFS('1_原始數據'!$A$2:$A$1000,$A258,'1_原始數據'!$B$2:$B$1000,$B258,'1_原始數據'!$D$2:$D$1000,$D258,'1_原始數據'!$C$2:$C$1000,"khp_mass_g")=0,"",SUMIFS('1_原始數據'!$E$2:$E$1000,'1_原始數據'!$A$2:$A$1000,$A258,'1_原始數據'!$B$2:$B$1000,$B258,'1_原始數據'!$D$2:$D$1000,$D258,'1_原始數據'!$C$2:$C$1000,"khp_mass_g")/('2_NaOH標定'!$C$5*$E258/1000))))</f>
        <v/>
      </c>
      <c r="K258" s="24">
        <f>IF($A258="","",IF($C258&lt;&gt;"manual_titration_mL","",IF(COUNTIFS('1_原始數據'!$A$2:$A$1000,$A258,'1_原始數據'!$C$2:$C$1000,"khp_titration_mL")=0,"",AVERAGEIFS('1_原始數據'!$J$2:$J$1000,'1_原始數據'!$A$2:$A$1000,$A258,'1_原始數據'!$C$2:$C$1000,"khp_titration_mL"))))</f>
        <v/>
      </c>
      <c r="L258" s="25">
        <f>IF($A258="","",IF($C258&lt;&gt;"manual_titration_mL","",IFERROR(INDEX('3_可滴定酸度'!$E$6:$E$13,MATCH($I258,'3_可滴定酸度'!$B$6:$B$13,0)),"")))</f>
        <v/>
      </c>
      <c r="M258" s="25">
        <f>IF($A258="","",IF($C258&lt;&gt;"manual_titration_mL","",IFERROR(INDEX('3_可滴定酸度'!$F$6:$F$13,MATCH($I258,'3_可滴定酸度'!$B$6:$B$13,0)),"")))</f>
        <v/>
      </c>
      <c r="N258" s="24">
        <f>IF($A258="","",IF(OR(K258="",L258="",M258=""),"",K258*E258*L258/(M258*1000)*100))</f>
        <v/>
      </c>
      <c r="O258" s="24">
        <f>IF($A258="","",IF(N258="","",IF(COUNTIFS('1_原始數據'!$A$2:$A$1000,$A258,'1_原始數據'!$B$2:$B$1000,$B258,'1_原始數據'!$D$2:$D$1000,$D258,'1_原始數據'!$I$2:$I$1000,$I258,'1_原始數據'!$C$2:$C$1000,"pasco_pct_acid")=0,"",SUMIFS('1_原始數據'!$E$2:$E$1000,'1_原始數據'!$A$2:$A$1000,$A258,'1_原始數據'!$B$2:$B$1000,$B258,'1_原始數據'!$D$2:$D$1000,$D258,'1_原始數據'!$I$2:$I$1000,$I258,'1_原始數據'!$C$2:$C$1000,"pasco_pct_acid"))))</f>
        <v/>
      </c>
      <c r="P258" s="26">
        <f>IF($A258="","",IF(OR(N258="",O258=""),"",O258-N258))</f>
        <v/>
      </c>
      <c r="Q258" s="24">
        <f>IF($A258="","",IF(P258="","",(O258+N258)/2))</f>
        <v/>
      </c>
      <c r="R258" s="27">
        <f>IF($A258="","",IF(P258="","",COUNT($P$2:P258)))</f>
        <v/>
      </c>
    </row>
    <row r="259">
      <c r="J259" s="24">
        <f>IF($A259="","",IF($C259&lt;&gt;"khp_titration_mL","",IF(COUNTIFS('1_原始數據'!$A$2:$A$1000,$A259,'1_原始數據'!$B$2:$B$1000,$B259,'1_原始數據'!$D$2:$D$1000,$D259,'1_原始數據'!$C$2:$C$1000,"khp_mass_g")=0,"",SUMIFS('1_原始數據'!$E$2:$E$1000,'1_原始數據'!$A$2:$A$1000,$A259,'1_原始數據'!$B$2:$B$1000,$B259,'1_原始數據'!$D$2:$D$1000,$D259,'1_原始數據'!$C$2:$C$1000,"khp_mass_g")/('2_NaOH標定'!$C$5*$E259/1000))))</f>
        <v/>
      </c>
      <c r="K259" s="24">
        <f>IF($A259="","",IF($C259&lt;&gt;"manual_titration_mL","",IF(COUNTIFS('1_原始數據'!$A$2:$A$1000,$A259,'1_原始數據'!$C$2:$C$1000,"khp_titration_mL")=0,"",AVERAGEIFS('1_原始數據'!$J$2:$J$1000,'1_原始數據'!$A$2:$A$1000,$A259,'1_原始數據'!$C$2:$C$1000,"khp_titration_mL"))))</f>
        <v/>
      </c>
      <c r="L259" s="25">
        <f>IF($A259="","",IF($C259&lt;&gt;"manual_titration_mL","",IFERROR(INDEX('3_可滴定酸度'!$E$6:$E$13,MATCH($I259,'3_可滴定酸度'!$B$6:$B$13,0)),"")))</f>
        <v/>
      </c>
      <c r="M259" s="25">
        <f>IF($A259="","",IF($C259&lt;&gt;"manual_titration_mL","",IFERROR(INDEX('3_可滴定酸度'!$F$6:$F$13,MATCH($I259,'3_可滴定酸度'!$B$6:$B$13,0)),"")))</f>
        <v/>
      </c>
      <c r="N259" s="24">
        <f>IF($A259="","",IF(OR(K259="",L259="",M259=""),"",K259*E259*L259/(M259*1000)*100))</f>
        <v/>
      </c>
      <c r="O259" s="24">
        <f>IF($A259="","",IF(N259="","",IF(COUNTIFS('1_原始數據'!$A$2:$A$1000,$A259,'1_原始數據'!$B$2:$B$1000,$B259,'1_原始數據'!$D$2:$D$1000,$D259,'1_原始數據'!$I$2:$I$1000,$I259,'1_原始數據'!$C$2:$C$1000,"pasco_pct_acid")=0,"",SUMIFS('1_原始數據'!$E$2:$E$1000,'1_原始數據'!$A$2:$A$1000,$A259,'1_原始數據'!$B$2:$B$1000,$B259,'1_原始數據'!$D$2:$D$1000,$D259,'1_原始數據'!$I$2:$I$1000,$I259,'1_原始數據'!$C$2:$C$1000,"pasco_pct_acid"))))</f>
        <v/>
      </c>
      <c r="P259" s="26">
        <f>IF($A259="","",IF(OR(N259="",O259=""),"",O259-N259))</f>
        <v/>
      </c>
      <c r="Q259" s="24">
        <f>IF($A259="","",IF(P259="","",(O259+N259)/2))</f>
        <v/>
      </c>
      <c r="R259" s="27">
        <f>IF($A259="","",IF(P259="","",COUNT($P$2:P259)))</f>
        <v/>
      </c>
    </row>
    <row r="260">
      <c r="J260" s="24">
        <f>IF($A260="","",IF($C260&lt;&gt;"khp_titration_mL","",IF(COUNTIFS('1_原始數據'!$A$2:$A$1000,$A260,'1_原始數據'!$B$2:$B$1000,$B260,'1_原始數據'!$D$2:$D$1000,$D260,'1_原始數據'!$C$2:$C$1000,"khp_mass_g")=0,"",SUMIFS('1_原始數據'!$E$2:$E$1000,'1_原始數據'!$A$2:$A$1000,$A260,'1_原始數據'!$B$2:$B$1000,$B260,'1_原始數據'!$D$2:$D$1000,$D260,'1_原始數據'!$C$2:$C$1000,"khp_mass_g")/('2_NaOH標定'!$C$5*$E260/1000))))</f>
        <v/>
      </c>
      <c r="K260" s="24">
        <f>IF($A260="","",IF($C260&lt;&gt;"manual_titration_mL","",IF(COUNTIFS('1_原始數據'!$A$2:$A$1000,$A260,'1_原始數據'!$C$2:$C$1000,"khp_titration_mL")=0,"",AVERAGEIFS('1_原始數據'!$J$2:$J$1000,'1_原始數據'!$A$2:$A$1000,$A260,'1_原始數據'!$C$2:$C$1000,"khp_titration_mL"))))</f>
        <v/>
      </c>
      <c r="L260" s="25">
        <f>IF($A260="","",IF($C260&lt;&gt;"manual_titration_mL","",IFERROR(INDEX('3_可滴定酸度'!$E$6:$E$13,MATCH($I260,'3_可滴定酸度'!$B$6:$B$13,0)),"")))</f>
        <v/>
      </c>
      <c r="M260" s="25">
        <f>IF($A260="","",IF($C260&lt;&gt;"manual_titration_mL","",IFERROR(INDEX('3_可滴定酸度'!$F$6:$F$13,MATCH($I260,'3_可滴定酸度'!$B$6:$B$13,0)),"")))</f>
        <v/>
      </c>
      <c r="N260" s="24">
        <f>IF($A260="","",IF(OR(K260="",L260="",M260=""),"",K260*E260*L260/(M260*1000)*100))</f>
        <v/>
      </c>
      <c r="O260" s="24">
        <f>IF($A260="","",IF(N260="","",IF(COUNTIFS('1_原始數據'!$A$2:$A$1000,$A260,'1_原始數據'!$B$2:$B$1000,$B260,'1_原始數據'!$D$2:$D$1000,$D260,'1_原始數據'!$I$2:$I$1000,$I260,'1_原始數據'!$C$2:$C$1000,"pasco_pct_acid")=0,"",SUMIFS('1_原始數據'!$E$2:$E$1000,'1_原始數據'!$A$2:$A$1000,$A260,'1_原始數據'!$B$2:$B$1000,$B260,'1_原始數據'!$D$2:$D$1000,$D260,'1_原始數據'!$I$2:$I$1000,$I260,'1_原始數據'!$C$2:$C$1000,"pasco_pct_acid"))))</f>
        <v/>
      </c>
      <c r="P260" s="26">
        <f>IF($A260="","",IF(OR(N260="",O260=""),"",O260-N260))</f>
        <v/>
      </c>
      <c r="Q260" s="24">
        <f>IF($A260="","",IF(P260="","",(O260+N260)/2))</f>
        <v/>
      </c>
      <c r="R260" s="27">
        <f>IF($A260="","",IF(P260="","",COUNT($P$2:P260)))</f>
        <v/>
      </c>
    </row>
    <row r="261">
      <c r="J261" s="24">
        <f>IF($A261="","",IF($C261&lt;&gt;"khp_titration_mL","",IF(COUNTIFS('1_原始數據'!$A$2:$A$1000,$A261,'1_原始數據'!$B$2:$B$1000,$B261,'1_原始數據'!$D$2:$D$1000,$D261,'1_原始數據'!$C$2:$C$1000,"khp_mass_g")=0,"",SUMIFS('1_原始數據'!$E$2:$E$1000,'1_原始數據'!$A$2:$A$1000,$A261,'1_原始數據'!$B$2:$B$1000,$B261,'1_原始數據'!$D$2:$D$1000,$D261,'1_原始數據'!$C$2:$C$1000,"khp_mass_g")/('2_NaOH標定'!$C$5*$E261/1000))))</f>
        <v/>
      </c>
      <c r="K261" s="24">
        <f>IF($A261="","",IF($C261&lt;&gt;"manual_titration_mL","",IF(COUNTIFS('1_原始數據'!$A$2:$A$1000,$A261,'1_原始數據'!$C$2:$C$1000,"khp_titration_mL")=0,"",AVERAGEIFS('1_原始數據'!$J$2:$J$1000,'1_原始數據'!$A$2:$A$1000,$A261,'1_原始數據'!$C$2:$C$1000,"khp_titration_mL"))))</f>
        <v/>
      </c>
      <c r="L261" s="25">
        <f>IF($A261="","",IF($C261&lt;&gt;"manual_titration_mL","",IFERROR(INDEX('3_可滴定酸度'!$E$6:$E$13,MATCH($I261,'3_可滴定酸度'!$B$6:$B$13,0)),"")))</f>
        <v/>
      </c>
      <c r="M261" s="25">
        <f>IF($A261="","",IF($C261&lt;&gt;"manual_titration_mL","",IFERROR(INDEX('3_可滴定酸度'!$F$6:$F$13,MATCH($I261,'3_可滴定酸度'!$B$6:$B$13,0)),"")))</f>
        <v/>
      </c>
      <c r="N261" s="24">
        <f>IF($A261="","",IF(OR(K261="",L261="",M261=""),"",K261*E261*L261/(M261*1000)*100))</f>
        <v/>
      </c>
      <c r="O261" s="24">
        <f>IF($A261="","",IF(N261="","",IF(COUNTIFS('1_原始數據'!$A$2:$A$1000,$A261,'1_原始數據'!$B$2:$B$1000,$B261,'1_原始數據'!$D$2:$D$1000,$D261,'1_原始數據'!$I$2:$I$1000,$I261,'1_原始數據'!$C$2:$C$1000,"pasco_pct_acid")=0,"",SUMIFS('1_原始數據'!$E$2:$E$1000,'1_原始數據'!$A$2:$A$1000,$A261,'1_原始數據'!$B$2:$B$1000,$B261,'1_原始數據'!$D$2:$D$1000,$D261,'1_原始數據'!$I$2:$I$1000,$I261,'1_原始數據'!$C$2:$C$1000,"pasco_pct_acid"))))</f>
        <v/>
      </c>
      <c r="P261" s="26">
        <f>IF($A261="","",IF(OR(N261="",O261=""),"",O261-N261))</f>
        <v/>
      </c>
      <c r="Q261" s="24">
        <f>IF($A261="","",IF(P261="","",(O261+N261)/2))</f>
        <v/>
      </c>
      <c r="R261" s="27">
        <f>IF($A261="","",IF(P261="","",COUNT($P$2:P261)))</f>
        <v/>
      </c>
    </row>
    <row r="262">
      <c r="J262" s="24">
        <f>IF($A262="","",IF($C262&lt;&gt;"khp_titration_mL","",IF(COUNTIFS('1_原始數據'!$A$2:$A$1000,$A262,'1_原始數據'!$B$2:$B$1000,$B262,'1_原始數據'!$D$2:$D$1000,$D262,'1_原始數據'!$C$2:$C$1000,"khp_mass_g")=0,"",SUMIFS('1_原始數據'!$E$2:$E$1000,'1_原始數據'!$A$2:$A$1000,$A262,'1_原始數據'!$B$2:$B$1000,$B262,'1_原始數據'!$D$2:$D$1000,$D262,'1_原始數據'!$C$2:$C$1000,"khp_mass_g")/('2_NaOH標定'!$C$5*$E262/1000))))</f>
        <v/>
      </c>
      <c r="K262" s="24">
        <f>IF($A262="","",IF($C262&lt;&gt;"manual_titration_mL","",IF(COUNTIFS('1_原始數據'!$A$2:$A$1000,$A262,'1_原始數據'!$C$2:$C$1000,"khp_titration_mL")=0,"",AVERAGEIFS('1_原始數據'!$J$2:$J$1000,'1_原始數據'!$A$2:$A$1000,$A262,'1_原始數據'!$C$2:$C$1000,"khp_titration_mL"))))</f>
        <v/>
      </c>
      <c r="L262" s="25">
        <f>IF($A262="","",IF($C262&lt;&gt;"manual_titration_mL","",IFERROR(INDEX('3_可滴定酸度'!$E$6:$E$13,MATCH($I262,'3_可滴定酸度'!$B$6:$B$13,0)),"")))</f>
        <v/>
      </c>
      <c r="M262" s="25">
        <f>IF($A262="","",IF($C262&lt;&gt;"manual_titration_mL","",IFERROR(INDEX('3_可滴定酸度'!$F$6:$F$13,MATCH($I262,'3_可滴定酸度'!$B$6:$B$13,0)),"")))</f>
        <v/>
      </c>
      <c r="N262" s="24">
        <f>IF($A262="","",IF(OR(K262="",L262="",M262=""),"",K262*E262*L262/(M262*1000)*100))</f>
        <v/>
      </c>
      <c r="O262" s="24">
        <f>IF($A262="","",IF(N262="","",IF(COUNTIFS('1_原始數據'!$A$2:$A$1000,$A262,'1_原始數據'!$B$2:$B$1000,$B262,'1_原始數據'!$D$2:$D$1000,$D262,'1_原始數據'!$I$2:$I$1000,$I262,'1_原始數據'!$C$2:$C$1000,"pasco_pct_acid")=0,"",SUMIFS('1_原始數據'!$E$2:$E$1000,'1_原始數據'!$A$2:$A$1000,$A262,'1_原始數據'!$B$2:$B$1000,$B262,'1_原始數據'!$D$2:$D$1000,$D262,'1_原始數據'!$I$2:$I$1000,$I262,'1_原始數據'!$C$2:$C$1000,"pasco_pct_acid"))))</f>
        <v/>
      </c>
      <c r="P262" s="26">
        <f>IF($A262="","",IF(OR(N262="",O262=""),"",O262-N262))</f>
        <v/>
      </c>
      <c r="Q262" s="24">
        <f>IF($A262="","",IF(P262="","",(O262+N262)/2))</f>
        <v/>
      </c>
      <c r="R262" s="27">
        <f>IF($A262="","",IF(P262="","",COUNT($P$2:P262)))</f>
        <v/>
      </c>
    </row>
    <row r="263">
      <c r="J263" s="24">
        <f>IF($A263="","",IF($C263&lt;&gt;"khp_titration_mL","",IF(COUNTIFS('1_原始數據'!$A$2:$A$1000,$A263,'1_原始數據'!$B$2:$B$1000,$B263,'1_原始數據'!$D$2:$D$1000,$D263,'1_原始數據'!$C$2:$C$1000,"khp_mass_g")=0,"",SUMIFS('1_原始數據'!$E$2:$E$1000,'1_原始數據'!$A$2:$A$1000,$A263,'1_原始數據'!$B$2:$B$1000,$B263,'1_原始數據'!$D$2:$D$1000,$D263,'1_原始數據'!$C$2:$C$1000,"khp_mass_g")/('2_NaOH標定'!$C$5*$E263/1000))))</f>
        <v/>
      </c>
      <c r="K263" s="24">
        <f>IF($A263="","",IF($C263&lt;&gt;"manual_titration_mL","",IF(COUNTIFS('1_原始數據'!$A$2:$A$1000,$A263,'1_原始數據'!$C$2:$C$1000,"khp_titration_mL")=0,"",AVERAGEIFS('1_原始數據'!$J$2:$J$1000,'1_原始數據'!$A$2:$A$1000,$A263,'1_原始數據'!$C$2:$C$1000,"khp_titration_mL"))))</f>
        <v/>
      </c>
      <c r="L263" s="25">
        <f>IF($A263="","",IF($C263&lt;&gt;"manual_titration_mL","",IFERROR(INDEX('3_可滴定酸度'!$E$6:$E$13,MATCH($I263,'3_可滴定酸度'!$B$6:$B$13,0)),"")))</f>
        <v/>
      </c>
      <c r="M263" s="25">
        <f>IF($A263="","",IF($C263&lt;&gt;"manual_titration_mL","",IFERROR(INDEX('3_可滴定酸度'!$F$6:$F$13,MATCH($I263,'3_可滴定酸度'!$B$6:$B$13,0)),"")))</f>
        <v/>
      </c>
      <c r="N263" s="24">
        <f>IF($A263="","",IF(OR(K263="",L263="",M263=""),"",K263*E263*L263/(M263*1000)*100))</f>
        <v/>
      </c>
      <c r="O263" s="24">
        <f>IF($A263="","",IF(N263="","",IF(COUNTIFS('1_原始數據'!$A$2:$A$1000,$A263,'1_原始數據'!$B$2:$B$1000,$B263,'1_原始數據'!$D$2:$D$1000,$D263,'1_原始數據'!$I$2:$I$1000,$I263,'1_原始數據'!$C$2:$C$1000,"pasco_pct_acid")=0,"",SUMIFS('1_原始數據'!$E$2:$E$1000,'1_原始數據'!$A$2:$A$1000,$A263,'1_原始數據'!$B$2:$B$1000,$B263,'1_原始數據'!$D$2:$D$1000,$D263,'1_原始數據'!$I$2:$I$1000,$I263,'1_原始數據'!$C$2:$C$1000,"pasco_pct_acid"))))</f>
        <v/>
      </c>
      <c r="P263" s="26">
        <f>IF($A263="","",IF(OR(N263="",O263=""),"",O263-N263))</f>
        <v/>
      </c>
      <c r="Q263" s="24">
        <f>IF($A263="","",IF(P263="","",(O263+N263)/2))</f>
        <v/>
      </c>
      <c r="R263" s="27">
        <f>IF($A263="","",IF(P263="","",COUNT($P$2:P263)))</f>
        <v/>
      </c>
    </row>
    <row r="264">
      <c r="J264" s="24">
        <f>IF($A264="","",IF($C264&lt;&gt;"khp_titration_mL","",IF(COUNTIFS('1_原始數據'!$A$2:$A$1000,$A264,'1_原始數據'!$B$2:$B$1000,$B264,'1_原始數據'!$D$2:$D$1000,$D264,'1_原始數據'!$C$2:$C$1000,"khp_mass_g")=0,"",SUMIFS('1_原始數據'!$E$2:$E$1000,'1_原始數據'!$A$2:$A$1000,$A264,'1_原始數據'!$B$2:$B$1000,$B264,'1_原始數據'!$D$2:$D$1000,$D264,'1_原始數據'!$C$2:$C$1000,"khp_mass_g")/('2_NaOH標定'!$C$5*$E264/1000))))</f>
        <v/>
      </c>
      <c r="K264" s="24">
        <f>IF($A264="","",IF($C264&lt;&gt;"manual_titration_mL","",IF(COUNTIFS('1_原始數據'!$A$2:$A$1000,$A264,'1_原始數據'!$C$2:$C$1000,"khp_titration_mL")=0,"",AVERAGEIFS('1_原始數據'!$J$2:$J$1000,'1_原始數據'!$A$2:$A$1000,$A264,'1_原始數據'!$C$2:$C$1000,"khp_titration_mL"))))</f>
        <v/>
      </c>
      <c r="L264" s="25">
        <f>IF($A264="","",IF($C264&lt;&gt;"manual_titration_mL","",IFERROR(INDEX('3_可滴定酸度'!$E$6:$E$13,MATCH($I264,'3_可滴定酸度'!$B$6:$B$13,0)),"")))</f>
        <v/>
      </c>
      <c r="M264" s="25">
        <f>IF($A264="","",IF($C264&lt;&gt;"manual_titration_mL","",IFERROR(INDEX('3_可滴定酸度'!$F$6:$F$13,MATCH($I264,'3_可滴定酸度'!$B$6:$B$13,0)),"")))</f>
        <v/>
      </c>
      <c r="N264" s="24">
        <f>IF($A264="","",IF(OR(K264="",L264="",M264=""),"",K264*E264*L264/(M264*1000)*100))</f>
        <v/>
      </c>
      <c r="O264" s="24">
        <f>IF($A264="","",IF(N264="","",IF(COUNTIFS('1_原始數據'!$A$2:$A$1000,$A264,'1_原始數據'!$B$2:$B$1000,$B264,'1_原始數據'!$D$2:$D$1000,$D264,'1_原始數據'!$I$2:$I$1000,$I264,'1_原始數據'!$C$2:$C$1000,"pasco_pct_acid")=0,"",SUMIFS('1_原始數據'!$E$2:$E$1000,'1_原始數據'!$A$2:$A$1000,$A264,'1_原始數據'!$B$2:$B$1000,$B264,'1_原始數據'!$D$2:$D$1000,$D264,'1_原始數據'!$I$2:$I$1000,$I264,'1_原始數據'!$C$2:$C$1000,"pasco_pct_acid"))))</f>
        <v/>
      </c>
      <c r="P264" s="26">
        <f>IF($A264="","",IF(OR(N264="",O264=""),"",O264-N264))</f>
        <v/>
      </c>
      <c r="Q264" s="24">
        <f>IF($A264="","",IF(P264="","",(O264+N264)/2))</f>
        <v/>
      </c>
      <c r="R264" s="27">
        <f>IF($A264="","",IF(P264="","",COUNT($P$2:P264)))</f>
        <v/>
      </c>
    </row>
    <row r="265">
      <c r="J265" s="24">
        <f>IF($A265="","",IF($C265&lt;&gt;"khp_titration_mL","",IF(COUNTIFS('1_原始數據'!$A$2:$A$1000,$A265,'1_原始數據'!$B$2:$B$1000,$B265,'1_原始數據'!$D$2:$D$1000,$D265,'1_原始數據'!$C$2:$C$1000,"khp_mass_g")=0,"",SUMIFS('1_原始數據'!$E$2:$E$1000,'1_原始數據'!$A$2:$A$1000,$A265,'1_原始數據'!$B$2:$B$1000,$B265,'1_原始數據'!$D$2:$D$1000,$D265,'1_原始數據'!$C$2:$C$1000,"khp_mass_g")/('2_NaOH標定'!$C$5*$E265/1000))))</f>
        <v/>
      </c>
      <c r="K265" s="24">
        <f>IF($A265="","",IF($C265&lt;&gt;"manual_titration_mL","",IF(COUNTIFS('1_原始數據'!$A$2:$A$1000,$A265,'1_原始數據'!$C$2:$C$1000,"khp_titration_mL")=0,"",AVERAGEIFS('1_原始數據'!$J$2:$J$1000,'1_原始數據'!$A$2:$A$1000,$A265,'1_原始數據'!$C$2:$C$1000,"khp_titration_mL"))))</f>
        <v/>
      </c>
      <c r="L265" s="25">
        <f>IF($A265="","",IF($C265&lt;&gt;"manual_titration_mL","",IFERROR(INDEX('3_可滴定酸度'!$E$6:$E$13,MATCH($I265,'3_可滴定酸度'!$B$6:$B$13,0)),"")))</f>
        <v/>
      </c>
      <c r="M265" s="25">
        <f>IF($A265="","",IF($C265&lt;&gt;"manual_titration_mL","",IFERROR(INDEX('3_可滴定酸度'!$F$6:$F$13,MATCH($I265,'3_可滴定酸度'!$B$6:$B$13,0)),"")))</f>
        <v/>
      </c>
      <c r="N265" s="24">
        <f>IF($A265="","",IF(OR(K265="",L265="",M265=""),"",K265*E265*L265/(M265*1000)*100))</f>
        <v/>
      </c>
      <c r="O265" s="24">
        <f>IF($A265="","",IF(N265="","",IF(COUNTIFS('1_原始數據'!$A$2:$A$1000,$A265,'1_原始數據'!$B$2:$B$1000,$B265,'1_原始數據'!$D$2:$D$1000,$D265,'1_原始數據'!$I$2:$I$1000,$I265,'1_原始數據'!$C$2:$C$1000,"pasco_pct_acid")=0,"",SUMIFS('1_原始數據'!$E$2:$E$1000,'1_原始數據'!$A$2:$A$1000,$A265,'1_原始數據'!$B$2:$B$1000,$B265,'1_原始數據'!$D$2:$D$1000,$D265,'1_原始數據'!$I$2:$I$1000,$I265,'1_原始數據'!$C$2:$C$1000,"pasco_pct_acid"))))</f>
        <v/>
      </c>
      <c r="P265" s="26">
        <f>IF($A265="","",IF(OR(N265="",O265=""),"",O265-N265))</f>
        <v/>
      </c>
      <c r="Q265" s="24">
        <f>IF($A265="","",IF(P265="","",(O265+N265)/2))</f>
        <v/>
      </c>
      <c r="R265" s="27">
        <f>IF($A265="","",IF(P265="","",COUNT($P$2:P265)))</f>
        <v/>
      </c>
    </row>
    <row r="266">
      <c r="J266" s="24">
        <f>IF($A266="","",IF($C266&lt;&gt;"khp_titration_mL","",IF(COUNTIFS('1_原始數據'!$A$2:$A$1000,$A266,'1_原始數據'!$B$2:$B$1000,$B266,'1_原始數據'!$D$2:$D$1000,$D266,'1_原始數據'!$C$2:$C$1000,"khp_mass_g")=0,"",SUMIFS('1_原始數據'!$E$2:$E$1000,'1_原始數據'!$A$2:$A$1000,$A266,'1_原始數據'!$B$2:$B$1000,$B266,'1_原始數據'!$D$2:$D$1000,$D266,'1_原始數據'!$C$2:$C$1000,"khp_mass_g")/('2_NaOH標定'!$C$5*$E266/1000))))</f>
        <v/>
      </c>
      <c r="K266" s="24">
        <f>IF($A266="","",IF($C266&lt;&gt;"manual_titration_mL","",IF(COUNTIFS('1_原始數據'!$A$2:$A$1000,$A266,'1_原始數據'!$C$2:$C$1000,"khp_titration_mL")=0,"",AVERAGEIFS('1_原始數據'!$J$2:$J$1000,'1_原始數據'!$A$2:$A$1000,$A266,'1_原始數據'!$C$2:$C$1000,"khp_titration_mL"))))</f>
        <v/>
      </c>
      <c r="L266" s="25">
        <f>IF($A266="","",IF($C266&lt;&gt;"manual_titration_mL","",IFERROR(INDEX('3_可滴定酸度'!$E$6:$E$13,MATCH($I266,'3_可滴定酸度'!$B$6:$B$13,0)),"")))</f>
        <v/>
      </c>
      <c r="M266" s="25">
        <f>IF($A266="","",IF($C266&lt;&gt;"manual_titration_mL","",IFERROR(INDEX('3_可滴定酸度'!$F$6:$F$13,MATCH($I266,'3_可滴定酸度'!$B$6:$B$13,0)),"")))</f>
        <v/>
      </c>
      <c r="N266" s="24">
        <f>IF($A266="","",IF(OR(K266="",L266="",M266=""),"",K266*E266*L266/(M266*1000)*100))</f>
        <v/>
      </c>
      <c r="O266" s="24">
        <f>IF($A266="","",IF(N266="","",IF(COUNTIFS('1_原始數據'!$A$2:$A$1000,$A266,'1_原始數據'!$B$2:$B$1000,$B266,'1_原始數據'!$D$2:$D$1000,$D266,'1_原始數據'!$I$2:$I$1000,$I266,'1_原始數據'!$C$2:$C$1000,"pasco_pct_acid")=0,"",SUMIFS('1_原始數據'!$E$2:$E$1000,'1_原始數據'!$A$2:$A$1000,$A266,'1_原始數據'!$B$2:$B$1000,$B266,'1_原始數據'!$D$2:$D$1000,$D266,'1_原始數據'!$I$2:$I$1000,$I266,'1_原始數據'!$C$2:$C$1000,"pasco_pct_acid"))))</f>
        <v/>
      </c>
      <c r="P266" s="26">
        <f>IF($A266="","",IF(OR(N266="",O266=""),"",O266-N266))</f>
        <v/>
      </c>
      <c r="Q266" s="24">
        <f>IF($A266="","",IF(P266="","",(O266+N266)/2))</f>
        <v/>
      </c>
      <c r="R266" s="27">
        <f>IF($A266="","",IF(P266="","",COUNT($P$2:P266)))</f>
        <v/>
      </c>
    </row>
    <row r="267">
      <c r="J267" s="24">
        <f>IF($A267="","",IF($C267&lt;&gt;"khp_titration_mL","",IF(COUNTIFS('1_原始數據'!$A$2:$A$1000,$A267,'1_原始數據'!$B$2:$B$1000,$B267,'1_原始數據'!$D$2:$D$1000,$D267,'1_原始數據'!$C$2:$C$1000,"khp_mass_g")=0,"",SUMIFS('1_原始數據'!$E$2:$E$1000,'1_原始數據'!$A$2:$A$1000,$A267,'1_原始數據'!$B$2:$B$1000,$B267,'1_原始數據'!$D$2:$D$1000,$D267,'1_原始數據'!$C$2:$C$1000,"khp_mass_g")/('2_NaOH標定'!$C$5*$E267/1000))))</f>
        <v/>
      </c>
      <c r="K267" s="24">
        <f>IF($A267="","",IF($C267&lt;&gt;"manual_titration_mL","",IF(COUNTIFS('1_原始數據'!$A$2:$A$1000,$A267,'1_原始數據'!$C$2:$C$1000,"khp_titration_mL")=0,"",AVERAGEIFS('1_原始數據'!$J$2:$J$1000,'1_原始數據'!$A$2:$A$1000,$A267,'1_原始數據'!$C$2:$C$1000,"khp_titration_mL"))))</f>
        <v/>
      </c>
      <c r="L267" s="25">
        <f>IF($A267="","",IF($C267&lt;&gt;"manual_titration_mL","",IFERROR(INDEX('3_可滴定酸度'!$E$6:$E$13,MATCH($I267,'3_可滴定酸度'!$B$6:$B$13,0)),"")))</f>
        <v/>
      </c>
      <c r="M267" s="25">
        <f>IF($A267="","",IF($C267&lt;&gt;"manual_titration_mL","",IFERROR(INDEX('3_可滴定酸度'!$F$6:$F$13,MATCH($I267,'3_可滴定酸度'!$B$6:$B$13,0)),"")))</f>
        <v/>
      </c>
      <c r="N267" s="24">
        <f>IF($A267="","",IF(OR(K267="",L267="",M267=""),"",K267*E267*L267/(M267*1000)*100))</f>
        <v/>
      </c>
      <c r="O267" s="24">
        <f>IF($A267="","",IF(N267="","",IF(COUNTIFS('1_原始數據'!$A$2:$A$1000,$A267,'1_原始數據'!$B$2:$B$1000,$B267,'1_原始數據'!$D$2:$D$1000,$D267,'1_原始數據'!$I$2:$I$1000,$I267,'1_原始數據'!$C$2:$C$1000,"pasco_pct_acid")=0,"",SUMIFS('1_原始數據'!$E$2:$E$1000,'1_原始數據'!$A$2:$A$1000,$A267,'1_原始數據'!$B$2:$B$1000,$B267,'1_原始數據'!$D$2:$D$1000,$D267,'1_原始數據'!$I$2:$I$1000,$I267,'1_原始數據'!$C$2:$C$1000,"pasco_pct_acid"))))</f>
        <v/>
      </c>
      <c r="P267" s="26">
        <f>IF($A267="","",IF(OR(N267="",O267=""),"",O267-N267))</f>
        <v/>
      </c>
      <c r="Q267" s="24">
        <f>IF($A267="","",IF(P267="","",(O267+N267)/2))</f>
        <v/>
      </c>
      <c r="R267" s="27">
        <f>IF($A267="","",IF(P267="","",COUNT($P$2:P267)))</f>
        <v/>
      </c>
    </row>
    <row r="268">
      <c r="J268" s="24">
        <f>IF($A268="","",IF($C268&lt;&gt;"khp_titration_mL","",IF(COUNTIFS('1_原始數據'!$A$2:$A$1000,$A268,'1_原始數據'!$B$2:$B$1000,$B268,'1_原始數據'!$D$2:$D$1000,$D268,'1_原始數據'!$C$2:$C$1000,"khp_mass_g")=0,"",SUMIFS('1_原始數據'!$E$2:$E$1000,'1_原始數據'!$A$2:$A$1000,$A268,'1_原始數據'!$B$2:$B$1000,$B268,'1_原始數據'!$D$2:$D$1000,$D268,'1_原始數據'!$C$2:$C$1000,"khp_mass_g")/('2_NaOH標定'!$C$5*$E268/1000))))</f>
        <v/>
      </c>
      <c r="K268" s="24">
        <f>IF($A268="","",IF($C268&lt;&gt;"manual_titration_mL","",IF(COUNTIFS('1_原始數據'!$A$2:$A$1000,$A268,'1_原始數據'!$C$2:$C$1000,"khp_titration_mL")=0,"",AVERAGEIFS('1_原始數據'!$J$2:$J$1000,'1_原始數據'!$A$2:$A$1000,$A268,'1_原始數據'!$C$2:$C$1000,"khp_titration_mL"))))</f>
        <v/>
      </c>
      <c r="L268" s="25">
        <f>IF($A268="","",IF($C268&lt;&gt;"manual_titration_mL","",IFERROR(INDEX('3_可滴定酸度'!$E$6:$E$13,MATCH($I268,'3_可滴定酸度'!$B$6:$B$13,0)),"")))</f>
        <v/>
      </c>
      <c r="M268" s="25">
        <f>IF($A268="","",IF($C268&lt;&gt;"manual_titration_mL","",IFERROR(INDEX('3_可滴定酸度'!$F$6:$F$13,MATCH($I268,'3_可滴定酸度'!$B$6:$B$13,0)),"")))</f>
        <v/>
      </c>
      <c r="N268" s="24">
        <f>IF($A268="","",IF(OR(K268="",L268="",M268=""),"",K268*E268*L268/(M268*1000)*100))</f>
        <v/>
      </c>
      <c r="O268" s="24">
        <f>IF($A268="","",IF(N268="","",IF(COUNTIFS('1_原始數據'!$A$2:$A$1000,$A268,'1_原始數據'!$B$2:$B$1000,$B268,'1_原始數據'!$D$2:$D$1000,$D268,'1_原始數據'!$I$2:$I$1000,$I268,'1_原始數據'!$C$2:$C$1000,"pasco_pct_acid")=0,"",SUMIFS('1_原始數據'!$E$2:$E$1000,'1_原始數據'!$A$2:$A$1000,$A268,'1_原始數據'!$B$2:$B$1000,$B268,'1_原始數據'!$D$2:$D$1000,$D268,'1_原始數據'!$I$2:$I$1000,$I268,'1_原始數據'!$C$2:$C$1000,"pasco_pct_acid"))))</f>
        <v/>
      </c>
      <c r="P268" s="26">
        <f>IF($A268="","",IF(OR(N268="",O268=""),"",O268-N268))</f>
        <v/>
      </c>
      <c r="Q268" s="24">
        <f>IF($A268="","",IF(P268="","",(O268+N268)/2))</f>
        <v/>
      </c>
      <c r="R268" s="27">
        <f>IF($A268="","",IF(P268="","",COUNT($P$2:P268)))</f>
        <v/>
      </c>
    </row>
    <row r="269">
      <c r="J269" s="24">
        <f>IF($A269="","",IF($C269&lt;&gt;"khp_titration_mL","",IF(COUNTIFS('1_原始數據'!$A$2:$A$1000,$A269,'1_原始數據'!$B$2:$B$1000,$B269,'1_原始數據'!$D$2:$D$1000,$D269,'1_原始數據'!$C$2:$C$1000,"khp_mass_g")=0,"",SUMIFS('1_原始數據'!$E$2:$E$1000,'1_原始數據'!$A$2:$A$1000,$A269,'1_原始數據'!$B$2:$B$1000,$B269,'1_原始數據'!$D$2:$D$1000,$D269,'1_原始數據'!$C$2:$C$1000,"khp_mass_g")/('2_NaOH標定'!$C$5*$E269/1000))))</f>
        <v/>
      </c>
      <c r="K269" s="24">
        <f>IF($A269="","",IF($C269&lt;&gt;"manual_titration_mL","",IF(COUNTIFS('1_原始數據'!$A$2:$A$1000,$A269,'1_原始數據'!$C$2:$C$1000,"khp_titration_mL")=0,"",AVERAGEIFS('1_原始數據'!$J$2:$J$1000,'1_原始數據'!$A$2:$A$1000,$A269,'1_原始數據'!$C$2:$C$1000,"khp_titration_mL"))))</f>
        <v/>
      </c>
      <c r="L269" s="25">
        <f>IF($A269="","",IF($C269&lt;&gt;"manual_titration_mL","",IFERROR(INDEX('3_可滴定酸度'!$E$6:$E$13,MATCH($I269,'3_可滴定酸度'!$B$6:$B$13,0)),"")))</f>
        <v/>
      </c>
      <c r="M269" s="25">
        <f>IF($A269="","",IF($C269&lt;&gt;"manual_titration_mL","",IFERROR(INDEX('3_可滴定酸度'!$F$6:$F$13,MATCH($I269,'3_可滴定酸度'!$B$6:$B$13,0)),"")))</f>
        <v/>
      </c>
      <c r="N269" s="24">
        <f>IF($A269="","",IF(OR(K269="",L269="",M269=""),"",K269*E269*L269/(M269*1000)*100))</f>
        <v/>
      </c>
      <c r="O269" s="24">
        <f>IF($A269="","",IF(N269="","",IF(COUNTIFS('1_原始數據'!$A$2:$A$1000,$A269,'1_原始數據'!$B$2:$B$1000,$B269,'1_原始數據'!$D$2:$D$1000,$D269,'1_原始數據'!$I$2:$I$1000,$I269,'1_原始數據'!$C$2:$C$1000,"pasco_pct_acid")=0,"",SUMIFS('1_原始數據'!$E$2:$E$1000,'1_原始數據'!$A$2:$A$1000,$A269,'1_原始數據'!$B$2:$B$1000,$B269,'1_原始數據'!$D$2:$D$1000,$D269,'1_原始數據'!$I$2:$I$1000,$I269,'1_原始數據'!$C$2:$C$1000,"pasco_pct_acid"))))</f>
        <v/>
      </c>
      <c r="P269" s="26">
        <f>IF($A269="","",IF(OR(N269="",O269=""),"",O269-N269))</f>
        <v/>
      </c>
      <c r="Q269" s="24">
        <f>IF($A269="","",IF(P269="","",(O269+N269)/2))</f>
        <v/>
      </c>
      <c r="R269" s="27">
        <f>IF($A269="","",IF(P269="","",COUNT($P$2:P269)))</f>
        <v/>
      </c>
    </row>
    <row r="270">
      <c r="J270" s="24">
        <f>IF($A270="","",IF($C270&lt;&gt;"khp_titration_mL","",IF(COUNTIFS('1_原始數據'!$A$2:$A$1000,$A270,'1_原始數據'!$B$2:$B$1000,$B270,'1_原始數據'!$D$2:$D$1000,$D270,'1_原始數據'!$C$2:$C$1000,"khp_mass_g")=0,"",SUMIFS('1_原始數據'!$E$2:$E$1000,'1_原始數據'!$A$2:$A$1000,$A270,'1_原始數據'!$B$2:$B$1000,$B270,'1_原始數據'!$D$2:$D$1000,$D270,'1_原始數據'!$C$2:$C$1000,"khp_mass_g")/('2_NaOH標定'!$C$5*$E270/1000))))</f>
        <v/>
      </c>
      <c r="K270" s="24">
        <f>IF($A270="","",IF($C270&lt;&gt;"manual_titration_mL","",IF(COUNTIFS('1_原始數據'!$A$2:$A$1000,$A270,'1_原始數據'!$C$2:$C$1000,"khp_titration_mL")=0,"",AVERAGEIFS('1_原始數據'!$J$2:$J$1000,'1_原始數據'!$A$2:$A$1000,$A270,'1_原始數據'!$C$2:$C$1000,"khp_titration_mL"))))</f>
        <v/>
      </c>
      <c r="L270" s="25">
        <f>IF($A270="","",IF($C270&lt;&gt;"manual_titration_mL","",IFERROR(INDEX('3_可滴定酸度'!$E$6:$E$13,MATCH($I270,'3_可滴定酸度'!$B$6:$B$13,0)),"")))</f>
        <v/>
      </c>
      <c r="M270" s="25">
        <f>IF($A270="","",IF($C270&lt;&gt;"manual_titration_mL","",IFERROR(INDEX('3_可滴定酸度'!$F$6:$F$13,MATCH($I270,'3_可滴定酸度'!$B$6:$B$13,0)),"")))</f>
        <v/>
      </c>
      <c r="N270" s="24">
        <f>IF($A270="","",IF(OR(K270="",L270="",M270=""),"",K270*E270*L270/(M270*1000)*100))</f>
        <v/>
      </c>
      <c r="O270" s="24">
        <f>IF($A270="","",IF(N270="","",IF(COUNTIFS('1_原始數據'!$A$2:$A$1000,$A270,'1_原始數據'!$B$2:$B$1000,$B270,'1_原始數據'!$D$2:$D$1000,$D270,'1_原始數據'!$I$2:$I$1000,$I270,'1_原始數據'!$C$2:$C$1000,"pasco_pct_acid")=0,"",SUMIFS('1_原始數據'!$E$2:$E$1000,'1_原始數據'!$A$2:$A$1000,$A270,'1_原始數據'!$B$2:$B$1000,$B270,'1_原始數據'!$D$2:$D$1000,$D270,'1_原始數據'!$I$2:$I$1000,$I270,'1_原始數據'!$C$2:$C$1000,"pasco_pct_acid"))))</f>
        <v/>
      </c>
      <c r="P270" s="26">
        <f>IF($A270="","",IF(OR(N270="",O270=""),"",O270-N270))</f>
        <v/>
      </c>
      <c r="Q270" s="24">
        <f>IF($A270="","",IF(P270="","",(O270+N270)/2))</f>
        <v/>
      </c>
      <c r="R270" s="27">
        <f>IF($A270="","",IF(P270="","",COUNT($P$2:P270)))</f>
        <v/>
      </c>
    </row>
    <row r="271">
      <c r="J271" s="24">
        <f>IF($A271="","",IF($C271&lt;&gt;"khp_titration_mL","",IF(COUNTIFS('1_原始數據'!$A$2:$A$1000,$A271,'1_原始數據'!$B$2:$B$1000,$B271,'1_原始數據'!$D$2:$D$1000,$D271,'1_原始數據'!$C$2:$C$1000,"khp_mass_g")=0,"",SUMIFS('1_原始數據'!$E$2:$E$1000,'1_原始數據'!$A$2:$A$1000,$A271,'1_原始數據'!$B$2:$B$1000,$B271,'1_原始數據'!$D$2:$D$1000,$D271,'1_原始數據'!$C$2:$C$1000,"khp_mass_g")/('2_NaOH標定'!$C$5*$E271/1000))))</f>
        <v/>
      </c>
      <c r="K271" s="24">
        <f>IF($A271="","",IF($C271&lt;&gt;"manual_titration_mL","",IF(COUNTIFS('1_原始數據'!$A$2:$A$1000,$A271,'1_原始數據'!$C$2:$C$1000,"khp_titration_mL")=0,"",AVERAGEIFS('1_原始數據'!$J$2:$J$1000,'1_原始數據'!$A$2:$A$1000,$A271,'1_原始數據'!$C$2:$C$1000,"khp_titration_mL"))))</f>
        <v/>
      </c>
      <c r="L271" s="25">
        <f>IF($A271="","",IF($C271&lt;&gt;"manual_titration_mL","",IFERROR(INDEX('3_可滴定酸度'!$E$6:$E$13,MATCH($I271,'3_可滴定酸度'!$B$6:$B$13,0)),"")))</f>
        <v/>
      </c>
      <c r="M271" s="25">
        <f>IF($A271="","",IF($C271&lt;&gt;"manual_titration_mL","",IFERROR(INDEX('3_可滴定酸度'!$F$6:$F$13,MATCH($I271,'3_可滴定酸度'!$B$6:$B$13,0)),"")))</f>
        <v/>
      </c>
      <c r="N271" s="24">
        <f>IF($A271="","",IF(OR(K271="",L271="",M271=""),"",K271*E271*L271/(M271*1000)*100))</f>
        <v/>
      </c>
      <c r="O271" s="24">
        <f>IF($A271="","",IF(N271="","",IF(COUNTIFS('1_原始數據'!$A$2:$A$1000,$A271,'1_原始數據'!$B$2:$B$1000,$B271,'1_原始數據'!$D$2:$D$1000,$D271,'1_原始數據'!$I$2:$I$1000,$I271,'1_原始數據'!$C$2:$C$1000,"pasco_pct_acid")=0,"",SUMIFS('1_原始數據'!$E$2:$E$1000,'1_原始數據'!$A$2:$A$1000,$A271,'1_原始數據'!$B$2:$B$1000,$B271,'1_原始數據'!$D$2:$D$1000,$D271,'1_原始數據'!$I$2:$I$1000,$I271,'1_原始數據'!$C$2:$C$1000,"pasco_pct_acid"))))</f>
        <v/>
      </c>
      <c r="P271" s="26">
        <f>IF($A271="","",IF(OR(N271="",O271=""),"",O271-N271))</f>
        <v/>
      </c>
      <c r="Q271" s="24">
        <f>IF($A271="","",IF(P271="","",(O271+N271)/2))</f>
        <v/>
      </c>
      <c r="R271" s="27">
        <f>IF($A271="","",IF(P271="","",COUNT($P$2:P271)))</f>
        <v/>
      </c>
    </row>
    <row r="272">
      <c r="J272" s="24">
        <f>IF($A272="","",IF($C272&lt;&gt;"khp_titration_mL","",IF(COUNTIFS('1_原始數據'!$A$2:$A$1000,$A272,'1_原始數據'!$B$2:$B$1000,$B272,'1_原始數據'!$D$2:$D$1000,$D272,'1_原始數據'!$C$2:$C$1000,"khp_mass_g")=0,"",SUMIFS('1_原始數據'!$E$2:$E$1000,'1_原始數據'!$A$2:$A$1000,$A272,'1_原始數據'!$B$2:$B$1000,$B272,'1_原始數據'!$D$2:$D$1000,$D272,'1_原始數據'!$C$2:$C$1000,"khp_mass_g")/('2_NaOH標定'!$C$5*$E272/1000))))</f>
        <v/>
      </c>
      <c r="K272" s="24">
        <f>IF($A272="","",IF($C272&lt;&gt;"manual_titration_mL","",IF(COUNTIFS('1_原始數據'!$A$2:$A$1000,$A272,'1_原始數據'!$C$2:$C$1000,"khp_titration_mL")=0,"",AVERAGEIFS('1_原始數據'!$J$2:$J$1000,'1_原始數據'!$A$2:$A$1000,$A272,'1_原始數據'!$C$2:$C$1000,"khp_titration_mL"))))</f>
        <v/>
      </c>
      <c r="L272" s="25">
        <f>IF($A272="","",IF($C272&lt;&gt;"manual_titration_mL","",IFERROR(INDEX('3_可滴定酸度'!$E$6:$E$13,MATCH($I272,'3_可滴定酸度'!$B$6:$B$13,0)),"")))</f>
        <v/>
      </c>
      <c r="M272" s="25">
        <f>IF($A272="","",IF($C272&lt;&gt;"manual_titration_mL","",IFERROR(INDEX('3_可滴定酸度'!$F$6:$F$13,MATCH($I272,'3_可滴定酸度'!$B$6:$B$13,0)),"")))</f>
        <v/>
      </c>
      <c r="N272" s="24">
        <f>IF($A272="","",IF(OR(K272="",L272="",M272=""),"",K272*E272*L272/(M272*1000)*100))</f>
        <v/>
      </c>
      <c r="O272" s="24">
        <f>IF($A272="","",IF(N272="","",IF(COUNTIFS('1_原始數據'!$A$2:$A$1000,$A272,'1_原始數據'!$B$2:$B$1000,$B272,'1_原始數據'!$D$2:$D$1000,$D272,'1_原始數據'!$I$2:$I$1000,$I272,'1_原始數據'!$C$2:$C$1000,"pasco_pct_acid")=0,"",SUMIFS('1_原始數據'!$E$2:$E$1000,'1_原始數據'!$A$2:$A$1000,$A272,'1_原始數據'!$B$2:$B$1000,$B272,'1_原始數據'!$D$2:$D$1000,$D272,'1_原始數據'!$I$2:$I$1000,$I272,'1_原始數據'!$C$2:$C$1000,"pasco_pct_acid"))))</f>
        <v/>
      </c>
      <c r="P272" s="26">
        <f>IF($A272="","",IF(OR(N272="",O272=""),"",O272-N272))</f>
        <v/>
      </c>
      <c r="Q272" s="24">
        <f>IF($A272="","",IF(P272="","",(O272+N272)/2))</f>
        <v/>
      </c>
      <c r="R272" s="27">
        <f>IF($A272="","",IF(P272="","",COUNT($P$2:P272)))</f>
        <v/>
      </c>
    </row>
    <row r="273">
      <c r="J273" s="24">
        <f>IF($A273="","",IF($C273&lt;&gt;"khp_titration_mL","",IF(COUNTIFS('1_原始數據'!$A$2:$A$1000,$A273,'1_原始數據'!$B$2:$B$1000,$B273,'1_原始數據'!$D$2:$D$1000,$D273,'1_原始數據'!$C$2:$C$1000,"khp_mass_g")=0,"",SUMIFS('1_原始數據'!$E$2:$E$1000,'1_原始數據'!$A$2:$A$1000,$A273,'1_原始數據'!$B$2:$B$1000,$B273,'1_原始數據'!$D$2:$D$1000,$D273,'1_原始數據'!$C$2:$C$1000,"khp_mass_g")/('2_NaOH標定'!$C$5*$E273/1000))))</f>
        <v/>
      </c>
      <c r="K273" s="24">
        <f>IF($A273="","",IF($C273&lt;&gt;"manual_titration_mL","",IF(COUNTIFS('1_原始數據'!$A$2:$A$1000,$A273,'1_原始數據'!$C$2:$C$1000,"khp_titration_mL")=0,"",AVERAGEIFS('1_原始數據'!$J$2:$J$1000,'1_原始數據'!$A$2:$A$1000,$A273,'1_原始數據'!$C$2:$C$1000,"khp_titration_mL"))))</f>
        <v/>
      </c>
      <c r="L273" s="25">
        <f>IF($A273="","",IF($C273&lt;&gt;"manual_titration_mL","",IFERROR(INDEX('3_可滴定酸度'!$E$6:$E$13,MATCH($I273,'3_可滴定酸度'!$B$6:$B$13,0)),"")))</f>
        <v/>
      </c>
      <c r="M273" s="25">
        <f>IF($A273="","",IF($C273&lt;&gt;"manual_titration_mL","",IFERROR(INDEX('3_可滴定酸度'!$F$6:$F$13,MATCH($I273,'3_可滴定酸度'!$B$6:$B$13,0)),"")))</f>
        <v/>
      </c>
      <c r="N273" s="24">
        <f>IF($A273="","",IF(OR(K273="",L273="",M273=""),"",K273*E273*L273/(M273*1000)*100))</f>
        <v/>
      </c>
      <c r="O273" s="24">
        <f>IF($A273="","",IF(N273="","",IF(COUNTIFS('1_原始數據'!$A$2:$A$1000,$A273,'1_原始數據'!$B$2:$B$1000,$B273,'1_原始數據'!$D$2:$D$1000,$D273,'1_原始數據'!$I$2:$I$1000,$I273,'1_原始數據'!$C$2:$C$1000,"pasco_pct_acid")=0,"",SUMIFS('1_原始數據'!$E$2:$E$1000,'1_原始數據'!$A$2:$A$1000,$A273,'1_原始數據'!$B$2:$B$1000,$B273,'1_原始數據'!$D$2:$D$1000,$D273,'1_原始數據'!$I$2:$I$1000,$I273,'1_原始數據'!$C$2:$C$1000,"pasco_pct_acid"))))</f>
        <v/>
      </c>
      <c r="P273" s="26">
        <f>IF($A273="","",IF(OR(N273="",O273=""),"",O273-N273))</f>
        <v/>
      </c>
      <c r="Q273" s="24">
        <f>IF($A273="","",IF(P273="","",(O273+N273)/2))</f>
        <v/>
      </c>
      <c r="R273" s="27">
        <f>IF($A273="","",IF(P273="","",COUNT($P$2:P273)))</f>
        <v/>
      </c>
    </row>
    <row r="274">
      <c r="J274" s="24">
        <f>IF($A274="","",IF($C274&lt;&gt;"khp_titration_mL","",IF(COUNTIFS('1_原始數據'!$A$2:$A$1000,$A274,'1_原始數據'!$B$2:$B$1000,$B274,'1_原始數據'!$D$2:$D$1000,$D274,'1_原始數據'!$C$2:$C$1000,"khp_mass_g")=0,"",SUMIFS('1_原始數據'!$E$2:$E$1000,'1_原始數據'!$A$2:$A$1000,$A274,'1_原始數據'!$B$2:$B$1000,$B274,'1_原始數據'!$D$2:$D$1000,$D274,'1_原始數據'!$C$2:$C$1000,"khp_mass_g")/('2_NaOH標定'!$C$5*$E274/1000))))</f>
        <v/>
      </c>
      <c r="K274" s="24">
        <f>IF($A274="","",IF($C274&lt;&gt;"manual_titration_mL","",IF(COUNTIFS('1_原始數據'!$A$2:$A$1000,$A274,'1_原始數據'!$C$2:$C$1000,"khp_titration_mL")=0,"",AVERAGEIFS('1_原始數據'!$J$2:$J$1000,'1_原始數據'!$A$2:$A$1000,$A274,'1_原始數據'!$C$2:$C$1000,"khp_titration_mL"))))</f>
        <v/>
      </c>
      <c r="L274" s="25">
        <f>IF($A274="","",IF($C274&lt;&gt;"manual_titration_mL","",IFERROR(INDEX('3_可滴定酸度'!$E$6:$E$13,MATCH($I274,'3_可滴定酸度'!$B$6:$B$13,0)),"")))</f>
        <v/>
      </c>
      <c r="M274" s="25">
        <f>IF($A274="","",IF($C274&lt;&gt;"manual_titration_mL","",IFERROR(INDEX('3_可滴定酸度'!$F$6:$F$13,MATCH($I274,'3_可滴定酸度'!$B$6:$B$13,0)),"")))</f>
        <v/>
      </c>
      <c r="N274" s="24">
        <f>IF($A274="","",IF(OR(K274="",L274="",M274=""),"",K274*E274*L274/(M274*1000)*100))</f>
        <v/>
      </c>
      <c r="O274" s="24">
        <f>IF($A274="","",IF(N274="","",IF(COUNTIFS('1_原始數據'!$A$2:$A$1000,$A274,'1_原始數據'!$B$2:$B$1000,$B274,'1_原始數據'!$D$2:$D$1000,$D274,'1_原始數據'!$I$2:$I$1000,$I274,'1_原始數據'!$C$2:$C$1000,"pasco_pct_acid")=0,"",SUMIFS('1_原始數據'!$E$2:$E$1000,'1_原始數據'!$A$2:$A$1000,$A274,'1_原始數據'!$B$2:$B$1000,$B274,'1_原始數據'!$D$2:$D$1000,$D274,'1_原始數據'!$I$2:$I$1000,$I274,'1_原始數據'!$C$2:$C$1000,"pasco_pct_acid"))))</f>
        <v/>
      </c>
      <c r="P274" s="26">
        <f>IF($A274="","",IF(OR(N274="",O274=""),"",O274-N274))</f>
        <v/>
      </c>
      <c r="Q274" s="24">
        <f>IF($A274="","",IF(P274="","",(O274+N274)/2))</f>
        <v/>
      </c>
      <c r="R274" s="27">
        <f>IF($A274="","",IF(P274="","",COUNT($P$2:P274)))</f>
        <v/>
      </c>
    </row>
    <row r="275">
      <c r="J275" s="24">
        <f>IF($A275="","",IF($C275&lt;&gt;"khp_titration_mL","",IF(COUNTIFS('1_原始數據'!$A$2:$A$1000,$A275,'1_原始數據'!$B$2:$B$1000,$B275,'1_原始數據'!$D$2:$D$1000,$D275,'1_原始數據'!$C$2:$C$1000,"khp_mass_g")=0,"",SUMIFS('1_原始數據'!$E$2:$E$1000,'1_原始數據'!$A$2:$A$1000,$A275,'1_原始數據'!$B$2:$B$1000,$B275,'1_原始數據'!$D$2:$D$1000,$D275,'1_原始數據'!$C$2:$C$1000,"khp_mass_g")/('2_NaOH標定'!$C$5*$E275/1000))))</f>
        <v/>
      </c>
      <c r="K275" s="24">
        <f>IF($A275="","",IF($C275&lt;&gt;"manual_titration_mL","",IF(COUNTIFS('1_原始數據'!$A$2:$A$1000,$A275,'1_原始數據'!$C$2:$C$1000,"khp_titration_mL")=0,"",AVERAGEIFS('1_原始數據'!$J$2:$J$1000,'1_原始數據'!$A$2:$A$1000,$A275,'1_原始數據'!$C$2:$C$1000,"khp_titration_mL"))))</f>
        <v/>
      </c>
      <c r="L275" s="25">
        <f>IF($A275="","",IF($C275&lt;&gt;"manual_titration_mL","",IFERROR(INDEX('3_可滴定酸度'!$E$6:$E$13,MATCH($I275,'3_可滴定酸度'!$B$6:$B$13,0)),"")))</f>
        <v/>
      </c>
      <c r="M275" s="25">
        <f>IF($A275="","",IF($C275&lt;&gt;"manual_titration_mL","",IFERROR(INDEX('3_可滴定酸度'!$F$6:$F$13,MATCH($I275,'3_可滴定酸度'!$B$6:$B$13,0)),"")))</f>
        <v/>
      </c>
      <c r="N275" s="24">
        <f>IF($A275="","",IF(OR(K275="",L275="",M275=""),"",K275*E275*L275/(M275*1000)*100))</f>
        <v/>
      </c>
      <c r="O275" s="24">
        <f>IF($A275="","",IF(N275="","",IF(COUNTIFS('1_原始數據'!$A$2:$A$1000,$A275,'1_原始數據'!$B$2:$B$1000,$B275,'1_原始數據'!$D$2:$D$1000,$D275,'1_原始數據'!$I$2:$I$1000,$I275,'1_原始數據'!$C$2:$C$1000,"pasco_pct_acid")=0,"",SUMIFS('1_原始數據'!$E$2:$E$1000,'1_原始數據'!$A$2:$A$1000,$A275,'1_原始數據'!$B$2:$B$1000,$B275,'1_原始數據'!$D$2:$D$1000,$D275,'1_原始數據'!$I$2:$I$1000,$I275,'1_原始數據'!$C$2:$C$1000,"pasco_pct_acid"))))</f>
        <v/>
      </c>
      <c r="P275" s="26">
        <f>IF($A275="","",IF(OR(N275="",O275=""),"",O275-N275))</f>
        <v/>
      </c>
      <c r="Q275" s="24">
        <f>IF($A275="","",IF(P275="","",(O275+N275)/2))</f>
        <v/>
      </c>
      <c r="R275" s="27">
        <f>IF($A275="","",IF(P275="","",COUNT($P$2:P275)))</f>
        <v/>
      </c>
    </row>
    <row r="276">
      <c r="J276" s="24">
        <f>IF($A276="","",IF($C276&lt;&gt;"khp_titration_mL","",IF(COUNTIFS('1_原始數據'!$A$2:$A$1000,$A276,'1_原始數據'!$B$2:$B$1000,$B276,'1_原始數據'!$D$2:$D$1000,$D276,'1_原始數據'!$C$2:$C$1000,"khp_mass_g")=0,"",SUMIFS('1_原始數據'!$E$2:$E$1000,'1_原始數據'!$A$2:$A$1000,$A276,'1_原始數據'!$B$2:$B$1000,$B276,'1_原始數據'!$D$2:$D$1000,$D276,'1_原始數據'!$C$2:$C$1000,"khp_mass_g")/('2_NaOH標定'!$C$5*$E276/1000))))</f>
        <v/>
      </c>
      <c r="K276" s="24">
        <f>IF($A276="","",IF($C276&lt;&gt;"manual_titration_mL","",IF(COUNTIFS('1_原始數據'!$A$2:$A$1000,$A276,'1_原始數據'!$C$2:$C$1000,"khp_titration_mL")=0,"",AVERAGEIFS('1_原始數據'!$J$2:$J$1000,'1_原始數據'!$A$2:$A$1000,$A276,'1_原始數據'!$C$2:$C$1000,"khp_titration_mL"))))</f>
        <v/>
      </c>
      <c r="L276" s="25">
        <f>IF($A276="","",IF($C276&lt;&gt;"manual_titration_mL","",IFERROR(INDEX('3_可滴定酸度'!$E$6:$E$13,MATCH($I276,'3_可滴定酸度'!$B$6:$B$13,0)),"")))</f>
        <v/>
      </c>
      <c r="M276" s="25">
        <f>IF($A276="","",IF($C276&lt;&gt;"manual_titration_mL","",IFERROR(INDEX('3_可滴定酸度'!$F$6:$F$13,MATCH($I276,'3_可滴定酸度'!$B$6:$B$13,0)),"")))</f>
        <v/>
      </c>
      <c r="N276" s="24">
        <f>IF($A276="","",IF(OR(K276="",L276="",M276=""),"",K276*E276*L276/(M276*1000)*100))</f>
        <v/>
      </c>
      <c r="O276" s="24">
        <f>IF($A276="","",IF(N276="","",IF(COUNTIFS('1_原始數據'!$A$2:$A$1000,$A276,'1_原始數據'!$B$2:$B$1000,$B276,'1_原始數據'!$D$2:$D$1000,$D276,'1_原始數據'!$I$2:$I$1000,$I276,'1_原始數據'!$C$2:$C$1000,"pasco_pct_acid")=0,"",SUMIFS('1_原始數據'!$E$2:$E$1000,'1_原始數據'!$A$2:$A$1000,$A276,'1_原始數據'!$B$2:$B$1000,$B276,'1_原始數據'!$D$2:$D$1000,$D276,'1_原始數據'!$I$2:$I$1000,$I276,'1_原始數據'!$C$2:$C$1000,"pasco_pct_acid"))))</f>
        <v/>
      </c>
      <c r="P276" s="26">
        <f>IF($A276="","",IF(OR(N276="",O276=""),"",O276-N276))</f>
        <v/>
      </c>
      <c r="Q276" s="24">
        <f>IF($A276="","",IF(P276="","",(O276+N276)/2))</f>
        <v/>
      </c>
      <c r="R276" s="27">
        <f>IF($A276="","",IF(P276="","",COUNT($P$2:P276)))</f>
        <v/>
      </c>
    </row>
    <row r="277">
      <c r="J277" s="24">
        <f>IF($A277="","",IF($C277&lt;&gt;"khp_titration_mL","",IF(COUNTIFS('1_原始數據'!$A$2:$A$1000,$A277,'1_原始數據'!$B$2:$B$1000,$B277,'1_原始數據'!$D$2:$D$1000,$D277,'1_原始數據'!$C$2:$C$1000,"khp_mass_g")=0,"",SUMIFS('1_原始數據'!$E$2:$E$1000,'1_原始數據'!$A$2:$A$1000,$A277,'1_原始數據'!$B$2:$B$1000,$B277,'1_原始數據'!$D$2:$D$1000,$D277,'1_原始數據'!$C$2:$C$1000,"khp_mass_g")/('2_NaOH標定'!$C$5*$E277/1000))))</f>
        <v/>
      </c>
      <c r="K277" s="24">
        <f>IF($A277="","",IF($C277&lt;&gt;"manual_titration_mL","",IF(COUNTIFS('1_原始數據'!$A$2:$A$1000,$A277,'1_原始數據'!$C$2:$C$1000,"khp_titration_mL")=0,"",AVERAGEIFS('1_原始數據'!$J$2:$J$1000,'1_原始數據'!$A$2:$A$1000,$A277,'1_原始數據'!$C$2:$C$1000,"khp_titration_mL"))))</f>
        <v/>
      </c>
      <c r="L277" s="25">
        <f>IF($A277="","",IF($C277&lt;&gt;"manual_titration_mL","",IFERROR(INDEX('3_可滴定酸度'!$E$6:$E$13,MATCH($I277,'3_可滴定酸度'!$B$6:$B$13,0)),"")))</f>
        <v/>
      </c>
      <c r="M277" s="25">
        <f>IF($A277="","",IF($C277&lt;&gt;"manual_titration_mL","",IFERROR(INDEX('3_可滴定酸度'!$F$6:$F$13,MATCH($I277,'3_可滴定酸度'!$B$6:$B$13,0)),"")))</f>
        <v/>
      </c>
      <c r="N277" s="24">
        <f>IF($A277="","",IF(OR(K277="",L277="",M277=""),"",K277*E277*L277/(M277*1000)*100))</f>
        <v/>
      </c>
      <c r="O277" s="24">
        <f>IF($A277="","",IF(N277="","",IF(COUNTIFS('1_原始數據'!$A$2:$A$1000,$A277,'1_原始數據'!$B$2:$B$1000,$B277,'1_原始數據'!$D$2:$D$1000,$D277,'1_原始數據'!$I$2:$I$1000,$I277,'1_原始數據'!$C$2:$C$1000,"pasco_pct_acid")=0,"",SUMIFS('1_原始數據'!$E$2:$E$1000,'1_原始數據'!$A$2:$A$1000,$A277,'1_原始數據'!$B$2:$B$1000,$B277,'1_原始數據'!$D$2:$D$1000,$D277,'1_原始數據'!$I$2:$I$1000,$I277,'1_原始數據'!$C$2:$C$1000,"pasco_pct_acid"))))</f>
        <v/>
      </c>
      <c r="P277" s="26">
        <f>IF($A277="","",IF(OR(N277="",O277=""),"",O277-N277))</f>
        <v/>
      </c>
      <c r="Q277" s="24">
        <f>IF($A277="","",IF(P277="","",(O277+N277)/2))</f>
        <v/>
      </c>
      <c r="R277" s="27">
        <f>IF($A277="","",IF(P277="","",COUNT($P$2:P277)))</f>
        <v/>
      </c>
    </row>
    <row r="278">
      <c r="J278" s="24">
        <f>IF($A278="","",IF($C278&lt;&gt;"khp_titration_mL","",IF(COUNTIFS('1_原始數據'!$A$2:$A$1000,$A278,'1_原始數據'!$B$2:$B$1000,$B278,'1_原始數據'!$D$2:$D$1000,$D278,'1_原始數據'!$C$2:$C$1000,"khp_mass_g")=0,"",SUMIFS('1_原始數據'!$E$2:$E$1000,'1_原始數據'!$A$2:$A$1000,$A278,'1_原始數據'!$B$2:$B$1000,$B278,'1_原始數據'!$D$2:$D$1000,$D278,'1_原始數據'!$C$2:$C$1000,"khp_mass_g")/('2_NaOH標定'!$C$5*$E278/1000))))</f>
        <v/>
      </c>
      <c r="K278" s="24">
        <f>IF($A278="","",IF($C278&lt;&gt;"manual_titration_mL","",IF(COUNTIFS('1_原始數據'!$A$2:$A$1000,$A278,'1_原始數據'!$C$2:$C$1000,"khp_titration_mL")=0,"",AVERAGEIFS('1_原始數據'!$J$2:$J$1000,'1_原始數據'!$A$2:$A$1000,$A278,'1_原始數據'!$C$2:$C$1000,"khp_titration_mL"))))</f>
        <v/>
      </c>
      <c r="L278" s="25">
        <f>IF($A278="","",IF($C278&lt;&gt;"manual_titration_mL","",IFERROR(INDEX('3_可滴定酸度'!$E$6:$E$13,MATCH($I278,'3_可滴定酸度'!$B$6:$B$13,0)),"")))</f>
        <v/>
      </c>
      <c r="M278" s="25">
        <f>IF($A278="","",IF($C278&lt;&gt;"manual_titration_mL","",IFERROR(INDEX('3_可滴定酸度'!$F$6:$F$13,MATCH($I278,'3_可滴定酸度'!$B$6:$B$13,0)),"")))</f>
        <v/>
      </c>
      <c r="N278" s="24">
        <f>IF($A278="","",IF(OR(K278="",L278="",M278=""),"",K278*E278*L278/(M278*1000)*100))</f>
        <v/>
      </c>
      <c r="O278" s="24">
        <f>IF($A278="","",IF(N278="","",IF(COUNTIFS('1_原始數據'!$A$2:$A$1000,$A278,'1_原始數據'!$B$2:$B$1000,$B278,'1_原始數據'!$D$2:$D$1000,$D278,'1_原始數據'!$I$2:$I$1000,$I278,'1_原始數據'!$C$2:$C$1000,"pasco_pct_acid")=0,"",SUMIFS('1_原始數據'!$E$2:$E$1000,'1_原始數據'!$A$2:$A$1000,$A278,'1_原始數據'!$B$2:$B$1000,$B278,'1_原始數據'!$D$2:$D$1000,$D278,'1_原始數據'!$I$2:$I$1000,$I278,'1_原始數據'!$C$2:$C$1000,"pasco_pct_acid"))))</f>
        <v/>
      </c>
      <c r="P278" s="26">
        <f>IF($A278="","",IF(OR(N278="",O278=""),"",O278-N278))</f>
        <v/>
      </c>
      <c r="Q278" s="24">
        <f>IF($A278="","",IF(P278="","",(O278+N278)/2))</f>
        <v/>
      </c>
      <c r="R278" s="27">
        <f>IF($A278="","",IF(P278="","",COUNT($P$2:P278)))</f>
        <v/>
      </c>
    </row>
    <row r="279">
      <c r="J279" s="24">
        <f>IF($A279="","",IF($C279&lt;&gt;"khp_titration_mL","",IF(COUNTIFS('1_原始數據'!$A$2:$A$1000,$A279,'1_原始數據'!$B$2:$B$1000,$B279,'1_原始數據'!$D$2:$D$1000,$D279,'1_原始數據'!$C$2:$C$1000,"khp_mass_g")=0,"",SUMIFS('1_原始數據'!$E$2:$E$1000,'1_原始數據'!$A$2:$A$1000,$A279,'1_原始數據'!$B$2:$B$1000,$B279,'1_原始數據'!$D$2:$D$1000,$D279,'1_原始數據'!$C$2:$C$1000,"khp_mass_g")/('2_NaOH標定'!$C$5*$E279/1000))))</f>
        <v/>
      </c>
      <c r="K279" s="24">
        <f>IF($A279="","",IF($C279&lt;&gt;"manual_titration_mL","",IF(COUNTIFS('1_原始數據'!$A$2:$A$1000,$A279,'1_原始數據'!$C$2:$C$1000,"khp_titration_mL")=0,"",AVERAGEIFS('1_原始數據'!$J$2:$J$1000,'1_原始數據'!$A$2:$A$1000,$A279,'1_原始數據'!$C$2:$C$1000,"khp_titration_mL"))))</f>
        <v/>
      </c>
      <c r="L279" s="25">
        <f>IF($A279="","",IF($C279&lt;&gt;"manual_titration_mL","",IFERROR(INDEX('3_可滴定酸度'!$E$6:$E$13,MATCH($I279,'3_可滴定酸度'!$B$6:$B$13,0)),"")))</f>
        <v/>
      </c>
      <c r="M279" s="25">
        <f>IF($A279="","",IF($C279&lt;&gt;"manual_titration_mL","",IFERROR(INDEX('3_可滴定酸度'!$F$6:$F$13,MATCH($I279,'3_可滴定酸度'!$B$6:$B$13,0)),"")))</f>
        <v/>
      </c>
      <c r="N279" s="24">
        <f>IF($A279="","",IF(OR(K279="",L279="",M279=""),"",K279*E279*L279/(M279*1000)*100))</f>
        <v/>
      </c>
      <c r="O279" s="24">
        <f>IF($A279="","",IF(N279="","",IF(COUNTIFS('1_原始數據'!$A$2:$A$1000,$A279,'1_原始數據'!$B$2:$B$1000,$B279,'1_原始數據'!$D$2:$D$1000,$D279,'1_原始數據'!$I$2:$I$1000,$I279,'1_原始數據'!$C$2:$C$1000,"pasco_pct_acid")=0,"",SUMIFS('1_原始數據'!$E$2:$E$1000,'1_原始數據'!$A$2:$A$1000,$A279,'1_原始數據'!$B$2:$B$1000,$B279,'1_原始數據'!$D$2:$D$1000,$D279,'1_原始數據'!$I$2:$I$1000,$I279,'1_原始數據'!$C$2:$C$1000,"pasco_pct_acid"))))</f>
        <v/>
      </c>
      <c r="P279" s="26">
        <f>IF($A279="","",IF(OR(N279="",O279=""),"",O279-N279))</f>
        <v/>
      </c>
      <c r="Q279" s="24">
        <f>IF($A279="","",IF(P279="","",(O279+N279)/2))</f>
        <v/>
      </c>
      <c r="R279" s="27">
        <f>IF($A279="","",IF(P279="","",COUNT($P$2:P279)))</f>
        <v/>
      </c>
    </row>
    <row r="280">
      <c r="J280" s="24">
        <f>IF($A280="","",IF($C280&lt;&gt;"khp_titration_mL","",IF(COUNTIFS('1_原始數據'!$A$2:$A$1000,$A280,'1_原始數據'!$B$2:$B$1000,$B280,'1_原始數據'!$D$2:$D$1000,$D280,'1_原始數據'!$C$2:$C$1000,"khp_mass_g")=0,"",SUMIFS('1_原始數據'!$E$2:$E$1000,'1_原始數據'!$A$2:$A$1000,$A280,'1_原始數據'!$B$2:$B$1000,$B280,'1_原始數據'!$D$2:$D$1000,$D280,'1_原始數據'!$C$2:$C$1000,"khp_mass_g")/('2_NaOH標定'!$C$5*$E280/1000))))</f>
        <v/>
      </c>
      <c r="K280" s="24">
        <f>IF($A280="","",IF($C280&lt;&gt;"manual_titration_mL","",IF(COUNTIFS('1_原始數據'!$A$2:$A$1000,$A280,'1_原始數據'!$C$2:$C$1000,"khp_titration_mL")=0,"",AVERAGEIFS('1_原始數據'!$J$2:$J$1000,'1_原始數據'!$A$2:$A$1000,$A280,'1_原始數據'!$C$2:$C$1000,"khp_titration_mL"))))</f>
        <v/>
      </c>
      <c r="L280" s="25">
        <f>IF($A280="","",IF($C280&lt;&gt;"manual_titration_mL","",IFERROR(INDEX('3_可滴定酸度'!$E$6:$E$13,MATCH($I280,'3_可滴定酸度'!$B$6:$B$13,0)),"")))</f>
        <v/>
      </c>
      <c r="M280" s="25">
        <f>IF($A280="","",IF($C280&lt;&gt;"manual_titration_mL","",IFERROR(INDEX('3_可滴定酸度'!$F$6:$F$13,MATCH($I280,'3_可滴定酸度'!$B$6:$B$13,0)),"")))</f>
        <v/>
      </c>
      <c r="N280" s="24">
        <f>IF($A280="","",IF(OR(K280="",L280="",M280=""),"",K280*E280*L280/(M280*1000)*100))</f>
        <v/>
      </c>
      <c r="O280" s="24">
        <f>IF($A280="","",IF(N280="","",IF(COUNTIFS('1_原始數據'!$A$2:$A$1000,$A280,'1_原始數據'!$B$2:$B$1000,$B280,'1_原始數據'!$D$2:$D$1000,$D280,'1_原始數據'!$I$2:$I$1000,$I280,'1_原始數據'!$C$2:$C$1000,"pasco_pct_acid")=0,"",SUMIFS('1_原始數據'!$E$2:$E$1000,'1_原始數據'!$A$2:$A$1000,$A280,'1_原始數據'!$B$2:$B$1000,$B280,'1_原始數據'!$D$2:$D$1000,$D280,'1_原始數據'!$I$2:$I$1000,$I280,'1_原始數據'!$C$2:$C$1000,"pasco_pct_acid"))))</f>
        <v/>
      </c>
      <c r="P280" s="26">
        <f>IF($A280="","",IF(OR(N280="",O280=""),"",O280-N280))</f>
        <v/>
      </c>
      <c r="Q280" s="24">
        <f>IF($A280="","",IF(P280="","",(O280+N280)/2))</f>
        <v/>
      </c>
      <c r="R280" s="27">
        <f>IF($A280="","",IF(P280="","",COUNT($P$2:P280)))</f>
        <v/>
      </c>
    </row>
    <row r="281">
      <c r="J281" s="24">
        <f>IF($A281="","",IF($C281&lt;&gt;"khp_titration_mL","",IF(COUNTIFS('1_原始數據'!$A$2:$A$1000,$A281,'1_原始數據'!$B$2:$B$1000,$B281,'1_原始數據'!$D$2:$D$1000,$D281,'1_原始數據'!$C$2:$C$1000,"khp_mass_g")=0,"",SUMIFS('1_原始數據'!$E$2:$E$1000,'1_原始數據'!$A$2:$A$1000,$A281,'1_原始數據'!$B$2:$B$1000,$B281,'1_原始數據'!$D$2:$D$1000,$D281,'1_原始數據'!$C$2:$C$1000,"khp_mass_g")/('2_NaOH標定'!$C$5*$E281/1000))))</f>
        <v/>
      </c>
      <c r="K281" s="24">
        <f>IF($A281="","",IF($C281&lt;&gt;"manual_titration_mL","",IF(COUNTIFS('1_原始數據'!$A$2:$A$1000,$A281,'1_原始數據'!$C$2:$C$1000,"khp_titration_mL")=0,"",AVERAGEIFS('1_原始數據'!$J$2:$J$1000,'1_原始數據'!$A$2:$A$1000,$A281,'1_原始數據'!$C$2:$C$1000,"khp_titration_mL"))))</f>
        <v/>
      </c>
      <c r="L281" s="25">
        <f>IF($A281="","",IF($C281&lt;&gt;"manual_titration_mL","",IFERROR(INDEX('3_可滴定酸度'!$E$6:$E$13,MATCH($I281,'3_可滴定酸度'!$B$6:$B$13,0)),"")))</f>
        <v/>
      </c>
      <c r="M281" s="25">
        <f>IF($A281="","",IF($C281&lt;&gt;"manual_titration_mL","",IFERROR(INDEX('3_可滴定酸度'!$F$6:$F$13,MATCH($I281,'3_可滴定酸度'!$B$6:$B$13,0)),"")))</f>
        <v/>
      </c>
      <c r="N281" s="24">
        <f>IF($A281="","",IF(OR(K281="",L281="",M281=""),"",K281*E281*L281/(M281*1000)*100))</f>
        <v/>
      </c>
      <c r="O281" s="24">
        <f>IF($A281="","",IF(N281="","",IF(COUNTIFS('1_原始數據'!$A$2:$A$1000,$A281,'1_原始數據'!$B$2:$B$1000,$B281,'1_原始數據'!$D$2:$D$1000,$D281,'1_原始數據'!$I$2:$I$1000,$I281,'1_原始數據'!$C$2:$C$1000,"pasco_pct_acid")=0,"",SUMIFS('1_原始數據'!$E$2:$E$1000,'1_原始數據'!$A$2:$A$1000,$A281,'1_原始數據'!$B$2:$B$1000,$B281,'1_原始數據'!$D$2:$D$1000,$D281,'1_原始數據'!$I$2:$I$1000,$I281,'1_原始數據'!$C$2:$C$1000,"pasco_pct_acid"))))</f>
        <v/>
      </c>
      <c r="P281" s="26">
        <f>IF($A281="","",IF(OR(N281="",O281=""),"",O281-N281))</f>
        <v/>
      </c>
      <c r="Q281" s="24">
        <f>IF($A281="","",IF(P281="","",(O281+N281)/2))</f>
        <v/>
      </c>
      <c r="R281" s="27">
        <f>IF($A281="","",IF(P281="","",COUNT($P$2:P281)))</f>
        <v/>
      </c>
    </row>
    <row r="282">
      <c r="J282" s="24">
        <f>IF($A282="","",IF($C282&lt;&gt;"khp_titration_mL","",IF(COUNTIFS('1_原始數據'!$A$2:$A$1000,$A282,'1_原始數據'!$B$2:$B$1000,$B282,'1_原始數據'!$D$2:$D$1000,$D282,'1_原始數據'!$C$2:$C$1000,"khp_mass_g")=0,"",SUMIFS('1_原始數據'!$E$2:$E$1000,'1_原始數據'!$A$2:$A$1000,$A282,'1_原始數據'!$B$2:$B$1000,$B282,'1_原始數據'!$D$2:$D$1000,$D282,'1_原始數據'!$C$2:$C$1000,"khp_mass_g")/('2_NaOH標定'!$C$5*$E282/1000))))</f>
        <v/>
      </c>
      <c r="K282" s="24">
        <f>IF($A282="","",IF($C282&lt;&gt;"manual_titration_mL","",IF(COUNTIFS('1_原始數據'!$A$2:$A$1000,$A282,'1_原始數據'!$C$2:$C$1000,"khp_titration_mL")=0,"",AVERAGEIFS('1_原始數據'!$J$2:$J$1000,'1_原始數據'!$A$2:$A$1000,$A282,'1_原始數據'!$C$2:$C$1000,"khp_titration_mL"))))</f>
        <v/>
      </c>
      <c r="L282" s="25">
        <f>IF($A282="","",IF($C282&lt;&gt;"manual_titration_mL","",IFERROR(INDEX('3_可滴定酸度'!$E$6:$E$13,MATCH($I282,'3_可滴定酸度'!$B$6:$B$13,0)),"")))</f>
        <v/>
      </c>
      <c r="M282" s="25">
        <f>IF($A282="","",IF($C282&lt;&gt;"manual_titration_mL","",IFERROR(INDEX('3_可滴定酸度'!$F$6:$F$13,MATCH($I282,'3_可滴定酸度'!$B$6:$B$13,0)),"")))</f>
        <v/>
      </c>
      <c r="N282" s="24">
        <f>IF($A282="","",IF(OR(K282="",L282="",M282=""),"",K282*E282*L282/(M282*1000)*100))</f>
        <v/>
      </c>
      <c r="O282" s="24">
        <f>IF($A282="","",IF(N282="","",IF(COUNTIFS('1_原始數據'!$A$2:$A$1000,$A282,'1_原始數據'!$B$2:$B$1000,$B282,'1_原始數據'!$D$2:$D$1000,$D282,'1_原始數據'!$I$2:$I$1000,$I282,'1_原始數據'!$C$2:$C$1000,"pasco_pct_acid")=0,"",SUMIFS('1_原始數據'!$E$2:$E$1000,'1_原始數據'!$A$2:$A$1000,$A282,'1_原始數據'!$B$2:$B$1000,$B282,'1_原始數據'!$D$2:$D$1000,$D282,'1_原始數據'!$I$2:$I$1000,$I282,'1_原始數據'!$C$2:$C$1000,"pasco_pct_acid"))))</f>
        <v/>
      </c>
      <c r="P282" s="26">
        <f>IF($A282="","",IF(OR(N282="",O282=""),"",O282-N282))</f>
        <v/>
      </c>
      <c r="Q282" s="24">
        <f>IF($A282="","",IF(P282="","",(O282+N282)/2))</f>
        <v/>
      </c>
      <c r="R282" s="27">
        <f>IF($A282="","",IF(P282="","",COUNT($P$2:P282)))</f>
        <v/>
      </c>
    </row>
    <row r="283">
      <c r="J283" s="24">
        <f>IF($A283="","",IF($C283&lt;&gt;"khp_titration_mL","",IF(COUNTIFS('1_原始數據'!$A$2:$A$1000,$A283,'1_原始數據'!$B$2:$B$1000,$B283,'1_原始數據'!$D$2:$D$1000,$D283,'1_原始數據'!$C$2:$C$1000,"khp_mass_g")=0,"",SUMIFS('1_原始數據'!$E$2:$E$1000,'1_原始數據'!$A$2:$A$1000,$A283,'1_原始數據'!$B$2:$B$1000,$B283,'1_原始數據'!$D$2:$D$1000,$D283,'1_原始數據'!$C$2:$C$1000,"khp_mass_g")/('2_NaOH標定'!$C$5*$E283/1000))))</f>
        <v/>
      </c>
      <c r="K283" s="24">
        <f>IF($A283="","",IF($C283&lt;&gt;"manual_titration_mL","",IF(COUNTIFS('1_原始數據'!$A$2:$A$1000,$A283,'1_原始數據'!$C$2:$C$1000,"khp_titration_mL")=0,"",AVERAGEIFS('1_原始數據'!$J$2:$J$1000,'1_原始數據'!$A$2:$A$1000,$A283,'1_原始數據'!$C$2:$C$1000,"khp_titration_mL"))))</f>
        <v/>
      </c>
      <c r="L283" s="25">
        <f>IF($A283="","",IF($C283&lt;&gt;"manual_titration_mL","",IFERROR(INDEX('3_可滴定酸度'!$E$6:$E$13,MATCH($I283,'3_可滴定酸度'!$B$6:$B$13,0)),"")))</f>
        <v/>
      </c>
      <c r="M283" s="25">
        <f>IF($A283="","",IF($C283&lt;&gt;"manual_titration_mL","",IFERROR(INDEX('3_可滴定酸度'!$F$6:$F$13,MATCH($I283,'3_可滴定酸度'!$B$6:$B$13,0)),"")))</f>
        <v/>
      </c>
      <c r="N283" s="24">
        <f>IF($A283="","",IF(OR(K283="",L283="",M283=""),"",K283*E283*L283/(M283*1000)*100))</f>
        <v/>
      </c>
      <c r="O283" s="24">
        <f>IF($A283="","",IF(N283="","",IF(COUNTIFS('1_原始數據'!$A$2:$A$1000,$A283,'1_原始數據'!$B$2:$B$1000,$B283,'1_原始數據'!$D$2:$D$1000,$D283,'1_原始數據'!$I$2:$I$1000,$I283,'1_原始數據'!$C$2:$C$1000,"pasco_pct_acid")=0,"",SUMIFS('1_原始數據'!$E$2:$E$1000,'1_原始數據'!$A$2:$A$1000,$A283,'1_原始數據'!$B$2:$B$1000,$B283,'1_原始數據'!$D$2:$D$1000,$D283,'1_原始數據'!$I$2:$I$1000,$I283,'1_原始數據'!$C$2:$C$1000,"pasco_pct_acid"))))</f>
        <v/>
      </c>
      <c r="P283" s="26">
        <f>IF($A283="","",IF(OR(N283="",O283=""),"",O283-N283))</f>
        <v/>
      </c>
      <c r="Q283" s="24">
        <f>IF($A283="","",IF(P283="","",(O283+N283)/2))</f>
        <v/>
      </c>
      <c r="R283" s="27">
        <f>IF($A283="","",IF(P283="","",COUNT($P$2:P283)))</f>
        <v/>
      </c>
    </row>
    <row r="284">
      <c r="J284" s="24">
        <f>IF($A284="","",IF($C284&lt;&gt;"khp_titration_mL","",IF(COUNTIFS('1_原始數據'!$A$2:$A$1000,$A284,'1_原始數據'!$B$2:$B$1000,$B284,'1_原始數據'!$D$2:$D$1000,$D284,'1_原始數據'!$C$2:$C$1000,"khp_mass_g")=0,"",SUMIFS('1_原始數據'!$E$2:$E$1000,'1_原始數據'!$A$2:$A$1000,$A284,'1_原始數據'!$B$2:$B$1000,$B284,'1_原始數據'!$D$2:$D$1000,$D284,'1_原始數據'!$C$2:$C$1000,"khp_mass_g")/('2_NaOH標定'!$C$5*$E284/1000))))</f>
        <v/>
      </c>
      <c r="K284" s="24">
        <f>IF($A284="","",IF($C284&lt;&gt;"manual_titration_mL","",IF(COUNTIFS('1_原始數據'!$A$2:$A$1000,$A284,'1_原始數據'!$C$2:$C$1000,"khp_titration_mL")=0,"",AVERAGEIFS('1_原始數據'!$J$2:$J$1000,'1_原始數據'!$A$2:$A$1000,$A284,'1_原始數據'!$C$2:$C$1000,"khp_titration_mL"))))</f>
        <v/>
      </c>
      <c r="L284" s="25">
        <f>IF($A284="","",IF($C284&lt;&gt;"manual_titration_mL","",IFERROR(INDEX('3_可滴定酸度'!$E$6:$E$13,MATCH($I284,'3_可滴定酸度'!$B$6:$B$13,0)),"")))</f>
        <v/>
      </c>
      <c r="M284" s="25">
        <f>IF($A284="","",IF($C284&lt;&gt;"manual_titration_mL","",IFERROR(INDEX('3_可滴定酸度'!$F$6:$F$13,MATCH($I284,'3_可滴定酸度'!$B$6:$B$13,0)),"")))</f>
        <v/>
      </c>
      <c r="N284" s="24">
        <f>IF($A284="","",IF(OR(K284="",L284="",M284=""),"",K284*E284*L284/(M284*1000)*100))</f>
        <v/>
      </c>
      <c r="O284" s="24">
        <f>IF($A284="","",IF(N284="","",IF(COUNTIFS('1_原始數據'!$A$2:$A$1000,$A284,'1_原始數據'!$B$2:$B$1000,$B284,'1_原始數據'!$D$2:$D$1000,$D284,'1_原始數據'!$I$2:$I$1000,$I284,'1_原始數據'!$C$2:$C$1000,"pasco_pct_acid")=0,"",SUMIFS('1_原始數據'!$E$2:$E$1000,'1_原始數據'!$A$2:$A$1000,$A284,'1_原始數據'!$B$2:$B$1000,$B284,'1_原始數據'!$D$2:$D$1000,$D284,'1_原始數據'!$I$2:$I$1000,$I284,'1_原始數據'!$C$2:$C$1000,"pasco_pct_acid"))))</f>
        <v/>
      </c>
      <c r="P284" s="26">
        <f>IF($A284="","",IF(OR(N284="",O284=""),"",O284-N284))</f>
        <v/>
      </c>
      <c r="Q284" s="24">
        <f>IF($A284="","",IF(P284="","",(O284+N284)/2))</f>
        <v/>
      </c>
      <c r="R284" s="27">
        <f>IF($A284="","",IF(P284="","",COUNT($P$2:P284)))</f>
        <v/>
      </c>
    </row>
    <row r="285">
      <c r="J285" s="24">
        <f>IF($A285="","",IF($C285&lt;&gt;"khp_titration_mL","",IF(COUNTIFS('1_原始數據'!$A$2:$A$1000,$A285,'1_原始數據'!$B$2:$B$1000,$B285,'1_原始數據'!$D$2:$D$1000,$D285,'1_原始數據'!$C$2:$C$1000,"khp_mass_g")=0,"",SUMIFS('1_原始數據'!$E$2:$E$1000,'1_原始數據'!$A$2:$A$1000,$A285,'1_原始數據'!$B$2:$B$1000,$B285,'1_原始數據'!$D$2:$D$1000,$D285,'1_原始數據'!$C$2:$C$1000,"khp_mass_g")/('2_NaOH標定'!$C$5*$E285/1000))))</f>
        <v/>
      </c>
      <c r="K285" s="24">
        <f>IF($A285="","",IF($C285&lt;&gt;"manual_titration_mL","",IF(COUNTIFS('1_原始數據'!$A$2:$A$1000,$A285,'1_原始數據'!$C$2:$C$1000,"khp_titration_mL")=0,"",AVERAGEIFS('1_原始數據'!$J$2:$J$1000,'1_原始數據'!$A$2:$A$1000,$A285,'1_原始數據'!$C$2:$C$1000,"khp_titration_mL"))))</f>
        <v/>
      </c>
      <c r="L285" s="25">
        <f>IF($A285="","",IF($C285&lt;&gt;"manual_titration_mL","",IFERROR(INDEX('3_可滴定酸度'!$E$6:$E$13,MATCH($I285,'3_可滴定酸度'!$B$6:$B$13,0)),"")))</f>
        <v/>
      </c>
      <c r="M285" s="25">
        <f>IF($A285="","",IF($C285&lt;&gt;"manual_titration_mL","",IFERROR(INDEX('3_可滴定酸度'!$F$6:$F$13,MATCH($I285,'3_可滴定酸度'!$B$6:$B$13,0)),"")))</f>
        <v/>
      </c>
      <c r="N285" s="24">
        <f>IF($A285="","",IF(OR(K285="",L285="",M285=""),"",K285*E285*L285/(M285*1000)*100))</f>
        <v/>
      </c>
      <c r="O285" s="24">
        <f>IF($A285="","",IF(N285="","",IF(COUNTIFS('1_原始數據'!$A$2:$A$1000,$A285,'1_原始數據'!$B$2:$B$1000,$B285,'1_原始數據'!$D$2:$D$1000,$D285,'1_原始數據'!$I$2:$I$1000,$I285,'1_原始數據'!$C$2:$C$1000,"pasco_pct_acid")=0,"",SUMIFS('1_原始數據'!$E$2:$E$1000,'1_原始數據'!$A$2:$A$1000,$A285,'1_原始數據'!$B$2:$B$1000,$B285,'1_原始數據'!$D$2:$D$1000,$D285,'1_原始數據'!$I$2:$I$1000,$I285,'1_原始數據'!$C$2:$C$1000,"pasco_pct_acid"))))</f>
        <v/>
      </c>
      <c r="P285" s="26">
        <f>IF($A285="","",IF(OR(N285="",O285=""),"",O285-N285))</f>
        <v/>
      </c>
      <c r="Q285" s="24">
        <f>IF($A285="","",IF(P285="","",(O285+N285)/2))</f>
        <v/>
      </c>
      <c r="R285" s="27">
        <f>IF($A285="","",IF(P285="","",COUNT($P$2:P285)))</f>
        <v/>
      </c>
    </row>
    <row r="286">
      <c r="J286" s="24">
        <f>IF($A286="","",IF($C286&lt;&gt;"khp_titration_mL","",IF(COUNTIFS('1_原始數據'!$A$2:$A$1000,$A286,'1_原始數據'!$B$2:$B$1000,$B286,'1_原始數據'!$D$2:$D$1000,$D286,'1_原始數據'!$C$2:$C$1000,"khp_mass_g")=0,"",SUMIFS('1_原始數據'!$E$2:$E$1000,'1_原始數據'!$A$2:$A$1000,$A286,'1_原始數據'!$B$2:$B$1000,$B286,'1_原始數據'!$D$2:$D$1000,$D286,'1_原始數據'!$C$2:$C$1000,"khp_mass_g")/('2_NaOH標定'!$C$5*$E286/1000))))</f>
        <v/>
      </c>
      <c r="K286" s="24">
        <f>IF($A286="","",IF($C286&lt;&gt;"manual_titration_mL","",IF(COUNTIFS('1_原始數據'!$A$2:$A$1000,$A286,'1_原始數據'!$C$2:$C$1000,"khp_titration_mL")=0,"",AVERAGEIFS('1_原始數據'!$J$2:$J$1000,'1_原始數據'!$A$2:$A$1000,$A286,'1_原始數據'!$C$2:$C$1000,"khp_titration_mL"))))</f>
        <v/>
      </c>
      <c r="L286" s="25">
        <f>IF($A286="","",IF($C286&lt;&gt;"manual_titration_mL","",IFERROR(INDEX('3_可滴定酸度'!$E$6:$E$13,MATCH($I286,'3_可滴定酸度'!$B$6:$B$13,0)),"")))</f>
        <v/>
      </c>
      <c r="M286" s="25">
        <f>IF($A286="","",IF($C286&lt;&gt;"manual_titration_mL","",IFERROR(INDEX('3_可滴定酸度'!$F$6:$F$13,MATCH($I286,'3_可滴定酸度'!$B$6:$B$13,0)),"")))</f>
        <v/>
      </c>
      <c r="N286" s="24">
        <f>IF($A286="","",IF(OR(K286="",L286="",M286=""),"",K286*E286*L286/(M286*1000)*100))</f>
        <v/>
      </c>
      <c r="O286" s="24">
        <f>IF($A286="","",IF(N286="","",IF(COUNTIFS('1_原始數據'!$A$2:$A$1000,$A286,'1_原始數據'!$B$2:$B$1000,$B286,'1_原始數據'!$D$2:$D$1000,$D286,'1_原始數據'!$I$2:$I$1000,$I286,'1_原始數據'!$C$2:$C$1000,"pasco_pct_acid")=0,"",SUMIFS('1_原始數據'!$E$2:$E$1000,'1_原始數據'!$A$2:$A$1000,$A286,'1_原始數據'!$B$2:$B$1000,$B286,'1_原始數據'!$D$2:$D$1000,$D286,'1_原始數據'!$I$2:$I$1000,$I286,'1_原始數據'!$C$2:$C$1000,"pasco_pct_acid"))))</f>
        <v/>
      </c>
      <c r="P286" s="26">
        <f>IF($A286="","",IF(OR(N286="",O286=""),"",O286-N286))</f>
        <v/>
      </c>
      <c r="Q286" s="24">
        <f>IF($A286="","",IF(P286="","",(O286+N286)/2))</f>
        <v/>
      </c>
      <c r="R286" s="27">
        <f>IF($A286="","",IF(P286="","",COUNT($P$2:P286)))</f>
        <v/>
      </c>
    </row>
    <row r="287">
      <c r="J287" s="24">
        <f>IF($A287="","",IF($C287&lt;&gt;"khp_titration_mL","",IF(COUNTIFS('1_原始數據'!$A$2:$A$1000,$A287,'1_原始數據'!$B$2:$B$1000,$B287,'1_原始數據'!$D$2:$D$1000,$D287,'1_原始數據'!$C$2:$C$1000,"khp_mass_g")=0,"",SUMIFS('1_原始數據'!$E$2:$E$1000,'1_原始數據'!$A$2:$A$1000,$A287,'1_原始數據'!$B$2:$B$1000,$B287,'1_原始數據'!$D$2:$D$1000,$D287,'1_原始數據'!$C$2:$C$1000,"khp_mass_g")/('2_NaOH標定'!$C$5*$E287/1000))))</f>
        <v/>
      </c>
      <c r="K287" s="24">
        <f>IF($A287="","",IF($C287&lt;&gt;"manual_titration_mL","",IF(COUNTIFS('1_原始數據'!$A$2:$A$1000,$A287,'1_原始數據'!$C$2:$C$1000,"khp_titration_mL")=0,"",AVERAGEIFS('1_原始數據'!$J$2:$J$1000,'1_原始數據'!$A$2:$A$1000,$A287,'1_原始數據'!$C$2:$C$1000,"khp_titration_mL"))))</f>
        <v/>
      </c>
      <c r="L287" s="25">
        <f>IF($A287="","",IF($C287&lt;&gt;"manual_titration_mL","",IFERROR(INDEX('3_可滴定酸度'!$E$6:$E$13,MATCH($I287,'3_可滴定酸度'!$B$6:$B$13,0)),"")))</f>
        <v/>
      </c>
      <c r="M287" s="25">
        <f>IF($A287="","",IF($C287&lt;&gt;"manual_titration_mL","",IFERROR(INDEX('3_可滴定酸度'!$F$6:$F$13,MATCH($I287,'3_可滴定酸度'!$B$6:$B$13,0)),"")))</f>
        <v/>
      </c>
      <c r="N287" s="24">
        <f>IF($A287="","",IF(OR(K287="",L287="",M287=""),"",K287*E287*L287/(M287*1000)*100))</f>
        <v/>
      </c>
      <c r="O287" s="24">
        <f>IF($A287="","",IF(N287="","",IF(COUNTIFS('1_原始數據'!$A$2:$A$1000,$A287,'1_原始數據'!$B$2:$B$1000,$B287,'1_原始數據'!$D$2:$D$1000,$D287,'1_原始數據'!$I$2:$I$1000,$I287,'1_原始數據'!$C$2:$C$1000,"pasco_pct_acid")=0,"",SUMIFS('1_原始數據'!$E$2:$E$1000,'1_原始數據'!$A$2:$A$1000,$A287,'1_原始數據'!$B$2:$B$1000,$B287,'1_原始數據'!$D$2:$D$1000,$D287,'1_原始數據'!$I$2:$I$1000,$I287,'1_原始數據'!$C$2:$C$1000,"pasco_pct_acid"))))</f>
        <v/>
      </c>
      <c r="P287" s="26">
        <f>IF($A287="","",IF(OR(N287="",O287=""),"",O287-N287))</f>
        <v/>
      </c>
      <c r="Q287" s="24">
        <f>IF($A287="","",IF(P287="","",(O287+N287)/2))</f>
        <v/>
      </c>
      <c r="R287" s="27">
        <f>IF($A287="","",IF(P287="","",COUNT($P$2:P287)))</f>
        <v/>
      </c>
    </row>
    <row r="288">
      <c r="J288" s="24">
        <f>IF($A288="","",IF($C288&lt;&gt;"khp_titration_mL","",IF(COUNTIFS('1_原始數據'!$A$2:$A$1000,$A288,'1_原始數據'!$B$2:$B$1000,$B288,'1_原始數據'!$D$2:$D$1000,$D288,'1_原始數據'!$C$2:$C$1000,"khp_mass_g")=0,"",SUMIFS('1_原始數據'!$E$2:$E$1000,'1_原始數據'!$A$2:$A$1000,$A288,'1_原始數據'!$B$2:$B$1000,$B288,'1_原始數據'!$D$2:$D$1000,$D288,'1_原始數據'!$C$2:$C$1000,"khp_mass_g")/('2_NaOH標定'!$C$5*$E288/1000))))</f>
        <v/>
      </c>
      <c r="K288" s="24">
        <f>IF($A288="","",IF($C288&lt;&gt;"manual_titration_mL","",IF(COUNTIFS('1_原始數據'!$A$2:$A$1000,$A288,'1_原始數據'!$C$2:$C$1000,"khp_titration_mL")=0,"",AVERAGEIFS('1_原始數據'!$J$2:$J$1000,'1_原始數據'!$A$2:$A$1000,$A288,'1_原始數據'!$C$2:$C$1000,"khp_titration_mL"))))</f>
        <v/>
      </c>
      <c r="L288" s="25">
        <f>IF($A288="","",IF($C288&lt;&gt;"manual_titration_mL","",IFERROR(INDEX('3_可滴定酸度'!$E$6:$E$13,MATCH($I288,'3_可滴定酸度'!$B$6:$B$13,0)),"")))</f>
        <v/>
      </c>
      <c r="M288" s="25">
        <f>IF($A288="","",IF($C288&lt;&gt;"manual_titration_mL","",IFERROR(INDEX('3_可滴定酸度'!$F$6:$F$13,MATCH($I288,'3_可滴定酸度'!$B$6:$B$13,0)),"")))</f>
        <v/>
      </c>
      <c r="N288" s="24">
        <f>IF($A288="","",IF(OR(K288="",L288="",M288=""),"",K288*E288*L288/(M288*1000)*100))</f>
        <v/>
      </c>
      <c r="O288" s="24">
        <f>IF($A288="","",IF(N288="","",IF(COUNTIFS('1_原始數據'!$A$2:$A$1000,$A288,'1_原始數據'!$B$2:$B$1000,$B288,'1_原始數據'!$D$2:$D$1000,$D288,'1_原始數據'!$I$2:$I$1000,$I288,'1_原始數據'!$C$2:$C$1000,"pasco_pct_acid")=0,"",SUMIFS('1_原始數據'!$E$2:$E$1000,'1_原始數據'!$A$2:$A$1000,$A288,'1_原始數據'!$B$2:$B$1000,$B288,'1_原始數據'!$D$2:$D$1000,$D288,'1_原始數據'!$I$2:$I$1000,$I288,'1_原始數據'!$C$2:$C$1000,"pasco_pct_acid"))))</f>
        <v/>
      </c>
      <c r="P288" s="26">
        <f>IF($A288="","",IF(OR(N288="",O288=""),"",O288-N288))</f>
        <v/>
      </c>
      <c r="Q288" s="24">
        <f>IF($A288="","",IF(P288="","",(O288+N288)/2))</f>
        <v/>
      </c>
      <c r="R288" s="27">
        <f>IF($A288="","",IF(P288="","",COUNT($P$2:P288)))</f>
        <v/>
      </c>
    </row>
    <row r="289">
      <c r="J289" s="24">
        <f>IF($A289="","",IF($C289&lt;&gt;"khp_titration_mL","",IF(COUNTIFS('1_原始數據'!$A$2:$A$1000,$A289,'1_原始數據'!$B$2:$B$1000,$B289,'1_原始數據'!$D$2:$D$1000,$D289,'1_原始數據'!$C$2:$C$1000,"khp_mass_g")=0,"",SUMIFS('1_原始數據'!$E$2:$E$1000,'1_原始數據'!$A$2:$A$1000,$A289,'1_原始數據'!$B$2:$B$1000,$B289,'1_原始數據'!$D$2:$D$1000,$D289,'1_原始數據'!$C$2:$C$1000,"khp_mass_g")/('2_NaOH標定'!$C$5*$E289/1000))))</f>
        <v/>
      </c>
      <c r="K289" s="24">
        <f>IF($A289="","",IF($C289&lt;&gt;"manual_titration_mL","",IF(COUNTIFS('1_原始數據'!$A$2:$A$1000,$A289,'1_原始數據'!$C$2:$C$1000,"khp_titration_mL")=0,"",AVERAGEIFS('1_原始數據'!$J$2:$J$1000,'1_原始數據'!$A$2:$A$1000,$A289,'1_原始數據'!$C$2:$C$1000,"khp_titration_mL"))))</f>
        <v/>
      </c>
      <c r="L289" s="25">
        <f>IF($A289="","",IF($C289&lt;&gt;"manual_titration_mL","",IFERROR(INDEX('3_可滴定酸度'!$E$6:$E$13,MATCH($I289,'3_可滴定酸度'!$B$6:$B$13,0)),"")))</f>
        <v/>
      </c>
      <c r="M289" s="25">
        <f>IF($A289="","",IF($C289&lt;&gt;"manual_titration_mL","",IFERROR(INDEX('3_可滴定酸度'!$F$6:$F$13,MATCH($I289,'3_可滴定酸度'!$B$6:$B$13,0)),"")))</f>
        <v/>
      </c>
      <c r="N289" s="24">
        <f>IF($A289="","",IF(OR(K289="",L289="",M289=""),"",K289*E289*L289/(M289*1000)*100))</f>
        <v/>
      </c>
      <c r="O289" s="24">
        <f>IF($A289="","",IF(N289="","",IF(COUNTIFS('1_原始數據'!$A$2:$A$1000,$A289,'1_原始數據'!$B$2:$B$1000,$B289,'1_原始數據'!$D$2:$D$1000,$D289,'1_原始數據'!$I$2:$I$1000,$I289,'1_原始數據'!$C$2:$C$1000,"pasco_pct_acid")=0,"",SUMIFS('1_原始數據'!$E$2:$E$1000,'1_原始數據'!$A$2:$A$1000,$A289,'1_原始數據'!$B$2:$B$1000,$B289,'1_原始數據'!$D$2:$D$1000,$D289,'1_原始數據'!$I$2:$I$1000,$I289,'1_原始數據'!$C$2:$C$1000,"pasco_pct_acid"))))</f>
        <v/>
      </c>
      <c r="P289" s="26">
        <f>IF($A289="","",IF(OR(N289="",O289=""),"",O289-N289))</f>
        <v/>
      </c>
      <c r="Q289" s="24">
        <f>IF($A289="","",IF(P289="","",(O289+N289)/2))</f>
        <v/>
      </c>
      <c r="R289" s="27">
        <f>IF($A289="","",IF(P289="","",COUNT($P$2:P289)))</f>
        <v/>
      </c>
    </row>
    <row r="290">
      <c r="J290" s="24">
        <f>IF($A290="","",IF($C290&lt;&gt;"khp_titration_mL","",IF(COUNTIFS('1_原始數據'!$A$2:$A$1000,$A290,'1_原始數據'!$B$2:$B$1000,$B290,'1_原始數據'!$D$2:$D$1000,$D290,'1_原始數據'!$C$2:$C$1000,"khp_mass_g")=0,"",SUMIFS('1_原始數據'!$E$2:$E$1000,'1_原始數據'!$A$2:$A$1000,$A290,'1_原始數據'!$B$2:$B$1000,$B290,'1_原始數據'!$D$2:$D$1000,$D290,'1_原始數據'!$C$2:$C$1000,"khp_mass_g")/('2_NaOH標定'!$C$5*$E290/1000))))</f>
        <v/>
      </c>
      <c r="K290" s="24">
        <f>IF($A290="","",IF($C290&lt;&gt;"manual_titration_mL","",IF(COUNTIFS('1_原始數據'!$A$2:$A$1000,$A290,'1_原始數據'!$C$2:$C$1000,"khp_titration_mL")=0,"",AVERAGEIFS('1_原始數據'!$J$2:$J$1000,'1_原始數據'!$A$2:$A$1000,$A290,'1_原始數據'!$C$2:$C$1000,"khp_titration_mL"))))</f>
        <v/>
      </c>
      <c r="L290" s="25">
        <f>IF($A290="","",IF($C290&lt;&gt;"manual_titration_mL","",IFERROR(INDEX('3_可滴定酸度'!$E$6:$E$13,MATCH($I290,'3_可滴定酸度'!$B$6:$B$13,0)),"")))</f>
        <v/>
      </c>
      <c r="M290" s="25">
        <f>IF($A290="","",IF($C290&lt;&gt;"manual_titration_mL","",IFERROR(INDEX('3_可滴定酸度'!$F$6:$F$13,MATCH($I290,'3_可滴定酸度'!$B$6:$B$13,0)),"")))</f>
        <v/>
      </c>
      <c r="N290" s="24">
        <f>IF($A290="","",IF(OR(K290="",L290="",M290=""),"",K290*E290*L290/(M290*1000)*100))</f>
        <v/>
      </c>
      <c r="O290" s="24">
        <f>IF($A290="","",IF(N290="","",IF(COUNTIFS('1_原始數據'!$A$2:$A$1000,$A290,'1_原始數據'!$B$2:$B$1000,$B290,'1_原始數據'!$D$2:$D$1000,$D290,'1_原始數據'!$I$2:$I$1000,$I290,'1_原始數據'!$C$2:$C$1000,"pasco_pct_acid")=0,"",SUMIFS('1_原始數據'!$E$2:$E$1000,'1_原始數據'!$A$2:$A$1000,$A290,'1_原始數據'!$B$2:$B$1000,$B290,'1_原始數據'!$D$2:$D$1000,$D290,'1_原始數據'!$I$2:$I$1000,$I290,'1_原始數據'!$C$2:$C$1000,"pasco_pct_acid"))))</f>
        <v/>
      </c>
      <c r="P290" s="26">
        <f>IF($A290="","",IF(OR(N290="",O290=""),"",O290-N290))</f>
        <v/>
      </c>
      <c r="Q290" s="24">
        <f>IF($A290="","",IF(P290="","",(O290+N290)/2))</f>
        <v/>
      </c>
      <c r="R290" s="27">
        <f>IF($A290="","",IF(P290="","",COUNT($P$2:P290)))</f>
        <v/>
      </c>
    </row>
    <row r="291">
      <c r="J291" s="24">
        <f>IF($A291="","",IF($C291&lt;&gt;"khp_titration_mL","",IF(COUNTIFS('1_原始數據'!$A$2:$A$1000,$A291,'1_原始數據'!$B$2:$B$1000,$B291,'1_原始數據'!$D$2:$D$1000,$D291,'1_原始數據'!$C$2:$C$1000,"khp_mass_g")=0,"",SUMIFS('1_原始數據'!$E$2:$E$1000,'1_原始數據'!$A$2:$A$1000,$A291,'1_原始數據'!$B$2:$B$1000,$B291,'1_原始數據'!$D$2:$D$1000,$D291,'1_原始數據'!$C$2:$C$1000,"khp_mass_g")/('2_NaOH標定'!$C$5*$E291/1000))))</f>
        <v/>
      </c>
      <c r="K291" s="24">
        <f>IF($A291="","",IF($C291&lt;&gt;"manual_titration_mL","",IF(COUNTIFS('1_原始數據'!$A$2:$A$1000,$A291,'1_原始數據'!$C$2:$C$1000,"khp_titration_mL")=0,"",AVERAGEIFS('1_原始數據'!$J$2:$J$1000,'1_原始數據'!$A$2:$A$1000,$A291,'1_原始數據'!$C$2:$C$1000,"khp_titration_mL"))))</f>
        <v/>
      </c>
      <c r="L291" s="25">
        <f>IF($A291="","",IF($C291&lt;&gt;"manual_titration_mL","",IFERROR(INDEX('3_可滴定酸度'!$E$6:$E$13,MATCH($I291,'3_可滴定酸度'!$B$6:$B$13,0)),"")))</f>
        <v/>
      </c>
      <c r="M291" s="25">
        <f>IF($A291="","",IF($C291&lt;&gt;"manual_titration_mL","",IFERROR(INDEX('3_可滴定酸度'!$F$6:$F$13,MATCH($I291,'3_可滴定酸度'!$B$6:$B$13,0)),"")))</f>
        <v/>
      </c>
      <c r="N291" s="24">
        <f>IF($A291="","",IF(OR(K291="",L291="",M291=""),"",K291*E291*L291/(M291*1000)*100))</f>
        <v/>
      </c>
      <c r="O291" s="24">
        <f>IF($A291="","",IF(N291="","",IF(COUNTIFS('1_原始數據'!$A$2:$A$1000,$A291,'1_原始數據'!$B$2:$B$1000,$B291,'1_原始數據'!$D$2:$D$1000,$D291,'1_原始數據'!$I$2:$I$1000,$I291,'1_原始數據'!$C$2:$C$1000,"pasco_pct_acid")=0,"",SUMIFS('1_原始數據'!$E$2:$E$1000,'1_原始數據'!$A$2:$A$1000,$A291,'1_原始數據'!$B$2:$B$1000,$B291,'1_原始數據'!$D$2:$D$1000,$D291,'1_原始數據'!$I$2:$I$1000,$I291,'1_原始數據'!$C$2:$C$1000,"pasco_pct_acid"))))</f>
        <v/>
      </c>
      <c r="P291" s="26">
        <f>IF($A291="","",IF(OR(N291="",O291=""),"",O291-N291))</f>
        <v/>
      </c>
      <c r="Q291" s="24">
        <f>IF($A291="","",IF(P291="","",(O291+N291)/2))</f>
        <v/>
      </c>
      <c r="R291" s="27">
        <f>IF($A291="","",IF(P291="","",COUNT($P$2:P291)))</f>
        <v/>
      </c>
    </row>
    <row r="292">
      <c r="J292" s="24">
        <f>IF($A292="","",IF($C292&lt;&gt;"khp_titration_mL","",IF(COUNTIFS('1_原始數據'!$A$2:$A$1000,$A292,'1_原始數據'!$B$2:$B$1000,$B292,'1_原始數據'!$D$2:$D$1000,$D292,'1_原始數據'!$C$2:$C$1000,"khp_mass_g")=0,"",SUMIFS('1_原始數據'!$E$2:$E$1000,'1_原始數據'!$A$2:$A$1000,$A292,'1_原始數據'!$B$2:$B$1000,$B292,'1_原始數據'!$D$2:$D$1000,$D292,'1_原始數據'!$C$2:$C$1000,"khp_mass_g")/('2_NaOH標定'!$C$5*$E292/1000))))</f>
        <v/>
      </c>
      <c r="K292" s="24">
        <f>IF($A292="","",IF($C292&lt;&gt;"manual_titration_mL","",IF(COUNTIFS('1_原始數據'!$A$2:$A$1000,$A292,'1_原始數據'!$C$2:$C$1000,"khp_titration_mL")=0,"",AVERAGEIFS('1_原始數據'!$J$2:$J$1000,'1_原始數據'!$A$2:$A$1000,$A292,'1_原始數據'!$C$2:$C$1000,"khp_titration_mL"))))</f>
        <v/>
      </c>
      <c r="L292" s="25">
        <f>IF($A292="","",IF($C292&lt;&gt;"manual_titration_mL","",IFERROR(INDEX('3_可滴定酸度'!$E$6:$E$13,MATCH($I292,'3_可滴定酸度'!$B$6:$B$13,0)),"")))</f>
        <v/>
      </c>
      <c r="M292" s="25">
        <f>IF($A292="","",IF($C292&lt;&gt;"manual_titration_mL","",IFERROR(INDEX('3_可滴定酸度'!$F$6:$F$13,MATCH($I292,'3_可滴定酸度'!$B$6:$B$13,0)),"")))</f>
        <v/>
      </c>
      <c r="N292" s="24">
        <f>IF($A292="","",IF(OR(K292="",L292="",M292=""),"",K292*E292*L292/(M292*1000)*100))</f>
        <v/>
      </c>
      <c r="O292" s="24">
        <f>IF($A292="","",IF(N292="","",IF(COUNTIFS('1_原始數據'!$A$2:$A$1000,$A292,'1_原始數據'!$B$2:$B$1000,$B292,'1_原始數據'!$D$2:$D$1000,$D292,'1_原始數據'!$I$2:$I$1000,$I292,'1_原始數據'!$C$2:$C$1000,"pasco_pct_acid")=0,"",SUMIFS('1_原始數據'!$E$2:$E$1000,'1_原始數據'!$A$2:$A$1000,$A292,'1_原始數據'!$B$2:$B$1000,$B292,'1_原始數據'!$D$2:$D$1000,$D292,'1_原始數據'!$I$2:$I$1000,$I292,'1_原始數據'!$C$2:$C$1000,"pasco_pct_acid"))))</f>
        <v/>
      </c>
      <c r="P292" s="26">
        <f>IF($A292="","",IF(OR(N292="",O292=""),"",O292-N292))</f>
        <v/>
      </c>
      <c r="Q292" s="24">
        <f>IF($A292="","",IF(P292="","",(O292+N292)/2))</f>
        <v/>
      </c>
      <c r="R292" s="27">
        <f>IF($A292="","",IF(P292="","",COUNT($P$2:P292)))</f>
        <v/>
      </c>
    </row>
    <row r="293">
      <c r="J293" s="24">
        <f>IF($A293="","",IF($C293&lt;&gt;"khp_titration_mL","",IF(COUNTIFS('1_原始數據'!$A$2:$A$1000,$A293,'1_原始數據'!$B$2:$B$1000,$B293,'1_原始數據'!$D$2:$D$1000,$D293,'1_原始數據'!$C$2:$C$1000,"khp_mass_g")=0,"",SUMIFS('1_原始數據'!$E$2:$E$1000,'1_原始數據'!$A$2:$A$1000,$A293,'1_原始數據'!$B$2:$B$1000,$B293,'1_原始數據'!$D$2:$D$1000,$D293,'1_原始數據'!$C$2:$C$1000,"khp_mass_g")/('2_NaOH標定'!$C$5*$E293/1000))))</f>
        <v/>
      </c>
      <c r="K293" s="24">
        <f>IF($A293="","",IF($C293&lt;&gt;"manual_titration_mL","",IF(COUNTIFS('1_原始數據'!$A$2:$A$1000,$A293,'1_原始數據'!$C$2:$C$1000,"khp_titration_mL")=0,"",AVERAGEIFS('1_原始數據'!$J$2:$J$1000,'1_原始數據'!$A$2:$A$1000,$A293,'1_原始數據'!$C$2:$C$1000,"khp_titration_mL"))))</f>
        <v/>
      </c>
      <c r="L293" s="25">
        <f>IF($A293="","",IF($C293&lt;&gt;"manual_titration_mL","",IFERROR(INDEX('3_可滴定酸度'!$E$6:$E$13,MATCH($I293,'3_可滴定酸度'!$B$6:$B$13,0)),"")))</f>
        <v/>
      </c>
      <c r="M293" s="25">
        <f>IF($A293="","",IF($C293&lt;&gt;"manual_titration_mL","",IFERROR(INDEX('3_可滴定酸度'!$F$6:$F$13,MATCH($I293,'3_可滴定酸度'!$B$6:$B$13,0)),"")))</f>
        <v/>
      </c>
      <c r="N293" s="24">
        <f>IF($A293="","",IF(OR(K293="",L293="",M293=""),"",K293*E293*L293/(M293*1000)*100))</f>
        <v/>
      </c>
      <c r="O293" s="24">
        <f>IF($A293="","",IF(N293="","",IF(COUNTIFS('1_原始數據'!$A$2:$A$1000,$A293,'1_原始數據'!$B$2:$B$1000,$B293,'1_原始數據'!$D$2:$D$1000,$D293,'1_原始數據'!$I$2:$I$1000,$I293,'1_原始數據'!$C$2:$C$1000,"pasco_pct_acid")=0,"",SUMIFS('1_原始數據'!$E$2:$E$1000,'1_原始數據'!$A$2:$A$1000,$A293,'1_原始數據'!$B$2:$B$1000,$B293,'1_原始數據'!$D$2:$D$1000,$D293,'1_原始數據'!$I$2:$I$1000,$I293,'1_原始數據'!$C$2:$C$1000,"pasco_pct_acid"))))</f>
        <v/>
      </c>
      <c r="P293" s="26">
        <f>IF($A293="","",IF(OR(N293="",O293=""),"",O293-N293))</f>
        <v/>
      </c>
      <c r="Q293" s="24">
        <f>IF($A293="","",IF(P293="","",(O293+N293)/2))</f>
        <v/>
      </c>
      <c r="R293" s="27">
        <f>IF($A293="","",IF(P293="","",COUNT($P$2:P293)))</f>
        <v/>
      </c>
    </row>
    <row r="294">
      <c r="J294" s="24">
        <f>IF($A294="","",IF($C294&lt;&gt;"khp_titration_mL","",IF(COUNTIFS('1_原始數據'!$A$2:$A$1000,$A294,'1_原始數據'!$B$2:$B$1000,$B294,'1_原始數據'!$D$2:$D$1000,$D294,'1_原始數據'!$C$2:$C$1000,"khp_mass_g")=0,"",SUMIFS('1_原始數據'!$E$2:$E$1000,'1_原始數據'!$A$2:$A$1000,$A294,'1_原始數據'!$B$2:$B$1000,$B294,'1_原始數據'!$D$2:$D$1000,$D294,'1_原始數據'!$C$2:$C$1000,"khp_mass_g")/('2_NaOH標定'!$C$5*$E294/1000))))</f>
        <v/>
      </c>
      <c r="K294" s="24">
        <f>IF($A294="","",IF($C294&lt;&gt;"manual_titration_mL","",IF(COUNTIFS('1_原始數據'!$A$2:$A$1000,$A294,'1_原始數據'!$C$2:$C$1000,"khp_titration_mL")=0,"",AVERAGEIFS('1_原始數據'!$J$2:$J$1000,'1_原始數據'!$A$2:$A$1000,$A294,'1_原始數據'!$C$2:$C$1000,"khp_titration_mL"))))</f>
        <v/>
      </c>
      <c r="L294" s="25">
        <f>IF($A294="","",IF($C294&lt;&gt;"manual_titration_mL","",IFERROR(INDEX('3_可滴定酸度'!$E$6:$E$13,MATCH($I294,'3_可滴定酸度'!$B$6:$B$13,0)),"")))</f>
        <v/>
      </c>
      <c r="M294" s="25">
        <f>IF($A294="","",IF($C294&lt;&gt;"manual_titration_mL","",IFERROR(INDEX('3_可滴定酸度'!$F$6:$F$13,MATCH($I294,'3_可滴定酸度'!$B$6:$B$13,0)),"")))</f>
        <v/>
      </c>
      <c r="N294" s="24">
        <f>IF($A294="","",IF(OR(K294="",L294="",M294=""),"",K294*E294*L294/(M294*1000)*100))</f>
        <v/>
      </c>
      <c r="O294" s="24">
        <f>IF($A294="","",IF(N294="","",IF(COUNTIFS('1_原始數據'!$A$2:$A$1000,$A294,'1_原始數據'!$B$2:$B$1000,$B294,'1_原始數據'!$D$2:$D$1000,$D294,'1_原始數據'!$I$2:$I$1000,$I294,'1_原始數據'!$C$2:$C$1000,"pasco_pct_acid")=0,"",SUMIFS('1_原始數據'!$E$2:$E$1000,'1_原始數據'!$A$2:$A$1000,$A294,'1_原始數據'!$B$2:$B$1000,$B294,'1_原始數據'!$D$2:$D$1000,$D294,'1_原始數據'!$I$2:$I$1000,$I294,'1_原始數據'!$C$2:$C$1000,"pasco_pct_acid"))))</f>
        <v/>
      </c>
      <c r="P294" s="26">
        <f>IF($A294="","",IF(OR(N294="",O294=""),"",O294-N294))</f>
        <v/>
      </c>
      <c r="Q294" s="24">
        <f>IF($A294="","",IF(P294="","",(O294+N294)/2))</f>
        <v/>
      </c>
      <c r="R294" s="27">
        <f>IF($A294="","",IF(P294="","",COUNT($P$2:P294)))</f>
        <v/>
      </c>
    </row>
    <row r="295">
      <c r="J295" s="24">
        <f>IF($A295="","",IF($C295&lt;&gt;"khp_titration_mL","",IF(COUNTIFS('1_原始數據'!$A$2:$A$1000,$A295,'1_原始數據'!$B$2:$B$1000,$B295,'1_原始數據'!$D$2:$D$1000,$D295,'1_原始數據'!$C$2:$C$1000,"khp_mass_g")=0,"",SUMIFS('1_原始數據'!$E$2:$E$1000,'1_原始數據'!$A$2:$A$1000,$A295,'1_原始數據'!$B$2:$B$1000,$B295,'1_原始數據'!$D$2:$D$1000,$D295,'1_原始數據'!$C$2:$C$1000,"khp_mass_g")/('2_NaOH標定'!$C$5*$E295/1000))))</f>
        <v/>
      </c>
      <c r="K295" s="24">
        <f>IF($A295="","",IF($C295&lt;&gt;"manual_titration_mL","",IF(COUNTIFS('1_原始數據'!$A$2:$A$1000,$A295,'1_原始數據'!$C$2:$C$1000,"khp_titration_mL")=0,"",AVERAGEIFS('1_原始數據'!$J$2:$J$1000,'1_原始數據'!$A$2:$A$1000,$A295,'1_原始數據'!$C$2:$C$1000,"khp_titration_mL"))))</f>
        <v/>
      </c>
      <c r="L295" s="25">
        <f>IF($A295="","",IF($C295&lt;&gt;"manual_titration_mL","",IFERROR(INDEX('3_可滴定酸度'!$E$6:$E$13,MATCH($I295,'3_可滴定酸度'!$B$6:$B$13,0)),"")))</f>
        <v/>
      </c>
      <c r="M295" s="25">
        <f>IF($A295="","",IF($C295&lt;&gt;"manual_titration_mL","",IFERROR(INDEX('3_可滴定酸度'!$F$6:$F$13,MATCH($I295,'3_可滴定酸度'!$B$6:$B$13,0)),"")))</f>
        <v/>
      </c>
      <c r="N295" s="24">
        <f>IF($A295="","",IF(OR(K295="",L295="",M295=""),"",K295*E295*L295/(M295*1000)*100))</f>
        <v/>
      </c>
      <c r="O295" s="24">
        <f>IF($A295="","",IF(N295="","",IF(COUNTIFS('1_原始數據'!$A$2:$A$1000,$A295,'1_原始數據'!$B$2:$B$1000,$B295,'1_原始數據'!$D$2:$D$1000,$D295,'1_原始數據'!$I$2:$I$1000,$I295,'1_原始數據'!$C$2:$C$1000,"pasco_pct_acid")=0,"",SUMIFS('1_原始數據'!$E$2:$E$1000,'1_原始數據'!$A$2:$A$1000,$A295,'1_原始數據'!$B$2:$B$1000,$B295,'1_原始數據'!$D$2:$D$1000,$D295,'1_原始數據'!$I$2:$I$1000,$I295,'1_原始數據'!$C$2:$C$1000,"pasco_pct_acid"))))</f>
        <v/>
      </c>
      <c r="P295" s="26">
        <f>IF($A295="","",IF(OR(N295="",O295=""),"",O295-N295))</f>
        <v/>
      </c>
      <c r="Q295" s="24">
        <f>IF($A295="","",IF(P295="","",(O295+N295)/2))</f>
        <v/>
      </c>
      <c r="R295" s="27">
        <f>IF($A295="","",IF(P295="","",COUNT($P$2:P295)))</f>
        <v/>
      </c>
    </row>
    <row r="296">
      <c r="J296" s="24">
        <f>IF($A296="","",IF($C296&lt;&gt;"khp_titration_mL","",IF(COUNTIFS('1_原始數據'!$A$2:$A$1000,$A296,'1_原始數據'!$B$2:$B$1000,$B296,'1_原始數據'!$D$2:$D$1000,$D296,'1_原始數據'!$C$2:$C$1000,"khp_mass_g")=0,"",SUMIFS('1_原始數據'!$E$2:$E$1000,'1_原始數據'!$A$2:$A$1000,$A296,'1_原始數據'!$B$2:$B$1000,$B296,'1_原始數據'!$D$2:$D$1000,$D296,'1_原始數據'!$C$2:$C$1000,"khp_mass_g")/('2_NaOH標定'!$C$5*$E296/1000))))</f>
        <v/>
      </c>
      <c r="K296" s="24">
        <f>IF($A296="","",IF($C296&lt;&gt;"manual_titration_mL","",IF(COUNTIFS('1_原始數據'!$A$2:$A$1000,$A296,'1_原始數據'!$C$2:$C$1000,"khp_titration_mL")=0,"",AVERAGEIFS('1_原始數據'!$J$2:$J$1000,'1_原始數據'!$A$2:$A$1000,$A296,'1_原始數據'!$C$2:$C$1000,"khp_titration_mL"))))</f>
        <v/>
      </c>
      <c r="L296" s="25">
        <f>IF($A296="","",IF($C296&lt;&gt;"manual_titration_mL","",IFERROR(INDEX('3_可滴定酸度'!$E$6:$E$13,MATCH($I296,'3_可滴定酸度'!$B$6:$B$13,0)),"")))</f>
        <v/>
      </c>
      <c r="M296" s="25">
        <f>IF($A296="","",IF($C296&lt;&gt;"manual_titration_mL","",IFERROR(INDEX('3_可滴定酸度'!$F$6:$F$13,MATCH($I296,'3_可滴定酸度'!$B$6:$B$13,0)),"")))</f>
        <v/>
      </c>
      <c r="N296" s="24">
        <f>IF($A296="","",IF(OR(K296="",L296="",M296=""),"",K296*E296*L296/(M296*1000)*100))</f>
        <v/>
      </c>
      <c r="O296" s="24">
        <f>IF($A296="","",IF(N296="","",IF(COUNTIFS('1_原始數據'!$A$2:$A$1000,$A296,'1_原始數據'!$B$2:$B$1000,$B296,'1_原始數據'!$D$2:$D$1000,$D296,'1_原始數據'!$I$2:$I$1000,$I296,'1_原始數據'!$C$2:$C$1000,"pasco_pct_acid")=0,"",SUMIFS('1_原始數據'!$E$2:$E$1000,'1_原始數據'!$A$2:$A$1000,$A296,'1_原始數據'!$B$2:$B$1000,$B296,'1_原始數據'!$D$2:$D$1000,$D296,'1_原始數據'!$I$2:$I$1000,$I296,'1_原始數據'!$C$2:$C$1000,"pasco_pct_acid"))))</f>
        <v/>
      </c>
      <c r="P296" s="26">
        <f>IF($A296="","",IF(OR(N296="",O296=""),"",O296-N296))</f>
        <v/>
      </c>
      <c r="Q296" s="24">
        <f>IF($A296="","",IF(P296="","",(O296+N296)/2))</f>
        <v/>
      </c>
      <c r="R296" s="27">
        <f>IF($A296="","",IF(P296="","",COUNT($P$2:P296)))</f>
        <v/>
      </c>
    </row>
    <row r="297">
      <c r="J297" s="24">
        <f>IF($A297="","",IF($C297&lt;&gt;"khp_titration_mL","",IF(COUNTIFS('1_原始數據'!$A$2:$A$1000,$A297,'1_原始數據'!$B$2:$B$1000,$B297,'1_原始數據'!$D$2:$D$1000,$D297,'1_原始數據'!$C$2:$C$1000,"khp_mass_g")=0,"",SUMIFS('1_原始數據'!$E$2:$E$1000,'1_原始數據'!$A$2:$A$1000,$A297,'1_原始數據'!$B$2:$B$1000,$B297,'1_原始數據'!$D$2:$D$1000,$D297,'1_原始數據'!$C$2:$C$1000,"khp_mass_g")/('2_NaOH標定'!$C$5*$E297/1000))))</f>
        <v/>
      </c>
      <c r="K297" s="24">
        <f>IF($A297="","",IF($C297&lt;&gt;"manual_titration_mL","",IF(COUNTIFS('1_原始數據'!$A$2:$A$1000,$A297,'1_原始數據'!$C$2:$C$1000,"khp_titration_mL")=0,"",AVERAGEIFS('1_原始數據'!$J$2:$J$1000,'1_原始數據'!$A$2:$A$1000,$A297,'1_原始數據'!$C$2:$C$1000,"khp_titration_mL"))))</f>
        <v/>
      </c>
      <c r="L297" s="25">
        <f>IF($A297="","",IF($C297&lt;&gt;"manual_titration_mL","",IFERROR(INDEX('3_可滴定酸度'!$E$6:$E$13,MATCH($I297,'3_可滴定酸度'!$B$6:$B$13,0)),"")))</f>
        <v/>
      </c>
      <c r="M297" s="25">
        <f>IF($A297="","",IF($C297&lt;&gt;"manual_titration_mL","",IFERROR(INDEX('3_可滴定酸度'!$F$6:$F$13,MATCH($I297,'3_可滴定酸度'!$B$6:$B$13,0)),"")))</f>
        <v/>
      </c>
      <c r="N297" s="24">
        <f>IF($A297="","",IF(OR(K297="",L297="",M297=""),"",K297*E297*L297/(M297*1000)*100))</f>
        <v/>
      </c>
      <c r="O297" s="24">
        <f>IF($A297="","",IF(N297="","",IF(COUNTIFS('1_原始數據'!$A$2:$A$1000,$A297,'1_原始數據'!$B$2:$B$1000,$B297,'1_原始數據'!$D$2:$D$1000,$D297,'1_原始數據'!$I$2:$I$1000,$I297,'1_原始數據'!$C$2:$C$1000,"pasco_pct_acid")=0,"",SUMIFS('1_原始數據'!$E$2:$E$1000,'1_原始數據'!$A$2:$A$1000,$A297,'1_原始數據'!$B$2:$B$1000,$B297,'1_原始數據'!$D$2:$D$1000,$D297,'1_原始數據'!$I$2:$I$1000,$I297,'1_原始數據'!$C$2:$C$1000,"pasco_pct_acid"))))</f>
        <v/>
      </c>
      <c r="P297" s="26">
        <f>IF($A297="","",IF(OR(N297="",O297=""),"",O297-N297))</f>
        <v/>
      </c>
      <c r="Q297" s="24">
        <f>IF($A297="","",IF(P297="","",(O297+N297)/2))</f>
        <v/>
      </c>
      <c r="R297" s="27">
        <f>IF($A297="","",IF(P297="","",COUNT($P$2:P297)))</f>
        <v/>
      </c>
    </row>
    <row r="298">
      <c r="J298" s="24">
        <f>IF($A298="","",IF($C298&lt;&gt;"khp_titration_mL","",IF(COUNTIFS('1_原始數據'!$A$2:$A$1000,$A298,'1_原始數據'!$B$2:$B$1000,$B298,'1_原始數據'!$D$2:$D$1000,$D298,'1_原始數據'!$C$2:$C$1000,"khp_mass_g")=0,"",SUMIFS('1_原始數據'!$E$2:$E$1000,'1_原始數據'!$A$2:$A$1000,$A298,'1_原始數據'!$B$2:$B$1000,$B298,'1_原始數據'!$D$2:$D$1000,$D298,'1_原始數據'!$C$2:$C$1000,"khp_mass_g")/('2_NaOH標定'!$C$5*$E298/1000))))</f>
        <v/>
      </c>
      <c r="K298" s="24">
        <f>IF($A298="","",IF($C298&lt;&gt;"manual_titration_mL","",IF(COUNTIFS('1_原始數據'!$A$2:$A$1000,$A298,'1_原始數據'!$C$2:$C$1000,"khp_titration_mL")=0,"",AVERAGEIFS('1_原始數據'!$J$2:$J$1000,'1_原始數據'!$A$2:$A$1000,$A298,'1_原始數據'!$C$2:$C$1000,"khp_titration_mL"))))</f>
        <v/>
      </c>
      <c r="L298" s="25">
        <f>IF($A298="","",IF($C298&lt;&gt;"manual_titration_mL","",IFERROR(INDEX('3_可滴定酸度'!$E$6:$E$13,MATCH($I298,'3_可滴定酸度'!$B$6:$B$13,0)),"")))</f>
        <v/>
      </c>
      <c r="M298" s="25">
        <f>IF($A298="","",IF($C298&lt;&gt;"manual_titration_mL","",IFERROR(INDEX('3_可滴定酸度'!$F$6:$F$13,MATCH($I298,'3_可滴定酸度'!$B$6:$B$13,0)),"")))</f>
        <v/>
      </c>
      <c r="N298" s="24">
        <f>IF($A298="","",IF(OR(K298="",L298="",M298=""),"",K298*E298*L298/(M298*1000)*100))</f>
        <v/>
      </c>
      <c r="O298" s="24">
        <f>IF($A298="","",IF(N298="","",IF(COUNTIFS('1_原始數據'!$A$2:$A$1000,$A298,'1_原始數據'!$B$2:$B$1000,$B298,'1_原始數據'!$D$2:$D$1000,$D298,'1_原始數據'!$I$2:$I$1000,$I298,'1_原始數據'!$C$2:$C$1000,"pasco_pct_acid")=0,"",SUMIFS('1_原始數據'!$E$2:$E$1000,'1_原始數據'!$A$2:$A$1000,$A298,'1_原始數據'!$B$2:$B$1000,$B298,'1_原始數據'!$D$2:$D$1000,$D298,'1_原始數據'!$I$2:$I$1000,$I298,'1_原始數據'!$C$2:$C$1000,"pasco_pct_acid"))))</f>
        <v/>
      </c>
      <c r="P298" s="26">
        <f>IF($A298="","",IF(OR(N298="",O298=""),"",O298-N298))</f>
        <v/>
      </c>
      <c r="Q298" s="24">
        <f>IF($A298="","",IF(P298="","",(O298+N298)/2))</f>
        <v/>
      </c>
      <c r="R298" s="27">
        <f>IF($A298="","",IF(P298="","",COUNT($P$2:P298)))</f>
        <v/>
      </c>
    </row>
    <row r="299">
      <c r="J299" s="24">
        <f>IF($A299="","",IF($C299&lt;&gt;"khp_titration_mL","",IF(COUNTIFS('1_原始數據'!$A$2:$A$1000,$A299,'1_原始數據'!$B$2:$B$1000,$B299,'1_原始數據'!$D$2:$D$1000,$D299,'1_原始數據'!$C$2:$C$1000,"khp_mass_g")=0,"",SUMIFS('1_原始數據'!$E$2:$E$1000,'1_原始數據'!$A$2:$A$1000,$A299,'1_原始數據'!$B$2:$B$1000,$B299,'1_原始數據'!$D$2:$D$1000,$D299,'1_原始數據'!$C$2:$C$1000,"khp_mass_g")/('2_NaOH標定'!$C$5*$E299/1000))))</f>
        <v/>
      </c>
      <c r="K299" s="24">
        <f>IF($A299="","",IF($C299&lt;&gt;"manual_titration_mL","",IF(COUNTIFS('1_原始數據'!$A$2:$A$1000,$A299,'1_原始數據'!$C$2:$C$1000,"khp_titration_mL")=0,"",AVERAGEIFS('1_原始數據'!$J$2:$J$1000,'1_原始數據'!$A$2:$A$1000,$A299,'1_原始數據'!$C$2:$C$1000,"khp_titration_mL"))))</f>
        <v/>
      </c>
      <c r="L299" s="25">
        <f>IF($A299="","",IF($C299&lt;&gt;"manual_titration_mL","",IFERROR(INDEX('3_可滴定酸度'!$E$6:$E$13,MATCH($I299,'3_可滴定酸度'!$B$6:$B$13,0)),"")))</f>
        <v/>
      </c>
      <c r="M299" s="25">
        <f>IF($A299="","",IF($C299&lt;&gt;"manual_titration_mL","",IFERROR(INDEX('3_可滴定酸度'!$F$6:$F$13,MATCH($I299,'3_可滴定酸度'!$B$6:$B$13,0)),"")))</f>
        <v/>
      </c>
      <c r="N299" s="24">
        <f>IF($A299="","",IF(OR(K299="",L299="",M299=""),"",K299*E299*L299/(M299*1000)*100))</f>
        <v/>
      </c>
      <c r="O299" s="24">
        <f>IF($A299="","",IF(N299="","",IF(COUNTIFS('1_原始數據'!$A$2:$A$1000,$A299,'1_原始數據'!$B$2:$B$1000,$B299,'1_原始數據'!$D$2:$D$1000,$D299,'1_原始數據'!$I$2:$I$1000,$I299,'1_原始數據'!$C$2:$C$1000,"pasco_pct_acid")=0,"",SUMIFS('1_原始數據'!$E$2:$E$1000,'1_原始數據'!$A$2:$A$1000,$A299,'1_原始數據'!$B$2:$B$1000,$B299,'1_原始數據'!$D$2:$D$1000,$D299,'1_原始數據'!$I$2:$I$1000,$I299,'1_原始數據'!$C$2:$C$1000,"pasco_pct_acid"))))</f>
        <v/>
      </c>
      <c r="P299" s="26">
        <f>IF($A299="","",IF(OR(N299="",O299=""),"",O299-N299))</f>
        <v/>
      </c>
      <c r="Q299" s="24">
        <f>IF($A299="","",IF(P299="","",(O299+N299)/2))</f>
        <v/>
      </c>
      <c r="R299" s="27">
        <f>IF($A299="","",IF(P299="","",COUNT($P$2:P299)))</f>
        <v/>
      </c>
    </row>
    <row r="300">
      <c r="J300" s="24">
        <f>IF($A300="","",IF($C300&lt;&gt;"khp_titration_mL","",IF(COUNTIFS('1_原始數據'!$A$2:$A$1000,$A300,'1_原始數據'!$B$2:$B$1000,$B300,'1_原始數據'!$D$2:$D$1000,$D300,'1_原始數據'!$C$2:$C$1000,"khp_mass_g")=0,"",SUMIFS('1_原始數據'!$E$2:$E$1000,'1_原始數據'!$A$2:$A$1000,$A300,'1_原始數據'!$B$2:$B$1000,$B300,'1_原始數據'!$D$2:$D$1000,$D300,'1_原始數據'!$C$2:$C$1000,"khp_mass_g")/('2_NaOH標定'!$C$5*$E300/1000))))</f>
        <v/>
      </c>
      <c r="K300" s="24">
        <f>IF($A300="","",IF($C300&lt;&gt;"manual_titration_mL","",IF(COUNTIFS('1_原始數據'!$A$2:$A$1000,$A300,'1_原始數據'!$C$2:$C$1000,"khp_titration_mL")=0,"",AVERAGEIFS('1_原始數據'!$J$2:$J$1000,'1_原始數據'!$A$2:$A$1000,$A300,'1_原始數據'!$C$2:$C$1000,"khp_titration_mL"))))</f>
        <v/>
      </c>
      <c r="L300" s="25">
        <f>IF($A300="","",IF($C300&lt;&gt;"manual_titration_mL","",IFERROR(INDEX('3_可滴定酸度'!$E$6:$E$13,MATCH($I300,'3_可滴定酸度'!$B$6:$B$13,0)),"")))</f>
        <v/>
      </c>
      <c r="M300" s="25">
        <f>IF($A300="","",IF($C300&lt;&gt;"manual_titration_mL","",IFERROR(INDEX('3_可滴定酸度'!$F$6:$F$13,MATCH($I300,'3_可滴定酸度'!$B$6:$B$13,0)),"")))</f>
        <v/>
      </c>
      <c r="N300" s="24">
        <f>IF($A300="","",IF(OR(K300="",L300="",M300=""),"",K300*E300*L300/(M300*1000)*100))</f>
        <v/>
      </c>
      <c r="O300" s="24">
        <f>IF($A300="","",IF(N300="","",IF(COUNTIFS('1_原始數據'!$A$2:$A$1000,$A300,'1_原始數據'!$B$2:$B$1000,$B300,'1_原始數據'!$D$2:$D$1000,$D300,'1_原始數據'!$I$2:$I$1000,$I300,'1_原始數據'!$C$2:$C$1000,"pasco_pct_acid")=0,"",SUMIFS('1_原始數據'!$E$2:$E$1000,'1_原始數據'!$A$2:$A$1000,$A300,'1_原始數據'!$B$2:$B$1000,$B300,'1_原始數據'!$D$2:$D$1000,$D300,'1_原始數據'!$I$2:$I$1000,$I300,'1_原始數據'!$C$2:$C$1000,"pasco_pct_acid"))))</f>
        <v/>
      </c>
      <c r="P300" s="26">
        <f>IF($A300="","",IF(OR(N300="",O300=""),"",O300-N300))</f>
        <v/>
      </c>
      <c r="Q300" s="24">
        <f>IF($A300="","",IF(P300="","",(O300+N300)/2))</f>
        <v/>
      </c>
      <c r="R300" s="27">
        <f>IF($A300="","",IF(P300="","",COUNT($P$2:P300)))</f>
        <v/>
      </c>
    </row>
    <row r="301">
      <c r="J301" s="24">
        <f>IF($A301="","",IF($C301&lt;&gt;"khp_titration_mL","",IF(COUNTIFS('1_原始數據'!$A$2:$A$1000,$A301,'1_原始數據'!$B$2:$B$1000,$B301,'1_原始數據'!$D$2:$D$1000,$D301,'1_原始數據'!$C$2:$C$1000,"khp_mass_g")=0,"",SUMIFS('1_原始數據'!$E$2:$E$1000,'1_原始數據'!$A$2:$A$1000,$A301,'1_原始數據'!$B$2:$B$1000,$B301,'1_原始數據'!$D$2:$D$1000,$D301,'1_原始數據'!$C$2:$C$1000,"khp_mass_g")/('2_NaOH標定'!$C$5*$E301/1000))))</f>
        <v/>
      </c>
      <c r="K301" s="24">
        <f>IF($A301="","",IF($C301&lt;&gt;"manual_titration_mL","",IF(COUNTIFS('1_原始數據'!$A$2:$A$1000,$A301,'1_原始數據'!$C$2:$C$1000,"khp_titration_mL")=0,"",AVERAGEIFS('1_原始數據'!$J$2:$J$1000,'1_原始數據'!$A$2:$A$1000,$A301,'1_原始數據'!$C$2:$C$1000,"khp_titration_mL"))))</f>
        <v/>
      </c>
      <c r="L301" s="25">
        <f>IF($A301="","",IF($C301&lt;&gt;"manual_titration_mL","",IFERROR(INDEX('3_可滴定酸度'!$E$6:$E$13,MATCH($I301,'3_可滴定酸度'!$B$6:$B$13,0)),"")))</f>
        <v/>
      </c>
      <c r="M301" s="25">
        <f>IF($A301="","",IF($C301&lt;&gt;"manual_titration_mL","",IFERROR(INDEX('3_可滴定酸度'!$F$6:$F$13,MATCH($I301,'3_可滴定酸度'!$B$6:$B$13,0)),"")))</f>
        <v/>
      </c>
      <c r="N301" s="24">
        <f>IF($A301="","",IF(OR(K301="",L301="",M301=""),"",K301*E301*L301/(M301*1000)*100))</f>
        <v/>
      </c>
      <c r="O301" s="24">
        <f>IF($A301="","",IF(N301="","",IF(COUNTIFS('1_原始數據'!$A$2:$A$1000,$A301,'1_原始數據'!$B$2:$B$1000,$B301,'1_原始數據'!$D$2:$D$1000,$D301,'1_原始數據'!$I$2:$I$1000,$I301,'1_原始數據'!$C$2:$C$1000,"pasco_pct_acid")=0,"",SUMIFS('1_原始數據'!$E$2:$E$1000,'1_原始數據'!$A$2:$A$1000,$A301,'1_原始數據'!$B$2:$B$1000,$B301,'1_原始數據'!$D$2:$D$1000,$D301,'1_原始數據'!$I$2:$I$1000,$I301,'1_原始數據'!$C$2:$C$1000,"pasco_pct_acid"))))</f>
        <v/>
      </c>
      <c r="P301" s="26">
        <f>IF($A301="","",IF(OR(N301="",O301=""),"",O301-N301))</f>
        <v/>
      </c>
      <c r="Q301" s="24">
        <f>IF($A301="","",IF(P301="","",(O301+N301)/2))</f>
        <v/>
      </c>
      <c r="R301" s="27">
        <f>IF($A301="","",IF(P301="","",COUNT($P$2:P301)))</f>
        <v/>
      </c>
    </row>
    <row r="302">
      <c r="J302" s="24">
        <f>IF($A302="","",IF($C302&lt;&gt;"khp_titration_mL","",IF(COUNTIFS('1_原始數據'!$A$2:$A$1000,$A302,'1_原始數據'!$B$2:$B$1000,$B302,'1_原始數據'!$D$2:$D$1000,$D302,'1_原始數據'!$C$2:$C$1000,"khp_mass_g")=0,"",SUMIFS('1_原始數據'!$E$2:$E$1000,'1_原始數據'!$A$2:$A$1000,$A302,'1_原始數據'!$B$2:$B$1000,$B302,'1_原始數據'!$D$2:$D$1000,$D302,'1_原始數據'!$C$2:$C$1000,"khp_mass_g")/('2_NaOH標定'!$C$5*$E302/1000))))</f>
        <v/>
      </c>
      <c r="K302" s="24">
        <f>IF($A302="","",IF($C302&lt;&gt;"manual_titration_mL","",IF(COUNTIFS('1_原始數據'!$A$2:$A$1000,$A302,'1_原始數據'!$C$2:$C$1000,"khp_titration_mL")=0,"",AVERAGEIFS('1_原始數據'!$J$2:$J$1000,'1_原始數據'!$A$2:$A$1000,$A302,'1_原始數據'!$C$2:$C$1000,"khp_titration_mL"))))</f>
        <v/>
      </c>
      <c r="L302" s="25">
        <f>IF($A302="","",IF($C302&lt;&gt;"manual_titration_mL","",IFERROR(INDEX('3_可滴定酸度'!$E$6:$E$13,MATCH($I302,'3_可滴定酸度'!$B$6:$B$13,0)),"")))</f>
        <v/>
      </c>
      <c r="M302" s="25">
        <f>IF($A302="","",IF($C302&lt;&gt;"manual_titration_mL","",IFERROR(INDEX('3_可滴定酸度'!$F$6:$F$13,MATCH($I302,'3_可滴定酸度'!$B$6:$B$13,0)),"")))</f>
        <v/>
      </c>
      <c r="N302" s="24">
        <f>IF($A302="","",IF(OR(K302="",L302="",M302=""),"",K302*E302*L302/(M302*1000)*100))</f>
        <v/>
      </c>
      <c r="O302" s="24">
        <f>IF($A302="","",IF(N302="","",IF(COUNTIFS('1_原始數據'!$A$2:$A$1000,$A302,'1_原始數據'!$B$2:$B$1000,$B302,'1_原始數據'!$D$2:$D$1000,$D302,'1_原始數據'!$I$2:$I$1000,$I302,'1_原始數據'!$C$2:$C$1000,"pasco_pct_acid")=0,"",SUMIFS('1_原始數據'!$E$2:$E$1000,'1_原始數據'!$A$2:$A$1000,$A302,'1_原始數據'!$B$2:$B$1000,$B302,'1_原始數據'!$D$2:$D$1000,$D302,'1_原始數據'!$I$2:$I$1000,$I302,'1_原始數據'!$C$2:$C$1000,"pasco_pct_acid"))))</f>
        <v/>
      </c>
      <c r="P302" s="26">
        <f>IF($A302="","",IF(OR(N302="",O302=""),"",O302-N302))</f>
        <v/>
      </c>
      <c r="Q302" s="24">
        <f>IF($A302="","",IF(P302="","",(O302+N302)/2))</f>
        <v/>
      </c>
      <c r="R302" s="27">
        <f>IF($A302="","",IF(P302="","",COUNT($P$2:P302)))</f>
        <v/>
      </c>
    </row>
    <row r="303">
      <c r="J303" s="24">
        <f>IF($A303="","",IF($C303&lt;&gt;"khp_titration_mL","",IF(COUNTIFS('1_原始數據'!$A$2:$A$1000,$A303,'1_原始數據'!$B$2:$B$1000,$B303,'1_原始數據'!$D$2:$D$1000,$D303,'1_原始數據'!$C$2:$C$1000,"khp_mass_g")=0,"",SUMIFS('1_原始數據'!$E$2:$E$1000,'1_原始數據'!$A$2:$A$1000,$A303,'1_原始數據'!$B$2:$B$1000,$B303,'1_原始數據'!$D$2:$D$1000,$D303,'1_原始數據'!$C$2:$C$1000,"khp_mass_g")/('2_NaOH標定'!$C$5*$E303/1000))))</f>
        <v/>
      </c>
      <c r="K303" s="24">
        <f>IF($A303="","",IF($C303&lt;&gt;"manual_titration_mL","",IF(COUNTIFS('1_原始數據'!$A$2:$A$1000,$A303,'1_原始數據'!$C$2:$C$1000,"khp_titration_mL")=0,"",AVERAGEIFS('1_原始數據'!$J$2:$J$1000,'1_原始數據'!$A$2:$A$1000,$A303,'1_原始數據'!$C$2:$C$1000,"khp_titration_mL"))))</f>
        <v/>
      </c>
      <c r="L303" s="25">
        <f>IF($A303="","",IF($C303&lt;&gt;"manual_titration_mL","",IFERROR(INDEX('3_可滴定酸度'!$E$6:$E$13,MATCH($I303,'3_可滴定酸度'!$B$6:$B$13,0)),"")))</f>
        <v/>
      </c>
      <c r="M303" s="25">
        <f>IF($A303="","",IF($C303&lt;&gt;"manual_titration_mL","",IFERROR(INDEX('3_可滴定酸度'!$F$6:$F$13,MATCH($I303,'3_可滴定酸度'!$B$6:$B$13,0)),"")))</f>
        <v/>
      </c>
      <c r="N303" s="24">
        <f>IF($A303="","",IF(OR(K303="",L303="",M303=""),"",K303*E303*L303/(M303*1000)*100))</f>
        <v/>
      </c>
      <c r="O303" s="24">
        <f>IF($A303="","",IF(N303="","",IF(COUNTIFS('1_原始數據'!$A$2:$A$1000,$A303,'1_原始數據'!$B$2:$B$1000,$B303,'1_原始數據'!$D$2:$D$1000,$D303,'1_原始數據'!$I$2:$I$1000,$I303,'1_原始數據'!$C$2:$C$1000,"pasco_pct_acid")=0,"",SUMIFS('1_原始數據'!$E$2:$E$1000,'1_原始數據'!$A$2:$A$1000,$A303,'1_原始數據'!$B$2:$B$1000,$B303,'1_原始數據'!$D$2:$D$1000,$D303,'1_原始數據'!$I$2:$I$1000,$I303,'1_原始數據'!$C$2:$C$1000,"pasco_pct_acid"))))</f>
        <v/>
      </c>
      <c r="P303" s="26">
        <f>IF($A303="","",IF(OR(N303="",O303=""),"",O303-N303))</f>
        <v/>
      </c>
      <c r="Q303" s="24">
        <f>IF($A303="","",IF(P303="","",(O303+N303)/2))</f>
        <v/>
      </c>
      <c r="R303" s="27">
        <f>IF($A303="","",IF(P303="","",COUNT($P$2:P303)))</f>
        <v/>
      </c>
    </row>
    <row r="304">
      <c r="J304" s="24">
        <f>IF($A304="","",IF($C304&lt;&gt;"khp_titration_mL","",IF(COUNTIFS('1_原始數據'!$A$2:$A$1000,$A304,'1_原始數據'!$B$2:$B$1000,$B304,'1_原始數據'!$D$2:$D$1000,$D304,'1_原始數據'!$C$2:$C$1000,"khp_mass_g")=0,"",SUMIFS('1_原始數據'!$E$2:$E$1000,'1_原始數據'!$A$2:$A$1000,$A304,'1_原始數據'!$B$2:$B$1000,$B304,'1_原始數據'!$D$2:$D$1000,$D304,'1_原始數據'!$C$2:$C$1000,"khp_mass_g")/('2_NaOH標定'!$C$5*$E304/1000))))</f>
        <v/>
      </c>
      <c r="K304" s="24">
        <f>IF($A304="","",IF($C304&lt;&gt;"manual_titration_mL","",IF(COUNTIFS('1_原始數據'!$A$2:$A$1000,$A304,'1_原始數據'!$C$2:$C$1000,"khp_titration_mL")=0,"",AVERAGEIFS('1_原始數據'!$J$2:$J$1000,'1_原始數據'!$A$2:$A$1000,$A304,'1_原始數據'!$C$2:$C$1000,"khp_titration_mL"))))</f>
        <v/>
      </c>
      <c r="L304" s="25">
        <f>IF($A304="","",IF($C304&lt;&gt;"manual_titration_mL","",IFERROR(INDEX('3_可滴定酸度'!$E$6:$E$13,MATCH($I304,'3_可滴定酸度'!$B$6:$B$13,0)),"")))</f>
        <v/>
      </c>
      <c r="M304" s="25">
        <f>IF($A304="","",IF($C304&lt;&gt;"manual_titration_mL","",IFERROR(INDEX('3_可滴定酸度'!$F$6:$F$13,MATCH($I304,'3_可滴定酸度'!$B$6:$B$13,0)),"")))</f>
        <v/>
      </c>
      <c r="N304" s="24">
        <f>IF($A304="","",IF(OR(K304="",L304="",M304=""),"",K304*E304*L304/(M304*1000)*100))</f>
        <v/>
      </c>
      <c r="O304" s="24">
        <f>IF($A304="","",IF(N304="","",IF(COUNTIFS('1_原始數據'!$A$2:$A$1000,$A304,'1_原始數據'!$B$2:$B$1000,$B304,'1_原始數據'!$D$2:$D$1000,$D304,'1_原始數據'!$I$2:$I$1000,$I304,'1_原始數據'!$C$2:$C$1000,"pasco_pct_acid")=0,"",SUMIFS('1_原始數據'!$E$2:$E$1000,'1_原始數據'!$A$2:$A$1000,$A304,'1_原始數據'!$B$2:$B$1000,$B304,'1_原始數據'!$D$2:$D$1000,$D304,'1_原始數據'!$I$2:$I$1000,$I304,'1_原始數據'!$C$2:$C$1000,"pasco_pct_acid"))))</f>
        <v/>
      </c>
      <c r="P304" s="26">
        <f>IF($A304="","",IF(OR(N304="",O304=""),"",O304-N304))</f>
        <v/>
      </c>
      <c r="Q304" s="24">
        <f>IF($A304="","",IF(P304="","",(O304+N304)/2))</f>
        <v/>
      </c>
      <c r="R304" s="27">
        <f>IF($A304="","",IF(P304="","",COUNT($P$2:P304)))</f>
        <v/>
      </c>
    </row>
    <row r="305">
      <c r="J305" s="24">
        <f>IF($A305="","",IF($C305&lt;&gt;"khp_titration_mL","",IF(COUNTIFS('1_原始數據'!$A$2:$A$1000,$A305,'1_原始數據'!$B$2:$B$1000,$B305,'1_原始數據'!$D$2:$D$1000,$D305,'1_原始數據'!$C$2:$C$1000,"khp_mass_g")=0,"",SUMIFS('1_原始數據'!$E$2:$E$1000,'1_原始數據'!$A$2:$A$1000,$A305,'1_原始數據'!$B$2:$B$1000,$B305,'1_原始數據'!$D$2:$D$1000,$D305,'1_原始數據'!$C$2:$C$1000,"khp_mass_g")/('2_NaOH標定'!$C$5*$E305/1000))))</f>
        <v/>
      </c>
      <c r="K305" s="24">
        <f>IF($A305="","",IF($C305&lt;&gt;"manual_titration_mL","",IF(COUNTIFS('1_原始數據'!$A$2:$A$1000,$A305,'1_原始數據'!$C$2:$C$1000,"khp_titration_mL")=0,"",AVERAGEIFS('1_原始數據'!$J$2:$J$1000,'1_原始數據'!$A$2:$A$1000,$A305,'1_原始數據'!$C$2:$C$1000,"khp_titration_mL"))))</f>
        <v/>
      </c>
      <c r="L305" s="25">
        <f>IF($A305="","",IF($C305&lt;&gt;"manual_titration_mL","",IFERROR(INDEX('3_可滴定酸度'!$E$6:$E$13,MATCH($I305,'3_可滴定酸度'!$B$6:$B$13,0)),"")))</f>
        <v/>
      </c>
      <c r="M305" s="25">
        <f>IF($A305="","",IF($C305&lt;&gt;"manual_titration_mL","",IFERROR(INDEX('3_可滴定酸度'!$F$6:$F$13,MATCH($I305,'3_可滴定酸度'!$B$6:$B$13,0)),"")))</f>
        <v/>
      </c>
      <c r="N305" s="24">
        <f>IF($A305="","",IF(OR(K305="",L305="",M305=""),"",K305*E305*L305/(M305*1000)*100))</f>
        <v/>
      </c>
      <c r="O305" s="24">
        <f>IF($A305="","",IF(N305="","",IF(COUNTIFS('1_原始數據'!$A$2:$A$1000,$A305,'1_原始數據'!$B$2:$B$1000,$B305,'1_原始數據'!$D$2:$D$1000,$D305,'1_原始數據'!$I$2:$I$1000,$I305,'1_原始數據'!$C$2:$C$1000,"pasco_pct_acid")=0,"",SUMIFS('1_原始數據'!$E$2:$E$1000,'1_原始數據'!$A$2:$A$1000,$A305,'1_原始數據'!$B$2:$B$1000,$B305,'1_原始數據'!$D$2:$D$1000,$D305,'1_原始數據'!$I$2:$I$1000,$I305,'1_原始數據'!$C$2:$C$1000,"pasco_pct_acid"))))</f>
        <v/>
      </c>
      <c r="P305" s="26">
        <f>IF($A305="","",IF(OR(N305="",O305=""),"",O305-N305))</f>
        <v/>
      </c>
      <c r="Q305" s="24">
        <f>IF($A305="","",IF(P305="","",(O305+N305)/2))</f>
        <v/>
      </c>
      <c r="R305" s="27">
        <f>IF($A305="","",IF(P305="","",COUNT($P$2:P305)))</f>
        <v/>
      </c>
    </row>
    <row r="306">
      <c r="J306" s="24">
        <f>IF($A306="","",IF($C306&lt;&gt;"khp_titration_mL","",IF(COUNTIFS('1_原始數據'!$A$2:$A$1000,$A306,'1_原始數據'!$B$2:$B$1000,$B306,'1_原始數據'!$D$2:$D$1000,$D306,'1_原始數據'!$C$2:$C$1000,"khp_mass_g")=0,"",SUMIFS('1_原始數據'!$E$2:$E$1000,'1_原始數據'!$A$2:$A$1000,$A306,'1_原始數據'!$B$2:$B$1000,$B306,'1_原始數據'!$D$2:$D$1000,$D306,'1_原始數據'!$C$2:$C$1000,"khp_mass_g")/('2_NaOH標定'!$C$5*$E306/1000))))</f>
        <v/>
      </c>
      <c r="K306" s="24">
        <f>IF($A306="","",IF($C306&lt;&gt;"manual_titration_mL","",IF(COUNTIFS('1_原始數據'!$A$2:$A$1000,$A306,'1_原始數據'!$C$2:$C$1000,"khp_titration_mL")=0,"",AVERAGEIFS('1_原始數據'!$J$2:$J$1000,'1_原始數據'!$A$2:$A$1000,$A306,'1_原始數據'!$C$2:$C$1000,"khp_titration_mL"))))</f>
        <v/>
      </c>
      <c r="L306" s="25">
        <f>IF($A306="","",IF($C306&lt;&gt;"manual_titration_mL","",IFERROR(INDEX('3_可滴定酸度'!$E$6:$E$13,MATCH($I306,'3_可滴定酸度'!$B$6:$B$13,0)),"")))</f>
        <v/>
      </c>
      <c r="M306" s="25">
        <f>IF($A306="","",IF($C306&lt;&gt;"manual_titration_mL","",IFERROR(INDEX('3_可滴定酸度'!$F$6:$F$13,MATCH($I306,'3_可滴定酸度'!$B$6:$B$13,0)),"")))</f>
        <v/>
      </c>
      <c r="N306" s="24">
        <f>IF($A306="","",IF(OR(K306="",L306="",M306=""),"",K306*E306*L306/(M306*1000)*100))</f>
        <v/>
      </c>
      <c r="O306" s="24">
        <f>IF($A306="","",IF(N306="","",IF(COUNTIFS('1_原始數據'!$A$2:$A$1000,$A306,'1_原始數據'!$B$2:$B$1000,$B306,'1_原始數據'!$D$2:$D$1000,$D306,'1_原始數據'!$I$2:$I$1000,$I306,'1_原始數據'!$C$2:$C$1000,"pasco_pct_acid")=0,"",SUMIFS('1_原始數據'!$E$2:$E$1000,'1_原始數據'!$A$2:$A$1000,$A306,'1_原始數據'!$B$2:$B$1000,$B306,'1_原始數據'!$D$2:$D$1000,$D306,'1_原始數據'!$I$2:$I$1000,$I306,'1_原始數據'!$C$2:$C$1000,"pasco_pct_acid"))))</f>
        <v/>
      </c>
      <c r="P306" s="26">
        <f>IF($A306="","",IF(OR(N306="",O306=""),"",O306-N306))</f>
        <v/>
      </c>
      <c r="Q306" s="24">
        <f>IF($A306="","",IF(P306="","",(O306+N306)/2))</f>
        <v/>
      </c>
      <c r="R306" s="27">
        <f>IF($A306="","",IF(P306="","",COUNT($P$2:P306)))</f>
        <v/>
      </c>
    </row>
    <row r="307">
      <c r="J307" s="24">
        <f>IF($A307="","",IF($C307&lt;&gt;"khp_titration_mL","",IF(COUNTIFS('1_原始數據'!$A$2:$A$1000,$A307,'1_原始數據'!$B$2:$B$1000,$B307,'1_原始數據'!$D$2:$D$1000,$D307,'1_原始數據'!$C$2:$C$1000,"khp_mass_g")=0,"",SUMIFS('1_原始數據'!$E$2:$E$1000,'1_原始數據'!$A$2:$A$1000,$A307,'1_原始數據'!$B$2:$B$1000,$B307,'1_原始數據'!$D$2:$D$1000,$D307,'1_原始數據'!$C$2:$C$1000,"khp_mass_g")/('2_NaOH標定'!$C$5*$E307/1000))))</f>
        <v/>
      </c>
      <c r="K307" s="24">
        <f>IF($A307="","",IF($C307&lt;&gt;"manual_titration_mL","",IF(COUNTIFS('1_原始數據'!$A$2:$A$1000,$A307,'1_原始數據'!$C$2:$C$1000,"khp_titration_mL")=0,"",AVERAGEIFS('1_原始數據'!$J$2:$J$1000,'1_原始數據'!$A$2:$A$1000,$A307,'1_原始數據'!$C$2:$C$1000,"khp_titration_mL"))))</f>
        <v/>
      </c>
      <c r="L307" s="25">
        <f>IF($A307="","",IF($C307&lt;&gt;"manual_titration_mL","",IFERROR(INDEX('3_可滴定酸度'!$E$6:$E$13,MATCH($I307,'3_可滴定酸度'!$B$6:$B$13,0)),"")))</f>
        <v/>
      </c>
      <c r="M307" s="25">
        <f>IF($A307="","",IF($C307&lt;&gt;"manual_titration_mL","",IFERROR(INDEX('3_可滴定酸度'!$F$6:$F$13,MATCH($I307,'3_可滴定酸度'!$B$6:$B$13,0)),"")))</f>
        <v/>
      </c>
      <c r="N307" s="24">
        <f>IF($A307="","",IF(OR(K307="",L307="",M307=""),"",K307*E307*L307/(M307*1000)*100))</f>
        <v/>
      </c>
      <c r="O307" s="24">
        <f>IF($A307="","",IF(N307="","",IF(COUNTIFS('1_原始數據'!$A$2:$A$1000,$A307,'1_原始數據'!$B$2:$B$1000,$B307,'1_原始數據'!$D$2:$D$1000,$D307,'1_原始數據'!$I$2:$I$1000,$I307,'1_原始數據'!$C$2:$C$1000,"pasco_pct_acid")=0,"",SUMIFS('1_原始數據'!$E$2:$E$1000,'1_原始數據'!$A$2:$A$1000,$A307,'1_原始數據'!$B$2:$B$1000,$B307,'1_原始數據'!$D$2:$D$1000,$D307,'1_原始數據'!$I$2:$I$1000,$I307,'1_原始數據'!$C$2:$C$1000,"pasco_pct_acid"))))</f>
        <v/>
      </c>
      <c r="P307" s="26">
        <f>IF($A307="","",IF(OR(N307="",O307=""),"",O307-N307))</f>
        <v/>
      </c>
      <c r="Q307" s="24">
        <f>IF($A307="","",IF(P307="","",(O307+N307)/2))</f>
        <v/>
      </c>
      <c r="R307" s="27">
        <f>IF($A307="","",IF(P307="","",COUNT($P$2:P307)))</f>
        <v/>
      </c>
    </row>
    <row r="308">
      <c r="J308" s="24">
        <f>IF($A308="","",IF($C308&lt;&gt;"khp_titration_mL","",IF(COUNTIFS('1_原始數據'!$A$2:$A$1000,$A308,'1_原始數據'!$B$2:$B$1000,$B308,'1_原始數據'!$D$2:$D$1000,$D308,'1_原始數據'!$C$2:$C$1000,"khp_mass_g")=0,"",SUMIFS('1_原始數據'!$E$2:$E$1000,'1_原始數據'!$A$2:$A$1000,$A308,'1_原始數據'!$B$2:$B$1000,$B308,'1_原始數據'!$D$2:$D$1000,$D308,'1_原始數據'!$C$2:$C$1000,"khp_mass_g")/('2_NaOH標定'!$C$5*$E308/1000))))</f>
        <v/>
      </c>
      <c r="K308" s="24">
        <f>IF($A308="","",IF($C308&lt;&gt;"manual_titration_mL","",IF(COUNTIFS('1_原始數據'!$A$2:$A$1000,$A308,'1_原始數據'!$C$2:$C$1000,"khp_titration_mL")=0,"",AVERAGEIFS('1_原始數據'!$J$2:$J$1000,'1_原始數據'!$A$2:$A$1000,$A308,'1_原始數據'!$C$2:$C$1000,"khp_titration_mL"))))</f>
        <v/>
      </c>
      <c r="L308" s="25">
        <f>IF($A308="","",IF($C308&lt;&gt;"manual_titration_mL","",IFERROR(INDEX('3_可滴定酸度'!$E$6:$E$13,MATCH($I308,'3_可滴定酸度'!$B$6:$B$13,0)),"")))</f>
        <v/>
      </c>
      <c r="M308" s="25">
        <f>IF($A308="","",IF($C308&lt;&gt;"manual_titration_mL","",IFERROR(INDEX('3_可滴定酸度'!$F$6:$F$13,MATCH($I308,'3_可滴定酸度'!$B$6:$B$13,0)),"")))</f>
        <v/>
      </c>
      <c r="N308" s="24">
        <f>IF($A308="","",IF(OR(K308="",L308="",M308=""),"",K308*E308*L308/(M308*1000)*100))</f>
        <v/>
      </c>
      <c r="O308" s="24">
        <f>IF($A308="","",IF(N308="","",IF(COUNTIFS('1_原始數據'!$A$2:$A$1000,$A308,'1_原始數據'!$B$2:$B$1000,$B308,'1_原始數據'!$D$2:$D$1000,$D308,'1_原始數據'!$I$2:$I$1000,$I308,'1_原始數據'!$C$2:$C$1000,"pasco_pct_acid")=0,"",SUMIFS('1_原始數據'!$E$2:$E$1000,'1_原始數據'!$A$2:$A$1000,$A308,'1_原始數據'!$B$2:$B$1000,$B308,'1_原始數據'!$D$2:$D$1000,$D308,'1_原始數據'!$I$2:$I$1000,$I308,'1_原始數據'!$C$2:$C$1000,"pasco_pct_acid"))))</f>
        <v/>
      </c>
      <c r="P308" s="26">
        <f>IF($A308="","",IF(OR(N308="",O308=""),"",O308-N308))</f>
        <v/>
      </c>
      <c r="Q308" s="24">
        <f>IF($A308="","",IF(P308="","",(O308+N308)/2))</f>
        <v/>
      </c>
      <c r="R308" s="27">
        <f>IF($A308="","",IF(P308="","",COUNT($P$2:P308)))</f>
        <v/>
      </c>
    </row>
    <row r="309">
      <c r="J309" s="24">
        <f>IF($A309="","",IF($C309&lt;&gt;"khp_titration_mL","",IF(COUNTIFS('1_原始數據'!$A$2:$A$1000,$A309,'1_原始數據'!$B$2:$B$1000,$B309,'1_原始數據'!$D$2:$D$1000,$D309,'1_原始數據'!$C$2:$C$1000,"khp_mass_g")=0,"",SUMIFS('1_原始數據'!$E$2:$E$1000,'1_原始數據'!$A$2:$A$1000,$A309,'1_原始數據'!$B$2:$B$1000,$B309,'1_原始數據'!$D$2:$D$1000,$D309,'1_原始數據'!$C$2:$C$1000,"khp_mass_g")/('2_NaOH標定'!$C$5*$E309/1000))))</f>
        <v/>
      </c>
      <c r="K309" s="24">
        <f>IF($A309="","",IF($C309&lt;&gt;"manual_titration_mL","",IF(COUNTIFS('1_原始數據'!$A$2:$A$1000,$A309,'1_原始數據'!$C$2:$C$1000,"khp_titration_mL")=0,"",AVERAGEIFS('1_原始數據'!$J$2:$J$1000,'1_原始數據'!$A$2:$A$1000,$A309,'1_原始數據'!$C$2:$C$1000,"khp_titration_mL"))))</f>
        <v/>
      </c>
      <c r="L309" s="25">
        <f>IF($A309="","",IF($C309&lt;&gt;"manual_titration_mL","",IFERROR(INDEX('3_可滴定酸度'!$E$6:$E$13,MATCH($I309,'3_可滴定酸度'!$B$6:$B$13,0)),"")))</f>
        <v/>
      </c>
      <c r="M309" s="25">
        <f>IF($A309="","",IF($C309&lt;&gt;"manual_titration_mL","",IFERROR(INDEX('3_可滴定酸度'!$F$6:$F$13,MATCH($I309,'3_可滴定酸度'!$B$6:$B$13,0)),"")))</f>
        <v/>
      </c>
      <c r="N309" s="24">
        <f>IF($A309="","",IF(OR(K309="",L309="",M309=""),"",K309*E309*L309/(M309*1000)*100))</f>
        <v/>
      </c>
      <c r="O309" s="24">
        <f>IF($A309="","",IF(N309="","",IF(COUNTIFS('1_原始數據'!$A$2:$A$1000,$A309,'1_原始數據'!$B$2:$B$1000,$B309,'1_原始數據'!$D$2:$D$1000,$D309,'1_原始數據'!$I$2:$I$1000,$I309,'1_原始數據'!$C$2:$C$1000,"pasco_pct_acid")=0,"",SUMIFS('1_原始數據'!$E$2:$E$1000,'1_原始數據'!$A$2:$A$1000,$A309,'1_原始數據'!$B$2:$B$1000,$B309,'1_原始數據'!$D$2:$D$1000,$D309,'1_原始數據'!$I$2:$I$1000,$I309,'1_原始數據'!$C$2:$C$1000,"pasco_pct_acid"))))</f>
        <v/>
      </c>
      <c r="P309" s="26">
        <f>IF($A309="","",IF(OR(N309="",O309=""),"",O309-N309))</f>
        <v/>
      </c>
      <c r="Q309" s="24">
        <f>IF($A309="","",IF(P309="","",(O309+N309)/2))</f>
        <v/>
      </c>
      <c r="R309" s="27">
        <f>IF($A309="","",IF(P309="","",COUNT($P$2:P309)))</f>
        <v/>
      </c>
    </row>
    <row r="310">
      <c r="J310" s="24">
        <f>IF($A310="","",IF($C310&lt;&gt;"khp_titration_mL","",IF(COUNTIFS('1_原始數據'!$A$2:$A$1000,$A310,'1_原始數據'!$B$2:$B$1000,$B310,'1_原始數據'!$D$2:$D$1000,$D310,'1_原始數據'!$C$2:$C$1000,"khp_mass_g")=0,"",SUMIFS('1_原始數據'!$E$2:$E$1000,'1_原始數據'!$A$2:$A$1000,$A310,'1_原始數據'!$B$2:$B$1000,$B310,'1_原始數據'!$D$2:$D$1000,$D310,'1_原始數據'!$C$2:$C$1000,"khp_mass_g")/('2_NaOH標定'!$C$5*$E310/1000))))</f>
        <v/>
      </c>
      <c r="K310" s="24">
        <f>IF($A310="","",IF($C310&lt;&gt;"manual_titration_mL","",IF(COUNTIFS('1_原始數據'!$A$2:$A$1000,$A310,'1_原始數據'!$C$2:$C$1000,"khp_titration_mL")=0,"",AVERAGEIFS('1_原始數據'!$J$2:$J$1000,'1_原始數據'!$A$2:$A$1000,$A310,'1_原始數據'!$C$2:$C$1000,"khp_titration_mL"))))</f>
        <v/>
      </c>
      <c r="L310" s="25">
        <f>IF($A310="","",IF($C310&lt;&gt;"manual_titration_mL","",IFERROR(INDEX('3_可滴定酸度'!$E$6:$E$13,MATCH($I310,'3_可滴定酸度'!$B$6:$B$13,0)),"")))</f>
        <v/>
      </c>
      <c r="M310" s="25">
        <f>IF($A310="","",IF($C310&lt;&gt;"manual_titration_mL","",IFERROR(INDEX('3_可滴定酸度'!$F$6:$F$13,MATCH($I310,'3_可滴定酸度'!$B$6:$B$13,0)),"")))</f>
        <v/>
      </c>
      <c r="N310" s="24">
        <f>IF($A310="","",IF(OR(K310="",L310="",M310=""),"",K310*E310*L310/(M310*1000)*100))</f>
        <v/>
      </c>
      <c r="O310" s="24">
        <f>IF($A310="","",IF(N310="","",IF(COUNTIFS('1_原始數據'!$A$2:$A$1000,$A310,'1_原始數據'!$B$2:$B$1000,$B310,'1_原始數據'!$D$2:$D$1000,$D310,'1_原始數據'!$I$2:$I$1000,$I310,'1_原始數據'!$C$2:$C$1000,"pasco_pct_acid")=0,"",SUMIFS('1_原始數據'!$E$2:$E$1000,'1_原始數據'!$A$2:$A$1000,$A310,'1_原始數據'!$B$2:$B$1000,$B310,'1_原始數據'!$D$2:$D$1000,$D310,'1_原始數據'!$I$2:$I$1000,$I310,'1_原始數據'!$C$2:$C$1000,"pasco_pct_acid"))))</f>
        <v/>
      </c>
      <c r="P310" s="26">
        <f>IF($A310="","",IF(OR(N310="",O310=""),"",O310-N310))</f>
        <v/>
      </c>
      <c r="Q310" s="24">
        <f>IF($A310="","",IF(P310="","",(O310+N310)/2))</f>
        <v/>
      </c>
      <c r="R310" s="27">
        <f>IF($A310="","",IF(P310="","",COUNT($P$2:P310)))</f>
        <v/>
      </c>
    </row>
    <row r="311">
      <c r="J311" s="24">
        <f>IF($A311="","",IF($C311&lt;&gt;"khp_titration_mL","",IF(COUNTIFS('1_原始數據'!$A$2:$A$1000,$A311,'1_原始數據'!$B$2:$B$1000,$B311,'1_原始數據'!$D$2:$D$1000,$D311,'1_原始數據'!$C$2:$C$1000,"khp_mass_g")=0,"",SUMIFS('1_原始數據'!$E$2:$E$1000,'1_原始數據'!$A$2:$A$1000,$A311,'1_原始數據'!$B$2:$B$1000,$B311,'1_原始數據'!$D$2:$D$1000,$D311,'1_原始數據'!$C$2:$C$1000,"khp_mass_g")/('2_NaOH標定'!$C$5*$E311/1000))))</f>
        <v/>
      </c>
      <c r="K311" s="24">
        <f>IF($A311="","",IF($C311&lt;&gt;"manual_titration_mL","",IF(COUNTIFS('1_原始數據'!$A$2:$A$1000,$A311,'1_原始數據'!$C$2:$C$1000,"khp_titration_mL")=0,"",AVERAGEIFS('1_原始數據'!$J$2:$J$1000,'1_原始數據'!$A$2:$A$1000,$A311,'1_原始數據'!$C$2:$C$1000,"khp_titration_mL"))))</f>
        <v/>
      </c>
      <c r="L311" s="25">
        <f>IF($A311="","",IF($C311&lt;&gt;"manual_titration_mL","",IFERROR(INDEX('3_可滴定酸度'!$E$6:$E$13,MATCH($I311,'3_可滴定酸度'!$B$6:$B$13,0)),"")))</f>
        <v/>
      </c>
      <c r="M311" s="25">
        <f>IF($A311="","",IF($C311&lt;&gt;"manual_titration_mL","",IFERROR(INDEX('3_可滴定酸度'!$F$6:$F$13,MATCH($I311,'3_可滴定酸度'!$B$6:$B$13,0)),"")))</f>
        <v/>
      </c>
      <c r="N311" s="24">
        <f>IF($A311="","",IF(OR(K311="",L311="",M311=""),"",K311*E311*L311/(M311*1000)*100))</f>
        <v/>
      </c>
      <c r="O311" s="24">
        <f>IF($A311="","",IF(N311="","",IF(COUNTIFS('1_原始數據'!$A$2:$A$1000,$A311,'1_原始數據'!$B$2:$B$1000,$B311,'1_原始數據'!$D$2:$D$1000,$D311,'1_原始數據'!$I$2:$I$1000,$I311,'1_原始數據'!$C$2:$C$1000,"pasco_pct_acid")=0,"",SUMIFS('1_原始數據'!$E$2:$E$1000,'1_原始數據'!$A$2:$A$1000,$A311,'1_原始數據'!$B$2:$B$1000,$B311,'1_原始數據'!$D$2:$D$1000,$D311,'1_原始數據'!$I$2:$I$1000,$I311,'1_原始數據'!$C$2:$C$1000,"pasco_pct_acid"))))</f>
        <v/>
      </c>
      <c r="P311" s="26">
        <f>IF($A311="","",IF(OR(N311="",O311=""),"",O311-N311))</f>
        <v/>
      </c>
      <c r="Q311" s="24">
        <f>IF($A311="","",IF(P311="","",(O311+N311)/2))</f>
        <v/>
      </c>
      <c r="R311" s="27">
        <f>IF($A311="","",IF(P311="","",COUNT($P$2:P311)))</f>
        <v/>
      </c>
    </row>
    <row r="312">
      <c r="J312" s="24">
        <f>IF($A312="","",IF($C312&lt;&gt;"khp_titration_mL","",IF(COUNTIFS('1_原始數據'!$A$2:$A$1000,$A312,'1_原始數據'!$B$2:$B$1000,$B312,'1_原始數據'!$D$2:$D$1000,$D312,'1_原始數據'!$C$2:$C$1000,"khp_mass_g")=0,"",SUMIFS('1_原始數據'!$E$2:$E$1000,'1_原始數據'!$A$2:$A$1000,$A312,'1_原始數據'!$B$2:$B$1000,$B312,'1_原始數據'!$D$2:$D$1000,$D312,'1_原始數據'!$C$2:$C$1000,"khp_mass_g")/('2_NaOH標定'!$C$5*$E312/1000))))</f>
        <v/>
      </c>
      <c r="K312" s="24">
        <f>IF($A312="","",IF($C312&lt;&gt;"manual_titration_mL","",IF(COUNTIFS('1_原始數據'!$A$2:$A$1000,$A312,'1_原始數據'!$C$2:$C$1000,"khp_titration_mL")=0,"",AVERAGEIFS('1_原始數據'!$J$2:$J$1000,'1_原始數據'!$A$2:$A$1000,$A312,'1_原始數據'!$C$2:$C$1000,"khp_titration_mL"))))</f>
        <v/>
      </c>
      <c r="L312" s="25">
        <f>IF($A312="","",IF($C312&lt;&gt;"manual_titration_mL","",IFERROR(INDEX('3_可滴定酸度'!$E$6:$E$13,MATCH($I312,'3_可滴定酸度'!$B$6:$B$13,0)),"")))</f>
        <v/>
      </c>
      <c r="M312" s="25">
        <f>IF($A312="","",IF($C312&lt;&gt;"manual_titration_mL","",IFERROR(INDEX('3_可滴定酸度'!$F$6:$F$13,MATCH($I312,'3_可滴定酸度'!$B$6:$B$13,0)),"")))</f>
        <v/>
      </c>
      <c r="N312" s="24">
        <f>IF($A312="","",IF(OR(K312="",L312="",M312=""),"",K312*E312*L312/(M312*1000)*100))</f>
        <v/>
      </c>
      <c r="O312" s="24">
        <f>IF($A312="","",IF(N312="","",IF(COUNTIFS('1_原始數據'!$A$2:$A$1000,$A312,'1_原始數據'!$B$2:$B$1000,$B312,'1_原始數據'!$D$2:$D$1000,$D312,'1_原始數據'!$I$2:$I$1000,$I312,'1_原始數據'!$C$2:$C$1000,"pasco_pct_acid")=0,"",SUMIFS('1_原始數據'!$E$2:$E$1000,'1_原始數據'!$A$2:$A$1000,$A312,'1_原始數據'!$B$2:$B$1000,$B312,'1_原始數據'!$D$2:$D$1000,$D312,'1_原始數據'!$I$2:$I$1000,$I312,'1_原始數據'!$C$2:$C$1000,"pasco_pct_acid"))))</f>
        <v/>
      </c>
      <c r="P312" s="26">
        <f>IF($A312="","",IF(OR(N312="",O312=""),"",O312-N312))</f>
        <v/>
      </c>
      <c r="Q312" s="24">
        <f>IF($A312="","",IF(P312="","",(O312+N312)/2))</f>
        <v/>
      </c>
      <c r="R312" s="27">
        <f>IF($A312="","",IF(P312="","",COUNT($P$2:P312)))</f>
        <v/>
      </c>
    </row>
    <row r="313">
      <c r="J313" s="24">
        <f>IF($A313="","",IF($C313&lt;&gt;"khp_titration_mL","",IF(COUNTIFS('1_原始數據'!$A$2:$A$1000,$A313,'1_原始數據'!$B$2:$B$1000,$B313,'1_原始數據'!$D$2:$D$1000,$D313,'1_原始數據'!$C$2:$C$1000,"khp_mass_g")=0,"",SUMIFS('1_原始數據'!$E$2:$E$1000,'1_原始數據'!$A$2:$A$1000,$A313,'1_原始數據'!$B$2:$B$1000,$B313,'1_原始數據'!$D$2:$D$1000,$D313,'1_原始數據'!$C$2:$C$1000,"khp_mass_g")/('2_NaOH標定'!$C$5*$E313/1000))))</f>
        <v/>
      </c>
      <c r="K313" s="24">
        <f>IF($A313="","",IF($C313&lt;&gt;"manual_titration_mL","",IF(COUNTIFS('1_原始數據'!$A$2:$A$1000,$A313,'1_原始數據'!$C$2:$C$1000,"khp_titration_mL")=0,"",AVERAGEIFS('1_原始數據'!$J$2:$J$1000,'1_原始數據'!$A$2:$A$1000,$A313,'1_原始數據'!$C$2:$C$1000,"khp_titration_mL"))))</f>
        <v/>
      </c>
      <c r="L313" s="25">
        <f>IF($A313="","",IF($C313&lt;&gt;"manual_titration_mL","",IFERROR(INDEX('3_可滴定酸度'!$E$6:$E$13,MATCH($I313,'3_可滴定酸度'!$B$6:$B$13,0)),"")))</f>
        <v/>
      </c>
      <c r="M313" s="25">
        <f>IF($A313="","",IF($C313&lt;&gt;"manual_titration_mL","",IFERROR(INDEX('3_可滴定酸度'!$F$6:$F$13,MATCH($I313,'3_可滴定酸度'!$B$6:$B$13,0)),"")))</f>
        <v/>
      </c>
      <c r="N313" s="24">
        <f>IF($A313="","",IF(OR(K313="",L313="",M313=""),"",K313*E313*L313/(M313*1000)*100))</f>
        <v/>
      </c>
      <c r="O313" s="24">
        <f>IF($A313="","",IF(N313="","",IF(COUNTIFS('1_原始數據'!$A$2:$A$1000,$A313,'1_原始數據'!$B$2:$B$1000,$B313,'1_原始數據'!$D$2:$D$1000,$D313,'1_原始數據'!$I$2:$I$1000,$I313,'1_原始數據'!$C$2:$C$1000,"pasco_pct_acid")=0,"",SUMIFS('1_原始數據'!$E$2:$E$1000,'1_原始數據'!$A$2:$A$1000,$A313,'1_原始數據'!$B$2:$B$1000,$B313,'1_原始數據'!$D$2:$D$1000,$D313,'1_原始數據'!$I$2:$I$1000,$I313,'1_原始數據'!$C$2:$C$1000,"pasco_pct_acid"))))</f>
        <v/>
      </c>
      <c r="P313" s="26">
        <f>IF($A313="","",IF(OR(N313="",O313=""),"",O313-N313))</f>
        <v/>
      </c>
      <c r="Q313" s="24">
        <f>IF($A313="","",IF(P313="","",(O313+N313)/2))</f>
        <v/>
      </c>
      <c r="R313" s="27">
        <f>IF($A313="","",IF(P313="","",COUNT($P$2:P313)))</f>
        <v/>
      </c>
    </row>
    <row r="314">
      <c r="J314" s="24">
        <f>IF($A314="","",IF($C314&lt;&gt;"khp_titration_mL","",IF(COUNTIFS('1_原始數據'!$A$2:$A$1000,$A314,'1_原始數據'!$B$2:$B$1000,$B314,'1_原始數據'!$D$2:$D$1000,$D314,'1_原始數據'!$C$2:$C$1000,"khp_mass_g")=0,"",SUMIFS('1_原始數據'!$E$2:$E$1000,'1_原始數據'!$A$2:$A$1000,$A314,'1_原始數據'!$B$2:$B$1000,$B314,'1_原始數據'!$D$2:$D$1000,$D314,'1_原始數據'!$C$2:$C$1000,"khp_mass_g")/('2_NaOH標定'!$C$5*$E314/1000))))</f>
        <v/>
      </c>
      <c r="K314" s="24">
        <f>IF($A314="","",IF($C314&lt;&gt;"manual_titration_mL","",IF(COUNTIFS('1_原始數據'!$A$2:$A$1000,$A314,'1_原始數據'!$C$2:$C$1000,"khp_titration_mL")=0,"",AVERAGEIFS('1_原始數據'!$J$2:$J$1000,'1_原始數據'!$A$2:$A$1000,$A314,'1_原始數據'!$C$2:$C$1000,"khp_titration_mL"))))</f>
        <v/>
      </c>
      <c r="L314" s="25">
        <f>IF($A314="","",IF($C314&lt;&gt;"manual_titration_mL","",IFERROR(INDEX('3_可滴定酸度'!$E$6:$E$13,MATCH($I314,'3_可滴定酸度'!$B$6:$B$13,0)),"")))</f>
        <v/>
      </c>
      <c r="M314" s="25">
        <f>IF($A314="","",IF($C314&lt;&gt;"manual_titration_mL","",IFERROR(INDEX('3_可滴定酸度'!$F$6:$F$13,MATCH($I314,'3_可滴定酸度'!$B$6:$B$13,0)),"")))</f>
        <v/>
      </c>
      <c r="N314" s="24">
        <f>IF($A314="","",IF(OR(K314="",L314="",M314=""),"",K314*E314*L314/(M314*1000)*100))</f>
        <v/>
      </c>
      <c r="O314" s="24">
        <f>IF($A314="","",IF(N314="","",IF(COUNTIFS('1_原始數據'!$A$2:$A$1000,$A314,'1_原始數據'!$B$2:$B$1000,$B314,'1_原始數據'!$D$2:$D$1000,$D314,'1_原始數據'!$I$2:$I$1000,$I314,'1_原始數據'!$C$2:$C$1000,"pasco_pct_acid")=0,"",SUMIFS('1_原始數據'!$E$2:$E$1000,'1_原始數據'!$A$2:$A$1000,$A314,'1_原始數據'!$B$2:$B$1000,$B314,'1_原始數據'!$D$2:$D$1000,$D314,'1_原始數據'!$I$2:$I$1000,$I314,'1_原始數據'!$C$2:$C$1000,"pasco_pct_acid"))))</f>
        <v/>
      </c>
      <c r="P314" s="26">
        <f>IF($A314="","",IF(OR(N314="",O314=""),"",O314-N314))</f>
        <v/>
      </c>
      <c r="Q314" s="24">
        <f>IF($A314="","",IF(P314="","",(O314+N314)/2))</f>
        <v/>
      </c>
      <c r="R314" s="27">
        <f>IF($A314="","",IF(P314="","",COUNT($P$2:P314)))</f>
        <v/>
      </c>
    </row>
    <row r="315">
      <c r="J315" s="24">
        <f>IF($A315="","",IF($C315&lt;&gt;"khp_titration_mL","",IF(COUNTIFS('1_原始數據'!$A$2:$A$1000,$A315,'1_原始數據'!$B$2:$B$1000,$B315,'1_原始數據'!$D$2:$D$1000,$D315,'1_原始數據'!$C$2:$C$1000,"khp_mass_g")=0,"",SUMIFS('1_原始數據'!$E$2:$E$1000,'1_原始數據'!$A$2:$A$1000,$A315,'1_原始數據'!$B$2:$B$1000,$B315,'1_原始數據'!$D$2:$D$1000,$D315,'1_原始數據'!$C$2:$C$1000,"khp_mass_g")/('2_NaOH標定'!$C$5*$E315/1000))))</f>
        <v/>
      </c>
      <c r="K315" s="24">
        <f>IF($A315="","",IF($C315&lt;&gt;"manual_titration_mL","",IF(COUNTIFS('1_原始數據'!$A$2:$A$1000,$A315,'1_原始數據'!$C$2:$C$1000,"khp_titration_mL")=0,"",AVERAGEIFS('1_原始數據'!$J$2:$J$1000,'1_原始數據'!$A$2:$A$1000,$A315,'1_原始數據'!$C$2:$C$1000,"khp_titration_mL"))))</f>
        <v/>
      </c>
      <c r="L315" s="25">
        <f>IF($A315="","",IF($C315&lt;&gt;"manual_titration_mL","",IFERROR(INDEX('3_可滴定酸度'!$E$6:$E$13,MATCH($I315,'3_可滴定酸度'!$B$6:$B$13,0)),"")))</f>
        <v/>
      </c>
      <c r="M315" s="25">
        <f>IF($A315="","",IF($C315&lt;&gt;"manual_titration_mL","",IFERROR(INDEX('3_可滴定酸度'!$F$6:$F$13,MATCH($I315,'3_可滴定酸度'!$B$6:$B$13,0)),"")))</f>
        <v/>
      </c>
      <c r="N315" s="24">
        <f>IF($A315="","",IF(OR(K315="",L315="",M315=""),"",K315*E315*L315/(M315*1000)*100))</f>
        <v/>
      </c>
      <c r="O315" s="24">
        <f>IF($A315="","",IF(N315="","",IF(COUNTIFS('1_原始數據'!$A$2:$A$1000,$A315,'1_原始數據'!$B$2:$B$1000,$B315,'1_原始數據'!$D$2:$D$1000,$D315,'1_原始數據'!$I$2:$I$1000,$I315,'1_原始數據'!$C$2:$C$1000,"pasco_pct_acid")=0,"",SUMIFS('1_原始數據'!$E$2:$E$1000,'1_原始數據'!$A$2:$A$1000,$A315,'1_原始數據'!$B$2:$B$1000,$B315,'1_原始數據'!$D$2:$D$1000,$D315,'1_原始數據'!$I$2:$I$1000,$I315,'1_原始數據'!$C$2:$C$1000,"pasco_pct_acid"))))</f>
        <v/>
      </c>
      <c r="P315" s="26">
        <f>IF($A315="","",IF(OR(N315="",O315=""),"",O315-N315))</f>
        <v/>
      </c>
      <c r="Q315" s="24">
        <f>IF($A315="","",IF(P315="","",(O315+N315)/2))</f>
        <v/>
      </c>
      <c r="R315" s="27">
        <f>IF($A315="","",IF(P315="","",COUNT($P$2:P315)))</f>
        <v/>
      </c>
    </row>
    <row r="316">
      <c r="J316" s="24">
        <f>IF($A316="","",IF($C316&lt;&gt;"khp_titration_mL","",IF(COUNTIFS('1_原始數據'!$A$2:$A$1000,$A316,'1_原始數據'!$B$2:$B$1000,$B316,'1_原始數據'!$D$2:$D$1000,$D316,'1_原始數據'!$C$2:$C$1000,"khp_mass_g")=0,"",SUMIFS('1_原始數據'!$E$2:$E$1000,'1_原始數據'!$A$2:$A$1000,$A316,'1_原始數據'!$B$2:$B$1000,$B316,'1_原始數據'!$D$2:$D$1000,$D316,'1_原始數據'!$C$2:$C$1000,"khp_mass_g")/('2_NaOH標定'!$C$5*$E316/1000))))</f>
        <v/>
      </c>
      <c r="K316" s="24">
        <f>IF($A316="","",IF($C316&lt;&gt;"manual_titration_mL","",IF(COUNTIFS('1_原始數據'!$A$2:$A$1000,$A316,'1_原始數據'!$C$2:$C$1000,"khp_titration_mL")=0,"",AVERAGEIFS('1_原始數據'!$J$2:$J$1000,'1_原始數據'!$A$2:$A$1000,$A316,'1_原始數據'!$C$2:$C$1000,"khp_titration_mL"))))</f>
        <v/>
      </c>
      <c r="L316" s="25">
        <f>IF($A316="","",IF($C316&lt;&gt;"manual_titration_mL","",IFERROR(INDEX('3_可滴定酸度'!$E$6:$E$13,MATCH($I316,'3_可滴定酸度'!$B$6:$B$13,0)),"")))</f>
        <v/>
      </c>
      <c r="M316" s="25">
        <f>IF($A316="","",IF($C316&lt;&gt;"manual_titration_mL","",IFERROR(INDEX('3_可滴定酸度'!$F$6:$F$13,MATCH($I316,'3_可滴定酸度'!$B$6:$B$13,0)),"")))</f>
        <v/>
      </c>
      <c r="N316" s="24">
        <f>IF($A316="","",IF(OR(K316="",L316="",M316=""),"",K316*E316*L316/(M316*1000)*100))</f>
        <v/>
      </c>
      <c r="O316" s="24">
        <f>IF($A316="","",IF(N316="","",IF(COUNTIFS('1_原始數據'!$A$2:$A$1000,$A316,'1_原始數據'!$B$2:$B$1000,$B316,'1_原始數據'!$D$2:$D$1000,$D316,'1_原始數據'!$I$2:$I$1000,$I316,'1_原始數據'!$C$2:$C$1000,"pasco_pct_acid")=0,"",SUMIFS('1_原始數據'!$E$2:$E$1000,'1_原始數據'!$A$2:$A$1000,$A316,'1_原始數據'!$B$2:$B$1000,$B316,'1_原始數據'!$D$2:$D$1000,$D316,'1_原始數據'!$I$2:$I$1000,$I316,'1_原始數據'!$C$2:$C$1000,"pasco_pct_acid"))))</f>
        <v/>
      </c>
      <c r="P316" s="26">
        <f>IF($A316="","",IF(OR(N316="",O316=""),"",O316-N316))</f>
        <v/>
      </c>
      <c r="Q316" s="24">
        <f>IF($A316="","",IF(P316="","",(O316+N316)/2))</f>
        <v/>
      </c>
      <c r="R316" s="27">
        <f>IF($A316="","",IF(P316="","",COUNT($P$2:P316)))</f>
        <v/>
      </c>
    </row>
    <row r="317">
      <c r="J317" s="24">
        <f>IF($A317="","",IF($C317&lt;&gt;"khp_titration_mL","",IF(COUNTIFS('1_原始數據'!$A$2:$A$1000,$A317,'1_原始數據'!$B$2:$B$1000,$B317,'1_原始數據'!$D$2:$D$1000,$D317,'1_原始數據'!$C$2:$C$1000,"khp_mass_g")=0,"",SUMIFS('1_原始數據'!$E$2:$E$1000,'1_原始數據'!$A$2:$A$1000,$A317,'1_原始數據'!$B$2:$B$1000,$B317,'1_原始數據'!$D$2:$D$1000,$D317,'1_原始數據'!$C$2:$C$1000,"khp_mass_g")/('2_NaOH標定'!$C$5*$E317/1000))))</f>
        <v/>
      </c>
      <c r="K317" s="24">
        <f>IF($A317="","",IF($C317&lt;&gt;"manual_titration_mL","",IF(COUNTIFS('1_原始數據'!$A$2:$A$1000,$A317,'1_原始數據'!$C$2:$C$1000,"khp_titration_mL")=0,"",AVERAGEIFS('1_原始數據'!$J$2:$J$1000,'1_原始數據'!$A$2:$A$1000,$A317,'1_原始數據'!$C$2:$C$1000,"khp_titration_mL"))))</f>
        <v/>
      </c>
      <c r="L317" s="25">
        <f>IF($A317="","",IF($C317&lt;&gt;"manual_titration_mL","",IFERROR(INDEX('3_可滴定酸度'!$E$6:$E$13,MATCH($I317,'3_可滴定酸度'!$B$6:$B$13,0)),"")))</f>
        <v/>
      </c>
      <c r="M317" s="25">
        <f>IF($A317="","",IF($C317&lt;&gt;"manual_titration_mL","",IFERROR(INDEX('3_可滴定酸度'!$F$6:$F$13,MATCH($I317,'3_可滴定酸度'!$B$6:$B$13,0)),"")))</f>
        <v/>
      </c>
      <c r="N317" s="24">
        <f>IF($A317="","",IF(OR(K317="",L317="",M317=""),"",K317*E317*L317/(M317*1000)*100))</f>
        <v/>
      </c>
      <c r="O317" s="24">
        <f>IF($A317="","",IF(N317="","",IF(COUNTIFS('1_原始數據'!$A$2:$A$1000,$A317,'1_原始數據'!$B$2:$B$1000,$B317,'1_原始數據'!$D$2:$D$1000,$D317,'1_原始數據'!$I$2:$I$1000,$I317,'1_原始數據'!$C$2:$C$1000,"pasco_pct_acid")=0,"",SUMIFS('1_原始數據'!$E$2:$E$1000,'1_原始數據'!$A$2:$A$1000,$A317,'1_原始數據'!$B$2:$B$1000,$B317,'1_原始數據'!$D$2:$D$1000,$D317,'1_原始數據'!$I$2:$I$1000,$I317,'1_原始數據'!$C$2:$C$1000,"pasco_pct_acid"))))</f>
        <v/>
      </c>
      <c r="P317" s="26">
        <f>IF($A317="","",IF(OR(N317="",O317=""),"",O317-N317))</f>
        <v/>
      </c>
      <c r="Q317" s="24">
        <f>IF($A317="","",IF(P317="","",(O317+N317)/2))</f>
        <v/>
      </c>
      <c r="R317" s="27">
        <f>IF($A317="","",IF(P317="","",COUNT($P$2:P317)))</f>
        <v/>
      </c>
    </row>
    <row r="318">
      <c r="J318" s="24">
        <f>IF($A318="","",IF($C318&lt;&gt;"khp_titration_mL","",IF(COUNTIFS('1_原始數據'!$A$2:$A$1000,$A318,'1_原始數據'!$B$2:$B$1000,$B318,'1_原始數據'!$D$2:$D$1000,$D318,'1_原始數據'!$C$2:$C$1000,"khp_mass_g")=0,"",SUMIFS('1_原始數據'!$E$2:$E$1000,'1_原始數據'!$A$2:$A$1000,$A318,'1_原始數據'!$B$2:$B$1000,$B318,'1_原始數據'!$D$2:$D$1000,$D318,'1_原始數據'!$C$2:$C$1000,"khp_mass_g")/('2_NaOH標定'!$C$5*$E318/1000))))</f>
        <v/>
      </c>
      <c r="K318" s="24">
        <f>IF($A318="","",IF($C318&lt;&gt;"manual_titration_mL","",IF(COUNTIFS('1_原始數據'!$A$2:$A$1000,$A318,'1_原始數據'!$C$2:$C$1000,"khp_titration_mL")=0,"",AVERAGEIFS('1_原始數據'!$J$2:$J$1000,'1_原始數據'!$A$2:$A$1000,$A318,'1_原始數據'!$C$2:$C$1000,"khp_titration_mL"))))</f>
        <v/>
      </c>
      <c r="L318" s="25">
        <f>IF($A318="","",IF($C318&lt;&gt;"manual_titration_mL","",IFERROR(INDEX('3_可滴定酸度'!$E$6:$E$13,MATCH($I318,'3_可滴定酸度'!$B$6:$B$13,0)),"")))</f>
        <v/>
      </c>
      <c r="M318" s="25">
        <f>IF($A318="","",IF($C318&lt;&gt;"manual_titration_mL","",IFERROR(INDEX('3_可滴定酸度'!$F$6:$F$13,MATCH($I318,'3_可滴定酸度'!$B$6:$B$13,0)),"")))</f>
        <v/>
      </c>
      <c r="N318" s="24">
        <f>IF($A318="","",IF(OR(K318="",L318="",M318=""),"",K318*E318*L318/(M318*1000)*100))</f>
        <v/>
      </c>
      <c r="O318" s="24">
        <f>IF($A318="","",IF(N318="","",IF(COUNTIFS('1_原始數據'!$A$2:$A$1000,$A318,'1_原始數據'!$B$2:$B$1000,$B318,'1_原始數據'!$D$2:$D$1000,$D318,'1_原始數據'!$I$2:$I$1000,$I318,'1_原始數據'!$C$2:$C$1000,"pasco_pct_acid")=0,"",SUMIFS('1_原始數據'!$E$2:$E$1000,'1_原始數據'!$A$2:$A$1000,$A318,'1_原始數據'!$B$2:$B$1000,$B318,'1_原始數據'!$D$2:$D$1000,$D318,'1_原始數據'!$I$2:$I$1000,$I318,'1_原始數據'!$C$2:$C$1000,"pasco_pct_acid"))))</f>
        <v/>
      </c>
      <c r="P318" s="26">
        <f>IF($A318="","",IF(OR(N318="",O318=""),"",O318-N318))</f>
        <v/>
      </c>
      <c r="Q318" s="24">
        <f>IF($A318="","",IF(P318="","",(O318+N318)/2))</f>
        <v/>
      </c>
      <c r="R318" s="27">
        <f>IF($A318="","",IF(P318="","",COUNT($P$2:P318)))</f>
        <v/>
      </c>
    </row>
    <row r="319">
      <c r="J319" s="24">
        <f>IF($A319="","",IF($C319&lt;&gt;"khp_titration_mL","",IF(COUNTIFS('1_原始數據'!$A$2:$A$1000,$A319,'1_原始數據'!$B$2:$B$1000,$B319,'1_原始數據'!$D$2:$D$1000,$D319,'1_原始數據'!$C$2:$C$1000,"khp_mass_g")=0,"",SUMIFS('1_原始數據'!$E$2:$E$1000,'1_原始數據'!$A$2:$A$1000,$A319,'1_原始數據'!$B$2:$B$1000,$B319,'1_原始數據'!$D$2:$D$1000,$D319,'1_原始數據'!$C$2:$C$1000,"khp_mass_g")/('2_NaOH標定'!$C$5*$E319/1000))))</f>
        <v/>
      </c>
      <c r="K319" s="24">
        <f>IF($A319="","",IF($C319&lt;&gt;"manual_titration_mL","",IF(COUNTIFS('1_原始數據'!$A$2:$A$1000,$A319,'1_原始數據'!$C$2:$C$1000,"khp_titration_mL")=0,"",AVERAGEIFS('1_原始數據'!$J$2:$J$1000,'1_原始數據'!$A$2:$A$1000,$A319,'1_原始數據'!$C$2:$C$1000,"khp_titration_mL"))))</f>
        <v/>
      </c>
      <c r="L319" s="25">
        <f>IF($A319="","",IF($C319&lt;&gt;"manual_titration_mL","",IFERROR(INDEX('3_可滴定酸度'!$E$6:$E$13,MATCH($I319,'3_可滴定酸度'!$B$6:$B$13,0)),"")))</f>
        <v/>
      </c>
      <c r="M319" s="25">
        <f>IF($A319="","",IF($C319&lt;&gt;"manual_titration_mL","",IFERROR(INDEX('3_可滴定酸度'!$F$6:$F$13,MATCH($I319,'3_可滴定酸度'!$B$6:$B$13,0)),"")))</f>
        <v/>
      </c>
      <c r="N319" s="24">
        <f>IF($A319="","",IF(OR(K319="",L319="",M319=""),"",K319*E319*L319/(M319*1000)*100))</f>
        <v/>
      </c>
      <c r="O319" s="24">
        <f>IF($A319="","",IF(N319="","",IF(COUNTIFS('1_原始數據'!$A$2:$A$1000,$A319,'1_原始數據'!$B$2:$B$1000,$B319,'1_原始數據'!$D$2:$D$1000,$D319,'1_原始數據'!$I$2:$I$1000,$I319,'1_原始數據'!$C$2:$C$1000,"pasco_pct_acid")=0,"",SUMIFS('1_原始數據'!$E$2:$E$1000,'1_原始數據'!$A$2:$A$1000,$A319,'1_原始數據'!$B$2:$B$1000,$B319,'1_原始數據'!$D$2:$D$1000,$D319,'1_原始數據'!$I$2:$I$1000,$I319,'1_原始數據'!$C$2:$C$1000,"pasco_pct_acid"))))</f>
        <v/>
      </c>
      <c r="P319" s="26">
        <f>IF($A319="","",IF(OR(N319="",O319=""),"",O319-N319))</f>
        <v/>
      </c>
      <c r="Q319" s="24">
        <f>IF($A319="","",IF(P319="","",(O319+N319)/2))</f>
        <v/>
      </c>
      <c r="R319" s="27">
        <f>IF($A319="","",IF(P319="","",COUNT($P$2:P319)))</f>
        <v/>
      </c>
    </row>
    <row r="320">
      <c r="J320" s="24">
        <f>IF($A320="","",IF($C320&lt;&gt;"khp_titration_mL","",IF(COUNTIFS('1_原始數據'!$A$2:$A$1000,$A320,'1_原始數據'!$B$2:$B$1000,$B320,'1_原始數據'!$D$2:$D$1000,$D320,'1_原始數據'!$C$2:$C$1000,"khp_mass_g")=0,"",SUMIFS('1_原始數據'!$E$2:$E$1000,'1_原始數據'!$A$2:$A$1000,$A320,'1_原始數據'!$B$2:$B$1000,$B320,'1_原始數據'!$D$2:$D$1000,$D320,'1_原始數據'!$C$2:$C$1000,"khp_mass_g")/('2_NaOH標定'!$C$5*$E320/1000))))</f>
        <v/>
      </c>
      <c r="K320" s="24">
        <f>IF($A320="","",IF($C320&lt;&gt;"manual_titration_mL","",IF(COUNTIFS('1_原始數據'!$A$2:$A$1000,$A320,'1_原始數據'!$C$2:$C$1000,"khp_titration_mL")=0,"",AVERAGEIFS('1_原始數據'!$J$2:$J$1000,'1_原始數據'!$A$2:$A$1000,$A320,'1_原始數據'!$C$2:$C$1000,"khp_titration_mL"))))</f>
        <v/>
      </c>
      <c r="L320" s="25">
        <f>IF($A320="","",IF($C320&lt;&gt;"manual_titration_mL","",IFERROR(INDEX('3_可滴定酸度'!$E$6:$E$13,MATCH($I320,'3_可滴定酸度'!$B$6:$B$13,0)),"")))</f>
        <v/>
      </c>
      <c r="M320" s="25">
        <f>IF($A320="","",IF($C320&lt;&gt;"manual_titration_mL","",IFERROR(INDEX('3_可滴定酸度'!$F$6:$F$13,MATCH($I320,'3_可滴定酸度'!$B$6:$B$13,0)),"")))</f>
        <v/>
      </c>
      <c r="N320" s="24">
        <f>IF($A320="","",IF(OR(K320="",L320="",M320=""),"",K320*E320*L320/(M320*1000)*100))</f>
        <v/>
      </c>
      <c r="O320" s="24">
        <f>IF($A320="","",IF(N320="","",IF(COUNTIFS('1_原始數據'!$A$2:$A$1000,$A320,'1_原始數據'!$B$2:$B$1000,$B320,'1_原始數據'!$D$2:$D$1000,$D320,'1_原始數據'!$I$2:$I$1000,$I320,'1_原始數據'!$C$2:$C$1000,"pasco_pct_acid")=0,"",SUMIFS('1_原始數據'!$E$2:$E$1000,'1_原始數據'!$A$2:$A$1000,$A320,'1_原始數據'!$B$2:$B$1000,$B320,'1_原始數據'!$D$2:$D$1000,$D320,'1_原始數據'!$I$2:$I$1000,$I320,'1_原始數據'!$C$2:$C$1000,"pasco_pct_acid"))))</f>
        <v/>
      </c>
      <c r="P320" s="26">
        <f>IF($A320="","",IF(OR(N320="",O320=""),"",O320-N320))</f>
        <v/>
      </c>
      <c r="Q320" s="24">
        <f>IF($A320="","",IF(P320="","",(O320+N320)/2))</f>
        <v/>
      </c>
      <c r="R320" s="27">
        <f>IF($A320="","",IF(P320="","",COUNT($P$2:P320)))</f>
        <v/>
      </c>
    </row>
    <row r="321">
      <c r="J321" s="24">
        <f>IF($A321="","",IF($C321&lt;&gt;"khp_titration_mL","",IF(COUNTIFS('1_原始數據'!$A$2:$A$1000,$A321,'1_原始數據'!$B$2:$B$1000,$B321,'1_原始數據'!$D$2:$D$1000,$D321,'1_原始數據'!$C$2:$C$1000,"khp_mass_g")=0,"",SUMIFS('1_原始數據'!$E$2:$E$1000,'1_原始數據'!$A$2:$A$1000,$A321,'1_原始數據'!$B$2:$B$1000,$B321,'1_原始數據'!$D$2:$D$1000,$D321,'1_原始數據'!$C$2:$C$1000,"khp_mass_g")/('2_NaOH標定'!$C$5*$E321/1000))))</f>
        <v/>
      </c>
      <c r="K321" s="24">
        <f>IF($A321="","",IF($C321&lt;&gt;"manual_titration_mL","",IF(COUNTIFS('1_原始數據'!$A$2:$A$1000,$A321,'1_原始數據'!$C$2:$C$1000,"khp_titration_mL")=0,"",AVERAGEIFS('1_原始數據'!$J$2:$J$1000,'1_原始數據'!$A$2:$A$1000,$A321,'1_原始數據'!$C$2:$C$1000,"khp_titration_mL"))))</f>
        <v/>
      </c>
      <c r="L321" s="25">
        <f>IF($A321="","",IF($C321&lt;&gt;"manual_titration_mL","",IFERROR(INDEX('3_可滴定酸度'!$E$6:$E$13,MATCH($I321,'3_可滴定酸度'!$B$6:$B$13,0)),"")))</f>
        <v/>
      </c>
      <c r="M321" s="25">
        <f>IF($A321="","",IF($C321&lt;&gt;"manual_titration_mL","",IFERROR(INDEX('3_可滴定酸度'!$F$6:$F$13,MATCH($I321,'3_可滴定酸度'!$B$6:$B$13,0)),"")))</f>
        <v/>
      </c>
      <c r="N321" s="24">
        <f>IF($A321="","",IF(OR(K321="",L321="",M321=""),"",K321*E321*L321/(M321*1000)*100))</f>
        <v/>
      </c>
      <c r="O321" s="24">
        <f>IF($A321="","",IF(N321="","",IF(COUNTIFS('1_原始數據'!$A$2:$A$1000,$A321,'1_原始數據'!$B$2:$B$1000,$B321,'1_原始數據'!$D$2:$D$1000,$D321,'1_原始數據'!$I$2:$I$1000,$I321,'1_原始數據'!$C$2:$C$1000,"pasco_pct_acid")=0,"",SUMIFS('1_原始數據'!$E$2:$E$1000,'1_原始數據'!$A$2:$A$1000,$A321,'1_原始數據'!$B$2:$B$1000,$B321,'1_原始數據'!$D$2:$D$1000,$D321,'1_原始數據'!$I$2:$I$1000,$I321,'1_原始數據'!$C$2:$C$1000,"pasco_pct_acid"))))</f>
        <v/>
      </c>
      <c r="P321" s="26">
        <f>IF($A321="","",IF(OR(N321="",O321=""),"",O321-N321))</f>
        <v/>
      </c>
      <c r="Q321" s="24">
        <f>IF($A321="","",IF(P321="","",(O321+N321)/2))</f>
        <v/>
      </c>
      <c r="R321" s="27">
        <f>IF($A321="","",IF(P321="","",COUNT($P$2:P321)))</f>
        <v/>
      </c>
    </row>
    <row r="322">
      <c r="J322" s="24">
        <f>IF($A322="","",IF($C322&lt;&gt;"khp_titration_mL","",IF(COUNTIFS('1_原始數據'!$A$2:$A$1000,$A322,'1_原始數據'!$B$2:$B$1000,$B322,'1_原始數據'!$D$2:$D$1000,$D322,'1_原始數據'!$C$2:$C$1000,"khp_mass_g")=0,"",SUMIFS('1_原始數據'!$E$2:$E$1000,'1_原始數據'!$A$2:$A$1000,$A322,'1_原始數據'!$B$2:$B$1000,$B322,'1_原始數據'!$D$2:$D$1000,$D322,'1_原始數據'!$C$2:$C$1000,"khp_mass_g")/('2_NaOH標定'!$C$5*$E322/1000))))</f>
        <v/>
      </c>
      <c r="K322" s="24">
        <f>IF($A322="","",IF($C322&lt;&gt;"manual_titration_mL","",IF(COUNTIFS('1_原始數據'!$A$2:$A$1000,$A322,'1_原始數據'!$C$2:$C$1000,"khp_titration_mL")=0,"",AVERAGEIFS('1_原始數據'!$J$2:$J$1000,'1_原始數據'!$A$2:$A$1000,$A322,'1_原始數據'!$C$2:$C$1000,"khp_titration_mL"))))</f>
        <v/>
      </c>
      <c r="L322" s="25">
        <f>IF($A322="","",IF($C322&lt;&gt;"manual_titration_mL","",IFERROR(INDEX('3_可滴定酸度'!$E$6:$E$13,MATCH($I322,'3_可滴定酸度'!$B$6:$B$13,0)),"")))</f>
        <v/>
      </c>
      <c r="M322" s="25">
        <f>IF($A322="","",IF($C322&lt;&gt;"manual_titration_mL","",IFERROR(INDEX('3_可滴定酸度'!$F$6:$F$13,MATCH($I322,'3_可滴定酸度'!$B$6:$B$13,0)),"")))</f>
        <v/>
      </c>
      <c r="N322" s="24">
        <f>IF($A322="","",IF(OR(K322="",L322="",M322=""),"",K322*E322*L322/(M322*1000)*100))</f>
        <v/>
      </c>
      <c r="O322" s="24">
        <f>IF($A322="","",IF(N322="","",IF(COUNTIFS('1_原始數據'!$A$2:$A$1000,$A322,'1_原始數據'!$B$2:$B$1000,$B322,'1_原始數據'!$D$2:$D$1000,$D322,'1_原始數據'!$I$2:$I$1000,$I322,'1_原始數據'!$C$2:$C$1000,"pasco_pct_acid")=0,"",SUMIFS('1_原始數據'!$E$2:$E$1000,'1_原始數據'!$A$2:$A$1000,$A322,'1_原始數據'!$B$2:$B$1000,$B322,'1_原始數據'!$D$2:$D$1000,$D322,'1_原始數據'!$I$2:$I$1000,$I322,'1_原始數據'!$C$2:$C$1000,"pasco_pct_acid"))))</f>
        <v/>
      </c>
      <c r="P322" s="26">
        <f>IF($A322="","",IF(OR(N322="",O322=""),"",O322-N322))</f>
        <v/>
      </c>
      <c r="Q322" s="24">
        <f>IF($A322="","",IF(P322="","",(O322+N322)/2))</f>
        <v/>
      </c>
      <c r="R322" s="27">
        <f>IF($A322="","",IF(P322="","",COUNT($P$2:P322)))</f>
        <v/>
      </c>
    </row>
    <row r="323">
      <c r="J323" s="24">
        <f>IF($A323="","",IF($C323&lt;&gt;"khp_titration_mL","",IF(COUNTIFS('1_原始數據'!$A$2:$A$1000,$A323,'1_原始數據'!$B$2:$B$1000,$B323,'1_原始數據'!$D$2:$D$1000,$D323,'1_原始數據'!$C$2:$C$1000,"khp_mass_g")=0,"",SUMIFS('1_原始數據'!$E$2:$E$1000,'1_原始數據'!$A$2:$A$1000,$A323,'1_原始數據'!$B$2:$B$1000,$B323,'1_原始數據'!$D$2:$D$1000,$D323,'1_原始數據'!$C$2:$C$1000,"khp_mass_g")/('2_NaOH標定'!$C$5*$E323/1000))))</f>
        <v/>
      </c>
      <c r="K323" s="24">
        <f>IF($A323="","",IF($C323&lt;&gt;"manual_titration_mL","",IF(COUNTIFS('1_原始數據'!$A$2:$A$1000,$A323,'1_原始數據'!$C$2:$C$1000,"khp_titration_mL")=0,"",AVERAGEIFS('1_原始數據'!$J$2:$J$1000,'1_原始數據'!$A$2:$A$1000,$A323,'1_原始數據'!$C$2:$C$1000,"khp_titration_mL"))))</f>
        <v/>
      </c>
      <c r="L323" s="25">
        <f>IF($A323="","",IF($C323&lt;&gt;"manual_titration_mL","",IFERROR(INDEX('3_可滴定酸度'!$E$6:$E$13,MATCH($I323,'3_可滴定酸度'!$B$6:$B$13,0)),"")))</f>
        <v/>
      </c>
      <c r="M323" s="25">
        <f>IF($A323="","",IF($C323&lt;&gt;"manual_titration_mL","",IFERROR(INDEX('3_可滴定酸度'!$F$6:$F$13,MATCH($I323,'3_可滴定酸度'!$B$6:$B$13,0)),"")))</f>
        <v/>
      </c>
      <c r="N323" s="24">
        <f>IF($A323="","",IF(OR(K323="",L323="",M323=""),"",K323*E323*L323/(M323*1000)*100))</f>
        <v/>
      </c>
      <c r="O323" s="24">
        <f>IF($A323="","",IF(N323="","",IF(COUNTIFS('1_原始數據'!$A$2:$A$1000,$A323,'1_原始數據'!$B$2:$B$1000,$B323,'1_原始數據'!$D$2:$D$1000,$D323,'1_原始數據'!$I$2:$I$1000,$I323,'1_原始數據'!$C$2:$C$1000,"pasco_pct_acid")=0,"",SUMIFS('1_原始數據'!$E$2:$E$1000,'1_原始數據'!$A$2:$A$1000,$A323,'1_原始數據'!$B$2:$B$1000,$B323,'1_原始數據'!$D$2:$D$1000,$D323,'1_原始數據'!$I$2:$I$1000,$I323,'1_原始數據'!$C$2:$C$1000,"pasco_pct_acid"))))</f>
        <v/>
      </c>
      <c r="P323" s="26">
        <f>IF($A323="","",IF(OR(N323="",O323=""),"",O323-N323))</f>
        <v/>
      </c>
      <c r="Q323" s="24">
        <f>IF($A323="","",IF(P323="","",(O323+N323)/2))</f>
        <v/>
      </c>
      <c r="R323" s="27">
        <f>IF($A323="","",IF(P323="","",COUNT($P$2:P323)))</f>
        <v/>
      </c>
    </row>
    <row r="324">
      <c r="J324" s="24">
        <f>IF($A324="","",IF($C324&lt;&gt;"khp_titration_mL","",IF(COUNTIFS('1_原始數據'!$A$2:$A$1000,$A324,'1_原始數據'!$B$2:$B$1000,$B324,'1_原始數據'!$D$2:$D$1000,$D324,'1_原始數據'!$C$2:$C$1000,"khp_mass_g")=0,"",SUMIFS('1_原始數據'!$E$2:$E$1000,'1_原始數據'!$A$2:$A$1000,$A324,'1_原始數據'!$B$2:$B$1000,$B324,'1_原始數據'!$D$2:$D$1000,$D324,'1_原始數據'!$C$2:$C$1000,"khp_mass_g")/('2_NaOH標定'!$C$5*$E324/1000))))</f>
        <v/>
      </c>
      <c r="K324" s="24">
        <f>IF($A324="","",IF($C324&lt;&gt;"manual_titration_mL","",IF(COUNTIFS('1_原始數據'!$A$2:$A$1000,$A324,'1_原始數據'!$C$2:$C$1000,"khp_titration_mL")=0,"",AVERAGEIFS('1_原始數據'!$J$2:$J$1000,'1_原始數據'!$A$2:$A$1000,$A324,'1_原始數據'!$C$2:$C$1000,"khp_titration_mL"))))</f>
        <v/>
      </c>
      <c r="L324" s="25">
        <f>IF($A324="","",IF($C324&lt;&gt;"manual_titration_mL","",IFERROR(INDEX('3_可滴定酸度'!$E$6:$E$13,MATCH($I324,'3_可滴定酸度'!$B$6:$B$13,0)),"")))</f>
        <v/>
      </c>
      <c r="M324" s="25">
        <f>IF($A324="","",IF($C324&lt;&gt;"manual_titration_mL","",IFERROR(INDEX('3_可滴定酸度'!$F$6:$F$13,MATCH($I324,'3_可滴定酸度'!$B$6:$B$13,0)),"")))</f>
        <v/>
      </c>
      <c r="N324" s="24">
        <f>IF($A324="","",IF(OR(K324="",L324="",M324=""),"",K324*E324*L324/(M324*1000)*100))</f>
        <v/>
      </c>
      <c r="O324" s="24">
        <f>IF($A324="","",IF(N324="","",IF(COUNTIFS('1_原始數據'!$A$2:$A$1000,$A324,'1_原始數據'!$B$2:$B$1000,$B324,'1_原始數據'!$D$2:$D$1000,$D324,'1_原始數據'!$I$2:$I$1000,$I324,'1_原始數據'!$C$2:$C$1000,"pasco_pct_acid")=0,"",SUMIFS('1_原始數據'!$E$2:$E$1000,'1_原始數據'!$A$2:$A$1000,$A324,'1_原始數據'!$B$2:$B$1000,$B324,'1_原始數據'!$D$2:$D$1000,$D324,'1_原始數據'!$I$2:$I$1000,$I324,'1_原始數據'!$C$2:$C$1000,"pasco_pct_acid"))))</f>
        <v/>
      </c>
      <c r="P324" s="26">
        <f>IF($A324="","",IF(OR(N324="",O324=""),"",O324-N324))</f>
        <v/>
      </c>
      <c r="Q324" s="24">
        <f>IF($A324="","",IF(P324="","",(O324+N324)/2))</f>
        <v/>
      </c>
      <c r="R324" s="27">
        <f>IF($A324="","",IF(P324="","",COUNT($P$2:P324)))</f>
        <v/>
      </c>
    </row>
    <row r="325">
      <c r="J325" s="24">
        <f>IF($A325="","",IF($C325&lt;&gt;"khp_titration_mL","",IF(COUNTIFS('1_原始數據'!$A$2:$A$1000,$A325,'1_原始數據'!$B$2:$B$1000,$B325,'1_原始數據'!$D$2:$D$1000,$D325,'1_原始數據'!$C$2:$C$1000,"khp_mass_g")=0,"",SUMIFS('1_原始數據'!$E$2:$E$1000,'1_原始數據'!$A$2:$A$1000,$A325,'1_原始數據'!$B$2:$B$1000,$B325,'1_原始數據'!$D$2:$D$1000,$D325,'1_原始數據'!$C$2:$C$1000,"khp_mass_g")/('2_NaOH標定'!$C$5*$E325/1000))))</f>
        <v/>
      </c>
      <c r="K325" s="24">
        <f>IF($A325="","",IF($C325&lt;&gt;"manual_titration_mL","",IF(COUNTIFS('1_原始數據'!$A$2:$A$1000,$A325,'1_原始數據'!$C$2:$C$1000,"khp_titration_mL")=0,"",AVERAGEIFS('1_原始數據'!$J$2:$J$1000,'1_原始數據'!$A$2:$A$1000,$A325,'1_原始數據'!$C$2:$C$1000,"khp_titration_mL"))))</f>
        <v/>
      </c>
      <c r="L325" s="25">
        <f>IF($A325="","",IF($C325&lt;&gt;"manual_titration_mL","",IFERROR(INDEX('3_可滴定酸度'!$E$6:$E$13,MATCH($I325,'3_可滴定酸度'!$B$6:$B$13,0)),"")))</f>
        <v/>
      </c>
      <c r="M325" s="25">
        <f>IF($A325="","",IF($C325&lt;&gt;"manual_titration_mL","",IFERROR(INDEX('3_可滴定酸度'!$F$6:$F$13,MATCH($I325,'3_可滴定酸度'!$B$6:$B$13,0)),"")))</f>
        <v/>
      </c>
      <c r="N325" s="24">
        <f>IF($A325="","",IF(OR(K325="",L325="",M325=""),"",K325*E325*L325/(M325*1000)*100))</f>
        <v/>
      </c>
      <c r="O325" s="24">
        <f>IF($A325="","",IF(N325="","",IF(COUNTIFS('1_原始數據'!$A$2:$A$1000,$A325,'1_原始數據'!$B$2:$B$1000,$B325,'1_原始數據'!$D$2:$D$1000,$D325,'1_原始數據'!$I$2:$I$1000,$I325,'1_原始數據'!$C$2:$C$1000,"pasco_pct_acid")=0,"",SUMIFS('1_原始數據'!$E$2:$E$1000,'1_原始數據'!$A$2:$A$1000,$A325,'1_原始數據'!$B$2:$B$1000,$B325,'1_原始數據'!$D$2:$D$1000,$D325,'1_原始數據'!$I$2:$I$1000,$I325,'1_原始數據'!$C$2:$C$1000,"pasco_pct_acid"))))</f>
        <v/>
      </c>
      <c r="P325" s="26">
        <f>IF($A325="","",IF(OR(N325="",O325=""),"",O325-N325))</f>
        <v/>
      </c>
      <c r="Q325" s="24">
        <f>IF($A325="","",IF(P325="","",(O325+N325)/2))</f>
        <v/>
      </c>
      <c r="R325" s="27">
        <f>IF($A325="","",IF(P325="","",COUNT($P$2:P325)))</f>
        <v/>
      </c>
    </row>
    <row r="326">
      <c r="J326" s="24">
        <f>IF($A326="","",IF($C326&lt;&gt;"khp_titration_mL","",IF(COUNTIFS('1_原始數據'!$A$2:$A$1000,$A326,'1_原始數據'!$B$2:$B$1000,$B326,'1_原始數據'!$D$2:$D$1000,$D326,'1_原始數據'!$C$2:$C$1000,"khp_mass_g")=0,"",SUMIFS('1_原始數據'!$E$2:$E$1000,'1_原始數據'!$A$2:$A$1000,$A326,'1_原始數據'!$B$2:$B$1000,$B326,'1_原始數據'!$D$2:$D$1000,$D326,'1_原始數據'!$C$2:$C$1000,"khp_mass_g")/('2_NaOH標定'!$C$5*$E326/1000))))</f>
        <v/>
      </c>
      <c r="K326" s="24">
        <f>IF($A326="","",IF($C326&lt;&gt;"manual_titration_mL","",IF(COUNTIFS('1_原始數據'!$A$2:$A$1000,$A326,'1_原始數據'!$C$2:$C$1000,"khp_titration_mL")=0,"",AVERAGEIFS('1_原始數據'!$J$2:$J$1000,'1_原始數據'!$A$2:$A$1000,$A326,'1_原始數據'!$C$2:$C$1000,"khp_titration_mL"))))</f>
        <v/>
      </c>
      <c r="L326" s="25">
        <f>IF($A326="","",IF($C326&lt;&gt;"manual_titration_mL","",IFERROR(INDEX('3_可滴定酸度'!$E$6:$E$13,MATCH($I326,'3_可滴定酸度'!$B$6:$B$13,0)),"")))</f>
        <v/>
      </c>
      <c r="M326" s="25">
        <f>IF($A326="","",IF($C326&lt;&gt;"manual_titration_mL","",IFERROR(INDEX('3_可滴定酸度'!$F$6:$F$13,MATCH($I326,'3_可滴定酸度'!$B$6:$B$13,0)),"")))</f>
        <v/>
      </c>
      <c r="N326" s="24">
        <f>IF($A326="","",IF(OR(K326="",L326="",M326=""),"",K326*E326*L326/(M326*1000)*100))</f>
        <v/>
      </c>
      <c r="O326" s="24">
        <f>IF($A326="","",IF(N326="","",IF(COUNTIFS('1_原始數據'!$A$2:$A$1000,$A326,'1_原始數據'!$B$2:$B$1000,$B326,'1_原始數據'!$D$2:$D$1000,$D326,'1_原始數據'!$I$2:$I$1000,$I326,'1_原始數據'!$C$2:$C$1000,"pasco_pct_acid")=0,"",SUMIFS('1_原始數據'!$E$2:$E$1000,'1_原始數據'!$A$2:$A$1000,$A326,'1_原始數據'!$B$2:$B$1000,$B326,'1_原始數據'!$D$2:$D$1000,$D326,'1_原始數據'!$I$2:$I$1000,$I326,'1_原始數據'!$C$2:$C$1000,"pasco_pct_acid"))))</f>
        <v/>
      </c>
      <c r="P326" s="26">
        <f>IF($A326="","",IF(OR(N326="",O326=""),"",O326-N326))</f>
        <v/>
      </c>
      <c r="Q326" s="24">
        <f>IF($A326="","",IF(P326="","",(O326+N326)/2))</f>
        <v/>
      </c>
      <c r="R326" s="27">
        <f>IF($A326="","",IF(P326="","",COUNT($P$2:P326)))</f>
        <v/>
      </c>
    </row>
    <row r="327">
      <c r="J327" s="24">
        <f>IF($A327="","",IF($C327&lt;&gt;"khp_titration_mL","",IF(COUNTIFS('1_原始數據'!$A$2:$A$1000,$A327,'1_原始數據'!$B$2:$B$1000,$B327,'1_原始數據'!$D$2:$D$1000,$D327,'1_原始數據'!$C$2:$C$1000,"khp_mass_g")=0,"",SUMIFS('1_原始數據'!$E$2:$E$1000,'1_原始數據'!$A$2:$A$1000,$A327,'1_原始數據'!$B$2:$B$1000,$B327,'1_原始數據'!$D$2:$D$1000,$D327,'1_原始數據'!$C$2:$C$1000,"khp_mass_g")/('2_NaOH標定'!$C$5*$E327/1000))))</f>
        <v/>
      </c>
      <c r="K327" s="24">
        <f>IF($A327="","",IF($C327&lt;&gt;"manual_titration_mL","",IF(COUNTIFS('1_原始數據'!$A$2:$A$1000,$A327,'1_原始數據'!$C$2:$C$1000,"khp_titration_mL")=0,"",AVERAGEIFS('1_原始數據'!$J$2:$J$1000,'1_原始數據'!$A$2:$A$1000,$A327,'1_原始數據'!$C$2:$C$1000,"khp_titration_mL"))))</f>
        <v/>
      </c>
      <c r="L327" s="25">
        <f>IF($A327="","",IF($C327&lt;&gt;"manual_titration_mL","",IFERROR(INDEX('3_可滴定酸度'!$E$6:$E$13,MATCH($I327,'3_可滴定酸度'!$B$6:$B$13,0)),"")))</f>
        <v/>
      </c>
      <c r="M327" s="25">
        <f>IF($A327="","",IF($C327&lt;&gt;"manual_titration_mL","",IFERROR(INDEX('3_可滴定酸度'!$F$6:$F$13,MATCH($I327,'3_可滴定酸度'!$B$6:$B$13,0)),"")))</f>
        <v/>
      </c>
      <c r="N327" s="24">
        <f>IF($A327="","",IF(OR(K327="",L327="",M327=""),"",K327*E327*L327/(M327*1000)*100))</f>
        <v/>
      </c>
      <c r="O327" s="24">
        <f>IF($A327="","",IF(N327="","",IF(COUNTIFS('1_原始數據'!$A$2:$A$1000,$A327,'1_原始數據'!$B$2:$B$1000,$B327,'1_原始數據'!$D$2:$D$1000,$D327,'1_原始數據'!$I$2:$I$1000,$I327,'1_原始數據'!$C$2:$C$1000,"pasco_pct_acid")=0,"",SUMIFS('1_原始數據'!$E$2:$E$1000,'1_原始數據'!$A$2:$A$1000,$A327,'1_原始數據'!$B$2:$B$1000,$B327,'1_原始數據'!$D$2:$D$1000,$D327,'1_原始數據'!$I$2:$I$1000,$I327,'1_原始數據'!$C$2:$C$1000,"pasco_pct_acid"))))</f>
        <v/>
      </c>
      <c r="P327" s="26">
        <f>IF($A327="","",IF(OR(N327="",O327=""),"",O327-N327))</f>
        <v/>
      </c>
      <c r="Q327" s="24">
        <f>IF($A327="","",IF(P327="","",(O327+N327)/2))</f>
        <v/>
      </c>
      <c r="R327" s="27">
        <f>IF($A327="","",IF(P327="","",COUNT($P$2:P327)))</f>
        <v/>
      </c>
    </row>
    <row r="328">
      <c r="J328" s="24">
        <f>IF($A328="","",IF($C328&lt;&gt;"khp_titration_mL","",IF(COUNTIFS('1_原始數據'!$A$2:$A$1000,$A328,'1_原始數據'!$B$2:$B$1000,$B328,'1_原始數據'!$D$2:$D$1000,$D328,'1_原始數據'!$C$2:$C$1000,"khp_mass_g")=0,"",SUMIFS('1_原始數據'!$E$2:$E$1000,'1_原始數據'!$A$2:$A$1000,$A328,'1_原始數據'!$B$2:$B$1000,$B328,'1_原始數據'!$D$2:$D$1000,$D328,'1_原始數據'!$C$2:$C$1000,"khp_mass_g")/('2_NaOH標定'!$C$5*$E328/1000))))</f>
        <v/>
      </c>
      <c r="K328" s="24">
        <f>IF($A328="","",IF($C328&lt;&gt;"manual_titration_mL","",IF(COUNTIFS('1_原始數據'!$A$2:$A$1000,$A328,'1_原始數據'!$C$2:$C$1000,"khp_titration_mL")=0,"",AVERAGEIFS('1_原始數據'!$J$2:$J$1000,'1_原始數據'!$A$2:$A$1000,$A328,'1_原始數據'!$C$2:$C$1000,"khp_titration_mL"))))</f>
        <v/>
      </c>
      <c r="L328" s="25">
        <f>IF($A328="","",IF($C328&lt;&gt;"manual_titration_mL","",IFERROR(INDEX('3_可滴定酸度'!$E$6:$E$13,MATCH($I328,'3_可滴定酸度'!$B$6:$B$13,0)),"")))</f>
        <v/>
      </c>
      <c r="M328" s="25">
        <f>IF($A328="","",IF($C328&lt;&gt;"manual_titration_mL","",IFERROR(INDEX('3_可滴定酸度'!$F$6:$F$13,MATCH($I328,'3_可滴定酸度'!$B$6:$B$13,0)),"")))</f>
        <v/>
      </c>
      <c r="N328" s="24">
        <f>IF($A328="","",IF(OR(K328="",L328="",M328=""),"",K328*E328*L328/(M328*1000)*100))</f>
        <v/>
      </c>
      <c r="O328" s="24">
        <f>IF($A328="","",IF(N328="","",IF(COUNTIFS('1_原始數據'!$A$2:$A$1000,$A328,'1_原始數據'!$B$2:$B$1000,$B328,'1_原始數據'!$D$2:$D$1000,$D328,'1_原始數據'!$I$2:$I$1000,$I328,'1_原始數據'!$C$2:$C$1000,"pasco_pct_acid")=0,"",SUMIFS('1_原始數據'!$E$2:$E$1000,'1_原始數據'!$A$2:$A$1000,$A328,'1_原始數據'!$B$2:$B$1000,$B328,'1_原始數據'!$D$2:$D$1000,$D328,'1_原始數據'!$I$2:$I$1000,$I328,'1_原始數據'!$C$2:$C$1000,"pasco_pct_acid"))))</f>
        <v/>
      </c>
      <c r="P328" s="26">
        <f>IF($A328="","",IF(OR(N328="",O328=""),"",O328-N328))</f>
        <v/>
      </c>
      <c r="Q328" s="24">
        <f>IF($A328="","",IF(P328="","",(O328+N328)/2))</f>
        <v/>
      </c>
      <c r="R328" s="27">
        <f>IF($A328="","",IF(P328="","",COUNT($P$2:P328)))</f>
        <v/>
      </c>
    </row>
    <row r="329">
      <c r="J329" s="24">
        <f>IF($A329="","",IF($C329&lt;&gt;"khp_titration_mL","",IF(COUNTIFS('1_原始數據'!$A$2:$A$1000,$A329,'1_原始數據'!$B$2:$B$1000,$B329,'1_原始數據'!$D$2:$D$1000,$D329,'1_原始數據'!$C$2:$C$1000,"khp_mass_g")=0,"",SUMIFS('1_原始數據'!$E$2:$E$1000,'1_原始數據'!$A$2:$A$1000,$A329,'1_原始數據'!$B$2:$B$1000,$B329,'1_原始數據'!$D$2:$D$1000,$D329,'1_原始數據'!$C$2:$C$1000,"khp_mass_g")/('2_NaOH標定'!$C$5*$E329/1000))))</f>
        <v/>
      </c>
      <c r="K329" s="24">
        <f>IF($A329="","",IF($C329&lt;&gt;"manual_titration_mL","",IF(COUNTIFS('1_原始數據'!$A$2:$A$1000,$A329,'1_原始數據'!$C$2:$C$1000,"khp_titration_mL")=0,"",AVERAGEIFS('1_原始數據'!$J$2:$J$1000,'1_原始數據'!$A$2:$A$1000,$A329,'1_原始數據'!$C$2:$C$1000,"khp_titration_mL"))))</f>
        <v/>
      </c>
      <c r="L329" s="25">
        <f>IF($A329="","",IF($C329&lt;&gt;"manual_titration_mL","",IFERROR(INDEX('3_可滴定酸度'!$E$6:$E$13,MATCH($I329,'3_可滴定酸度'!$B$6:$B$13,0)),"")))</f>
        <v/>
      </c>
      <c r="M329" s="25">
        <f>IF($A329="","",IF($C329&lt;&gt;"manual_titration_mL","",IFERROR(INDEX('3_可滴定酸度'!$F$6:$F$13,MATCH($I329,'3_可滴定酸度'!$B$6:$B$13,0)),"")))</f>
        <v/>
      </c>
      <c r="N329" s="24">
        <f>IF($A329="","",IF(OR(K329="",L329="",M329=""),"",K329*E329*L329/(M329*1000)*100))</f>
        <v/>
      </c>
      <c r="O329" s="24">
        <f>IF($A329="","",IF(N329="","",IF(COUNTIFS('1_原始數據'!$A$2:$A$1000,$A329,'1_原始數據'!$B$2:$B$1000,$B329,'1_原始數據'!$D$2:$D$1000,$D329,'1_原始數據'!$I$2:$I$1000,$I329,'1_原始數據'!$C$2:$C$1000,"pasco_pct_acid")=0,"",SUMIFS('1_原始數據'!$E$2:$E$1000,'1_原始數據'!$A$2:$A$1000,$A329,'1_原始數據'!$B$2:$B$1000,$B329,'1_原始數據'!$D$2:$D$1000,$D329,'1_原始數據'!$I$2:$I$1000,$I329,'1_原始數據'!$C$2:$C$1000,"pasco_pct_acid"))))</f>
        <v/>
      </c>
      <c r="P329" s="26">
        <f>IF($A329="","",IF(OR(N329="",O329=""),"",O329-N329))</f>
        <v/>
      </c>
      <c r="Q329" s="24">
        <f>IF($A329="","",IF(P329="","",(O329+N329)/2))</f>
        <v/>
      </c>
      <c r="R329" s="27">
        <f>IF($A329="","",IF(P329="","",COUNT($P$2:P329)))</f>
        <v/>
      </c>
    </row>
    <row r="330">
      <c r="J330" s="24">
        <f>IF($A330="","",IF($C330&lt;&gt;"khp_titration_mL","",IF(COUNTIFS('1_原始數據'!$A$2:$A$1000,$A330,'1_原始數據'!$B$2:$B$1000,$B330,'1_原始數據'!$D$2:$D$1000,$D330,'1_原始數據'!$C$2:$C$1000,"khp_mass_g")=0,"",SUMIFS('1_原始數據'!$E$2:$E$1000,'1_原始數據'!$A$2:$A$1000,$A330,'1_原始數據'!$B$2:$B$1000,$B330,'1_原始數據'!$D$2:$D$1000,$D330,'1_原始數據'!$C$2:$C$1000,"khp_mass_g")/('2_NaOH標定'!$C$5*$E330/1000))))</f>
        <v/>
      </c>
      <c r="K330" s="24">
        <f>IF($A330="","",IF($C330&lt;&gt;"manual_titration_mL","",IF(COUNTIFS('1_原始數據'!$A$2:$A$1000,$A330,'1_原始數據'!$C$2:$C$1000,"khp_titration_mL")=0,"",AVERAGEIFS('1_原始數據'!$J$2:$J$1000,'1_原始數據'!$A$2:$A$1000,$A330,'1_原始數據'!$C$2:$C$1000,"khp_titration_mL"))))</f>
        <v/>
      </c>
      <c r="L330" s="25">
        <f>IF($A330="","",IF($C330&lt;&gt;"manual_titration_mL","",IFERROR(INDEX('3_可滴定酸度'!$E$6:$E$13,MATCH($I330,'3_可滴定酸度'!$B$6:$B$13,0)),"")))</f>
        <v/>
      </c>
      <c r="M330" s="25">
        <f>IF($A330="","",IF($C330&lt;&gt;"manual_titration_mL","",IFERROR(INDEX('3_可滴定酸度'!$F$6:$F$13,MATCH($I330,'3_可滴定酸度'!$B$6:$B$13,0)),"")))</f>
        <v/>
      </c>
      <c r="N330" s="24">
        <f>IF($A330="","",IF(OR(K330="",L330="",M330=""),"",K330*E330*L330/(M330*1000)*100))</f>
        <v/>
      </c>
      <c r="O330" s="24">
        <f>IF($A330="","",IF(N330="","",IF(COUNTIFS('1_原始數據'!$A$2:$A$1000,$A330,'1_原始數據'!$B$2:$B$1000,$B330,'1_原始數據'!$D$2:$D$1000,$D330,'1_原始數據'!$I$2:$I$1000,$I330,'1_原始數據'!$C$2:$C$1000,"pasco_pct_acid")=0,"",SUMIFS('1_原始數據'!$E$2:$E$1000,'1_原始數據'!$A$2:$A$1000,$A330,'1_原始數據'!$B$2:$B$1000,$B330,'1_原始數據'!$D$2:$D$1000,$D330,'1_原始數據'!$I$2:$I$1000,$I330,'1_原始數據'!$C$2:$C$1000,"pasco_pct_acid"))))</f>
        <v/>
      </c>
      <c r="P330" s="26">
        <f>IF($A330="","",IF(OR(N330="",O330=""),"",O330-N330))</f>
        <v/>
      </c>
      <c r="Q330" s="24">
        <f>IF($A330="","",IF(P330="","",(O330+N330)/2))</f>
        <v/>
      </c>
      <c r="R330" s="27">
        <f>IF($A330="","",IF(P330="","",COUNT($P$2:P330)))</f>
        <v/>
      </c>
    </row>
    <row r="331">
      <c r="J331" s="24">
        <f>IF($A331="","",IF($C331&lt;&gt;"khp_titration_mL","",IF(COUNTIFS('1_原始數據'!$A$2:$A$1000,$A331,'1_原始數據'!$B$2:$B$1000,$B331,'1_原始數據'!$D$2:$D$1000,$D331,'1_原始數據'!$C$2:$C$1000,"khp_mass_g")=0,"",SUMIFS('1_原始數據'!$E$2:$E$1000,'1_原始數據'!$A$2:$A$1000,$A331,'1_原始數據'!$B$2:$B$1000,$B331,'1_原始數據'!$D$2:$D$1000,$D331,'1_原始數據'!$C$2:$C$1000,"khp_mass_g")/('2_NaOH標定'!$C$5*$E331/1000))))</f>
        <v/>
      </c>
      <c r="K331" s="24">
        <f>IF($A331="","",IF($C331&lt;&gt;"manual_titration_mL","",IF(COUNTIFS('1_原始數據'!$A$2:$A$1000,$A331,'1_原始數據'!$C$2:$C$1000,"khp_titration_mL")=0,"",AVERAGEIFS('1_原始數據'!$J$2:$J$1000,'1_原始數據'!$A$2:$A$1000,$A331,'1_原始數據'!$C$2:$C$1000,"khp_titration_mL"))))</f>
        <v/>
      </c>
      <c r="L331" s="25">
        <f>IF($A331="","",IF($C331&lt;&gt;"manual_titration_mL","",IFERROR(INDEX('3_可滴定酸度'!$E$6:$E$13,MATCH($I331,'3_可滴定酸度'!$B$6:$B$13,0)),"")))</f>
        <v/>
      </c>
      <c r="M331" s="25">
        <f>IF($A331="","",IF($C331&lt;&gt;"manual_titration_mL","",IFERROR(INDEX('3_可滴定酸度'!$F$6:$F$13,MATCH($I331,'3_可滴定酸度'!$B$6:$B$13,0)),"")))</f>
        <v/>
      </c>
      <c r="N331" s="24">
        <f>IF($A331="","",IF(OR(K331="",L331="",M331=""),"",K331*E331*L331/(M331*1000)*100))</f>
        <v/>
      </c>
      <c r="O331" s="24">
        <f>IF($A331="","",IF(N331="","",IF(COUNTIFS('1_原始數據'!$A$2:$A$1000,$A331,'1_原始數據'!$B$2:$B$1000,$B331,'1_原始數據'!$D$2:$D$1000,$D331,'1_原始數據'!$I$2:$I$1000,$I331,'1_原始數據'!$C$2:$C$1000,"pasco_pct_acid")=0,"",SUMIFS('1_原始數據'!$E$2:$E$1000,'1_原始數據'!$A$2:$A$1000,$A331,'1_原始數據'!$B$2:$B$1000,$B331,'1_原始數據'!$D$2:$D$1000,$D331,'1_原始數據'!$I$2:$I$1000,$I331,'1_原始數據'!$C$2:$C$1000,"pasco_pct_acid"))))</f>
        <v/>
      </c>
      <c r="P331" s="26">
        <f>IF($A331="","",IF(OR(N331="",O331=""),"",O331-N331))</f>
        <v/>
      </c>
      <c r="Q331" s="24">
        <f>IF($A331="","",IF(P331="","",(O331+N331)/2))</f>
        <v/>
      </c>
      <c r="R331" s="27">
        <f>IF($A331="","",IF(P331="","",COUNT($P$2:P331)))</f>
        <v/>
      </c>
    </row>
    <row r="332">
      <c r="J332" s="24">
        <f>IF($A332="","",IF($C332&lt;&gt;"khp_titration_mL","",IF(COUNTIFS('1_原始數據'!$A$2:$A$1000,$A332,'1_原始數據'!$B$2:$B$1000,$B332,'1_原始數據'!$D$2:$D$1000,$D332,'1_原始數據'!$C$2:$C$1000,"khp_mass_g")=0,"",SUMIFS('1_原始數據'!$E$2:$E$1000,'1_原始數據'!$A$2:$A$1000,$A332,'1_原始數據'!$B$2:$B$1000,$B332,'1_原始數據'!$D$2:$D$1000,$D332,'1_原始數據'!$C$2:$C$1000,"khp_mass_g")/('2_NaOH標定'!$C$5*$E332/1000))))</f>
        <v/>
      </c>
      <c r="K332" s="24">
        <f>IF($A332="","",IF($C332&lt;&gt;"manual_titration_mL","",IF(COUNTIFS('1_原始數據'!$A$2:$A$1000,$A332,'1_原始數據'!$C$2:$C$1000,"khp_titration_mL")=0,"",AVERAGEIFS('1_原始數據'!$J$2:$J$1000,'1_原始數據'!$A$2:$A$1000,$A332,'1_原始數據'!$C$2:$C$1000,"khp_titration_mL"))))</f>
        <v/>
      </c>
      <c r="L332" s="25">
        <f>IF($A332="","",IF($C332&lt;&gt;"manual_titration_mL","",IFERROR(INDEX('3_可滴定酸度'!$E$6:$E$13,MATCH($I332,'3_可滴定酸度'!$B$6:$B$13,0)),"")))</f>
        <v/>
      </c>
      <c r="M332" s="25">
        <f>IF($A332="","",IF($C332&lt;&gt;"manual_titration_mL","",IFERROR(INDEX('3_可滴定酸度'!$F$6:$F$13,MATCH($I332,'3_可滴定酸度'!$B$6:$B$13,0)),"")))</f>
        <v/>
      </c>
      <c r="N332" s="24">
        <f>IF($A332="","",IF(OR(K332="",L332="",M332=""),"",K332*E332*L332/(M332*1000)*100))</f>
        <v/>
      </c>
      <c r="O332" s="24">
        <f>IF($A332="","",IF(N332="","",IF(COUNTIFS('1_原始數據'!$A$2:$A$1000,$A332,'1_原始數據'!$B$2:$B$1000,$B332,'1_原始數據'!$D$2:$D$1000,$D332,'1_原始數據'!$I$2:$I$1000,$I332,'1_原始數據'!$C$2:$C$1000,"pasco_pct_acid")=0,"",SUMIFS('1_原始數據'!$E$2:$E$1000,'1_原始數據'!$A$2:$A$1000,$A332,'1_原始數據'!$B$2:$B$1000,$B332,'1_原始數據'!$D$2:$D$1000,$D332,'1_原始數據'!$I$2:$I$1000,$I332,'1_原始數據'!$C$2:$C$1000,"pasco_pct_acid"))))</f>
        <v/>
      </c>
      <c r="P332" s="26">
        <f>IF($A332="","",IF(OR(N332="",O332=""),"",O332-N332))</f>
        <v/>
      </c>
      <c r="Q332" s="24">
        <f>IF($A332="","",IF(P332="","",(O332+N332)/2))</f>
        <v/>
      </c>
      <c r="R332" s="27">
        <f>IF($A332="","",IF(P332="","",COUNT($P$2:P332)))</f>
        <v/>
      </c>
    </row>
    <row r="333">
      <c r="J333" s="24">
        <f>IF($A333="","",IF($C333&lt;&gt;"khp_titration_mL","",IF(COUNTIFS('1_原始數據'!$A$2:$A$1000,$A333,'1_原始數據'!$B$2:$B$1000,$B333,'1_原始數據'!$D$2:$D$1000,$D333,'1_原始數據'!$C$2:$C$1000,"khp_mass_g")=0,"",SUMIFS('1_原始數據'!$E$2:$E$1000,'1_原始數據'!$A$2:$A$1000,$A333,'1_原始數據'!$B$2:$B$1000,$B333,'1_原始數據'!$D$2:$D$1000,$D333,'1_原始數據'!$C$2:$C$1000,"khp_mass_g")/('2_NaOH標定'!$C$5*$E333/1000))))</f>
        <v/>
      </c>
      <c r="K333" s="24">
        <f>IF($A333="","",IF($C333&lt;&gt;"manual_titration_mL","",IF(COUNTIFS('1_原始數據'!$A$2:$A$1000,$A333,'1_原始數據'!$C$2:$C$1000,"khp_titration_mL")=0,"",AVERAGEIFS('1_原始數據'!$J$2:$J$1000,'1_原始數據'!$A$2:$A$1000,$A333,'1_原始數據'!$C$2:$C$1000,"khp_titration_mL"))))</f>
        <v/>
      </c>
      <c r="L333" s="25">
        <f>IF($A333="","",IF($C333&lt;&gt;"manual_titration_mL","",IFERROR(INDEX('3_可滴定酸度'!$E$6:$E$13,MATCH($I333,'3_可滴定酸度'!$B$6:$B$13,0)),"")))</f>
        <v/>
      </c>
      <c r="M333" s="25">
        <f>IF($A333="","",IF($C333&lt;&gt;"manual_titration_mL","",IFERROR(INDEX('3_可滴定酸度'!$F$6:$F$13,MATCH($I333,'3_可滴定酸度'!$B$6:$B$13,0)),"")))</f>
        <v/>
      </c>
      <c r="N333" s="24">
        <f>IF($A333="","",IF(OR(K333="",L333="",M333=""),"",K333*E333*L333/(M333*1000)*100))</f>
        <v/>
      </c>
      <c r="O333" s="24">
        <f>IF($A333="","",IF(N333="","",IF(COUNTIFS('1_原始數據'!$A$2:$A$1000,$A333,'1_原始數據'!$B$2:$B$1000,$B333,'1_原始數據'!$D$2:$D$1000,$D333,'1_原始數據'!$I$2:$I$1000,$I333,'1_原始數據'!$C$2:$C$1000,"pasco_pct_acid")=0,"",SUMIFS('1_原始數據'!$E$2:$E$1000,'1_原始數據'!$A$2:$A$1000,$A333,'1_原始數據'!$B$2:$B$1000,$B333,'1_原始數據'!$D$2:$D$1000,$D333,'1_原始數據'!$I$2:$I$1000,$I333,'1_原始數據'!$C$2:$C$1000,"pasco_pct_acid"))))</f>
        <v/>
      </c>
      <c r="P333" s="26">
        <f>IF($A333="","",IF(OR(N333="",O333=""),"",O333-N333))</f>
        <v/>
      </c>
      <c r="Q333" s="24">
        <f>IF($A333="","",IF(P333="","",(O333+N333)/2))</f>
        <v/>
      </c>
      <c r="R333" s="27">
        <f>IF($A333="","",IF(P333="","",COUNT($P$2:P333)))</f>
        <v/>
      </c>
    </row>
    <row r="334">
      <c r="J334" s="24">
        <f>IF($A334="","",IF($C334&lt;&gt;"khp_titration_mL","",IF(COUNTIFS('1_原始數據'!$A$2:$A$1000,$A334,'1_原始數據'!$B$2:$B$1000,$B334,'1_原始數據'!$D$2:$D$1000,$D334,'1_原始數據'!$C$2:$C$1000,"khp_mass_g")=0,"",SUMIFS('1_原始數據'!$E$2:$E$1000,'1_原始數據'!$A$2:$A$1000,$A334,'1_原始數據'!$B$2:$B$1000,$B334,'1_原始數據'!$D$2:$D$1000,$D334,'1_原始數據'!$C$2:$C$1000,"khp_mass_g")/('2_NaOH標定'!$C$5*$E334/1000))))</f>
        <v/>
      </c>
      <c r="K334" s="24">
        <f>IF($A334="","",IF($C334&lt;&gt;"manual_titration_mL","",IF(COUNTIFS('1_原始數據'!$A$2:$A$1000,$A334,'1_原始數據'!$C$2:$C$1000,"khp_titration_mL")=0,"",AVERAGEIFS('1_原始數據'!$J$2:$J$1000,'1_原始數據'!$A$2:$A$1000,$A334,'1_原始數據'!$C$2:$C$1000,"khp_titration_mL"))))</f>
        <v/>
      </c>
      <c r="L334" s="25">
        <f>IF($A334="","",IF($C334&lt;&gt;"manual_titration_mL","",IFERROR(INDEX('3_可滴定酸度'!$E$6:$E$13,MATCH($I334,'3_可滴定酸度'!$B$6:$B$13,0)),"")))</f>
        <v/>
      </c>
      <c r="M334" s="25">
        <f>IF($A334="","",IF($C334&lt;&gt;"manual_titration_mL","",IFERROR(INDEX('3_可滴定酸度'!$F$6:$F$13,MATCH($I334,'3_可滴定酸度'!$B$6:$B$13,0)),"")))</f>
        <v/>
      </c>
      <c r="N334" s="24">
        <f>IF($A334="","",IF(OR(K334="",L334="",M334=""),"",K334*E334*L334/(M334*1000)*100))</f>
        <v/>
      </c>
      <c r="O334" s="24">
        <f>IF($A334="","",IF(N334="","",IF(COUNTIFS('1_原始數據'!$A$2:$A$1000,$A334,'1_原始數據'!$B$2:$B$1000,$B334,'1_原始數據'!$D$2:$D$1000,$D334,'1_原始數據'!$I$2:$I$1000,$I334,'1_原始數據'!$C$2:$C$1000,"pasco_pct_acid")=0,"",SUMIFS('1_原始數據'!$E$2:$E$1000,'1_原始數據'!$A$2:$A$1000,$A334,'1_原始數據'!$B$2:$B$1000,$B334,'1_原始數據'!$D$2:$D$1000,$D334,'1_原始數據'!$I$2:$I$1000,$I334,'1_原始數據'!$C$2:$C$1000,"pasco_pct_acid"))))</f>
        <v/>
      </c>
      <c r="P334" s="26">
        <f>IF($A334="","",IF(OR(N334="",O334=""),"",O334-N334))</f>
        <v/>
      </c>
      <c r="Q334" s="24">
        <f>IF($A334="","",IF(P334="","",(O334+N334)/2))</f>
        <v/>
      </c>
      <c r="R334" s="27">
        <f>IF($A334="","",IF(P334="","",COUNT($P$2:P334)))</f>
        <v/>
      </c>
    </row>
    <row r="335">
      <c r="J335" s="24">
        <f>IF($A335="","",IF($C335&lt;&gt;"khp_titration_mL","",IF(COUNTIFS('1_原始數據'!$A$2:$A$1000,$A335,'1_原始數據'!$B$2:$B$1000,$B335,'1_原始數據'!$D$2:$D$1000,$D335,'1_原始數據'!$C$2:$C$1000,"khp_mass_g")=0,"",SUMIFS('1_原始數據'!$E$2:$E$1000,'1_原始數據'!$A$2:$A$1000,$A335,'1_原始數據'!$B$2:$B$1000,$B335,'1_原始數據'!$D$2:$D$1000,$D335,'1_原始數據'!$C$2:$C$1000,"khp_mass_g")/('2_NaOH標定'!$C$5*$E335/1000))))</f>
        <v/>
      </c>
      <c r="K335" s="24">
        <f>IF($A335="","",IF($C335&lt;&gt;"manual_titration_mL","",IF(COUNTIFS('1_原始數據'!$A$2:$A$1000,$A335,'1_原始數據'!$C$2:$C$1000,"khp_titration_mL")=0,"",AVERAGEIFS('1_原始數據'!$J$2:$J$1000,'1_原始數據'!$A$2:$A$1000,$A335,'1_原始數據'!$C$2:$C$1000,"khp_titration_mL"))))</f>
        <v/>
      </c>
      <c r="L335" s="25">
        <f>IF($A335="","",IF($C335&lt;&gt;"manual_titration_mL","",IFERROR(INDEX('3_可滴定酸度'!$E$6:$E$13,MATCH($I335,'3_可滴定酸度'!$B$6:$B$13,0)),"")))</f>
        <v/>
      </c>
      <c r="M335" s="25">
        <f>IF($A335="","",IF($C335&lt;&gt;"manual_titration_mL","",IFERROR(INDEX('3_可滴定酸度'!$F$6:$F$13,MATCH($I335,'3_可滴定酸度'!$B$6:$B$13,0)),"")))</f>
        <v/>
      </c>
      <c r="N335" s="24">
        <f>IF($A335="","",IF(OR(K335="",L335="",M335=""),"",K335*E335*L335/(M335*1000)*100))</f>
        <v/>
      </c>
      <c r="O335" s="24">
        <f>IF($A335="","",IF(N335="","",IF(COUNTIFS('1_原始數據'!$A$2:$A$1000,$A335,'1_原始數據'!$B$2:$B$1000,$B335,'1_原始數據'!$D$2:$D$1000,$D335,'1_原始數據'!$I$2:$I$1000,$I335,'1_原始數據'!$C$2:$C$1000,"pasco_pct_acid")=0,"",SUMIFS('1_原始數據'!$E$2:$E$1000,'1_原始數據'!$A$2:$A$1000,$A335,'1_原始數據'!$B$2:$B$1000,$B335,'1_原始數據'!$D$2:$D$1000,$D335,'1_原始數據'!$I$2:$I$1000,$I335,'1_原始數據'!$C$2:$C$1000,"pasco_pct_acid"))))</f>
        <v/>
      </c>
      <c r="P335" s="26">
        <f>IF($A335="","",IF(OR(N335="",O335=""),"",O335-N335))</f>
        <v/>
      </c>
      <c r="Q335" s="24">
        <f>IF($A335="","",IF(P335="","",(O335+N335)/2))</f>
        <v/>
      </c>
      <c r="R335" s="27">
        <f>IF($A335="","",IF(P335="","",COUNT($P$2:P335)))</f>
        <v/>
      </c>
    </row>
    <row r="336">
      <c r="J336" s="24">
        <f>IF($A336="","",IF($C336&lt;&gt;"khp_titration_mL","",IF(COUNTIFS('1_原始數據'!$A$2:$A$1000,$A336,'1_原始數據'!$B$2:$B$1000,$B336,'1_原始數據'!$D$2:$D$1000,$D336,'1_原始數據'!$C$2:$C$1000,"khp_mass_g")=0,"",SUMIFS('1_原始數據'!$E$2:$E$1000,'1_原始數據'!$A$2:$A$1000,$A336,'1_原始數據'!$B$2:$B$1000,$B336,'1_原始數據'!$D$2:$D$1000,$D336,'1_原始數據'!$C$2:$C$1000,"khp_mass_g")/('2_NaOH標定'!$C$5*$E336/1000))))</f>
        <v/>
      </c>
      <c r="K336" s="24">
        <f>IF($A336="","",IF($C336&lt;&gt;"manual_titration_mL","",IF(COUNTIFS('1_原始數據'!$A$2:$A$1000,$A336,'1_原始數據'!$C$2:$C$1000,"khp_titration_mL")=0,"",AVERAGEIFS('1_原始數據'!$J$2:$J$1000,'1_原始數據'!$A$2:$A$1000,$A336,'1_原始數據'!$C$2:$C$1000,"khp_titration_mL"))))</f>
        <v/>
      </c>
      <c r="L336" s="25">
        <f>IF($A336="","",IF($C336&lt;&gt;"manual_titration_mL","",IFERROR(INDEX('3_可滴定酸度'!$E$6:$E$13,MATCH($I336,'3_可滴定酸度'!$B$6:$B$13,0)),"")))</f>
        <v/>
      </c>
      <c r="M336" s="25">
        <f>IF($A336="","",IF($C336&lt;&gt;"manual_titration_mL","",IFERROR(INDEX('3_可滴定酸度'!$F$6:$F$13,MATCH($I336,'3_可滴定酸度'!$B$6:$B$13,0)),"")))</f>
        <v/>
      </c>
      <c r="N336" s="24">
        <f>IF($A336="","",IF(OR(K336="",L336="",M336=""),"",K336*E336*L336/(M336*1000)*100))</f>
        <v/>
      </c>
      <c r="O336" s="24">
        <f>IF($A336="","",IF(N336="","",IF(COUNTIFS('1_原始數據'!$A$2:$A$1000,$A336,'1_原始數據'!$B$2:$B$1000,$B336,'1_原始數據'!$D$2:$D$1000,$D336,'1_原始數據'!$I$2:$I$1000,$I336,'1_原始數據'!$C$2:$C$1000,"pasco_pct_acid")=0,"",SUMIFS('1_原始數據'!$E$2:$E$1000,'1_原始數據'!$A$2:$A$1000,$A336,'1_原始數據'!$B$2:$B$1000,$B336,'1_原始數據'!$D$2:$D$1000,$D336,'1_原始數據'!$I$2:$I$1000,$I336,'1_原始數據'!$C$2:$C$1000,"pasco_pct_acid"))))</f>
        <v/>
      </c>
      <c r="P336" s="26">
        <f>IF($A336="","",IF(OR(N336="",O336=""),"",O336-N336))</f>
        <v/>
      </c>
      <c r="Q336" s="24">
        <f>IF($A336="","",IF(P336="","",(O336+N336)/2))</f>
        <v/>
      </c>
      <c r="R336" s="27">
        <f>IF($A336="","",IF(P336="","",COUNT($P$2:P336)))</f>
        <v/>
      </c>
    </row>
    <row r="337">
      <c r="J337" s="24">
        <f>IF($A337="","",IF($C337&lt;&gt;"khp_titration_mL","",IF(COUNTIFS('1_原始數據'!$A$2:$A$1000,$A337,'1_原始數據'!$B$2:$B$1000,$B337,'1_原始數據'!$D$2:$D$1000,$D337,'1_原始數據'!$C$2:$C$1000,"khp_mass_g")=0,"",SUMIFS('1_原始數據'!$E$2:$E$1000,'1_原始數據'!$A$2:$A$1000,$A337,'1_原始數據'!$B$2:$B$1000,$B337,'1_原始數據'!$D$2:$D$1000,$D337,'1_原始數據'!$C$2:$C$1000,"khp_mass_g")/('2_NaOH標定'!$C$5*$E337/1000))))</f>
        <v/>
      </c>
      <c r="K337" s="24">
        <f>IF($A337="","",IF($C337&lt;&gt;"manual_titration_mL","",IF(COUNTIFS('1_原始數據'!$A$2:$A$1000,$A337,'1_原始數據'!$C$2:$C$1000,"khp_titration_mL")=0,"",AVERAGEIFS('1_原始數據'!$J$2:$J$1000,'1_原始數據'!$A$2:$A$1000,$A337,'1_原始數據'!$C$2:$C$1000,"khp_titration_mL"))))</f>
        <v/>
      </c>
      <c r="L337" s="25">
        <f>IF($A337="","",IF($C337&lt;&gt;"manual_titration_mL","",IFERROR(INDEX('3_可滴定酸度'!$E$6:$E$13,MATCH($I337,'3_可滴定酸度'!$B$6:$B$13,0)),"")))</f>
        <v/>
      </c>
      <c r="M337" s="25">
        <f>IF($A337="","",IF($C337&lt;&gt;"manual_titration_mL","",IFERROR(INDEX('3_可滴定酸度'!$F$6:$F$13,MATCH($I337,'3_可滴定酸度'!$B$6:$B$13,0)),"")))</f>
        <v/>
      </c>
      <c r="N337" s="24">
        <f>IF($A337="","",IF(OR(K337="",L337="",M337=""),"",K337*E337*L337/(M337*1000)*100))</f>
        <v/>
      </c>
      <c r="O337" s="24">
        <f>IF($A337="","",IF(N337="","",IF(COUNTIFS('1_原始數據'!$A$2:$A$1000,$A337,'1_原始數據'!$B$2:$B$1000,$B337,'1_原始數據'!$D$2:$D$1000,$D337,'1_原始數據'!$I$2:$I$1000,$I337,'1_原始數據'!$C$2:$C$1000,"pasco_pct_acid")=0,"",SUMIFS('1_原始數據'!$E$2:$E$1000,'1_原始數據'!$A$2:$A$1000,$A337,'1_原始數據'!$B$2:$B$1000,$B337,'1_原始數據'!$D$2:$D$1000,$D337,'1_原始數據'!$I$2:$I$1000,$I337,'1_原始數據'!$C$2:$C$1000,"pasco_pct_acid"))))</f>
        <v/>
      </c>
      <c r="P337" s="26">
        <f>IF($A337="","",IF(OR(N337="",O337=""),"",O337-N337))</f>
        <v/>
      </c>
      <c r="Q337" s="24">
        <f>IF($A337="","",IF(P337="","",(O337+N337)/2))</f>
        <v/>
      </c>
      <c r="R337" s="27">
        <f>IF($A337="","",IF(P337="","",COUNT($P$2:P337)))</f>
        <v/>
      </c>
    </row>
    <row r="338">
      <c r="J338" s="24">
        <f>IF($A338="","",IF($C338&lt;&gt;"khp_titration_mL","",IF(COUNTIFS('1_原始數據'!$A$2:$A$1000,$A338,'1_原始數據'!$B$2:$B$1000,$B338,'1_原始數據'!$D$2:$D$1000,$D338,'1_原始數據'!$C$2:$C$1000,"khp_mass_g")=0,"",SUMIFS('1_原始數據'!$E$2:$E$1000,'1_原始數據'!$A$2:$A$1000,$A338,'1_原始數據'!$B$2:$B$1000,$B338,'1_原始數據'!$D$2:$D$1000,$D338,'1_原始數據'!$C$2:$C$1000,"khp_mass_g")/('2_NaOH標定'!$C$5*$E338/1000))))</f>
        <v/>
      </c>
      <c r="K338" s="24">
        <f>IF($A338="","",IF($C338&lt;&gt;"manual_titration_mL","",IF(COUNTIFS('1_原始數據'!$A$2:$A$1000,$A338,'1_原始數據'!$C$2:$C$1000,"khp_titration_mL")=0,"",AVERAGEIFS('1_原始數據'!$J$2:$J$1000,'1_原始數據'!$A$2:$A$1000,$A338,'1_原始數據'!$C$2:$C$1000,"khp_titration_mL"))))</f>
        <v/>
      </c>
      <c r="L338" s="25">
        <f>IF($A338="","",IF($C338&lt;&gt;"manual_titration_mL","",IFERROR(INDEX('3_可滴定酸度'!$E$6:$E$13,MATCH($I338,'3_可滴定酸度'!$B$6:$B$13,0)),"")))</f>
        <v/>
      </c>
      <c r="M338" s="25">
        <f>IF($A338="","",IF($C338&lt;&gt;"manual_titration_mL","",IFERROR(INDEX('3_可滴定酸度'!$F$6:$F$13,MATCH($I338,'3_可滴定酸度'!$B$6:$B$13,0)),"")))</f>
        <v/>
      </c>
      <c r="N338" s="24">
        <f>IF($A338="","",IF(OR(K338="",L338="",M338=""),"",K338*E338*L338/(M338*1000)*100))</f>
        <v/>
      </c>
      <c r="O338" s="24">
        <f>IF($A338="","",IF(N338="","",IF(COUNTIFS('1_原始數據'!$A$2:$A$1000,$A338,'1_原始數據'!$B$2:$B$1000,$B338,'1_原始數據'!$D$2:$D$1000,$D338,'1_原始數據'!$I$2:$I$1000,$I338,'1_原始數據'!$C$2:$C$1000,"pasco_pct_acid")=0,"",SUMIFS('1_原始數據'!$E$2:$E$1000,'1_原始數據'!$A$2:$A$1000,$A338,'1_原始數據'!$B$2:$B$1000,$B338,'1_原始數據'!$D$2:$D$1000,$D338,'1_原始數據'!$I$2:$I$1000,$I338,'1_原始數據'!$C$2:$C$1000,"pasco_pct_acid"))))</f>
        <v/>
      </c>
      <c r="P338" s="26">
        <f>IF($A338="","",IF(OR(N338="",O338=""),"",O338-N338))</f>
        <v/>
      </c>
      <c r="Q338" s="24">
        <f>IF($A338="","",IF(P338="","",(O338+N338)/2))</f>
        <v/>
      </c>
      <c r="R338" s="27">
        <f>IF($A338="","",IF(P338="","",COUNT($P$2:P338)))</f>
        <v/>
      </c>
    </row>
    <row r="339">
      <c r="J339" s="24">
        <f>IF($A339="","",IF($C339&lt;&gt;"khp_titration_mL","",IF(COUNTIFS('1_原始數據'!$A$2:$A$1000,$A339,'1_原始數據'!$B$2:$B$1000,$B339,'1_原始數據'!$D$2:$D$1000,$D339,'1_原始數據'!$C$2:$C$1000,"khp_mass_g")=0,"",SUMIFS('1_原始數據'!$E$2:$E$1000,'1_原始數據'!$A$2:$A$1000,$A339,'1_原始數據'!$B$2:$B$1000,$B339,'1_原始數據'!$D$2:$D$1000,$D339,'1_原始數據'!$C$2:$C$1000,"khp_mass_g")/('2_NaOH標定'!$C$5*$E339/1000))))</f>
        <v/>
      </c>
      <c r="K339" s="24">
        <f>IF($A339="","",IF($C339&lt;&gt;"manual_titration_mL","",IF(COUNTIFS('1_原始數據'!$A$2:$A$1000,$A339,'1_原始數據'!$C$2:$C$1000,"khp_titration_mL")=0,"",AVERAGEIFS('1_原始數據'!$J$2:$J$1000,'1_原始數據'!$A$2:$A$1000,$A339,'1_原始數據'!$C$2:$C$1000,"khp_titration_mL"))))</f>
        <v/>
      </c>
      <c r="L339" s="25">
        <f>IF($A339="","",IF($C339&lt;&gt;"manual_titration_mL","",IFERROR(INDEX('3_可滴定酸度'!$E$6:$E$13,MATCH($I339,'3_可滴定酸度'!$B$6:$B$13,0)),"")))</f>
        <v/>
      </c>
      <c r="M339" s="25">
        <f>IF($A339="","",IF($C339&lt;&gt;"manual_titration_mL","",IFERROR(INDEX('3_可滴定酸度'!$F$6:$F$13,MATCH($I339,'3_可滴定酸度'!$B$6:$B$13,0)),"")))</f>
        <v/>
      </c>
      <c r="N339" s="24">
        <f>IF($A339="","",IF(OR(K339="",L339="",M339=""),"",K339*E339*L339/(M339*1000)*100))</f>
        <v/>
      </c>
      <c r="O339" s="24">
        <f>IF($A339="","",IF(N339="","",IF(COUNTIFS('1_原始數據'!$A$2:$A$1000,$A339,'1_原始數據'!$B$2:$B$1000,$B339,'1_原始數據'!$D$2:$D$1000,$D339,'1_原始數據'!$I$2:$I$1000,$I339,'1_原始數據'!$C$2:$C$1000,"pasco_pct_acid")=0,"",SUMIFS('1_原始數據'!$E$2:$E$1000,'1_原始數據'!$A$2:$A$1000,$A339,'1_原始數據'!$B$2:$B$1000,$B339,'1_原始數據'!$D$2:$D$1000,$D339,'1_原始數據'!$I$2:$I$1000,$I339,'1_原始數據'!$C$2:$C$1000,"pasco_pct_acid"))))</f>
        <v/>
      </c>
      <c r="P339" s="26">
        <f>IF($A339="","",IF(OR(N339="",O339=""),"",O339-N339))</f>
        <v/>
      </c>
      <c r="Q339" s="24">
        <f>IF($A339="","",IF(P339="","",(O339+N339)/2))</f>
        <v/>
      </c>
      <c r="R339" s="27">
        <f>IF($A339="","",IF(P339="","",COUNT($P$2:P339)))</f>
        <v/>
      </c>
    </row>
    <row r="340">
      <c r="J340" s="24">
        <f>IF($A340="","",IF($C340&lt;&gt;"khp_titration_mL","",IF(COUNTIFS('1_原始數據'!$A$2:$A$1000,$A340,'1_原始數據'!$B$2:$B$1000,$B340,'1_原始數據'!$D$2:$D$1000,$D340,'1_原始數據'!$C$2:$C$1000,"khp_mass_g")=0,"",SUMIFS('1_原始數據'!$E$2:$E$1000,'1_原始數據'!$A$2:$A$1000,$A340,'1_原始數據'!$B$2:$B$1000,$B340,'1_原始數據'!$D$2:$D$1000,$D340,'1_原始數據'!$C$2:$C$1000,"khp_mass_g")/('2_NaOH標定'!$C$5*$E340/1000))))</f>
        <v/>
      </c>
      <c r="K340" s="24">
        <f>IF($A340="","",IF($C340&lt;&gt;"manual_titration_mL","",IF(COUNTIFS('1_原始數據'!$A$2:$A$1000,$A340,'1_原始數據'!$C$2:$C$1000,"khp_titration_mL")=0,"",AVERAGEIFS('1_原始數據'!$J$2:$J$1000,'1_原始數據'!$A$2:$A$1000,$A340,'1_原始數據'!$C$2:$C$1000,"khp_titration_mL"))))</f>
        <v/>
      </c>
      <c r="L340" s="25">
        <f>IF($A340="","",IF($C340&lt;&gt;"manual_titration_mL","",IFERROR(INDEX('3_可滴定酸度'!$E$6:$E$13,MATCH($I340,'3_可滴定酸度'!$B$6:$B$13,0)),"")))</f>
        <v/>
      </c>
      <c r="M340" s="25">
        <f>IF($A340="","",IF($C340&lt;&gt;"manual_titration_mL","",IFERROR(INDEX('3_可滴定酸度'!$F$6:$F$13,MATCH($I340,'3_可滴定酸度'!$B$6:$B$13,0)),"")))</f>
        <v/>
      </c>
      <c r="N340" s="24">
        <f>IF($A340="","",IF(OR(K340="",L340="",M340=""),"",K340*E340*L340/(M340*1000)*100))</f>
        <v/>
      </c>
      <c r="O340" s="24">
        <f>IF($A340="","",IF(N340="","",IF(COUNTIFS('1_原始數據'!$A$2:$A$1000,$A340,'1_原始數據'!$B$2:$B$1000,$B340,'1_原始數據'!$D$2:$D$1000,$D340,'1_原始數據'!$I$2:$I$1000,$I340,'1_原始數據'!$C$2:$C$1000,"pasco_pct_acid")=0,"",SUMIFS('1_原始數據'!$E$2:$E$1000,'1_原始數據'!$A$2:$A$1000,$A340,'1_原始數據'!$B$2:$B$1000,$B340,'1_原始數據'!$D$2:$D$1000,$D340,'1_原始數據'!$I$2:$I$1000,$I340,'1_原始數據'!$C$2:$C$1000,"pasco_pct_acid"))))</f>
        <v/>
      </c>
      <c r="P340" s="26">
        <f>IF($A340="","",IF(OR(N340="",O340=""),"",O340-N340))</f>
        <v/>
      </c>
      <c r="Q340" s="24">
        <f>IF($A340="","",IF(P340="","",(O340+N340)/2))</f>
        <v/>
      </c>
      <c r="R340" s="27">
        <f>IF($A340="","",IF(P340="","",COUNT($P$2:P340)))</f>
        <v/>
      </c>
    </row>
    <row r="341">
      <c r="J341" s="24">
        <f>IF($A341="","",IF($C341&lt;&gt;"khp_titration_mL","",IF(COUNTIFS('1_原始數據'!$A$2:$A$1000,$A341,'1_原始數據'!$B$2:$B$1000,$B341,'1_原始數據'!$D$2:$D$1000,$D341,'1_原始數據'!$C$2:$C$1000,"khp_mass_g")=0,"",SUMIFS('1_原始數據'!$E$2:$E$1000,'1_原始數據'!$A$2:$A$1000,$A341,'1_原始數據'!$B$2:$B$1000,$B341,'1_原始數據'!$D$2:$D$1000,$D341,'1_原始數據'!$C$2:$C$1000,"khp_mass_g")/('2_NaOH標定'!$C$5*$E341/1000))))</f>
        <v/>
      </c>
      <c r="K341" s="24">
        <f>IF($A341="","",IF($C341&lt;&gt;"manual_titration_mL","",IF(COUNTIFS('1_原始數據'!$A$2:$A$1000,$A341,'1_原始數據'!$C$2:$C$1000,"khp_titration_mL")=0,"",AVERAGEIFS('1_原始數據'!$J$2:$J$1000,'1_原始數據'!$A$2:$A$1000,$A341,'1_原始數據'!$C$2:$C$1000,"khp_titration_mL"))))</f>
        <v/>
      </c>
      <c r="L341" s="25">
        <f>IF($A341="","",IF($C341&lt;&gt;"manual_titration_mL","",IFERROR(INDEX('3_可滴定酸度'!$E$6:$E$13,MATCH($I341,'3_可滴定酸度'!$B$6:$B$13,0)),"")))</f>
        <v/>
      </c>
      <c r="M341" s="25">
        <f>IF($A341="","",IF($C341&lt;&gt;"manual_titration_mL","",IFERROR(INDEX('3_可滴定酸度'!$F$6:$F$13,MATCH($I341,'3_可滴定酸度'!$B$6:$B$13,0)),"")))</f>
        <v/>
      </c>
      <c r="N341" s="24">
        <f>IF($A341="","",IF(OR(K341="",L341="",M341=""),"",K341*E341*L341/(M341*1000)*100))</f>
        <v/>
      </c>
      <c r="O341" s="24">
        <f>IF($A341="","",IF(N341="","",IF(COUNTIFS('1_原始數據'!$A$2:$A$1000,$A341,'1_原始數據'!$B$2:$B$1000,$B341,'1_原始數據'!$D$2:$D$1000,$D341,'1_原始數據'!$I$2:$I$1000,$I341,'1_原始數據'!$C$2:$C$1000,"pasco_pct_acid")=0,"",SUMIFS('1_原始數據'!$E$2:$E$1000,'1_原始數據'!$A$2:$A$1000,$A341,'1_原始數據'!$B$2:$B$1000,$B341,'1_原始數據'!$D$2:$D$1000,$D341,'1_原始數據'!$I$2:$I$1000,$I341,'1_原始數據'!$C$2:$C$1000,"pasco_pct_acid"))))</f>
        <v/>
      </c>
      <c r="P341" s="26">
        <f>IF($A341="","",IF(OR(N341="",O341=""),"",O341-N341))</f>
        <v/>
      </c>
      <c r="Q341" s="24">
        <f>IF($A341="","",IF(P341="","",(O341+N341)/2))</f>
        <v/>
      </c>
      <c r="R341" s="27">
        <f>IF($A341="","",IF(P341="","",COUNT($P$2:P341)))</f>
        <v/>
      </c>
    </row>
    <row r="342">
      <c r="J342" s="24">
        <f>IF($A342="","",IF($C342&lt;&gt;"khp_titration_mL","",IF(COUNTIFS('1_原始數據'!$A$2:$A$1000,$A342,'1_原始數據'!$B$2:$B$1000,$B342,'1_原始數據'!$D$2:$D$1000,$D342,'1_原始數據'!$C$2:$C$1000,"khp_mass_g")=0,"",SUMIFS('1_原始數據'!$E$2:$E$1000,'1_原始數據'!$A$2:$A$1000,$A342,'1_原始數據'!$B$2:$B$1000,$B342,'1_原始數據'!$D$2:$D$1000,$D342,'1_原始數據'!$C$2:$C$1000,"khp_mass_g")/('2_NaOH標定'!$C$5*$E342/1000))))</f>
        <v/>
      </c>
      <c r="K342" s="24">
        <f>IF($A342="","",IF($C342&lt;&gt;"manual_titration_mL","",IF(COUNTIFS('1_原始數據'!$A$2:$A$1000,$A342,'1_原始數據'!$C$2:$C$1000,"khp_titration_mL")=0,"",AVERAGEIFS('1_原始數據'!$J$2:$J$1000,'1_原始數據'!$A$2:$A$1000,$A342,'1_原始數據'!$C$2:$C$1000,"khp_titration_mL"))))</f>
        <v/>
      </c>
      <c r="L342" s="25">
        <f>IF($A342="","",IF($C342&lt;&gt;"manual_titration_mL","",IFERROR(INDEX('3_可滴定酸度'!$E$6:$E$13,MATCH($I342,'3_可滴定酸度'!$B$6:$B$13,0)),"")))</f>
        <v/>
      </c>
      <c r="M342" s="25">
        <f>IF($A342="","",IF($C342&lt;&gt;"manual_titration_mL","",IFERROR(INDEX('3_可滴定酸度'!$F$6:$F$13,MATCH($I342,'3_可滴定酸度'!$B$6:$B$13,0)),"")))</f>
        <v/>
      </c>
      <c r="N342" s="24">
        <f>IF($A342="","",IF(OR(K342="",L342="",M342=""),"",K342*E342*L342/(M342*1000)*100))</f>
        <v/>
      </c>
      <c r="O342" s="24">
        <f>IF($A342="","",IF(N342="","",IF(COUNTIFS('1_原始數據'!$A$2:$A$1000,$A342,'1_原始數據'!$B$2:$B$1000,$B342,'1_原始數據'!$D$2:$D$1000,$D342,'1_原始數據'!$I$2:$I$1000,$I342,'1_原始數據'!$C$2:$C$1000,"pasco_pct_acid")=0,"",SUMIFS('1_原始數據'!$E$2:$E$1000,'1_原始數據'!$A$2:$A$1000,$A342,'1_原始數據'!$B$2:$B$1000,$B342,'1_原始數據'!$D$2:$D$1000,$D342,'1_原始數據'!$I$2:$I$1000,$I342,'1_原始數據'!$C$2:$C$1000,"pasco_pct_acid"))))</f>
        <v/>
      </c>
      <c r="P342" s="26">
        <f>IF($A342="","",IF(OR(N342="",O342=""),"",O342-N342))</f>
        <v/>
      </c>
      <c r="Q342" s="24">
        <f>IF($A342="","",IF(P342="","",(O342+N342)/2))</f>
        <v/>
      </c>
      <c r="R342" s="27">
        <f>IF($A342="","",IF(P342="","",COUNT($P$2:P342)))</f>
        <v/>
      </c>
    </row>
    <row r="343">
      <c r="J343" s="24">
        <f>IF($A343="","",IF($C343&lt;&gt;"khp_titration_mL","",IF(COUNTIFS('1_原始數據'!$A$2:$A$1000,$A343,'1_原始數據'!$B$2:$B$1000,$B343,'1_原始數據'!$D$2:$D$1000,$D343,'1_原始數據'!$C$2:$C$1000,"khp_mass_g")=0,"",SUMIFS('1_原始數據'!$E$2:$E$1000,'1_原始數據'!$A$2:$A$1000,$A343,'1_原始數據'!$B$2:$B$1000,$B343,'1_原始數據'!$D$2:$D$1000,$D343,'1_原始數據'!$C$2:$C$1000,"khp_mass_g")/('2_NaOH標定'!$C$5*$E343/1000))))</f>
        <v/>
      </c>
      <c r="K343" s="24">
        <f>IF($A343="","",IF($C343&lt;&gt;"manual_titration_mL","",IF(COUNTIFS('1_原始數據'!$A$2:$A$1000,$A343,'1_原始數據'!$C$2:$C$1000,"khp_titration_mL")=0,"",AVERAGEIFS('1_原始數據'!$J$2:$J$1000,'1_原始數據'!$A$2:$A$1000,$A343,'1_原始數據'!$C$2:$C$1000,"khp_titration_mL"))))</f>
        <v/>
      </c>
      <c r="L343" s="25">
        <f>IF($A343="","",IF($C343&lt;&gt;"manual_titration_mL","",IFERROR(INDEX('3_可滴定酸度'!$E$6:$E$13,MATCH($I343,'3_可滴定酸度'!$B$6:$B$13,0)),"")))</f>
        <v/>
      </c>
      <c r="M343" s="25">
        <f>IF($A343="","",IF($C343&lt;&gt;"manual_titration_mL","",IFERROR(INDEX('3_可滴定酸度'!$F$6:$F$13,MATCH($I343,'3_可滴定酸度'!$B$6:$B$13,0)),"")))</f>
        <v/>
      </c>
      <c r="N343" s="24">
        <f>IF($A343="","",IF(OR(K343="",L343="",M343=""),"",K343*E343*L343/(M343*1000)*100))</f>
        <v/>
      </c>
      <c r="O343" s="24">
        <f>IF($A343="","",IF(N343="","",IF(COUNTIFS('1_原始數據'!$A$2:$A$1000,$A343,'1_原始數據'!$B$2:$B$1000,$B343,'1_原始數據'!$D$2:$D$1000,$D343,'1_原始數據'!$I$2:$I$1000,$I343,'1_原始數據'!$C$2:$C$1000,"pasco_pct_acid")=0,"",SUMIFS('1_原始數據'!$E$2:$E$1000,'1_原始數據'!$A$2:$A$1000,$A343,'1_原始數據'!$B$2:$B$1000,$B343,'1_原始數據'!$D$2:$D$1000,$D343,'1_原始數據'!$I$2:$I$1000,$I343,'1_原始數據'!$C$2:$C$1000,"pasco_pct_acid"))))</f>
        <v/>
      </c>
      <c r="P343" s="26">
        <f>IF($A343="","",IF(OR(N343="",O343=""),"",O343-N343))</f>
        <v/>
      </c>
      <c r="Q343" s="24">
        <f>IF($A343="","",IF(P343="","",(O343+N343)/2))</f>
        <v/>
      </c>
      <c r="R343" s="27">
        <f>IF($A343="","",IF(P343="","",COUNT($P$2:P343)))</f>
        <v/>
      </c>
    </row>
    <row r="344">
      <c r="J344" s="24">
        <f>IF($A344="","",IF($C344&lt;&gt;"khp_titration_mL","",IF(COUNTIFS('1_原始數據'!$A$2:$A$1000,$A344,'1_原始數據'!$B$2:$B$1000,$B344,'1_原始數據'!$D$2:$D$1000,$D344,'1_原始數據'!$C$2:$C$1000,"khp_mass_g")=0,"",SUMIFS('1_原始數據'!$E$2:$E$1000,'1_原始數據'!$A$2:$A$1000,$A344,'1_原始數據'!$B$2:$B$1000,$B344,'1_原始數據'!$D$2:$D$1000,$D344,'1_原始數據'!$C$2:$C$1000,"khp_mass_g")/('2_NaOH標定'!$C$5*$E344/1000))))</f>
        <v/>
      </c>
      <c r="K344" s="24">
        <f>IF($A344="","",IF($C344&lt;&gt;"manual_titration_mL","",IF(COUNTIFS('1_原始數據'!$A$2:$A$1000,$A344,'1_原始數據'!$C$2:$C$1000,"khp_titration_mL")=0,"",AVERAGEIFS('1_原始數據'!$J$2:$J$1000,'1_原始數據'!$A$2:$A$1000,$A344,'1_原始數據'!$C$2:$C$1000,"khp_titration_mL"))))</f>
        <v/>
      </c>
      <c r="L344" s="25">
        <f>IF($A344="","",IF($C344&lt;&gt;"manual_titration_mL","",IFERROR(INDEX('3_可滴定酸度'!$E$6:$E$13,MATCH($I344,'3_可滴定酸度'!$B$6:$B$13,0)),"")))</f>
        <v/>
      </c>
      <c r="M344" s="25">
        <f>IF($A344="","",IF($C344&lt;&gt;"manual_titration_mL","",IFERROR(INDEX('3_可滴定酸度'!$F$6:$F$13,MATCH($I344,'3_可滴定酸度'!$B$6:$B$13,0)),"")))</f>
        <v/>
      </c>
      <c r="N344" s="24">
        <f>IF($A344="","",IF(OR(K344="",L344="",M344=""),"",K344*E344*L344/(M344*1000)*100))</f>
        <v/>
      </c>
      <c r="O344" s="24">
        <f>IF($A344="","",IF(N344="","",IF(COUNTIFS('1_原始數據'!$A$2:$A$1000,$A344,'1_原始數據'!$B$2:$B$1000,$B344,'1_原始數據'!$D$2:$D$1000,$D344,'1_原始數據'!$I$2:$I$1000,$I344,'1_原始數據'!$C$2:$C$1000,"pasco_pct_acid")=0,"",SUMIFS('1_原始數據'!$E$2:$E$1000,'1_原始數據'!$A$2:$A$1000,$A344,'1_原始數據'!$B$2:$B$1000,$B344,'1_原始數據'!$D$2:$D$1000,$D344,'1_原始數據'!$I$2:$I$1000,$I344,'1_原始數據'!$C$2:$C$1000,"pasco_pct_acid"))))</f>
        <v/>
      </c>
      <c r="P344" s="26">
        <f>IF($A344="","",IF(OR(N344="",O344=""),"",O344-N344))</f>
        <v/>
      </c>
      <c r="Q344" s="24">
        <f>IF($A344="","",IF(P344="","",(O344+N344)/2))</f>
        <v/>
      </c>
      <c r="R344" s="27">
        <f>IF($A344="","",IF(P344="","",COUNT($P$2:P344)))</f>
        <v/>
      </c>
    </row>
    <row r="345">
      <c r="J345" s="24">
        <f>IF($A345="","",IF($C345&lt;&gt;"khp_titration_mL","",IF(COUNTIFS('1_原始數據'!$A$2:$A$1000,$A345,'1_原始數據'!$B$2:$B$1000,$B345,'1_原始數據'!$D$2:$D$1000,$D345,'1_原始數據'!$C$2:$C$1000,"khp_mass_g")=0,"",SUMIFS('1_原始數據'!$E$2:$E$1000,'1_原始數據'!$A$2:$A$1000,$A345,'1_原始數據'!$B$2:$B$1000,$B345,'1_原始數據'!$D$2:$D$1000,$D345,'1_原始數據'!$C$2:$C$1000,"khp_mass_g")/('2_NaOH標定'!$C$5*$E345/1000))))</f>
        <v/>
      </c>
      <c r="K345" s="24">
        <f>IF($A345="","",IF($C345&lt;&gt;"manual_titration_mL","",IF(COUNTIFS('1_原始數據'!$A$2:$A$1000,$A345,'1_原始數據'!$C$2:$C$1000,"khp_titration_mL")=0,"",AVERAGEIFS('1_原始數據'!$J$2:$J$1000,'1_原始數據'!$A$2:$A$1000,$A345,'1_原始數據'!$C$2:$C$1000,"khp_titration_mL"))))</f>
        <v/>
      </c>
      <c r="L345" s="25">
        <f>IF($A345="","",IF($C345&lt;&gt;"manual_titration_mL","",IFERROR(INDEX('3_可滴定酸度'!$E$6:$E$13,MATCH($I345,'3_可滴定酸度'!$B$6:$B$13,0)),"")))</f>
        <v/>
      </c>
      <c r="M345" s="25">
        <f>IF($A345="","",IF($C345&lt;&gt;"manual_titration_mL","",IFERROR(INDEX('3_可滴定酸度'!$F$6:$F$13,MATCH($I345,'3_可滴定酸度'!$B$6:$B$13,0)),"")))</f>
        <v/>
      </c>
      <c r="N345" s="24">
        <f>IF($A345="","",IF(OR(K345="",L345="",M345=""),"",K345*E345*L345/(M345*1000)*100))</f>
        <v/>
      </c>
      <c r="O345" s="24">
        <f>IF($A345="","",IF(N345="","",IF(COUNTIFS('1_原始數據'!$A$2:$A$1000,$A345,'1_原始數據'!$B$2:$B$1000,$B345,'1_原始數據'!$D$2:$D$1000,$D345,'1_原始數據'!$I$2:$I$1000,$I345,'1_原始數據'!$C$2:$C$1000,"pasco_pct_acid")=0,"",SUMIFS('1_原始數據'!$E$2:$E$1000,'1_原始數據'!$A$2:$A$1000,$A345,'1_原始數據'!$B$2:$B$1000,$B345,'1_原始數據'!$D$2:$D$1000,$D345,'1_原始數據'!$I$2:$I$1000,$I345,'1_原始數據'!$C$2:$C$1000,"pasco_pct_acid"))))</f>
        <v/>
      </c>
      <c r="P345" s="26">
        <f>IF($A345="","",IF(OR(N345="",O345=""),"",O345-N345))</f>
        <v/>
      </c>
      <c r="Q345" s="24">
        <f>IF($A345="","",IF(P345="","",(O345+N345)/2))</f>
        <v/>
      </c>
      <c r="R345" s="27">
        <f>IF($A345="","",IF(P345="","",COUNT($P$2:P345)))</f>
        <v/>
      </c>
    </row>
    <row r="346">
      <c r="J346" s="24">
        <f>IF($A346="","",IF($C346&lt;&gt;"khp_titration_mL","",IF(COUNTIFS('1_原始數據'!$A$2:$A$1000,$A346,'1_原始數據'!$B$2:$B$1000,$B346,'1_原始數據'!$D$2:$D$1000,$D346,'1_原始數據'!$C$2:$C$1000,"khp_mass_g")=0,"",SUMIFS('1_原始數據'!$E$2:$E$1000,'1_原始數據'!$A$2:$A$1000,$A346,'1_原始數據'!$B$2:$B$1000,$B346,'1_原始數據'!$D$2:$D$1000,$D346,'1_原始數據'!$C$2:$C$1000,"khp_mass_g")/('2_NaOH標定'!$C$5*$E346/1000))))</f>
        <v/>
      </c>
      <c r="K346" s="24">
        <f>IF($A346="","",IF($C346&lt;&gt;"manual_titration_mL","",IF(COUNTIFS('1_原始數據'!$A$2:$A$1000,$A346,'1_原始數據'!$C$2:$C$1000,"khp_titration_mL")=0,"",AVERAGEIFS('1_原始數據'!$J$2:$J$1000,'1_原始數據'!$A$2:$A$1000,$A346,'1_原始數據'!$C$2:$C$1000,"khp_titration_mL"))))</f>
        <v/>
      </c>
      <c r="L346" s="25">
        <f>IF($A346="","",IF($C346&lt;&gt;"manual_titration_mL","",IFERROR(INDEX('3_可滴定酸度'!$E$6:$E$13,MATCH($I346,'3_可滴定酸度'!$B$6:$B$13,0)),"")))</f>
        <v/>
      </c>
      <c r="M346" s="25">
        <f>IF($A346="","",IF($C346&lt;&gt;"manual_titration_mL","",IFERROR(INDEX('3_可滴定酸度'!$F$6:$F$13,MATCH($I346,'3_可滴定酸度'!$B$6:$B$13,0)),"")))</f>
        <v/>
      </c>
      <c r="N346" s="24">
        <f>IF($A346="","",IF(OR(K346="",L346="",M346=""),"",K346*E346*L346/(M346*1000)*100))</f>
        <v/>
      </c>
      <c r="O346" s="24">
        <f>IF($A346="","",IF(N346="","",IF(COUNTIFS('1_原始數據'!$A$2:$A$1000,$A346,'1_原始數據'!$B$2:$B$1000,$B346,'1_原始數據'!$D$2:$D$1000,$D346,'1_原始數據'!$I$2:$I$1000,$I346,'1_原始數據'!$C$2:$C$1000,"pasco_pct_acid")=0,"",SUMIFS('1_原始數據'!$E$2:$E$1000,'1_原始數據'!$A$2:$A$1000,$A346,'1_原始數據'!$B$2:$B$1000,$B346,'1_原始數據'!$D$2:$D$1000,$D346,'1_原始數據'!$I$2:$I$1000,$I346,'1_原始數據'!$C$2:$C$1000,"pasco_pct_acid"))))</f>
        <v/>
      </c>
      <c r="P346" s="26">
        <f>IF($A346="","",IF(OR(N346="",O346=""),"",O346-N346))</f>
        <v/>
      </c>
      <c r="Q346" s="24">
        <f>IF($A346="","",IF(P346="","",(O346+N346)/2))</f>
        <v/>
      </c>
      <c r="R346" s="27">
        <f>IF($A346="","",IF(P346="","",COUNT($P$2:P346)))</f>
        <v/>
      </c>
    </row>
    <row r="347">
      <c r="J347" s="24">
        <f>IF($A347="","",IF($C347&lt;&gt;"khp_titration_mL","",IF(COUNTIFS('1_原始數據'!$A$2:$A$1000,$A347,'1_原始數據'!$B$2:$B$1000,$B347,'1_原始數據'!$D$2:$D$1000,$D347,'1_原始數據'!$C$2:$C$1000,"khp_mass_g")=0,"",SUMIFS('1_原始數據'!$E$2:$E$1000,'1_原始數據'!$A$2:$A$1000,$A347,'1_原始數據'!$B$2:$B$1000,$B347,'1_原始數據'!$D$2:$D$1000,$D347,'1_原始數據'!$C$2:$C$1000,"khp_mass_g")/('2_NaOH標定'!$C$5*$E347/1000))))</f>
        <v/>
      </c>
      <c r="K347" s="24">
        <f>IF($A347="","",IF($C347&lt;&gt;"manual_titration_mL","",IF(COUNTIFS('1_原始數據'!$A$2:$A$1000,$A347,'1_原始數據'!$C$2:$C$1000,"khp_titration_mL")=0,"",AVERAGEIFS('1_原始數據'!$J$2:$J$1000,'1_原始數據'!$A$2:$A$1000,$A347,'1_原始數據'!$C$2:$C$1000,"khp_titration_mL"))))</f>
        <v/>
      </c>
      <c r="L347" s="25">
        <f>IF($A347="","",IF($C347&lt;&gt;"manual_titration_mL","",IFERROR(INDEX('3_可滴定酸度'!$E$6:$E$13,MATCH($I347,'3_可滴定酸度'!$B$6:$B$13,0)),"")))</f>
        <v/>
      </c>
      <c r="M347" s="25">
        <f>IF($A347="","",IF($C347&lt;&gt;"manual_titration_mL","",IFERROR(INDEX('3_可滴定酸度'!$F$6:$F$13,MATCH($I347,'3_可滴定酸度'!$B$6:$B$13,0)),"")))</f>
        <v/>
      </c>
      <c r="N347" s="24">
        <f>IF($A347="","",IF(OR(K347="",L347="",M347=""),"",K347*E347*L347/(M347*1000)*100))</f>
        <v/>
      </c>
      <c r="O347" s="24">
        <f>IF($A347="","",IF(N347="","",IF(COUNTIFS('1_原始數據'!$A$2:$A$1000,$A347,'1_原始數據'!$B$2:$B$1000,$B347,'1_原始數據'!$D$2:$D$1000,$D347,'1_原始數據'!$I$2:$I$1000,$I347,'1_原始數據'!$C$2:$C$1000,"pasco_pct_acid")=0,"",SUMIFS('1_原始數據'!$E$2:$E$1000,'1_原始數據'!$A$2:$A$1000,$A347,'1_原始數據'!$B$2:$B$1000,$B347,'1_原始數據'!$D$2:$D$1000,$D347,'1_原始數據'!$I$2:$I$1000,$I347,'1_原始數據'!$C$2:$C$1000,"pasco_pct_acid"))))</f>
        <v/>
      </c>
      <c r="P347" s="26">
        <f>IF($A347="","",IF(OR(N347="",O347=""),"",O347-N347))</f>
        <v/>
      </c>
      <c r="Q347" s="24">
        <f>IF($A347="","",IF(P347="","",(O347+N347)/2))</f>
        <v/>
      </c>
      <c r="R347" s="27">
        <f>IF($A347="","",IF(P347="","",COUNT($P$2:P347)))</f>
        <v/>
      </c>
    </row>
    <row r="348">
      <c r="J348" s="24">
        <f>IF($A348="","",IF($C348&lt;&gt;"khp_titration_mL","",IF(COUNTIFS('1_原始數據'!$A$2:$A$1000,$A348,'1_原始數據'!$B$2:$B$1000,$B348,'1_原始數據'!$D$2:$D$1000,$D348,'1_原始數據'!$C$2:$C$1000,"khp_mass_g")=0,"",SUMIFS('1_原始數據'!$E$2:$E$1000,'1_原始數據'!$A$2:$A$1000,$A348,'1_原始數據'!$B$2:$B$1000,$B348,'1_原始數據'!$D$2:$D$1000,$D348,'1_原始數據'!$C$2:$C$1000,"khp_mass_g")/('2_NaOH標定'!$C$5*$E348/1000))))</f>
        <v/>
      </c>
      <c r="K348" s="24">
        <f>IF($A348="","",IF($C348&lt;&gt;"manual_titration_mL","",IF(COUNTIFS('1_原始數據'!$A$2:$A$1000,$A348,'1_原始數據'!$C$2:$C$1000,"khp_titration_mL")=0,"",AVERAGEIFS('1_原始數據'!$J$2:$J$1000,'1_原始數據'!$A$2:$A$1000,$A348,'1_原始數據'!$C$2:$C$1000,"khp_titration_mL"))))</f>
        <v/>
      </c>
      <c r="L348" s="25">
        <f>IF($A348="","",IF($C348&lt;&gt;"manual_titration_mL","",IFERROR(INDEX('3_可滴定酸度'!$E$6:$E$13,MATCH($I348,'3_可滴定酸度'!$B$6:$B$13,0)),"")))</f>
        <v/>
      </c>
      <c r="M348" s="25">
        <f>IF($A348="","",IF($C348&lt;&gt;"manual_titration_mL","",IFERROR(INDEX('3_可滴定酸度'!$F$6:$F$13,MATCH($I348,'3_可滴定酸度'!$B$6:$B$13,0)),"")))</f>
        <v/>
      </c>
      <c r="N348" s="24">
        <f>IF($A348="","",IF(OR(K348="",L348="",M348=""),"",K348*E348*L348/(M348*1000)*100))</f>
        <v/>
      </c>
      <c r="O348" s="24">
        <f>IF($A348="","",IF(N348="","",IF(COUNTIFS('1_原始數據'!$A$2:$A$1000,$A348,'1_原始數據'!$B$2:$B$1000,$B348,'1_原始數據'!$D$2:$D$1000,$D348,'1_原始數據'!$I$2:$I$1000,$I348,'1_原始數據'!$C$2:$C$1000,"pasco_pct_acid")=0,"",SUMIFS('1_原始數據'!$E$2:$E$1000,'1_原始數據'!$A$2:$A$1000,$A348,'1_原始數據'!$B$2:$B$1000,$B348,'1_原始數據'!$D$2:$D$1000,$D348,'1_原始數據'!$I$2:$I$1000,$I348,'1_原始數據'!$C$2:$C$1000,"pasco_pct_acid"))))</f>
        <v/>
      </c>
      <c r="P348" s="26">
        <f>IF($A348="","",IF(OR(N348="",O348=""),"",O348-N348))</f>
        <v/>
      </c>
      <c r="Q348" s="24">
        <f>IF($A348="","",IF(P348="","",(O348+N348)/2))</f>
        <v/>
      </c>
      <c r="R348" s="27">
        <f>IF($A348="","",IF(P348="","",COUNT($P$2:P348)))</f>
        <v/>
      </c>
    </row>
    <row r="349">
      <c r="J349" s="24">
        <f>IF($A349="","",IF($C349&lt;&gt;"khp_titration_mL","",IF(COUNTIFS('1_原始數據'!$A$2:$A$1000,$A349,'1_原始數據'!$B$2:$B$1000,$B349,'1_原始數據'!$D$2:$D$1000,$D349,'1_原始數據'!$C$2:$C$1000,"khp_mass_g")=0,"",SUMIFS('1_原始數據'!$E$2:$E$1000,'1_原始數據'!$A$2:$A$1000,$A349,'1_原始數據'!$B$2:$B$1000,$B349,'1_原始數據'!$D$2:$D$1000,$D349,'1_原始數據'!$C$2:$C$1000,"khp_mass_g")/('2_NaOH標定'!$C$5*$E349/1000))))</f>
        <v/>
      </c>
      <c r="K349" s="24">
        <f>IF($A349="","",IF($C349&lt;&gt;"manual_titration_mL","",IF(COUNTIFS('1_原始數據'!$A$2:$A$1000,$A349,'1_原始數據'!$C$2:$C$1000,"khp_titration_mL")=0,"",AVERAGEIFS('1_原始數據'!$J$2:$J$1000,'1_原始數據'!$A$2:$A$1000,$A349,'1_原始數據'!$C$2:$C$1000,"khp_titration_mL"))))</f>
        <v/>
      </c>
      <c r="L349" s="25">
        <f>IF($A349="","",IF($C349&lt;&gt;"manual_titration_mL","",IFERROR(INDEX('3_可滴定酸度'!$E$6:$E$13,MATCH($I349,'3_可滴定酸度'!$B$6:$B$13,0)),"")))</f>
        <v/>
      </c>
      <c r="M349" s="25">
        <f>IF($A349="","",IF($C349&lt;&gt;"manual_titration_mL","",IFERROR(INDEX('3_可滴定酸度'!$F$6:$F$13,MATCH($I349,'3_可滴定酸度'!$B$6:$B$13,0)),"")))</f>
        <v/>
      </c>
      <c r="N349" s="24">
        <f>IF($A349="","",IF(OR(K349="",L349="",M349=""),"",K349*E349*L349/(M349*1000)*100))</f>
        <v/>
      </c>
      <c r="O349" s="24">
        <f>IF($A349="","",IF(N349="","",IF(COUNTIFS('1_原始數據'!$A$2:$A$1000,$A349,'1_原始數據'!$B$2:$B$1000,$B349,'1_原始數據'!$D$2:$D$1000,$D349,'1_原始數據'!$I$2:$I$1000,$I349,'1_原始數據'!$C$2:$C$1000,"pasco_pct_acid")=0,"",SUMIFS('1_原始數據'!$E$2:$E$1000,'1_原始數據'!$A$2:$A$1000,$A349,'1_原始數據'!$B$2:$B$1000,$B349,'1_原始數據'!$D$2:$D$1000,$D349,'1_原始數據'!$I$2:$I$1000,$I349,'1_原始數據'!$C$2:$C$1000,"pasco_pct_acid"))))</f>
        <v/>
      </c>
      <c r="P349" s="26">
        <f>IF($A349="","",IF(OR(N349="",O349=""),"",O349-N349))</f>
        <v/>
      </c>
      <c r="Q349" s="24">
        <f>IF($A349="","",IF(P349="","",(O349+N349)/2))</f>
        <v/>
      </c>
      <c r="R349" s="27">
        <f>IF($A349="","",IF(P349="","",COUNT($P$2:P349)))</f>
        <v/>
      </c>
    </row>
    <row r="350">
      <c r="J350" s="24">
        <f>IF($A350="","",IF($C350&lt;&gt;"khp_titration_mL","",IF(COUNTIFS('1_原始數據'!$A$2:$A$1000,$A350,'1_原始數據'!$B$2:$B$1000,$B350,'1_原始數據'!$D$2:$D$1000,$D350,'1_原始數據'!$C$2:$C$1000,"khp_mass_g")=0,"",SUMIFS('1_原始數據'!$E$2:$E$1000,'1_原始數據'!$A$2:$A$1000,$A350,'1_原始數據'!$B$2:$B$1000,$B350,'1_原始數據'!$D$2:$D$1000,$D350,'1_原始數據'!$C$2:$C$1000,"khp_mass_g")/('2_NaOH標定'!$C$5*$E350/1000))))</f>
        <v/>
      </c>
      <c r="K350" s="24">
        <f>IF($A350="","",IF($C350&lt;&gt;"manual_titration_mL","",IF(COUNTIFS('1_原始數據'!$A$2:$A$1000,$A350,'1_原始數據'!$C$2:$C$1000,"khp_titration_mL")=0,"",AVERAGEIFS('1_原始數據'!$J$2:$J$1000,'1_原始數據'!$A$2:$A$1000,$A350,'1_原始數據'!$C$2:$C$1000,"khp_titration_mL"))))</f>
        <v/>
      </c>
      <c r="L350" s="25">
        <f>IF($A350="","",IF($C350&lt;&gt;"manual_titration_mL","",IFERROR(INDEX('3_可滴定酸度'!$E$6:$E$13,MATCH($I350,'3_可滴定酸度'!$B$6:$B$13,0)),"")))</f>
        <v/>
      </c>
      <c r="M350" s="25">
        <f>IF($A350="","",IF($C350&lt;&gt;"manual_titration_mL","",IFERROR(INDEX('3_可滴定酸度'!$F$6:$F$13,MATCH($I350,'3_可滴定酸度'!$B$6:$B$13,0)),"")))</f>
        <v/>
      </c>
      <c r="N350" s="24">
        <f>IF($A350="","",IF(OR(K350="",L350="",M350=""),"",K350*E350*L350/(M350*1000)*100))</f>
        <v/>
      </c>
      <c r="O350" s="24">
        <f>IF($A350="","",IF(N350="","",IF(COUNTIFS('1_原始數據'!$A$2:$A$1000,$A350,'1_原始數據'!$B$2:$B$1000,$B350,'1_原始數據'!$D$2:$D$1000,$D350,'1_原始數據'!$I$2:$I$1000,$I350,'1_原始數據'!$C$2:$C$1000,"pasco_pct_acid")=0,"",SUMIFS('1_原始數據'!$E$2:$E$1000,'1_原始數據'!$A$2:$A$1000,$A350,'1_原始數據'!$B$2:$B$1000,$B350,'1_原始數據'!$D$2:$D$1000,$D350,'1_原始數據'!$I$2:$I$1000,$I350,'1_原始數據'!$C$2:$C$1000,"pasco_pct_acid"))))</f>
        <v/>
      </c>
      <c r="P350" s="26">
        <f>IF($A350="","",IF(OR(N350="",O350=""),"",O350-N350))</f>
        <v/>
      </c>
      <c r="Q350" s="24">
        <f>IF($A350="","",IF(P350="","",(O350+N350)/2))</f>
        <v/>
      </c>
      <c r="R350" s="27">
        <f>IF($A350="","",IF(P350="","",COUNT($P$2:P350)))</f>
        <v/>
      </c>
    </row>
    <row r="351">
      <c r="J351" s="24">
        <f>IF($A351="","",IF($C351&lt;&gt;"khp_titration_mL","",IF(COUNTIFS('1_原始數據'!$A$2:$A$1000,$A351,'1_原始數據'!$B$2:$B$1000,$B351,'1_原始數據'!$D$2:$D$1000,$D351,'1_原始數據'!$C$2:$C$1000,"khp_mass_g")=0,"",SUMIFS('1_原始數據'!$E$2:$E$1000,'1_原始數據'!$A$2:$A$1000,$A351,'1_原始數據'!$B$2:$B$1000,$B351,'1_原始數據'!$D$2:$D$1000,$D351,'1_原始數據'!$C$2:$C$1000,"khp_mass_g")/('2_NaOH標定'!$C$5*$E351/1000))))</f>
        <v/>
      </c>
      <c r="K351" s="24">
        <f>IF($A351="","",IF($C351&lt;&gt;"manual_titration_mL","",IF(COUNTIFS('1_原始數據'!$A$2:$A$1000,$A351,'1_原始數據'!$C$2:$C$1000,"khp_titration_mL")=0,"",AVERAGEIFS('1_原始數據'!$J$2:$J$1000,'1_原始數據'!$A$2:$A$1000,$A351,'1_原始數據'!$C$2:$C$1000,"khp_titration_mL"))))</f>
        <v/>
      </c>
      <c r="L351" s="25">
        <f>IF($A351="","",IF($C351&lt;&gt;"manual_titration_mL","",IFERROR(INDEX('3_可滴定酸度'!$E$6:$E$13,MATCH($I351,'3_可滴定酸度'!$B$6:$B$13,0)),"")))</f>
        <v/>
      </c>
      <c r="M351" s="25">
        <f>IF($A351="","",IF($C351&lt;&gt;"manual_titration_mL","",IFERROR(INDEX('3_可滴定酸度'!$F$6:$F$13,MATCH($I351,'3_可滴定酸度'!$B$6:$B$13,0)),"")))</f>
        <v/>
      </c>
      <c r="N351" s="24">
        <f>IF($A351="","",IF(OR(K351="",L351="",M351=""),"",K351*E351*L351/(M351*1000)*100))</f>
        <v/>
      </c>
      <c r="O351" s="24">
        <f>IF($A351="","",IF(N351="","",IF(COUNTIFS('1_原始數據'!$A$2:$A$1000,$A351,'1_原始數據'!$B$2:$B$1000,$B351,'1_原始數據'!$D$2:$D$1000,$D351,'1_原始數據'!$I$2:$I$1000,$I351,'1_原始數據'!$C$2:$C$1000,"pasco_pct_acid")=0,"",SUMIFS('1_原始數據'!$E$2:$E$1000,'1_原始數據'!$A$2:$A$1000,$A351,'1_原始數據'!$B$2:$B$1000,$B351,'1_原始數據'!$D$2:$D$1000,$D351,'1_原始數據'!$I$2:$I$1000,$I351,'1_原始數據'!$C$2:$C$1000,"pasco_pct_acid"))))</f>
        <v/>
      </c>
      <c r="P351" s="26">
        <f>IF($A351="","",IF(OR(N351="",O351=""),"",O351-N351))</f>
        <v/>
      </c>
      <c r="Q351" s="24">
        <f>IF($A351="","",IF(P351="","",(O351+N351)/2))</f>
        <v/>
      </c>
      <c r="R351" s="27">
        <f>IF($A351="","",IF(P351="","",COUNT($P$2:P351)))</f>
        <v/>
      </c>
    </row>
    <row r="352">
      <c r="J352" s="24">
        <f>IF($A352="","",IF($C352&lt;&gt;"khp_titration_mL","",IF(COUNTIFS('1_原始數據'!$A$2:$A$1000,$A352,'1_原始數據'!$B$2:$B$1000,$B352,'1_原始數據'!$D$2:$D$1000,$D352,'1_原始數據'!$C$2:$C$1000,"khp_mass_g")=0,"",SUMIFS('1_原始數據'!$E$2:$E$1000,'1_原始數據'!$A$2:$A$1000,$A352,'1_原始數據'!$B$2:$B$1000,$B352,'1_原始數據'!$D$2:$D$1000,$D352,'1_原始數據'!$C$2:$C$1000,"khp_mass_g")/('2_NaOH標定'!$C$5*$E352/1000))))</f>
        <v/>
      </c>
      <c r="K352" s="24">
        <f>IF($A352="","",IF($C352&lt;&gt;"manual_titration_mL","",IF(COUNTIFS('1_原始數據'!$A$2:$A$1000,$A352,'1_原始數據'!$C$2:$C$1000,"khp_titration_mL")=0,"",AVERAGEIFS('1_原始數據'!$J$2:$J$1000,'1_原始數據'!$A$2:$A$1000,$A352,'1_原始數據'!$C$2:$C$1000,"khp_titration_mL"))))</f>
        <v/>
      </c>
      <c r="L352" s="25">
        <f>IF($A352="","",IF($C352&lt;&gt;"manual_titration_mL","",IFERROR(INDEX('3_可滴定酸度'!$E$6:$E$13,MATCH($I352,'3_可滴定酸度'!$B$6:$B$13,0)),"")))</f>
        <v/>
      </c>
      <c r="M352" s="25">
        <f>IF($A352="","",IF($C352&lt;&gt;"manual_titration_mL","",IFERROR(INDEX('3_可滴定酸度'!$F$6:$F$13,MATCH($I352,'3_可滴定酸度'!$B$6:$B$13,0)),"")))</f>
        <v/>
      </c>
      <c r="N352" s="24">
        <f>IF($A352="","",IF(OR(K352="",L352="",M352=""),"",K352*E352*L352/(M352*1000)*100))</f>
        <v/>
      </c>
      <c r="O352" s="24">
        <f>IF($A352="","",IF(N352="","",IF(COUNTIFS('1_原始數據'!$A$2:$A$1000,$A352,'1_原始數據'!$B$2:$B$1000,$B352,'1_原始數據'!$D$2:$D$1000,$D352,'1_原始數據'!$I$2:$I$1000,$I352,'1_原始數據'!$C$2:$C$1000,"pasco_pct_acid")=0,"",SUMIFS('1_原始數據'!$E$2:$E$1000,'1_原始數據'!$A$2:$A$1000,$A352,'1_原始數據'!$B$2:$B$1000,$B352,'1_原始數據'!$D$2:$D$1000,$D352,'1_原始數據'!$I$2:$I$1000,$I352,'1_原始數據'!$C$2:$C$1000,"pasco_pct_acid"))))</f>
        <v/>
      </c>
      <c r="P352" s="26">
        <f>IF($A352="","",IF(OR(N352="",O352=""),"",O352-N352))</f>
        <v/>
      </c>
      <c r="Q352" s="24">
        <f>IF($A352="","",IF(P352="","",(O352+N352)/2))</f>
        <v/>
      </c>
      <c r="R352" s="27">
        <f>IF($A352="","",IF(P352="","",COUNT($P$2:P352)))</f>
        <v/>
      </c>
    </row>
    <row r="353">
      <c r="J353" s="24">
        <f>IF($A353="","",IF($C353&lt;&gt;"khp_titration_mL","",IF(COUNTIFS('1_原始數據'!$A$2:$A$1000,$A353,'1_原始數據'!$B$2:$B$1000,$B353,'1_原始數據'!$D$2:$D$1000,$D353,'1_原始數據'!$C$2:$C$1000,"khp_mass_g")=0,"",SUMIFS('1_原始數據'!$E$2:$E$1000,'1_原始數據'!$A$2:$A$1000,$A353,'1_原始數據'!$B$2:$B$1000,$B353,'1_原始數據'!$D$2:$D$1000,$D353,'1_原始數據'!$C$2:$C$1000,"khp_mass_g")/('2_NaOH標定'!$C$5*$E353/1000))))</f>
        <v/>
      </c>
      <c r="K353" s="24">
        <f>IF($A353="","",IF($C353&lt;&gt;"manual_titration_mL","",IF(COUNTIFS('1_原始數據'!$A$2:$A$1000,$A353,'1_原始數據'!$C$2:$C$1000,"khp_titration_mL")=0,"",AVERAGEIFS('1_原始數據'!$J$2:$J$1000,'1_原始數據'!$A$2:$A$1000,$A353,'1_原始數據'!$C$2:$C$1000,"khp_titration_mL"))))</f>
        <v/>
      </c>
      <c r="L353" s="25">
        <f>IF($A353="","",IF($C353&lt;&gt;"manual_titration_mL","",IFERROR(INDEX('3_可滴定酸度'!$E$6:$E$13,MATCH($I353,'3_可滴定酸度'!$B$6:$B$13,0)),"")))</f>
        <v/>
      </c>
      <c r="M353" s="25">
        <f>IF($A353="","",IF($C353&lt;&gt;"manual_titration_mL","",IFERROR(INDEX('3_可滴定酸度'!$F$6:$F$13,MATCH($I353,'3_可滴定酸度'!$B$6:$B$13,0)),"")))</f>
        <v/>
      </c>
      <c r="N353" s="24">
        <f>IF($A353="","",IF(OR(K353="",L353="",M353=""),"",K353*E353*L353/(M353*1000)*100))</f>
        <v/>
      </c>
      <c r="O353" s="24">
        <f>IF($A353="","",IF(N353="","",IF(COUNTIFS('1_原始數據'!$A$2:$A$1000,$A353,'1_原始數據'!$B$2:$B$1000,$B353,'1_原始數據'!$D$2:$D$1000,$D353,'1_原始數據'!$I$2:$I$1000,$I353,'1_原始數據'!$C$2:$C$1000,"pasco_pct_acid")=0,"",SUMIFS('1_原始數據'!$E$2:$E$1000,'1_原始數據'!$A$2:$A$1000,$A353,'1_原始數據'!$B$2:$B$1000,$B353,'1_原始數據'!$D$2:$D$1000,$D353,'1_原始數據'!$I$2:$I$1000,$I353,'1_原始數據'!$C$2:$C$1000,"pasco_pct_acid"))))</f>
        <v/>
      </c>
      <c r="P353" s="26">
        <f>IF($A353="","",IF(OR(N353="",O353=""),"",O353-N353))</f>
        <v/>
      </c>
      <c r="Q353" s="24">
        <f>IF($A353="","",IF(P353="","",(O353+N353)/2))</f>
        <v/>
      </c>
      <c r="R353" s="27">
        <f>IF($A353="","",IF(P353="","",COUNT($P$2:P353)))</f>
        <v/>
      </c>
    </row>
    <row r="354">
      <c r="J354" s="24">
        <f>IF($A354="","",IF($C354&lt;&gt;"khp_titration_mL","",IF(COUNTIFS('1_原始數據'!$A$2:$A$1000,$A354,'1_原始數據'!$B$2:$B$1000,$B354,'1_原始數據'!$D$2:$D$1000,$D354,'1_原始數據'!$C$2:$C$1000,"khp_mass_g")=0,"",SUMIFS('1_原始數據'!$E$2:$E$1000,'1_原始數據'!$A$2:$A$1000,$A354,'1_原始數據'!$B$2:$B$1000,$B354,'1_原始數據'!$D$2:$D$1000,$D354,'1_原始數據'!$C$2:$C$1000,"khp_mass_g")/('2_NaOH標定'!$C$5*$E354/1000))))</f>
        <v/>
      </c>
      <c r="K354" s="24">
        <f>IF($A354="","",IF($C354&lt;&gt;"manual_titration_mL","",IF(COUNTIFS('1_原始數據'!$A$2:$A$1000,$A354,'1_原始數據'!$C$2:$C$1000,"khp_titration_mL")=0,"",AVERAGEIFS('1_原始數據'!$J$2:$J$1000,'1_原始數據'!$A$2:$A$1000,$A354,'1_原始數據'!$C$2:$C$1000,"khp_titration_mL"))))</f>
        <v/>
      </c>
      <c r="L354" s="25">
        <f>IF($A354="","",IF($C354&lt;&gt;"manual_titration_mL","",IFERROR(INDEX('3_可滴定酸度'!$E$6:$E$13,MATCH($I354,'3_可滴定酸度'!$B$6:$B$13,0)),"")))</f>
        <v/>
      </c>
      <c r="M354" s="25">
        <f>IF($A354="","",IF($C354&lt;&gt;"manual_titration_mL","",IFERROR(INDEX('3_可滴定酸度'!$F$6:$F$13,MATCH($I354,'3_可滴定酸度'!$B$6:$B$13,0)),"")))</f>
        <v/>
      </c>
      <c r="N354" s="24">
        <f>IF($A354="","",IF(OR(K354="",L354="",M354=""),"",K354*E354*L354/(M354*1000)*100))</f>
        <v/>
      </c>
      <c r="O354" s="24">
        <f>IF($A354="","",IF(N354="","",IF(COUNTIFS('1_原始數據'!$A$2:$A$1000,$A354,'1_原始數據'!$B$2:$B$1000,$B354,'1_原始數據'!$D$2:$D$1000,$D354,'1_原始數據'!$I$2:$I$1000,$I354,'1_原始數據'!$C$2:$C$1000,"pasco_pct_acid")=0,"",SUMIFS('1_原始數據'!$E$2:$E$1000,'1_原始數據'!$A$2:$A$1000,$A354,'1_原始數據'!$B$2:$B$1000,$B354,'1_原始數據'!$D$2:$D$1000,$D354,'1_原始數據'!$I$2:$I$1000,$I354,'1_原始數據'!$C$2:$C$1000,"pasco_pct_acid"))))</f>
        <v/>
      </c>
      <c r="P354" s="26">
        <f>IF($A354="","",IF(OR(N354="",O354=""),"",O354-N354))</f>
        <v/>
      </c>
      <c r="Q354" s="24">
        <f>IF($A354="","",IF(P354="","",(O354+N354)/2))</f>
        <v/>
      </c>
      <c r="R354" s="27">
        <f>IF($A354="","",IF(P354="","",COUNT($P$2:P354)))</f>
        <v/>
      </c>
    </row>
    <row r="355">
      <c r="J355" s="24">
        <f>IF($A355="","",IF($C355&lt;&gt;"khp_titration_mL","",IF(COUNTIFS('1_原始數據'!$A$2:$A$1000,$A355,'1_原始數據'!$B$2:$B$1000,$B355,'1_原始數據'!$D$2:$D$1000,$D355,'1_原始數據'!$C$2:$C$1000,"khp_mass_g")=0,"",SUMIFS('1_原始數據'!$E$2:$E$1000,'1_原始數據'!$A$2:$A$1000,$A355,'1_原始數據'!$B$2:$B$1000,$B355,'1_原始數據'!$D$2:$D$1000,$D355,'1_原始數據'!$C$2:$C$1000,"khp_mass_g")/('2_NaOH標定'!$C$5*$E355/1000))))</f>
        <v/>
      </c>
      <c r="K355" s="24">
        <f>IF($A355="","",IF($C355&lt;&gt;"manual_titration_mL","",IF(COUNTIFS('1_原始數據'!$A$2:$A$1000,$A355,'1_原始數據'!$C$2:$C$1000,"khp_titration_mL")=0,"",AVERAGEIFS('1_原始數據'!$J$2:$J$1000,'1_原始數據'!$A$2:$A$1000,$A355,'1_原始數據'!$C$2:$C$1000,"khp_titration_mL"))))</f>
        <v/>
      </c>
      <c r="L355" s="25">
        <f>IF($A355="","",IF($C355&lt;&gt;"manual_titration_mL","",IFERROR(INDEX('3_可滴定酸度'!$E$6:$E$13,MATCH($I355,'3_可滴定酸度'!$B$6:$B$13,0)),"")))</f>
        <v/>
      </c>
      <c r="M355" s="25">
        <f>IF($A355="","",IF($C355&lt;&gt;"manual_titration_mL","",IFERROR(INDEX('3_可滴定酸度'!$F$6:$F$13,MATCH($I355,'3_可滴定酸度'!$B$6:$B$13,0)),"")))</f>
        <v/>
      </c>
      <c r="N355" s="24">
        <f>IF($A355="","",IF(OR(K355="",L355="",M355=""),"",K355*E355*L355/(M355*1000)*100))</f>
        <v/>
      </c>
      <c r="O355" s="24">
        <f>IF($A355="","",IF(N355="","",IF(COUNTIFS('1_原始數據'!$A$2:$A$1000,$A355,'1_原始數據'!$B$2:$B$1000,$B355,'1_原始數據'!$D$2:$D$1000,$D355,'1_原始數據'!$I$2:$I$1000,$I355,'1_原始數據'!$C$2:$C$1000,"pasco_pct_acid")=0,"",SUMIFS('1_原始數據'!$E$2:$E$1000,'1_原始數據'!$A$2:$A$1000,$A355,'1_原始數據'!$B$2:$B$1000,$B355,'1_原始數據'!$D$2:$D$1000,$D355,'1_原始數據'!$I$2:$I$1000,$I355,'1_原始數據'!$C$2:$C$1000,"pasco_pct_acid"))))</f>
        <v/>
      </c>
      <c r="P355" s="26">
        <f>IF($A355="","",IF(OR(N355="",O355=""),"",O355-N355))</f>
        <v/>
      </c>
      <c r="Q355" s="24">
        <f>IF($A355="","",IF(P355="","",(O355+N355)/2))</f>
        <v/>
      </c>
      <c r="R355" s="27">
        <f>IF($A355="","",IF(P355="","",COUNT($P$2:P355)))</f>
        <v/>
      </c>
    </row>
    <row r="356">
      <c r="J356" s="24">
        <f>IF($A356="","",IF($C356&lt;&gt;"khp_titration_mL","",IF(COUNTIFS('1_原始數據'!$A$2:$A$1000,$A356,'1_原始數據'!$B$2:$B$1000,$B356,'1_原始數據'!$D$2:$D$1000,$D356,'1_原始數據'!$C$2:$C$1000,"khp_mass_g")=0,"",SUMIFS('1_原始數據'!$E$2:$E$1000,'1_原始數據'!$A$2:$A$1000,$A356,'1_原始數據'!$B$2:$B$1000,$B356,'1_原始數據'!$D$2:$D$1000,$D356,'1_原始數據'!$C$2:$C$1000,"khp_mass_g")/('2_NaOH標定'!$C$5*$E356/1000))))</f>
        <v/>
      </c>
      <c r="K356" s="24">
        <f>IF($A356="","",IF($C356&lt;&gt;"manual_titration_mL","",IF(COUNTIFS('1_原始數據'!$A$2:$A$1000,$A356,'1_原始數據'!$C$2:$C$1000,"khp_titration_mL")=0,"",AVERAGEIFS('1_原始數據'!$J$2:$J$1000,'1_原始數據'!$A$2:$A$1000,$A356,'1_原始數據'!$C$2:$C$1000,"khp_titration_mL"))))</f>
        <v/>
      </c>
      <c r="L356" s="25">
        <f>IF($A356="","",IF($C356&lt;&gt;"manual_titration_mL","",IFERROR(INDEX('3_可滴定酸度'!$E$6:$E$13,MATCH($I356,'3_可滴定酸度'!$B$6:$B$13,0)),"")))</f>
        <v/>
      </c>
      <c r="M356" s="25">
        <f>IF($A356="","",IF($C356&lt;&gt;"manual_titration_mL","",IFERROR(INDEX('3_可滴定酸度'!$F$6:$F$13,MATCH($I356,'3_可滴定酸度'!$B$6:$B$13,0)),"")))</f>
        <v/>
      </c>
      <c r="N356" s="24">
        <f>IF($A356="","",IF(OR(K356="",L356="",M356=""),"",K356*E356*L356/(M356*1000)*100))</f>
        <v/>
      </c>
      <c r="O356" s="24">
        <f>IF($A356="","",IF(N356="","",IF(COUNTIFS('1_原始數據'!$A$2:$A$1000,$A356,'1_原始數據'!$B$2:$B$1000,$B356,'1_原始數據'!$D$2:$D$1000,$D356,'1_原始數據'!$I$2:$I$1000,$I356,'1_原始數據'!$C$2:$C$1000,"pasco_pct_acid")=0,"",SUMIFS('1_原始數據'!$E$2:$E$1000,'1_原始數據'!$A$2:$A$1000,$A356,'1_原始數據'!$B$2:$B$1000,$B356,'1_原始數據'!$D$2:$D$1000,$D356,'1_原始數據'!$I$2:$I$1000,$I356,'1_原始數據'!$C$2:$C$1000,"pasco_pct_acid"))))</f>
        <v/>
      </c>
      <c r="P356" s="26">
        <f>IF($A356="","",IF(OR(N356="",O356=""),"",O356-N356))</f>
        <v/>
      </c>
      <c r="Q356" s="24">
        <f>IF($A356="","",IF(P356="","",(O356+N356)/2))</f>
        <v/>
      </c>
      <c r="R356" s="27">
        <f>IF($A356="","",IF(P356="","",COUNT($P$2:P356)))</f>
        <v/>
      </c>
    </row>
    <row r="357">
      <c r="J357" s="24">
        <f>IF($A357="","",IF($C357&lt;&gt;"khp_titration_mL","",IF(COUNTIFS('1_原始數據'!$A$2:$A$1000,$A357,'1_原始數據'!$B$2:$B$1000,$B357,'1_原始數據'!$D$2:$D$1000,$D357,'1_原始數據'!$C$2:$C$1000,"khp_mass_g")=0,"",SUMIFS('1_原始數據'!$E$2:$E$1000,'1_原始數據'!$A$2:$A$1000,$A357,'1_原始數據'!$B$2:$B$1000,$B357,'1_原始數據'!$D$2:$D$1000,$D357,'1_原始數據'!$C$2:$C$1000,"khp_mass_g")/('2_NaOH標定'!$C$5*$E357/1000))))</f>
        <v/>
      </c>
      <c r="K357" s="24">
        <f>IF($A357="","",IF($C357&lt;&gt;"manual_titration_mL","",IF(COUNTIFS('1_原始數據'!$A$2:$A$1000,$A357,'1_原始數據'!$C$2:$C$1000,"khp_titration_mL")=0,"",AVERAGEIFS('1_原始數據'!$J$2:$J$1000,'1_原始數據'!$A$2:$A$1000,$A357,'1_原始數據'!$C$2:$C$1000,"khp_titration_mL"))))</f>
        <v/>
      </c>
      <c r="L357" s="25">
        <f>IF($A357="","",IF($C357&lt;&gt;"manual_titration_mL","",IFERROR(INDEX('3_可滴定酸度'!$E$6:$E$13,MATCH($I357,'3_可滴定酸度'!$B$6:$B$13,0)),"")))</f>
        <v/>
      </c>
      <c r="M357" s="25">
        <f>IF($A357="","",IF($C357&lt;&gt;"manual_titration_mL","",IFERROR(INDEX('3_可滴定酸度'!$F$6:$F$13,MATCH($I357,'3_可滴定酸度'!$B$6:$B$13,0)),"")))</f>
        <v/>
      </c>
      <c r="N357" s="24">
        <f>IF($A357="","",IF(OR(K357="",L357="",M357=""),"",K357*E357*L357/(M357*1000)*100))</f>
        <v/>
      </c>
      <c r="O357" s="24">
        <f>IF($A357="","",IF(N357="","",IF(COUNTIFS('1_原始數據'!$A$2:$A$1000,$A357,'1_原始數據'!$B$2:$B$1000,$B357,'1_原始數據'!$D$2:$D$1000,$D357,'1_原始數據'!$I$2:$I$1000,$I357,'1_原始數據'!$C$2:$C$1000,"pasco_pct_acid")=0,"",SUMIFS('1_原始數據'!$E$2:$E$1000,'1_原始數據'!$A$2:$A$1000,$A357,'1_原始數據'!$B$2:$B$1000,$B357,'1_原始數據'!$D$2:$D$1000,$D357,'1_原始數據'!$I$2:$I$1000,$I357,'1_原始數據'!$C$2:$C$1000,"pasco_pct_acid"))))</f>
        <v/>
      </c>
      <c r="P357" s="26">
        <f>IF($A357="","",IF(OR(N357="",O357=""),"",O357-N357))</f>
        <v/>
      </c>
      <c r="Q357" s="24">
        <f>IF($A357="","",IF(P357="","",(O357+N357)/2))</f>
        <v/>
      </c>
      <c r="R357" s="27">
        <f>IF($A357="","",IF(P357="","",COUNT($P$2:P357)))</f>
        <v/>
      </c>
    </row>
    <row r="358">
      <c r="J358" s="24">
        <f>IF($A358="","",IF($C358&lt;&gt;"khp_titration_mL","",IF(COUNTIFS('1_原始數據'!$A$2:$A$1000,$A358,'1_原始數據'!$B$2:$B$1000,$B358,'1_原始數據'!$D$2:$D$1000,$D358,'1_原始數據'!$C$2:$C$1000,"khp_mass_g")=0,"",SUMIFS('1_原始數據'!$E$2:$E$1000,'1_原始數據'!$A$2:$A$1000,$A358,'1_原始數據'!$B$2:$B$1000,$B358,'1_原始數據'!$D$2:$D$1000,$D358,'1_原始數據'!$C$2:$C$1000,"khp_mass_g")/('2_NaOH標定'!$C$5*$E358/1000))))</f>
        <v/>
      </c>
      <c r="K358" s="24">
        <f>IF($A358="","",IF($C358&lt;&gt;"manual_titration_mL","",IF(COUNTIFS('1_原始數據'!$A$2:$A$1000,$A358,'1_原始數據'!$C$2:$C$1000,"khp_titration_mL")=0,"",AVERAGEIFS('1_原始數據'!$J$2:$J$1000,'1_原始數據'!$A$2:$A$1000,$A358,'1_原始數據'!$C$2:$C$1000,"khp_titration_mL"))))</f>
        <v/>
      </c>
      <c r="L358" s="25">
        <f>IF($A358="","",IF($C358&lt;&gt;"manual_titration_mL","",IFERROR(INDEX('3_可滴定酸度'!$E$6:$E$13,MATCH($I358,'3_可滴定酸度'!$B$6:$B$13,0)),"")))</f>
        <v/>
      </c>
      <c r="M358" s="25">
        <f>IF($A358="","",IF($C358&lt;&gt;"manual_titration_mL","",IFERROR(INDEX('3_可滴定酸度'!$F$6:$F$13,MATCH($I358,'3_可滴定酸度'!$B$6:$B$13,0)),"")))</f>
        <v/>
      </c>
      <c r="N358" s="24">
        <f>IF($A358="","",IF(OR(K358="",L358="",M358=""),"",K358*E358*L358/(M358*1000)*100))</f>
        <v/>
      </c>
      <c r="O358" s="24">
        <f>IF($A358="","",IF(N358="","",IF(COUNTIFS('1_原始數據'!$A$2:$A$1000,$A358,'1_原始數據'!$B$2:$B$1000,$B358,'1_原始數據'!$D$2:$D$1000,$D358,'1_原始數據'!$I$2:$I$1000,$I358,'1_原始數據'!$C$2:$C$1000,"pasco_pct_acid")=0,"",SUMIFS('1_原始數據'!$E$2:$E$1000,'1_原始數據'!$A$2:$A$1000,$A358,'1_原始數據'!$B$2:$B$1000,$B358,'1_原始數據'!$D$2:$D$1000,$D358,'1_原始數據'!$I$2:$I$1000,$I358,'1_原始數據'!$C$2:$C$1000,"pasco_pct_acid"))))</f>
        <v/>
      </c>
      <c r="P358" s="26">
        <f>IF($A358="","",IF(OR(N358="",O358=""),"",O358-N358))</f>
        <v/>
      </c>
      <c r="Q358" s="24">
        <f>IF($A358="","",IF(P358="","",(O358+N358)/2))</f>
        <v/>
      </c>
      <c r="R358" s="27">
        <f>IF($A358="","",IF(P358="","",COUNT($P$2:P358)))</f>
        <v/>
      </c>
    </row>
    <row r="359">
      <c r="J359" s="24">
        <f>IF($A359="","",IF($C359&lt;&gt;"khp_titration_mL","",IF(COUNTIFS('1_原始數據'!$A$2:$A$1000,$A359,'1_原始數據'!$B$2:$B$1000,$B359,'1_原始數據'!$D$2:$D$1000,$D359,'1_原始數據'!$C$2:$C$1000,"khp_mass_g")=0,"",SUMIFS('1_原始數據'!$E$2:$E$1000,'1_原始數據'!$A$2:$A$1000,$A359,'1_原始數據'!$B$2:$B$1000,$B359,'1_原始數據'!$D$2:$D$1000,$D359,'1_原始數據'!$C$2:$C$1000,"khp_mass_g")/('2_NaOH標定'!$C$5*$E359/1000))))</f>
        <v/>
      </c>
      <c r="K359" s="24">
        <f>IF($A359="","",IF($C359&lt;&gt;"manual_titration_mL","",IF(COUNTIFS('1_原始數據'!$A$2:$A$1000,$A359,'1_原始數據'!$C$2:$C$1000,"khp_titration_mL")=0,"",AVERAGEIFS('1_原始數據'!$J$2:$J$1000,'1_原始數據'!$A$2:$A$1000,$A359,'1_原始數據'!$C$2:$C$1000,"khp_titration_mL"))))</f>
        <v/>
      </c>
      <c r="L359" s="25">
        <f>IF($A359="","",IF($C359&lt;&gt;"manual_titration_mL","",IFERROR(INDEX('3_可滴定酸度'!$E$6:$E$13,MATCH($I359,'3_可滴定酸度'!$B$6:$B$13,0)),"")))</f>
        <v/>
      </c>
      <c r="M359" s="25">
        <f>IF($A359="","",IF($C359&lt;&gt;"manual_titration_mL","",IFERROR(INDEX('3_可滴定酸度'!$F$6:$F$13,MATCH($I359,'3_可滴定酸度'!$B$6:$B$13,0)),"")))</f>
        <v/>
      </c>
      <c r="N359" s="24">
        <f>IF($A359="","",IF(OR(K359="",L359="",M359=""),"",K359*E359*L359/(M359*1000)*100))</f>
        <v/>
      </c>
      <c r="O359" s="24">
        <f>IF($A359="","",IF(N359="","",IF(COUNTIFS('1_原始數據'!$A$2:$A$1000,$A359,'1_原始數據'!$B$2:$B$1000,$B359,'1_原始數據'!$D$2:$D$1000,$D359,'1_原始數據'!$I$2:$I$1000,$I359,'1_原始數據'!$C$2:$C$1000,"pasco_pct_acid")=0,"",SUMIFS('1_原始數據'!$E$2:$E$1000,'1_原始數據'!$A$2:$A$1000,$A359,'1_原始數據'!$B$2:$B$1000,$B359,'1_原始數據'!$D$2:$D$1000,$D359,'1_原始數據'!$I$2:$I$1000,$I359,'1_原始數據'!$C$2:$C$1000,"pasco_pct_acid"))))</f>
        <v/>
      </c>
      <c r="P359" s="26">
        <f>IF($A359="","",IF(OR(N359="",O359=""),"",O359-N359))</f>
        <v/>
      </c>
      <c r="Q359" s="24">
        <f>IF($A359="","",IF(P359="","",(O359+N359)/2))</f>
        <v/>
      </c>
      <c r="R359" s="27">
        <f>IF($A359="","",IF(P359="","",COUNT($P$2:P359)))</f>
        <v/>
      </c>
    </row>
    <row r="360">
      <c r="J360" s="24">
        <f>IF($A360="","",IF($C360&lt;&gt;"khp_titration_mL","",IF(COUNTIFS('1_原始數據'!$A$2:$A$1000,$A360,'1_原始數據'!$B$2:$B$1000,$B360,'1_原始數據'!$D$2:$D$1000,$D360,'1_原始數據'!$C$2:$C$1000,"khp_mass_g")=0,"",SUMIFS('1_原始數據'!$E$2:$E$1000,'1_原始數據'!$A$2:$A$1000,$A360,'1_原始數據'!$B$2:$B$1000,$B360,'1_原始數據'!$D$2:$D$1000,$D360,'1_原始數據'!$C$2:$C$1000,"khp_mass_g")/('2_NaOH標定'!$C$5*$E360/1000))))</f>
        <v/>
      </c>
      <c r="K360" s="24">
        <f>IF($A360="","",IF($C360&lt;&gt;"manual_titration_mL","",IF(COUNTIFS('1_原始數據'!$A$2:$A$1000,$A360,'1_原始數據'!$C$2:$C$1000,"khp_titration_mL")=0,"",AVERAGEIFS('1_原始數據'!$J$2:$J$1000,'1_原始數據'!$A$2:$A$1000,$A360,'1_原始數據'!$C$2:$C$1000,"khp_titration_mL"))))</f>
        <v/>
      </c>
      <c r="L360" s="25">
        <f>IF($A360="","",IF($C360&lt;&gt;"manual_titration_mL","",IFERROR(INDEX('3_可滴定酸度'!$E$6:$E$13,MATCH($I360,'3_可滴定酸度'!$B$6:$B$13,0)),"")))</f>
        <v/>
      </c>
      <c r="M360" s="25">
        <f>IF($A360="","",IF($C360&lt;&gt;"manual_titration_mL","",IFERROR(INDEX('3_可滴定酸度'!$F$6:$F$13,MATCH($I360,'3_可滴定酸度'!$B$6:$B$13,0)),"")))</f>
        <v/>
      </c>
      <c r="N360" s="24">
        <f>IF($A360="","",IF(OR(K360="",L360="",M360=""),"",K360*E360*L360/(M360*1000)*100))</f>
        <v/>
      </c>
      <c r="O360" s="24">
        <f>IF($A360="","",IF(N360="","",IF(COUNTIFS('1_原始數據'!$A$2:$A$1000,$A360,'1_原始數據'!$B$2:$B$1000,$B360,'1_原始數據'!$D$2:$D$1000,$D360,'1_原始數據'!$I$2:$I$1000,$I360,'1_原始數據'!$C$2:$C$1000,"pasco_pct_acid")=0,"",SUMIFS('1_原始數據'!$E$2:$E$1000,'1_原始數據'!$A$2:$A$1000,$A360,'1_原始數據'!$B$2:$B$1000,$B360,'1_原始數據'!$D$2:$D$1000,$D360,'1_原始數據'!$I$2:$I$1000,$I360,'1_原始數據'!$C$2:$C$1000,"pasco_pct_acid"))))</f>
        <v/>
      </c>
      <c r="P360" s="26">
        <f>IF($A360="","",IF(OR(N360="",O360=""),"",O360-N360))</f>
        <v/>
      </c>
      <c r="Q360" s="24">
        <f>IF($A360="","",IF(P360="","",(O360+N360)/2))</f>
        <v/>
      </c>
      <c r="R360" s="27">
        <f>IF($A360="","",IF(P360="","",COUNT($P$2:P360)))</f>
        <v/>
      </c>
    </row>
    <row r="361">
      <c r="J361" s="24">
        <f>IF($A361="","",IF($C361&lt;&gt;"khp_titration_mL","",IF(COUNTIFS('1_原始數據'!$A$2:$A$1000,$A361,'1_原始數據'!$B$2:$B$1000,$B361,'1_原始數據'!$D$2:$D$1000,$D361,'1_原始數據'!$C$2:$C$1000,"khp_mass_g")=0,"",SUMIFS('1_原始數據'!$E$2:$E$1000,'1_原始數據'!$A$2:$A$1000,$A361,'1_原始數據'!$B$2:$B$1000,$B361,'1_原始數據'!$D$2:$D$1000,$D361,'1_原始數據'!$C$2:$C$1000,"khp_mass_g")/('2_NaOH標定'!$C$5*$E361/1000))))</f>
        <v/>
      </c>
      <c r="K361" s="24">
        <f>IF($A361="","",IF($C361&lt;&gt;"manual_titration_mL","",IF(COUNTIFS('1_原始數據'!$A$2:$A$1000,$A361,'1_原始數據'!$C$2:$C$1000,"khp_titration_mL")=0,"",AVERAGEIFS('1_原始數據'!$J$2:$J$1000,'1_原始數據'!$A$2:$A$1000,$A361,'1_原始數據'!$C$2:$C$1000,"khp_titration_mL"))))</f>
        <v/>
      </c>
      <c r="L361" s="25">
        <f>IF($A361="","",IF($C361&lt;&gt;"manual_titration_mL","",IFERROR(INDEX('3_可滴定酸度'!$E$6:$E$13,MATCH($I361,'3_可滴定酸度'!$B$6:$B$13,0)),"")))</f>
        <v/>
      </c>
      <c r="M361" s="25">
        <f>IF($A361="","",IF($C361&lt;&gt;"manual_titration_mL","",IFERROR(INDEX('3_可滴定酸度'!$F$6:$F$13,MATCH($I361,'3_可滴定酸度'!$B$6:$B$13,0)),"")))</f>
        <v/>
      </c>
      <c r="N361" s="24">
        <f>IF($A361="","",IF(OR(K361="",L361="",M361=""),"",K361*E361*L361/(M361*1000)*100))</f>
        <v/>
      </c>
      <c r="O361" s="24">
        <f>IF($A361="","",IF(N361="","",IF(COUNTIFS('1_原始數據'!$A$2:$A$1000,$A361,'1_原始數據'!$B$2:$B$1000,$B361,'1_原始數據'!$D$2:$D$1000,$D361,'1_原始數據'!$I$2:$I$1000,$I361,'1_原始數據'!$C$2:$C$1000,"pasco_pct_acid")=0,"",SUMIFS('1_原始數據'!$E$2:$E$1000,'1_原始數據'!$A$2:$A$1000,$A361,'1_原始數據'!$B$2:$B$1000,$B361,'1_原始數據'!$D$2:$D$1000,$D361,'1_原始數據'!$I$2:$I$1000,$I361,'1_原始數據'!$C$2:$C$1000,"pasco_pct_acid"))))</f>
        <v/>
      </c>
      <c r="P361" s="26">
        <f>IF($A361="","",IF(OR(N361="",O361=""),"",O361-N361))</f>
        <v/>
      </c>
      <c r="Q361" s="24">
        <f>IF($A361="","",IF(P361="","",(O361+N361)/2))</f>
        <v/>
      </c>
      <c r="R361" s="27">
        <f>IF($A361="","",IF(P361="","",COUNT($P$2:P361)))</f>
        <v/>
      </c>
    </row>
    <row r="362">
      <c r="J362" s="24">
        <f>IF($A362="","",IF($C362&lt;&gt;"khp_titration_mL","",IF(COUNTIFS('1_原始數據'!$A$2:$A$1000,$A362,'1_原始數據'!$B$2:$B$1000,$B362,'1_原始數據'!$D$2:$D$1000,$D362,'1_原始數據'!$C$2:$C$1000,"khp_mass_g")=0,"",SUMIFS('1_原始數據'!$E$2:$E$1000,'1_原始數據'!$A$2:$A$1000,$A362,'1_原始數據'!$B$2:$B$1000,$B362,'1_原始數據'!$D$2:$D$1000,$D362,'1_原始數據'!$C$2:$C$1000,"khp_mass_g")/('2_NaOH標定'!$C$5*$E362/1000))))</f>
        <v/>
      </c>
      <c r="K362" s="24">
        <f>IF($A362="","",IF($C362&lt;&gt;"manual_titration_mL","",IF(COUNTIFS('1_原始數據'!$A$2:$A$1000,$A362,'1_原始數據'!$C$2:$C$1000,"khp_titration_mL")=0,"",AVERAGEIFS('1_原始數據'!$J$2:$J$1000,'1_原始數據'!$A$2:$A$1000,$A362,'1_原始數據'!$C$2:$C$1000,"khp_titration_mL"))))</f>
        <v/>
      </c>
      <c r="L362" s="25">
        <f>IF($A362="","",IF($C362&lt;&gt;"manual_titration_mL","",IFERROR(INDEX('3_可滴定酸度'!$E$6:$E$13,MATCH($I362,'3_可滴定酸度'!$B$6:$B$13,0)),"")))</f>
        <v/>
      </c>
      <c r="M362" s="25">
        <f>IF($A362="","",IF($C362&lt;&gt;"manual_titration_mL","",IFERROR(INDEX('3_可滴定酸度'!$F$6:$F$13,MATCH($I362,'3_可滴定酸度'!$B$6:$B$13,0)),"")))</f>
        <v/>
      </c>
      <c r="N362" s="24">
        <f>IF($A362="","",IF(OR(K362="",L362="",M362=""),"",K362*E362*L362/(M362*1000)*100))</f>
        <v/>
      </c>
      <c r="O362" s="24">
        <f>IF($A362="","",IF(N362="","",IF(COUNTIFS('1_原始數據'!$A$2:$A$1000,$A362,'1_原始數據'!$B$2:$B$1000,$B362,'1_原始數據'!$D$2:$D$1000,$D362,'1_原始數據'!$I$2:$I$1000,$I362,'1_原始數據'!$C$2:$C$1000,"pasco_pct_acid")=0,"",SUMIFS('1_原始數據'!$E$2:$E$1000,'1_原始數據'!$A$2:$A$1000,$A362,'1_原始數據'!$B$2:$B$1000,$B362,'1_原始數據'!$D$2:$D$1000,$D362,'1_原始數據'!$I$2:$I$1000,$I362,'1_原始數據'!$C$2:$C$1000,"pasco_pct_acid"))))</f>
        <v/>
      </c>
      <c r="P362" s="26">
        <f>IF($A362="","",IF(OR(N362="",O362=""),"",O362-N362))</f>
        <v/>
      </c>
      <c r="Q362" s="24">
        <f>IF($A362="","",IF(P362="","",(O362+N362)/2))</f>
        <v/>
      </c>
      <c r="R362" s="27">
        <f>IF($A362="","",IF(P362="","",COUNT($P$2:P362)))</f>
        <v/>
      </c>
    </row>
    <row r="363">
      <c r="J363" s="24">
        <f>IF($A363="","",IF($C363&lt;&gt;"khp_titration_mL","",IF(COUNTIFS('1_原始數據'!$A$2:$A$1000,$A363,'1_原始數據'!$B$2:$B$1000,$B363,'1_原始數據'!$D$2:$D$1000,$D363,'1_原始數據'!$C$2:$C$1000,"khp_mass_g")=0,"",SUMIFS('1_原始數據'!$E$2:$E$1000,'1_原始數據'!$A$2:$A$1000,$A363,'1_原始數據'!$B$2:$B$1000,$B363,'1_原始數據'!$D$2:$D$1000,$D363,'1_原始數據'!$C$2:$C$1000,"khp_mass_g")/('2_NaOH標定'!$C$5*$E363/1000))))</f>
        <v/>
      </c>
      <c r="K363" s="24">
        <f>IF($A363="","",IF($C363&lt;&gt;"manual_titration_mL","",IF(COUNTIFS('1_原始數據'!$A$2:$A$1000,$A363,'1_原始數據'!$C$2:$C$1000,"khp_titration_mL")=0,"",AVERAGEIFS('1_原始數據'!$J$2:$J$1000,'1_原始數據'!$A$2:$A$1000,$A363,'1_原始數據'!$C$2:$C$1000,"khp_titration_mL"))))</f>
        <v/>
      </c>
      <c r="L363" s="25">
        <f>IF($A363="","",IF($C363&lt;&gt;"manual_titration_mL","",IFERROR(INDEX('3_可滴定酸度'!$E$6:$E$13,MATCH($I363,'3_可滴定酸度'!$B$6:$B$13,0)),"")))</f>
        <v/>
      </c>
      <c r="M363" s="25">
        <f>IF($A363="","",IF($C363&lt;&gt;"manual_titration_mL","",IFERROR(INDEX('3_可滴定酸度'!$F$6:$F$13,MATCH($I363,'3_可滴定酸度'!$B$6:$B$13,0)),"")))</f>
        <v/>
      </c>
      <c r="N363" s="24">
        <f>IF($A363="","",IF(OR(K363="",L363="",M363=""),"",K363*E363*L363/(M363*1000)*100))</f>
        <v/>
      </c>
      <c r="O363" s="24">
        <f>IF($A363="","",IF(N363="","",IF(COUNTIFS('1_原始數據'!$A$2:$A$1000,$A363,'1_原始數據'!$B$2:$B$1000,$B363,'1_原始數據'!$D$2:$D$1000,$D363,'1_原始數據'!$I$2:$I$1000,$I363,'1_原始數據'!$C$2:$C$1000,"pasco_pct_acid")=0,"",SUMIFS('1_原始數據'!$E$2:$E$1000,'1_原始數據'!$A$2:$A$1000,$A363,'1_原始數據'!$B$2:$B$1000,$B363,'1_原始數據'!$D$2:$D$1000,$D363,'1_原始數據'!$I$2:$I$1000,$I363,'1_原始數據'!$C$2:$C$1000,"pasco_pct_acid"))))</f>
        <v/>
      </c>
      <c r="P363" s="26">
        <f>IF($A363="","",IF(OR(N363="",O363=""),"",O363-N363))</f>
        <v/>
      </c>
      <c r="Q363" s="24">
        <f>IF($A363="","",IF(P363="","",(O363+N363)/2))</f>
        <v/>
      </c>
      <c r="R363" s="27">
        <f>IF($A363="","",IF(P363="","",COUNT($P$2:P363)))</f>
        <v/>
      </c>
    </row>
    <row r="364">
      <c r="J364" s="24">
        <f>IF($A364="","",IF($C364&lt;&gt;"khp_titration_mL","",IF(COUNTIFS('1_原始數據'!$A$2:$A$1000,$A364,'1_原始數據'!$B$2:$B$1000,$B364,'1_原始數據'!$D$2:$D$1000,$D364,'1_原始數據'!$C$2:$C$1000,"khp_mass_g")=0,"",SUMIFS('1_原始數據'!$E$2:$E$1000,'1_原始數據'!$A$2:$A$1000,$A364,'1_原始數據'!$B$2:$B$1000,$B364,'1_原始數據'!$D$2:$D$1000,$D364,'1_原始數據'!$C$2:$C$1000,"khp_mass_g")/('2_NaOH標定'!$C$5*$E364/1000))))</f>
        <v/>
      </c>
      <c r="K364" s="24">
        <f>IF($A364="","",IF($C364&lt;&gt;"manual_titration_mL","",IF(COUNTIFS('1_原始數據'!$A$2:$A$1000,$A364,'1_原始數據'!$C$2:$C$1000,"khp_titration_mL")=0,"",AVERAGEIFS('1_原始數據'!$J$2:$J$1000,'1_原始數據'!$A$2:$A$1000,$A364,'1_原始數據'!$C$2:$C$1000,"khp_titration_mL"))))</f>
        <v/>
      </c>
      <c r="L364" s="25">
        <f>IF($A364="","",IF($C364&lt;&gt;"manual_titration_mL","",IFERROR(INDEX('3_可滴定酸度'!$E$6:$E$13,MATCH($I364,'3_可滴定酸度'!$B$6:$B$13,0)),"")))</f>
        <v/>
      </c>
      <c r="M364" s="25">
        <f>IF($A364="","",IF($C364&lt;&gt;"manual_titration_mL","",IFERROR(INDEX('3_可滴定酸度'!$F$6:$F$13,MATCH($I364,'3_可滴定酸度'!$B$6:$B$13,0)),"")))</f>
        <v/>
      </c>
      <c r="N364" s="24">
        <f>IF($A364="","",IF(OR(K364="",L364="",M364=""),"",K364*E364*L364/(M364*1000)*100))</f>
        <v/>
      </c>
      <c r="O364" s="24">
        <f>IF($A364="","",IF(N364="","",IF(COUNTIFS('1_原始數據'!$A$2:$A$1000,$A364,'1_原始數據'!$B$2:$B$1000,$B364,'1_原始數據'!$D$2:$D$1000,$D364,'1_原始數據'!$I$2:$I$1000,$I364,'1_原始數據'!$C$2:$C$1000,"pasco_pct_acid")=0,"",SUMIFS('1_原始數據'!$E$2:$E$1000,'1_原始數據'!$A$2:$A$1000,$A364,'1_原始數據'!$B$2:$B$1000,$B364,'1_原始數據'!$D$2:$D$1000,$D364,'1_原始數據'!$I$2:$I$1000,$I364,'1_原始數據'!$C$2:$C$1000,"pasco_pct_acid"))))</f>
        <v/>
      </c>
      <c r="P364" s="26">
        <f>IF($A364="","",IF(OR(N364="",O364=""),"",O364-N364))</f>
        <v/>
      </c>
      <c r="Q364" s="24">
        <f>IF($A364="","",IF(P364="","",(O364+N364)/2))</f>
        <v/>
      </c>
      <c r="R364" s="27">
        <f>IF($A364="","",IF(P364="","",COUNT($P$2:P364)))</f>
        <v/>
      </c>
    </row>
    <row r="365">
      <c r="J365" s="24">
        <f>IF($A365="","",IF($C365&lt;&gt;"khp_titration_mL","",IF(COUNTIFS('1_原始數據'!$A$2:$A$1000,$A365,'1_原始數據'!$B$2:$B$1000,$B365,'1_原始數據'!$D$2:$D$1000,$D365,'1_原始數據'!$C$2:$C$1000,"khp_mass_g")=0,"",SUMIFS('1_原始數據'!$E$2:$E$1000,'1_原始數據'!$A$2:$A$1000,$A365,'1_原始數據'!$B$2:$B$1000,$B365,'1_原始數據'!$D$2:$D$1000,$D365,'1_原始數據'!$C$2:$C$1000,"khp_mass_g")/('2_NaOH標定'!$C$5*$E365/1000))))</f>
        <v/>
      </c>
      <c r="K365" s="24">
        <f>IF($A365="","",IF($C365&lt;&gt;"manual_titration_mL","",IF(COUNTIFS('1_原始數據'!$A$2:$A$1000,$A365,'1_原始數據'!$C$2:$C$1000,"khp_titration_mL")=0,"",AVERAGEIFS('1_原始數據'!$J$2:$J$1000,'1_原始數據'!$A$2:$A$1000,$A365,'1_原始數據'!$C$2:$C$1000,"khp_titration_mL"))))</f>
        <v/>
      </c>
      <c r="L365" s="25">
        <f>IF($A365="","",IF($C365&lt;&gt;"manual_titration_mL","",IFERROR(INDEX('3_可滴定酸度'!$E$6:$E$13,MATCH($I365,'3_可滴定酸度'!$B$6:$B$13,0)),"")))</f>
        <v/>
      </c>
      <c r="M365" s="25">
        <f>IF($A365="","",IF($C365&lt;&gt;"manual_titration_mL","",IFERROR(INDEX('3_可滴定酸度'!$F$6:$F$13,MATCH($I365,'3_可滴定酸度'!$B$6:$B$13,0)),"")))</f>
        <v/>
      </c>
      <c r="N365" s="24">
        <f>IF($A365="","",IF(OR(K365="",L365="",M365=""),"",K365*E365*L365/(M365*1000)*100))</f>
        <v/>
      </c>
      <c r="O365" s="24">
        <f>IF($A365="","",IF(N365="","",IF(COUNTIFS('1_原始數據'!$A$2:$A$1000,$A365,'1_原始數據'!$B$2:$B$1000,$B365,'1_原始數據'!$D$2:$D$1000,$D365,'1_原始數據'!$I$2:$I$1000,$I365,'1_原始數據'!$C$2:$C$1000,"pasco_pct_acid")=0,"",SUMIFS('1_原始數據'!$E$2:$E$1000,'1_原始數據'!$A$2:$A$1000,$A365,'1_原始數據'!$B$2:$B$1000,$B365,'1_原始數據'!$D$2:$D$1000,$D365,'1_原始數據'!$I$2:$I$1000,$I365,'1_原始數據'!$C$2:$C$1000,"pasco_pct_acid"))))</f>
        <v/>
      </c>
      <c r="P365" s="26">
        <f>IF($A365="","",IF(OR(N365="",O365=""),"",O365-N365))</f>
        <v/>
      </c>
      <c r="Q365" s="24">
        <f>IF($A365="","",IF(P365="","",(O365+N365)/2))</f>
        <v/>
      </c>
      <c r="R365" s="27">
        <f>IF($A365="","",IF(P365="","",COUNT($P$2:P365)))</f>
        <v/>
      </c>
    </row>
    <row r="366">
      <c r="J366" s="24">
        <f>IF($A366="","",IF($C366&lt;&gt;"khp_titration_mL","",IF(COUNTIFS('1_原始數據'!$A$2:$A$1000,$A366,'1_原始數據'!$B$2:$B$1000,$B366,'1_原始數據'!$D$2:$D$1000,$D366,'1_原始數據'!$C$2:$C$1000,"khp_mass_g")=0,"",SUMIFS('1_原始數據'!$E$2:$E$1000,'1_原始數據'!$A$2:$A$1000,$A366,'1_原始數據'!$B$2:$B$1000,$B366,'1_原始數據'!$D$2:$D$1000,$D366,'1_原始數據'!$C$2:$C$1000,"khp_mass_g")/('2_NaOH標定'!$C$5*$E366/1000))))</f>
        <v/>
      </c>
      <c r="K366" s="24">
        <f>IF($A366="","",IF($C366&lt;&gt;"manual_titration_mL","",IF(COUNTIFS('1_原始數據'!$A$2:$A$1000,$A366,'1_原始數據'!$C$2:$C$1000,"khp_titration_mL")=0,"",AVERAGEIFS('1_原始數據'!$J$2:$J$1000,'1_原始數據'!$A$2:$A$1000,$A366,'1_原始數據'!$C$2:$C$1000,"khp_titration_mL"))))</f>
        <v/>
      </c>
      <c r="L366" s="25">
        <f>IF($A366="","",IF($C366&lt;&gt;"manual_titration_mL","",IFERROR(INDEX('3_可滴定酸度'!$E$6:$E$13,MATCH($I366,'3_可滴定酸度'!$B$6:$B$13,0)),"")))</f>
        <v/>
      </c>
      <c r="M366" s="25">
        <f>IF($A366="","",IF($C366&lt;&gt;"manual_titration_mL","",IFERROR(INDEX('3_可滴定酸度'!$F$6:$F$13,MATCH($I366,'3_可滴定酸度'!$B$6:$B$13,0)),"")))</f>
        <v/>
      </c>
      <c r="N366" s="24">
        <f>IF($A366="","",IF(OR(K366="",L366="",M366=""),"",K366*E366*L366/(M366*1000)*100))</f>
        <v/>
      </c>
      <c r="O366" s="24">
        <f>IF($A366="","",IF(N366="","",IF(COUNTIFS('1_原始數據'!$A$2:$A$1000,$A366,'1_原始數據'!$B$2:$B$1000,$B366,'1_原始數據'!$D$2:$D$1000,$D366,'1_原始數據'!$I$2:$I$1000,$I366,'1_原始數據'!$C$2:$C$1000,"pasco_pct_acid")=0,"",SUMIFS('1_原始數據'!$E$2:$E$1000,'1_原始數據'!$A$2:$A$1000,$A366,'1_原始數據'!$B$2:$B$1000,$B366,'1_原始數據'!$D$2:$D$1000,$D366,'1_原始數據'!$I$2:$I$1000,$I366,'1_原始數據'!$C$2:$C$1000,"pasco_pct_acid"))))</f>
        <v/>
      </c>
      <c r="P366" s="26">
        <f>IF($A366="","",IF(OR(N366="",O366=""),"",O366-N366))</f>
        <v/>
      </c>
      <c r="Q366" s="24">
        <f>IF($A366="","",IF(P366="","",(O366+N366)/2))</f>
        <v/>
      </c>
      <c r="R366" s="27">
        <f>IF($A366="","",IF(P366="","",COUNT($P$2:P366)))</f>
        <v/>
      </c>
    </row>
    <row r="367">
      <c r="J367" s="24">
        <f>IF($A367="","",IF($C367&lt;&gt;"khp_titration_mL","",IF(COUNTIFS('1_原始數據'!$A$2:$A$1000,$A367,'1_原始數據'!$B$2:$B$1000,$B367,'1_原始數據'!$D$2:$D$1000,$D367,'1_原始數據'!$C$2:$C$1000,"khp_mass_g")=0,"",SUMIFS('1_原始數據'!$E$2:$E$1000,'1_原始數據'!$A$2:$A$1000,$A367,'1_原始數據'!$B$2:$B$1000,$B367,'1_原始數據'!$D$2:$D$1000,$D367,'1_原始數據'!$C$2:$C$1000,"khp_mass_g")/('2_NaOH標定'!$C$5*$E367/1000))))</f>
        <v/>
      </c>
      <c r="K367" s="24">
        <f>IF($A367="","",IF($C367&lt;&gt;"manual_titration_mL","",IF(COUNTIFS('1_原始數據'!$A$2:$A$1000,$A367,'1_原始數據'!$C$2:$C$1000,"khp_titration_mL")=0,"",AVERAGEIFS('1_原始數據'!$J$2:$J$1000,'1_原始數據'!$A$2:$A$1000,$A367,'1_原始數據'!$C$2:$C$1000,"khp_titration_mL"))))</f>
        <v/>
      </c>
      <c r="L367" s="25">
        <f>IF($A367="","",IF($C367&lt;&gt;"manual_titration_mL","",IFERROR(INDEX('3_可滴定酸度'!$E$6:$E$13,MATCH($I367,'3_可滴定酸度'!$B$6:$B$13,0)),"")))</f>
        <v/>
      </c>
      <c r="M367" s="25">
        <f>IF($A367="","",IF($C367&lt;&gt;"manual_titration_mL","",IFERROR(INDEX('3_可滴定酸度'!$F$6:$F$13,MATCH($I367,'3_可滴定酸度'!$B$6:$B$13,0)),"")))</f>
        <v/>
      </c>
      <c r="N367" s="24">
        <f>IF($A367="","",IF(OR(K367="",L367="",M367=""),"",K367*E367*L367/(M367*1000)*100))</f>
        <v/>
      </c>
      <c r="O367" s="24">
        <f>IF($A367="","",IF(N367="","",IF(COUNTIFS('1_原始數據'!$A$2:$A$1000,$A367,'1_原始數據'!$B$2:$B$1000,$B367,'1_原始數據'!$D$2:$D$1000,$D367,'1_原始數據'!$I$2:$I$1000,$I367,'1_原始數據'!$C$2:$C$1000,"pasco_pct_acid")=0,"",SUMIFS('1_原始數據'!$E$2:$E$1000,'1_原始數據'!$A$2:$A$1000,$A367,'1_原始數據'!$B$2:$B$1000,$B367,'1_原始數據'!$D$2:$D$1000,$D367,'1_原始數據'!$I$2:$I$1000,$I367,'1_原始數據'!$C$2:$C$1000,"pasco_pct_acid"))))</f>
        <v/>
      </c>
      <c r="P367" s="26">
        <f>IF($A367="","",IF(OR(N367="",O367=""),"",O367-N367))</f>
        <v/>
      </c>
      <c r="Q367" s="24">
        <f>IF($A367="","",IF(P367="","",(O367+N367)/2))</f>
        <v/>
      </c>
      <c r="R367" s="27">
        <f>IF($A367="","",IF(P367="","",COUNT($P$2:P367)))</f>
        <v/>
      </c>
    </row>
    <row r="368">
      <c r="J368" s="24">
        <f>IF($A368="","",IF($C368&lt;&gt;"khp_titration_mL","",IF(COUNTIFS('1_原始數據'!$A$2:$A$1000,$A368,'1_原始數據'!$B$2:$B$1000,$B368,'1_原始數據'!$D$2:$D$1000,$D368,'1_原始數據'!$C$2:$C$1000,"khp_mass_g")=0,"",SUMIFS('1_原始數據'!$E$2:$E$1000,'1_原始數據'!$A$2:$A$1000,$A368,'1_原始數據'!$B$2:$B$1000,$B368,'1_原始數據'!$D$2:$D$1000,$D368,'1_原始數據'!$C$2:$C$1000,"khp_mass_g")/('2_NaOH標定'!$C$5*$E368/1000))))</f>
        <v/>
      </c>
      <c r="K368" s="24">
        <f>IF($A368="","",IF($C368&lt;&gt;"manual_titration_mL","",IF(COUNTIFS('1_原始數據'!$A$2:$A$1000,$A368,'1_原始數據'!$C$2:$C$1000,"khp_titration_mL")=0,"",AVERAGEIFS('1_原始數據'!$J$2:$J$1000,'1_原始數據'!$A$2:$A$1000,$A368,'1_原始數據'!$C$2:$C$1000,"khp_titration_mL"))))</f>
        <v/>
      </c>
      <c r="L368" s="25">
        <f>IF($A368="","",IF($C368&lt;&gt;"manual_titration_mL","",IFERROR(INDEX('3_可滴定酸度'!$E$6:$E$13,MATCH($I368,'3_可滴定酸度'!$B$6:$B$13,0)),"")))</f>
        <v/>
      </c>
      <c r="M368" s="25">
        <f>IF($A368="","",IF($C368&lt;&gt;"manual_titration_mL","",IFERROR(INDEX('3_可滴定酸度'!$F$6:$F$13,MATCH($I368,'3_可滴定酸度'!$B$6:$B$13,0)),"")))</f>
        <v/>
      </c>
      <c r="N368" s="24">
        <f>IF($A368="","",IF(OR(K368="",L368="",M368=""),"",K368*E368*L368/(M368*1000)*100))</f>
        <v/>
      </c>
      <c r="O368" s="24">
        <f>IF($A368="","",IF(N368="","",IF(COUNTIFS('1_原始數據'!$A$2:$A$1000,$A368,'1_原始數據'!$B$2:$B$1000,$B368,'1_原始數據'!$D$2:$D$1000,$D368,'1_原始數據'!$I$2:$I$1000,$I368,'1_原始數據'!$C$2:$C$1000,"pasco_pct_acid")=0,"",SUMIFS('1_原始數據'!$E$2:$E$1000,'1_原始數據'!$A$2:$A$1000,$A368,'1_原始數據'!$B$2:$B$1000,$B368,'1_原始數據'!$D$2:$D$1000,$D368,'1_原始數據'!$I$2:$I$1000,$I368,'1_原始數據'!$C$2:$C$1000,"pasco_pct_acid"))))</f>
        <v/>
      </c>
      <c r="P368" s="26">
        <f>IF($A368="","",IF(OR(N368="",O368=""),"",O368-N368))</f>
        <v/>
      </c>
      <c r="Q368" s="24">
        <f>IF($A368="","",IF(P368="","",(O368+N368)/2))</f>
        <v/>
      </c>
      <c r="R368" s="27">
        <f>IF($A368="","",IF(P368="","",COUNT($P$2:P368)))</f>
        <v/>
      </c>
    </row>
    <row r="369">
      <c r="J369" s="24">
        <f>IF($A369="","",IF($C369&lt;&gt;"khp_titration_mL","",IF(COUNTIFS('1_原始數據'!$A$2:$A$1000,$A369,'1_原始數據'!$B$2:$B$1000,$B369,'1_原始數據'!$D$2:$D$1000,$D369,'1_原始數據'!$C$2:$C$1000,"khp_mass_g")=0,"",SUMIFS('1_原始數據'!$E$2:$E$1000,'1_原始數據'!$A$2:$A$1000,$A369,'1_原始數據'!$B$2:$B$1000,$B369,'1_原始數據'!$D$2:$D$1000,$D369,'1_原始數據'!$C$2:$C$1000,"khp_mass_g")/('2_NaOH標定'!$C$5*$E369/1000))))</f>
        <v/>
      </c>
      <c r="K369" s="24">
        <f>IF($A369="","",IF($C369&lt;&gt;"manual_titration_mL","",IF(COUNTIFS('1_原始數據'!$A$2:$A$1000,$A369,'1_原始數據'!$C$2:$C$1000,"khp_titration_mL")=0,"",AVERAGEIFS('1_原始數據'!$J$2:$J$1000,'1_原始數據'!$A$2:$A$1000,$A369,'1_原始數據'!$C$2:$C$1000,"khp_titration_mL"))))</f>
        <v/>
      </c>
      <c r="L369" s="25">
        <f>IF($A369="","",IF($C369&lt;&gt;"manual_titration_mL","",IFERROR(INDEX('3_可滴定酸度'!$E$6:$E$13,MATCH($I369,'3_可滴定酸度'!$B$6:$B$13,0)),"")))</f>
        <v/>
      </c>
      <c r="M369" s="25">
        <f>IF($A369="","",IF($C369&lt;&gt;"manual_titration_mL","",IFERROR(INDEX('3_可滴定酸度'!$F$6:$F$13,MATCH($I369,'3_可滴定酸度'!$B$6:$B$13,0)),"")))</f>
        <v/>
      </c>
      <c r="N369" s="24">
        <f>IF($A369="","",IF(OR(K369="",L369="",M369=""),"",K369*E369*L369/(M369*1000)*100))</f>
        <v/>
      </c>
      <c r="O369" s="24">
        <f>IF($A369="","",IF(N369="","",IF(COUNTIFS('1_原始數據'!$A$2:$A$1000,$A369,'1_原始數據'!$B$2:$B$1000,$B369,'1_原始數據'!$D$2:$D$1000,$D369,'1_原始數據'!$I$2:$I$1000,$I369,'1_原始數據'!$C$2:$C$1000,"pasco_pct_acid")=0,"",SUMIFS('1_原始數據'!$E$2:$E$1000,'1_原始數據'!$A$2:$A$1000,$A369,'1_原始數據'!$B$2:$B$1000,$B369,'1_原始數據'!$D$2:$D$1000,$D369,'1_原始數據'!$I$2:$I$1000,$I369,'1_原始數據'!$C$2:$C$1000,"pasco_pct_acid"))))</f>
        <v/>
      </c>
      <c r="P369" s="26">
        <f>IF($A369="","",IF(OR(N369="",O369=""),"",O369-N369))</f>
        <v/>
      </c>
      <c r="Q369" s="24">
        <f>IF($A369="","",IF(P369="","",(O369+N369)/2))</f>
        <v/>
      </c>
      <c r="R369" s="27">
        <f>IF($A369="","",IF(P369="","",COUNT($P$2:P369)))</f>
        <v/>
      </c>
    </row>
    <row r="370">
      <c r="J370" s="24">
        <f>IF($A370="","",IF($C370&lt;&gt;"khp_titration_mL","",IF(COUNTIFS('1_原始數據'!$A$2:$A$1000,$A370,'1_原始數據'!$B$2:$B$1000,$B370,'1_原始數據'!$D$2:$D$1000,$D370,'1_原始數據'!$C$2:$C$1000,"khp_mass_g")=0,"",SUMIFS('1_原始數據'!$E$2:$E$1000,'1_原始數據'!$A$2:$A$1000,$A370,'1_原始數據'!$B$2:$B$1000,$B370,'1_原始數據'!$D$2:$D$1000,$D370,'1_原始數據'!$C$2:$C$1000,"khp_mass_g")/('2_NaOH標定'!$C$5*$E370/1000))))</f>
        <v/>
      </c>
      <c r="K370" s="24">
        <f>IF($A370="","",IF($C370&lt;&gt;"manual_titration_mL","",IF(COUNTIFS('1_原始數據'!$A$2:$A$1000,$A370,'1_原始數據'!$C$2:$C$1000,"khp_titration_mL")=0,"",AVERAGEIFS('1_原始數據'!$J$2:$J$1000,'1_原始數據'!$A$2:$A$1000,$A370,'1_原始數據'!$C$2:$C$1000,"khp_titration_mL"))))</f>
        <v/>
      </c>
      <c r="L370" s="25">
        <f>IF($A370="","",IF($C370&lt;&gt;"manual_titration_mL","",IFERROR(INDEX('3_可滴定酸度'!$E$6:$E$13,MATCH($I370,'3_可滴定酸度'!$B$6:$B$13,0)),"")))</f>
        <v/>
      </c>
      <c r="M370" s="25">
        <f>IF($A370="","",IF($C370&lt;&gt;"manual_titration_mL","",IFERROR(INDEX('3_可滴定酸度'!$F$6:$F$13,MATCH($I370,'3_可滴定酸度'!$B$6:$B$13,0)),"")))</f>
        <v/>
      </c>
      <c r="N370" s="24">
        <f>IF($A370="","",IF(OR(K370="",L370="",M370=""),"",K370*E370*L370/(M370*1000)*100))</f>
        <v/>
      </c>
      <c r="O370" s="24">
        <f>IF($A370="","",IF(N370="","",IF(COUNTIFS('1_原始數據'!$A$2:$A$1000,$A370,'1_原始數據'!$B$2:$B$1000,$B370,'1_原始數據'!$D$2:$D$1000,$D370,'1_原始數據'!$I$2:$I$1000,$I370,'1_原始數據'!$C$2:$C$1000,"pasco_pct_acid")=0,"",SUMIFS('1_原始數據'!$E$2:$E$1000,'1_原始數據'!$A$2:$A$1000,$A370,'1_原始數據'!$B$2:$B$1000,$B370,'1_原始數據'!$D$2:$D$1000,$D370,'1_原始數據'!$I$2:$I$1000,$I370,'1_原始數據'!$C$2:$C$1000,"pasco_pct_acid"))))</f>
        <v/>
      </c>
      <c r="P370" s="26">
        <f>IF($A370="","",IF(OR(N370="",O370=""),"",O370-N370))</f>
        <v/>
      </c>
      <c r="Q370" s="24">
        <f>IF($A370="","",IF(P370="","",(O370+N370)/2))</f>
        <v/>
      </c>
      <c r="R370" s="27">
        <f>IF($A370="","",IF(P370="","",COUNT($P$2:P370)))</f>
        <v/>
      </c>
    </row>
    <row r="371">
      <c r="J371" s="24">
        <f>IF($A371="","",IF($C371&lt;&gt;"khp_titration_mL","",IF(COUNTIFS('1_原始數據'!$A$2:$A$1000,$A371,'1_原始數據'!$B$2:$B$1000,$B371,'1_原始數據'!$D$2:$D$1000,$D371,'1_原始數據'!$C$2:$C$1000,"khp_mass_g")=0,"",SUMIFS('1_原始數據'!$E$2:$E$1000,'1_原始數據'!$A$2:$A$1000,$A371,'1_原始數據'!$B$2:$B$1000,$B371,'1_原始數據'!$D$2:$D$1000,$D371,'1_原始數據'!$C$2:$C$1000,"khp_mass_g")/('2_NaOH標定'!$C$5*$E371/1000))))</f>
        <v/>
      </c>
      <c r="K371" s="24">
        <f>IF($A371="","",IF($C371&lt;&gt;"manual_titration_mL","",IF(COUNTIFS('1_原始數據'!$A$2:$A$1000,$A371,'1_原始數據'!$C$2:$C$1000,"khp_titration_mL")=0,"",AVERAGEIFS('1_原始數據'!$J$2:$J$1000,'1_原始數據'!$A$2:$A$1000,$A371,'1_原始數據'!$C$2:$C$1000,"khp_titration_mL"))))</f>
        <v/>
      </c>
      <c r="L371" s="25">
        <f>IF($A371="","",IF($C371&lt;&gt;"manual_titration_mL","",IFERROR(INDEX('3_可滴定酸度'!$E$6:$E$13,MATCH($I371,'3_可滴定酸度'!$B$6:$B$13,0)),"")))</f>
        <v/>
      </c>
      <c r="M371" s="25">
        <f>IF($A371="","",IF($C371&lt;&gt;"manual_titration_mL","",IFERROR(INDEX('3_可滴定酸度'!$F$6:$F$13,MATCH($I371,'3_可滴定酸度'!$B$6:$B$13,0)),"")))</f>
        <v/>
      </c>
      <c r="N371" s="24">
        <f>IF($A371="","",IF(OR(K371="",L371="",M371=""),"",K371*E371*L371/(M371*1000)*100))</f>
        <v/>
      </c>
      <c r="O371" s="24">
        <f>IF($A371="","",IF(N371="","",IF(COUNTIFS('1_原始數據'!$A$2:$A$1000,$A371,'1_原始數據'!$B$2:$B$1000,$B371,'1_原始數據'!$D$2:$D$1000,$D371,'1_原始數據'!$I$2:$I$1000,$I371,'1_原始數據'!$C$2:$C$1000,"pasco_pct_acid")=0,"",SUMIFS('1_原始數據'!$E$2:$E$1000,'1_原始數據'!$A$2:$A$1000,$A371,'1_原始數據'!$B$2:$B$1000,$B371,'1_原始數據'!$D$2:$D$1000,$D371,'1_原始數據'!$I$2:$I$1000,$I371,'1_原始數據'!$C$2:$C$1000,"pasco_pct_acid"))))</f>
        <v/>
      </c>
      <c r="P371" s="26">
        <f>IF($A371="","",IF(OR(N371="",O371=""),"",O371-N371))</f>
        <v/>
      </c>
      <c r="Q371" s="24">
        <f>IF($A371="","",IF(P371="","",(O371+N371)/2))</f>
        <v/>
      </c>
      <c r="R371" s="27">
        <f>IF($A371="","",IF(P371="","",COUNT($P$2:P371)))</f>
        <v/>
      </c>
    </row>
    <row r="372">
      <c r="J372" s="24">
        <f>IF($A372="","",IF($C372&lt;&gt;"khp_titration_mL","",IF(COUNTIFS('1_原始數據'!$A$2:$A$1000,$A372,'1_原始數據'!$B$2:$B$1000,$B372,'1_原始數據'!$D$2:$D$1000,$D372,'1_原始數據'!$C$2:$C$1000,"khp_mass_g")=0,"",SUMIFS('1_原始數據'!$E$2:$E$1000,'1_原始數據'!$A$2:$A$1000,$A372,'1_原始數據'!$B$2:$B$1000,$B372,'1_原始數據'!$D$2:$D$1000,$D372,'1_原始數據'!$C$2:$C$1000,"khp_mass_g")/('2_NaOH標定'!$C$5*$E372/1000))))</f>
        <v/>
      </c>
      <c r="K372" s="24">
        <f>IF($A372="","",IF($C372&lt;&gt;"manual_titration_mL","",IF(COUNTIFS('1_原始數據'!$A$2:$A$1000,$A372,'1_原始數據'!$C$2:$C$1000,"khp_titration_mL")=0,"",AVERAGEIFS('1_原始數據'!$J$2:$J$1000,'1_原始數據'!$A$2:$A$1000,$A372,'1_原始數據'!$C$2:$C$1000,"khp_titration_mL"))))</f>
        <v/>
      </c>
      <c r="L372" s="25">
        <f>IF($A372="","",IF($C372&lt;&gt;"manual_titration_mL","",IFERROR(INDEX('3_可滴定酸度'!$E$6:$E$13,MATCH($I372,'3_可滴定酸度'!$B$6:$B$13,0)),"")))</f>
        <v/>
      </c>
      <c r="M372" s="25">
        <f>IF($A372="","",IF($C372&lt;&gt;"manual_titration_mL","",IFERROR(INDEX('3_可滴定酸度'!$F$6:$F$13,MATCH($I372,'3_可滴定酸度'!$B$6:$B$13,0)),"")))</f>
        <v/>
      </c>
      <c r="N372" s="24">
        <f>IF($A372="","",IF(OR(K372="",L372="",M372=""),"",K372*E372*L372/(M372*1000)*100))</f>
        <v/>
      </c>
      <c r="O372" s="24">
        <f>IF($A372="","",IF(N372="","",IF(COUNTIFS('1_原始數據'!$A$2:$A$1000,$A372,'1_原始數據'!$B$2:$B$1000,$B372,'1_原始數據'!$D$2:$D$1000,$D372,'1_原始數據'!$I$2:$I$1000,$I372,'1_原始數據'!$C$2:$C$1000,"pasco_pct_acid")=0,"",SUMIFS('1_原始數據'!$E$2:$E$1000,'1_原始數據'!$A$2:$A$1000,$A372,'1_原始數據'!$B$2:$B$1000,$B372,'1_原始數據'!$D$2:$D$1000,$D372,'1_原始數據'!$I$2:$I$1000,$I372,'1_原始數據'!$C$2:$C$1000,"pasco_pct_acid"))))</f>
        <v/>
      </c>
      <c r="P372" s="26">
        <f>IF($A372="","",IF(OR(N372="",O372=""),"",O372-N372))</f>
        <v/>
      </c>
      <c r="Q372" s="24">
        <f>IF($A372="","",IF(P372="","",(O372+N372)/2))</f>
        <v/>
      </c>
      <c r="R372" s="27">
        <f>IF($A372="","",IF(P372="","",COUNT($P$2:P372)))</f>
        <v/>
      </c>
    </row>
    <row r="373">
      <c r="J373" s="24">
        <f>IF($A373="","",IF($C373&lt;&gt;"khp_titration_mL","",IF(COUNTIFS('1_原始數據'!$A$2:$A$1000,$A373,'1_原始數據'!$B$2:$B$1000,$B373,'1_原始數據'!$D$2:$D$1000,$D373,'1_原始數據'!$C$2:$C$1000,"khp_mass_g")=0,"",SUMIFS('1_原始數據'!$E$2:$E$1000,'1_原始數據'!$A$2:$A$1000,$A373,'1_原始數據'!$B$2:$B$1000,$B373,'1_原始數據'!$D$2:$D$1000,$D373,'1_原始數據'!$C$2:$C$1000,"khp_mass_g")/('2_NaOH標定'!$C$5*$E373/1000))))</f>
        <v/>
      </c>
      <c r="K373" s="24">
        <f>IF($A373="","",IF($C373&lt;&gt;"manual_titration_mL","",IF(COUNTIFS('1_原始數據'!$A$2:$A$1000,$A373,'1_原始數據'!$C$2:$C$1000,"khp_titration_mL")=0,"",AVERAGEIFS('1_原始數據'!$J$2:$J$1000,'1_原始數據'!$A$2:$A$1000,$A373,'1_原始數據'!$C$2:$C$1000,"khp_titration_mL"))))</f>
        <v/>
      </c>
      <c r="L373" s="25">
        <f>IF($A373="","",IF($C373&lt;&gt;"manual_titration_mL","",IFERROR(INDEX('3_可滴定酸度'!$E$6:$E$13,MATCH($I373,'3_可滴定酸度'!$B$6:$B$13,0)),"")))</f>
        <v/>
      </c>
      <c r="M373" s="25">
        <f>IF($A373="","",IF($C373&lt;&gt;"manual_titration_mL","",IFERROR(INDEX('3_可滴定酸度'!$F$6:$F$13,MATCH($I373,'3_可滴定酸度'!$B$6:$B$13,0)),"")))</f>
        <v/>
      </c>
      <c r="N373" s="24">
        <f>IF($A373="","",IF(OR(K373="",L373="",M373=""),"",K373*E373*L373/(M373*1000)*100))</f>
        <v/>
      </c>
      <c r="O373" s="24">
        <f>IF($A373="","",IF(N373="","",IF(COUNTIFS('1_原始數據'!$A$2:$A$1000,$A373,'1_原始數據'!$B$2:$B$1000,$B373,'1_原始數據'!$D$2:$D$1000,$D373,'1_原始數據'!$I$2:$I$1000,$I373,'1_原始數據'!$C$2:$C$1000,"pasco_pct_acid")=0,"",SUMIFS('1_原始數據'!$E$2:$E$1000,'1_原始數據'!$A$2:$A$1000,$A373,'1_原始數據'!$B$2:$B$1000,$B373,'1_原始數據'!$D$2:$D$1000,$D373,'1_原始數據'!$I$2:$I$1000,$I373,'1_原始數據'!$C$2:$C$1000,"pasco_pct_acid"))))</f>
        <v/>
      </c>
      <c r="P373" s="26">
        <f>IF($A373="","",IF(OR(N373="",O373=""),"",O373-N373))</f>
        <v/>
      </c>
      <c r="Q373" s="24">
        <f>IF($A373="","",IF(P373="","",(O373+N373)/2))</f>
        <v/>
      </c>
      <c r="R373" s="27">
        <f>IF($A373="","",IF(P373="","",COUNT($P$2:P373)))</f>
        <v/>
      </c>
    </row>
    <row r="374">
      <c r="J374" s="24">
        <f>IF($A374="","",IF($C374&lt;&gt;"khp_titration_mL","",IF(COUNTIFS('1_原始數據'!$A$2:$A$1000,$A374,'1_原始數據'!$B$2:$B$1000,$B374,'1_原始數據'!$D$2:$D$1000,$D374,'1_原始數據'!$C$2:$C$1000,"khp_mass_g")=0,"",SUMIFS('1_原始數據'!$E$2:$E$1000,'1_原始數據'!$A$2:$A$1000,$A374,'1_原始數據'!$B$2:$B$1000,$B374,'1_原始數據'!$D$2:$D$1000,$D374,'1_原始數據'!$C$2:$C$1000,"khp_mass_g")/('2_NaOH標定'!$C$5*$E374/1000))))</f>
        <v/>
      </c>
      <c r="K374" s="24">
        <f>IF($A374="","",IF($C374&lt;&gt;"manual_titration_mL","",IF(COUNTIFS('1_原始數據'!$A$2:$A$1000,$A374,'1_原始數據'!$C$2:$C$1000,"khp_titration_mL")=0,"",AVERAGEIFS('1_原始數據'!$J$2:$J$1000,'1_原始數據'!$A$2:$A$1000,$A374,'1_原始數據'!$C$2:$C$1000,"khp_titration_mL"))))</f>
        <v/>
      </c>
      <c r="L374" s="25">
        <f>IF($A374="","",IF($C374&lt;&gt;"manual_titration_mL","",IFERROR(INDEX('3_可滴定酸度'!$E$6:$E$13,MATCH($I374,'3_可滴定酸度'!$B$6:$B$13,0)),"")))</f>
        <v/>
      </c>
      <c r="M374" s="25">
        <f>IF($A374="","",IF($C374&lt;&gt;"manual_titration_mL","",IFERROR(INDEX('3_可滴定酸度'!$F$6:$F$13,MATCH($I374,'3_可滴定酸度'!$B$6:$B$13,0)),"")))</f>
        <v/>
      </c>
      <c r="N374" s="24">
        <f>IF($A374="","",IF(OR(K374="",L374="",M374=""),"",K374*E374*L374/(M374*1000)*100))</f>
        <v/>
      </c>
      <c r="O374" s="24">
        <f>IF($A374="","",IF(N374="","",IF(COUNTIFS('1_原始數據'!$A$2:$A$1000,$A374,'1_原始數據'!$B$2:$B$1000,$B374,'1_原始數據'!$D$2:$D$1000,$D374,'1_原始數據'!$I$2:$I$1000,$I374,'1_原始數據'!$C$2:$C$1000,"pasco_pct_acid")=0,"",SUMIFS('1_原始數據'!$E$2:$E$1000,'1_原始數據'!$A$2:$A$1000,$A374,'1_原始數據'!$B$2:$B$1000,$B374,'1_原始數據'!$D$2:$D$1000,$D374,'1_原始數據'!$I$2:$I$1000,$I374,'1_原始數據'!$C$2:$C$1000,"pasco_pct_acid"))))</f>
        <v/>
      </c>
      <c r="P374" s="26">
        <f>IF($A374="","",IF(OR(N374="",O374=""),"",O374-N374))</f>
        <v/>
      </c>
      <c r="Q374" s="24">
        <f>IF($A374="","",IF(P374="","",(O374+N374)/2))</f>
        <v/>
      </c>
      <c r="R374" s="27">
        <f>IF($A374="","",IF(P374="","",COUNT($P$2:P374)))</f>
        <v/>
      </c>
    </row>
    <row r="375">
      <c r="J375" s="24">
        <f>IF($A375="","",IF($C375&lt;&gt;"khp_titration_mL","",IF(COUNTIFS('1_原始數據'!$A$2:$A$1000,$A375,'1_原始數據'!$B$2:$B$1000,$B375,'1_原始數據'!$D$2:$D$1000,$D375,'1_原始數據'!$C$2:$C$1000,"khp_mass_g")=0,"",SUMIFS('1_原始數據'!$E$2:$E$1000,'1_原始數據'!$A$2:$A$1000,$A375,'1_原始數據'!$B$2:$B$1000,$B375,'1_原始數據'!$D$2:$D$1000,$D375,'1_原始數據'!$C$2:$C$1000,"khp_mass_g")/('2_NaOH標定'!$C$5*$E375/1000))))</f>
        <v/>
      </c>
      <c r="K375" s="24">
        <f>IF($A375="","",IF($C375&lt;&gt;"manual_titration_mL","",IF(COUNTIFS('1_原始數據'!$A$2:$A$1000,$A375,'1_原始數據'!$C$2:$C$1000,"khp_titration_mL")=0,"",AVERAGEIFS('1_原始數據'!$J$2:$J$1000,'1_原始數據'!$A$2:$A$1000,$A375,'1_原始數據'!$C$2:$C$1000,"khp_titration_mL"))))</f>
        <v/>
      </c>
      <c r="L375" s="25">
        <f>IF($A375="","",IF($C375&lt;&gt;"manual_titration_mL","",IFERROR(INDEX('3_可滴定酸度'!$E$6:$E$13,MATCH($I375,'3_可滴定酸度'!$B$6:$B$13,0)),"")))</f>
        <v/>
      </c>
      <c r="M375" s="25">
        <f>IF($A375="","",IF($C375&lt;&gt;"manual_titration_mL","",IFERROR(INDEX('3_可滴定酸度'!$F$6:$F$13,MATCH($I375,'3_可滴定酸度'!$B$6:$B$13,0)),"")))</f>
        <v/>
      </c>
      <c r="N375" s="24">
        <f>IF($A375="","",IF(OR(K375="",L375="",M375=""),"",K375*E375*L375/(M375*1000)*100))</f>
        <v/>
      </c>
      <c r="O375" s="24">
        <f>IF($A375="","",IF(N375="","",IF(COUNTIFS('1_原始數據'!$A$2:$A$1000,$A375,'1_原始數據'!$B$2:$B$1000,$B375,'1_原始數據'!$D$2:$D$1000,$D375,'1_原始數據'!$I$2:$I$1000,$I375,'1_原始數據'!$C$2:$C$1000,"pasco_pct_acid")=0,"",SUMIFS('1_原始數據'!$E$2:$E$1000,'1_原始數據'!$A$2:$A$1000,$A375,'1_原始數據'!$B$2:$B$1000,$B375,'1_原始數據'!$D$2:$D$1000,$D375,'1_原始數據'!$I$2:$I$1000,$I375,'1_原始數據'!$C$2:$C$1000,"pasco_pct_acid"))))</f>
        <v/>
      </c>
      <c r="P375" s="26">
        <f>IF($A375="","",IF(OR(N375="",O375=""),"",O375-N375))</f>
        <v/>
      </c>
      <c r="Q375" s="24">
        <f>IF($A375="","",IF(P375="","",(O375+N375)/2))</f>
        <v/>
      </c>
      <c r="R375" s="27">
        <f>IF($A375="","",IF(P375="","",COUNT($P$2:P375)))</f>
        <v/>
      </c>
    </row>
    <row r="376">
      <c r="J376" s="24">
        <f>IF($A376="","",IF($C376&lt;&gt;"khp_titration_mL","",IF(COUNTIFS('1_原始數據'!$A$2:$A$1000,$A376,'1_原始數據'!$B$2:$B$1000,$B376,'1_原始數據'!$D$2:$D$1000,$D376,'1_原始數據'!$C$2:$C$1000,"khp_mass_g")=0,"",SUMIFS('1_原始數據'!$E$2:$E$1000,'1_原始數據'!$A$2:$A$1000,$A376,'1_原始數據'!$B$2:$B$1000,$B376,'1_原始數據'!$D$2:$D$1000,$D376,'1_原始數據'!$C$2:$C$1000,"khp_mass_g")/('2_NaOH標定'!$C$5*$E376/1000))))</f>
        <v/>
      </c>
      <c r="K376" s="24">
        <f>IF($A376="","",IF($C376&lt;&gt;"manual_titration_mL","",IF(COUNTIFS('1_原始數據'!$A$2:$A$1000,$A376,'1_原始數據'!$C$2:$C$1000,"khp_titration_mL")=0,"",AVERAGEIFS('1_原始數據'!$J$2:$J$1000,'1_原始數據'!$A$2:$A$1000,$A376,'1_原始數據'!$C$2:$C$1000,"khp_titration_mL"))))</f>
        <v/>
      </c>
      <c r="L376" s="25">
        <f>IF($A376="","",IF($C376&lt;&gt;"manual_titration_mL","",IFERROR(INDEX('3_可滴定酸度'!$E$6:$E$13,MATCH($I376,'3_可滴定酸度'!$B$6:$B$13,0)),"")))</f>
        <v/>
      </c>
      <c r="M376" s="25">
        <f>IF($A376="","",IF($C376&lt;&gt;"manual_titration_mL","",IFERROR(INDEX('3_可滴定酸度'!$F$6:$F$13,MATCH($I376,'3_可滴定酸度'!$B$6:$B$13,0)),"")))</f>
        <v/>
      </c>
      <c r="N376" s="24">
        <f>IF($A376="","",IF(OR(K376="",L376="",M376=""),"",K376*E376*L376/(M376*1000)*100))</f>
        <v/>
      </c>
      <c r="O376" s="24">
        <f>IF($A376="","",IF(N376="","",IF(COUNTIFS('1_原始數據'!$A$2:$A$1000,$A376,'1_原始數據'!$B$2:$B$1000,$B376,'1_原始數據'!$D$2:$D$1000,$D376,'1_原始數據'!$I$2:$I$1000,$I376,'1_原始數據'!$C$2:$C$1000,"pasco_pct_acid")=0,"",SUMIFS('1_原始數據'!$E$2:$E$1000,'1_原始數據'!$A$2:$A$1000,$A376,'1_原始數據'!$B$2:$B$1000,$B376,'1_原始數據'!$D$2:$D$1000,$D376,'1_原始數據'!$I$2:$I$1000,$I376,'1_原始數據'!$C$2:$C$1000,"pasco_pct_acid"))))</f>
        <v/>
      </c>
      <c r="P376" s="26">
        <f>IF($A376="","",IF(OR(N376="",O376=""),"",O376-N376))</f>
        <v/>
      </c>
      <c r="Q376" s="24">
        <f>IF($A376="","",IF(P376="","",(O376+N376)/2))</f>
        <v/>
      </c>
      <c r="R376" s="27">
        <f>IF($A376="","",IF(P376="","",COUNT($P$2:P376)))</f>
        <v/>
      </c>
    </row>
    <row r="377">
      <c r="J377" s="24">
        <f>IF($A377="","",IF($C377&lt;&gt;"khp_titration_mL","",IF(COUNTIFS('1_原始數據'!$A$2:$A$1000,$A377,'1_原始數據'!$B$2:$B$1000,$B377,'1_原始數據'!$D$2:$D$1000,$D377,'1_原始數據'!$C$2:$C$1000,"khp_mass_g")=0,"",SUMIFS('1_原始數據'!$E$2:$E$1000,'1_原始數據'!$A$2:$A$1000,$A377,'1_原始數據'!$B$2:$B$1000,$B377,'1_原始數據'!$D$2:$D$1000,$D377,'1_原始數據'!$C$2:$C$1000,"khp_mass_g")/('2_NaOH標定'!$C$5*$E377/1000))))</f>
        <v/>
      </c>
      <c r="K377" s="24">
        <f>IF($A377="","",IF($C377&lt;&gt;"manual_titration_mL","",IF(COUNTIFS('1_原始數據'!$A$2:$A$1000,$A377,'1_原始數據'!$C$2:$C$1000,"khp_titration_mL")=0,"",AVERAGEIFS('1_原始數據'!$J$2:$J$1000,'1_原始數據'!$A$2:$A$1000,$A377,'1_原始數據'!$C$2:$C$1000,"khp_titration_mL"))))</f>
        <v/>
      </c>
      <c r="L377" s="25">
        <f>IF($A377="","",IF($C377&lt;&gt;"manual_titration_mL","",IFERROR(INDEX('3_可滴定酸度'!$E$6:$E$13,MATCH($I377,'3_可滴定酸度'!$B$6:$B$13,0)),"")))</f>
        <v/>
      </c>
      <c r="M377" s="25">
        <f>IF($A377="","",IF($C377&lt;&gt;"manual_titration_mL","",IFERROR(INDEX('3_可滴定酸度'!$F$6:$F$13,MATCH($I377,'3_可滴定酸度'!$B$6:$B$13,0)),"")))</f>
        <v/>
      </c>
      <c r="N377" s="24">
        <f>IF($A377="","",IF(OR(K377="",L377="",M377=""),"",K377*E377*L377/(M377*1000)*100))</f>
        <v/>
      </c>
      <c r="O377" s="24">
        <f>IF($A377="","",IF(N377="","",IF(COUNTIFS('1_原始數據'!$A$2:$A$1000,$A377,'1_原始數據'!$B$2:$B$1000,$B377,'1_原始數據'!$D$2:$D$1000,$D377,'1_原始數據'!$I$2:$I$1000,$I377,'1_原始數據'!$C$2:$C$1000,"pasco_pct_acid")=0,"",SUMIFS('1_原始數據'!$E$2:$E$1000,'1_原始數據'!$A$2:$A$1000,$A377,'1_原始數據'!$B$2:$B$1000,$B377,'1_原始數據'!$D$2:$D$1000,$D377,'1_原始數據'!$I$2:$I$1000,$I377,'1_原始數據'!$C$2:$C$1000,"pasco_pct_acid"))))</f>
        <v/>
      </c>
      <c r="P377" s="26">
        <f>IF($A377="","",IF(OR(N377="",O377=""),"",O377-N377))</f>
        <v/>
      </c>
      <c r="Q377" s="24">
        <f>IF($A377="","",IF(P377="","",(O377+N377)/2))</f>
        <v/>
      </c>
      <c r="R377" s="27">
        <f>IF($A377="","",IF(P377="","",COUNT($P$2:P377)))</f>
        <v/>
      </c>
    </row>
    <row r="378">
      <c r="J378" s="24">
        <f>IF($A378="","",IF($C378&lt;&gt;"khp_titration_mL","",IF(COUNTIFS('1_原始數據'!$A$2:$A$1000,$A378,'1_原始數據'!$B$2:$B$1000,$B378,'1_原始數據'!$D$2:$D$1000,$D378,'1_原始數據'!$C$2:$C$1000,"khp_mass_g")=0,"",SUMIFS('1_原始數據'!$E$2:$E$1000,'1_原始數據'!$A$2:$A$1000,$A378,'1_原始數據'!$B$2:$B$1000,$B378,'1_原始數據'!$D$2:$D$1000,$D378,'1_原始數據'!$C$2:$C$1000,"khp_mass_g")/('2_NaOH標定'!$C$5*$E378/1000))))</f>
        <v/>
      </c>
      <c r="K378" s="24">
        <f>IF($A378="","",IF($C378&lt;&gt;"manual_titration_mL","",IF(COUNTIFS('1_原始數據'!$A$2:$A$1000,$A378,'1_原始數據'!$C$2:$C$1000,"khp_titration_mL")=0,"",AVERAGEIFS('1_原始數據'!$J$2:$J$1000,'1_原始數據'!$A$2:$A$1000,$A378,'1_原始數據'!$C$2:$C$1000,"khp_titration_mL"))))</f>
        <v/>
      </c>
      <c r="L378" s="25">
        <f>IF($A378="","",IF($C378&lt;&gt;"manual_titration_mL","",IFERROR(INDEX('3_可滴定酸度'!$E$6:$E$13,MATCH($I378,'3_可滴定酸度'!$B$6:$B$13,0)),"")))</f>
        <v/>
      </c>
      <c r="M378" s="25">
        <f>IF($A378="","",IF($C378&lt;&gt;"manual_titration_mL","",IFERROR(INDEX('3_可滴定酸度'!$F$6:$F$13,MATCH($I378,'3_可滴定酸度'!$B$6:$B$13,0)),"")))</f>
        <v/>
      </c>
      <c r="N378" s="24">
        <f>IF($A378="","",IF(OR(K378="",L378="",M378=""),"",K378*E378*L378/(M378*1000)*100))</f>
        <v/>
      </c>
      <c r="O378" s="24">
        <f>IF($A378="","",IF(N378="","",IF(COUNTIFS('1_原始數據'!$A$2:$A$1000,$A378,'1_原始數據'!$B$2:$B$1000,$B378,'1_原始數據'!$D$2:$D$1000,$D378,'1_原始數據'!$I$2:$I$1000,$I378,'1_原始數據'!$C$2:$C$1000,"pasco_pct_acid")=0,"",SUMIFS('1_原始數據'!$E$2:$E$1000,'1_原始數據'!$A$2:$A$1000,$A378,'1_原始數據'!$B$2:$B$1000,$B378,'1_原始數據'!$D$2:$D$1000,$D378,'1_原始數據'!$I$2:$I$1000,$I378,'1_原始數據'!$C$2:$C$1000,"pasco_pct_acid"))))</f>
        <v/>
      </c>
      <c r="P378" s="26">
        <f>IF($A378="","",IF(OR(N378="",O378=""),"",O378-N378))</f>
        <v/>
      </c>
      <c r="Q378" s="24">
        <f>IF($A378="","",IF(P378="","",(O378+N378)/2))</f>
        <v/>
      </c>
      <c r="R378" s="27">
        <f>IF($A378="","",IF(P378="","",COUNT($P$2:P378)))</f>
        <v/>
      </c>
    </row>
    <row r="379">
      <c r="J379" s="24">
        <f>IF($A379="","",IF($C379&lt;&gt;"khp_titration_mL","",IF(COUNTIFS('1_原始數據'!$A$2:$A$1000,$A379,'1_原始數據'!$B$2:$B$1000,$B379,'1_原始數據'!$D$2:$D$1000,$D379,'1_原始數據'!$C$2:$C$1000,"khp_mass_g")=0,"",SUMIFS('1_原始數據'!$E$2:$E$1000,'1_原始數據'!$A$2:$A$1000,$A379,'1_原始數據'!$B$2:$B$1000,$B379,'1_原始數據'!$D$2:$D$1000,$D379,'1_原始數據'!$C$2:$C$1000,"khp_mass_g")/('2_NaOH標定'!$C$5*$E379/1000))))</f>
        <v/>
      </c>
      <c r="K379" s="24">
        <f>IF($A379="","",IF($C379&lt;&gt;"manual_titration_mL","",IF(COUNTIFS('1_原始數據'!$A$2:$A$1000,$A379,'1_原始數據'!$C$2:$C$1000,"khp_titration_mL")=0,"",AVERAGEIFS('1_原始數據'!$J$2:$J$1000,'1_原始數據'!$A$2:$A$1000,$A379,'1_原始數據'!$C$2:$C$1000,"khp_titration_mL"))))</f>
        <v/>
      </c>
      <c r="L379" s="25">
        <f>IF($A379="","",IF($C379&lt;&gt;"manual_titration_mL","",IFERROR(INDEX('3_可滴定酸度'!$E$6:$E$13,MATCH($I379,'3_可滴定酸度'!$B$6:$B$13,0)),"")))</f>
        <v/>
      </c>
      <c r="M379" s="25">
        <f>IF($A379="","",IF($C379&lt;&gt;"manual_titration_mL","",IFERROR(INDEX('3_可滴定酸度'!$F$6:$F$13,MATCH($I379,'3_可滴定酸度'!$B$6:$B$13,0)),"")))</f>
        <v/>
      </c>
      <c r="N379" s="24">
        <f>IF($A379="","",IF(OR(K379="",L379="",M379=""),"",K379*E379*L379/(M379*1000)*100))</f>
        <v/>
      </c>
      <c r="O379" s="24">
        <f>IF($A379="","",IF(N379="","",IF(COUNTIFS('1_原始數據'!$A$2:$A$1000,$A379,'1_原始數據'!$B$2:$B$1000,$B379,'1_原始數據'!$D$2:$D$1000,$D379,'1_原始數據'!$I$2:$I$1000,$I379,'1_原始數據'!$C$2:$C$1000,"pasco_pct_acid")=0,"",SUMIFS('1_原始數據'!$E$2:$E$1000,'1_原始數據'!$A$2:$A$1000,$A379,'1_原始數據'!$B$2:$B$1000,$B379,'1_原始數據'!$D$2:$D$1000,$D379,'1_原始數據'!$I$2:$I$1000,$I379,'1_原始數據'!$C$2:$C$1000,"pasco_pct_acid"))))</f>
        <v/>
      </c>
      <c r="P379" s="26">
        <f>IF($A379="","",IF(OR(N379="",O379=""),"",O379-N379))</f>
        <v/>
      </c>
      <c r="Q379" s="24">
        <f>IF($A379="","",IF(P379="","",(O379+N379)/2))</f>
        <v/>
      </c>
      <c r="R379" s="27">
        <f>IF($A379="","",IF(P379="","",COUNT($P$2:P379)))</f>
        <v/>
      </c>
    </row>
    <row r="380">
      <c r="J380" s="24">
        <f>IF($A380="","",IF($C380&lt;&gt;"khp_titration_mL","",IF(COUNTIFS('1_原始數據'!$A$2:$A$1000,$A380,'1_原始數據'!$B$2:$B$1000,$B380,'1_原始數據'!$D$2:$D$1000,$D380,'1_原始數據'!$C$2:$C$1000,"khp_mass_g")=0,"",SUMIFS('1_原始數據'!$E$2:$E$1000,'1_原始數據'!$A$2:$A$1000,$A380,'1_原始數據'!$B$2:$B$1000,$B380,'1_原始數據'!$D$2:$D$1000,$D380,'1_原始數據'!$C$2:$C$1000,"khp_mass_g")/('2_NaOH標定'!$C$5*$E380/1000))))</f>
        <v/>
      </c>
      <c r="K380" s="24">
        <f>IF($A380="","",IF($C380&lt;&gt;"manual_titration_mL","",IF(COUNTIFS('1_原始數據'!$A$2:$A$1000,$A380,'1_原始數據'!$C$2:$C$1000,"khp_titration_mL")=0,"",AVERAGEIFS('1_原始數據'!$J$2:$J$1000,'1_原始數據'!$A$2:$A$1000,$A380,'1_原始數據'!$C$2:$C$1000,"khp_titration_mL"))))</f>
        <v/>
      </c>
      <c r="L380" s="25">
        <f>IF($A380="","",IF($C380&lt;&gt;"manual_titration_mL","",IFERROR(INDEX('3_可滴定酸度'!$E$6:$E$13,MATCH($I380,'3_可滴定酸度'!$B$6:$B$13,0)),"")))</f>
        <v/>
      </c>
      <c r="M380" s="25">
        <f>IF($A380="","",IF($C380&lt;&gt;"manual_titration_mL","",IFERROR(INDEX('3_可滴定酸度'!$F$6:$F$13,MATCH($I380,'3_可滴定酸度'!$B$6:$B$13,0)),"")))</f>
        <v/>
      </c>
      <c r="N380" s="24">
        <f>IF($A380="","",IF(OR(K380="",L380="",M380=""),"",K380*E380*L380/(M380*1000)*100))</f>
        <v/>
      </c>
      <c r="O380" s="24">
        <f>IF($A380="","",IF(N380="","",IF(COUNTIFS('1_原始數據'!$A$2:$A$1000,$A380,'1_原始數據'!$B$2:$B$1000,$B380,'1_原始數據'!$D$2:$D$1000,$D380,'1_原始數據'!$I$2:$I$1000,$I380,'1_原始數據'!$C$2:$C$1000,"pasco_pct_acid")=0,"",SUMIFS('1_原始數據'!$E$2:$E$1000,'1_原始數據'!$A$2:$A$1000,$A380,'1_原始數據'!$B$2:$B$1000,$B380,'1_原始數據'!$D$2:$D$1000,$D380,'1_原始數據'!$I$2:$I$1000,$I380,'1_原始數據'!$C$2:$C$1000,"pasco_pct_acid"))))</f>
        <v/>
      </c>
      <c r="P380" s="26">
        <f>IF($A380="","",IF(OR(N380="",O380=""),"",O380-N380))</f>
        <v/>
      </c>
      <c r="Q380" s="24">
        <f>IF($A380="","",IF(P380="","",(O380+N380)/2))</f>
        <v/>
      </c>
      <c r="R380" s="27">
        <f>IF($A380="","",IF(P380="","",COUNT($P$2:P380)))</f>
        <v/>
      </c>
    </row>
    <row r="381">
      <c r="J381" s="24">
        <f>IF($A381="","",IF($C381&lt;&gt;"khp_titration_mL","",IF(COUNTIFS('1_原始數據'!$A$2:$A$1000,$A381,'1_原始數據'!$B$2:$B$1000,$B381,'1_原始數據'!$D$2:$D$1000,$D381,'1_原始數據'!$C$2:$C$1000,"khp_mass_g")=0,"",SUMIFS('1_原始數據'!$E$2:$E$1000,'1_原始數據'!$A$2:$A$1000,$A381,'1_原始數據'!$B$2:$B$1000,$B381,'1_原始數據'!$D$2:$D$1000,$D381,'1_原始數據'!$C$2:$C$1000,"khp_mass_g")/('2_NaOH標定'!$C$5*$E381/1000))))</f>
        <v/>
      </c>
      <c r="K381" s="24">
        <f>IF($A381="","",IF($C381&lt;&gt;"manual_titration_mL","",IF(COUNTIFS('1_原始數據'!$A$2:$A$1000,$A381,'1_原始數據'!$C$2:$C$1000,"khp_titration_mL")=0,"",AVERAGEIFS('1_原始數據'!$J$2:$J$1000,'1_原始數據'!$A$2:$A$1000,$A381,'1_原始數據'!$C$2:$C$1000,"khp_titration_mL"))))</f>
        <v/>
      </c>
      <c r="L381" s="25">
        <f>IF($A381="","",IF($C381&lt;&gt;"manual_titration_mL","",IFERROR(INDEX('3_可滴定酸度'!$E$6:$E$13,MATCH($I381,'3_可滴定酸度'!$B$6:$B$13,0)),"")))</f>
        <v/>
      </c>
      <c r="M381" s="25">
        <f>IF($A381="","",IF($C381&lt;&gt;"manual_titration_mL","",IFERROR(INDEX('3_可滴定酸度'!$F$6:$F$13,MATCH($I381,'3_可滴定酸度'!$B$6:$B$13,0)),"")))</f>
        <v/>
      </c>
      <c r="N381" s="24">
        <f>IF($A381="","",IF(OR(K381="",L381="",M381=""),"",K381*E381*L381/(M381*1000)*100))</f>
        <v/>
      </c>
      <c r="O381" s="24">
        <f>IF($A381="","",IF(N381="","",IF(COUNTIFS('1_原始數據'!$A$2:$A$1000,$A381,'1_原始數據'!$B$2:$B$1000,$B381,'1_原始數據'!$D$2:$D$1000,$D381,'1_原始數據'!$I$2:$I$1000,$I381,'1_原始數據'!$C$2:$C$1000,"pasco_pct_acid")=0,"",SUMIFS('1_原始數據'!$E$2:$E$1000,'1_原始數據'!$A$2:$A$1000,$A381,'1_原始數據'!$B$2:$B$1000,$B381,'1_原始數據'!$D$2:$D$1000,$D381,'1_原始數據'!$I$2:$I$1000,$I381,'1_原始數據'!$C$2:$C$1000,"pasco_pct_acid"))))</f>
        <v/>
      </c>
      <c r="P381" s="26">
        <f>IF($A381="","",IF(OR(N381="",O381=""),"",O381-N381))</f>
        <v/>
      </c>
      <c r="Q381" s="24">
        <f>IF($A381="","",IF(P381="","",(O381+N381)/2))</f>
        <v/>
      </c>
      <c r="R381" s="27">
        <f>IF($A381="","",IF(P381="","",COUNT($P$2:P381)))</f>
        <v/>
      </c>
    </row>
    <row r="382">
      <c r="J382" s="24">
        <f>IF($A382="","",IF($C382&lt;&gt;"khp_titration_mL","",IF(COUNTIFS('1_原始數據'!$A$2:$A$1000,$A382,'1_原始數據'!$B$2:$B$1000,$B382,'1_原始數據'!$D$2:$D$1000,$D382,'1_原始數據'!$C$2:$C$1000,"khp_mass_g")=0,"",SUMIFS('1_原始數據'!$E$2:$E$1000,'1_原始數據'!$A$2:$A$1000,$A382,'1_原始數據'!$B$2:$B$1000,$B382,'1_原始數據'!$D$2:$D$1000,$D382,'1_原始數據'!$C$2:$C$1000,"khp_mass_g")/('2_NaOH標定'!$C$5*$E382/1000))))</f>
        <v/>
      </c>
      <c r="K382" s="24">
        <f>IF($A382="","",IF($C382&lt;&gt;"manual_titration_mL","",IF(COUNTIFS('1_原始數據'!$A$2:$A$1000,$A382,'1_原始數據'!$C$2:$C$1000,"khp_titration_mL")=0,"",AVERAGEIFS('1_原始數據'!$J$2:$J$1000,'1_原始數據'!$A$2:$A$1000,$A382,'1_原始數據'!$C$2:$C$1000,"khp_titration_mL"))))</f>
        <v/>
      </c>
      <c r="L382" s="25">
        <f>IF($A382="","",IF($C382&lt;&gt;"manual_titration_mL","",IFERROR(INDEX('3_可滴定酸度'!$E$6:$E$13,MATCH($I382,'3_可滴定酸度'!$B$6:$B$13,0)),"")))</f>
        <v/>
      </c>
      <c r="M382" s="25">
        <f>IF($A382="","",IF($C382&lt;&gt;"manual_titration_mL","",IFERROR(INDEX('3_可滴定酸度'!$F$6:$F$13,MATCH($I382,'3_可滴定酸度'!$B$6:$B$13,0)),"")))</f>
        <v/>
      </c>
      <c r="N382" s="24">
        <f>IF($A382="","",IF(OR(K382="",L382="",M382=""),"",K382*E382*L382/(M382*1000)*100))</f>
        <v/>
      </c>
      <c r="O382" s="24">
        <f>IF($A382="","",IF(N382="","",IF(COUNTIFS('1_原始數據'!$A$2:$A$1000,$A382,'1_原始數據'!$B$2:$B$1000,$B382,'1_原始數據'!$D$2:$D$1000,$D382,'1_原始數據'!$I$2:$I$1000,$I382,'1_原始數據'!$C$2:$C$1000,"pasco_pct_acid")=0,"",SUMIFS('1_原始數據'!$E$2:$E$1000,'1_原始數據'!$A$2:$A$1000,$A382,'1_原始數據'!$B$2:$B$1000,$B382,'1_原始數據'!$D$2:$D$1000,$D382,'1_原始數據'!$I$2:$I$1000,$I382,'1_原始數據'!$C$2:$C$1000,"pasco_pct_acid"))))</f>
        <v/>
      </c>
      <c r="P382" s="26">
        <f>IF($A382="","",IF(OR(N382="",O382=""),"",O382-N382))</f>
        <v/>
      </c>
      <c r="Q382" s="24">
        <f>IF($A382="","",IF(P382="","",(O382+N382)/2))</f>
        <v/>
      </c>
      <c r="R382" s="27">
        <f>IF($A382="","",IF(P382="","",COUNT($P$2:P382)))</f>
        <v/>
      </c>
    </row>
    <row r="383">
      <c r="J383" s="24">
        <f>IF($A383="","",IF($C383&lt;&gt;"khp_titration_mL","",IF(COUNTIFS('1_原始數據'!$A$2:$A$1000,$A383,'1_原始數據'!$B$2:$B$1000,$B383,'1_原始數據'!$D$2:$D$1000,$D383,'1_原始數據'!$C$2:$C$1000,"khp_mass_g")=0,"",SUMIFS('1_原始數據'!$E$2:$E$1000,'1_原始數據'!$A$2:$A$1000,$A383,'1_原始數據'!$B$2:$B$1000,$B383,'1_原始數據'!$D$2:$D$1000,$D383,'1_原始數據'!$C$2:$C$1000,"khp_mass_g")/('2_NaOH標定'!$C$5*$E383/1000))))</f>
        <v/>
      </c>
      <c r="K383" s="24">
        <f>IF($A383="","",IF($C383&lt;&gt;"manual_titration_mL","",IF(COUNTIFS('1_原始數據'!$A$2:$A$1000,$A383,'1_原始數據'!$C$2:$C$1000,"khp_titration_mL")=0,"",AVERAGEIFS('1_原始數據'!$J$2:$J$1000,'1_原始數據'!$A$2:$A$1000,$A383,'1_原始數據'!$C$2:$C$1000,"khp_titration_mL"))))</f>
        <v/>
      </c>
      <c r="L383" s="25">
        <f>IF($A383="","",IF($C383&lt;&gt;"manual_titration_mL","",IFERROR(INDEX('3_可滴定酸度'!$E$6:$E$13,MATCH($I383,'3_可滴定酸度'!$B$6:$B$13,0)),"")))</f>
        <v/>
      </c>
      <c r="M383" s="25">
        <f>IF($A383="","",IF($C383&lt;&gt;"manual_titration_mL","",IFERROR(INDEX('3_可滴定酸度'!$F$6:$F$13,MATCH($I383,'3_可滴定酸度'!$B$6:$B$13,0)),"")))</f>
        <v/>
      </c>
      <c r="N383" s="24">
        <f>IF($A383="","",IF(OR(K383="",L383="",M383=""),"",K383*E383*L383/(M383*1000)*100))</f>
        <v/>
      </c>
      <c r="O383" s="24">
        <f>IF($A383="","",IF(N383="","",IF(COUNTIFS('1_原始數據'!$A$2:$A$1000,$A383,'1_原始數據'!$B$2:$B$1000,$B383,'1_原始數據'!$D$2:$D$1000,$D383,'1_原始數據'!$I$2:$I$1000,$I383,'1_原始數據'!$C$2:$C$1000,"pasco_pct_acid")=0,"",SUMIFS('1_原始數據'!$E$2:$E$1000,'1_原始數據'!$A$2:$A$1000,$A383,'1_原始數據'!$B$2:$B$1000,$B383,'1_原始數據'!$D$2:$D$1000,$D383,'1_原始數據'!$I$2:$I$1000,$I383,'1_原始數據'!$C$2:$C$1000,"pasco_pct_acid"))))</f>
        <v/>
      </c>
      <c r="P383" s="26">
        <f>IF($A383="","",IF(OR(N383="",O383=""),"",O383-N383))</f>
        <v/>
      </c>
      <c r="Q383" s="24">
        <f>IF($A383="","",IF(P383="","",(O383+N383)/2))</f>
        <v/>
      </c>
      <c r="R383" s="27">
        <f>IF($A383="","",IF(P383="","",COUNT($P$2:P383)))</f>
        <v/>
      </c>
    </row>
    <row r="384">
      <c r="J384" s="24">
        <f>IF($A384="","",IF($C384&lt;&gt;"khp_titration_mL","",IF(COUNTIFS('1_原始數據'!$A$2:$A$1000,$A384,'1_原始數據'!$B$2:$B$1000,$B384,'1_原始數據'!$D$2:$D$1000,$D384,'1_原始數據'!$C$2:$C$1000,"khp_mass_g")=0,"",SUMIFS('1_原始數據'!$E$2:$E$1000,'1_原始數據'!$A$2:$A$1000,$A384,'1_原始數據'!$B$2:$B$1000,$B384,'1_原始數據'!$D$2:$D$1000,$D384,'1_原始數據'!$C$2:$C$1000,"khp_mass_g")/('2_NaOH標定'!$C$5*$E384/1000))))</f>
        <v/>
      </c>
      <c r="K384" s="24">
        <f>IF($A384="","",IF($C384&lt;&gt;"manual_titration_mL","",IF(COUNTIFS('1_原始數據'!$A$2:$A$1000,$A384,'1_原始數據'!$C$2:$C$1000,"khp_titration_mL")=0,"",AVERAGEIFS('1_原始數據'!$J$2:$J$1000,'1_原始數據'!$A$2:$A$1000,$A384,'1_原始數據'!$C$2:$C$1000,"khp_titration_mL"))))</f>
        <v/>
      </c>
      <c r="L384" s="25">
        <f>IF($A384="","",IF($C384&lt;&gt;"manual_titration_mL","",IFERROR(INDEX('3_可滴定酸度'!$E$6:$E$13,MATCH($I384,'3_可滴定酸度'!$B$6:$B$13,0)),"")))</f>
        <v/>
      </c>
      <c r="M384" s="25">
        <f>IF($A384="","",IF($C384&lt;&gt;"manual_titration_mL","",IFERROR(INDEX('3_可滴定酸度'!$F$6:$F$13,MATCH($I384,'3_可滴定酸度'!$B$6:$B$13,0)),"")))</f>
        <v/>
      </c>
      <c r="N384" s="24">
        <f>IF($A384="","",IF(OR(K384="",L384="",M384=""),"",K384*E384*L384/(M384*1000)*100))</f>
        <v/>
      </c>
      <c r="O384" s="24">
        <f>IF($A384="","",IF(N384="","",IF(COUNTIFS('1_原始數據'!$A$2:$A$1000,$A384,'1_原始數據'!$B$2:$B$1000,$B384,'1_原始數據'!$D$2:$D$1000,$D384,'1_原始數據'!$I$2:$I$1000,$I384,'1_原始數據'!$C$2:$C$1000,"pasco_pct_acid")=0,"",SUMIFS('1_原始數據'!$E$2:$E$1000,'1_原始數據'!$A$2:$A$1000,$A384,'1_原始數據'!$B$2:$B$1000,$B384,'1_原始數據'!$D$2:$D$1000,$D384,'1_原始數據'!$I$2:$I$1000,$I384,'1_原始數據'!$C$2:$C$1000,"pasco_pct_acid"))))</f>
        <v/>
      </c>
      <c r="P384" s="26">
        <f>IF($A384="","",IF(OR(N384="",O384=""),"",O384-N384))</f>
        <v/>
      </c>
      <c r="Q384" s="24">
        <f>IF($A384="","",IF(P384="","",(O384+N384)/2))</f>
        <v/>
      </c>
      <c r="R384" s="27">
        <f>IF($A384="","",IF(P384="","",COUNT($P$2:P384)))</f>
        <v/>
      </c>
    </row>
    <row r="385">
      <c r="J385" s="24">
        <f>IF($A385="","",IF($C385&lt;&gt;"khp_titration_mL","",IF(COUNTIFS('1_原始數據'!$A$2:$A$1000,$A385,'1_原始數據'!$B$2:$B$1000,$B385,'1_原始數據'!$D$2:$D$1000,$D385,'1_原始數據'!$C$2:$C$1000,"khp_mass_g")=0,"",SUMIFS('1_原始數據'!$E$2:$E$1000,'1_原始數據'!$A$2:$A$1000,$A385,'1_原始數據'!$B$2:$B$1000,$B385,'1_原始數據'!$D$2:$D$1000,$D385,'1_原始數據'!$C$2:$C$1000,"khp_mass_g")/('2_NaOH標定'!$C$5*$E385/1000))))</f>
        <v/>
      </c>
      <c r="K385" s="24">
        <f>IF($A385="","",IF($C385&lt;&gt;"manual_titration_mL","",IF(COUNTIFS('1_原始數據'!$A$2:$A$1000,$A385,'1_原始數據'!$C$2:$C$1000,"khp_titration_mL")=0,"",AVERAGEIFS('1_原始數據'!$J$2:$J$1000,'1_原始數據'!$A$2:$A$1000,$A385,'1_原始數據'!$C$2:$C$1000,"khp_titration_mL"))))</f>
        <v/>
      </c>
      <c r="L385" s="25">
        <f>IF($A385="","",IF($C385&lt;&gt;"manual_titration_mL","",IFERROR(INDEX('3_可滴定酸度'!$E$6:$E$13,MATCH($I385,'3_可滴定酸度'!$B$6:$B$13,0)),"")))</f>
        <v/>
      </c>
      <c r="M385" s="25">
        <f>IF($A385="","",IF($C385&lt;&gt;"manual_titration_mL","",IFERROR(INDEX('3_可滴定酸度'!$F$6:$F$13,MATCH($I385,'3_可滴定酸度'!$B$6:$B$13,0)),"")))</f>
        <v/>
      </c>
      <c r="N385" s="24">
        <f>IF($A385="","",IF(OR(K385="",L385="",M385=""),"",K385*E385*L385/(M385*1000)*100))</f>
        <v/>
      </c>
      <c r="O385" s="24">
        <f>IF($A385="","",IF(N385="","",IF(COUNTIFS('1_原始數據'!$A$2:$A$1000,$A385,'1_原始數據'!$B$2:$B$1000,$B385,'1_原始數據'!$D$2:$D$1000,$D385,'1_原始數據'!$I$2:$I$1000,$I385,'1_原始數據'!$C$2:$C$1000,"pasco_pct_acid")=0,"",SUMIFS('1_原始數據'!$E$2:$E$1000,'1_原始數據'!$A$2:$A$1000,$A385,'1_原始數據'!$B$2:$B$1000,$B385,'1_原始數據'!$D$2:$D$1000,$D385,'1_原始數據'!$I$2:$I$1000,$I385,'1_原始數據'!$C$2:$C$1000,"pasco_pct_acid"))))</f>
        <v/>
      </c>
      <c r="P385" s="26">
        <f>IF($A385="","",IF(OR(N385="",O385=""),"",O385-N385))</f>
        <v/>
      </c>
      <c r="Q385" s="24">
        <f>IF($A385="","",IF(P385="","",(O385+N385)/2))</f>
        <v/>
      </c>
      <c r="R385" s="27">
        <f>IF($A385="","",IF(P385="","",COUNT($P$2:P385)))</f>
        <v/>
      </c>
    </row>
    <row r="386">
      <c r="J386" s="24">
        <f>IF($A386="","",IF($C386&lt;&gt;"khp_titration_mL","",IF(COUNTIFS('1_原始數據'!$A$2:$A$1000,$A386,'1_原始數據'!$B$2:$B$1000,$B386,'1_原始數據'!$D$2:$D$1000,$D386,'1_原始數據'!$C$2:$C$1000,"khp_mass_g")=0,"",SUMIFS('1_原始數據'!$E$2:$E$1000,'1_原始數據'!$A$2:$A$1000,$A386,'1_原始數據'!$B$2:$B$1000,$B386,'1_原始數據'!$D$2:$D$1000,$D386,'1_原始數據'!$C$2:$C$1000,"khp_mass_g")/('2_NaOH標定'!$C$5*$E386/1000))))</f>
        <v/>
      </c>
      <c r="K386" s="24">
        <f>IF($A386="","",IF($C386&lt;&gt;"manual_titration_mL","",IF(COUNTIFS('1_原始數據'!$A$2:$A$1000,$A386,'1_原始數據'!$C$2:$C$1000,"khp_titration_mL")=0,"",AVERAGEIFS('1_原始數據'!$J$2:$J$1000,'1_原始數據'!$A$2:$A$1000,$A386,'1_原始數據'!$C$2:$C$1000,"khp_titration_mL"))))</f>
        <v/>
      </c>
      <c r="L386" s="25">
        <f>IF($A386="","",IF($C386&lt;&gt;"manual_titration_mL","",IFERROR(INDEX('3_可滴定酸度'!$E$6:$E$13,MATCH($I386,'3_可滴定酸度'!$B$6:$B$13,0)),"")))</f>
        <v/>
      </c>
      <c r="M386" s="25">
        <f>IF($A386="","",IF($C386&lt;&gt;"manual_titration_mL","",IFERROR(INDEX('3_可滴定酸度'!$F$6:$F$13,MATCH($I386,'3_可滴定酸度'!$B$6:$B$13,0)),"")))</f>
        <v/>
      </c>
      <c r="N386" s="24">
        <f>IF($A386="","",IF(OR(K386="",L386="",M386=""),"",K386*E386*L386/(M386*1000)*100))</f>
        <v/>
      </c>
      <c r="O386" s="24">
        <f>IF($A386="","",IF(N386="","",IF(COUNTIFS('1_原始數據'!$A$2:$A$1000,$A386,'1_原始數據'!$B$2:$B$1000,$B386,'1_原始數據'!$D$2:$D$1000,$D386,'1_原始數據'!$I$2:$I$1000,$I386,'1_原始數據'!$C$2:$C$1000,"pasco_pct_acid")=0,"",SUMIFS('1_原始數據'!$E$2:$E$1000,'1_原始數據'!$A$2:$A$1000,$A386,'1_原始數據'!$B$2:$B$1000,$B386,'1_原始數據'!$D$2:$D$1000,$D386,'1_原始數據'!$I$2:$I$1000,$I386,'1_原始數據'!$C$2:$C$1000,"pasco_pct_acid"))))</f>
        <v/>
      </c>
      <c r="P386" s="26">
        <f>IF($A386="","",IF(OR(N386="",O386=""),"",O386-N386))</f>
        <v/>
      </c>
      <c r="Q386" s="24">
        <f>IF($A386="","",IF(P386="","",(O386+N386)/2))</f>
        <v/>
      </c>
      <c r="R386" s="27">
        <f>IF($A386="","",IF(P386="","",COUNT($P$2:P386)))</f>
        <v/>
      </c>
    </row>
    <row r="387">
      <c r="J387" s="24">
        <f>IF($A387="","",IF($C387&lt;&gt;"khp_titration_mL","",IF(COUNTIFS('1_原始數據'!$A$2:$A$1000,$A387,'1_原始數據'!$B$2:$B$1000,$B387,'1_原始數據'!$D$2:$D$1000,$D387,'1_原始數據'!$C$2:$C$1000,"khp_mass_g")=0,"",SUMIFS('1_原始數據'!$E$2:$E$1000,'1_原始數據'!$A$2:$A$1000,$A387,'1_原始數據'!$B$2:$B$1000,$B387,'1_原始數據'!$D$2:$D$1000,$D387,'1_原始數據'!$C$2:$C$1000,"khp_mass_g")/('2_NaOH標定'!$C$5*$E387/1000))))</f>
        <v/>
      </c>
      <c r="K387" s="24">
        <f>IF($A387="","",IF($C387&lt;&gt;"manual_titration_mL","",IF(COUNTIFS('1_原始數據'!$A$2:$A$1000,$A387,'1_原始數據'!$C$2:$C$1000,"khp_titration_mL")=0,"",AVERAGEIFS('1_原始數據'!$J$2:$J$1000,'1_原始數據'!$A$2:$A$1000,$A387,'1_原始數據'!$C$2:$C$1000,"khp_titration_mL"))))</f>
        <v/>
      </c>
      <c r="L387" s="25">
        <f>IF($A387="","",IF($C387&lt;&gt;"manual_titration_mL","",IFERROR(INDEX('3_可滴定酸度'!$E$6:$E$13,MATCH($I387,'3_可滴定酸度'!$B$6:$B$13,0)),"")))</f>
        <v/>
      </c>
      <c r="M387" s="25">
        <f>IF($A387="","",IF($C387&lt;&gt;"manual_titration_mL","",IFERROR(INDEX('3_可滴定酸度'!$F$6:$F$13,MATCH($I387,'3_可滴定酸度'!$B$6:$B$13,0)),"")))</f>
        <v/>
      </c>
      <c r="N387" s="24">
        <f>IF($A387="","",IF(OR(K387="",L387="",M387=""),"",K387*E387*L387/(M387*1000)*100))</f>
        <v/>
      </c>
      <c r="O387" s="24">
        <f>IF($A387="","",IF(N387="","",IF(COUNTIFS('1_原始數據'!$A$2:$A$1000,$A387,'1_原始數據'!$B$2:$B$1000,$B387,'1_原始數據'!$D$2:$D$1000,$D387,'1_原始數據'!$I$2:$I$1000,$I387,'1_原始數據'!$C$2:$C$1000,"pasco_pct_acid")=0,"",SUMIFS('1_原始數據'!$E$2:$E$1000,'1_原始數據'!$A$2:$A$1000,$A387,'1_原始數據'!$B$2:$B$1000,$B387,'1_原始數據'!$D$2:$D$1000,$D387,'1_原始數據'!$I$2:$I$1000,$I387,'1_原始數據'!$C$2:$C$1000,"pasco_pct_acid"))))</f>
        <v/>
      </c>
      <c r="P387" s="26">
        <f>IF($A387="","",IF(OR(N387="",O387=""),"",O387-N387))</f>
        <v/>
      </c>
      <c r="Q387" s="24">
        <f>IF($A387="","",IF(P387="","",(O387+N387)/2))</f>
        <v/>
      </c>
      <c r="R387" s="27">
        <f>IF($A387="","",IF(P387="","",COUNT($P$2:P387)))</f>
        <v/>
      </c>
    </row>
    <row r="388">
      <c r="J388" s="24">
        <f>IF($A388="","",IF($C388&lt;&gt;"khp_titration_mL","",IF(COUNTIFS('1_原始數據'!$A$2:$A$1000,$A388,'1_原始數據'!$B$2:$B$1000,$B388,'1_原始數據'!$D$2:$D$1000,$D388,'1_原始數據'!$C$2:$C$1000,"khp_mass_g")=0,"",SUMIFS('1_原始數據'!$E$2:$E$1000,'1_原始數據'!$A$2:$A$1000,$A388,'1_原始數據'!$B$2:$B$1000,$B388,'1_原始數據'!$D$2:$D$1000,$D388,'1_原始數據'!$C$2:$C$1000,"khp_mass_g")/('2_NaOH標定'!$C$5*$E388/1000))))</f>
        <v/>
      </c>
      <c r="K388" s="24">
        <f>IF($A388="","",IF($C388&lt;&gt;"manual_titration_mL","",IF(COUNTIFS('1_原始數據'!$A$2:$A$1000,$A388,'1_原始數據'!$C$2:$C$1000,"khp_titration_mL")=0,"",AVERAGEIFS('1_原始數據'!$J$2:$J$1000,'1_原始數據'!$A$2:$A$1000,$A388,'1_原始數據'!$C$2:$C$1000,"khp_titration_mL"))))</f>
        <v/>
      </c>
      <c r="L388" s="25">
        <f>IF($A388="","",IF($C388&lt;&gt;"manual_titration_mL","",IFERROR(INDEX('3_可滴定酸度'!$E$6:$E$13,MATCH($I388,'3_可滴定酸度'!$B$6:$B$13,0)),"")))</f>
        <v/>
      </c>
      <c r="M388" s="25">
        <f>IF($A388="","",IF($C388&lt;&gt;"manual_titration_mL","",IFERROR(INDEX('3_可滴定酸度'!$F$6:$F$13,MATCH($I388,'3_可滴定酸度'!$B$6:$B$13,0)),"")))</f>
        <v/>
      </c>
      <c r="N388" s="24">
        <f>IF($A388="","",IF(OR(K388="",L388="",M388=""),"",K388*E388*L388/(M388*1000)*100))</f>
        <v/>
      </c>
      <c r="O388" s="24">
        <f>IF($A388="","",IF(N388="","",IF(COUNTIFS('1_原始數據'!$A$2:$A$1000,$A388,'1_原始數據'!$B$2:$B$1000,$B388,'1_原始數據'!$D$2:$D$1000,$D388,'1_原始數據'!$I$2:$I$1000,$I388,'1_原始數據'!$C$2:$C$1000,"pasco_pct_acid")=0,"",SUMIFS('1_原始數據'!$E$2:$E$1000,'1_原始數據'!$A$2:$A$1000,$A388,'1_原始數據'!$B$2:$B$1000,$B388,'1_原始數據'!$D$2:$D$1000,$D388,'1_原始數據'!$I$2:$I$1000,$I388,'1_原始數據'!$C$2:$C$1000,"pasco_pct_acid"))))</f>
        <v/>
      </c>
      <c r="P388" s="26">
        <f>IF($A388="","",IF(OR(N388="",O388=""),"",O388-N388))</f>
        <v/>
      </c>
      <c r="Q388" s="24">
        <f>IF($A388="","",IF(P388="","",(O388+N388)/2))</f>
        <v/>
      </c>
      <c r="R388" s="27">
        <f>IF($A388="","",IF(P388="","",COUNT($P$2:P388)))</f>
        <v/>
      </c>
    </row>
    <row r="389">
      <c r="J389" s="24">
        <f>IF($A389="","",IF($C389&lt;&gt;"khp_titration_mL","",IF(COUNTIFS('1_原始數據'!$A$2:$A$1000,$A389,'1_原始數據'!$B$2:$B$1000,$B389,'1_原始數據'!$D$2:$D$1000,$D389,'1_原始數據'!$C$2:$C$1000,"khp_mass_g")=0,"",SUMIFS('1_原始數據'!$E$2:$E$1000,'1_原始數據'!$A$2:$A$1000,$A389,'1_原始數據'!$B$2:$B$1000,$B389,'1_原始數據'!$D$2:$D$1000,$D389,'1_原始數據'!$C$2:$C$1000,"khp_mass_g")/('2_NaOH標定'!$C$5*$E389/1000))))</f>
        <v/>
      </c>
      <c r="K389" s="24">
        <f>IF($A389="","",IF($C389&lt;&gt;"manual_titration_mL","",IF(COUNTIFS('1_原始數據'!$A$2:$A$1000,$A389,'1_原始數據'!$C$2:$C$1000,"khp_titration_mL")=0,"",AVERAGEIFS('1_原始數據'!$J$2:$J$1000,'1_原始數據'!$A$2:$A$1000,$A389,'1_原始數據'!$C$2:$C$1000,"khp_titration_mL"))))</f>
        <v/>
      </c>
      <c r="L389" s="25">
        <f>IF($A389="","",IF($C389&lt;&gt;"manual_titration_mL","",IFERROR(INDEX('3_可滴定酸度'!$E$6:$E$13,MATCH($I389,'3_可滴定酸度'!$B$6:$B$13,0)),"")))</f>
        <v/>
      </c>
      <c r="M389" s="25">
        <f>IF($A389="","",IF($C389&lt;&gt;"manual_titration_mL","",IFERROR(INDEX('3_可滴定酸度'!$F$6:$F$13,MATCH($I389,'3_可滴定酸度'!$B$6:$B$13,0)),"")))</f>
        <v/>
      </c>
      <c r="N389" s="24">
        <f>IF($A389="","",IF(OR(K389="",L389="",M389=""),"",K389*E389*L389/(M389*1000)*100))</f>
        <v/>
      </c>
      <c r="O389" s="24">
        <f>IF($A389="","",IF(N389="","",IF(COUNTIFS('1_原始數據'!$A$2:$A$1000,$A389,'1_原始數據'!$B$2:$B$1000,$B389,'1_原始數據'!$D$2:$D$1000,$D389,'1_原始數據'!$I$2:$I$1000,$I389,'1_原始數據'!$C$2:$C$1000,"pasco_pct_acid")=0,"",SUMIFS('1_原始數據'!$E$2:$E$1000,'1_原始數據'!$A$2:$A$1000,$A389,'1_原始數據'!$B$2:$B$1000,$B389,'1_原始數據'!$D$2:$D$1000,$D389,'1_原始數據'!$I$2:$I$1000,$I389,'1_原始數據'!$C$2:$C$1000,"pasco_pct_acid"))))</f>
        <v/>
      </c>
      <c r="P389" s="26">
        <f>IF($A389="","",IF(OR(N389="",O389=""),"",O389-N389))</f>
        <v/>
      </c>
      <c r="Q389" s="24">
        <f>IF($A389="","",IF(P389="","",(O389+N389)/2))</f>
        <v/>
      </c>
      <c r="R389" s="27">
        <f>IF($A389="","",IF(P389="","",COUNT($P$2:P389)))</f>
        <v/>
      </c>
    </row>
    <row r="390">
      <c r="J390" s="24">
        <f>IF($A390="","",IF($C390&lt;&gt;"khp_titration_mL","",IF(COUNTIFS('1_原始數據'!$A$2:$A$1000,$A390,'1_原始數據'!$B$2:$B$1000,$B390,'1_原始數據'!$D$2:$D$1000,$D390,'1_原始數據'!$C$2:$C$1000,"khp_mass_g")=0,"",SUMIFS('1_原始數據'!$E$2:$E$1000,'1_原始數據'!$A$2:$A$1000,$A390,'1_原始數據'!$B$2:$B$1000,$B390,'1_原始數據'!$D$2:$D$1000,$D390,'1_原始數據'!$C$2:$C$1000,"khp_mass_g")/('2_NaOH標定'!$C$5*$E390/1000))))</f>
        <v/>
      </c>
      <c r="K390" s="24">
        <f>IF($A390="","",IF($C390&lt;&gt;"manual_titration_mL","",IF(COUNTIFS('1_原始數據'!$A$2:$A$1000,$A390,'1_原始數據'!$C$2:$C$1000,"khp_titration_mL")=0,"",AVERAGEIFS('1_原始數據'!$J$2:$J$1000,'1_原始數據'!$A$2:$A$1000,$A390,'1_原始數據'!$C$2:$C$1000,"khp_titration_mL"))))</f>
        <v/>
      </c>
      <c r="L390" s="25">
        <f>IF($A390="","",IF($C390&lt;&gt;"manual_titration_mL","",IFERROR(INDEX('3_可滴定酸度'!$E$6:$E$13,MATCH($I390,'3_可滴定酸度'!$B$6:$B$13,0)),"")))</f>
        <v/>
      </c>
      <c r="M390" s="25">
        <f>IF($A390="","",IF($C390&lt;&gt;"manual_titration_mL","",IFERROR(INDEX('3_可滴定酸度'!$F$6:$F$13,MATCH($I390,'3_可滴定酸度'!$B$6:$B$13,0)),"")))</f>
        <v/>
      </c>
      <c r="N390" s="24">
        <f>IF($A390="","",IF(OR(K390="",L390="",M390=""),"",K390*E390*L390/(M390*1000)*100))</f>
        <v/>
      </c>
      <c r="O390" s="24">
        <f>IF($A390="","",IF(N390="","",IF(COUNTIFS('1_原始數據'!$A$2:$A$1000,$A390,'1_原始數據'!$B$2:$B$1000,$B390,'1_原始數據'!$D$2:$D$1000,$D390,'1_原始數據'!$I$2:$I$1000,$I390,'1_原始數據'!$C$2:$C$1000,"pasco_pct_acid")=0,"",SUMIFS('1_原始數據'!$E$2:$E$1000,'1_原始數據'!$A$2:$A$1000,$A390,'1_原始數據'!$B$2:$B$1000,$B390,'1_原始數據'!$D$2:$D$1000,$D390,'1_原始數據'!$I$2:$I$1000,$I390,'1_原始數據'!$C$2:$C$1000,"pasco_pct_acid"))))</f>
        <v/>
      </c>
      <c r="P390" s="26">
        <f>IF($A390="","",IF(OR(N390="",O390=""),"",O390-N390))</f>
        <v/>
      </c>
      <c r="Q390" s="24">
        <f>IF($A390="","",IF(P390="","",(O390+N390)/2))</f>
        <v/>
      </c>
      <c r="R390" s="27">
        <f>IF($A390="","",IF(P390="","",COUNT($P$2:P390)))</f>
        <v/>
      </c>
    </row>
    <row r="391">
      <c r="J391" s="24">
        <f>IF($A391="","",IF($C391&lt;&gt;"khp_titration_mL","",IF(COUNTIFS('1_原始數據'!$A$2:$A$1000,$A391,'1_原始數據'!$B$2:$B$1000,$B391,'1_原始數據'!$D$2:$D$1000,$D391,'1_原始數據'!$C$2:$C$1000,"khp_mass_g")=0,"",SUMIFS('1_原始數據'!$E$2:$E$1000,'1_原始數據'!$A$2:$A$1000,$A391,'1_原始數據'!$B$2:$B$1000,$B391,'1_原始數據'!$D$2:$D$1000,$D391,'1_原始數據'!$C$2:$C$1000,"khp_mass_g")/('2_NaOH標定'!$C$5*$E391/1000))))</f>
        <v/>
      </c>
      <c r="K391" s="24">
        <f>IF($A391="","",IF($C391&lt;&gt;"manual_titration_mL","",IF(COUNTIFS('1_原始數據'!$A$2:$A$1000,$A391,'1_原始數據'!$C$2:$C$1000,"khp_titration_mL")=0,"",AVERAGEIFS('1_原始數據'!$J$2:$J$1000,'1_原始數據'!$A$2:$A$1000,$A391,'1_原始數據'!$C$2:$C$1000,"khp_titration_mL"))))</f>
        <v/>
      </c>
      <c r="L391" s="25">
        <f>IF($A391="","",IF($C391&lt;&gt;"manual_titration_mL","",IFERROR(INDEX('3_可滴定酸度'!$E$6:$E$13,MATCH($I391,'3_可滴定酸度'!$B$6:$B$13,0)),"")))</f>
        <v/>
      </c>
      <c r="M391" s="25">
        <f>IF($A391="","",IF($C391&lt;&gt;"manual_titration_mL","",IFERROR(INDEX('3_可滴定酸度'!$F$6:$F$13,MATCH($I391,'3_可滴定酸度'!$B$6:$B$13,0)),"")))</f>
        <v/>
      </c>
      <c r="N391" s="24">
        <f>IF($A391="","",IF(OR(K391="",L391="",M391=""),"",K391*E391*L391/(M391*1000)*100))</f>
        <v/>
      </c>
      <c r="O391" s="24">
        <f>IF($A391="","",IF(N391="","",IF(COUNTIFS('1_原始數據'!$A$2:$A$1000,$A391,'1_原始數據'!$B$2:$B$1000,$B391,'1_原始數據'!$D$2:$D$1000,$D391,'1_原始數據'!$I$2:$I$1000,$I391,'1_原始數據'!$C$2:$C$1000,"pasco_pct_acid")=0,"",SUMIFS('1_原始數據'!$E$2:$E$1000,'1_原始數據'!$A$2:$A$1000,$A391,'1_原始數據'!$B$2:$B$1000,$B391,'1_原始數據'!$D$2:$D$1000,$D391,'1_原始數據'!$I$2:$I$1000,$I391,'1_原始數據'!$C$2:$C$1000,"pasco_pct_acid"))))</f>
        <v/>
      </c>
      <c r="P391" s="26">
        <f>IF($A391="","",IF(OR(N391="",O391=""),"",O391-N391))</f>
        <v/>
      </c>
      <c r="Q391" s="24">
        <f>IF($A391="","",IF(P391="","",(O391+N391)/2))</f>
        <v/>
      </c>
      <c r="R391" s="27">
        <f>IF($A391="","",IF(P391="","",COUNT($P$2:P391)))</f>
        <v/>
      </c>
    </row>
    <row r="392">
      <c r="J392" s="24">
        <f>IF($A392="","",IF($C392&lt;&gt;"khp_titration_mL","",IF(COUNTIFS('1_原始數據'!$A$2:$A$1000,$A392,'1_原始數據'!$B$2:$B$1000,$B392,'1_原始數據'!$D$2:$D$1000,$D392,'1_原始數據'!$C$2:$C$1000,"khp_mass_g")=0,"",SUMIFS('1_原始數據'!$E$2:$E$1000,'1_原始數據'!$A$2:$A$1000,$A392,'1_原始數據'!$B$2:$B$1000,$B392,'1_原始數據'!$D$2:$D$1000,$D392,'1_原始數據'!$C$2:$C$1000,"khp_mass_g")/('2_NaOH標定'!$C$5*$E392/1000))))</f>
        <v/>
      </c>
      <c r="K392" s="24">
        <f>IF($A392="","",IF($C392&lt;&gt;"manual_titration_mL","",IF(COUNTIFS('1_原始數據'!$A$2:$A$1000,$A392,'1_原始數據'!$C$2:$C$1000,"khp_titration_mL")=0,"",AVERAGEIFS('1_原始數據'!$J$2:$J$1000,'1_原始數據'!$A$2:$A$1000,$A392,'1_原始數據'!$C$2:$C$1000,"khp_titration_mL"))))</f>
        <v/>
      </c>
      <c r="L392" s="25">
        <f>IF($A392="","",IF($C392&lt;&gt;"manual_titration_mL","",IFERROR(INDEX('3_可滴定酸度'!$E$6:$E$13,MATCH($I392,'3_可滴定酸度'!$B$6:$B$13,0)),"")))</f>
        <v/>
      </c>
      <c r="M392" s="25">
        <f>IF($A392="","",IF($C392&lt;&gt;"manual_titration_mL","",IFERROR(INDEX('3_可滴定酸度'!$F$6:$F$13,MATCH($I392,'3_可滴定酸度'!$B$6:$B$13,0)),"")))</f>
        <v/>
      </c>
      <c r="N392" s="24">
        <f>IF($A392="","",IF(OR(K392="",L392="",M392=""),"",K392*E392*L392/(M392*1000)*100))</f>
        <v/>
      </c>
      <c r="O392" s="24">
        <f>IF($A392="","",IF(N392="","",IF(COUNTIFS('1_原始數據'!$A$2:$A$1000,$A392,'1_原始數據'!$B$2:$B$1000,$B392,'1_原始數據'!$D$2:$D$1000,$D392,'1_原始數據'!$I$2:$I$1000,$I392,'1_原始數據'!$C$2:$C$1000,"pasco_pct_acid")=0,"",SUMIFS('1_原始數據'!$E$2:$E$1000,'1_原始數據'!$A$2:$A$1000,$A392,'1_原始數據'!$B$2:$B$1000,$B392,'1_原始數據'!$D$2:$D$1000,$D392,'1_原始數據'!$I$2:$I$1000,$I392,'1_原始數據'!$C$2:$C$1000,"pasco_pct_acid"))))</f>
        <v/>
      </c>
      <c r="P392" s="26">
        <f>IF($A392="","",IF(OR(N392="",O392=""),"",O392-N392))</f>
        <v/>
      </c>
      <c r="Q392" s="24">
        <f>IF($A392="","",IF(P392="","",(O392+N392)/2))</f>
        <v/>
      </c>
      <c r="R392" s="27">
        <f>IF($A392="","",IF(P392="","",COUNT($P$2:P392)))</f>
        <v/>
      </c>
    </row>
    <row r="393">
      <c r="J393" s="24">
        <f>IF($A393="","",IF($C393&lt;&gt;"khp_titration_mL","",IF(COUNTIFS('1_原始數據'!$A$2:$A$1000,$A393,'1_原始數據'!$B$2:$B$1000,$B393,'1_原始數據'!$D$2:$D$1000,$D393,'1_原始數據'!$C$2:$C$1000,"khp_mass_g")=0,"",SUMIFS('1_原始數據'!$E$2:$E$1000,'1_原始數據'!$A$2:$A$1000,$A393,'1_原始數據'!$B$2:$B$1000,$B393,'1_原始數據'!$D$2:$D$1000,$D393,'1_原始數據'!$C$2:$C$1000,"khp_mass_g")/('2_NaOH標定'!$C$5*$E393/1000))))</f>
        <v/>
      </c>
      <c r="K393" s="24">
        <f>IF($A393="","",IF($C393&lt;&gt;"manual_titration_mL","",IF(COUNTIFS('1_原始數據'!$A$2:$A$1000,$A393,'1_原始數據'!$C$2:$C$1000,"khp_titration_mL")=0,"",AVERAGEIFS('1_原始數據'!$J$2:$J$1000,'1_原始數據'!$A$2:$A$1000,$A393,'1_原始數據'!$C$2:$C$1000,"khp_titration_mL"))))</f>
        <v/>
      </c>
      <c r="L393" s="25">
        <f>IF($A393="","",IF($C393&lt;&gt;"manual_titration_mL","",IFERROR(INDEX('3_可滴定酸度'!$E$6:$E$13,MATCH($I393,'3_可滴定酸度'!$B$6:$B$13,0)),"")))</f>
        <v/>
      </c>
      <c r="M393" s="25">
        <f>IF($A393="","",IF($C393&lt;&gt;"manual_titration_mL","",IFERROR(INDEX('3_可滴定酸度'!$F$6:$F$13,MATCH($I393,'3_可滴定酸度'!$B$6:$B$13,0)),"")))</f>
        <v/>
      </c>
      <c r="N393" s="24">
        <f>IF($A393="","",IF(OR(K393="",L393="",M393=""),"",K393*E393*L393/(M393*1000)*100))</f>
        <v/>
      </c>
      <c r="O393" s="24">
        <f>IF($A393="","",IF(N393="","",IF(COUNTIFS('1_原始數據'!$A$2:$A$1000,$A393,'1_原始數據'!$B$2:$B$1000,$B393,'1_原始數據'!$D$2:$D$1000,$D393,'1_原始數據'!$I$2:$I$1000,$I393,'1_原始數據'!$C$2:$C$1000,"pasco_pct_acid")=0,"",SUMIFS('1_原始數據'!$E$2:$E$1000,'1_原始數據'!$A$2:$A$1000,$A393,'1_原始數據'!$B$2:$B$1000,$B393,'1_原始數據'!$D$2:$D$1000,$D393,'1_原始數據'!$I$2:$I$1000,$I393,'1_原始數據'!$C$2:$C$1000,"pasco_pct_acid"))))</f>
        <v/>
      </c>
      <c r="P393" s="26">
        <f>IF($A393="","",IF(OR(N393="",O393=""),"",O393-N393))</f>
        <v/>
      </c>
      <c r="Q393" s="24">
        <f>IF($A393="","",IF(P393="","",(O393+N393)/2))</f>
        <v/>
      </c>
      <c r="R393" s="27">
        <f>IF($A393="","",IF(P393="","",COUNT($P$2:P393)))</f>
        <v/>
      </c>
    </row>
    <row r="394">
      <c r="J394" s="24">
        <f>IF($A394="","",IF($C394&lt;&gt;"khp_titration_mL","",IF(COUNTIFS('1_原始數據'!$A$2:$A$1000,$A394,'1_原始數據'!$B$2:$B$1000,$B394,'1_原始數據'!$D$2:$D$1000,$D394,'1_原始數據'!$C$2:$C$1000,"khp_mass_g")=0,"",SUMIFS('1_原始數據'!$E$2:$E$1000,'1_原始數據'!$A$2:$A$1000,$A394,'1_原始數據'!$B$2:$B$1000,$B394,'1_原始數據'!$D$2:$D$1000,$D394,'1_原始數據'!$C$2:$C$1000,"khp_mass_g")/('2_NaOH標定'!$C$5*$E394/1000))))</f>
        <v/>
      </c>
      <c r="K394" s="24">
        <f>IF($A394="","",IF($C394&lt;&gt;"manual_titration_mL","",IF(COUNTIFS('1_原始數據'!$A$2:$A$1000,$A394,'1_原始數據'!$C$2:$C$1000,"khp_titration_mL")=0,"",AVERAGEIFS('1_原始數據'!$J$2:$J$1000,'1_原始數據'!$A$2:$A$1000,$A394,'1_原始數據'!$C$2:$C$1000,"khp_titration_mL"))))</f>
        <v/>
      </c>
      <c r="L394" s="25">
        <f>IF($A394="","",IF($C394&lt;&gt;"manual_titration_mL","",IFERROR(INDEX('3_可滴定酸度'!$E$6:$E$13,MATCH($I394,'3_可滴定酸度'!$B$6:$B$13,0)),"")))</f>
        <v/>
      </c>
      <c r="M394" s="25">
        <f>IF($A394="","",IF($C394&lt;&gt;"manual_titration_mL","",IFERROR(INDEX('3_可滴定酸度'!$F$6:$F$13,MATCH($I394,'3_可滴定酸度'!$B$6:$B$13,0)),"")))</f>
        <v/>
      </c>
      <c r="N394" s="24">
        <f>IF($A394="","",IF(OR(K394="",L394="",M394=""),"",K394*E394*L394/(M394*1000)*100))</f>
        <v/>
      </c>
      <c r="O394" s="24">
        <f>IF($A394="","",IF(N394="","",IF(COUNTIFS('1_原始數據'!$A$2:$A$1000,$A394,'1_原始數據'!$B$2:$B$1000,$B394,'1_原始數據'!$D$2:$D$1000,$D394,'1_原始數據'!$I$2:$I$1000,$I394,'1_原始數據'!$C$2:$C$1000,"pasco_pct_acid")=0,"",SUMIFS('1_原始數據'!$E$2:$E$1000,'1_原始數據'!$A$2:$A$1000,$A394,'1_原始數據'!$B$2:$B$1000,$B394,'1_原始數據'!$D$2:$D$1000,$D394,'1_原始數據'!$I$2:$I$1000,$I394,'1_原始數據'!$C$2:$C$1000,"pasco_pct_acid"))))</f>
        <v/>
      </c>
      <c r="P394" s="26">
        <f>IF($A394="","",IF(OR(N394="",O394=""),"",O394-N394))</f>
        <v/>
      </c>
      <c r="Q394" s="24">
        <f>IF($A394="","",IF(P394="","",(O394+N394)/2))</f>
        <v/>
      </c>
      <c r="R394" s="27">
        <f>IF($A394="","",IF(P394="","",COUNT($P$2:P394)))</f>
        <v/>
      </c>
    </row>
    <row r="395">
      <c r="J395" s="24">
        <f>IF($A395="","",IF($C395&lt;&gt;"khp_titration_mL","",IF(COUNTIFS('1_原始數據'!$A$2:$A$1000,$A395,'1_原始數據'!$B$2:$B$1000,$B395,'1_原始數據'!$D$2:$D$1000,$D395,'1_原始數據'!$C$2:$C$1000,"khp_mass_g")=0,"",SUMIFS('1_原始數據'!$E$2:$E$1000,'1_原始數據'!$A$2:$A$1000,$A395,'1_原始數據'!$B$2:$B$1000,$B395,'1_原始數據'!$D$2:$D$1000,$D395,'1_原始數據'!$C$2:$C$1000,"khp_mass_g")/('2_NaOH標定'!$C$5*$E395/1000))))</f>
        <v/>
      </c>
      <c r="K395" s="24">
        <f>IF($A395="","",IF($C395&lt;&gt;"manual_titration_mL","",IF(COUNTIFS('1_原始數據'!$A$2:$A$1000,$A395,'1_原始數據'!$C$2:$C$1000,"khp_titration_mL")=0,"",AVERAGEIFS('1_原始數據'!$J$2:$J$1000,'1_原始數據'!$A$2:$A$1000,$A395,'1_原始數據'!$C$2:$C$1000,"khp_titration_mL"))))</f>
        <v/>
      </c>
      <c r="L395" s="25">
        <f>IF($A395="","",IF($C395&lt;&gt;"manual_titration_mL","",IFERROR(INDEX('3_可滴定酸度'!$E$6:$E$13,MATCH($I395,'3_可滴定酸度'!$B$6:$B$13,0)),"")))</f>
        <v/>
      </c>
      <c r="M395" s="25">
        <f>IF($A395="","",IF($C395&lt;&gt;"manual_titration_mL","",IFERROR(INDEX('3_可滴定酸度'!$F$6:$F$13,MATCH($I395,'3_可滴定酸度'!$B$6:$B$13,0)),"")))</f>
        <v/>
      </c>
      <c r="N395" s="24">
        <f>IF($A395="","",IF(OR(K395="",L395="",M395=""),"",K395*E395*L395/(M395*1000)*100))</f>
        <v/>
      </c>
      <c r="O395" s="24">
        <f>IF($A395="","",IF(N395="","",IF(COUNTIFS('1_原始數據'!$A$2:$A$1000,$A395,'1_原始數據'!$B$2:$B$1000,$B395,'1_原始數據'!$D$2:$D$1000,$D395,'1_原始數據'!$I$2:$I$1000,$I395,'1_原始數據'!$C$2:$C$1000,"pasco_pct_acid")=0,"",SUMIFS('1_原始數據'!$E$2:$E$1000,'1_原始數據'!$A$2:$A$1000,$A395,'1_原始數據'!$B$2:$B$1000,$B395,'1_原始數據'!$D$2:$D$1000,$D395,'1_原始數據'!$I$2:$I$1000,$I395,'1_原始數據'!$C$2:$C$1000,"pasco_pct_acid"))))</f>
        <v/>
      </c>
      <c r="P395" s="26">
        <f>IF($A395="","",IF(OR(N395="",O395=""),"",O395-N395))</f>
        <v/>
      </c>
      <c r="Q395" s="24">
        <f>IF($A395="","",IF(P395="","",(O395+N395)/2))</f>
        <v/>
      </c>
      <c r="R395" s="27">
        <f>IF($A395="","",IF(P395="","",COUNT($P$2:P395)))</f>
        <v/>
      </c>
    </row>
    <row r="396">
      <c r="J396" s="24">
        <f>IF($A396="","",IF($C396&lt;&gt;"khp_titration_mL","",IF(COUNTIFS('1_原始數據'!$A$2:$A$1000,$A396,'1_原始數據'!$B$2:$B$1000,$B396,'1_原始數據'!$D$2:$D$1000,$D396,'1_原始數據'!$C$2:$C$1000,"khp_mass_g")=0,"",SUMIFS('1_原始數據'!$E$2:$E$1000,'1_原始數據'!$A$2:$A$1000,$A396,'1_原始數據'!$B$2:$B$1000,$B396,'1_原始數據'!$D$2:$D$1000,$D396,'1_原始數據'!$C$2:$C$1000,"khp_mass_g")/('2_NaOH標定'!$C$5*$E396/1000))))</f>
        <v/>
      </c>
      <c r="K396" s="24">
        <f>IF($A396="","",IF($C396&lt;&gt;"manual_titration_mL","",IF(COUNTIFS('1_原始數據'!$A$2:$A$1000,$A396,'1_原始數據'!$C$2:$C$1000,"khp_titration_mL")=0,"",AVERAGEIFS('1_原始數據'!$J$2:$J$1000,'1_原始數據'!$A$2:$A$1000,$A396,'1_原始數據'!$C$2:$C$1000,"khp_titration_mL"))))</f>
        <v/>
      </c>
      <c r="L396" s="25">
        <f>IF($A396="","",IF($C396&lt;&gt;"manual_titration_mL","",IFERROR(INDEX('3_可滴定酸度'!$E$6:$E$13,MATCH($I396,'3_可滴定酸度'!$B$6:$B$13,0)),"")))</f>
        <v/>
      </c>
      <c r="M396" s="25">
        <f>IF($A396="","",IF($C396&lt;&gt;"manual_titration_mL","",IFERROR(INDEX('3_可滴定酸度'!$F$6:$F$13,MATCH($I396,'3_可滴定酸度'!$B$6:$B$13,0)),"")))</f>
        <v/>
      </c>
      <c r="N396" s="24">
        <f>IF($A396="","",IF(OR(K396="",L396="",M396=""),"",K396*E396*L396/(M396*1000)*100))</f>
        <v/>
      </c>
      <c r="O396" s="24">
        <f>IF($A396="","",IF(N396="","",IF(COUNTIFS('1_原始數據'!$A$2:$A$1000,$A396,'1_原始數據'!$B$2:$B$1000,$B396,'1_原始數據'!$D$2:$D$1000,$D396,'1_原始數據'!$I$2:$I$1000,$I396,'1_原始數據'!$C$2:$C$1000,"pasco_pct_acid")=0,"",SUMIFS('1_原始數據'!$E$2:$E$1000,'1_原始數據'!$A$2:$A$1000,$A396,'1_原始數據'!$B$2:$B$1000,$B396,'1_原始數據'!$D$2:$D$1000,$D396,'1_原始數據'!$I$2:$I$1000,$I396,'1_原始數據'!$C$2:$C$1000,"pasco_pct_acid"))))</f>
        <v/>
      </c>
      <c r="P396" s="26">
        <f>IF($A396="","",IF(OR(N396="",O396=""),"",O396-N396))</f>
        <v/>
      </c>
      <c r="Q396" s="24">
        <f>IF($A396="","",IF(P396="","",(O396+N396)/2))</f>
        <v/>
      </c>
      <c r="R396" s="27">
        <f>IF($A396="","",IF(P396="","",COUNT($P$2:P396)))</f>
        <v/>
      </c>
    </row>
    <row r="397">
      <c r="J397" s="24">
        <f>IF($A397="","",IF($C397&lt;&gt;"khp_titration_mL","",IF(COUNTIFS('1_原始數據'!$A$2:$A$1000,$A397,'1_原始數據'!$B$2:$B$1000,$B397,'1_原始數據'!$D$2:$D$1000,$D397,'1_原始數據'!$C$2:$C$1000,"khp_mass_g")=0,"",SUMIFS('1_原始數據'!$E$2:$E$1000,'1_原始數據'!$A$2:$A$1000,$A397,'1_原始數據'!$B$2:$B$1000,$B397,'1_原始數據'!$D$2:$D$1000,$D397,'1_原始數據'!$C$2:$C$1000,"khp_mass_g")/('2_NaOH標定'!$C$5*$E397/1000))))</f>
        <v/>
      </c>
      <c r="K397" s="24">
        <f>IF($A397="","",IF($C397&lt;&gt;"manual_titration_mL","",IF(COUNTIFS('1_原始數據'!$A$2:$A$1000,$A397,'1_原始數據'!$C$2:$C$1000,"khp_titration_mL")=0,"",AVERAGEIFS('1_原始數據'!$J$2:$J$1000,'1_原始數據'!$A$2:$A$1000,$A397,'1_原始數據'!$C$2:$C$1000,"khp_titration_mL"))))</f>
        <v/>
      </c>
      <c r="L397" s="25">
        <f>IF($A397="","",IF($C397&lt;&gt;"manual_titration_mL","",IFERROR(INDEX('3_可滴定酸度'!$E$6:$E$13,MATCH($I397,'3_可滴定酸度'!$B$6:$B$13,0)),"")))</f>
        <v/>
      </c>
      <c r="M397" s="25">
        <f>IF($A397="","",IF($C397&lt;&gt;"manual_titration_mL","",IFERROR(INDEX('3_可滴定酸度'!$F$6:$F$13,MATCH($I397,'3_可滴定酸度'!$B$6:$B$13,0)),"")))</f>
        <v/>
      </c>
      <c r="N397" s="24">
        <f>IF($A397="","",IF(OR(K397="",L397="",M397=""),"",K397*E397*L397/(M397*1000)*100))</f>
        <v/>
      </c>
      <c r="O397" s="24">
        <f>IF($A397="","",IF(N397="","",IF(COUNTIFS('1_原始數據'!$A$2:$A$1000,$A397,'1_原始數據'!$B$2:$B$1000,$B397,'1_原始數據'!$D$2:$D$1000,$D397,'1_原始數據'!$I$2:$I$1000,$I397,'1_原始數據'!$C$2:$C$1000,"pasco_pct_acid")=0,"",SUMIFS('1_原始數據'!$E$2:$E$1000,'1_原始數據'!$A$2:$A$1000,$A397,'1_原始數據'!$B$2:$B$1000,$B397,'1_原始數據'!$D$2:$D$1000,$D397,'1_原始數據'!$I$2:$I$1000,$I397,'1_原始數據'!$C$2:$C$1000,"pasco_pct_acid"))))</f>
        <v/>
      </c>
      <c r="P397" s="26">
        <f>IF($A397="","",IF(OR(N397="",O397=""),"",O397-N397))</f>
        <v/>
      </c>
      <c r="Q397" s="24">
        <f>IF($A397="","",IF(P397="","",(O397+N397)/2))</f>
        <v/>
      </c>
      <c r="R397" s="27">
        <f>IF($A397="","",IF(P397="","",COUNT($P$2:P397)))</f>
        <v/>
      </c>
    </row>
    <row r="398">
      <c r="J398" s="24">
        <f>IF($A398="","",IF($C398&lt;&gt;"khp_titration_mL","",IF(COUNTIFS('1_原始數據'!$A$2:$A$1000,$A398,'1_原始數據'!$B$2:$B$1000,$B398,'1_原始數據'!$D$2:$D$1000,$D398,'1_原始數據'!$C$2:$C$1000,"khp_mass_g")=0,"",SUMIFS('1_原始數據'!$E$2:$E$1000,'1_原始數據'!$A$2:$A$1000,$A398,'1_原始數據'!$B$2:$B$1000,$B398,'1_原始數據'!$D$2:$D$1000,$D398,'1_原始數據'!$C$2:$C$1000,"khp_mass_g")/('2_NaOH標定'!$C$5*$E398/1000))))</f>
        <v/>
      </c>
      <c r="K398" s="24">
        <f>IF($A398="","",IF($C398&lt;&gt;"manual_titration_mL","",IF(COUNTIFS('1_原始數據'!$A$2:$A$1000,$A398,'1_原始數據'!$C$2:$C$1000,"khp_titration_mL")=0,"",AVERAGEIFS('1_原始數據'!$J$2:$J$1000,'1_原始數據'!$A$2:$A$1000,$A398,'1_原始數據'!$C$2:$C$1000,"khp_titration_mL"))))</f>
        <v/>
      </c>
      <c r="L398" s="25">
        <f>IF($A398="","",IF($C398&lt;&gt;"manual_titration_mL","",IFERROR(INDEX('3_可滴定酸度'!$E$6:$E$13,MATCH($I398,'3_可滴定酸度'!$B$6:$B$13,0)),"")))</f>
        <v/>
      </c>
      <c r="M398" s="25">
        <f>IF($A398="","",IF($C398&lt;&gt;"manual_titration_mL","",IFERROR(INDEX('3_可滴定酸度'!$F$6:$F$13,MATCH($I398,'3_可滴定酸度'!$B$6:$B$13,0)),"")))</f>
        <v/>
      </c>
      <c r="N398" s="24">
        <f>IF($A398="","",IF(OR(K398="",L398="",M398=""),"",K398*E398*L398/(M398*1000)*100))</f>
        <v/>
      </c>
      <c r="O398" s="24">
        <f>IF($A398="","",IF(N398="","",IF(COUNTIFS('1_原始數據'!$A$2:$A$1000,$A398,'1_原始數據'!$B$2:$B$1000,$B398,'1_原始數據'!$D$2:$D$1000,$D398,'1_原始數據'!$I$2:$I$1000,$I398,'1_原始數據'!$C$2:$C$1000,"pasco_pct_acid")=0,"",SUMIFS('1_原始數據'!$E$2:$E$1000,'1_原始數據'!$A$2:$A$1000,$A398,'1_原始數據'!$B$2:$B$1000,$B398,'1_原始數據'!$D$2:$D$1000,$D398,'1_原始數據'!$I$2:$I$1000,$I398,'1_原始數據'!$C$2:$C$1000,"pasco_pct_acid"))))</f>
        <v/>
      </c>
      <c r="P398" s="26">
        <f>IF($A398="","",IF(OR(N398="",O398=""),"",O398-N398))</f>
        <v/>
      </c>
      <c r="Q398" s="24">
        <f>IF($A398="","",IF(P398="","",(O398+N398)/2))</f>
        <v/>
      </c>
      <c r="R398" s="27">
        <f>IF($A398="","",IF(P398="","",COUNT($P$2:P398)))</f>
        <v/>
      </c>
    </row>
    <row r="399">
      <c r="J399" s="24">
        <f>IF($A399="","",IF($C399&lt;&gt;"khp_titration_mL","",IF(COUNTIFS('1_原始數據'!$A$2:$A$1000,$A399,'1_原始數據'!$B$2:$B$1000,$B399,'1_原始數據'!$D$2:$D$1000,$D399,'1_原始數據'!$C$2:$C$1000,"khp_mass_g")=0,"",SUMIFS('1_原始數據'!$E$2:$E$1000,'1_原始數據'!$A$2:$A$1000,$A399,'1_原始數據'!$B$2:$B$1000,$B399,'1_原始數據'!$D$2:$D$1000,$D399,'1_原始數據'!$C$2:$C$1000,"khp_mass_g")/('2_NaOH標定'!$C$5*$E399/1000))))</f>
        <v/>
      </c>
      <c r="K399" s="24">
        <f>IF($A399="","",IF($C399&lt;&gt;"manual_titration_mL","",IF(COUNTIFS('1_原始數據'!$A$2:$A$1000,$A399,'1_原始數據'!$C$2:$C$1000,"khp_titration_mL")=0,"",AVERAGEIFS('1_原始數據'!$J$2:$J$1000,'1_原始數據'!$A$2:$A$1000,$A399,'1_原始數據'!$C$2:$C$1000,"khp_titration_mL"))))</f>
        <v/>
      </c>
      <c r="L399" s="25">
        <f>IF($A399="","",IF($C399&lt;&gt;"manual_titration_mL","",IFERROR(INDEX('3_可滴定酸度'!$E$6:$E$13,MATCH($I399,'3_可滴定酸度'!$B$6:$B$13,0)),"")))</f>
        <v/>
      </c>
      <c r="M399" s="25">
        <f>IF($A399="","",IF($C399&lt;&gt;"manual_titration_mL","",IFERROR(INDEX('3_可滴定酸度'!$F$6:$F$13,MATCH($I399,'3_可滴定酸度'!$B$6:$B$13,0)),"")))</f>
        <v/>
      </c>
      <c r="N399" s="24">
        <f>IF($A399="","",IF(OR(K399="",L399="",M399=""),"",K399*E399*L399/(M399*1000)*100))</f>
        <v/>
      </c>
      <c r="O399" s="24">
        <f>IF($A399="","",IF(N399="","",IF(COUNTIFS('1_原始數據'!$A$2:$A$1000,$A399,'1_原始數據'!$B$2:$B$1000,$B399,'1_原始數據'!$D$2:$D$1000,$D399,'1_原始數據'!$I$2:$I$1000,$I399,'1_原始數據'!$C$2:$C$1000,"pasco_pct_acid")=0,"",SUMIFS('1_原始數據'!$E$2:$E$1000,'1_原始數據'!$A$2:$A$1000,$A399,'1_原始數據'!$B$2:$B$1000,$B399,'1_原始數據'!$D$2:$D$1000,$D399,'1_原始數據'!$I$2:$I$1000,$I399,'1_原始數據'!$C$2:$C$1000,"pasco_pct_acid"))))</f>
        <v/>
      </c>
      <c r="P399" s="26">
        <f>IF($A399="","",IF(OR(N399="",O399=""),"",O399-N399))</f>
        <v/>
      </c>
      <c r="Q399" s="24">
        <f>IF($A399="","",IF(P399="","",(O399+N399)/2))</f>
        <v/>
      </c>
      <c r="R399" s="27">
        <f>IF($A399="","",IF(P399="","",COUNT($P$2:P399)))</f>
        <v/>
      </c>
    </row>
    <row r="400">
      <c r="J400" s="24">
        <f>IF($A400="","",IF($C400&lt;&gt;"khp_titration_mL","",IF(COUNTIFS('1_原始數據'!$A$2:$A$1000,$A400,'1_原始數據'!$B$2:$B$1000,$B400,'1_原始數據'!$D$2:$D$1000,$D400,'1_原始數據'!$C$2:$C$1000,"khp_mass_g")=0,"",SUMIFS('1_原始數據'!$E$2:$E$1000,'1_原始數據'!$A$2:$A$1000,$A400,'1_原始數據'!$B$2:$B$1000,$B400,'1_原始數據'!$D$2:$D$1000,$D400,'1_原始數據'!$C$2:$C$1000,"khp_mass_g")/('2_NaOH標定'!$C$5*$E400/1000))))</f>
        <v/>
      </c>
      <c r="K400" s="24">
        <f>IF($A400="","",IF($C400&lt;&gt;"manual_titration_mL","",IF(COUNTIFS('1_原始數據'!$A$2:$A$1000,$A400,'1_原始數據'!$C$2:$C$1000,"khp_titration_mL")=0,"",AVERAGEIFS('1_原始數據'!$J$2:$J$1000,'1_原始數據'!$A$2:$A$1000,$A400,'1_原始數據'!$C$2:$C$1000,"khp_titration_mL"))))</f>
        <v/>
      </c>
      <c r="L400" s="25">
        <f>IF($A400="","",IF($C400&lt;&gt;"manual_titration_mL","",IFERROR(INDEX('3_可滴定酸度'!$E$6:$E$13,MATCH($I400,'3_可滴定酸度'!$B$6:$B$13,0)),"")))</f>
        <v/>
      </c>
      <c r="M400" s="25">
        <f>IF($A400="","",IF($C400&lt;&gt;"manual_titration_mL","",IFERROR(INDEX('3_可滴定酸度'!$F$6:$F$13,MATCH($I400,'3_可滴定酸度'!$B$6:$B$13,0)),"")))</f>
        <v/>
      </c>
      <c r="N400" s="24">
        <f>IF($A400="","",IF(OR(K400="",L400="",M400=""),"",K400*E400*L400/(M400*1000)*100))</f>
        <v/>
      </c>
      <c r="O400" s="24">
        <f>IF($A400="","",IF(N400="","",IF(COUNTIFS('1_原始數據'!$A$2:$A$1000,$A400,'1_原始數據'!$B$2:$B$1000,$B400,'1_原始數據'!$D$2:$D$1000,$D400,'1_原始數據'!$I$2:$I$1000,$I400,'1_原始數據'!$C$2:$C$1000,"pasco_pct_acid")=0,"",SUMIFS('1_原始數據'!$E$2:$E$1000,'1_原始數據'!$A$2:$A$1000,$A400,'1_原始數據'!$B$2:$B$1000,$B400,'1_原始數據'!$D$2:$D$1000,$D400,'1_原始數據'!$I$2:$I$1000,$I400,'1_原始數據'!$C$2:$C$1000,"pasco_pct_acid"))))</f>
        <v/>
      </c>
      <c r="P400" s="26">
        <f>IF($A400="","",IF(OR(N400="",O400=""),"",O400-N400))</f>
        <v/>
      </c>
      <c r="Q400" s="24">
        <f>IF($A400="","",IF(P400="","",(O400+N400)/2))</f>
        <v/>
      </c>
      <c r="R400" s="27">
        <f>IF($A400="","",IF(P400="","",COUNT($P$2:P400)))</f>
        <v/>
      </c>
    </row>
    <row r="401">
      <c r="J401" s="24">
        <f>IF($A401="","",IF($C401&lt;&gt;"khp_titration_mL","",IF(COUNTIFS('1_原始數據'!$A$2:$A$1000,$A401,'1_原始數據'!$B$2:$B$1000,$B401,'1_原始數據'!$D$2:$D$1000,$D401,'1_原始數據'!$C$2:$C$1000,"khp_mass_g")=0,"",SUMIFS('1_原始數據'!$E$2:$E$1000,'1_原始數據'!$A$2:$A$1000,$A401,'1_原始數據'!$B$2:$B$1000,$B401,'1_原始數據'!$D$2:$D$1000,$D401,'1_原始數據'!$C$2:$C$1000,"khp_mass_g")/('2_NaOH標定'!$C$5*$E401/1000))))</f>
        <v/>
      </c>
      <c r="K401" s="24">
        <f>IF($A401="","",IF($C401&lt;&gt;"manual_titration_mL","",IF(COUNTIFS('1_原始數據'!$A$2:$A$1000,$A401,'1_原始數據'!$C$2:$C$1000,"khp_titration_mL")=0,"",AVERAGEIFS('1_原始數據'!$J$2:$J$1000,'1_原始數據'!$A$2:$A$1000,$A401,'1_原始數據'!$C$2:$C$1000,"khp_titration_mL"))))</f>
        <v/>
      </c>
      <c r="L401" s="25">
        <f>IF($A401="","",IF($C401&lt;&gt;"manual_titration_mL","",IFERROR(INDEX('3_可滴定酸度'!$E$6:$E$13,MATCH($I401,'3_可滴定酸度'!$B$6:$B$13,0)),"")))</f>
        <v/>
      </c>
      <c r="M401" s="25">
        <f>IF($A401="","",IF($C401&lt;&gt;"manual_titration_mL","",IFERROR(INDEX('3_可滴定酸度'!$F$6:$F$13,MATCH($I401,'3_可滴定酸度'!$B$6:$B$13,0)),"")))</f>
        <v/>
      </c>
      <c r="N401" s="24">
        <f>IF($A401="","",IF(OR(K401="",L401="",M401=""),"",K401*E401*L401/(M401*1000)*100))</f>
        <v/>
      </c>
      <c r="O401" s="24">
        <f>IF($A401="","",IF(N401="","",IF(COUNTIFS('1_原始數據'!$A$2:$A$1000,$A401,'1_原始數據'!$B$2:$B$1000,$B401,'1_原始數據'!$D$2:$D$1000,$D401,'1_原始數據'!$I$2:$I$1000,$I401,'1_原始數據'!$C$2:$C$1000,"pasco_pct_acid")=0,"",SUMIFS('1_原始數據'!$E$2:$E$1000,'1_原始數據'!$A$2:$A$1000,$A401,'1_原始數據'!$B$2:$B$1000,$B401,'1_原始數據'!$D$2:$D$1000,$D401,'1_原始數據'!$I$2:$I$1000,$I401,'1_原始數據'!$C$2:$C$1000,"pasco_pct_acid"))))</f>
        <v/>
      </c>
      <c r="P401" s="26">
        <f>IF($A401="","",IF(OR(N401="",O401=""),"",O401-N401))</f>
        <v/>
      </c>
      <c r="Q401" s="24">
        <f>IF($A401="","",IF(P401="","",(O401+N401)/2))</f>
        <v/>
      </c>
      <c r="R401" s="27">
        <f>IF($A401="","",IF(P401="","",COUNT($P$2:P401)))</f>
        <v/>
      </c>
    </row>
    <row r="402">
      <c r="J402" s="24">
        <f>IF($A402="","",IF($C402&lt;&gt;"khp_titration_mL","",IF(COUNTIFS('1_原始數據'!$A$2:$A$1000,$A402,'1_原始數據'!$B$2:$B$1000,$B402,'1_原始數據'!$D$2:$D$1000,$D402,'1_原始數據'!$C$2:$C$1000,"khp_mass_g")=0,"",SUMIFS('1_原始數據'!$E$2:$E$1000,'1_原始數據'!$A$2:$A$1000,$A402,'1_原始數據'!$B$2:$B$1000,$B402,'1_原始數據'!$D$2:$D$1000,$D402,'1_原始數據'!$C$2:$C$1000,"khp_mass_g")/('2_NaOH標定'!$C$5*$E402/1000))))</f>
        <v/>
      </c>
      <c r="K402" s="24">
        <f>IF($A402="","",IF($C402&lt;&gt;"manual_titration_mL","",IF(COUNTIFS('1_原始數據'!$A$2:$A$1000,$A402,'1_原始數據'!$C$2:$C$1000,"khp_titration_mL")=0,"",AVERAGEIFS('1_原始數據'!$J$2:$J$1000,'1_原始數據'!$A$2:$A$1000,$A402,'1_原始數據'!$C$2:$C$1000,"khp_titration_mL"))))</f>
        <v/>
      </c>
      <c r="L402" s="25">
        <f>IF($A402="","",IF($C402&lt;&gt;"manual_titration_mL","",IFERROR(INDEX('3_可滴定酸度'!$E$6:$E$13,MATCH($I402,'3_可滴定酸度'!$B$6:$B$13,0)),"")))</f>
        <v/>
      </c>
      <c r="M402" s="25">
        <f>IF($A402="","",IF($C402&lt;&gt;"manual_titration_mL","",IFERROR(INDEX('3_可滴定酸度'!$F$6:$F$13,MATCH($I402,'3_可滴定酸度'!$B$6:$B$13,0)),"")))</f>
        <v/>
      </c>
      <c r="N402" s="24">
        <f>IF($A402="","",IF(OR(K402="",L402="",M402=""),"",K402*E402*L402/(M402*1000)*100))</f>
        <v/>
      </c>
      <c r="O402" s="24">
        <f>IF($A402="","",IF(N402="","",IF(COUNTIFS('1_原始數據'!$A$2:$A$1000,$A402,'1_原始數據'!$B$2:$B$1000,$B402,'1_原始數據'!$D$2:$D$1000,$D402,'1_原始數據'!$I$2:$I$1000,$I402,'1_原始數據'!$C$2:$C$1000,"pasco_pct_acid")=0,"",SUMIFS('1_原始數據'!$E$2:$E$1000,'1_原始數據'!$A$2:$A$1000,$A402,'1_原始數據'!$B$2:$B$1000,$B402,'1_原始數據'!$D$2:$D$1000,$D402,'1_原始數據'!$I$2:$I$1000,$I402,'1_原始數據'!$C$2:$C$1000,"pasco_pct_acid"))))</f>
        <v/>
      </c>
      <c r="P402" s="26">
        <f>IF($A402="","",IF(OR(N402="",O402=""),"",O402-N402))</f>
        <v/>
      </c>
      <c r="Q402" s="24">
        <f>IF($A402="","",IF(P402="","",(O402+N402)/2))</f>
        <v/>
      </c>
      <c r="R402" s="27">
        <f>IF($A402="","",IF(P402="","",COUNT($P$2:P402)))</f>
        <v/>
      </c>
    </row>
    <row r="403">
      <c r="J403" s="24">
        <f>IF($A403="","",IF($C403&lt;&gt;"khp_titration_mL","",IF(COUNTIFS('1_原始數據'!$A$2:$A$1000,$A403,'1_原始數據'!$B$2:$B$1000,$B403,'1_原始數據'!$D$2:$D$1000,$D403,'1_原始數據'!$C$2:$C$1000,"khp_mass_g")=0,"",SUMIFS('1_原始數據'!$E$2:$E$1000,'1_原始數據'!$A$2:$A$1000,$A403,'1_原始數據'!$B$2:$B$1000,$B403,'1_原始數據'!$D$2:$D$1000,$D403,'1_原始數據'!$C$2:$C$1000,"khp_mass_g")/('2_NaOH標定'!$C$5*$E403/1000))))</f>
        <v/>
      </c>
      <c r="K403" s="24">
        <f>IF($A403="","",IF($C403&lt;&gt;"manual_titration_mL","",IF(COUNTIFS('1_原始數據'!$A$2:$A$1000,$A403,'1_原始數據'!$C$2:$C$1000,"khp_titration_mL")=0,"",AVERAGEIFS('1_原始數據'!$J$2:$J$1000,'1_原始數據'!$A$2:$A$1000,$A403,'1_原始數據'!$C$2:$C$1000,"khp_titration_mL"))))</f>
        <v/>
      </c>
      <c r="L403" s="25">
        <f>IF($A403="","",IF($C403&lt;&gt;"manual_titration_mL","",IFERROR(INDEX('3_可滴定酸度'!$E$6:$E$13,MATCH($I403,'3_可滴定酸度'!$B$6:$B$13,0)),"")))</f>
        <v/>
      </c>
      <c r="M403" s="25">
        <f>IF($A403="","",IF($C403&lt;&gt;"manual_titration_mL","",IFERROR(INDEX('3_可滴定酸度'!$F$6:$F$13,MATCH($I403,'3_可滴定酸度'!$B$6:$B$13,0)),"")))</f>
        <v/>
      </c>
      <c r="N403" s="24">
        <f>IF($A403="","",IF(OR(K403="",L403="",M403=""),"",K403*E403*L403/(M403*1000)*100))</f>
        <v/>
      </c>
      <c r="O403" s="24">
        <f>IF($A403="","",IF(N403="","",IF(COUNTIFS('1_原始數據'!$A$2:$A$1000,$A403,'1_原始數據'!$B$2:$B$1000,$B403,'1_原始數據'!$D$2:$D$1000,$D403,'1_原始數據'!$I$2:$I$1000,$I403,'1_原始數據'!$C$2:$C$1000,"pasco_pct_acid")=0,"",SUMIFS('1_原始數據'!$E$2:$E$1000,'1_原始數據'!$A$2:$A$1000,$A403,'1_原始數據'!$B$2:$B$1000,$B403,'1_原始數據'!$D$2:$D$1000,$D403,'1_原始數據'!$I$2:$I$1000,$I403,'1_原始數據'!$C$2:$C$1000,"pasco_pct_acid"))))</f>
        <v/>
      </c>
      <c r="P403" s="26">
        <f>IF($A403="","",IF(OR(N403="",O403=""),"",O403-N403))</f>
        <v/>
      </c>
      <c r="Q403" s="24">
        <f>IF($A403="","",IF(P403="","",(O403+N403)/2))</f>
        <v/>
      </c>
      <c r="R403" s="27">
        <f>IF($A403="","",IF(P403="","",COUNT($P$2:P403)))</f>
        <v/>
      </c>
    </row>
    <row r="404">
      <c r="J404" s="24">
        <f>IF($A404="","",IF($C404&lt;&gt;"khp_titration_mL","",IF(COUNTIFS('1_原始數據'!$A$2:$A$1000,$A404,'1_原始數據'!$B$2:$B$1000,$B404,'1_原始數據'!$D$2:$D$1000,$D404,'1_原始數據'!$C$2:$C$1000,"khp_mass_g")=0,"",SUMIFS('1_原始數據'!$E$2:$E$1000,'1_原始數據'!$A$2:$A$1000,$A404,'1_原始數據'!$B$2:$B$1000,$B404,'1_原始數據'!$D$2:$D$1000,$D404,'1_原始數據'!$C$2:$C$1000,"khp_mass_g")/('2_NaOH標定'!$C$5*$E404/1000))))</f>
        <v/>
      </c>
      <c r="K404" s="24">
        <f>IF($A404="","",IF($C404&lt;&gt;"manual_titration_mL","",IF(COUNTIFS('1_原始數據'!$A$2:$A$1000,$A404,'1_原始數據'!$C$2:$C$1000,"khp_titration_mL")=0,"",AVERAGEIFS('1_原始數據'!$J$2:$J$1000,'1_原始數據'!$A$2:$A$1000,$A404,'1_原始數據'!$C$2:$C$1000,"khp_titration_mL"))))</f>
        <v/>
      </c>
      <c r="L404" s="25">
        <f>IF($A404="","",IF($C404&lt;&gt;"manual_titration_mL","",IFERROR(INDEX('3_可滴定酸度'!$E$6:$E$13,MATCH($I404,'3_可滴定酸度'!$B$6:$B$13,0)),"")))</f>
        <v/>
      </c>
      <c r="M404" s="25">
        <f>IF($A404="","",IF($C404&lt;&gt;"manual_titration_mL","",IFERROR(INDEX('3_可滴定酸度'!$F$6:$F$13,MATCH($I404,'3_可滴定酸度'!$B$6:$B$13,0)),"")))</f>
        <v/>
      </c>
      <c r="N404" s="24">
        <f>IF($A404="","",IF(OR(K404="",L404="",M404=""),"",K404*E404*L404/(M404*1000)*100))</f>
        <v/>
      </c>
      <c r="O404" s="24">
        <f>IF($A404="","",IF(N404="","",IF(COUNTIFS('1_原始數據'!$A$2:$A$1000,$A404,'1_原始數據'!$B$2:$B$1000,$B404,'1_原始數據'!$D$2:$D$1000,$D404,'1_原始數據'!$I$2:$I$1000,$I404,'1_原始數據'!$C$2:$C$1000,"pasco_pct_acid")=0,"",SUMIFS('1_原始數據'!$E$2:$E$1000,'1_原始數據'!$A$2:$A$1000,$A404,'1_原始數據'!$B$2:$B$1000,$B404,'1_原始數據'!$D$2:$D$1000,$D404,'1_原始數據'!$I$2:$I$1000,$I404,'1_原始數據'!$C$2:$C$1000,"pasco_pct_acid"))))</f>
        <v/>
      </c>
      <c r="P404" s="26">
        <f>IF($A404="","",IF(OR(N404="",O404=""),"",O404-N404))</f>
        <v/>
      </c>
      <c r="Q404" s="24">
        <f>IF($A404="","",IF(P404="","",(O404+N404)/2))</f>
        <v/>
      </c>
      <c r="R404" s="27">
        <f>IF($A404="","",IF(P404="","",COUNT($P$2:P404)))</f>
        <v/>
      </c>
    </row>
    <row r="405">
      <c r="J405" s="24">
        <f>IF($A405="","",IF($C405&lt;&gt;"khp_titration_mL","",IF(COUNTIFS('1_原始數據'!$A$2:$A$1000,$A405,'1_原始數據'!$B$2:$B$1000,$B405,'1_原始數據'!$D$2:$D$1000,$D405,'1_原始數據'!$C$2:$C$1000,"khp_mass_g")=0,"",SUMIFS('1_原始數據'!$E$2:$E$1000,'1_原始數據'!$A$2:$A$1000,$A405,'1_原始數據'!$B$2:$B$1000,$B405,'1_原始數據'!$D$2:$D$1000,$D405,'1_原始數據'!$C$2:$C$1000,"khp_mass_g")/('2_NaOH標定'!$C$5*$E405/1000))))</f>
        <v/>
      </c>
      <c r="K405" s="24">
        <f>IF($A405="","",IF($C405&lt;&gt;"manual_titration_mL","",IF(COUNTIFS('1_原始數據'!$A$2:$A$1000,$A405,'1_原始數據'!$C$2:$C$1000,"khp_titration_mL")=0,"",AVERAGEIFS('1_原始數據'!$J$2:$J$1000,'1_原始數據'!$A$2:$A$1000,$A405,'1_原始數據'!$C$2:$C$1000,"khp_titration_mL"))))</f>
        <v/>
      </c>
      <c r="L405" s="25">
        <f>IF($A405="","",IF($C405&lt;&gt;"manual_titration_mL","",IFERROR(INDEX('3_可滴定酸度'!$E$6:$E$13,MATCH($I405,'3_可滴定酸度'!$B$6:$B$13,0)),"")))</f>
        <v/>
      </c>
      <c r="M405" s="25">
        <f>IF($A405="","",IF($C405&lt;&gt;"manual_titration_mL","",IFERROR(INDEX('3_可滴定酸度'!$F$6:$F$13,MATCH($I405,'3_可滴定酸度'!$B$6:$B$13,0)),"")))</f>
        <v/>
      </c>
      <c r="N405" s="24">
        <f>IF($A405="","",IF(OR(K405="",L405="",M405=""),"",K405*E405*L405/(M405*1000)*100))</f>
        <v/>
      </c>
      <c r="O405" s="24">
        <f>IF($A405="","",IF(N405="","",IF(COUNTIFS('1_原始數據'!$A$2:$A$1000,$A405,'1_原始數據'!$B$2:$B$1000,$B405,'1_原始數據'!$D$2:$D$1000,$D405,'1_原始數據'!$I$2:$I$1000,$I405,'1_原始數據'!$C$2:$C$1000,"pasco_pct_acid")=0,"",SUMIFS('1_原始數據'!$E$2:$E$1000,'1_原始數據'!$A$2:$A$1000,$A405,'1_原始數據'!$B$2:$B$1000,$B405,'1_原始數據'!$D$2:$D$1000,$D405,'1_原始數據'!$I$2:$I$1000,$I405,'1_原始數據'!$C$2:$C$1000,"pasco_pct_acid"))))</f>
        <v/>
      </c>
      <c r="P405" s="26">
        <f>IF($A405="","",IF(OR(N405="",O405=""),"",O405-N405))</f>
        <v/>
      </c>
      <c r="Q405" s="24">
        <f>IF($A405="","",IF(P405="","",(O405+N405)/2))</f>
        <v/>
      </c>
      <c r="R405" s="27">
        <f>IF($A405="","",IF(P405="","",COUNT($P$2:P405)))</f>
        <v/>
      </c>
    </row>
    <row r="406">
      <c r="J406" s="24">
        <f>IF($A406="","",IF($C406&lt;&gt;"khp_titration_mL","",IF(COUNTIFS('1_原始數據'!$A$2:$A$1000,$A406,'1_原始數據'!$B$2:$B$1000,$B406,'1_原始數據'!$D$2:$D$1000,$D406,'1_原始數據'!$C$2:$C$1000,"khp_mass_g")=0,"",SUMIFS('1_原始數據'!$E$2:$E$1000,'1_原始數據'!$A$2:$A$1000,$A406,'1_原始數據'!$B$2:$B$1000,$B406,'1_原始數據'!$D$2:$D$1000,$D406,'1_原始數據'!$C$2:$C$1000,"khp_mass_g")/('2_NaOH標定'!$C$5*$E406/1000))))</f>
        <v/>
      </c>
      <c r="K406" s="24">
        <f>IF($A406="","",IF($C406&lt;&gt;"manual_titration_mL","",IF(COUNTIFS('1_原始數據'!$A$2:$A$1000,$A406,'1_原始數據'!$C$2:$C$1000,"khp_titration_mL")=0,"",AVERAGEIFS('1_原始數據'!$J$2:$J$1000,'1_原始數據'!$A$2:$A$1000,$A406,'1_原始數據'!$C$2:$C$1000,"khp_titration_mL"))))</f>
        <v/>
      </c>
      <c r="L406" s="25">
        <f>IF($A406="","",IF($C406&lt;&gt;"manual_titration_mL","",IFERROR(INDEX('3_可滴定酸度'!$E$6:$E$13,MATCH($I406,'3_可滴定酸度'!$B$6:$B$13,0)),"")))</f>
        <v/>
      </c>
      <c r="M406" s="25">
        <f>IF($A406="","",IF($C406&lt;&gt;"manual_titration_mL","",IFERROR(INDEX('3_可滴定酸度'!$F$6:$F$13,MATCH($I406,'3_可滴定酸度'!$B$6:$B$13,0)),"")))</f>
        <v/>
      </c>
      <c r="N406" s="24">
        <f>IF($A406="","",IF(OR(K406="",L406="",M406=""),"",K406*E406*L406/(M406*1000)*100))</f>
        <v/>
      </c>
      <c r="O406" s="24">
        <f>IF($A406="","",IF(N406="","",IF(COUNTIFS('1_原始數據'!$A$2:$A$1000,$A406,'1_原始數據'!$B$2:$B$1000,$B406,'1_原始數據'!$D$2:$D$1000,$D406,'1_原始數據'!$I$2:$I$1000,$I406,'1_原始數據'!$C$2:$C$1000,"pasco_pct_acid")=0,"",SUMIFS('1_原始數據'!$E$2:$E$1000,'1_原始數據'!$A$2:$A$1000,$A406,'1_原始數據'!$B$2:$B$1000,$B406,'1_原始數據'!$D$2:$D$1000,$D406,'1_原始數據'!$I$2:$I$1000,$I406,'1_原始數據'!$C$2:$C$1000,"pasco_pct_acid"))))</f>
        <v/>
      </c>
      <c r="P406" s="26">
        <f>IF($A406="","",IF(OR(N406="",O406=""),"",O406-N406))</f>
        <v/>
      </c>
      <c r="Q406" s="24">
        <f>IF($A406="","",IF(P406="","",(O406+N406)/2))</f>
        <v/>
      </c>
      <c r="R406" s="27">
        <f>IF($A406="","",IF(P406="","",COUNT($P$2:P406)))</f>
        <v/>
      </c>
    </row>
    <row r="407">
      <c r="J407" s="24">
        <f>IF($A407="","",IF($C407&lt;&gt;"khp_titration_mL","",IF(COUNTIFS('1_原始數據'!$A$2:$A$1000,$A407,'1_原始數據'!$B$2:$B$1000,$B407,'1_原始數據'!$D$2:$D$1000,$D407,'1_原始數據'!$C$2:$C$1000,"khp_mass_g")=0,"",SUMIFS('1_原始數據'!$E$2:$E$1000,'1_原始數據'!$A$2:$A$1000,$A407,'1_原始數據'!$B$2:$B$1000,$B407,'1_原始數據'!$D$2:$D$1000,$D407,'1_原始數據'!$C$2:$C$1000,"khp_mass_g")/('2_NaOH標定'!$C$5*$E407/1000))))</f>
        <v/>
      </c>
      <c r="K407" s="24">
        <f>IF($A407="","",IF($C407&lt;&gt;"manual_titration_mL","",IF(COUNTIFS('1_原始數據'!$A$2:$A$1000,$A407,'1_原始數據'!$C$2:$C$1000,"khp_titration_mL")=0,"",AVERAGEIFS('1_原始數據'!$J$2:$J$1000,'1_原始數據'!$A$2:$A$1000,$A407,'1_原始數據'!$C$2:$C$1000,"khp_titration_mL"))))</f>
        <v/>
      </c>
      <c r="L407" s="25">
        <f>IF($A407="","",IF($C407&lt;&gt;"manual_titration_mL","",IFERROR(INDEX('3_可滴定酸度'!$E$6:$E$13,MATCH($I407,'3_可滴定酸度'!$B$6:$B$13,0)),"")))</f>
        <v/>
      </c>
      <c r="M407" s="25">
        <f>IF($A407="","",IF($C407&lt;&gt;"manual_titration_mL","",IFERROR(INDEX('3_可滴定酸度'!$F$6:$F$13,MATCH($I407,'3_可滴定酸度'!$B$6:$B$13,0)),"")))</f>
        <v/>
      </c>
      <c r="N407" s="24">
        <f>IF($A407="","",IF(OR(K407="",L407="",M407=""),"",K407*E407*L407/(M407*1000)*100))</f>
        <v/>
      </c>
      <c r="O407" s="24">
        <f>IF($A407="","",IF(N407="","",IF(COUNTIFS('1_原始數據'!$A$2:$A$1000,$A407,'1_原始數據'!$B$2:$B$1000,$B407,'1_原始數據'!$D$2:$D$1000,$D407,'1_原始數據'!$I$2:$I$1000,$I407,'1_原始數據'!$C$2:$C$1000,"pasco_pct_acid")=0,"",SUMIFS('1_原始數據'!$E$2:$E$1000,'1_原始數據'!$A$2:$A$1000,$A407,'1_原始數據'!$B$2:$B$1000,$B407,'1_原始數據'!$D$2:$D$1000,$D407,'1_原始數據'!$I$2:$I$1000,$I407,'1_原始數據'!$C$2:$C$1000,"pasco_pct_acid"))))</f>
        <v/>
      </c>
      <c r="P407" s="26">
        <f>IF($A407="","",IF(OR(N407="",O407=""),"",O407-N407))</f>
        <v/>
      </c>
      <c r="Q407" s="24">
        <f>IF($A407="","",IF(P407="","",(O407+N407)/2))</f>
        <v/>
      </c>
      <c r="R407" s="27">
        <f>IF($A407="","",IF(P407="","",COUNT($P$2:P407)))</f>
        <v/>
      </c>
    </row>
    <row r="408">
      <c r="J408" s="24">
        <f>IF($A408="","",IF($C408&lt;&gt;"khp_titration_mL","",IF(COUNTIFS('1_原始數據'!$A$2:$A$1000,$A408,'1_原始數據'!$B$2:$B$1000,$B408,'1_原始數據'!$D$2:$D$1000,$D408,'1_原始數據'!$C$2:$C$1000,"khp_mass_g")=0,"",SUMIFS('1_原始數據'!$E$2:$E$1000,'1_原始數據'!$A$2:$A$1000,$A408,'1_原始數據'!$B$2:$B$1000,$B408,'1_原始數據'!$D$2:$D$1000,$D408,'1_原始數據'!$C$2:$C$1000,"khp_mass_g")/('2_NaOH標定'!$C$5*$E408/1000))))</f>
        <v/>
      </c>
      <c r="K408" s="24">
        <f>IF($A408="","",IF($C408&lt;&gt;"manual_titration_mL","",IF(COUNTIFS('1_原始數據'!$A$2:$A$1000,$A408,'1_原始數據'!$C$2:$C$1000,"khp_titration_mL")=0,"",AVERAGEIFS('1_原始數據'!$J$2:$J$1000,'1_原始數據'!$A$2:$A$1000,$A408,'1_原始數據'!$C$2:$C$1000,"khp_titration_mL"))))</f>
        <v/>
      </c>
      <c r="L408" s="25">
        <f>IF($A408="","",IF($C408&lt;&gt;"manual_titration_mL","",IFERROR(INDEX('3_可滴定酸度'!$E$6:$E$13,MATCH($I408,'3_可滴定酸度'!$B$6:$B$13,0)),"")))</f>
        <v/>
      </c>
      <c r="M408" s="25">
        <f>IF($A408="","",IF($C408&lt;&gt;"manual_titration_mL","",IFERROR(INDEX('3_可滴定酸度'!$F$6:$F$13,MATCH($I408,'3_可滴定酸度'!$B$6:$B$13,0)),"")))</f>
        <v/>
      </c>
      <c r="N408" s="24">
        <f>IF($A408="","",IF(OR(K408="",L408="",M408=""),"",K408*E408*L408/(M408*1000)*100))</f>
        <v/>
      </c>
      <c r="O408" s="24">
        <f>IF($A408="","",IF(N408="","",IF(COUNTIFS('1_原始數據'!$A$2:$A$1000,$A408,'1_原始數據'!$B$2:$B$1000,$B408,'1_原始數據'!$D$2:$D$1000,$D408,'1_原始數據'!$I$2:$I$1000,$I408,'1_原始數據'!$C$2:$C$1000,"pasco_pct_acid")=0,"",SUMIFS('1_原始數據'!$E$2:$E$1000,'1_原始數據'!$A$2:$A$1000,$A408,'1_原始數據'!$B$2:$B$1000,$B408,'1_原始數據'!$D$2:$D$1000,$D408,'1_原始數據'!$I$2:$I$1000,$I408,'1_原始數據'!$C$2:$C$1000,"pasco_pct_acid"))))</f>
        <v/>
      </c>
      <c r="P408" s="26">
        <f>IF($A408="","",IF(OR(N408="",O408=""),"",O408-N408))</f>
        <v/>
      </c>
      <c r="Q408" s="24">
        <f>IF($A408="","",IF(P408="","",(O408+N408)/2))</f>
        <v/>
      </c>
      <c r="R408" s="27">
        <f>IF($A408="","",IF(P408="","",COUNT($P$2:P408)))</f>
        <v/>
      </c>
    </row>
    <row r="409">
      <c r="J409" s="24">
        <f>IF($A409="","",IF($C409&lt;&gt;"khp_titration_mL","",IF(COUNTIFS('1_原始數據'!$A$2:$A$1000,$A409,'1_原始數據'!$B$2:$B$1000,$B409,'1_原始數據'!$D$2:$D$1000,$D409,'1_原始數據'!$C$2:$C$1000,"khp_mass_g")=0,"",SUMIFS('1_原始數據'!$E$2:$E$1000,'1_原始數據'!$A$2:$A$1000,$A409,'1_原始數據'!$B$2:$B$1000,$B409,'1_原始數據'!$D$2:$D$1000,$D409,'1_原始數據'!$C$2:$C$1000,"khp_mass_g")/('2_NaOH標定'!$C$5*$E409/1000))))</f>
        <v/>
      </c>
      <c r="K409" s="24">
        <f>IF($A409="","",IF($C409&lt;&gt;"manual_titration_mL","",IF(COUNTIFS('1_原始數據'!$A$2:$A$1000,$A409,'1_原始數據'!$C$2:$C$1000,"khp_titration_mL")=0,"",AVERAGEIFS('1_原始數據'!$J$2:$J$1000,'1_原始數據'!$A$2:$A$1000,$A409,'1_原始數據'!$C$2:$C$1000,"khp_titration_mL"))))</f>
        <v/>
      </c>
      <c r="L409" s="25">
        <f>IF($A409="","",IF($C409&lt;&gt;"manual_titration_mL","",IFERROR(INDEX('3_可滴定酸度'!$E$6:$E$13,MATCH($I409,'3_可滴定酸度'!$B$6:$B$13,0)),"")))</f>
        <v/>
      </c>
      <c r="M409" s="25">
        <f>IF($A409="","",IF($C409&lt;&gt;"manual_titration_mL","",IFERROR(INDEX('3_可滴定酸度'!$F$6:$F$13,MATCH($I409,'3_可滴定酸度'!$B$6:$B$13,0)),"")))</f>
        <v/>
      </c>
      <c r="N409" s="24">
        <f>IF($A409="","",IF(OR(K409="",L409="",M409=""),"",K409*E409*L409/(M409*1000)*100))</f>
        <v/>
      </c>
      <c r="O409" s="24">
        <f>IF($A409="","",IF(N409="","",IF(COUNTIFS('1_原始數據'!$A$2:$A$1000,$A409,'1_原始數據'!$B$2:$B$1000,$B409,'1_原始數據'!$D$2:$D$1000,$D409,'1_原始數據'!$I$2:$I$1000,$I409,'1_原始數據'!$C$2:$C$1000,"pasco_pct_acid")=0,"",SUMIFS('1_原始數據'!$E$2:$E$1000,'1_原始數據'!$A$2:$A$1000,$A409,'1_原始數據'!$B$2:$B$1000,$B409,'1_原始數據'!$D$2:$D$1000,$D409,'1_原始數據'!$I$2:$I$1000,$I409,'1_原始數據'!$C$2:$C$1000,"pasco_pct_acid"))))</f>
        <v/>
      </c>
      <c r="P409" s="26">
        <f>IF($A409="","",IF(OR(N409="",O409=""),"",O409-N409))</f>
        <v/>
      </c>
      <c r="Q409" s="24">
        <f>IF($A409="","",IF(P409="","",(O409+N409)/2))</f>
        <v/>
      </c>
      <c r="R409" s="27">
        <f>IF($A409="","",IF(P409="","",COUNT($P$2:P409)))</f>
        <v/>
      </c>
    </row>
    <row r="410">
      <c r="J410" s="24">
        <f>IF($A410="","",IF($C410&lt;&gt;"khp_titration_mL","",IF(COUNTIFS('1_原始數據'!$A$2:$A$1000,$A410,'1_原始數據'!$B$2:$B$1000,$B410,'1_原始數據'!$D$2:$D$1000,$D410,'1_原始數據'!$C$2:$C$1000,"khp_mass_g")=0,"",SUMIFS('1_原始數據'!$E$2:$E$1000,'1_原始數據'!$A$2:$A$1000,$A410,'1_原始數據'!$B$2:$B$1000,$B410,'1_原始數據'!$D$2:$D$1000,$D410,'1_原始數據'!$C$2:$C$1000,"khp_mass_g")/('2_NaOH標定'!$C$5*$E410/1000))))</f>
        <v/>
      </c>
      <c r="K410" s="24">
        <f>IF($A410="","",IF($C410&lt;&gt;"manual_titration_mL","",IF(COUNTIFS('1_原始數據'!$A$2:$A$1000,$A410,'1_原始數據'!$C$2:$C$1000,"khp_titration_mL")=0,"",AVERAGEIFS('1_原始數據'!$J$2:$J$1000,'1_原始數據'!$A$2:$A$1000,$A410,'1_原始數據'!$C$2:$C$1000,"khp_titration_mL"))))</f>
        <v/>
      </c>
      <c r="L410" s="25">
        <f>IF($A410="","",IF($C410&lt;&gt;"manual_titration_mL","",IFERROR(INDEX('3_可滴定酸度'!$E$6:$E$13,MATCH($I410,'3_可滴定酸度'!$B$6:$B$13,0)),"")))</f>
        <v/>
      </c>
      <c r="M410" s="25">
        <f>IF($A410="","",IF($C410&lt;&gt;"manual_titration_mL","",IFERROR(INDEX('3_可滴定酸度'!$F$6:$F$13,MATCH($I410,'3_可滴定酸度'!$B$6:$B$13,0)),"")))</f>
        <v/>
      </c>
      <c r="N410" s="24">
        <f>IF($A410="","",IF(OR(K410="",L410="",M410=""),"",K410*E410*L410/(M410*1000)*100))</f>
        <v/>
      </c>
      <c r="O410" s="24">
        <f>IF($A410="","",IF(N410="","",IF(COUNTIFS('1_原始數據'!$A$2:$A$1000,$A410,'1_原始數據'!$B$2:$B$1000,$B410,'1_原始數據'!$D$2:$D$1000,$D410,'1_原始數據'!$I$2:$I$1000,$I410,'1_原始數據'!$C$2:$C$1000,"pasco_pct_acid")=0,"",SUMIFS('1_原始數據'!$E$2:$E$1000,'1_原始數據'!$A$2:$A$1000,$A410,'1_原始數據'!$B$2:$B$1000,$B410,'1_原始數據'!$D$2:$D$1000,$D410,'1_原始數據'!$I$2:$I$1000,$I410,'1_原始數據'!$C$2:$C$1000,"pasco_pct_acid"))))</f>
        <v/>
      </c>
      <c r="P410" s="26">
        <f>IF($A410="","",IF(OR(N410="",O410=""),"",O410-N410))</f>
        <v/>
      </c>
      <c r="Q410" s="24">
        <f>IF($A410="","",IF(P410="","",(O410+N410)/2))</f>
        <v/>
      </c>
      <c r="R410" s="27">
        <f>IF($A410="","",IF(P410="","",COUNT($P$2:P410)))</f>
        <v/>
      </c>
    </row>
    <row r="411">
      <c r="J411" s="24">
        <f>IF($A411="","",IF($C411&lt;&gt;"khp_titration_mL","",IF(COUNTIFS('1_原始數據'!$A$2:$A$1000,$A411,'1_原始數據'!$B$2:$B$1000,$B411,'1_原始數據'!$D$2:$D$1000,$D411,'1_原始數據'!$C$2:$C$1000,"khp_mass_g")=0,"",SUMIFS('1_原始數據'!$E$2:$E$1000,'1_原始數據'!$A$2:$A$1000,$A411,'1_原始數據'!$B$2:$B$1000,$B411,'1_原始數據'!$D$2:$D$1000,$D411,'1_原始數據'!$C$2:$C$1000,"khp_mass_g")/('2_NaOH標定'!$C$5*$E411/1000))))</f>
        <v/>
      </c>
      <c r="K411" s="24">
        <f>IF($A411="","",IF($C411&lt;&gt;"manual_titration_mL","",IF(COUNTIFS('1_原始數據'!$A$2:$A$1000,$A411,'1_原始數據'!$C$2:$C$1000,"khp_titration_mL")=0,"",AVERAGEIFS('1_原始數據'!$J$2:$J$1000,'1_原始數據'!$A$2:$A$1000,$A411,'1_原始數據'!$C$2:$C$1000,"khp_titration_mL"))))</f>
        <v/>
      </c>
      <c r="L411" s="25">
        <f>IF($A411="","",IF($C411&lt;&gt;"manual_titration_mL","",IFERROR(INDEX('3_可滴定酸度'!$E$6:$E$13,MATCH($I411,'3_可滴定酸度'!$B$6:$B$13,0)),"")))</f>
        <v/>
      </c>
      <c r="M411" s="25">
        <f>IF($A411="","",IF($C411&lt;&gt;"manual_titration_mL","",IFERROR(INDEX('3_可滴定酸度'!$F$6:$F$13,MATCH($I411,'3_可滴定酸度'!$B$6:$B$13,0)),"")))</f>
        <v/>
      </c>
      <c r="N411" s="24">
        <f>IF($A411="","",IF(OR(K411="",L411="",M411=""),"",K411*E411*L411/(M411*1000)*100))</f>
        <v/>
      </c>
      <c r="O411" s="24">
        <f>IF($A411="","",IF(N411="","",IF(COUNTIFS('1_原始數據'!$A$2:$A$1000,$A411,'1_原始數據'!$B$2:$B$1000,$B411,'1_原始數據'!$D$2:$D$1000,$D411,'1_原始數據'!$I$2:$I$1000,$I411,'1_原始數據'!$C$2:$C$1000,"pasco_pct_acid")=0,"",SUMIFS('1_原始數據'!$E$2:$E$1000,'1_原始數據'!$A$2:$A$1000,$A411,'1_原始數據'!$B$2:$B$1000,$B411,'1_原始數據'!$D$2:$D$1000,$D411,'1_原始數據'!$I$2:$I$1000,$I411,'1_原始數據'!$C$2:$C$1000,"pasco_pct_acid"))))</f>
        <v/>
      </c>
      <c r="P411" s="26">
        <f>IF($A411="","",IF(OR(N411="",O411=""),"",O411-N411))</f>
        <v/>
      </c>
      <c r="Q411" s="24">
        <f>IF($A411="","",IF(P411="","",(O411+N411)/2))</f>
        <v/>
      </c>
      <c r="R411" s="27">
        <f>IF($A411="","",IF(P411="","",COUNT($P$2:P411)))</f>
        <v/>
      </c>
    </row>
    <row r="412">
      <c r="J412" s="24">
        <f>IF($A412="","",IF($C412&lt;&gt;"khp_titration_mL","",IF(COUNTIFS('1_原始數據'!$A$2:$A$1000,$A412,'1_原始數據'!$B$2:$B$1000,$B412,'1_原始數據'!$D$2:$D$1000,$D412,'1_原始數據'!$C$2:$C$1000,"khp_mass_g")=0,"",SUMIFS('1_原始數據'!$E$2:$E$1000,'1_原始數據'!$A$2:$A$1000,$A412,'1_原始數據'!$B$2:$B$1000,$B412,'1_原始數據'!$D$2:$D$1000,$D412,'1_原始數據'!$C$2:$C$1000,"khp_mass_g")/('2_NaOH標定'!$C$5*$E412/1000))))</f>
        <v/>
      </c>
      <c r="K412" s="24">
        <f>IF($A412="","",IF($C412&lt;&gt;"manual_titration_mL","",IF(COUNTIFS('1_原始數據'!$A$2:$A$1000,$A412,'1_原始數據'!$C$2:$C$1000,"khp_titration_mL")=0,"",AVERAGEIFS('1_原始數據'!$J$2:$J$1000,'1_原始數據'!$A$2:$A$1000,$A412,'1_原始數據'!$C$2:$C$1000,"khp_titration_mL"))))</f>
        <v/>
      </c>
      <c r="L412" s="25">
        <f>IF($A412="","",IF($C412&lt;&gt;"manual_titration_mL","",IFERROR(INDEX('3_可滴定酸度'!$E$6:$E$13,MATCH($I412,'3_可滴定酸度'!$B$6:$B$13,0)),"")))</f>
        <v/>
      </c>
      <c r="M412" s="25">
        <f>IF($A412="","",IF($C412&lt;&gt;"manual_titration_mL","",IFERROR(INDEX('3_可滴定酸度'!$F$6:$F$13,MATCH($I412,'3_可滴定酸度'!$B$6:$B$13,0)),"")))</f>
        <v/>
      </c>
      <c r="N412" s="24">
        <f>IF($A412="","",IF(OR(K412="",L412="",M412=""),"",K412*E412*L412/(M412*1000)*100))</f>
        <v/>
      </c>
      <c r="O412" s="24">
        <f>IF($A412="","",IF(N412="","",IF(COUNTIFS('1_原始數據'!$A$2:$A$1000,$A412,'1_原始數據'!$B$2:$B$1000,$B412,'1_原始數據'!$D$2:$D$1000,$D412,'1_原始數據'!$I$2:$I$1000,$I412,'1_原始數據'!$C$2:$C$1000,"pasco_pct_acid")=0,"",SUMIFS('1_原始數據'!$E$2:$E$1000,'1_原始數據'!$A$2:$A$1000,$A412,'1_原始數據'!$B$2:$B$1000,$B412,'1_原始數據'!$D$2:$D$1000,$D412,'1_原始數據'!$I$2:$I$1000,$I412,'1_原始數據'!$C$2:$C$1000,"pasco_pct_acid"))))</f>
        <v/>
      </c>
      <c r="P412" s="26">
        <f>IF($A412="","",IF(OR(N412="",O412=""),"",O412-N412))</f>
        <v/>
      </c>
      <c r="Q412" s="24">
        <f>IF($A412="","",IF(P412="","",(O412+N412)/2))</f>
        <v/>
      </c>
      <c r="R412" s="27">
        <f>IF($A412="","",IF(P412="","",COUNT($P$2:P412)))</f>
        <v/>
      </c>
    </row>
    <row r="413">
      <c r="J413" s="24">
        <f>IF($A413="","",IF($C413&lt;&gt;"khp_titration_mL","",IF(COUNTIFS('1_原始數據'!$A$2:$A$1000,$A413,'1_原始數據'!$B$2:$B$1000,$B413,'1_原始數據'!$D$2:$D$1000,$D413,'1_原始數據'!$C$2:$C$1000,"khp_mass_g")=0,"",SUMIFS('1_原始數據'!$E$2:$E$1000,'1_原始數據'!$A$2:$A$1000,$A413,'1_原始數據'!$B$2:$B$1000,$B413,'1_原始數據'!$D$2:$D$1000,$D413,'1_原始數據'!$C$2:$C$1000,"khp_mass_g")/('2_NaOH標定'!$C$5*$E413/1000))))</f>
        <v/>
      </c>
      <c r="K413" s="24">
        <f>IF($A413="","",IF($C413&lt;&gt;"manual_titration_mL","",IF(COUNTIFS('1_原始數據'!$A$2:$A$1000,$A413,'1_原始數據'!$C$2:$C$1000,"khp_titration_mL")=0,"",AVERAGEIFS('1_原始數據'!$J$2:$J$1000,'1_原始數據'!$A$2:$A$1000,$A413,'1_原始數據'!$C$2:$C$1000,"khp_titration_mL"))))</f>
        <v/>
      </c>
      <c r="L413" s="25">
        <f>IF($A413="","",IF($C413&lt;&gt;"manual_titration_mL","",IFERROR(INDEX('3_可滴定酸度'!$E$6:$E$13,MATCH($I413,'3_可滴定酸度'!$B$6:$B$13,0)),"")))</f>
        <v/>
      </c>
      <c r="M413" s="25">
        <f>IF($A413="","",IF($C413&lt;&gt;"manual_titration_mL","",IFERROR(INDEX('3_可滴定酸度'!$F$6:$F$13,MATCH($I413,'3_可滴定酸度'!$B$6:$B$13,0)),"")))</f>
        <v/>
      </c>
      <c r="N413" s="24">
        <f>IF($A413="","",IF(OR(K413="",L413="",M413=""),"",K413*E413*L413/(M413*1000)*100))</f>
        <v/>
      </c>
      <c r="O413" s="24">
        <f>IF($A413="","",IF(N413="","",IF(COUNTIFS('1_原始數據'!$A$2:$A$1000,$A413,'1_原始數據'!$B$2:$B$1000,$B413,'1_原始數據'!$D$2:$D$1000,$D413,'1_原始數據'!$I$2:$I$1000,$I413,'1_原始數據'!$C$2:$C$1000,"pasco_pct_acid")=0,"",SUMIFS('1_原始數據'!$E$2:$E$1000,'1_原始數據'!$A$2:$A$1000,$A413,'1_原始數據'!$B$2:$B$1000,$B413,'1_原始數據'!$D$2:$D$1000,$D413,'1_原始數據'!$I$2:$I$1000,$I413,'1_原始數據'!$C$2:$C$1000,"pasco_pct_acid"))))</f>
        <v/>
      </c>
      <c r="P413" s="26">
        <f>IF($A413="","",IF(OR(N413="",O413=""),"",O413-N413))</f>
        <v/>
      </c>
      <c r="Q413" s="24">
        <f>IF($A413="","",IF(P413="","",(O413+N413)/2))</f>
        <v/>
      </c>
      <c r="R413" s="27">
        <f>IF($A413="","",IF(P413="","",COUNT($P$2:P413)))</f>
        <v/>
      </c>
    </row>
    <row r="414">
      <c r="J414" s="24">
        <f>IF($A414="","",IF($C414&lt;&gt;"khp_titration_mL","",IF(COUNTIFS('1_原始數據'!$A$2:$A$1000,$A414,'1_原始數據'!$B$2:$B$1000,$B414,'1_原始數據'!$D$2:$D$1000,$D414,'1_原始數據'!$C$2:$C$1000,"khp_mass_g")=0,"",SUMIFS('1_原始數據'!$E$2:$E$1000,'1_原始數據'!$A$2:$A$1000,$A414,'1_原始數據'!$B$2:$B$1000,$B414,'1_原始數據'!$D$2:$D$1000,$D414,'1_原始數據'!$C$2:$C$1000,"khp_mass_g")/('2_NaOH標定'!$C$5*$E414/1000))))</f>
        <v/>
      </c>
      <c r="K414" s="24">
        <f>IF($A414="","",IF($C414&lt;&gt;"manual_titration_mL","",IF(COUNTIFS('1_原始數據'!$A$2:$A$1000,$A414,'1_原始數據'!$C$2:$C$1000,"khp_titration_mL")=0,"",AVERAGEIFS('1_原始數據'!$J$2:$J$1000,'1_原始數據'!$A$2:$A$1000,$A414,'1_原始數據'!$C$2:$C$1000,"khp_titration_mL"))))</f>
        <v/>
      </c>
      <c r="L414" s="25">
        <f>IF($A414="","",IF($C414&lt;&gt;"manual_titration_mL","",IFERROR(INDEX('3_可滴定酸度'!$E$6:$E$13,MATCH($I414,'3_可滴定酸度'!$B$6:$B$13,0)),"")))</f>
        <v/>
      </c>
      <c r="M414" s="25">
        <f>IF($A414="","",IF($C414&lt;&gt;"manual_titration_mL","",IFERROR(INDEX('3_可滴定酸度'!$F$6:$F$13,MATCH($I414,'3_可滴定酸度'!$B$6:$B$13,0)),"")))</f>
        <v/>
      </c>
      <c r="N414" s="24">
        <f>IF($A414="","",IF(OR(K414="",L414="",M414=""),"",K414*E414*L414/(M414*1000)*100))</f>
        <v/>
      </c>
      <c r="O414" s="24">
        <f>IF($A414="","",IF(N414="","",IF(COUNTIFS('1_原始數據'!$A$2:$A$1000,$A414,'1_原始數據'!$B$2:$B$1000,$B414,'1_原始數據'!$D$2:$D$1000,$D414,'1_原始數據'!$I$2:$I$1000,$I414,'1_原始數據'!$C$2:$C$1000,"pasco_pct_acid")=0,"",SUMIFS('1_原始數據'!$E$2:$E$1000,'1_原始數據'!$A$2:$A$1000,$A414,'1_原始數據'!$B$2:$B$1000,$B414,'1_原始數據'!$D$2:$D$1000,$D414,'1_原始數據'!$I$2:$I$1000,$I414,'1_原始數據'!$C$2:$C$1000,"pasco_pct_acid"))))</f>
        <v/>
      </c>
      <c r="P414" s="26">
        <f>IF($A414="","",IF(OR(N414="",O414=""),"",O414-N414))</f>
        <v/>
      </c>
      <c r="Q414" s="24">
        <f>IF($A414="","",IF(P414="","",(O414+N414)/2))</f>
        <v/>
      </c>
      <c r="R414" s="27">
        <f>IF($A414="","",IF(P414="","",COUNT($P$2:P414)))</f>
        <v/>
      </c>
    </row>
    <row r="415">
      <c r="J415" s="24">
        <f>IF($A415="","",IF($C415&lt;&gt;"khp_titration_mL","",IF(COUNTIFS('1_原始數據'!$A$2:$A$1000,$A415,'1_原始數據'!$B$2:$B$1000,$B415,'1_原始數據'!$D$2:$D$1000,$D415,'1_原始數據'!$C$2:$C$1000,"khp_mass_g")=0,"",SUMIFS('1_原始數據'!$E$2:$E$1000,'1_原始數據'!$A$2:$A$1000,$A415,'1_原始數據'!$B$2:$B$1000,$B415,'1_原始數據'!$D$2:$D$1000,$D415,'1_原始數據'!$C$2:$C$1000,"khp_mass_g")/('2_NaOH標定'!$C$5*$E415/1000))))</f>
        <v/>
      </c>
      <c r="K415" s="24">
        <f>IF($A415="","",IF($C415&lt;&gt;"manual_titration_mL","",IF(COUNTIFS('1_原始數據'!$A$2:$A$1000,$A415,'1_原始數據'!$C$2:$C$1000,"khp_titration_mL")=0,"",AVERAGEIFS('1_原始數據'!$J$2:$J$1000,'1_原始數據'!$A$2:$A$1000,$A415,'1_原始數據'!$C$2:$C$1000,"khp_titration_mL"))))</f>
        <v/>
      </c>
      <c r="L415" s="25">
        <f>IF($A415="","",IF($C415&lt;&gt;"manual_titration_mL","",IFERROR(INDEX('3_可滴定酸度'!$E$6:$E$13,MATCH($I415,'3_可滴定酸度'!$B$6:$B$13,0)),"")))</f>
        <v/>
      </c>
      <c r="M415" s="25">
        <f>IF($A415="","",IF($C415&lt;&gt;"manual_titration_mL","",IFERROR(INDEX('3_可滴定酸度'!$F$6:$F$13,MATCH($I415,'3_可滴定酸度'!$B$6:$B$13,0)),"")))</f>
        <v/>
      </c>
      <c r="N415" s="24">
        <f>IF($A415="","",IF(OR(K415="",L415="",M415=""),"",K415*E415*L415/(M415*1000)*100))</f>
        <v/>
      </c>
      <c r="O415" s="24">
        <f>IF($A415="","",IF(N415="","",IF(COUNTIFS('1_原始數據'!$A$2:$A$1000,$A415,'1_原始數據'!$B$2:$B$1000,$B415,'1_原始數據'!$D$2:$D$1000,$D415,'1_原始數據'!$I$2:$I$1000,$I415,'1_原始數據'!$C$2:$C$1000,"pasco_pct_acid")=0,"",SUMIFS('1_原始數據'!$E$2:$E$1000,'1_原始數據'!$A$2:$A$1000,$A415,'1_原始數據'!$B$2:$B$1000,$B415,'1_原始數據'!$D$2:$D$1000,$D415,'1_原始數據'!$I$2:$I$1000,$I415,'1_原始數據'!$C$2:$C$1000,"pasco_pct_acid"))))</f>
        <v/>
      </c>
      <c r="P415" s="26">
        <f>IF($A415="","",IF(OR(N415="",O415=""),"",O415-N415))</f>
        <v/>
      </c>
      <c r="Q415" s="24">
        <f>IF($A415="","",IF(P415="","",(O415+N415)/2))</f>
        <v/>
      </c>
      <c r="R415" s="27">
        <f>IF($A415="","",IF(P415="","",COUNT($P$2:P415)))</f>
        <v/>
      </c>
    </row>
    <row r="416">
      <c r="J416" s="24">
        <f>IF($A416="","",IF($C416&lt;&gt;"khp_titration_mL","",IF(COUNTIFS('1_原始數據'!$A$2:$A$1000,$A416,'1_原始數據'!$B$2:$B$1000,$B416,'1_原始數據'!$D$2:$D$1000,$D416,'1_原始數據'!$C$2:$C$1000,"khp_mass_g")=0,"",SUMIFS('1_原始數據'!$E$2:$E$1000,'1_原始數據'!$A$2:$A$1000,$A416,'1_原始數據'!$B$2:$B$1000,$B416,'1_原始數據'!$D$2:$D$1000,$D416,'1_原始數據'!$C$2:$C$1000,"khp_mass_g")/('2_NaOH標定'!$C$5*$E416/1000))))</f>
        <v/>
      </c>
      <c r="K416" s="24">
        <f>IF($A416="","",IF($C416&lt;&gt;"manual_titration_mL","",IF(COUNTIFS('1_原始數據'!$A$2:$A$1000,$A416,'1_原始數據'!$C$2:$C$1000,"khp_titration_mL")=0,"",AVERAGEIFS('1_原始數據'!$J$2:$J$1000,'1_原始數據'!$A$2:$A$1000,$A416,'1_原始數據'!$C$2:$C$1000,"khp_titration_mL"))))</f>
        <v/>
      </c>
      <c r="L416" s="25">
        <f>IF($A416="","",IF($C416&lt;&gt;"manual_titration_mL","",IFERROR(INDEX('3_可滴定酸度'!$E$6:$E$13,MATCH($I416,'3_可滴定酸度'!$B$6:$B$13,0)),"")))</f>
        <v/>
      </c>
      <c r="M416" s="25">
        <f>IF($A416="","",IF($C416&lt;&gt;"manual_titration_mL","",IFERROR(INDEX('3_可滴定酸度'!$F$6:$F$13,MATCH($I416,'3_可滴定酸度'!$B$6:$B$13,0)),"")))</f>
        <v/>
      </c>
      <c r="N416" s="24">
        <f>IF($A416="","",IF(OR(K416="",L416="",M416=""),"",K416*E416*L416/(M416*1000)*100))</f>
        <v/>
      </c>
      <c r="O416" s="24">
        <f>IF($A416="","",IF(N416="","",IF(COUNTIFS('1_原始數據'!$A$2:$A$1000,$A416,'1_原始數據'!$B$2:$B$1000,$B416,'1_原始數據'!$D$2:$D$1000,$D416,'1_原始數據'!$I$2:$I$1000,$I416,'1_原始數據'!$C$2:$C$1000,"pasco_pct_acid")=0,"",SUMIFS('1_原始數據'!$E$2:$E$1000,'1_原始數據'!$A$2:$A$1000,$A416,'1_原始數據'!$B$2:$B$1000,$B416,'1_原始數據'!$D$2:$D$1000,$D416,'1_原始數據'!$I$2:$I$1000,$I416,'1_原始數據'!$C$2:$C$1000,"pasco_pct_acid"))))</f>
        <v/>
      </c>
      <c r="P416" s="26">
        <f>IF($A416="","",IF(OR(N416="",O416=""),"",O416-N416))</f>
        <v/>
      </c>
      <c r="Q416" s="24">
        <f>IF($A416="","",IF(P416="","",(O416+N416)/2))</f>
        <v/>
      </c>
      <c r="R416" s="27">
        <f>IF($A416="","",IF(P416="","",COUNT($P$2:P416)))</f>
        <v/>
      </c>
    </row>
    <row r="417">
      <c r="J417" s="24">
        <f>IF($A417="","",IF($C417&lt;&gt;"khp_titration_mL","",IF(COUNTIFS('1_原始數據'!$A$2:$A$1000,$A417,'1_原始數據'!$B$2:$B$1000,$B417,'1_原始數據'!$D$2:$D$1000,$D417,'1_原始數據'!$C$2:$C$1000,"khp_mass_g")=0,"",SUMIFS('1_原始數據'!$E$2:$E$1000,'1_原始數據'!$A$2:$A$1000,$A417,'1_原始數據'!$B$2:$B$1000,$B417,'1_原始數據'!$D$2:$D$1000,$D417,'1_原始數據'!$C$2:$C$1000,"khp_mass_g")/('2_NaOH標定'!$C$5*$E417/1000))))</f>
        <v/>
      </c>
      <c r="K417" s="24">
        <f>IF($A417="","",IF($C417&lt;&gt;"manual_titration_mL","",IF(COUNTIFS('1_原始數據'!$A$2:$A$1000,$A417,'1_原始數據'!$C$2:$C$1000,"khp_titration_mL")=0,"",AVERAGEIFS('1_原始數據'!$J$2:$J$1000,'1_原始數據'!$A$2:$A$1000,$A417,'1_原始數據'!$C$2:$C$1000,"khp_titration_mL"))))</f>
        <v/>
      </c>
      <c r="L417" s="25">
        <f>IF($A417="","",IF($C417&lt;&gt;"manual_titration_mL","",IFERROR(INDEX('3_可滴定酸度'!$E$6:$E$13,MATCH($I417,'3_可滴定酸度'!$B$6:$B$13,0)),"")))</f>
        <v/>
      </c>
      <c r="M417" s="25">
        <f>IF($A417="","",IF($C417&lt;&gt;"manual_titration_mL","",IFERROR(INDEX('3_可滴定酸度'!$F$6:$F$13,MATCH($I417,'3_可滴定酸度'!$B$6:$B$13,0)),"")))</f>
        <v/>
      </c>
      <c r="N417" s="24">
        <f>IF($A417="","",IF(OR(K417="",L417="",M417=""),"",K417*E417*L417/(M417*1000)*100))</f>
        <v/>
      </c>
      <c r="O417" s="24">
        <f>IF($A417="","",IF(N417="","",IF(COUNTIFS('1_原始數據'!$A$2:$A$1000,$A417,'1_原始數據'!$B$2:$B$1000,$B417,'1_原始數據'!$D$2:$D$1000,$D417,'1_原始數據'!$I$2:$I$1000,$I417,'1_原始數據'!$C$2:$C$1000,"pasco_pct_acid")=0,"",SUMIFS('1_原始數據'!$E$2:$E$1000,'1_原始數據'!$A$2:$A$1000,$A417,'1_原始數據'!$B$2:$B$1000,$B417,'1_原始數據'!$D$2:$D$1000,$D417,'1_原始數據'!$I$2:$I$1000,$I417,'1_原始數據'!$C$2:$C$1000,"pasco_pct_acid"))))</f>
        <v/>
      </c>
      <c r="P417" s="26">
        <f>IF($A417="","",IF(OR(N417="",O417=""),"",O417-N417))</f>
        <v/>
      </c>
      <c r="Q417" s="24">
        <f>IF($A417="","",IF(P417="","",(O417+N417)/2))</f>
        <v/>
      </c>
      <c r="R417" s="27">
        <f>IF($A417="","",IF(P417="","",COUNT($P$2:P417)))</f>
        <v/>
      </c>
    </row>
    <row r="418">
      <c r="J418" s="24">
        <f>IF($A418="","",IF($C418&lt;&gt;"khp_titration_mL","",IF(COUNTIFS('1_原始數據'!$A$2:$A$1000,$A418,'1_原始數據'!$B$2:$B$1000,$B418,'1_原始數據'!$D$2:$D$1000,$D418,'1_原始數據'!$C$2:$C$1000,"khp_mass_g")=0,"",SUMIFS('1_原始數據'!$E$2:$E$1000,'1_原始數據'!$A$2:$A$1000,$A418,'1_原始數據'!$B$2:$B$1000,$B418,'1_原始數據'!$D$2:$D$1000,$D418,'1_原始數據'!$C$2:$C$1000,"khp_mass_g")/('2_NaOH標定'!$C$5*$E418/1000))))</f>
        <v/>
      </c>
      <c r="K418" s="24">
        <f>IF($A418="","",IF($C418&lt;&gt;"manual_titration_mL","",IF(COUNTIFS('1_原始數據'!$A$2:$A$1000,$A418,'1_原始數據'!$C$2:$C$1000,"khp_titration_mL")=0,"",AVERAGEIFS('1_原始數據'!$J$2:$J$1000,'1_原始數據'!$A$2:$A$1000,$A418,'1_原始數據'!$C$2:$C$1000,"khp_titration_mL"))))</f>
        <v/>
      </c>
      <c r="L418" s="25">
        <f>IF($A418="","",IF($C418&lt;&gt;"manual_titration_mL","",IFERROR(INDEX('3_可滴定酸度'!$E$6:$E$13,MATCH($I418,'3_可滴定酸度'!$B$6:$B$13,0)),"")))</f>
        <v/>
      </c>
      <c r="M418" s="25">
        <f>IF($A418="","",IF($C418&lt;&gt;"manual_titration_mL","",IFERROR(INDEX('3_可滴定酸度'!$F$6:$F$13,MATCH($I418,'3_可滴定酸度'!$B$6:$B$13,0)),"")))</f>
        <v/>
      </c>
      <c r="N418" s="24">
        <f>IF($A418="","",IF(OR(K418="",L418="",M418=""),"",K418*E418*L418/(M418*1000)*100))</f>
        <v/>
      </c>
      <c r="O418" s="24">
        <f>IF($A418="","",IF(N418="","",IF(COUNTIFS('1_原始數據'!$A$2:$A$1000,$A418,'1_原始數據'!$B$2:$B$1000,$B418,'1_原始數據'!$D$2:$D$1000,$D418,'1_原始數據'!$I$2:$I$1000,$I418,'1_原始數據'!$C$2:$C$1000,"pasco_pct_acid")=0,"",SUMIFS('1_原始數據'!$E$2:$E$1000,'1_原始數據'!$A$2:$A$1000,$A418,'1_原始數據'!$B$2:$B$1000,$B418,'1_原始數據'!$D$2:$D$1000,$D418,'1_原始數據'!$I$2:$I$1000,$I418,'1_原始數據'!$C$2:$C$1000,"pasco_pct_acid"))))</f>
        <v/>
      </c>
      <c r="P418" s="26">
        <f>IF($A418="","",IF(OR(N418="",O418=""),"",O418-N418))</f>
        <v/>
      </c>
      <c r="Q418" s="24">
        <f>IF($A418="","",IF(P418="","",(O418+N418)/2))</f>
        <v/>
      </c>
      <c r="R418" s="27">
        <f>IF($A418="","",IF(P418="","",COUNT($P$2:P418)))</f>
        <v/>
      </c>
    </row>
    <row r="419">
      <c r="J419" s="24">
        <f>IF($A419="","",IF($C419&lt;&gt;"khp_titration_mL","",IF(COUNTIFS('1_原始數據'!$A$2:$A$1000,$A419,'1_原始數據'!$B$2:$B$1000,$B419,'1_原始數據'!$D$2:$D$1000,$D419,'1_原始數據'!$C$2:$C$1000,"khp_mass_g")=0,"",SUMIFS('1_原始數據'!$E$2:$E$1000,'1_原始數據'!$A$2:$A$1000,$A419,'1_原始數據'!$B$2:$B$1000,$B419,'1_原始數據'!$D$2:$D$1000,$D419,'1_原始數據'!$C$2:$C$1000,"khp_mass_g")/('2_NaOH標定'!$C$5*$E419/1000))))</f>
        <v/>
      </c>
      <c r="K419" s="24">
        <f>IF($A419="","",IF($C419&lt;&gt;"manual_titration_mL","",IF(COUNTIFS('1_原始數據'!$A$2:$A$1000,$A419,'1_原始數據'!$C$2:$C$1000,"khp_titration_mL")=0,"",AVERAGEIFS('1_原始數據'!$J$2:$J$1000,'1_原始數據'!$A$2:$A$1000,$A419,'1_原始數據'!$C$2:$C$1000,"khp_titration_mL"))))</f>
        <v/>
      </c>
      <c r="L419" s="25">
        <f>IF($A419="","",IF($C419&lt;&gt;"manual_titration_mL","",IFERROR(INDEX('3_可滴定酸度'!$E$6:$E$13,MATCH($I419,'3_可滴定酸度'!$B$6:$B$13,0)),"")))</f>
        <v/>
      </c>
      <c r="M419" s="25">
        <f>IF($A419="","",IF($C419&lt;&gt;"manual_titration_mL","",IFERROR(INDEX('3_可滴定酸度'!$F$6:$F$13,MATCH($I419,'3_可滴定酸度'!$B$6:$B$13,0)),"")))</f>
        <v/>
      </c>
      <c r="N419" s="24">
        <f>IF($A419="","",IF(OR(K419="",L419="",M419=""),"",K419*E419*L419/(M419*1000)*100))</f>
        <v/>
      </c>
      <c r="O419" s="24">
        <f>IF($A419="","",IF(N419="","",IF(COUNTIFS('1_原始數據'!$A$2:$A$1000,$A419,'1_原始數據'!$B$2:$B$1000,$B419,'1_原始數據'!$D$2:$D$1000,$D419,'1_原始數據'!$I$2:$I$1000,$I419,'1_原始數據'!$C$2:$C$1000,"pasco_pct_acid")=0,"",SUMIFS('1_原始數據'!$E$2:$E$1000,'1_原始數據'!$A$2:$A$1000,$A419,'1_原始數據'!$B$2:$B$1000,$B419,'1_原始數據'!$D$2:$D$1000,$D419,'1_原始數據'!$I$2:$I$1000,$I419,'1_原始數據'!$C$2:$C$1000,"pasco_pct_acid"))))</f>
        <v/>
      </c>
      <c r="P419" s="26">
        <f>IF($A419="","",IF(OR(N419="",O419=""),"",O419-N419))</f>
        <v/>
      </c>
      <c r="Q419" s="24">
        <f>IF($A419="","",IF(P419="","",(O419+N419)/2))</f>
        <v/>
      </c>
      <c r="R419" s="27">
        <f>IF($A419="","",IF(P419="","",COUNT($P$2:P419)))</f>
        <v/>
      </c>
    </row>
    <row r="420">
      <c r="J420" s="24">
        <f>IF($A420="","",IF($C420&lt;&gt;"khp_titration_mL","",IF(COUNTIFS('1_原始數據'!$A$2:$A$1000,$A420,'1_原始數據'!$B$2:$B$1000,$B420,'1_原始數據'!$D$2:$D$1000,$D420,'1_原始數據'!$C$2:$C$1000,"khp_mass_g")=0,"",SUMIFS('1_原始數據'!$E$2:$E$1000,'1_原始數據'!$A$2:$A$1000,$A420,'1_原始數據'!$B$2:$B$1000,$B420,'1_原始數據'!$D$2:$D$1000,$D420,'1_原始數據'!$C$2:$C$1000,"khp_mass_g")/('2_NaOH標定'!$C$5*$E420/1000))))</f>
        <v/>
      </c>
      <c r="K420" s="24">
        <f>IF($A420="","",IF($C420&lt;&gt;"manual_titration_mL","",IF(COUNTIFS('1_原始數據'!$A$2:$A$1000,$A420,'1_原始數據'!$C$2:$C$1000,"khp_titration_mL")=0,"",AVERAGEIFS('1_原始數據'!$J$2:$J$1000,'1_原始數據'!$A$2:$A$1000,$A420,'1_原始數據'!$C$2:$C$1000,"khp_titration_mL"))))</f>
        <v/>
      </c>
      <c r="L420" s="25">
        <f>IF($A420="","",IF($C420&lt;&gt;"manual_titration_mL","",IFERROR(INDEX('3_可滴定酸度'!$E$6:$E$13,MATCH($I420,'3_可滴定酸度'!$B$6:$B$13,0)),"")))</f>
        <v/>
      </c>
      <c r="M420" s="25">
        <f>IF($A420="","",IF($C420&lt;&gt;"manual_titration_mL","",IFERROR(INDEX('3_可滴定酸度'!$F$6:$F$13,MATCH($I420,'3_可滴定酸度'!$B$6:$B$13,0)),"")))</f>
        <v/>
      </c>
      <c r="N420" s="24">
        <f>IF($A420="","",IF(OR(K420="",L420="",M420=""),"",K420*E420*L420/(M420*1000)*100))</f>
        <v/>
      </c>
      <c r="O420" s="24">
        <f>IF($A420="","",IF(N420="","",IF(COUNTIFS('1_原始數據'!$A$2:$A$1000,$A420,'1_原始數據'!$B$2:$B$1000,$B420,'1_原始數據'!$D$2:$D$1000,$D420,'1_原始數據'!$I$2:$I$1000,$I420,'1_原始數據'!$C$2:$C$1000,"pasco_pct_acid")=0,"",SUMIFS('1_原始數據'!$E$2:$E$1000,'1_原始數據'!$A$2:$A$1000,$A420,'1_原始數據'!$B$2:$B$1000,$B420,'1_原始數據'!$D$2:$D$1000,$D420,'1_原始數據'!$I$2:$I$1000,$I420,'1_原始數據'!$C$2:$C$1000,"pasco_pct_acid"))))</f>
        <v/>
      </c>
      <c r="P420" s="26">
        <f>IF($A420="","",IF(OR(N420="",O420=""),"",O420-N420))</f>
        <v/>
      </c>
      <c r="Q420" s="24">
        <f>IF($A420="","",IF(P420="","",(O420+N420)/2))</f>
        <v/>
      </c>
      <c r="R420" s="27">
        <f>IF($A420="","",IF(P420="","",COUNT($P$2:P420)))</f>
        <v/>
      </c>
    </row>
    <row r="421">
      <c r="J421" s="24">
        <f>IF($A421="","",IF($C421&lt;&gt;"khp_titration_mL","",IF(COUNTIFS('1_原始數據'!$A$2:$A$1000,$A421,'1_原始數據'!$B$2:$B$1000,$B421,'1_原始數據'!$D$2:$D$1000,$D421,'1_原始數據'!$C$2:$C$1000,"khp_mass_g")=0,"",SUMIFS('1_原始數據'!$E$2:$E$1000,'1_原始數據'!$A$2:$A$1000,$A421,'1_原始數據'!$B$2:$B$1000,$B421,'1_原始數據'!$D$2:$D$1000,$D421,'1_原始數據'!$C$2:$C$1000,"khp_mass_g")/('2_NaOH標定'!$C$5*$E421/1000))))</f>
        <v/>
      </c>
      <c r="K421" s="24">
        <f>IF($A421="","",IF($C421&lt;&gt;"manual_titration_mL","",IF(COUNTIFS('1_原始數據'!$A$2:$A$1000,$A421,'1_原始數據'!$C$2:$C$1000,"khp_titration_mL")=0,"",AVERAGEIFS('1_原始數據'!$J$2:$J$1000,'1_原始數據'!$A$2:$A$1000,$A421,'1_原始數據'!$C$2:$C$1000,"khp_titration_mL"))))</f>
        <v/>
      </c>
      <c r="L421" s="25">
        <f>IF($A421="","",IF($C421&lt;&gt;"manual_titration_mL","",IFERROR(INDEX('3_可滴定酸度'!$E$6:$E$13,MATCH($I421,'3_可滴定酸度'!$B$6:$B$13,0)),"")))</f>
        <v/>
      </c>
      <c r="M421" s="25">
        <f>IF($A421="","",IF($C421&lt;&gt;"manual_titration_mL","",IFERROR(INDEX('3_可滴定酸度'!$F$6:$F$13,MATCH($I421,'3_可滴定酸度'!$B$6:$B$13,0)),"")))</f>
        <v/>
      </c>
      <c r="N421" s="24">
        <f>IF($A421="","",IF(OR(K421="",L421="",M421=""),"",K421*E421*L421/(M421*1000)*100))</f>
        <v/>
      </c>
      <c r="O421" s="24">
        <f>IF($A421="","",IF(N421="","",IF(COUNTIFS('1_原始數據'!$A$2:$A$1000,$A421,'1_原始數據'!$B$2:$B$1000,$B421,'1_原始數據'!$D$2:$D$1000,$D421,'1_原始數據'!$I$2:$I$1000,$I421,'1_原始數據'!$C$2:$C$1000,"pasco_pct_acid")=0,"",SUMIFS('1_原始數據'!$E$2:$E$1000,'1_原始數據'!$A$2:$A$1000,$A421,'1_原始數據'!$B$2:$B$1000,$B421,'1_原始數據'!$D$2:$D$1000,$D421,'1_原始數據'!$I$2:$I$1000,$I421,'1_原始數據'!$C$2:$C$1000,"pasco_pct_acid"))))</f>
        <v/>
      </c>
      <c r="P421" s="26">
        <f>IF($A421="","",IF(OR(N421="",O421=""),"",O421-N421))</f>
        <v/>
      </c>
      <c r="Q421" s="24">
        <f>IF($A421="","",IF(P421="","",(O421+N421)/2))</f>
        <v/>
      </c>
      <c r="R421" s="27">
        <f>IF($A421="","",IF(P421="","",COUNT($P$2:P421)))</f>
        <v/>
      </c>
    </row>
    <row r="422">
      <c r="J422" s="24">
        <f>IF($A422="","",IF($C422&lt;&gt;"khp_titration_mL","",IF(COUNTIFS('1_原始數據'!$A$2:$A$1000,$A422,'1_原始數據'!$B$2:$B$1000,$B422,'1_原始數據'!$D$2:$D$1000,$D422,'1_原始數據'!$C$2:$C$1000,"khp_mass_g")=0,"",SUMIFS('1_原始數據'!$E$2:$E$1000,'1_原始數據'!$A$2:$A$1000,$A422,'1_原始數據'!$B$2:$B$1000,$B422,'1_原始數據'!$D$2:$D$1000,$D422,'1_原始數據'!$C$2:$C$1000,"khp_mass_g")/('2_NaOH標定'!$C$5*$E422/1000))))</f>
        <v/>
      </c>
      <c r="K422" s="24">
        <f>IF($A422="","",IF($C422&lt;&gt;"manual_titration_mL","",IF(COUNTIFS('1_原始數據'!$A$2:$A$1000,$A422,'1_原始數據'!$C$2:$C$1000,"khp_titration_mL")=0,"",AVERAGEIFS('1_原始數據'!$J$2:$J$1000,'1_原始數據'!$A$2:$A$1000,$A422,'1_原始數據'!$C$2:$C$1000,"khp_titration_mL"))))</f>
        <v/>
      </c>
      <c r="L422" s="25">
        <f>IF($A422="","",IF($C422&lt;&gt;"manual_titration_mL","",IFERROR(INDEX('3_可滴定酸度'!$E$6:$E$13,MATCH($I422,'3_可滴定酸度'!$B$6:$B$13,0)),"")))</f>
        <v/>
      </c>
      <c r="M422" s="25">
        <f>IF($A422="","",IF($C422&lt;&gt;"manual_titration_mL","",IFERROR(INDEX('3_可滴定酸度'!$F$6:$F$13,MATCH($I422,'3_可滴定酸度'!$B$6:$B$13,0)),"")))</f>
        <v/>
      </c>
      <c r="N422" s="24">
        <f>IF($A422="","",IF(OR(K422="",L422="",M422=""),"",K422*E422*L422/(M422*1000)*100))</f>
        <v/>
      </c>
      <c r="O422" s="24">
        <f>IF($A422="","",IF(N422="","",IF(COUNTIFS('1_原始數據'!$A$2:$A$1000,$A422,'1_原始數據'!$B$2:$B$1000,$B422,'1_原始數據'!$D$2:$D$1000,$D422,'1_原始數據'!$I$2:$I$1000,$I422,'1_原始數據'!$C$2:$C$1000,"pasco_pct_acid")=0,"",SUMIFS('1_原始數據'!$E$2:$E$1000,'1_原始數據'!$A$2:$A$1000,$A422,'1_原始數據'!$B$2:$B$1000,$B422,'1_原始數據'!$D$2:$D$1000,$D422,'1_原始數據'!$I$2:$I$1000,$I422,'1_原始數據'!$C$2:$C$1000,"pasco_pct_acid"))))</f>
        <v/>
      </c>
      <c r="P422" s="26">
        <f>IF($A422="","",IF(OR(N422="",O422=""),"",O422-N422))</f>
        <v/>
      </c>
      <c r="Q422" s="24">
        <f>IF($A422="","",IF(P422="","",(O422+N422)/2))</f>
        <v/>
      </c>
      <c r="R422" s="27">
        <f>IF($A422="","",IF(P422="","",COUNT($P$2:P422)))</f>
        <v/>
      </c>
    </row>
    <row r="423">
      <c r="J423" s="24">
        <f>IF($A423="","",IF($C423&lt;&gt;"khp_titration_mL","",IF(COUNTIFS('1_原始數據'!$A$2:$A$1000,$A423,'1_原始數據'!$B$2:$B$1000,$B423,'1_原始數據'!$D$2:$D$1000,$D423,'1_原始數據'!$C$2:$C$1000,"khp_mass_g")=0,"",SUMIFS('1_原始數據'!$E$2:$E$1000,'1_原始數據'!$A$2:$A$1000,$A423,'1_原始數據'!$B$2:$B$1000,$B423,'1_原始數據'!$D$2:$D$1000,$D423,'1_原始數據'!$C$2:$C$1000,"khp_mass_g")/('2_NaOH標定'!$C$5*$E423/1000))))</f>
        <v/>
      </c>
      <c r="K423" s="24">
        <f>IF($A423="","",IF($C423&lt;&gt;"manual_titration_mL","",IF(COUNTIFS('1_原始數據'!$A$2:$A$1000,$A423,'1_原始數據'!$C$2:$C$1000,"khp_titration_mL")=0,"",AVERAGEIFS('1_原始數據'!$J$2:$J$1000,'1_原始數據'!$A$2:$A$1000,$A423,'1_原始數據'!$C$2:$C$1000,"khp_titration_mL"))))</f>
        <v/>
      </c>
      <c r="L423" s="25">
        <f>IF($A423="","",IF($C423&lt;&gt;"manual_titration_mL","",IFERROR(INDEX('3_可滴定酸度'!$E$6:$E$13,MATCH($I423,'3_可滴定酸度'!$B$6:$B$13,0)),"")))</f>
        <v/>
      </c>
      <c r="M423" s="25">
        <f>IF($A423="","",IF($C423&lt;&gt;"manual_titration_mL","",IFERROR(INDEX('3_可滴定酸度'!$F$6:$F$13,MATCH($I423,'3_可滴定酸度'!$B$6:$B$13,0)),"")))</f>
        <v/>
      </c>
      <c r="N423" s="24">
        <f>IF($A423="","",IF(OR(K423="",L423="",M423=""),"",K423*E423*L423/(M423*1000)*100))</f>
        <v/>
      </c>
      <c r="O423" s="24">
        <f>IF($A423="","",IF(N423="","",IF(COUNTIFS('1_原始數據'!$A$2:$A$1000,$A423,'1_原始數據'!$B$2:$B$1000,$B423,'1_原始數據'!$D$2:$D$1000,$D423,'1_原始數據'!$I$2:$I$1000,$I423,'1_原始數據'!$C$2:$C$1000,"pasco_pct_acid")=0,"",SUMIFS('1_原始數據'!$E$2:$E$1000,'1_原始數據'!$A$2:$A$1000,$A423,'1_原始數據'!$B$2:$B$1000,$B423,'1_原始數據'!$D$2:$D$1000,$D423,'1_原始數據'!$I$2:$I$1000,$I423,'1_原始數據'!$C$2:$C$1000,"pasco_pct_acid"))))</f>
        <v/>
      </c>
      <c r="P423" s="26">
        <f>IF($A423="","",IF(OR(N423="",O423=""),"",O423-N423))</f>
        <v/>
      </c>
      <c r="Q423" s="24">
        <f>IF($A423="","",IF(P423="","",(O423+N423)/2))</f>
        <v/>
      </c>
      <c r="R423" s="27">
        <f>IF($A423="","",IF(P423="","",COUNT($P$2:P423)))</f>
        <v/>
      </c>
    </row>
    <row r="424">
      <c r="J424" s="24">
        <f>IF($A424="","",IF($C424&lt;&gt;"khp_titration_mL","",IF(COUNTIFS('1_原始數據'!$A$2:$A$1000,$A424,'1_原始數據'!$B$2:$B$1000,$B424,'1_原始數據'!$D$2:$D$1000,$D424,'1_原始數據'!$C$2:$C$1000,"khp_mass_g")=0,"",SUMIFS('1_原始數據'!$E$2:$E$1000,'1_原始數據'!$A$2:$A$1000,$A424,'1_原始數據'!$B$2:$B$1000,$B424,'1_原始數據'!$D$2:$D$1000,$D424,'1_原始數據'!$C$2:$C$1000,"khp_mass_g")/('2_NaOH標定'!$C$5*$E424/1000))))</f>
        <v/>
      </c>
      <c r="K424" s="24">
        <f>IF($A424="","",IF($C424&lt;&gt;"manual_titration_mL","",IF(COUNTIFS('1_原始數據'!$A$2:$A$1000,$A424,'1_原始數據'!$C$2:$C$1000,"khp_titration_mL")=0,"",AVERAGEIFS('1_原始數據'!$J$2:$J$1000,'1_原始數據'!$A$2:$A$1000,$A424,'1_原始數據'!$C$2:$C$1000,"khp_titration_mL"))))</f>
        <v/>
      </c>
      <c r="L424" s="25">
        <f>IF($A424="","",IF($C424&lt;&gt;"manual_titration_mL","",IFERROR(INDEX('3_可滴定酸度'!$E$6:$E$13,MATCH($I424,'3_可滴定酸度'!$B$6:$B$13,0)),"")))</f>
        <v/>
      </c>
      <c r="M424" s="25">
        <f>IF($A424="","",IF($C424&lt;&gt;"manual_titration_mL","",IFERROR(INDEX('3_可滴定酸度'!$F$6:$F$13,MATCH($I424,'3_可滴定酸度'!$B$6:$B$13,0)),"")))</f>
        <v/>
      </c>
      <c r="N424" s="24">
        <f>IF($A424="","",IF(OR(K424="",L424="",M424=""),"",K424*E424*L424/(M424*1000)*100))</f>
        <v/>
      </c>
      <c r="O424" s="24">
        <f>IF($A424="","",IF(N424="","",IF(COUNTIFS('1_原始數據'!$A$2:$A$1000,$A424,'1_原始數據'!$B$2:$B$1000,$B424,'1_原始數據'!$D$2:$D$1000,$D424,'1_原始數據'!$I$2:$I$1000,$I424,'1_原始數據'!$C$2:$C$1000,"pasco_pct_acid")=0,"",SUMIFS('1_原始數據'!$E$2:$E$1000,'1_原始數據'!$A$2:$A$1000,$A424,'1_原始數據'!$B$2:$B$1000,$B424,'1_原始數據'!$D$2:$D$1000,$D424,'1_原始數據'!$I$2:$I$1000,$I424,'1_原始數據'!$C$2:$C$1000,"pasco_pct_acid"))))</f>
        <v/>
      </c>
      <c r="P424" s="26">
        <f>IF($A424="","",IF(OR(N424="",O424=""),"",O424-N424))</f>
        <v/>
      </c>
      <c r="Q424" s="24">
        <f>IF($A424="","",IF(P424="","",(O424+N424)/2))</f>
        <v/>
      </c>
      <c r="R424" s="27">
        <f>IF($A424="","",IF(P424="","",COUNT($P$2:P424)))</f>
        <v/>
      </c>
    </row>
    <row r="425">
      <c r="J425" s="24">
        <f>IF($A425="","",IF($C425&lt;&gt;"khp_titration_mL","",IF(COUNTIFS('1_原始數據'!$A$2:$A$1000,$A425,'1_原始數據'!$B$2:$B$1000,$B425,'1_原始數據'!$D$2:$D$1000,$D425,'1_原始數據'!$C$2:$C$1000,"khp_mass_g")=0,"",SUMIFS('1_原始數據'!$E$2:$E$1000,'1_原始數據'!$A$2:$A$1000,$A425,'1_原始數據'!$B$2:$B$1000,$B425,'1_原始數據'!$D$2:$D$1000,$D425,'1_原始數據'!$C$2:$C$1000,"khp_mass_g")/('2_NaOH標定'!$C$5*$E425/1000))))</f>
        <v/>
      </c>
      <c r="K425" s="24">
        <f>IF($A425="","",IF($C425&lt;&gt;"manual_titration_mL","",IF(COUNTIFS('1_原始數據'!$A$2:$A$1000,$A425,'1_原始數據'!$C$2:$C$1000,"khp_titration_mL")=0,"",AVERAGEIFS('1_原始數據'!$J$2:$J$1000,'1_原始數據'!$A$2:$A$1000,$A425,'1_原始數據'!$C$2:$C$1000,"khp_titration_mL"))))</f>
        <v/>
      </c>
      <c r="L425" s="25">
        <f>IF($A425="","",IF($C425&lt;&gt;"manual_titration_mL","",IFERROR(INDEX('3_可滴定酸度'!$E$6:$E$13,MATCH($I425,'3_可滴定酸度'!$B$6:$B$13,0)),"")))</f>
        <v/>
      </c>
      <c r="M425" s="25">
        <f>IF($A425="","",IF($C425&lt;&gt;"manual_titration_mL","",IFERROR(INDEX('3_可滴定酸度'!$F$6:$F$13,MATCH($I425,'3_可滴定酸度'!$B$6:$B$13,0)),"")))</f>
        <v/>
      </c>
      <c r="N425" s="24">
        <f>IF($A425="","",IF(OR(K425="",L425="",M425=""),"",K425*E425*L425/(M425*1000)*100))</f>
        <v/>
      </c>
      <c r="O425" s="24">
        <f>IF($A425="","",IF(N425="","",IF(COUNTIFS('1_原始數據'!$A$2:$A$1000,$A425,'1_原始數據'!$B$2:$B$1000,$B425,'1_原始數據'!$D$2:$D$1000,$D425,'1_原始數據'!$I$2:$I$1000,$I425,'1_原始數據'!$C$2:$C$1000,"pasco_pct_acid")=0,"",SUMIFS('1_原始數據'!$E$2:$E$1000,'1_原始數據'!$A$2:$A$1000,$A425,'1_原始數據'!$B$2:$B$1000,$B425,'1_原始數據'!$D$2:$D$1000,$D425,'1_原始數據'!$I$2:$I$1000,$I425,'1_原始數據'!$C$2:$C$1000,"pasco_pct_acid"))))</f>
        <v/>
      </c>
      <c r="P425" s="26">
        <f>IF($A425="","",IF(OR(N425="",O425=""),"",O425-N425))</f>
        <v/>
      </c>
      <c r="Q425" s="24">
        <f>IF($A425="","",IF(P425="","",(O425+N425)/2))</f>
        <v/>
      </c>
      <c r="R425" s="27">
        <f>IF($A425="","",IF(P425="","",COUNT($P$2:P425)))</f>
        <v/>
      </c>
    </row>
    <row r="426">
      <c r="J426" s="24">
        <f>IF($A426="","",IF($C426&lt;&gt;"khp_titration_mL","",IF(COUNTIFS('1_原始數據'!$A$2:$A$1000,$A426,'1_原始數據'!$B$2:$B$1000,$B426,'1_原始數據'!$D$2:$D$1000,$D426,'1_原始數據'!$C$2:$C$1000,"khp_mass_g")=0,"",SUMIFS('1_原始數據'!$E$2:$E$1000,'1_原始數據'!$A$2:$A$1000,$A426,'1_原始數據'!$B$2:$B$1000,$B426,'1_原始數據'!$D$2:$D$1000,$D426,'1_原始數據'!$C$2:$C$1000,"khp_mass_g")/('2_NaOH標定'!$C$5*$E426/1000))))</f>
        <v/>
      </c>
      <c r="K426" s="24">
        <f>IF($A426="","",IF($C426&lt;&gt;"manual_titration_mL","",IF(COUNTIFS('1_原始數據'!$A$2:$A$1000,$A426,'1_原始數據'!$C$2:$C$1000,"khp_titration_mL")=0,"",AVERAGEIFS('1_原始數據'!$J$2:$J$1000,'1_原始數據'!$A$2:$A$1000,$A426,'1_原始數據'!$C$2:$C$1000,"khp_titration_mL"))))</f>
        <v/>
      </c>
      <c r="L426" s="25">
        <f>IF($A426="","",IF($C426&lt;&gt;"manual_titration_mL","",IFERROR(INDEX('3_可滴定酸度'!$E$6:$E$13,MATCH($I426,'3_可滴定酸度'!$B$6:$B$13,0)),"")))</f>
        <v/>
      </c>
      <c r="M426" s="25">
        <f>IF($A426="","",IF($C426&lt;&gt;"manual_titration_mL","",IFERROR(INDEX('3_可滴定酸度'!$F$6:$F$13,MATCH($I426,'3_可滴定酸度'!$B$6:$B$13,0)),"")))</f>
        <v/>
      </c>
      <c r="N426" s="24">
        <f>IF($A426="","",IF(OR(K426="",L426="",M426=""),"",K426*E426*L426/(M426*1000)*100))</f>
        <v/>
      </c>
      <c r="O426" s="24">
        <f>IF($A426="","",IF(N426="","",IF(COUNTIFS('1_原始數據'!$A$2:$A$1000,$A426,'1_原始數據'!$B$2:$B$1000,$B426,'1_原始數據'!$D$2:$D$1000,$D426,'1_原始數據'!$I$2:$I$1000,$I426,'1_原始數據'!$C$2:$C$1000,"pasco_pct_acid")=0,"",SUMIFS('1_原始數據'!$E$2:$E$1000,'1_原始數據'!$A$2:$A$1000,$A426,'1_原始數據'!$B$2:$B$1000,$B426,'1_原始數據'!$D$2:$D$1000,$D426,'1_原始數據'!$I$2:$I$1000,$I426,'1_原始數據'!$C$2:$C$1000,"pasco_pct_acid"))))</f>
        <v/>
      </c>
      <c r="P426" s="26">
        <f>IF($A426="","",IF(OR(N426="",O426=""),"",O426-N426))</f>
        <v/>
      </c>
      <c r="Q426" s="24">
        <f>IF($A426="","",IF(P426="","",(O426+N426)/2))</f>
        <v/>
      </c>
      <c r="R426" s="27">
        <f>IF($A426="","",IF(P426="","",COUNT($P$2:P426)))</f>
        <v/>
      </c>
    </row>
    <row r="427">
      <c r="J427" s="24">
        <f>IF($A427="","",IF($C427&lt;&gt;"khp_titration_mL","",IF(COUNTIFS('1_原始數據'!$A$2:$A$1000,$A427,'1_原始數據'!$B$2:$B$1000,$B427,'1_原始數據'!$D$2:$D$1000,$D427,'1_原始數據'!$C$2:$C$1000,"khp_mass_g")=0,"",SUMIFS('1_原始數據'!$E$2:$E$1000,'1_原始數據'!$A$2:$A$1000,$A427,'1_原始數據'!$B$2:$B$1000,$B427,'1_原始數據'!$D$2:$D$1000,$D427,'1_原始數據'!$C$2:$C$1000,"khp_mass_g")/('2_NaOH標定'!$C$5*$E427/1000))))</f>
        <v/>
      </c>
      <c r="K427" s="24">
        <f>IF($A427="","",IF($C427&lt;&gt;"manual_titration_mL","",IF(COUNTIFS('1_原始數據'!$A$2:$A$1000,$A427,'1_原始數據'!$C$2:$C$1000,"khp_titration_mL")=0,"",AVERAGEIFS('1_原始數據'!$J$2:$J$1000,'1_原始數據'!$A$2:$A$1000,$A427,'1_原始數據'!$C$2:$C$1000,"khp_titration_mL"))))</f>
        <v/>
      </c>
      <c r="L427" s="25">
        <f>IF($A427="","",IF($C427&lt;&gt;"manual_titration_mL","",IFERROR(INDEX('3_可滴定酸度'!$E$6:$E$13,MATCH($I427,'3_可滴定酸度'!$B$6:$B$13,0)),"")))</f>
        <v/>
      </c>
      <c r="M427" s="25">
        <f>IF($A427="","",IF($C427&lt;&gt;"manual_titration_mL","",IFERROR(INDEX('3_可滴定酸度'!$F$6:$F$13,MATCH($I427,'3_可滴定酸度'!$B$6:$B$13,0)),"")))</f>
        <v/>
      </c>
      <c r="N427" s="24">
        <f>IF($A427="","",IF(OR(K427="",L427="",M427=""),"",K427*E427*L427/(M427*1000)*100))</f>
        <v/>
      </c>
      <c r="O427" s="24">
        <f>IF($A427="","",IF(N427="","",IF(COUNTIFS('1_原始數據'!$A$2:$A$1000,$A427,'1_原始數據'!$B$2:$B$1000,$B427,'1_原始數據'!$D$2:$D$1000,$D427,'1_原始數據'!$I$2:$I$1000,$I427,'1_原始數據'!$C$2:$C$1000,"pasco_pct_acid")=0,"",SUMIFS('1_原始數據'!$E$2:$E$1000,'1_原始數據'!$A$2:$A$1000,$A427,'1_原始數據'!$B$2:$B$1000,$B427,'1_原始數據'!$D$2:$D$1000,$D427,'1_原始數據'!$I$2:$I$1000,$I427,'1_原始數據'!$C$2:$C$1000,"pasco_pct_acid"))))</f>
        <v/>
      </c>
      <c r="P427" s="26">
        <f>IF($A427="","",IF(OR(N427="",O427=""),"",O427-N427))</f>
        <v/>
      </c>
      <c r="Q427" s="24">
        <f>IF($A427="","",IF(P427="","",(O427+N427)/2))</f>
        <v/>
      </c>
      <c r="R427" s="27">
        <f>IF($A427="","",IF(P427="","",COUNT($P$2:P427)))</f>
        <v/>
      </c>
    </row>
    <row r="428">
      <c r="J428" s="24">
        <f>IF($A428="","",IF($C428&lt;&gt;"khp_titration_mL","",IF(COUNTIFS('1_原始數據'!$A$2:$A$1000,$A428,'1_原始數據'!$B$2:$B$1000,$B428,'1_原始數據'!$D$2:$D$1000,$D428,'1_原始數據'!$C$2:$C$1000,"khp_mass_g")=0,"",SUMIFS('1_原始數據'!$E$2:$E$1000,'1_原始數據'!$A$2:$A$1000,$A428,'1_原始數據'!$B$2:$B$1000,$B428,'1_原始數據'!$D$2:$D$1000,$D428,'1_原始數據'!$C$2:$C$1000,"khp_mass_g")/('2_NaOH標定'!$C$5*$E428/1000))))</f>
        <v/>
      </c>
      <c r="K428" s="24">
        <f>IF($A428="","",IF($C428&lt;&gt;"manual_titration_mL","",IF(COUNTIFS('1_原始數據'!$A$2:$A$1000,$A428,'1_原始數據'!$C$2:$C$1000,"khp_titration_mL")=0,"",AVERAGEIFS('1_原始數據'!$J$2:$J$1000,'1_原始數據'!$A$2:$A$1000,$A428,'1_原始數據'!$C$2:$C$1000,"khp_titration_mL"))))</f>
        <v/>
      </c>
      <c r="L428" s="25">
        <f>IF($A428="","",IF($C428&lt;&gt;"manual_titration_mL","",IFERROR(INDEX('3_可滴定酸度'!$E$6:$E$13,MATCH($I428,'3_可滴定酸度'!$B$6:$B$13,0)),"")))</f>
        <v/>
      </c>
      <c r="M428" s="25">
        <f>IF($A428="","",IF($C428&lt;&gt;"manual_titration_mL","",IFERROR(INDEX('3_可滴定酸度'!$F$6:$F$13,MATCH($I428,'3_可滴定酸度'!$B$6:$B$13,0)),"")))</f>
        <v/>
      </c>
      <c r="N428" s="24">
        <f>IF($A428="","",IF(OR(K428="",L428="",M428=""),"",K428*E428*L428/(M428*1000)*100))</f>
        <v/>
      </c>
      <c r="O428" s="24">
        <f>IF($A428="","",IF(N428="","",IF(COUNTIFS('1_原始數據'!$A$2:$A$1000,$A428,'1_原始數據'!$B$2:$B$1000,$B428,'1_原始數據'!$D$2:$D$1000,$D428,'1_原始數據'!$I$2:$I$1000,$I428,'1_原始數據'!$C$2:$C$1000,"pasco_pct_acid")=0,"",SUMIFS('1_原始數據'!$E$2:$E$1000,'1_原始數據'!$A$2:$A$1000,$A428,'1_原始數據'!$B$2:$B$1000,$B428,'1_原始數據'!$D$2:$D$1000,$D428,'1_原始數據'!$I$2:$I$1000,$I428,'1_原始數據'!$C$2:$C$1000,"pasco_pct_acid"))))</f>
        <v/>
      </c>
      <c r="P428" s="26">
        <f>IF($A428="","",IF(OR(N428="",O428=""),"",O428-N428))</f>
        <v/>
      </c>
      <c r="Q428" s="24">
        <f>IF($A428="","",IF(P428="","",(O428+N428)/2))</f>
        <v/>
      </c>
      <c r="R428" s="27">
        <f>IF($A428="","",IF(P428="","",COUNT($P$2:P428)))</f>
        <v/>
      </c>
    </row>
    <row r="429">
      <c r="J429" s="24">
        <f>IF($A429="","",IF($C429&lt;&gt;"khp_titration_mL","",IF(COUNTIFS('1_原始數據'!$A$2:$A$1000,$A429,'1_原始數據'!$B$2:$B$1000,$B429,'1_原始數據'!$D$2:$D$1000,$D429,'1_原始數據'!$C$2:$C$1000,"khp_mass_g")=0,"",SUMIFS('1_原始數據'!$E$2:$E$1000,'1_原始數據'!$A$2:$A$1000,$A429,'1_原始數據'!$B$2:$B$1000,$B429,'1_原始數據'!$D$2:$D$1000,$D429,'1_原始數據'!$C$2:$C$1000,"khp_mass_g")/('2_NaOH標定'!$C$5*$E429/1000))))</f>
        <v/>
      </c>
      <c r="K429" s="24">
        <f>IF($A429="","",IF($C429&lt;&gt;"manual_titration_mL","",IF(COUNTIFS('1_原始數據'!$A$2:$A$1000,$A429,'1_原始數據'!$C$2:$C$1000,"khp_titration_mL")=0,"",AVERAGEIFS('1_原始數據'!$J$2:$J$1000,'1_原始數據'!$A$2:$A$1000,$A429,'1_原始數據'!$C$2:$C$1000,"khp_titration_mL"))))</f>
        <v/>
      </c>
      <c r="L429" s="25">
        <f>IF($A429="","",IF($C429&lt;&gt;"manual_titration_mL","",IFERROR(INDEX('3_可滴定酸度'!$E$6:$E$13,MATCH($I429,'3_可滴定酸度'!$B$6:$B$13,0)),"")))</f>
        <v/>
      </c>
      <c r="M429" s="25">
        <f>IF($A429="","",IF($C429&lt;&gt;"manual_titration_mL","",IFERROR(INDEX('3_可滴定酸度'!$F$6:$F$13,MATCH($I429,'3_可滴定酸度'!$B$6:$B$13,0)),"")))</f>
        <v/>
      </c>
      <c r="N429" s="24">
        <f>IF($A429="","",IF(OR(K429="",L429="",M429=""),"",K429*E429*L429/(M429*1000)*100))</f>
        <v/>
      </c>
      <c r="O429" s="24">
        <f>IF($A429="","",IF(N429="","",IF(COUNTIFS('1_原始數據'!$A$2:$A$1000,$A429,'1_原始數據'!$B$2:$B$1000,$B429,'1_原始數據'!$D$2:$D$1000,$D429,'1_原始數據'!$I$2:$I$1000,$I429,'1_原始數據'!$C$2:$C$1000,"pasco_pct_acid")=0,"",SUMIFS('1_原始數據'!$E$2:$E$1000,'1_原始數據'!$A$2:$A$1000,$A429,'1_原始數據'!$B$2:$B$1000,$B429,'1_原始數據'!$D$2:$D$1000,$D429,'1_原始數據'!$I$2:$I$1000,$I429,'1_原始數據'!$C$2:$C$1000,"pasco_pct_acid"))))</f>
        <v/>
      </c>
      <c r="P429" s="26">
        <f>IF($A429="","",IF(OR(N429="",O429=""),"",O429-N429))</f>
        <v/>
      </c>
      <c r="Q429" s="24">
        <f>IF($A429="","",IF(P429="","",(O429+N429)/2))</f>
        <v/>
      </c>
      <c r="R429" s="27">
        <f>IF($A429="","",IF(P429="","",COUNT($P$2:P429)))</f>
        <v/>
      </c>
    </row>
    <row r="430">
      <c r="J430" s="24">
        <f>IF($A430="","",IF($C430&lt;&gt;"khp_titration_mL","",IF(COUNTIFS('1_原始數據'!$A$2:$A$1000,$A430,'1_原始數據'!$B$2:$B$1000,$B430,'1_原始數據'!$D$2:$D$1000,$D430,'1_原始數據'!$C$2:$C$1000,"khp_mass_g")=0,"",SUMIFS('1_原始數據'!$E$2:$E$1000,'1_原始數據'!$A$2:$A$1000,$A430,'1_原始數據'!$B$2:$B$1000,$B430,'1_原始數據'!$D$2:$D$1000,$D430,'1_原始數據'!$C$2:$C$1000,"khp_mass_g")/('2_NaOH標定'!$C$5*$E430/1000))))</f>
        <v/>
      </c>
      <c r="K430" s="24">
        <f>IF($A430="","",IF($C430&lt;&gt;"manual_titration_mL","",IF(COUNTIFS('1_原始數據'!$A$2:$A$1000,$A430,'1_原始數據'!$C$2:$C$1000,"khp_titration_mL")=0,"",AVERAGEIFS('1_原始數據'!$J$2:$J$1000,'1_原始數據'!$A$2:$A$1000,$A430,'1_原始數據'!$C$2:$C$1000,"khp_titration_mL"))))</f>
        <v/>
      </c>
      <c r="L430" s="25">
        <f>IF($A430="","",IF($C430&lt;&gt;"manual_titration_mL","",IFERROR(INDEX('3_可滴定酸度'!$E$6:$E$13,MATCH($I430,'3_可滴定酸度'!$B$6:$B$13,0)),"")))</f>
        <v/>
      </c>
      <c r="M430" s="25">
        <f>IF($A430="","",IF($C430&lt;&gt;"manual_titration_mL","",IFERROR(INDEX('3_可滴定酸度'!$F$6:$F$13,MATCH($I430,'3_可滴定酸度'!$B$6:$B$13,0)),"")))</f>
        <v/>
      </c>
      <c r="N430" s="24">
        <f>IF($A430="","",IF(OR(K430="",L430="",M430=""),"",K430*E430*L430/(M430*1000)*100))</f>
        <v/>
      </c>
      <c r="O430" s="24">
        <f>IF($A430="","",IF(N430="","",IF(COUNTIFS('1_原始數據'!$A$2:$A$1000,$A430,'1_原始數據'!$B$2:$B$1000,$B430,'1_原始數據'!$D$2:$D$1000,$D430,'1_原始數據'!$I$2:$I$1000,$I430,'1_原始數據'!$C$2:$C$1000,"pasco_pct_acid")=0,"",SUMIFS('1_原始數據'!$E$2:$E$1000,'1_原始數據'!$A$2:$A$1000,$A430,'1_原始數據'!$B$2:$B$1000,$B430,'1_原始數據'!$D$2:$D$1000,$D430,'1_原始數據'!$I$2:$I$1000,$I430,'1_原始數據'!$C$2:$C$1000,"pasco_pct_acid"))))</f>
        <v/>
      </c>
      <c r="P430" s="26">
        <f>IF($A430="","",IF(OR(N430="",O430=""),"",O430-N430))</f>
        <v/>
      </c>
      <c r="Q430" s="24">
        <f>IF($A430="","",IF(P430="","",(O430+N430)/2))</f>
        <v/>
      </c>
      <c r="R430" s="27">
        <f>IF($A430="","",IF(P430="","",COUNT($P$2:P430)))</f>
        <v/>
      </c>
    </row>
    <row r="431">
      <c r="J431" s="24">
        <f>IF($A431="","",IF($C431&lt;&gt;"khp_titration_mL","",IF(COUNTIFS('1_原始數據'!$A$2:$A$1000,$A431,'1_原始數據'!$B$2:$B$1000,$B431,'1_原始數據'!$D$2:$D$1000,$D431,'1_原始數據'!$C$2:$C$1000,"khp_mass_g")=0,"",SUMIFS('1_原始數據'!$E$2:$E$1000,'1_原始數據'!$A$2:$A$1000,$A431,'1_原始數據'!$B$2:$B$1000,$B431,'1_原始數據'!$D$2:$D$1000,$D431,'1_原始數據'!$C$2:$C$1000,"khp_mass_g")/('2_NaOH標定'!$C$5*$E431/1000))))</f>
        <v/>
      </c>
      <c r="K431" s="24">
        <f>IF($A431="","",IF($C431&lt;&gt;"manual_titration_mL","",IF(COUNTIFS('1_原始數據'!$A$2:$A$1000,$A431,'1_原始數據'!$C$2:$C$1000,"khp_titration_mL")=0,"",AVERAGEIFS('1_原始數據'!$J$2:$J$1000,'1_原始數據'!$A$2:$A$1000,$A431,'1_原始數據'!$C$2:$C$1000,"khp_titration_mL"))))</f>
        <v/>
      </c>
      <c r="L431" s="25">
        <f>IF($A431="","",IF($C431&lt;&gt;"manual_titration_mL","",IFERROR(INDEX('3_可滴定酸度'!$E$6:$E$13,MATCH($I431,'3_可滴定酸度'!$B$6:$B$13,0)),"")))</f>
        <v/>
      </c>
      <c r="M431" s="25">
        <f>IF($A431="","",IF($C431&lt;&gt;"manual_titration_mL","",IFERROR(INDEX('3_可滴定酸度'!$F$6:$F$13,MATCH($I431,'3_可滴定酸度'!$B$6:$B$13,0)),"")))</f>
        <v/>
      </c>
      <c r="N431" s="24">
        <f>IF($A431="","",IF(OR(K431="",L431="",M431=""),"",K431*E431*L431/(M431*1000)*100))</f>
        <v/>
      </c>
      <c r="O431" s="24">
        <f>IF($A431="","",IF(N431="","",IF(COUNTIFS('1_原始數據'!$A$2:$A$1000,$A431,'1_原始數據'!$B$2:$B$1000,$B431,'1_原始數據'!$D$2:$D$1000,$D431,'1_原始數據'!$I$2:$I$1000,$I431,'1_原始數據'!$C$2:$C$1000,"pasco_pct_acid")=0,"",SUMIFS('1_原始數據'!$E$2:$E$1000,'1_原始數據'!$A$2:$A$1000,$A431,'1_原始數據'!$B$2:$B$1000,$B431,'1_原始數據'!$D$2:$D$1000,$D431,'1_原始數據'!$I$2:$I$1000,$I431,'1_原始數據'!$C$2:$C$1000,"pasco_pct_acid"))))</f>
        <v/>
      </c>
      <c r="P431" s="26">
        <f>IF($A431="","",IF(OR(N431="",O431=""),"",O431-N431))</f>
        <v/>
      </c>
      <c r="Q431" s="24">
        <f>IF($A431="","",IF(P431="","",(O431+N431)/2))</f>
        <v/>
      </c>
      <c r="R431" s="27">
        <f>IF($A431="","",IF(P431="","",COUNT($P$2:P431)))</f>
        <v/>
      </c>
    </row>
    <row r="432">
      <c r="J432" s="24">
        <f>IF($A432="","",IF($C432&lt;&gt;"khp_titration_mL","",IF(COUNTIFS('1_原始數據'!$A$2:$A$1000,$A432,'1_原始數據'!$B$2:$B$1000,$B432,'1_原始數據'!$D$2:$D$1000,$D432,'1_原始數據'!$C$2:$C$1000,"khp_mass_g")=0,"",SUMIFS('1_原始數據'!$E$2:$E$1000,'1_原始數據'!$A$2:$A$1000,$A432,'1_原始數據'!$B$2:$B$1000,$B432,'1_原始數據'!$D$2:$D$1000,$D432,'1_原始數據'!$C$2:$C$1000,"khp_mass_g")/('2_NaOH標定'!$C$5*$E432/1000))))</f>
        <v/>
      </c>
      <c r="K432" s="24">
        <f>IF($A432="","",IF($C432&lt;&gt;"manual_titration_mL","",IF(COUNTIFS('1_原始數據'!$A$2:$A$1000,$A432,'1_原始數據'!$C$2:$C$1000,"khp_titration_mL")=0,"",AVERAGEIFS('1_原始數據'!$J$2:$J$1000,'1_原始數據'!$A$2:$A$1000,$A432,'1_原始數據'!$C$2:$C$1000,"khp_titration_mL"))))</f>
        <v/>
      </c>
      <c r="L432" s="25">
        <f>IF($A432="","",IF($C432&lt;&gt;"manual_titration_mL","",IFERROR(INDEX('3_可滴定酸度'!$E$6:$E$13,MATCH($I432,'3_可滴定酸度'!$B$6:$B$13,0)),"")))</f>
        <v/>
      </c>
      <c r="M432" s="25">
        <f>IF($A432="","",IF($C432&lt;&gt;"manual_titration_mL","",IFERROR(INDEX('3_可滴定酸度'!$F$6:$F$13,MATCH($I432,'3_可滴定酸度'!$B$6:$B$13,0)),"")))</f>
        <v/>
      </c>
      <c r="N432" s="24">
        <f>IF($A432="","",IF(OR(K432="",L432="",M432=""),"",K432*E432*L432/(M432*1000)*100))</f>
        <v/>
      </c>
      <c r="O432" s="24">
        <f>IF($A432="","",IF(N432="","",IF(COUNTIFS('1_原始數據'!$A$2:$A$1000,$A432,'1_原始數據'!$B$2:$B$1000,$B432,'1_原始數據'!$D$2:$D$1000,$D432,'1_原始數據'!$I$2:$I$1000,$I432,'1_原始數據'!$C$2:$C$1000,"pasco_pct_acid")=0,"",SUMIFS('1_原始數據'!$E$2:$E$1000,'1_原始數據'!$A$2:$A$1000,$A432,'1_原始數據'!$B$2:$B$1000,$B432,'1_原始數據'!$D$2:$D$1000,$D432,'1_原始數據'!$I$2:$I$1000,$I432,'1_原始數據'!$C$2:$C$1000,"pasco_pct_acid"))))</f>
        <v/>
      </c>
      <c r="P432" s="26">
        <f>IF($A432="","",IF(OR(N432="",O432=""),"",O432-N432))</f>
        <v/>
      </c>
      <c r="Q432" s="24">
        <f>IF($A432="","",IF(P432="","",(O432+N432)/2))</f>
        <v/>
      </c>
      <c r="R432" s="27">
        <f>IF($A432="","",IF(P432="","",COUNT($P$2:P432)))</f>
        <v/>
      </c>
    </row>
    <row r="433">
      <c r="J433" s="24">
        <f>IF($A433="","",IF($C433&lt;&gt;"khp_titration_mL","",IF(COUNTIFS('1_原始數據'!$A$2:$A$1000,$A433,'1_原始數據'!$B$2:$B$1000,$B433,'1_原始數據'!$D$2:$D$1000,$D433,'1_原始數據'!$C$2:$C$1000,"khp_mass_g")=0,"",SUMIFS('1_原始數據'!$E$2:$E$1000,'1_原始數據'!$A$2:$A$1000,$A433,'1_原始數據'!$B$2:$B$1000,$B433,'1_原始數據'!$D$2:$D$1000,$D433,'1_原始數據'!$C$2:$C$1000,"khp_mass_g")/('2_NaOH標定'!$C$5*$E433/1000))))</f>
        <v/>
      </c>
      <c r="K433" s="24">
        <f>IF($A433="","",IF($C433&lt;&gt;"manual_titration_mL","",IF(COUNTIFS('1_原始數據'!$A$2:$A$1000,$A433,'1_原始數據'!$C$2:$C$1000,"khp_titration_mL")=0,"",AVERAGEIFS('1_原始數據'!$J$2:$J$1000,'1_原始數據'!$A$2:$A$1000,$A433,'1_原始數據'!$C$2:$C$1000,"khp_titration_mL"))))</f>
        <v/>
      </c>
      <c r="L433" s="25">
        <f>IF($A433="","",IF($C433&lt;&gt;"manual_titration_mL","",IFERROR(INDEX('3_可滴定酸度'!$E$6:$E$13,MATCH($I433,'3_可滴定酸度'!$B$6:$B$13,0)),"")))</f>
        <v/>
      </c>
      <c r="M433" s="25">
        <f>IF($A433="","",IF($C433&lt;&gt;"manual_titration_mL","",IFERROR(INDEX('3_可滴定酸度'!$F$6:$F$13,MATCH($I433,'3_可滴定酸度'!$B$6:$B$13,0)),"")))</f>
        <v/>
      </c>
      <c r="N433" s="24">
        <f>IF($A433="","",IF(OR(K433="",L433="",M433=""),"",K433*E433*L433/(M433*1000)*100))</f>
        <v/>
      </c>
      <c r="O433" s="24">
        <f>IF($A433="","",IF(N433="","",IF(COUNTIFS('1_原始數據'!$A$2:$A$1000,$A433,'1_原始數據'!$B$2:$B$1000,$B433,'1_原始數據'!$D$2:$D$1000,$D433,'1_原始數據'!$I$2:$I$1000,$I433,'1_原始數據'!$C$2:$C$1000,"pasco_pct_acid")=0,"",SUMIFS('1_原始數據'!$E$2:$E$1000,'1_原始數據'!$A$2:$A$1000,$A433,'1_原始數據'!$B$2:$B$1000,$B433,'1_原始數據'!$D$2:$D$1000,$D433,'1_原始數據'!$I$2:$I$1000,$I433,'1_原始數據'!$C$2:$C$1000,"pasco_pct_acid"))))</f>
        <v/>
      </c>
      <c r="P433" s="26">
        <f>IF($A433="","",IF(OR(N433="",O433=""),"",O433-N433))</f>
        <v/>
      </c>
      <c r="Q433" s="24">
        <f>IF($A433="","",IF(P433="","",(O433+N433)/2))</f>
        <v/>
      </c>
      <c r="R433" s="27">
        <f>IF($A433="","",IF(P433="","",COUNT($P$2:P433)))</f>
        <v/>
      </c>
    </row>
    <row r="434">
      <c r="J434" s="24">
        <f>IF($A434="","",IF($C434&lt;&gt;"khp_titration_mL","",IF(COUNTIFS('1_原始數據'!$A$2:$A$1000,$A434,'1_原始數據'!$B$2:$B$1000,$B434,'1_原始數據'!$D$2:$D$1000,$D434,'1_原始數據'!$C$2:$C$1000,"khp_mass_g")=0,"",SUMIFS('1_原始數據'!$E$2:$E$1000,'1_原始數據'!$A$2:$A$1000,$A434,'1_原始數據'!$B$2:$B$1000,$B434,'1_原始數據'!$D$2:$D$1000,$D434,'1_原始數據'!$C$2:$C$1000,"khp_mass_g")/('2_NaOH標定'!$C$5*$E434/1000))))</f>
        <v/>
      </c>
      <c r="K434" s="24">
        <f>IF($A434="","",IF($C434&lt;&gt;"manual_titration_mL","",IF(COUNTIFS('1_原始數據'!$A$2:$A$1000,$A434,'1_原始數據'!$C$2:$C$1000,"khp_titration_mL")=0,"",AVERAGEIFS('1_原始數據'!$J$2:$J$1000,'1_原始數據'!$A$2:$A$1000,$A434,'1_原始數據'!$C$2:$C$1000,"khp_titration_mL"))))</f>
        <v/>
      </c>
      <c r="L434" s="25">
        <f>IF($A434="","",IF($C434&lt;&gt;"manual_titration_mL","",IFERROR(INDEX('3_可滴定酸度'!$E$6:$E$13,MATCH($I434,'3_可滴定酸度'!$B$6:$B$13,0)),"")))</f>
        <v/>
      </c>
      <c r="M434" s="25">
        <f>IF($A434="","",IF($C434&lt;&gt;"manual_titration_mL","",IFERROR(INDEX('3_可滴定酸度'!$F$6:$F$13,MATCH($I434,'3_可滴定酸度'!$B$6:$B$13,0)),"")))</f>
        <v/>
      </c>
      <c r="N434" s="24">
        <f>IF($A434="","",IF(OR(K434="",L434="",M434=""),"",K434*E434*L434/(M434*1000)*100))</f>
        <v/>
      </c>
      <c r="O434" s="24">
        <f>IF($A434="","",IF(N434="","",IF(COUNTIFS('1_原始數據'!$A$2:$A$1000,$A434,'1_原始數據'!$B$2:$B$1000,$B434,'1_原始數據'!$D$2:$D$1000,$D434,'1_原始數據'!$I$2:$I$1000,$I434,'1_原始數據'!$C$2:$C$1000,"pasco_pct_acid")=0,"",SUMIFS('1_原始數據'!$E$2:$E$1000,'1_原始數據'!$A$2:$A$1000,$A434,'1_原始數據'!$B$2:$B$1000,$B434,'1_原始數據'!$D$2:$D$1000,$D434,'1_原始數據'!$I$2:$I$1000,$I434,'1_原始數據'!$C$2:$C$1000,"pasco_pct_acid"))))</f>
        <v/>
      </c>
      <c r="P434" s="26">
        <f>IF($A434="","",IF(OR(N434="",O434=""),"",O434-N434))</f>
        <v/>
      </c>
      <c r="Q434" s="24">
        <f>IF($A434="","",IF(P434="","",(O434+N434)/2))</f>
        <v/>
      </c>
      <c r="R434" s="27">
        <f>IF($A434="","",IF(P434="","",COUNT($P$2:P434)))</f>
        <v/>
      </c>
    </row>
    <row r="435">
      <c r="J435" s="24">
        <f>IF($A435="","",IF($C435&lt;&gt;"khp_titration_mL","",IF(COUNTIFS('1_原始數據'!$A$2:$A$1000,$A435,'1_原始數據'!$B$2:$B$1000,$B435,'1_原始數據'!$D$2:$D$1000,$D435,'1_原始數據'!$C$2:$C$1000,"khp_mass_g")=0,"",SUMIFS('1_原始數據'!$E$2:$E$1000,'1_原始數據'!$A$2:$A$1000,$A435,'1_原始數據'!$B$2:$B$1000,$B435,'1_原始數據'!$D$2:$D$1000,$D435,'1_原始數據'!$C$2:$C$1000,"khp_mass_g")/('2_NaOH標定'!$C$5*$E435/1000))))</f>
        <v/>
      </c>
      <c r="K435" s="24">
        <f>IF($A435="","",IF($C435&lt;&gt;"manual_titration_mL","",IF(COUNTIFS('1_原始數據'!$A$2:$A$1000,$A435,'1_原始數據'!$C$2:$C$1000,"khp_titration_mL")=0,"",AVERAGEIFS('1_原始數據'!$J$2:$J$1000,'1_原始數據'!$A$2:$A$1000,$A435,'1_原始數據'!$C$2:$C$1000,"khp_titration_mL"))))</f>
        <v/>
      </c>
      <c r="L435" s="25">
        <f>IF($A435="","",IF($C435&lt;&gt;"manual_titration_mL","",IFERROR(INDEX('3_可滴定酸度'!$E$6:$E$13,MATCH($I435,'3_可滴定酸度'!$B$6:$B$13,0)),"")))</f>
        <v/>
      </c>
      <c r="M435" s="25">
        <f>IF($A435="","",IF($C435&lt;&gt;"manual_titration_mL","",IFERROR(INDEX('3_可滴定酸度'!$F$6:$F$13,MATCH($I435,'3_可滴定酸度'!$B$6:$B$13,0)),"")))</f>
        <v/>
      </c>
      <c r="N435" s="24">
        <f>IF($A435="","",IF(OR(K435="",L435="",M435=""),"",K435*E435*L435/(M435*1000)*100))</f>
        <v/>
      </c>
      <c r="O435" s="24">
        <f>IF($A435="","",IF(N435="","",IF(COUNTIFS('1_原始數據'!$A$2:$A$1000,$A435,'1_原始數據'!$B$2:$B$1000,$B435,'1_原始數據'!$D$2:$D$1000,$D435,'1_原始數據'!$I$2:$I$1000,$I435,'1_原始數據'!$C$2:$C$1000,"pasco_pct_acid")=0,"",SUMIFS('1_原始數據'!$E$2:$E$1000,'1_原始數據'!$A$2:$A$1000,$A435,'1_原始數據'!$B$2:$B$1000,$B435,'1_原始數據'!$D$2:$D$1000,$D435,'1_原始數據'!$I$2:$I$1000,$I435,'1_原始數據'!$C$2:$C$1000,"pasco_pct_acid"))))</f>
        <v/>
      </c>
      <c r="P435" s="26">
        <f>IF($A435="","",IF(OR(N435="",O435=""),"",O435-N435))</f>
        <v/>
      </c>
      <c r="Q435" s="24">
        <f>IF($A435="","",IF(P435="","",(O435+N435)/2))</f>
        <v/>
      </c>
      <c r="R435" s="27">
        <f>IF($A435="","",IF(P435="","",COUNT($P$2:P435)))</f>
        <v/>
      </c>
    </row>
    <row r="436">
      <c r="J436" s="24">
        <f>IF($A436="","",IF($C436&lt;&gt;"khp_titration_mL","",IF(COUNTIFS('1_原始數據'!$A$2:$A$1000,$A436,'1_原始數據'!$B$2:$B$1000,$B436,'1_原始數據'!$D$2:$D$1000,$D436,'1_原始數據'!$C$2:$C$1000,"khp_mass_g")=0,"",SUMIFS('1_原始數據'!$E$2:$E$1000,'1_原始數據'!$A$2:$A$1000,$A436,'1_原始數據'!$B$2:$B$1000,$B436,'1_原始數據'!$D$2:$D$1000,$D436,'1_原始數據'!$C$2:$C$1000,"khp_mass_g")/('2_NaOH標定'!$C$5*$E436/1000))))</f>
        <v/>
      </c>
      <c r="K436" s="24">
        <f>IF($A436="","",IF($C436&lt;&gt;"manual_titration_mL","",IF(COUNTIFS('1_原始數據'!$A$2:$A$1000,$A436,'1_原始數據'!$C$2:$C$1000,"khp_titration_mL")=0,"",AVERAGEIFS('1_原始數據'!$J$2:$J$1000,'1_原始數據'!$A$2:$A$1000,$A436,'1_原始數據'!$C$2:$C$1000,"khp_titration_mL"))))</f>
        <v/>
      </c>
      <c r="L436" s="25">
        <f>IF($A436="","",IF($C436&lt;&gt;"manual_titration_mL","",IFERROR(INDEX('3_可滴定酸度'!$E$6:$E$13,MATCH($I436,'3_可滴定酸度'!$B$6:$B$13,0)),"")))</f>
        <v/>
      </c>
      <c r="M436" s="25">
        <f>IF($A436="","",IF($C436&lt;&gt;"manual_titration_mL","",IFERROR(INDEX('3_可滴定酸度'!$F$6:$F$13,MATCH($I436,'3_可滴定酸度'!$B$6:$B$13,0)),"")))</f>
        <v/>
      </c>
      <c r="N436" s="24">
        <f>IF($A436="","",IF(OR(K436="",L436="",M436=""),"",K436*E436*L436/(M436*1000)*100))</f>
        <v/>
      </c>
      <c r="O436" s="24">
        <f>IF($A436="","",IF(N436="","",IF(COUNTIFS('1_原始數據'!$A$2:$A$1000,$A436,'1_原始數據'!$B$2:$B$1000,$B436,'1_原始數據'!$D$2:$D$1000,$D436,'1_原始數據'!$I$2:$I$1000,$I436,'1_原始數據'!$C$2:$C$1000,"pasco_pct_acid")=0,"",SUMIFS('1_原始數據'!$E$2:$E$1000,'1_原始數據'!$A$2:$A$1000,$A436,'1_原始數據'!$B$2:$B$1000,$B436,'1_原始數據'!$D$2:$D$1000,$D436,'1_原始數據'!$I$2:$I$1000,$I436,'1_原始數據'!$C$2:$C$1000,"pasco_pct_acid"))))</f>
        <v/>
      </c>
      <c r="P436" s="26">
        <f>IF($A436="","",IF(OR(N436="",O436=""),"",O436-N436))</f>
        <v/>
      </c>
      <c r="Q436" s="24">
        <f>IF($A436="","",IF(P436="","",(O436+N436)/2))</f>
        <v/>
      </c>
      <c r="R436" s="27">
        <f>IF($A436="","",IF(P436="","",COUNT($P$2:P436)))</f>
        <v/>
      </c>
    </row>
    <row r="437">
      <c r="J437" s="24">
        <f>IF($A437="","",IF($C437&lt;&gt;"khp_titration_mL","",IF(COUNTIFS('1_原始數據'!$A$2:$A$1000,$A437,'1_原始數據'!$B$2:$B$1000,$B437,'1_原始數據'!$D$2:$D$1000,$D437,'1_原始數據'!$C$2:$C$1000,"khp_mass_g")=0,"",SUMIFS('1_原始數據'!$E$2:$E$1000,'1_原始數據'!$A$2:$A$1000,$A437,'1_原始數據'!$B$2:$B$1000,$B437,'1_原始數據'!$D$2:$D$1000,$D437,'1_原始數據'!$C$2:$C$1000,"khp_mass_g")/('2_NaOH標定'!$C$5*$E437/1000))))</f>
        <v/>
      </c>
      <c r="K437" s="24">
        <f>IF($A437="","",IF($C437&lt;&gt;"manual_titration_mL","",IF(COUNTIFS('1_原始數據'!$A$2:$A$1000,$A437,'1_原始數據'!$C$2:$C$1000,"khp_titration_mL")=0,"",AVERAGEIFS('1_原始數據'!$J$2:$J$1000,'1_原始數據'!$A$2:$A$1000,$A437,'1_原始數據'!$C$2:$C$1000,"khp_titration_mL"))))</f>
        <v/>
      </c>
      <c r="L437" s="25">
        <f>IF($A437="","",IF($C437&lt;&gt;"manual_titration_mL","",IFERROR(INDEX('3_可滴定酸度'!$E$6:$E$13,MATCH($I437,'3_可滴定酸度'!$B$6:$B$13,0)),"")))</f>
        <v/>
      </c>
      <c r="M437" s="25">
        <f>IF($A437="","",IF($C437&lt;&gt;"manual_titration_mL","",IFERROR(INDEX('3_可滴定酸度'!$F$6:$F$13,MATCH($I437,'3_可滴定酸度'!$B$6:$B$13,0)),"")))</f>
        <v/>
      </c>
      <c r="N437" s="24">
        <f>IF($A437="","",IF(OR(K437="",L437="",M437=""),"",K437*E437*L437/(M437*1000)*100))</f>
        <v/>
      </c>
      <c r="O437" s="24">
        <f>IF($A437="","",IF(N437="","",IF(COUNTIFS('1_原始數據'!$A$2:$A$1000,$A437,'1_原始數據'!$B$2:$B$1000,$B437,'1_原始數據'!$D$2:$D$1000,$D437,'1_原始數據'!$I$2:$I$1000,$I437,'1_原始數據'!$C$2:$C$1000,"pasco_pct_acid")=0,"",SUMIFS('1_原始數據'!$E$2:$E$1000,'1_原始數據'!$A$2:$A$1000,$A437,'1_原始數據'!$B$2:$B$1000,$B437,'1_原始數據'!$D$2:$D$1000,$D437,'1_原始數據'!$I$2:$I$1000,$I437,'1_原始數據'!$C$2:$C$1000,"pasco_pct_acid"))))</f>
        <v/>
      </c>
      <c r="P437" s="26">
        <f>IF($A437="","",IF(OR(N437="",O437=""),"",O437-N437))</f>
        <v/>
      </c>
      <c r="Q437" s="24">
        <f>IF($A437="","",IF(P437="","",(O437+N437)/2))</f>
        <v/>
      </c>
      <c r="R437" s="27">
        <f>IF($A437="","",IF(P437="","",COUNT($P$2:P437)))</f>
        <v/>
      </c>
    </row>
    <row r="438">
      <c r="J438" s="24">
        <f>IF($A438="","",IF($C438&lt;&gt;"khp_titration_mL","",IF(COUNTIFS('1_原始數據'!$A$2:$A$1000,$A438,'1_原始數據'!$B$2:$B$1000,$B438,'1_原始數據'!$D$2:$D$1000,$D438,'1_原始數據'!$C$2:$C$1000,"khp_mass_g")=0,"",SUMIFS('1_原始數據'!$E$2:$E$1000,'1_原始數據'!$A$2:$A$1000,$A438,'1_原始數據'!$B$2:$B$1000,$B438,'1_原始數據'!$D$2:$D$1000,$D438,'1_原始數據'!$C$2:$C$1000,"khp_mass_g")/('2_NaOH標定'!$C$5*$E438/1000))))</f>
        <v/>
      </c>
      <c r="K438" s="24">
        <f>IF($A438="","",IF($C438&lt;&gt;"manual_titration_mL","",IF(COUNTIFS('1_原始數據'!$A$2:$A$1000,$A438,'1_原始數據'!$C$2:$C$1000,"khp_titration_mL")=0,"",AVERAGEIFS('1_原始數據'!$J$2:$J$1000,'1_原始數據'!$A$2:$A$1000,$A438,'1_原始數據'!$C$2:$C$1000,"khp_titration_mL"))))</f>
        <v/>
      </c>
      <c r="L438" s="25">
        <f>IF($A438="","",IF($C438&lt;&gt;"manual_titration_mL","",IFERROR(INDEX('3_可滴定酸度'!$E$6:$E$13,MATCH($I438,'3_可滴定酸度'!$B$6:$B$13,0)),"")))</f>
        <v/>
      </c>
      <c r="M438" s="25">
        <f>IF($A438="","",IF($C438&lt;&gt;"manual_titration_mL","",IFERROR(INDEX('3_可滴定酸度'!$F$6:$F$13,MATCH($I438,'3_可滴定酸度'!$B$6:$B$13,0)),"")))</f>
        <v/>
      </c>
      <c r="N438" s="24">
        <f>IF($A438="","",IF(OR(K438="",L438="",M438=""),"",K438*E438*L438/(M438*1000)*100))</f>
        <v/>
      </c>
      <c r="O438" s="24">
        <f>IF($A438="","",IF(N438="","",IF(COUNTIFS('1_原始數據'!$A$2:$A$1000,$A438,'1_原始數據'!$B$2:$B$1000,$B438,'1_原始數據'!$D$2:$D$1000,$D438,'1_原始數據'!$I$2:$I$1000,$I438,'1_原始數據'!$C$2:$C$1000,"pasco_pct_acid")=0,"",SUMIFS('1_原始數據'!$E$2:$E$1000,'1_原始數據'!$A$2:$A$1000,$A438,'1_原始數據'!$B$2:$B$1000,$B438,'1_原始數據'!$D$2:$D$1000,$D438,'1_原始數據'!$I$2:$I$1000,$I438,'1_原始數據'!$C$2:$C$1000,"pasco_pct_acid"))))</f>
        <v/>
      </c>
      <c r="P438" s="26">
        <f>IF($A438="","",IF(OR(N438="",O438=""),"",O438-N438))</f>
        <v/>
      </c>
      <c r="Q438" s="24">
        <f>IF($A438="","",IF(P438="","",(O438+N438)/2))</f>
        <v/>
      </c>
      <c r="R438" s="27">
        <f>IF($A438="","",IF(P438="","",COUNT($P$2:P438)))</f>
        <v/>
      </c>
    </row>
    <row r="439">
      <c r="J439" s="24">
        <f>IF($A439="","",IF($C439&lt;&gt;"khp_titration_mL","",IF(COUNTIFS('1_原始數據'!$A$2:$A$1000,$A439,'1_原始數據'!$B$2:$B$1000,$B439,'1_原始數據'!$D$2:$D$1000,$D439,'1_原始數據'!$C$2:$C$1000,"khp_mass_g")=0,"",SUMIFS('1_原始數據'!$E$2:$E$1000,'1_原始數據'!$A$2:$A$1000,$A439,'1_原始數據'!$B$2:$B$1000,$B439,'1_原始數據'!$D$2:$D$1000,$D439,'1_原始數據'!$C$2:$C$1000,"khp_mass_g")/('2_NaOH標定'!$C$5*$E439/1000))))</f>
        <v/>
      </c>
      <c r="K439" s="24">
        <f>IF($A439="","",IF($C439&lt;&gt;"manual_titration_mL","",IF(COUNTIFS('1_原始數據'!$A$2:$A$1000,$A439,'1_原始數據'!$C$2:$C$1000,"khp_titration_mL")=0,"",AVERAGEIFS('1_原始數據'!$J$2:$J$1000,'1_原始數據'!$A$2:$A$1000,$A439,'1_原始數據'!$C$2:$C$1000,"khp_titration_mL"))))</f>
        <v/>
      </c>
      <c r="L439" s="25">
        <f>IF($A439="","",IF($C439&lt;&gt;"manual_titration_mL","",IFERROR(INDEX('3_可滴定酸度'!$E$6:$E$13,MATCH($I439,'3_可滴定酸度'!$B$6:$B$13,0)),"")))</f>
        <v/>
      </c>
      <c r="M439" s="25">
        <f>IF($A439="","",IF($C439&lt;&gt;"manual_titration_mL","",IFERROR(INDEX('3_可滴定酸度'!$F$6:$F$13,MATCH($I439,'3_可滴定酸度'!$B$6:$B$13,0)),"")))</f>
        <v/>
      </c>
      <c r="N439" s="24">
        <f>IF($A439="","",IF(OR(K439="",L439="",M439=""),"",K439*E439*L439/(M439*1000)*100))</f>
        <v/>
      </c>
      <c r="O439" s="24">
        <f>IF($A439="","",IF(N439="","",IF(COUNTIFS('1_原始數據'!$A$2:$A$1000,$A439,'1_原始數據'!$B$2:$B$1000,$B439,'1_原始數據'!$D$2:$D$1000,$D439,'1_原始數據'!$I$2:$I$1000,$I439,'1_原始數據'!$C$2:$C$1000,"pasco_pct_acid")=0,"",SUMIFS('1_原始數據'!$E$2:$E$1000,'1_原始數據'!$A$2:$A$1000,$A439,'1_原始數據'!$B$2:$B$1000,$B439,'1_原始數據'!$D$2:$D$1000,$D439,'1_原始數據'!$I$2:$I$1000,$I439,'1_原始數據'!$C$2:$C$1000,"pasco_pct_acid"))))</f>
        <v/>
      </c>
      <c r="P439" s="26">
        <f>IF($A439="","",IF(OR(N439="",O439=""),"",O439-N439))</f>
        <v/>
      </c>
      <c r="Q439" s="24">
        <f>IF($A439="","",IF(P439="","",(O439+N439)/2))</f>
        <v/>
      </c>
      <c r="R439" s="27">
        <f>IF($A439="","",IF(P439="","",COUNT($P$2:P439)))</f>
        <v/>
      </c>
    </row>
    <row r="440">
      <c r="J440" s="24">
        <f>IF($A440="","",IF($C440&lt;&gt;"khp_titration_mL","",IF(COUNTIFS('1_原始數據'!$A$2:$A$1000,$A440,'1_原始數據'!$B$2:$B$1000,$B440,'1_原始數據'!$D$2:$D$1000,$D440,'1_原始數據'!$C$2:$C$1000,"khp_mass_g")=0,"",SUMIFS('1_原始數據'!$E$2:$E$1000,'1_原始數據'!$A$2:$A$1000,$A440,'1_原始數據'!$B$2:$B$1000,$B440,'1_原始數據'!$D$2:$D$1000,$D440,'1_原始數據'!$C$2:$C$1000,"khp_mass_g")/('2_NaOH標定'!$C$5*$E440/1000))))</f>
        <v/>
      </c>
      <c r="K440" s="24">
        <f>IF($A440="","",IF($C440&lt;&gt;"manual_titration_mL","",IF(COUNTIFS('1_原始數據'!$A$2:$A$1000,$A440,'1_原始數據'!$C$2:$C$1000,"khp_titration_mL")=0,"",AVERAGEIFS('1_原始數據'!$J$2:$J$1000,'1_原始數據'!$A$2:$A$1000,$A440,'1_原始數據'!$C$2:$C$1000,"khp_titration_mL"))))</f>
        <v/>
      </c>
      <c r="L440" s="25">
        <f>IF($A440="","",IF($C440&lt;&gt;"manual_titration_mL","",IFERROR(INDEX('3_可滴定酸度'!$E$6:$E$13,MATCH($I440,'3_可滴定酸度'!$B$6:$B$13,0)),"")))</f>
        <v/>
      </c>
      <c r="M440" s="25">
        <f>IF($A440="","",IF($C440&lt;&gt;"manual_titration_mL","",IFERROR(INDEX('3_可滴定酸度'!$F$6:$F$13,MATCH($I440,'3_可滴定酸度'!$B$6:$B$13,0)),"")))</f>
        <v/>
      </c>
      <c r="N440" s="24">
        <f>IF($A440="","",IF(OR(K440="",L440="",M440=""),"",K440*E440*L440/(M440*1000)*100))</f>
        <v/>
      </c>
      <c r="O440" s="24">
        <f>IF($A440="","",IF(N440="","",IF(COUNTIFS('1_原始數據'!$A$2:$A$1000,$A440,'1_原始數據'!$B$2:$B$1000,$B440,'1_原始數據'!$D$2:$D$1000,$D440,'1_原始數據'!$I$2:$I$1000,$I440,'1_原始數據'!$C$2:$C$1000,"pasco_pct_acid")=0,"",SUMIFS('1_原始數據'!$E$2:$E$1000,'1_原始數據'!$A$2:$A$1000,$A440,'1_原始數據'!$B$2:$B$1000,$B440,'1_原始數據'!$D$2:$D$1000,$D440,'1_原始數據'!$I$2:$I$1000,$I440,'1_原始數據'!$C$2:$C$1000,"pasco_pct_acid"))))</f>
        <v/>
      </c>
      <c r="P440" s="26">
        <f>IF($A440="","",IF(OR(N440="",O440=""),"",O440-N440))</f>
        <v/>
      </c>
      <c r="Q440" s="24">
        <f>IF($A440="","",IF(P440="","",(O440+N440)/2))</f>
        <v/>
      </c>
      <c r="R440" s="27">
        <f>IF($A440="","",IF(P440="","",COUNT($P$2:P440)))</f>
        <v/>
      </c>
    </row>
    <row r="441">
      <c r="J441" s="24">
        <f>IF($A441="","",IF($C441&lt;&gt;"khp_titration_mL","",IF(COUNTIFS('1_原始數據'!$A$2:$A$1000,$A441,'1_原始數據'!$B$2:$B$1000,$B441,'1_原始數據'!$D$2:$D$1000,$D441,'1_原始數據'!$C$2:$C$1000,"khp_mass_g")=0,"",SUMIFS('1_原始數據'!$E$2:$E$1000,'1_原始數據'!$A$2:$A$1000,$A441,'1_原始數據'!$B$2:$B$1000,$B441,'1_原始數據'!$D$2:$D$1000,$D441,'1_原始數據'!$C$2:$C$1000,"khp_mass_g")/('2_NaOH標定'!$C$5*$E441/1000))))</f>
        <v/>
      </c>
      <c r="K441" s="24">
        <f>IF($A441="","",IF($C441&lt;&gt;"manual_titration_mL","",IF(COUNTIFS('1_原始數據'!$A$2:$A$1000,$A441,'1_原始數據'!$C$2:$C$1000,"khp_titration_mL")=0,"",AVERAGEIFS('1_原始數據'!$J$2:$J$1000,'1_原始數據'!$A$2:$A$1000,$A441,'1_原始數據'!$C$2:$C$1000,"khp_titration_mL"))))</f>
        <v/>
      </c>
      <c r="L441" s="25">
        <f>IF($A441="","",IF($C441&lt;&gt;"manual_titration_mL","",IFERROR(INDEX('3_可滴定酸度'!$E$6:$E$13,MATCH($I441,'3_可滴定酸度'!$B$6:$B$13,0)),"")))</f>
        <v/>
      </c>
      <c r="M441" s="25">
        <f>IF($A441="","",IF($C441&lt;&gt;"manual_titration_mL","",IFERROR(INDEX('3_可滴定酸度'!$F$6:$F$13,MATCH($I441,'3_可滴定酸度'!$B$6:$B$13,0)),"")))</f>
        <v/>
      </c>
      <c r="N441" s="24">
        <f>IF($A441="","",IF(OR(K441="",L441="",M441=""),"",K441*E441*L441/(M441*1000)*100))</f>
        <v/>
      </c>
      <c r="O441" s="24">
        <f>IF($A441="","",IF(N441="","",IF(COUNTIFS('1_原始數據'!$A$2:$A$1000,$A441,'1_原始數據'!$B$2:$B$1000,$B441,'1_原始數據'!$D$2:$D$1000,$D441,'1_原始數據'!$I$2:$I$1000,$I441,'1_原始數據'!$C$2:$C$1000,"pasco_pct_acid")=0,"",SUMIFS('1_原始數據'!$E$2:$E$1000,'1_原始數據'!$A$2:$A$1000,$A441,'1_原始數據'!$B$2:$B$1000,$B441,'1_原始數據'!$D$2:$D$1000,$D441,'1_原始數據'!$I$2:$I$1000,$I441,'1_原始數據'!$C$2:$C$1000,"pasco_pct_acid"))))</f>
        <v/>
      </c>
      <c r="P441" s="26">
        <f>IF($A441="","",IF(OR(N441="",O441=""),"",O441-N441))</f>
        <v/>
      </c>
      <c r="Q441" s="24">
        <f>IF($A441="","",IF(P441="","",(O441+N441)/2))</f>
        <v/>
      </c>
      <c r="R441" s="27">
        <f>IF($A441="","",IF(P441="","",COUNT($P$2:P441)))</f>
        <v/>
      </c>
    </row>
    <row r="442">
      <c r="J442" s="24">
        <f>IF($A442="","",IF($C442&lt;&gt;"khp_titration_mL","",IF(COUNTIFS('1_原始數據'!$A$2:$A$1000,$A442,'1_原始數據'!$B$2:$B$1000,$B442,'1_原始數據'!$D$2:$D$1000,$D442,'1_原始數據'!$C$2:$C$1000,"khp_mass_g")=0,"",SUMIFS('1_原始數據'!$E$2:$E$1000,'1_原始數據'!$A$2:$A$1000,$A442,'1_原始數據'!$B$2:$B$1000,$B442,'1_原始數據'!$D$2:$D$1000,$D442,'1_原始數據'!$C$2:$C$1000,"khp_mass_g")/('2_NaOH標定'!$C$5*$E442/1000))))</f>
        <v/>
      </c>
      <c r="K442" s="24">
        <f>IF($A442="","",IF($C442&lt;&gt;"manual_titration_mL","",IF(COUNTIFS('1_原始數據'!$A$2:$A$1000,$A442,'1_原始數據'!$C$2:$C$1000,"khp_titration_mL")=0,"",AVERAGEIFS('1_原始數據'!$J$2:$J$1000,'1_原始數據'!$A$2:$A$1000,$A442,'1_原始數據'!$C$2:$C$1000,"khp_titration_mL"))))</f>
        <v/>
      </c>
      <c r="L442" s="25">
        <f>IF($A442="","",IF($C442&lt;&gt;"manual_titration_mL","",IFERROR(INDEX('3_可滴定酸度'!$E$6:$E$13,MATCH($I442,'3_可滴定酸度'!$B$6:$B$13,0)),"")))</f>
        <v/>
      </c>
      <c r="M442" s="25">
        <f>IF($A442="","",IF($C442&lt;&gt;"manual_titration_mL","",IFERROR(INDEX('3_可滴定酸度'!$F$6:$F$13,MATCH($I442,'3_可滴定酸度'!$B$6:$B$13,0)),"")))</f>
        <v/>
      </c>
      <c r="N442" s="24">
        <f>IF($A442="","",IF(OR(K442="",L442="",M442=""),"",K442*E442*L442/(M442*1000)*100))</f>
        <v/>
      </c>
      <c r="O442" s="24">
        <f>IF($A442="","",IF(N442="","",IF(COUNTIFS('1_原始數據'!$A$2:$A$1000,$A442,'1_原始數據'!$B$2:$B$1000,$B442,'1_原始數據'!$D$2:$D$1000,$D442,'1_原始數據'!$I$2:$I$1000,$I442,'1_原始數據'!$C$2:$C$1000,"pasco_pct_acid")=0,"",SUMIFS('1_原始數據'!$E$2:$E$1000,'1_原始數據'!$A$2:$A$1000,$A442,'1_原始數據'!$B$2:$B$1000,$B442,'1_原始數據'!$D$2:$D$1000,$D442,'1_原始數據'!$I$2:$I$1000,$I442,'1_原始數據'!$C$2:$C$1000,"pasco_pct_acid"))))</f>
        <v/>
      </c>
      <c r="P442" s="26">
        <f>IF($A442="","",IF(OR(N442="",O442=""),"",O442-N442))</f>
        <v/>
      </c>
      <c r="Q442" s="24">
        <f>IF($A442="","",IF(P442="","",(O442+N442)/2))</f>
        <v/>
      </c>
      <c r="R442" s="27">
        <f>IF($A442="","",IF(P442="","",COUNT($P$2:P442)))</f>
        <v/>
      </c>
    </row>
    <row r="443">
      <c r="J443" s="24">
        <f>IF($A443="","",IF($C443&lt;&gt;"khp_titration_mL","",IF(COUNTIFS('1_原始數據'!$A$2:$A$1000,$A443,'1_原始數據'!$B$2:$B$1000,$B443,'1_原始數據'!$D$2:$D$1000,$D443,'1_原始數據'!$C$2:$C$1000,"khp_mass_g")=0,"",SUMIFS('1_原始數據'!$E$2:$E$1000,'1_原始數據'!$A$2:$A$1000,$A443,'1_原始數據'!$B$2:$B$1000,$B443,'1_原始數據'!$D$2:$D$1000,$D443,'1_原始數據'!$C$2:$C$1000,"khp_mass_g")/('2_NaOH標定'!$C$5*$E443/1000))))</f>
        <v/>
      </c>
      <c r="K443" s="24">
        <f>IF($A443="","",IF($C443&lt;&gt;"manual_titration_mL","",IF(COUNTIFS('1_原始數據'!$A$2:$A$1000,$A443,'1_原始數據'!$C$2:$C$1000,"khp_titration_mL")=0,"",AVERAGEIFS('1_原始數據'!$J$2:$J$1000,'1_原始數據'!$A$2:$A$1000,$A443,'1_原始數據'!$C$2:$C$1000,"khp_titration_mL"))))</f>
        <v/>
      </c>
      <c r="L443" s="25">
        <f>IF($A443="","",IF($C443&lt;&gt;"manual_titration_mL","",IFERROR(INDEX('3_可滴定酸度'!$E$6:$E$13,MATCH($I443,'3_可滴定酸度'!$B$6:$B$13,0)),"")))</f>
        <v/>
      </c>
      <c r="M443" s="25">
        <f>IF($A443="","",IF($C443&lt;&gt;"manual_titration_mL","",IFERROR(INDEX('3_可滴定酸度'!$F$6:$F$13,MATCH($I443,'3_可滴定酸度'!$B$6:$B$13,0)),"")))</f>
        <v/>
      </c>
      <c r="N443" s="24">
        <f>IF($A443="","",IF(OR(K443="",L443="",M443=""),"",K443*E443*L443/(M443*1000)*100))</f>
        <v/>
      </c>
      <c r="O443" s="24">
        <f>IF($A443="","",IF(N443="","",IF(COUNTIFS('1_原始數據'!$A$2:$A$1000,$A443,'1_原始數據'!$B$2:$B$1000,$B443,'1_原始數據'!$D$2:$D$1000,$D443,'1_原始數據'!$I$2:$I$1000,$I443,'1_原始數據'!$C$2:$C$1000,"pasco_pct_acid")=0,"",SUMIFS('1_原始數據'!$E$2:$E$1000,'1_原始數據'!$A$2:$A$1000,$A443,'1_原始數據'!$B$2:$B$1000,$B443,'1_原始數據'!$D$2:$D$1000,$D443,'1_原始數據'!$I$2:$I$1000,$I443,'1_原始數據'!$C$2:$C$1000,"pasco_pct_acid"))))</f>
        <v/>
      </c>
      <c r="P443" s="26">
        <f>IF($A443="","",IF(OR(N443="",O443=""),"",O443-N443))</f>
        <v/>
      </c>
      <c r="Q443" s="24">
        <f>IF($A443="","",IF(P443="","",(O443+N443)/2))</f>
        <v/>
      </c>
      <c r="R443" s="27">
        <f>IF($A443="","",IF(P443="","",COUNT($P$2:P443)))</f>
        <v/>
      </c>
    </row>
    <row r="444">
      <c r="J444" s="24">
        <f>IF($A444="","",IF($C444&lt;&gt;"khp_titration_mL","",IF(COUNTIFS('1_原始數據'!$A$2:$A$1000,$A444,'1_原始數據'!$B$2:$B$1000,$B444,'1_原始數據'!$D$2:$D$1000,$D444,'1_原始數據'!$C$2:$C$1000,"khp_mass_g")=0,"",SUMIFS('1_原始數據'!$E$2:$E$1000,'1_原始數據'!$A$2:$A$1000,$A444,'1_原始數據'!$B$2:$B$1000,$B444,'1_原始數據'!$D$2:$D$1000,$D444,'1_原始數據'!$C$2:$C$1000,"khp_mass_g")/('2_NaOH標定'!$C$5*$E444/1000))))</f>
        <v/>
      </c>
      <c r="K444" s="24">
        <f>IF($A444="","",IF($C444&lt;&gt;"manual_titration_mL","",IF(COUNTIFS('1_原始數據'!$A$2:$A$1000,$A444,'1_原始數據'!$C$2:$C$1000,"khp_titration_mL")=0,"",AVERAGEIFS('1_原始數據'!$J$2:$J$1000,'1_原始數據'!$A$2:$A$1000,$A444,'1_原始數據'!$C$2:$C$1000,"khp_titration_mL"))))</f>
        <v/>
      </c>
      <c r="L444" s="25">
        <f>IF($A444="","",IF($C444&lt;&gt;"manual_titration_mL","",IFERROR(INDEX('3_可滴定酸度'!$E$6:$E$13,MATCH($I444,'3_可滴定酸度'!$B$6:$B$13,0)),"")))</f>
        <v/>
      </c>
      <c r="M444" s="25">
        <f>IF($A444="","",IF($C444&lt;&gt;"manual_titration_mL","",IFERROR(INDEX('3_可滴定酸度'!$F$6:$F$13,MATCH($I444,'3_可滴定酸度'!$B$6:$B$13,0)),"")))</f>
        <v/>
      </c>
      <c r="N444" s="24">
        <f>IF($A444="","",IF(OR(K444="",L444="",M444=""),"",K444*E444*L444/(M444*1000)*100))</f>
        <v/>
      </c>
      <c r="O444" s="24">
        <f>IF($A444="","",IF(N444="","",IF(COUNTIFS('1_原始數據'!$A$2:$A$1000,$A444,'1_原始數據'!$B$2:$B$1000,$B444,'1_原始數據'!$D$2:$D$1000,$D444,'1_原始數據'!$I$2:$I$1000,$I444,'1_原始數據'!$C$2:$C$1000,"pasco_pct_acid")=0,"",SUMIFS('1_原始數據'!$E$2:$E$1000,'1_原始數據'!$A$2:$A$1000,$A444,'1_原始數據'!$B$2:$B$1000,$B444,'1_原始數據'!$D$2:$D$1000,$D444,'1_原始數據'!$I$2:$I$1000,$I444,'1_原始數據'!$C$2:$C$1000,"pasco_pct_acid"))))</f>
        <v/>
      </c>
      <c r="P444" s="26">
        <f>IF($A444="","",IF(OR(N444="",O444=""),"",O444-N444))</f>
        <v/>
      </c>
      <c r="Q444" s="24">
        <f>IF($A444="","",IF(P444="","",(O444+N444)/2))</f>
        <v/>
      </c>
      <c r="R444" s="27">
        <f>IF($A444="","",IF(P444="","",COUNT($P$2:P444)))</f>
        <v/>
      </c>
    </row>
    <row r="445">
      <c r="J445" s="24">
        <f>IF($A445="","",IF($C445&lt;&gt;"khp_titration_mL","",IF(COUNTIFS('1_原始數據'!$A$2:$A$1000,$A445,'1_原始數據'!$B$2:$B$1000,$B445,'1_原始數據'!$D$2:$D$1000,$D445,'1_原始數據'!$C$2:$C$1000,"khp_mass_g")=0,"",SUMIFS('1_原始數據'!$E$2:$E$1000,'1_原始數據'!$A$2:$A$1000,$A445,'1_原始數據'!$B$2:$B$1000,$B445,'1_原始數據'!$D$2:$D$1000,$D445,'1_原始數據'!$C$2:$C$1000,"khp_mass_g")/('2_NaOH標定'!$C$5*$E445/1000))))</f>
        <v/>
      </c>
      <c r="K445" s="24">
        <f>IF($A445="","",IF($C445&lt;&gt;"manual_titration_mL","",IF(COUNTIFS('1_原始數據'!$A$2:$A$1000,$A445,'1_原始數據'!$C$2:$C$1000,"khp_titration_mL")=0,"",AVERAGEIFS('1_原始數據'!$J$2:$J$1000,'1_原始數據'!$A$2:$A$1000,$A445,'1_原始數據'!$C$2:$C$1000,"khp_titration_mL"))))</f>
        <v/>
      </c>
      <c r="L445" s="25">
        <f>IF($A445="","",IF($C445&lt;&gt;"manual_titration_mL","",IFERROR(INDEX('3_可滴定酸度'!$E$6:$E$13,MATCH($I445,'3_可滴定酸度'!$B$6:$B$13,0)),"")))</f>
        <v/>
      </c>
      <c r="M445" s="25">
        <f>IF($A445="","",IF($C445&lt;&gt;"manual_titration_mL","",IFERROR(INDEX('3_可滴定酸度'!$F$6:$F$13,MATCH($I445,'3_可滴定酸度'!$B$6:$B$13,0)),"")))</f>
        <v/>
      </c>
      <c r="N445" s="24">
        <f>IF($A445="","",IF(OR(K445="",L445="",M445=""),"",K445*E445*L445/(M445*1000)*100))</f>
        <v/>
      </c>
      <c r="O445" s="24">
        <f>IF($A445="","",IF(N445="","",IF(COUNTIFS('1_原始數據'!$A$2:$A$1000,$A445,'1_原始數據'!$B$2:$B$1000,$B445,'1_原始數據'!$D$2:$D$1000,$D445,'1_原始數據'!$I$2:$I$1000,$I445,'1_原始數據'!$C$2:$C$1000,"pasco_pct_acid")=0,"",SUMIFS('1_原始數據'!$E$2:$E$1000,'1_原始數據'!$A$2:$A$1000,$A445,'1_原始數據'!$B$2:$B$1000,$B445,'1_原始數據'!$D$2:$D$1000,$D445,'1_原始數據'!$I$2:$I$1000,$I445,'1_原始數據'!$C$2:$C$1000,"pasco_pct_acid"))))</f>
        <v/>
      </c>
      <c r="P445" s="26">
        <f>IF($A445="","",IF(OR(N445="",O445=""),"",O445-N445))</f>
        <v/>
      </c>
      <c r="Q445" s="24">
        <f>IF($A445="","",IF(P445="","",(O445+N445)/2))</f>
        <v/>
      </c>
      <c r="R445" s="27">
        <f>IF($A445="","",IF(P445="","",COUNT($P$2:P445)))</f>
        <v/>
      </c>
    </row>
    <row r="446">
      <c r="J446" s="24">
        <f>IF($A446="","",IF($C446&lt;&gt;"khp_titration_mL","",IF(COUNTIFS('1_原始數據'!$A$2:$A$1000,$A446,'1_原始數據'!$B$2:$B$1000,$B446,'1_原始數據'!$D$2:$D$1000,$D446,'1_原始數據'!$C$2:$C$1000,"khp_mass_g")=0,"",SUMIFS('1_原始數據'!$E$2:$E$1000,'1_原始數據'!$A$2:$A$1000,$A446,'1_原始數據'!$B$2:$B$1000,$B446,'1_原始數據'!$D$2:$D$1000,$D446,'1_原始數據'!$C$2:$C$1000,"khp_mass_g")/('2_NaOH標定'!$C$5*$E446/1000))))</f>
        <v/>
      </c>
      <c r="K446" s="24">
        <f>IF($A446="","",IF($C446&lt;&gt;"manual_titration_mL","",IF(COUNTIFS('1_原始數據'!$A$2:$A$1000,$A446,'1_原始數據'!$C$2:$C$1000,"khp_titration_mL")=0,"",AVERAGEIFS('1_原始數據'!$J$2:$J$1000,'1_原始數據'!$A$2:$A$1000,$A446,'1_原始數據'!$C$2:$C$1000,"khp_titration_mL"))))</f>
        <v/>
      </c>
      <c r="L446" s="25">
        <f>IF($A446="","",IF($C446&lt;&gt;"manual_titration_mL","",IFERROR(INDEX('3_可滴定酸度'!$E$6:$E$13,MATCH($I446,'3_可滴定酸度'!$B$6:$B$13,0)),"")))</f>
        <v/>
      </c>
      <c r="M446" s="25">
        <f>IF($A446="","",IF($C446&lt;&gt;"manual_titration_mL","",IFERROR(INDEX('3_可滴定酸度'!$F$6:$F$13,MATCH($I446,'3_可滴定酸度'!$B$6:$B$13,0)),"")))</f>
        <v/>
      </c>
      <c r="N446" s="24">
        <f>IF($A446="","",IF(OR(K446="",L446="",M446=""),"",K446*E446*L446/(M446*1000)*100))</f>
        <v/>
      </c>
      <c r="O446" s="24">
        <f>IF($A446="","",IF(N446="","",IF(COUNTIFS('1_原始數據'!$A$2:$A$1000,$A446,'1_原始數據'!$B$2:$B$1000,$B446,'1_原始數據'!$D$2:$D$1000,$D446,'1_原始數據'!$I$2:$I$1000,$I446,'1_原始數據'!$C$2:$C$1000,"pasco_pct_acid")=0,"",SUMIFS('1_原始數據'!$E$2:$E$1000,'1_原始數據'!$A$2:$A$1000,$A446,'1_原始數據'!$B$2:$B$1000,$B446,'1_原始數據'!$D$2:$D$1000,$D446,'1_原始數據'!$I$2:$I$1000,$I446,'1_原始數據'!$C$2:$C$1000,"pasco_pct_acid"))))</f>
        <v/>
      </c>
      <c r="P446" s="26">
        <f>IF($A446="","",IF(OR(N446="",O446=""),"",O446-N446))</f>
        <v/>
      </c>
      <c r="Q446" s="24">
        <f>IF($A446="","",IF(P446="","",(O446+N446)/2))</f>
        <v/>
      </c>
      <c r="R446" s="27">
        <f>IF($A446="","",IF(P446="","",COUNT($P$2:P446)))</f>
        <v/>
      </c>
    </row>
    <row r="447">
      <c r="J447" s="24">
        <f>IF($A447="","",IF($C447&lt;&gt;"khp_titration_mL","",IF(COUNTIFS('1_原始數據'!$A$2:$A$1000,$A447,'1_原始數據'!$B$2:$B$1000,$B447,'1_原始數據'!$D$2:$D$1000,$D447,'1_原始數據'!$C$2:$C$1000,"khp_mass_g")=0,"",SUMIFS('1_原始數據'!$E$2:$E$1000,'1_原始數據'!$A$2:$A$1000,$A447,'1_原始數據'!$B$2:$B$1000,$B447,'1_原始數據'!$D$2:$D$1000,$D447,'1_原始數據'!$C$2:$C$1000,"khp_mass_g")/('2_NaOH標定'!$C$5*$E447/1000))))</f>
        <v/>
      </c>
      <c r="K447" s="24">
        <f>IF($A447="","",IF($C447&lt;&gt;"manual_titration_mL","",IF(COUNTIFS('1_原始數據'!$A$2:$A$1000,$A447,'1_原始數據'!$C$2:$C$1000,"khp_titration_mL")=0,"",AVERAGEIFS('1_原始數據'!$J$2:$J$1000,'1_原始數據'!$A$2:$A$1000,$A447,'1_原始數據'!$C$2:$C$1000,"khp_titration_mL"))))</f>
        <v/>
      </c>
      <c r="L447" s="25">
        <f>IF($A447="","",IF($C447&lt;&gt;"manual_titration_mL","",IFERROR(INDEX('3_可滴定酸度'!$E$6:$E$13,MATCH($I447,'3_可滴定酸度'!$B$6:$B$13,0)),"")))</f>
        <v/>
      </c>
      <c r="M447" s="25">
        <f>IF($A447="","",IF($C447&lt;&gt;"manual_titration_mL","",IFERROR(INDEX('3_可滴定酸度'!$F$6:$F$13,MATCH($I447,'3_可滴定酸度'!$B$6:$B$13,0)),"")))</f>
        <v/>
      </c>
      <c r="N447" s="24">
        <f>IF($A447="","",IF(OR(K447="",L447="",M447=""),"",K447*E447*L447/(M447*1000)*100))</f>
        <v/>
      </c>
      <c r="O447" s="24">
        <f>IF($A447="","",IF(N447="","",IF(COUNTIFS('1_原始數據'!$A$2:$A$1000,$A447,'1_原始數據'!$B$2:$B$1000,$B447,'1_原始數據'!$D$2:$D$1000,$D447,'1_原始數據'!$I$2:$I$1000,$I447,'1_原始數據'!$C$2:$C$1000,"pasco_pct_acid")=0,"",SUMIFS('1_原始數據'!$E$2:$E$1000,'1_原始數據'!$A$2:$A$1000,$A447,'1_原始數據'!$B$2:$B$1000,$B447,'1_原始數據'!$D$2:$D$1000,$D447,'1_原始數據'!$I$2:$I$1000,$I447,'1_原始數據'!$C$2:$C$1000,"pasco_pct_acid"))))</f>
        <v/>
      </c>
      <c r="P447" s="26">
        <f>IF($A447="","",IF(OR(N447="",O447=""),"",O447-N447))</f>
        <v/>
      </c>
      <c r="Q447" s="24">
        <f>IF($A447="","",IF(P447="","",(O447+N447)/2))</f>
        <v/>
      </c>
      <c r="R447" s="27">
        <f>IF($A447="","",IF(P447="","",COUNT($P$2:P447)))</f>
        <v/>
      </c>
    </row>
    <row r="448">
      <c r="J448" s="24">
        <f>IF($A448="","",IF($C448&lt;&gt;"khp_titration_mL","",IF(COUNTIFS('1_原始數據'!$A$2:$A$1000,$A448,'1_原始數據'!$B$2:$B$1000,$B448,'1_原始數據'!$D$2:$D$1000,$D448,'1_原始數據'!$C$2:$C$1000,"khp_mass_g")=0,"",SUMIFS('1_原始數據'!$E$2:$E$1000,'1_原始數據'!$A$2:$A$1000,$A448,'1_原始數據'!$B$2:$B$1000,$B448,'1_原始數據'!$D$2:$D$1000,$D448,'1_原始數據'!$C$2:$C$1000,"khp_mass_g")/('2_NaOH標定'!$C$5*$E448/1000))))</f>
        <v/>
      </c>
      <c r="K448" s="24">
        <f>IF($A448="","",IF($C448&lt;&gt;"manual_titration_mL","",IF(COUNTIFS('1_原始數據'!$A$2:$A$1000,$A448,'1_原始數據'!$C$2:$C$1000,"khp_titration_mL")=0,"",AVERAGEIFS('1_原始數據'!$J$2:$J$1000,'1_原始數據'!$A$2:$A$1000,$A448,'1_原始數據'!$C$2:$C$1000,"khp_titration_mL"))))</f>
        <v/>
      </c>
      <c r="L448" s="25">
        <f>IF($A448="","",IF($C448&lt;&gt;"manual_titration_mL","",IFERROR(INDEX('3_可滴定酸度'!$E$6:$E$13,MATCH($I448,'3_可滴定酸度'!$B$6:$B$13,0)),"")))</f>
        <v/>
      </c>
      <c r="M448" s="25">
        <f>IF($A448="","",IF($C448&lt;&gt;"manual_titration_mL","",IFERROR(INDEX('3_可滴定酸度'!$F$6:$F$13,MATCH($I448,'3_可滴定酸度'!$B$6:$B$13,0)),"")))</f>
        <v/>
      </c>
      <c r="N448" s="24">
        <f>IF($A448="","",IF(OR(K448="",L448="",M448=""),"",K448*E448*L448/(M448*1000)*100))</f>
        <v/>
      </c>
      <c r="O448" s="24">
        <f>IF($A448="","",IF(N448="","",IF(COUNTIFS('1_原始數據'!$A$2:$A$1000,$A448,'1_原始數據'!$B$2:$B$1000,$B448,'1_原始數據'!$D$2:$D$1000,$D448,'1_原始數據'!$I$2:$I$1000,$I448,'1_原始數據'!$C$2:$C$1000,"pasco_pct_acid")=0,"",SUMIFS('1_原始數據'!$E$2:$E$1000,'1_原始數據'!$A$2:$A$1000,$A448,'1_原始數據'!$B$2:$B$1000,$B448,'1_原始數據'!$D$2:$D$1000,$D448,'1_原始數據'!$I$2:$I$1000,$I448,'1_原始數據'!$C$2:$C$1000,"pasco_pct_acid"))))</f>
        <v/>
      </c>
      <c r="P448" s="26">
        <f>IF($A448="","",IF(OR(N448="",O448=""),"",O448-N448))</f>
        <v/>
      </c>
      <c r="Q448" s="24">
        <f>IF($A448="","",IF(P448="","",(O448+N448)/2))</f>
        <v/>
      </c>
      <c r="R448" s="27">
        <f>IF($A448="","",IF(P448="","",COUNT($P$2:P448)))</f>
        <v/>
      </c>
    </row>
    <row r="449">
      <c r="J449" s="24">
        <f>IF($A449="","",IF($C449&lt;&gt;"khp_titration_mL","",IF(COUNTIFS('1_原始數據'!$A$2:$A$1000,$A449,'1_原始數據'!$B$2:$B$1000,$B449,'1_原始數據'!$D$2:$D$1000,$D449,'1_原始數據'!$C$2:$C$1000,"khp_mass_g")=0,"",SUMIFS('1_原始數據'!$E$2:$E$1000,'1_原始數據'!$A$2:$A$1000,$A449,'1_原始數據'!$B$2:$B$1000,$B449,'1_原始數據'!$D$2:$D$1000,$D449,'1_原始數據'!$C$2:$C$1000,"khp_mass_g")/('2_NaOH標定'!$C$5*$E449/1000))))</f>
        <v/>
      </c>
      <c r="K449" s="24">
        <f>IF($A449="","",IF($C449&lt;&gt;"manual_titration_mL","",IF(COUNTIFS('1_原始數據'!$A$2:$A$1000,$A449,'1_原始數據'!$C$2:$C$1000,"khp_titration_mL")=0,"",AVERAGEIFS('1_原始數據'!$J$2:$J$1000,'1_原始數據'!$A$2:$A$1000,$A449,'1_原始數據'!$C$2:$C$1000,"khp_titration_mL"))))</f>
        <v/>
      </c>
      <c r="L449" s="25">
        <f>IF($A449="","",IF($C449&lt;&gt;"manual_titration_mL","",IFERROR(INDEX('3_可滴定酸度'!$E$6:$E$13,MATCH($I449,'3_可滴定酸度'!$B$6:$B$13,0)),"")))</f>
        <v/>
      </c>
      <c r="M449" s="25">
        <f>IF($A449="","",IF($C449&lt;&gt;"manual_titration_mL","",IFERROR(INDEX('3_可滴定酸度'!$F$6:$F$13,MATCH($I449,'3_可滴定酸度'!$B$6:$B$13,0)),"")))</f>
        <v/>
      </c>
      <c r="N449" s="24">
        <f>IF($A449="","",IF(OR(K449="",L449="",M449=""),"",K449*E449*L449/(M449*1000)*100))</f>
        <v/>
      </c>
      <c r="O449" s="24">
        <f>IF($A449="","",IF(N449="","",IF(COUNTIFS('1_原始數據'!$A$2:$A$1000,$A449,'1_原始數據'!$B$2:$B$1000,$B449,'1_原始數據'!$D$2:$D$1000,$D449,'1_原始數據'!$I$2:$I$1000,$I449,'1_原始數據'!$C$2:$C$1000,"pasco_pct_acid")=0,"",SUMIFS('1_原始數據'!$E$2:$E$1000,'1_原始數據'!$A$2:$A$1000,$A449,'1_原始數據'!$B$2:$B$1000,$B449,'1_原始數據'!$D$2:$D$1000,$D449,'1_原始數據'!$I$2:$I$1000,$I449,'1_原始數據'!$C$2:$C$1000,"pasco_pct_acid"))))</f>
        <v/>
      </c>
      <c r="P449" s="26">
        <f>IF($A449="","",IF(OR(N449="",O449=""),"",O449-N449))</f>
        <v/>
      </c>
      <c r="Q449" s="24">
        <f>IF($A449="","",IF(P449="","",(O449+N449)/2))</f>
        <v/>
      </c>
      <c r="R449" s="27">
        <f>IF($A449="","",IF(P449="","",COUNT($P$2:P449)))</f>
        <v/>
      </c>
    </row>
    <row r="450">
      <c r="J450" s="24">
        <f>IF($A450="","",IF($C450&lt;&gt;"khp_titration_mL","",IF(COUNTIFS('1_原始數據'!$A$2:$A$1000,$A450,'1_原始數據'!$B$2:$B$1000,$B450,'1_原始數據'!$D$2:$D$1000,$D450,'1_原始數據'!$C$2:$C$1000,"khp_mass_g")=0,"",SUMIFS('1_原始數據'!$E$2:$E$1000,'1_原始數據'!$A$2:$A$1000,$A450,'1_原始數據'!$B$2:$B$1000,$B450,'1_原始數據'!$D$2:$D$1000,$D450,'1_原始數據'!$C$2:$C$1000,"khp_mass_g")/('2_NaOH標定'!$C$5*$E450/1000))))</f>
        <v/>
      </c>
      <c r="K450" s="24">
        <f>IF($A450="","",IF($C450&lt;&gt;"manual_titration_mL","",IF(COUNTIFS('1_原始數據'!$A$2:$A$1000,$A450,'1_原始數據'!$C$2:$C$1000,"khp_titration_mL")=0,"",AVERAGEIFS('1_原始數據'!$J$2:$J$1000,'1_原始數據'!$A$2:$A$1000,$A450,'1_原始數據'!$C$2:$C$1000,"khp_titration_mL"))))</f>
        <v/>
      </c>
      <c r="L450" s="25">
        <f>IF($A450="","",IF($C450&lt;&gt;"manual_titration_mL","",IFERROR(INDEX('3_可滴定酸度'!$E$6:$E$13,MATCH($I450,'3_可滴定酸度'!$B$6:$B$13,0)),"")))</f>
        <v/>
      </c>
      <c r="M450" s="25">
        <f>IF($A450="","",IF($C450&lt;&gt;"manual_titration_mL","",IFERROR(INDEX('3_可滴定酸度'!$F$6:$F$13,MATCH($I450,'3_可滴定酸度'!$B$6:$B$13,0)),"")))</f>
        <v/>
      </c>
      <c r="N450" s="24">
        <f>IF($A450="","",IF(OR(K450="",L450="",M450=""),"",K450*E450*L450/(M450*1000)*100))</f>
        <v/>
      </c>
      <c r="O450" s="24">
        <f>IF($A450="","",IF(N450="","",IF(COUNTIFS('1_原始數據'!$A$2:$A$1000,$A450,'1_原始數據'!$B$2:$B$1000,$B450,'1_原始數據'!$D$2:$D$1000,$D450,'1_原始數據'!$I$2:$I$1000,$I450,'1_原始數據'!$C$2:$C$1000,"pasco_pct_acid")=0,"",SUMIFS('1_原始數據'!$E$2:$E$1000,'1_原始數據'!$A$2:$A$1000,$A450,'1_原始數據'!$B$2:$B$1000,$B450,'1_原始數據'!$D$2:$D$1000,$D450,'1_原始數據'!$I$2:$I$1000,$I450,'1_原始數據'!$C$2:$C$1000,"pasco_pct_acid"))))</f>
        <v/>
      </c>
      <c r="P450" s="26">
        <f>IF($A450="","",IF(OR(N450="",O450=""),"",O450-N450))</f>
        <v/>
      </c>
      <c r="Q450" s="24">
        <f>IF($A450="","",IF(P450="","",(O450+N450)/2))</f>
        <v/>
      </c>
      <c r="R450" s="27">
        <f>IF($A450="","",IF(P450="","",COUNT($P$2:P450)))</f>
        <v/>
      </c>
    </row>
    <row r="451">
      <c r="J451" s="24">
        <f>IF($A451="","",IF($C451&lt;&gt;"khp_titration_mL","",IF(COUNTIFS('1_原始數據'!$A$2:$A$1000,$A451,'1_原始數據'!$B$2:$B$1000,$B451,'1_原始數據'!$D$2:$D$1000,$D451,'1_原始數據'!$C$2:$C$1000,"khp_mass_g")=0,"",SUMIFS('1_原始數據'!$E$2:$E$1000,'1_原始數據'!$A$2:$A$1000,$A451,'1_原始數據'!$B$2:$B$1000,$B451,'1_原始數據'!$D$2:$D$1000,$D451,'1_原始數據'!$C$2:$C$1000,"khp_mass_g")/('2_NaOH標定'!$C$5*$E451/1000))))</f>
        <v/>
      </c>
      <c r="K451" s="24">
        <f>IF($A451="","",IF($C451&lt;&gt;"manual_titration_mL","",IF(COUNTIFS('1_原始數據'!$A$2:$A$1000,$A451,'1_原始數據'!$C$2:$C$1000,"khp_titration_mL")=0,"",AVERAGEIFS('1_原始數據'!$J$2:$J$1000,'1_原始數據'!$A$2:$A$1000,$A451,'1_原始數據'!$C$2:$C$1000,"khp_titration_mL"))))</f>
        <v/>
      </c>
      <c r="L451" s="25">
        <f>IF($A451="","",IF($C451&lt;&gt;"manual_titration_mL","",IFERROR(INDEX('3_可滴定酸度'!$E$6:$E$13,MATCH($I451,'3_可滴定酸度'!$B$6:$B$13,0)),"")))</f>
        <v/>
      </c>
      <c r="M451" s="25">
        <f>IF($A451="","",IF($C451&lt;&gt;"manual_titration_mL","",IFERROR(INDEX('3_可滴定酸度'!$F$6:$F$13,MATCH($I451,'3_可滴定酸度'!$B$6:$B$13,0)),"")))</f>
        <v/>
      </c>
      <c r="N451" s="24">
        <f>IF($A451="","",IF(OR(K451="",L451="",M451=""),"",K451*E451*L451/(M451*1000)*100))</f>
        <v/>
      </c>
      <c r="O451" s="24">
        <f>IF($A451="","",IF(N451="","",IF(COUNTIFS('1_原始數據'!$A$2:$A$1000,$A451,'1_原始數據'!$B$2:$B$1000,$B451,'1_原始數據'!$D$2:$D$1000,$D451,'1_原始數據'!$I$2:$I$1000,$I451,'1_原始數據'!$C$2:$C$1000,"pasco_pct_acid")=0,"",SUMIFS('1_原始數據'!$E$2:$E$1000,'1_原始數據'!$A$2:$A$1000,$A451,'1_原始數據'!$B$2:$B$1000,$B451,'1_原始數據'!$D$2:$D$1000,$D451,'1_原始數據'!$I$2:$I$1000,$I451,'1_原始數據'!$C$2:$C$1000,"pasco_pct_acid"))))</f>
        <v/>
      </c>
      <c r="P451" s="26">
        <f>IF($A451="","",IF(OR(N451="",O451=""),"",O451-N451))</f>
        <v/>
      </c>
      <c r="Q451" s="24">
        <f>IF($A451="","",IF(P451="","",(O451+N451)/2))</f>
        <v/>
      </c>
      <c r="R451" s="27">
        <f>IF($A451="","",IF(P451="","",COUNT($P$2:P451)))</f>
        <v/>
      </c>
    </row>
    <row r="452">
      <c r="J452" s="24">
        <f>IF($A452="","",IF($C452&lt;&gt;"khp_titration_mL","",IF(COUNTIFS('1_原始數據'!$A$2:$A$1000,$A452,'1_原始數據'!$B$2:$B$1000,$B452,'1_原始數據'!$D$2:$D$1000,$D452,'1_原始數據'!$C$2:$C$1000,"khp_mass_g")=0,"",SUMIFS('1_原始數據'!$E$2:$E$1000,'1_原始數據'!$A$2:$A$1000,$A452,'1_原始數據'!$B$2:$B$1000,$B452,'1_原始數據'!$D$2:$D$1000,$D452,'1_原始數據'!$C$2:$C$1000,"khp_mass_g")/('2_NaOH標定'!$C$5*$E452/1000))))</f>
        <v/>
      </c>
      <c r="K452" s="24">
        <f>IF($A452="","",IF($C452&lt;&gt;"manual_titration_mL","",IF(COUNTIFS('1_原始數據'!$A$2:$A$1000,$A452,'1_原始數據'!$C$2:$C$1000,"khp_titration_mL")=0,"",AVERAGEIFS('1_原始數據'!$J$2:$J$1000,'1_原始數據'!$A$2:$A$1000,$A452,'1_原始數據'!$C$2:$C$1000,"khp_titration_mL"))))</f>
        <v/>
      </c>
      <c r="L452" s="25">
        <f>IF($A452="","",IF($C452&lt;&gt;"manual_titration_mL","",IFERROR(INDEX('3_可滴定酸度'!$E$6:$E$13,MATCH($I452,'3_可滴定酸度'!$B$6:$B$13,0)),"")))</f>
        <v/>
      </c>
      <c r="M452" s="25">
        <f>IF($A452="","",IF($C452&lt;&gt;"manual_titration_mL","",IFERROR(INDEX('3_可滴定酸度'!$F$6:$F$13,MATCH($I452,'3_可滴定酸度'!$B$6:$B$13,0)),"")))</f>
        <v/>
      </c>
      <c r="N452" s="24">
        <f>IF($A452="","",IF(OR(K452="",L452="",M452=""),"",K452*E452*L452/(M452*1000)*100))</f>
        <v/>
      </c>
      <c r="O452" s="24">
        <f>IF($A452="","",IF(N452="","",IF(COUNTIFS('1_原始數據'!$A$2:$A$1000,$A452,'1_原始數據'!$B$2:$B$1000,$B452,'1_原始數據'!$D$2:$D$1000,$D452,'1_原始數據'!$I$2:$I$1000,$I452,'1_原始數據'!$C$2:$C$1000,"pasco_pct_acid")=0,"",SUMIFS('1_原始數據'!$E$2:$E$1000,'1_原始數據'!$A$2:$A$1000,$A452,'1_原始數據'!$B$2:$B$1000,$B452,'1_原始數據'!$D$2:$D$1000,$D452,'1_原始數據'!$I$2:$I$1000,$I452,'1_原始數據'!$C$2:$C$1000,"pasco_pct_acid"))))</f>
        <v/>
      </c>
      <c r="P452" s="26">
        <f>IF($A452="","",IF(OR(N452="",O452=""),"",O452-N452))</f>
        <v/>
      </c>
      <c r="Q452" s="24">
        <f>IF($A452="","",IF(P452="","",(O452+N452)/2))</f>
        <v/>
      </c>
      <c r="R452" s="27">
        <f>IF($A452="","",IF(P452="","",COUNT($P$2:P452)))</f>
        <v/>
      </c>
    </row>
    <row r="453">
      <c r="J453" s="24">
        <f>IF($A453="","",IF($C453&lt;&gt;"khp_titration_mL","",IF(COUNTIFS('1_原始數據'!$A$2:$A$1000,$A453,'1_原始數據'!$B$2:$B$1000,$B453,'1_原始數據'!$D$2:$D$1000,$D453,'1_原始數據'!$C$2:$C$1000,"khp_mass_g")=0,"",SUMIFS('1_原始數據'!$E$2:$E$1000,'1_原始數據'!$A$2:$A$1000,$A453,'1_原始數據'!$B$2:$B$1000,$B453,'1_原始數據'!$D$2:$D$1000,$D453,'1_原始數據'!$C$2:$C$1000,"khp_mass_g")/('2_NaOH標定'!$C$5*$E453/1000))))</f>
        <v/>
      </c>
      <c r="K453" s="24">
        <f>IF($A453="","",IF($C453&lt;&gt;"manual_titration_mL","",IF(COUNTIFS('1_原始數據'!$A$2:$A$1000,$A453,'1_原始數據'!$C$2:$C$1000,"khp_titration_mL")=0,"",AVERAGEIFS('1_原始數據'!$J$2:$J$1000,'1_原始數據'!$A$2:$A$1000,$A453,'1_原始數據'!$C$2:$C$1000,"khp_titration_mL"))))</f>
        <v/>
      </c>
      <c r="L453" s="25">
        <f>IF($A453="","",IF($C453&lt;&gt;"manual_titration_mL","",IFERROR(INDEX('3_可滴定酸度'!$E$6:$E$13,MATCH($I453,'3_可滴定酸度'!$B$6:$B$13,0)),"")))</f>
        <v/>
      </c>
      <c r="M453" s="25">
        <f>IF($A453="","",IF($C453&lt;&gt;"manual_titration_mL","",IFERROR(INDEX('3_可滴定酸度'!$F$6:$F$13,MATCH($I453,'3_可滴定酸度'!$B$6:$B$13,0)),"")))</f>
        <v/>
      </c>
      <c r="N453" s="24">
        <f>IF($A453="","",IF(OR(K453="",L453="",M453=""),"",K453*E453*L453/(M453*1000)*100))</f>
        <v/>
      </c>
      <c r="O453" s="24">
        <f>IF($A453="","",IF(N453="","",IF(COUNTIFS('1_原始數據'!$A$2:$A$1000,$A453,'1_原始數據'!$B$2:$B$1000,$B453,'1_原始數據'!$D$2:$D$1000,$D453,'1_原始數據'!$I$2:$I$1000,$I453,'1_原始數據'!$C$2:$C$1000,"pasco_pct_acid")=0,"",SUMIFS('1_原始數據'!$E$2:$E$1000,'1_原始數據'!$A$2:$A$1000,$A453,'1_原始數據'!$B$2:$B$1000,$B453,'1_原始數據'!$D$2:$D$1000,$D453,'1_原始數據'!$I$2:$I$1000,$I453,'1_原始數據'!$C$2:$C$1000,"pasco_pct_acid"))))</f>
        <v/>
      </c>
      <c r="P453" s="26">
        <f>IF($A453="","",IF(OR(N453="",O453=""),"",O453-N453))</f>
        <v/>
      </c>
      <c r="Q453" s="24">
        <f>IF($A453="","",IF(P453="","",(O453+N453)/2))</f>
        <v/>
      </c>
      <c r="R453" s="27">
        <f>IF($A453="","",IF(P453="","",COUNT($P$2:P453)))</f>
        <v/>
      </c>
    </row>
    <row r="454">
      <c r="J454" s="24">
        <f>IF($A454="","",IF($C454&lt;&gt;"khp_titration_mL","",IF(COUNTIFS('1_原始數據'!$A$2:$A$1000,$A454,'1_原始數據'!$B$2:$B$1000,$B454,'1_原始數據'!$D$2:$D$1000,$D454,'1_原始數據'!$C$2:$C$1000,"khp_mass_g")=0,"",SUMIFS('1_原始數據'!$E$2:$E$1000,'1_原始數據'!$A$2:$A$1000,$A454,'1_原始數據'!$B$2:$B$1000,$B454,'1_原始數據'!$D$2:$D$1000,$D454,'1_原始數據'!$C$2:$C$1000,"khp_mass_g")/('2_NaOH標定'!$C$5*$E454/1000))))</f>
        <v/>
      </c>
      <c r="K454" s="24">
        <f>IF($A454="","",IF($C454&lt;&gt;"manual_titration_mL","",IF(COUNTIFS('1_原始數據'!$A$2:$A$1000,$A454,'1_原始數據'!$C$2:$C$1000,"khp_titration_mL")=0,"",AVERAGEIFS('1_原始數據'!$J$2:$J$1000,'1_原始數據'!$A$2:$A$1000,$A454,'1_原始數據'!$C$2:$C$1000,"khp_titration_mL"))))</f>
        <v/>
      </c>
      <c r="L454" s="25">
        <f>IF($A454="","",IF($C454&lt;&gt;"manual_titration_mL","",IFERROR(INDEX('3_可滴定酸度'!$E$6:$E$13,MATCH($I454,'3_可滴定酸度'!$B$6:$B$13,0)),"")))</f>
        <v/>
      </c>
      <c r="M454" s="25">
        <f>IF($A454="","",IF($C454&lt;&gt;"manual_titration_mL","",IFERROR(INDEX('3_可滴定酸度'!$F$6:$F$13,MATCH($I454,'3_可滴定酸度'!$B$6:$B$13,0)),"")))</f>
        <v/>
      </c>
      <c r="N454" s="24">
        <f>IF($A454="","",IF(OR(K454="",L454="",M454=""),"",K454*E454*L454/(M454*1000)*100))</f>
        <v/>
      </c>
      <c r="O454" s="24">
        <f>IF($A454="","",IF(N454="","",IF(COUNTIFS('1_原始數據'!$A$2:$A$1000,$A454,'1_原始數據'!$B$2:$B$1000,$B454,'1_原始數據'!$D$2:$D$1000,$D454,'1_原始數據'!$I$2:$I$1000,$I454,'1_原始數據'!$C$2:$C$1000,"pasco_pct_acid")=0,"",SUMIFS('1_原始數據'!$E$2:$E$1000,'1_原始數據'!$A$2:$A$1000,$A454,'1_原始數據'!$B$2:$B$1000,$B454,'1_原始數據'!$D$2:$D$1000,$D454,'1_原始數據'!$I$2:$I$1000,$I454,'1_原始數據'!$C$2:$C$1000,"pasco_pct_acid"))))</f>
        <v/>
      </c>
      <c r="P454" s="26">
        <f>IF($A454="","",IF(OR(N454="",O454=""),"",O454-N454))</f>
        <v/>
      </c>
      <c r="Q454" s="24">
        <f>IF($A454="","",IF(P454="","",(O454+N454)/2))</f>
        <v/>
      </c>
      <c r="R454" s="27">
        <f>IF($A454="","",IF(P454="","",COUNT($P$2:P454)))</f>
        <v/>
      </c>
    </row>
    <row r="455">
      <c r="J455" s="24">
        <f>IF($A455="","",IF($C455&lt;&gt;"khp_titration_mL","",IF(COUNTIFS('1_原始數據'!$A$2:$A$1000,$A455,'1_原始數據'!$B$2:$B$1000,$B455,'1_原始數據'!$D$2:$D$1000,$D455,'1_原始數據'!$C$2:$C$1000,"khp_mass_g")=0,"",SUMIFS('1_原始數據'!$E$2:$E$1000,'1_原始數據'!$A$2:$A$1000,$A455,'1_原始數據'!$B$2:$B$1000,$B455,'1_原始數據'!$D$2:$D$1000,$D455,'1_原始數據'!$C$2:$C$1000,"khp_mass_g")/('2_NaOH標定'!$C$5*$E455/1000))))</f>
        <v/>
      </c>
      <c r="K455" s="24">
        <f>IF($A455="","",IF($C455&lt;&gt;"manual_titration_mL","",IF(COUNTIFS('1_原始數據'!$A$2:$A$1000,$A455,'1_原始數據'!$C$2:$C$1000,"khp_titration_mL")=0,"",AVERAGEIFS('1_原始數據'!$J$2:$J$1000,'1_原始數據'!$A$2:$A$1000,$A455,'1_原始數據'!$C$2:$C$1000,"khp_titration_mL"))))</f>
        <v/>
      </c>
      <c r="L455" s="25">
        <f>IF($A455="","",IF($C455&lt;&gt;"manual_titration_mL","",IFERROR(INDEX('3_可滴定酸度'!$E$6:$E$13,MATCH($I455,'3_可滴定酸度'!$B$6:$B$13,0)),"")))</f>
        <v/>
      </c>
      <c r="M455" s="25">
        <f>IF($A455="","",IF($C455&lt;&gt;"manual_titration_mL","",IFERROR(INDEX('3_可滴定酸度'!$F$6:$F$13,MATCH($I455,'3_可滴定酸度'!$B$6:$B$13,0)),"")))</f>
        <v/>
      </c>
      <c r="N455" s="24">
        <f>IF($A455="","",IF(OR(K455="",L455="",M455=""),"",K455*E455*L455/(M455*1000)*100))</f>
        <v/>
      </c>
      <c r="O455" s="24">
        <f>IF($A455="","",IF(N455="","",IF(COUNTIFS('1_原始數據'!$A$2:$A$1000,$A455,'1_原始數據'!$B$2:$B$1000,$B455,'1_原始數據'!$D$2:$D$1000,$D455,'1_原始數據'!$I$2:$I$1000,$I455,'1_原始數據'!$C$2:$C$1000,"pasco_pct_acid")=0,"",SUMIFS('1_原始數據'!$E$2:$E$1000,'1_原始數據'!$A$2:$A$1000,$A455,'1_原始數據'!$B$2:$B$1000,$B455,'1_原始數據'!$D$2:$D$1000,$D455,'1_原始數據'!$I$2:$I$1000,$I455,'1_原始數據'!$C$2:$C$1000,"pasco_pct_acid"))))</f>
        <v/>
      </c>
      <c r="P455" s="26">
        <f>IF($A455="","",IF(OR(N455="",O455=""),"",O455-N455))</f>
        <v/>
      </c>
      <c r="Q455" s="24">
        <f>IF($A455="","",IF(P455="","",(O455+N455)/2))</f>
        <v/>
      </c>
      <c r="R455" s="27">
        <f>IF($A455="","",IF(P455="","",COUNT($P$2:P455)))</f>
        <v/>
      </c>
    </row>
    <row r="456">
      <c r="J456" s="24">
        <f>IF($A456="","",IF($C456&lt;&gt;"khp_titration_mL","",IF(COUNTIFS('1_原始數據'!$A$2:$A$1000,$A456,'1_原始數據'!$B$2:$B$1000,$B456,'1_原始數據'!$D$2:$D$1000,$D456,'1_原始數據'!$C$2:$C$1000,"khp_mass_g")=0,"",SUMIFS('1_原始數據'!$E$2:$E$1000,'1_原始數據'!$A$2:$A$1000,$A456,'1_原始數據'!$B$2:$B$1000,$B456,'1_原始數據'!$D$2:$D$1000,$D456,'1_原始數據'!$C$2:$C$1000,"khp_mass_g")/('2_NaOH標定'!$C$5*$E456/1000))))</f>
        <v/>
      </c>
      <c r="K456" s="24">
        <f>IF($A456="","",IF($C456&lt;&gt;"manual_titration_mL","",IF(COUNTIFS('1_原始數據'!$A$2:$A$1000,$A456,'1_原始數據'!$C$2:$C$1000,"khp_titration_mL")=0,"",AVERAGEIFS('1_原始數據'!$J$2:$J$1000,'1_原始數據'!$A$2:$A$1000,$A456,'1_原始數據'!$C$2:$C$1000,"khp_titration_mL"))))</f>
        <v/>
      </c>
      <c r="L456" s="25">
        <f>IF($A456="","",IF($C456&lt;&gt;"manual_titration_mL","",IFERROR(INDEX('3_可滴定酸度'!$E$6:$E$13,MATCH($I456,'3_可滴定酸度'!$B$6:$B$13,0)),"")))</f>
        <v/>
      </c>
      <c r="M456" s="25">
        <f>IF($A456="","",IF($C456&lt;&gt;"manual_titration_mL","",IFERROR(INDEX('3_可滴定酸度'!$F$6:$F$13,MATCH($I456,'3_可滴定酸度'!$B$6:$B$13,0)),"")))</f>
        <v/>
      </c>
      <c r="N456" s="24">
        <f>IF($A456="","",IF(OR(K456="",L456="",M456=""),"",K456*E456*L456/(M456*1000)*100))</f>
        <v/>
      </c>
      <c r="O456" s="24">
        <f>IF($A456="","",IF(N456="","",IF(COUNTIFS('1_原始數據'!$A$2:$A$1000,$A456,'1_原始數據'!$B$2:$B$1000,$B456,'1_原始數據'!$D$2:$D$1000,$D456,'1_原始數據'!$I$2:$I$1000,$I456,'1_原始數據'!$C$2:$C$1000,"pasco_pct_acid")=0,"",SUMIFS('1_原始數據'!$E$2:$E$1000,'1_原始數據'!$A$2:$A$1000,$A456,'1_原始數據'!$B$2:$B$1000,$B456,'1_原始數據'!$D$2:$D$1000,$D456,'1_原始數據'!$I$2:$I$1000,$I456,'1_原始數據'!$C$2:$C$1000,"pasco_pct_acid"))))</f>
        <v/>
      </c>
      <c r="P456" s="26">
        <f>IF($A456="","",IF(OR(N456="",O456=""),"",O456-N456))</f>
        <v/>
      </c>
      <c r="Q456" s="24">
        <f>IF($A456="","",IF(P456="","",(O456+N456)/2))</f>
        <v/>
      </c>
      <c r="R456" s="27">
        <f>IF($A456="","",IF(P456="","",COUNT($P$2:P456)))</f>
        <v/>
      </c>
    </row>
    <row r="457">
      <c r="J457" s="24">
        <f>IF($A457="","",IF($C457&lt;&gt;"khp_titration_mL","",IF(COUNTIFS('1_原始數據'!$A$2:$A$1000,$A457,'1_原始數據'!$B$2:$B$1000,$B457,'1_原始數據'!$D$2:$D$1000,$D457,'1_原始數據'!$C$2:$C$1000,"khp_mass_g")=0,"",SUMIFS('1_原始數據'!$E$2:$E$1000,'1_原始數據'!$A$2:$A$1000,$A457,'1_原始數據'!$B$2:$B$1000,$B457,'1_原始數據'!$D$2:$D$1000,$D457,'1_原始數據'!$C$2:$C$1000,"khp_mass_g")/('2_NaOH標定'!$C$5*$E457/1000))))</f>
        <v/>
      </c>
      <c r="K457" s="24">
        <f>IF($A457="","",IF($C457&lt;&gt;"manual_titration_mL","",IF(COUNTIFS('1_原始數據'!$A$2:$A$1000,$A457,'1_原始數據'!$C$2:$C$1000,"khp_titration_mL")=0,"",AVERAGEIFS('1_原始數據'!$J$2:$J$1000,'1_原始數據'!$A$2:$A$1000,$A457,'1_原始數據'!$C$2:$C$1000,"khp_titration_mL"))))</f>
        <v/>
      </c>
      <c r="L457" s="25">
        <f>IF($A457="","",IF($C457&lt;&gt;"manual_titration_mL","",IFERROR(INDEX('3_可滴定酸度'!$E$6:$E$13,MATCH($I457,'3_可滴定酸度'!$B$6:$B$13,0)),"")))</f>
        <v/>
      </c>
      <c r="M457" s="25">
        <f>IF($A457="","",IF($C457&lt;&gt;"manual_titration_mL","",IFERROR(INDEX('3_可滴定酸度'!$F$6:$F$13,MATCH($I457,'3_可滴定酸度'!$B$6:$B$13,0)),"")))</f>
        <v/>
      </c>
      <c r="N457" s="24">
        <f>IF($A457="","",IF(OR(K457="",L457="",M457=""),"",K457*E457*L457/(M457*1000)*100))</f>
        <v/>
      </c>
      <c r="O457" s="24">
        <f>IF($A457="","",IF(N457="","",IF(COUNTIFS('1_原始數據'!$A$2:$A$1000,$A457,'1_原始數據'!$B$2:$B$1000,$B457,'1_原始數據'!$D$2:$D$1000,$D457,'1_原始數據'!$I$2:$I$1000,$I457,'1_原始數據'!$C$2:$C$1000,"pasco_pct_acid")=0,"",SUMIFS('1_原始數據'!$E$2:$E$1000,'1_原始數據'!$A$2:$A$1000,$A457,'1_原始數據'!$B$2:$B$1000,$B457,'1_原始數據'!$D$2:$D$1000,$D457,'1_原始數據'!$I$2:$I$1000,$I457,'1_原始數據'!$C$2:$C$1000,"pasco_pct_acid"))))</f>
        <v/>
      </c>
      <c r="P457" s="26">
        <f>IF($A457="","",IF(OR(N457="",O457=""),"",O457-N457))</f>
        <v/>
      </c>
      <c r="Q457" s="24">
        <f>IF($A457="","",IF(P457="","",(O457+N457)/2))</f>
        <v/>
      </c>
      <c r="R457" s="27">
        <f>IF($A457="","",IF(P457="","",COUNT($P$2:P457)))</f>
        <v/>
      </c>
    </row>
    <row r="458">
      <c r="J458" s="24">
        <f>IF($A458="","",IF($C458&lt;&gt;"khp_titration_mL","",IF(COUNTIFS('1_原始數據'!$A$2:$A$1000,$A458,'1_原始數據'!$B$2:$B$1000,$B458,'1_原始數據'!$D$2:$D$1000,$D458,'1_原始數據'!$C$2:$C$1000,"khp_mass_g")=0,"",SUMIFS('1_原始數據'!$E$2:$E$1000,'1_原始數據'!$A$2:$A$1000,$A458,'1_原始數據'!$B$2:$B$1000,$B458,'1_原始數據'!$D$2:$D$1000,$D458,'1_原始數據'!$C$2:$C$1000,"khp_mass_g")/('2_NaOH標定'!$C$5*$E458/1000))))</f>
        <v/>
      </c>
      <c r="K458" s="24">
        <f>IF($A458="","",IF($C458&lt;&gt;"manual_titration_mL","",IF(COUNTIFS('1_原始數據'!$A$2:$A$1000,$A458,'1_原始數據'!$C$2:$C$1000,"khp_titration_mL")=0,"",AVERAGEIFS('1_原始數據'!$J$2:$J$1000,'1_原始數據'!$A$2:$A$1000,$A458,'1_原始數據'!$C$2:$C$1000,"khp_titration_mL"))))</f>
        <v/>
      </c>
      <c r="L458" s="25">
        <f>IF($A458="","",IF($C458&lt;&gt;"manual_titration_mL","",IFERROR(INDEX('3_可滴定酸度'!$E$6:$E$13,MATCH($I458,'3_可滴定酸度'!$B$6:$B$13,0)),"")))</f>
        <v/>
      </c>
      <c r="M458" s="25">
        <f>IF($A458="","",IF($C458&lt;&gt;"manual_titration_mL","",IFERROR(INDEX('3_可滴定酸度'!$F$6:$F$13,MATCH($I458,'3_可滴定酸度'!$B$6:$B$13,0)),"")))</f>
        <v/>
      </c>
      <c r="N458" s="24">
        <f>IF($A458="","",IF(OR(K458="",L458="",M458=""),"",K458*E458*L458/(M458*1000)*100))</f>
        <v/>
      </c>
      <c r="O458" s="24">
        <f>IF($A458="","",IF(N458="","",IF(COUNTIFS('1_原始數據'!$A$2:$A$1000,$A458,'1_原始數據'!$B$2:$B$1000,$B458,'1_原始數據'!$D$2:$D$1000,$D458,'1_原始數據'!$I$2:$I$1000,$I458,'1_原始數據'!$C$2:$C$1000,"pasco_pct_acid")=0,"",SUMIFS('1_原始數據'!$E$2:$E$1000,'1_原始數據'!$A$2:$A$1000,$A458,'1_原始數據'!$B$2:$B$1000,$B458,'1_原始數據'!$D$2:$D$1000,$D458,'1_原始數據'!$I$2:$I$1000,$I458,'1_原始數據'!$C$2:$C$1000,"pasco_pct_acid"))))</f>
        <v/>
      </c>
      <c r="P458" s="26">
        <f>IF($A458="","",IF(OR(N458="",O458=""),"",O458-N458))</f>
        <v/>
      </c>
      <c r="Q458" s="24">
        <f>IF($A458="","",IF(P458="","",(O458+N458)/2))</f>
        <v/>
      </c>
      <c r="R458" s="27">
        <f>IF($A458="","",IF(P458="","",COUNT($P$2:P458)))</f>
        <v/>
      </c>
    </row>
    <row r="459">
      <c r="J459" s="24">
        <f>IF($A459="","",IF($C459&lt;&gt;"khp_titration_mL","",IF(COUNTIFS('1_原始數據'!$A$2:$A$1000,$A459,'1_原始數據'!$B$2:$B$1000,$B459,'1_原始數據'!$D$2:$D$1000,$D459,'1_原始數據'!$C$2:$C$1000,"khp_mass_g")=0,"",SUMIFS('1_原始數據'!$E$2:$E$1000,'1_原始數據'!$A$2:$A$1000,$A459,'1_原始數據'!$B$2:$B$1000,$B459,'1_原始數據'!$D$2:$D$1000,$D459,'1_原始數據'!$C$2:$C$1000,"khp_mass_g")/('2_NaOH標定'!$C$5*$E459/1000))))</f>
        <v/>
      </c>
      <c r="K459" s="24">
        <f>IF($A459="","",IF($C459&lt;&gt;"manual_titration_mL","",IF(COUNTIFS('1_原始數據'!$A$2:$A$1000,$A459,'1_原始數據'!$C$2:$C$1000,"khp_titration_mL")=0,"",AVERAGEIFS('1_原始數據'!$J$2:$J$1000,'1_原始數據'!$A$2:$A$1000,$A459,'1_原始數據'!$C$2:$C$1000,"khp_titration_mL"))))</f>
        <v/>
      </c>
      <c r="L459" s="25">
        <f>IF($A459="","",IF($C459&lt;&gt;"manual_titration_mL","",IFERROR(INDEX('3_可滴定酸度'!$E$6:$E$13,MATCH($I459,'3_可滴定酸度'!$B$6:$B$13,0)),"")))</f>
        <v/>
      </c>
      <c r="M459" s="25">
        <f>IF($A459="","",IF($C459&lt;&gt;"manual_titration_mL","",IFERROR(INDEX('3_可滴定酸度'!$F$6:$F$13,MATCH($I459,'3_可滴定酸度'!$B$6:$B$13,0)),"")))</f>
        <v/>
      </c>
      <c r="N459" s="24">
        <f>IF($A459="","",IF(OR(K459="",L459="",M459=""),"",K459*E459*L459/(M459*1000)*100))</f>
        <v/>
      </c>
      <c r="O459" s="24">
        <f>IF($A459="","",IF(N459="","",IF(COUNTIFS('1_原始數據'!$A$2:$A$1000,$A459,'1_原始數據'!$B$2:$B$1000,$B459,'1_原始數據'!$D$2:$D$1000,$D459,'1_原始數據'!$I$2:$I$1000,$I459,'1_原始數據'!$C$2:$C$1000,"pasco_pct_acid")=0,"",SUMIFS('1_原始數據'!$E$2:$E$1000,'1_原始數據'!$A$2:$A$1000,$A459,'1_原始數據'!$B$2:$B$1000,$B459,'1_原始數據'!$D$2:$D$1000,$D459,'1_原始數據'!$I$2:$I$1000,$I459,'1_原始數據'!$C$2:$C$1000,"pasco_pct_acid"))))</f>
        <v/>
      </c>
      <c r="P459" s="26">
        <f>IF($A459="","",IF(OR(N459="",O459=""),"",O459-N459))</f>
        <v/>
      </c>
      <c r="Q459" s="24">
        <f>IF($A459="","",IF(P459="","",(O459+N459)/2))</f>
        <v/>
      </c>
      <c r="R459" s="27">
        <f>IF($A459="","",IF(P459="","",COUNT($P$2:P459)))</f>
        <v/>
      </c>
    </row>
    <row r="460">
      <c r="J460" s="24">
        <f>IF($A460="","",IF($C460&lt;&gt;"khp_titration_mL","",IF(COUNTIFS('1_原始數據'!$A$2:$A$1000,$A460,'1_原始數據'!$B$2:$B$1000,$B460,'1_原始數據'!$D$2:$D$1000,$D460,'1_原始數據'!$C$2:$C$1000,"khp_mass_g")=0,"",SUMIFS('1_原始數據'!$E$2:$E$1000,'1_原始數據'!$A$2:$A$1000,$A460,'1_原始數據'!$B$2:$B$1000,$B460,'1_原始數據'!$D$2:$D$1000,$D460,'1_原始數據'!$C$2:$C$1000,"khp_mass_g")/('2_NaOH標定'!$C$5*$E460/1000))))</f>
        <v/>
      </c>
      <c r="K460" s="24">
        <f>IF($A460="","",IF($C460&lt;&gt;"manual_titration_mL","",IF(COUNTIFS('1_原始數據'!$A$2:$A$1000,$A460,'1_原始數據'!$C$2:$C$1000,"khp_titration_mL")=0,"",AVERAGEIFS('1_原始數據'!$J$2:$J$1000,'1_原始數據'!$A$2:$A$1000,$A460,'1_原始數據'!$C$2:$C$1000,"khp_titration_mL"))))</f>
        <v/>
      </c>
      <c r="L460" s="25">
        <f>IF($A460="","",IF($C460&lt;&gt;"manual_titration_mL","",IFERROR(INDEX('3_可滴定酸度'!$E$6:$E$13,MATCH($I460,'3_可滴定酸度'!$B$6:$B$13,0)),"")))</f>
        <v/>
      </c>
      <c r="M460" s="25">
        <f>IF($A460="","",IF($C460&lt;&gt;"manual_titration_mL","",IFERROR(INDEX('3_可滴定酸度'!$F$6:$F$13,MATCH($I460,'3_可滴定酸度'!$B$6:$B$13,0)),"")))</f>
        <v/>
      </c>
      <c r="N460" s="24">
        <f>IF($A460="","",IF(OR(K460="",L460="",M460=""),"",K460*E460*L460/(M460*1000)*100))</f>
        <v/>
      </c>
      <c r="O460" s="24">
        <f>IF($A460="","",IF(N460="","",IF(COUNTIFS('1_原始數據'!$A$2:$A$1000,$A460,'1_原始數據'!$B$2:$B$1000,$B460,'1_原始數據'!$D$2:$D$1000,$D460,'1_原始數據'!$I$2:$I$1000,$I460,'1_原始數據'!$C$2:$C$1000,"pasco_pct_acid")=0,"",SUMIFS('1_原始數據'!$E$2:$E$1000,'1_原始數據'!$A$2:$A$1000,$A460,'1_原始數據'!$B$2:$B$1000,$B460,'1_原始數據'!$D$2:$D$1000,$D460,'1_原始數據'!$I$2:$I$1000,$I460,'1_原始數據'!$C$2:$C$1000,"pasco_pct_acid"))))</f>
        <v/>
      </c>
      <c r="P460" s="26">
        <f>IF($A460="","",IF(OR(N460="",O460=""),"",O460-N460))</f>
        <v/>
      </c>
      <c r="Q460" s="24">
        <f>IF($A460="","",IF(P460="","",(O460+N460)/2))</f>
        <v/>
      </c>
      <c r="R460" s="27">
        <f>IF($A460="","",IF(P460="","",COUNT($P$2:P460)))</f>
        <v/>
      </c>
    </row>
    <row r="461">
      <c r="J461" s="24">
        <f>IF($A461="","",IF($C461&lt;&gt;"khp_titration_mL","",IF(COUNTIFS('1_原始數據'!$A$2:$A$1000,$A461,'1_原始數據'!$B$2:$B$1000,$B461,'1_原始數據'!$D$2:$D$1000,$D461,'1_原始數據'!$C$2:$C$1000,"khp_mass_g")=0,"",SUMIFS('1_原始數據'!$E$2:$E$1000,'1_原始數據'!$A$2:$A$1000,$A461,'1_原始數據'!$B$2:$B$1000,$B461,'1_原始數據'!$D$2:$D$1000,$D461,'1_原始數據'!$C$2:$C$1000,"khp_mass_g")/('2_NaOH標定'!$C$5*$E461/1000))))</f>
        <v/>
      </c>
      <c r="K461" s="24">
        <f>IF($A461="","",IF($C461&lt;&gt;"manual_titration_mL","",IF(COUNTIFS('1_原始數據'!$A$2:$A$1000,$A461,'1_原始數據'!$C$2:$C$1000,"khp_titration_mL")=0,"",AVERAGEIFS('1_原始數據'!$J$2:$J$1000,'1_原始數據'!$A$2:$A$1000,$A461,'1_原始數據'!$C$2:$C$1000,"khp_titration_mL"))))</f>
        <v/>
      </c>
      <c r="L461" s="25">
        <f>IF($A461="","",IF($C461&lt;&gt;"manual_titration_mL","",IFERROR(INDEX('3_可滴定酸度'!$E$6:$E$13,MATCH($I461,'3_可滴定酸度'!$B$6:$B$13,0)),"")))</f>
        <v/>
      </c>
      <c r="M461" s="25">
        <f>IF($A461="","",IF($C461&lt;&gt;"manual_titration_mL","",IFERROR(INDEX('3_可滴定酸度'!$F$6:$F$13,MATCH($I461,'3_可滴定酸度'!$B$6:$B$13,0)),"")))</f>
        <v/>
      </c>
      <c r="N461" s="24">
        <f>IF($A461="","",IF(OR(K461="",L461="",M461=""),"",K461*E461*L461/(M461*1000)*100))</f>
        <v/>
      </c>
      <c r="O461" s="24">
        <f>IF($A461="","",IF(N461="","",IF(COUNTIFS('1_原始數據'!$A$2:$A$1000,$A461,'1_原始數據'!$B$2:$B$1000,$B461,'1_原始數據'!$D$2:$D$1000,$D461,'1_原始數據'!$I$2:$I$1000,$I461,'1_原始數據'!$C$2:$C$1000,"pasco_pct_acid")=0,"",SUMIFS('1_原始數據'!$E$2:$E$1000,'1_原始數據'!$A$2:$A$1000,$A461,'1_原始數據'!$B$2:$B$1000,$B461,'1_原始數據'!$D$2:$D$1000,$D461,'1_原始數據'!$I$2:$I$1000,$I461,'1_原始數據'!$C$2:$C$1000,"pasco_pct_acid"))))</f>
        <v/>
      </c>
      <c r="P461" s="26">
        <f>IF($A461="","",IF(OR(N461="",O461=""),"",O461-N461))</f>
        <v/>
      </c>
      <c r="Q461" s="24">
        <f>IF($A461="","",IF(P461="","",(O461+N461)/2))</f>
        <v/>
      </c>
      <c r="R461" s="27">
        <f>IF($A461="","",IF(P461="","",COUNT($P$2:P461)))</f>
        <v/>
      </c>
    </row>
    <row r="462">
      <c r="J462" s="24">
        <f>IF($A462="","",IF($C462&lt;&gt;"khp_titration_mL","",IF(COUNTIFS('1_原始數據'!$A$2:$A$1000,$A462,'1_原始數據'!$B$2:$B$1000,$B462,'1_原始數據'!$D$2:$D$1000,$D462,'1_原始數據'!$C$2:$C$1000,"khp_mass_g")=0,"",SUMIFS('1_原始數據'!$E$2:$E$1000,'1_原始數據'!$A$2:$A$1000,$A462,'1_原始數據'!$B$2:$B$1000,$B462,'1_原始數據'!$D$2:$D$1000,$D462,'1_原始數據'!$C$2:$C$1000,"khp_mass_g")/('2_NaOH標定'!$C$5*$E462/1000))))</f>
        <v/>
      </c>
      <c r="K462" s="24">
        <f>IF($A462="","",IF($C462&lt;&gt;"manual_titration_mL","",IF(COUNTIFS('1_原始數據'!$A$2:$A$1000,$A462,'1_原始數據'!$C$2:$C$1000,"khp_titration_mL")=0,"",AVERAGEIFS('1_原始數據'!$J$2:$J$1000,'1_原始數據'!$A$2:$A$1000,$A462,'1_原始數據'!$C$2:$C$1000,"khp_titration_mL"))))</f>
        <v/>
      </c>
      <c r="L462" s="25">
        <f>IF($A462="","",IF($C462&lt;&gt;"manual_titration_mL","",IFERROR(INDEX('3_可滴定酸度'!$E$6:$E$13,MATCH($I462,'3_可滴定酸度'!$B$6:$B$13,0)),"")))</f>
        <v/>
      </c>
      <c r="M462" s="25">
        <f>IF($A462="","",IF($C462&lt;&gt;"manual_titration_mL","",IFERROR(INDEX('3_可滴定酸度'!$F$6:$F$13,MATCH($I462,'3_可滴定酸度'!$B$6:$B$13,0)),"")))</f>
        <v/>
      </c>
      <c r="N462" s="24">
        <f>IF($A462="","",IF(OR(K462="",L462="",M462=""),"",K462*E462*L462/(M462*1000)*100))</f>
        <v/>
      </c>
      <c r="O462" s="24">
        <f>IF($A462="","",IF(N462="","",IF(COUNTIFS('1_原始數據'!$A$2:$A$1000,$A462,'1_原始數據'!$B$2:$B$1000,$B462,'1_原始數據'!$D$2:$D$1000,$D462,'1_原始數據'!$I$2:$I$1000,$I462,'1_原始數據'!$C$2:$C$1000,"pasco_pct_acid")=0,"",SUMIFS('1_原始數據'!$E$2:$E$1000,'1_原始數據'!$A$2:$A$1000,$A462,'1_原始數據'!$B$2:$B$1000,$B462,'1_原始數據'!$D$2:$D$1000,$D462,'1_原始數據'!$I$2:$I$1000,$I462,'1_原始數據'!$C$2:$C$1000,"pasco_pct_acid"))))</f>
        <v/>
      </c>
      <c r="P462" s="26">
        <f>IF($A462="","",IF(OR(N462="",O462=""),"",O462-N462))</f>
        <v/>
      </c>
      <c r="Q462" s="24">
        <f>IF($A462="","",IF(P462="","",(O462+N462)/2))</f>
        <v/>
      </c>
      <c r="R462" s="27">
        <f>IF($A462="","",IF(P462="","",COUNT($P$2:P462)))</f>
        <v/>
      </c>
    </row>
    <row r="463">
      <c r="J463" s="24">
        <f>IF($A463="","",IF($C463&lt;&gt;"khp_titration_mL","",IF(COUNTIFS('1_原始數據'!$A$2:$A$1000,$A463,'1_原始數據'!$B$2:$B$1000,$B463,'1_原始數據'!$D$2:$D$1000,$D463,'1_原始數據'!$C$2:$C$1000,"khp_mass_g")=0,"",SUMIFS('1_原始數據'!$E$2:$E$1000,'1_原始數據'!$A$2:$A$1000,$A463,'1_原始數據'!$B$2:$B$1000,$B463,'1_原始數據'!$D$2:$D$1000,$D463,'1_原始數據'!$C$2:$C$1000,"khp_mass_g")/('2_NaOH標定'!$C$5*$E463/1000))))</f>
        <v/>
      </c>
      <c r="K463" s="24">
        <f>IF($A463="","",IF($C463&lt;&gt;"manual_titration_mL","",IF(COUNTIFS('1_原始數據'!$A$2:$A$1000,$A463,'1_原始數據'!$C$2:$C$1000,"khp_titration_mL")=0,"",AVERAGEIFS('1_原始數據'!$J$2:$J$1000,'1_原始數據'!$A$2:$A$1000,$A463,'1_原始數據'!$C$2:$C$1000,"khp_titration_mL"))))</f>
        <v/>
      </c>
      <c r="L463" s="25">
        <f>IF($A463="","",IF($C463&lt;&gt;"manual_titration_mL","",IFERROR(INDEX('3_可滴定酸度'!$E$6:$E$13,MATCH($I463,'3_可滴定酸度'!$B$6:$B$13,0)),"")))</f>
        <v/>
      </c>
      <c r="M463" s="25">
        <f>IF($A463="","",IF($C463&lt;&gt;"manual_titration_mL","",IFERROR(INDEX('3_可滴定酸度'!$F$6:$F$13,MATCH($I463,'3_可滴定酸度'!$B$6:$B$13,0)),"")))</f>
        <v/>
      </c>
      <c r="N463" s="24">
        <f>IF($A463="","",IF(OR(K463="",L463="",M463=""),"",K463*E463*L463/(M463*1000)*100))</f>
        <v/>
      </c>
      <c r="O463" s="24">
        <f>IF($A463="","",IF(N463="","",IF(COUNTIFS('1_原始數據'!$A$2:$A$1000,$A463,'1_原始數據'!$B$2:$B$1000,$B463,'1_原始數據'!$D$2:$D$1000,$D463,'1_原始數據'!$I$2:$I$1000,$I463,'1_原始數據'!$C$2:$C$1000,"pasco_pct_acid")=0,"",SUMIFS('1_原始數據'!$E$2:$E$1000,'1_原始數據'!$A$2:$A$1000,$A463,'1_原始數據'!$B$2:$B$1000,$B463,'1_原始數據'!$D$2:$D$1000,$D463,'1_原始數據'!$I$2:$I$1000,$I463,'1_原始數據'!$C$2:$C$1000,"pasco_pct_acid"))))</f>
        <v/>
      </c>
      <c r="P463" s="26">
        <f>IF($A463="","",IF(OR(N463="",O463=""),"",O463-N463))</f>
        <v/>
      </c>
      <c r="Q463" s="24">
        <f>IF($A463="","",IF(P463="","",(O463+N463)/2))</f>
        <v/>
      </c>
      <c r="R463" s="27">
        <f>IF($A463="","",IF(P463="","",COUNT($P$2:P463)))</f>
        <v/>
      </c>
    </row>
    <row r="464">
      <c r="J464" s="24">
        <f>IF($A464="","",IF($C464&lt;&gt;"khp_titration_mL","",IF(COUNTIFS('1_原始數據'!$A$2:$A$1000,$A464,'1_原始數據'!$B$2:$B$1000,$B464,'1_原始數據'!$D$2:$D$1000,$D464,'1_原始數據'!$C$2:$C$1000,"khp_mass_g")=0,"",SUMIFS('1_原始數據'!$E$2:$E$1000,'1_原始數據'!$A$2:$A$1000,$A464,'1_原始數據'!$B$2:$B$1000,$B464,'1_原始數據'!$D$2:$D$1000,$D464,'1_原始數據'!$C$2:$C$1000,"khp_mass_g")/('2_NaOH標定'!$C$5*$E464/1000))))</f>
        <v/>
      </c>
      <c r="K464" s="24">
        <f>IF($A464="","",IF($C464&lt;&gt;"manual_titration_mL","",IF(COUNTIFS('1_原始數據'!$A$2:$A$1000,$A464,'1_原始數據'!$C$2:$C$1000,"khp_titration_mL")=0,"",AVERAGEIFS('1_原始數據'!$J$2:$J$1000,'1_原始數據'!$A$2:$A$1000,$A464,'1_原始數據'!$C$2:$C$1000,"khp_titration_mL"))))</f>
        <v/>
      </c>
      <c r="L464" s="25">
        <f>IF($A464="","",IF($C464&lt;&gt;"manual_titration_mL","",IFERROR(INDEX('3_可滴定酸度'!$E$6:$E$13,MATCH($I464,'3_可滴定酸度'!$B$6:$B$13,0)),"")))</f>
        <v/>
      </c>
      <c r="M464" s="25">
        <f>IF($A464="","",IF($C464&lt;&gt;"manual_titration_mL","",IFERROR(INDEX('3_可滴定酸度'!$F$6:$F$13,MATCH($I464,'3_可滴定酸度'!$B$6:$B$13,0)),"")))</f>
        <v/>
      </c>
      <c r="N464" s="24">
        <f>IF($A464="","",IF(OR(K464="",L464="",M464=""),"",K464*E464*L464/(M464*1000)*100))</f>
        <v/>
      </c>
      <c r="O464" s="24">
        <f>IF($A464="","",IF(N464="","",IF(COUNTIFS('1_原始數據'!$A$2:$A$1000,$A464,'1_原始數據'!$B$2:$B$1000,$B464,'1_原始數據'!$D$2:$D$1000,$D464,'1_原始數據'!$I$2:$I$1000,$I464,'1_原始數據'!$C$2:$C$1000,"pasco_pct_acid")=0,"",SUMIFS('1_原始數據'!$E$2:$E$1000,'1_原始數據'!$A$2:$A$1000,$A464,'1_原始數據'!$B$2:$B$1000,$B464,'1_原始數據'!$D$2:$D$1000,$D464,'1_原始數據'!$I$2:$I$1000,$I464,'1_原始數據'!$C$2:$C$1000,"pasco_pct_acid"))))</f>
        <v/>
      </c>
      <c r="P464" s="26">
        <f>IF($A464="","",IF(OR(N464="",O464=""),"",O464-N464))</f>
        <v/>
      </c>
      <c r="Q464" s="24">
        <f>IF($A464="","",IF(P464="","",(O464+N464)/2))</f>
        <v/>
      </c>
      <c r="R464" s="27">
        <f>IF($A464="","",IF(P464="","",COUNT($P$2:P464)))</f>
        <v/>
      </c>
    </row>
    <row r="465">
      <c r="J465" s="24">
        <f>IF($A465="","",IF($C465&lt;&gt;"khp_titration_mL","",IF(COUNTIFS('1_原始數據'!$A$2:$A$1000,$A465,'1_原始數據'!$B$2:$B$1000,$B465,'1_原始數據'!$D$2:$D$1000,$D465,'1_原始數據'!$C$2:$C$1000,"khp_mass_g")=0,"",SUMIFS('1_原始數據'!$E$2:$E$1000,'1_原始數據'!$A$2:$A$1000,$A465,'1_原始數據'!$B$2:$B$1000,$B465,'1_原始數據'!$D$2:$D$1000,$D465,'1_原始數據'!$C$2:$C$1000,"khp_mass_g")/('2_NaOH標定'!$C$5*$E465/1000))))</f>
        <v/>
      </c>
      <c r="K465" s="24">
        <f>IF($A465="","",IF($C465&lt;&gt;"manual_titration_mL","",IF(COUNTIFS('1_原始數據'!$A$2:$A$1000,$A465,'1_原始數據'!$C$2:$C$1000,"khp_titration_mL")=0,"",AVERAGEIFS('1_原始數據'!$J$2:$J$1000,'1_原始數據'!$A$2:$A$1000,$A465,'1_原始數據'!$C$2:$C$1000,"khp_titration_mL"))))</f>
        <v/>
      </c>
      <c r="L465" s="25">
        <f>IF($A465="","",IF($C465&lt;&gt;"manual_titration_mL","",IFERROR(INDEX('3_可滴定酸度'!$E$6:$E$13,MATCH($I465,'3_可滴定酸度'!$B$6:$B$13,0)),"")))</f>
        <v/>
      </c>
      <c r="M465" s="25">
        <f>IF($A465="","",IF($C465&lt;&gt;"manual_titration_mL","",IFERROR(INDEX('3_可滴定酸度'!$F$6:$F$13,MATCH($I465,'3_可滴定酸度'!$B$6:$B$13,0)),"")))</f>
        <v/>
      </c>
      <c r="N465" s="24">
        <f>IF($A465="","",IF(OR(K465="",L465="",M465=""),"",K465*E465*L465/(M465*1000)*100))</f>
        <v/>
      </c>
      <c r="O465" s="24">
        <f>IF($A465="","",IF(N465="","",IF(COUNTIFS('1_原始數據'!$A$2:$A$1000,$A465,'1_原始數據'!$B$2:$B$1000,$B465,'1_原始數據'!$D$2:$D$1000,$D465,'1_原始數據'!$I$2:$I$1000,$I465,'1_原始數據'!$C$2:$C$1000,"pasco_pct_acid")=0,"",SUMIFS('1_原始數據'!$E$2:$E$1000,'1_原始數據'!$A$2:$A$1000,$A465,'1_原始數據'!$B$2:$B$1000,$B465,'1_原始數據'!$D$2:$D$1000,$D465,'1_原始數據'!$I$2:$I$1000,$I465,'1_原始數據'!$C$2:$C$1000,"pasco_pct_acid"))))</f>
        <v/>
      </c>
      <c r="P465" s="26">
        <f>IF($A465="","",IF(OR(N465="",O465=""),"",O465-N465))</f>
        <v/>
      </c>
      <c r="Q465" s="24">
        <f>IF($A465="","",IF(P465="","",(O465+N465)/2))</f>
        <v/>
      </c>
      <c r="R465" s="27">
        <f>IF($A465="","",IF(P465="","",COUNT($P$2:P465)))</f>
        <v/>
      </c>
    </row>
    <row r="466">
      <c r="J466" s="24">
        <f>IF($A466="","",IF($C466&lt;&gt;"khp_titration_mL","",IF(COUNTIFS('1_原始數據'!$A$2:$A$1000,$A466,'1_原始數據'!$B$2:$B$1000,$B466,'1_原始數據'!$D$2:$D$1000,$D466,'1_原始數據'!$C$2:$C$1000,"khp_mass_g")=0,"",SUMIFS('1_原始數據'!$E$2:$E$1000,'1_原始數據'!$A$2:$A$1000,$A466,'1_原始數據'!$B$2:$B$1000,$B466,'1_原始數據'!$D$2:$D$1000,$D466,'1_原始數據'!$C$2:$C$1000,"khp_mass_g")/('2_NaOH標定'!$C$5*$E466/1000))))</f>
        <v/>
      </c>
      <c r="K466" s="24">
        <f>IF($A466="","",IF($C466&lt;&gt;"manual_titration_mL","",IF(COUNTIFS('1_原始數據'!$A$2:$A$1000,$A466,'1_原始數據'!$C$2:$C$1000,"khp_titration_mL")=0,"",AVERAGEIFS('1_原始數據'!$J$2:$J$1000,'1_原始數據'!$A$2:$A$1000,$A466,'1_原始數據'!$C$2:$C$1000,"khp_titration_mL"))))</f>
        <v/>
      </c>
      <c r="L466" s="25">
        <f>IF($A466="","",IF($C466&lt;&gt;"manual_titration_mL","",IFERROR(INDEX('3_可滴定酸度'!$E$6:$E$13,MATCH($I466,'3_可滴定酸度'!$B$6:$B$13,0)),"")))</f>
        <v/>
      </c>
      <c r="M466" s="25">
        <f>IF($A466="","",IF($C466&lt;&gt;"manual_titration_mL","",IFERROR(INDEX('3_可滴定酸度'!$F$6:$F$13,MATCH($I466,'3_可滴定酸度'!$B$6:$B$13,0)),"")))</f>
        <v/>
      </c>
      <c r="N466" s="24">
        <f>IF($A466="","",IF(OR(K466="",L466="",M466=""),"",K466*E466*L466/(M466*1000)*100))</f>
        <v/>
      </c>
      <c r="O466" s="24">
        <f>IF($A466="","",IF(N466="","",IF(COUNTIFS('1_原始數據'!$A$2:$A$1000,$A466,'1_原始數據'!$B$2:$B$1000,$B466,'1_原始數據'!$D$2:$D$1000,$D466,'1_原始數據'!$I$2:$I$1000,$I466,'1_原始數據'!$C$2:$C$1000,"pasco_pct_acid")=0,"",SUMIFS('1_原始數據'!$E$2:$E$1000,'1_原始數據'!$A$2:$A$1000,$A466,'1_原始數據'!$B$2:$B$1000,$B466,'1_原始數據'!$D$2:$D$1000,$D466,'1_原始數據'!$I$2:$I$1000,$I466,'1_原始數據'!$C$2:$C$1000,"pasco_pct_acid"))))</f>
        <v/>
      </c>
      <c r="P466" s="26">
        <f>IF($A466="","",IF(OR(N466="",O466=""),"",O466-N466))</f>
        <v/>
      </c>
      <c r="Q466" s="24">
        <f>IF($A466="","",IF(P466="","",(O466+N466)/2))</f>
        <v/>
      </c>
      <c r="R466" s="27">
        <f>IF($A466="","",IF(P466="","",COUNT($P$2:P466)))</f>
        <v/>
      </c>
    </row>
    <row r="467">
      <c r="J467" s="24">
        <f>IF($A467="","",IF($C467&lt;&gt;"khp_titration_mL","",IF(COUNTIFS('1_原始數據'!$A$2:$A$1000,$A467,'1_原始數據'!$B$2:$B$1000,$B467,'1_原始數據'!$D$2:$D$1000,$D467,'1_原始數據'!$C$2:$C$1000,"khp_mass_g")=0,"",SUMIFS('1_原始數據'!$E$2:$E$1000,'1_原始數據'!$A$2:$A$1000,$A467,'1_原始數據'!$B$2:$B$1000,$B467,'1_原始數據'!$D$2:$D$1000,$D467,'1_原始數據'!$C$2:$C$1000,"khp_mass_g")/('2_NaOH標定'!$C$5*$E467/1000))))</f>
        <v/>
      </c>
      <c r="K467" s="24">
        <f>IF($A467="","",IF($C467&lt;&gt;"manual_titration_mL","",IF(COUNTIFS('1_原始數據'!$A$2:$A$1000,$A467,'1_原始數據'!$C$2:$C$1000,"khp_titration_mL")=0,"",AVERAGEIFS('1_原始數據'!$J$2:$J$1000,'1_原始數據'!$A$2:$A$1000,$A467,'1_原始數據'!$C$2:$C$1000,"khp_titration_mL"))))</f>
        <v/>
      </c>
      <c r="L467" s="25">
        <f>IF($A467="","",IF($C467&lt;&gt;"manual_titration_mL","",IFERROR(INDEX('3_可滴定酸度'!$E$6:$E$13,MATCH($I467,'3_可滴定酸度'!$B$6:$B$13,0)),"")))</f>
        <v/>
      </c>
      <c r="M467" s="25">
        <f>IF($A467="","",IF($C467&lt;&gt;"manual_titration_mL","",IFERROR(INDEX('3_可滴定酸度'!$F$6:$F$13,MATCH($I467,'3_可滴定酸度'!$B$6:$B$13,0)),"")))</f>
        <v/>
      </c>
      <c r="N467" s="24">
        <f>IF($A467="","",IF(OR(K467="",L467="",M467=""),"",K467*E467*L467/(M467*1000)*100))</f>
        <v/>
      </c>
      <c r="O467" s="24">
        <f>IF($A467="","",IF(N467="","",IF(COUNTIFS('1_原始數據'!$A$2:$A$1000,$A467,'1_原始數據'!$B$2:$B$1000,$B467,'1_原始數據'!$D$2:$D$1000,$D467,'1_原始數據'!$I$2:$I$1000,$I467,'1_原始數據'!$C$2:$C$1000,"pasco_pct_acid")=0,"",SUMIFS('1_原始數據'!$E$2:$E$1000,'1_原始數據'!$A$2:$A$1000,$A467,'1_原始數據'!$B$2:$B$1000,$B467,'1_原始數據'!$D$2:$D$1000,$D467,'1_原始數據'!$I$2:$I$1000,$I467,'1_原始數據'!$C$2:$C$1000,"pasco_pct_acid"))))</f>
        <v/>
      </c>
      <c r="P467" s="26">
        <f>IF($A467="","",IF(OR(N467="",O467=""),"",O467-N467))</f>
        <v/>
      </c>
      <c r="Q467" s="24">
        <f>IF($A467="","",IF(P467="","",(O467+N467)/2))</f>
        <v/>
      </c>
      <c r="R467" s="27">
        <f>IF($A467="","",IF(P467="","",COUNT($P$2:P467)))</f>
        <v/>
      </c>
    </row>
    <row r="468">
      <c r="J468" s="24">
        <f>IF($A468="","",IF($C468&lt;&gt;"khp_titration_mL","",IF(COUNTIFS('1_原始數據'!$A$2:$A$1000,$A468,'1_原始數據'!$B$2:$B$1000,$B468,'1_原始數據'!$D$2:$D$1000,$D468,'1_原始數據'!$C$2:$C$1000,"khp_mass_g")=0,"",SUMIFS('1_原始數據'!$E$2:$E$1000,'1_原始數據'!$A$2:$A$1000,$A468,'1_原始數據'!$B$2:$B$1000,$B468,'1_原始數據'!$D$2:$D$1000,$D468,'1_原始數據'!$C$2:$C$1000,"khp_mass_g")/('2_NaOH標定'!$C$5*$E468/1000))))</f>
        <v/>
      </c>
      <c r="K468" s="24">
        <f>IF($A468="","",IF($C468&lt;&gt;"manual_titration_mL","",IF(COUNTIFS('1_原始數據'!$A$2:$A$1000,$A468,'1_原始數據'!$C$2:$C$1000,"khp_titration_mL")=0,"",AVERAGEIFS('1_原始數據'!$J$2:$J$1000,'1_原始數據'!$A$2:$A$1000,$A468,'1_原始數據'!$C$2:$C$1000,"khp_titration_mL"))))</f>
        <v/>
      </c>
      <c r="L468" s="25">
        <f>IF($A468="","",IF($C468&lt;&gt;"manual_titration_mL","",IFERROR(INDEX('3_可滴定酸度'!$E$6:$E$13,MATCH($I468,'3_可滴定酸度'!$B$6:$B$13,0)),"")))</f>
        <v/>
      </c>
      <c r="M468" s="25">
        <f>IF($A468="","",IF($C468&lt;&gt;"manual_titration_mL","",IFERROR(INDEX('3_可滴定酸度'!$F$6:$F$13,MATCH($I468,'3_可滴定酸度'!$B$6:$B$13,0)),"")))</f>
        <v/>
      </c>
      <c r="N468" s="24">
        <f>IF($A468="","",IF(OR(K468="",L468="",M468=""),"",K468*E468*L468/(M468*1000)*100))</f>
        <v/>
      </c>
      <c r="O468" s="24">
        <f>IF($A468="","",IF(N468="","",IF(COUNTIFS('1_原始數據'!$A$2:$A$1000,$A468,'1_原始數據'!$B$2:$B$1000,$B468,'1_原始數據'!$D$2:$D$1000,$D468,'1_原始數據'!$I$2:$I$1000,$I468,'1_原始數據'!$C$2:$C$1000,"pasco_pct_acid")=0,"",SUMIFS('1_原始數據'!$E$2:$E$1000,'1_原始數據'!$A$2:$A$1000,$A468,'1_原始數據'!$B$2:$B$1000,$B468,'1_原始數據'!$D$2:$D$1000,$D468,'1_原始數據'!$I$2:$I$1000,$I468,'1_原始數據'!$C$2:$C$1000,"pasco_pct_acid"))))</f>
        <v/>
      </c>
      <c r="P468" s="26">
        <f>IF($A468="","",IF(OR(N468="",O468=""),"",O468-N468))</f>
        <v/>
      </c>
      <c r="Q468" s="24">
        <f>IF($A468="","",IF(P468="","",(O468+N468)/2))</f>
        <v/>
      </c>
      <c r="R468" s="27">
        <f>IF($A468="","",IF(P468="","",COUNT($P$2:P468)))</f>
        <v/>
      </c>
    </row>
    <row r="469">
      <c r="J469" s="24">
        <f>IF($A469="","",IF($C469&lt;&gt;"khp_titration_mL","",IF(COUNTIFS('1_原始數據'!$A$2:$A$1000,$A469,'1_原始數據'!$B$2:$B$1000,$B469,'1_原始數據'!$D$2:$D$1000,$D469,'1_原始數據'!$C$2:$C$1000,"khp_mass_g")=0,"",SUMIFS('1_原始數據'!$E$2:$E$1000,'1_原始數據'!$A$2:$A$1000,$A469,'1_原始數據'!$B$2:$B$1000,$B469,'1_原始數據'!$D$2:$D$1000,$D469,'1_原始數據'!$C$2:$C$1000,"khp_mass_g")/('2_NaOH標定'!$C$5*$E469/1000))))</f>
        <v/>
      </c>
      <c r="K469" s="24">
        <f>IF($A469="","",IF($C469&lt;&gt;"manual_titration_mL","",IF(COUNTIFS('1_原始數據'!$A$2:$A$1000,$A469,'1_原始數據'!$C$2:$C$1000,"khp_titration_mL")=0,"",AVERAGEIFS('1_原始數據'!$J$2:$J$1000,'1_原始數據'!$A$2:$A$1000,$A469,'1_原始數據'!$C$2:$C$1000,"khp_titration_mL"))))</f>
        <v/>
      </c>
      <c r="L469" s="25">
        <f>IF($A469="","",IF($C469&lt;&gt;"manual_titration_mL","",IFERROR(INDEX('3_可滴定酸度'!$E$6:$E$13,MATCH($I469,'3_可滴定酸度'!$B$6:$B$13,0)),"")))</f>
        <v/>
      </c>
      <c r="M469" s="25">
        <f>IF($A469="","",IF($C469&lt;&gt;"manual_titration_mL","",IFERROR(INDEX('3_可滴定酸度'!$F$6:$F$13,MATCH($I469,'3_可滴定酸度'!$B$6:$B$13,0)),"")))</f>
        <v/>
      </c>
      <c r="N469" s="24">
        <f>IF($A469="","",IF(OR(K469="",L469="",M469=""),"",K469*E469*L469/(M469*1000)*100))</f>
        <v/>
      </c>
      <c r="O469" s="24">
        <f>IF($A469="","",IF(N469="","",IF(COUNTIFS('1_原始數據'!$A$2:$A$1000,$A469,'1_原始數據'!$B$2:$B$1000,$B469,'1_原始數據'!$D$2:$D$1000,$D469,'1_原始數據'!$I$2:$I$1000,$I469,'1_原始數據'!$C$2:$C$1000,"pasco_pct_acid")=0,"",SUMIFS('1_原始數據'!$E$2:$E$1000,'1_原始數據'!$A$2:$A$1000,$A469,'1_原始數據'!$B$2:$B$1000,$B469,'1_原始數據'!$D$2:$D$1000,$D469,'1_原始數據'!$I$2:$I$1000,$I469,'1_原始數據'!$C$2:$C$1000,"pasco_pct_acid"))))</f>
        <v/>
      </c>
      <c r="P469" s="26">
        <f>IF($A469="","",IF(OR(N469="",O469=""),"",O469-N469))</f>
        <v/>
      </c>
      <c r="Q469" s="24">
        <f>IF($A469="","",IF(P469="","",(O469+N469)/2))</f>
        <v/>
      </c>
      <c r="R469" s="27">
        <f>IF($A469="","",IF(P469="","",COUNT($P$2:P469)))</f>
        <v/>
      </c>
    </row>
    <row r="470">
      <c r="J470" s="24">
        <f>IF($A470="","",IF($C470&lt;&gt;"khp_titration_mL","",IF(COUNTIFS('1_原始數據'!$A$2:$A$1000,$A470,'1_原始數據'!$B$2:$B$1000,$B470,'1_原始數據'!$D$2:$D$1000,$D470,'1_原始數據'!$C$2:$C$1000,"khp_mass_g")=0,"",SUMIFS('1_原始數據'!$E$2:$E$1000,'1_原始數據'!$A$2:$A$1000,$A470,'1_原始數據'!$B$2:$B$1000,$B470,'1_原始數據'!$D$2:$D$1000,$D470,'1_原始數據'!$C$2:$C$1000,"khp_mass_g")/('2_NaOH標定'!$C$5*$E470/1000))))</f>
        <v/>
      </c>
      <c r="K470" s="24">
        <f>IF($A470="","",IF($C470&lt;&gt;"manual_titration_mL","",IF(COUNTIFS('1_原始數據'!$A$2:$A$1000,$A470,'1_原始數據'!$C$2:$C$1000,"khp_titration_mL")=0,"",AVERAGEIFS('1_原始數據'!$J$2:$J$1000,'1_原始數據'!$A$2:$A$1000,$A470,'1_原始數據'!$C$2:$C$1000,"khp_titration_mL"))))</f>
        <v/>
      </c>
      <c r="L470" s="25">
        <f>IF($A470="","",IF($C470&lt;&gt;"manual_titration_mL","",IFERROR(INDEX('3_可滴定酸度'!$E$6:$E$13,MATCH($I470,'3_可滴定酸度'!$B$6:$B$13,0)),"")))</f>
        <v/>
      </c>
      <c r="M470" s="25">
        <f>IF($A470="","",IF($C470&lt;&gt;"manual_titration_mL","",IFERROR(INDEX('3_可滴定酸度'!$F$6:$F$13,MATCH($I470,'3_可滴定酸度'!$B$6:$B$13,0)),"")))</f>
        <v/>
      </c>
      <c r="N470" s="24">
        <f>IF($A470="","",IF(OR(K470="",L470="",M470=""),"",K470*E470*L470/(M470*1000)*100))</f>
        <v/>
      </c>
      <c r="O470" s="24">
        <f>IF($A470="","",IF(N470="","",IF(COUNTIFS('1_原始數據'!$A$2:$A$1000,$A470,'1_原始數據'!$B$2:$B$1000,$B470,'1_原始數據'!$D$2:$D$1000,$D470,'1_原始數據'!$I$2:$I$1000,$I470,'1_原始數據'!$C$2:$C$1000,"pasco_pct_acid")=0,"",SUMIFS('1_原始數據'!$E$2:$E$1000,'1_原始數據'!$A$2:$A$1000,$A470,'1_原始數據'!$B$2:$B$1000,$B470,'1_原始數據'!$D$2:$D$1000,$D470,'1_原始數據'!$I$2:$I$1000,$I470,'1_原始數據'!$C$2:$C$1000,"pasco_pct_acid"))))</f>
        <v/>
      </c>
      <c r="P470" s="26">
        <f>IF($A470="","",IF(OR(N470="",O470=""),"",O470-N470))</f>
        <v/>
      </c>
      <c r="Q470" s="24">
        <f>IF($A470="","",IF(P470="","",(O470+N470)/2))</f>
        <v/>
      </c>
      <c r="R470" s="27">
        <f>IF($A470="","",IF(P470="","",COUNT($P$2:P470)))</f>
        <v/>
      </c>
    </row>
    <row r="471">
      <c r="J471" s="24">
        <f>IF($A471="","",IF($C471&lt;&gt;"khp_titration_mL","",IF(COUNTIFS('1_原始數據'!$A$2:$A$1000,$A471,'1_原始數據'!$B$2:$B$1000,$B471,'1_原始數據'!$D$2:$D$1000,$D471,'1_原始數據'!$C$2:$C$1000,"khp_mass_g")=0,"",SUMIFS('1_原始數據'!$E$2:$E$1000,'1_原始數據'!$A$2:$A$1000,$A471,'1_原始數據'!$B$2:$B$1000,$B471,'1_原始數據'!$D$2:$D$1000,$D471,'1_原始數據'!$C$2:$C$1000,"khp_mass_g")/('2_NaOH標定'!$C$5*$E471/1000))))</f>
        <v/>
      </c>
      <c r="K471" s="24">
        <f>IF($A471="","",IF($C471&lt;&gt;"manual_titration_mL","",IF(COUNTIFS('1_原始數據'!$A$2:$A$1000,$A471,'1_原始數據'!$C$2:$C$1000,"khp_titration_mL")=0,"",AVERAGEIFS('1_原始數據'!$J$2:$J$1000,'1_原始數據'!$A$2:$A$1000,$A471,'1_原始數據'!$C$2:$C$1000,"khp_titration_mL"))))</f>
        <v/>
      </c>
      <c r="L471" s="25">
        <f>IF($A471="","",IF($C471&lt;&gt;"manual_titration_mL","",IFERROR(INDEX('3_可滴定酸度'!$E$6:$E$13,MATCH($I471,'3_可滴定酸度'!$B$6:$B$13,0)),"")))</f>
        <v/>
      </c>
      <c r="M471" s="25">
        <f>IF($A471="","",IF($C471&lt;&gt;"manual_titration_mL","",IFERROR(INDEX('3_可滴定酸度'!$F$6:$F$13,MATCH($I471,'3_可滴定酸度'!$B$6:$B$13,0)),"")))</f>
        <v/>
      </c>
      <c r="N471" s="24">
        <f>IF($A471="","",IF(OR(K471="",L471="",M471=""),"",K471*E471*L471/(M471*1000)*100))</f>
        <v/>
      </c>
      <c r="O471" s="24">
        <f>IF($A471="","",IF(N471="","",IF(COUNTIFS('1_原始數據'!$A$2:$A$1000,$A471,'1_原始數據'!$B$2:$B$1000,$B471,'1_原始數據'!$D$2:$D$1000,$D471,'1_原始數據'!$I$2:$I$1000,$I471,'1_原始數據'!$C$2:$C$1000,"pasco_pct_acid")=0,"",SUMIFS('1_原始數據'!$E$2:$E$1000,'1_原始數據'!$A$2:$A$1000,$A471,'1_原始數據'!$B$2:$B$1000,$B471,'1_原始數據'!$D$2:$D$1000,$D471,'1_原始數據'!$I$2:$I$1000,$I471,'1_原始數據'!$C$2:$C$1000,"pasco_pct_acid"))))</f>
        <v/>
      </c>
      <c r="P471" s="26">
        <f>IF($A471="","",IF(OR(N471="",O471=""),"",O471-N471))</f>
        <v/>
      </c>
      <c r="Q471" s="24">
        <f>IF($A471="","",IF(P471="","",(O471+N471)/2))</f>
        <v/>
      </c>
      <c r="R471" s="27">
        <f>IF($A471="","",IF(P471="","",COUNT($P$2:P471)))</f>
        <v/>
      </c>
    </row>
    <row r="472">
      <c r="J472" s="24">
        <f>IF($A472="","",IF($C472&lt;&gt;"khp_titration_mL","",IF(COUNTIFS('1_原始數據'!$A$2:$A$1000,$A472,'1_原始數據'!$B$2:$B$1000,$B472,'1_原始數據'!$D$2:$D$1000,$D472,'1_原始數據'!$C$2:$C$1000,"khp_mass_g")=0,"",SUMIFS('1_原始數據'!$E$2:$E$1000,'1_原始數據'!$A$2:$A$1000,$A472,'1_原始數據'!$B$2:$B$1000,$B472,'1_原始數據'!$D$2:$D$1000,$D472,'1_原始數據'!$C$2:$C$1000,"khp_mass_g")/('2_NaOH標定'!$C$5*$E472/1000))))</f>
        <v/>
      </c>
      <c r="K472" s="24">
        <f>IF($A472="","",IF($C472&lt;&gt;"manual_titration_mL","",IF(COUNTIFS('1_原始數據'!$A$2:$A$1000,$A472,'1_原始數據'!$C$2:$C$1000,"khp_titration_mL")=0,"",AVERAGEIFS('1_原始數據'!$J$2:$J$1000,'1_原始數據'!$A$2:$A$1000,$A472,'1_原始數據'!$C$2:$C$1000,"khp_titration_mL"))))</f>
        <v/>
      </c>
      <c r="L472" s="25">
        <f>IF($A472="","",IF($C472&lt;&gt;"manual_titration_mL","",IFERROR(INDEX('3_可滴定酸度'!$E$6:$E$13,MATCH($I472,'3_可滴定酸度'!$B$6:$B$13,0)),"")))</f>
        <v/>
      </c>
      <c r="M472" s="25">
        <f>IF($A472="","",IF($C472&lt;&gt;"manual_titration_mL","",IFERROR(INDEX('3_可滴定酸度'!$F$6:$F$13,MATCH($I472,'3_可滴定酸度'!$B$6:$B$13,0)),"")))</f>
        <v/>
      </c>
      <c r="N472" s="24">
        <f>IF($A472="","",IF(OR(K472="",L472="",M472=""),"",K472*E472*L472/(M472*1000)*100))</f>
        <v/>
      </c>
      <c r="O472" s="24">
        <f>IF($A472="","",IF(N472="","",IF(COUNTIFS('1_原始數據'!$A$2:$A$1000,$A472,'1_原始數據'!$B$2:$B$1000,$B472,'1_原始數據'!$D$2:$D$1000,$D472,'1_原始數據'!$I$2:$I$1000,$I472,'1_原始數據'!$C$2:$C$1000,"pasco_pct_acid")=0,"",SUMIFS('1_原始數據'!$E$2:$E$1000,'1_原始數據'!$A$2:$A$1000,$A472,'1_原始數據'!$B$2:$B$1000,$B472,'1_原始數據'!$D$2:$D$1000,$D472,'1_原始數據'!$I$2:$I$1000,$I472,'1_原始數據'!$C$2:$C$1000,"pasco_pct_acid"))))</f>
        <v/>
      </c>
      <c r="P472" s="26">
        <f>IF($A472="","",IF(OR(N472="",O472=""),"",O472-N472))</f>
        <v/>
      </c>
      <c r="Q472" s="24">
        <f>IF($A472="","",IF(P472="","",(O472+N472)/2))</f>
        <v/>
      </c>
      <c r="R472" s="27">
        <f>IF($A472="","",IF(P472="","",COUNT($P$2:P472)))</f>
        <v/>
      </c>
    </row>
    <row r="473">
      <c r="J473" s="24">
        <f>IF($A473="","",IF($C473&lt;&gt;"khp_titration_mL","",IF(COUNTIFS('1_原始數據'!$A$2:$A$1000,$A473,'1_原始數據'!$B$2:$B$1000,$B473,'1_原始數據'!$D$2:$D$1000,$D473,'1_原始數據'!$C$2:$C$1000,"khp_mass_g")=0,"",SUMIFS('1_原始數據'!$E$2:$E$1000,'1_原始數據'!$A$2:$A$1000,$A473,'1_原始數據'!$B$2:$B$1000,$B473,'1_原始數據'!$D$2:$D$1000,$D473,'1_原始數據'!$C$2:$C$1000,"khp_mass_g")/('2_NaOH標定'!$C$5*$E473/1000))))</f>
        <v/>
      </c>
      <c r="K473" s="24">
        <f>IF($A473="","",IF($C473&lt;&gt;"manual_titration_mL","",IF(COUNTIFS('1_原始數據'!$A$2:$A$1000,$A473,'1_原始數據'!$C$2:$C$1000,"khp_titration_mL")=0,"",AVERAGEIFS('1_原始數據'!$J$2:$J$1000,'1_原始數據'!$A$2:$A$1000,$A473,'1_原始數據'!$C$2:$C$1000,"khp_titration_mL"))))</f>
        <v/>
      </c>
      <c r="L473" s="25">
        <f>IF($A473="","",IF($C473&lt;&gt;"manual_titration_mL","",IFERROR(INDEX('3_可滴定酸度'!$E$6:$E$13,MATCH($I473,'3_可滴定酸度'!$B$6:$B$13,0)),"")))</f>
        <v/>
      </c>
      <c r="M473" s="25">
        <f>IF($A473="","",IF($C473&lt;&gt;"manual_titration_mL","",IFERROR(INDEX('3_可滴定酸度'!$F$6:$F$13,MATCH($I473,'3_可滴定酸度'!$B$6:$B$13,0)),"")))</f>
        <v/>
      </c>
      <c r="N473" s="24">
        <f>IF($A473="","",IF(OR(K473="",L473="",M473=""),"",K473*E473*L473/(M473*1000)*100))</f>
        <v/>
      </c>
      <c r="O473" s="24">
        <f>IF($A473="","",IF(N473="","",IF(COUNTIFS('1_原始數據'!$A$2:$A$1000,$A473,'1_原始數據'!$B$2:$B$1000,$B473,'1_原始數據'!$D$2:$D$1000,$D473,'1_原始數據'!$I$2:$I$1000,$I473,'1_原始數據'!$C$2:$C$1000,"pasco_pct_acid")=0,"",SUMIFS('1_原始數據'!$E$2:$E$1000,'1_原始數據'!$A$2:$A$1000,$A473,'1_原始數據'!$B$2:$B$1000,$B473,'1_原始數據'!$D$2:$D$1000,$D473,'1_原始數據'!$I$2:$I$1000,$I473,'1_原始數據'!$C$2:$C$1000,"pasco_pct_acid"))))</f>
        <v/>
      </c>
      <c r="P473" s="26">
        <f>IF($A473="","",IF(OR(N473="",O473=""),"",O473-N473))</f>
        <v/>
      </c>
      <c r="Q473" s="24">
        <f>IF($A473="","",IF(P473="","",(O473+N473)/2))</f>
        <v/>
      </c>
      <c r="R473" s="27">
        <f>IF($A473="","",IF(P473="","",COUNT($P$2:P473)))</f>
        <v/>
      </c>
    </row>
    <row r="474">
      <c r="J474" s="24">
        <f>IF($A474="","",IF($C474&lt;&gt;"khp_titration_mL","",IF(COUNTIFS('1_原始數據'!$A$2:$A$1000,$A474,'1_原始數據'!$B$2:$B$1000,$B474,'1_原始數據'!$D$2:$D$1000,$D474,'1_原始數據'!$C$2:$C$1000,"khp_mass_g")=0,"",SUMIFS('1_原始數據'!$E$2:$E$1000,'1_原始數據'!$A$2:$A$1000,$A474,'1_原始數據'!$B$2:$B$1000,$B474,'1_原始數據'!$D$2:$D$1000,$D474,'1_原始數據'!$C$2:$C$1000,"khp_mass_g")/('2_NaOH標定'!$C$5*$E474/1000))))</f>
        <v/>
      </c>
      <c r="K474" s="24">
        <f>IF($A474="","",IF($C474&lt;&gt;"manual_titration_mL","",IF(COUNTIFS('1_原始數據'!$A$2:$A$1000,$A474,'1_原始數據'!$C$2:$C$1000,"khp_titration_mL")=0,"",AVERAGEIFS('1_原始數據'!$J$2:$J$1000,'1_原始數據'!$A$2:$A$1000,$A474,'1_原始數據'!$C$2:$C$1000,"khp_titration_mL"))))</f>
        <v/>
      </c>
      <c r="L474" s="25">
        <f>IF($A474="","",IF($C474&lt;&gt;"manual_titration_mL","",IFERROR(INDEX('3_可滴定酸度'!$E$6:$E$13,MATCH($I474,'3_可滴定酸度'!$B$6:$B$13,0)),"")))</f>
        <v/>
      </c>
      <c r="M474" s="25">
        <f>IF($A474="","",IF($C474&lt;&gt;"manual_titration_mL","",IFERROR(INDEX('3_可滴定酸度'!$F$6:$F$13,MATCH($I474,'3_可滴定酸度'!$B$6:$B$13,0)),"")))</f>
        <v/>
      </c>
      <c r="N474" s="24">
        <f>IF($A474="","",IF(OR(K474="",L474="",M474=""),"",K474*E474*L474/(M474*1000)*100))</f>
        <v/>
      </c>
      <c r="O474" s="24">
        <f>IF($A474="","",IF(N474="","",IF(COUNTIFS('1_原始數據'!$A$2:$A$1000,$A474,'1_原始數據'!$B$2:$B$1000,$B474,'1_原始數據'!$D$2:$D$1000,$D474,'1_原始數據'!$I$2:$I$1000,$I474,'1_原始數據'!$C$2:$C$1000,"pasco_pct_acid")=0,"",SUMIFS('1_原始數據'!$E$2:$E$1000,'1_原始數據'!$A$2:$A$1000,$A474,'1_原始數據'!$B$2:$B$1000,$B474,'1_原始數據'!$D$2:$D$1000,$D474,'1_原始數據'!$I$2:$I$1000,$I474,'1_原始數據'!$C$2:$C$1000,"pasco_pct_acid"))))</f>
        <v/>
      </c>
      <c r="P474" s="26">
        <f>IF($A474="","",IF(OR(N474="",O474=""),"",O474-N474))</f>
        <v/>
      </c>
      <c r="Q474" s="24">
        <f>IF($A474="","",IF(P474="","",(O474+N474)/2))</f>
        <v/>
      </c>
      <c r="R474" s="27">
        <f>IF($A474="","",IF(P474="","",COUNT($P$2:P474)))</f>
        <v/>
      </c>
    </row>
    <row r="475">
      <c r="J475" s="24">
        <f>IF($A475="","",IF($C475&lt;&gt;"khp_titration_mL","",IF(COUNTIFS('1_原始數據'!$A$2:$A$1000,$A475,'1_原始數據'!$B$2:$B$1000,$B475,'1_原始數據'!$D$2:$D$1000,$D475,'1_原始數據'!$C$2:$C$1000,"khp_mass_g")=0,"",SUMIFS('1_原始數據'!$E$2:$E$1000,'1_原始數據'!$A$2:$A$1000,$A475,'1_原始數據'!$B$2:$B$1000,$B475,'1_原始數據'!$D$2:$D$1000,$D475,'1_原始數據'!$C$2:$C$1000,"khp_mass_g")/('2_NaOH標定'!$C$5*$E475/1000))))</f>
        <v/>
      </c>
      <c r="K475" s="24">
        <f>IF($A475="","",IF($C475&lt;&gt;"manual_titration_mL","",IF(COUNTIFS('1_原始數據'!$A$2:$A$1000,$A475,'1_原始數據'!$C$2:$C$1000,"khp_titration_mL")=0,"",AVERAGEIFS('1_原始數據'!$J$2:$J$1000,'1_原始數據'!$A$2:$A$1000,$A475,'1_原始數據'!$C$2:$C$1000,"khp_titration_mL"))))</f>
        <v/>
      </c>
      <c r="L475" s="25">
        <f>IF($A475="","",IF($C475&lt;&gt;"manual_titration_mL","",IFERROR(INDEX('3_可滴定酸度'!$E$6:$E$13,MATCH($I475,'3_可滴定酸度'!$B$6:$B$13,0)),"")))</f>
        <v/>
      </c>
      <c r="M475" s="25">
        <f>IF($A475="","",IF($C475&lt;&gt;"manual_titration_mL","",IFERROR(INDEX('3_可滴定酸度'!$F$6:$F$13,MATCH($I475,'3_可滴定酸度'!$B$6:$B$13,0)),"")))</f>
        <v/>
      </c>
      <c r="N475" s="24">
        <f>IF($A475="","",IF(OR(K475="",L475="",M475=""),"",K475*E475*L475/(M475*1000)*100))</f>
        <v/>
      </c>
      <c r="O475" s="24">
        <f>IF($A475="","",IF(N475="","",IF(COUNTIFS('1_原始數據'!$A$2:$A$1000,$A475,'1_原始數據'!$B$2:$B$1000,$B475,'1_原始數據'!$D$2:$D$1000,$D475,'1_原始數據'!$I$2:$I$1000,$I475,'1_原始數據'!$C$2:$C$1000,"pasco_pct_acid")=0,"",SUMIFS('1_原始數據'!$E$2:$E$1000,'1_原始數據'!$A$2:$A$1000,$A475,'1_原始數據'!$B$2:$B$1000,$B475,'1_原始數據'!$D$2:$D$1000,$D475,'1_原始數據'!$I$2:$I$1000,$I475,'1_原始數據'!$C$2:$C$1000,"pasco_pct_acid"))))</f>
        <v/>
      </c>
      <c r="P475" s="26">
        <f>IF($A475="","",IF(OR(N475="",O475=""),"",O475-N475))</f>
        <v/>
      </c>
      <c r="Q475" s="24">
        <f>IF($A475="","",IF(P475="","",(O475+N475)/2))</f>
        <v/>
      </c>
      <c r="R475" s="27">
        <f>IF($A475="","",IF(P475="","",COUNT($P$2:P475)))</f>
        <v/>
      </c>
    </row>
    <row r="476">
      <c r="J476" s="24">
        <f>IF($A476="","",IF($C476&lt;&gt;"khp_titration_mL","",IF(COUNTIFS('1_原始數據'!$A$2:$A$1000,$A476,'1_原始數據'!$B$2:$B$1000,$B476,'1_原始數據'!$D$2:$D$1000,$D476,'1_原始數據'!$C$2:$C$1000,"khp_mass_g")=0,"",SUMIFS('1_原始數據'!$E$2:$E$1000,'1_原始數據'!$A$2:$A$1000,$A476,'1_原始數據'!$B$2:$B$1000,$B476,'1_原始數據'!$D$2:$D$1000,$D476,'1_原始數據'!$C$2:$C$1000,"khp_mass_g")/('2_NaOH標定'!$C$5*$E476/1000))))</f>
        <v/>
      </c>
      <c r="K476" s="24">
        <f>IF($A476="","",IF($C476&lt;&gt;"manual_titration_mL","",IF(COUNTIFS('1_原始數據'!$A$2:$A$1000,$A476,'1_原始數據'!$C$2:$C$1000,"khp_titration_mL")=0,"",AVERAGEIFS('1_原始數據'!$J$2:$J$1000,'1_原始數據'!$A$2:$A$1000,$A476,'1_原始數據'!$C$2:$C$1000,"khp_titration_mL"))))</f>
        <v/>
      </c>
      <c r="L476" s="25">
        <f>IF($A476="","",IF($C476&lt;&gt;"manual_titration_mL","",IFERROR(INDEX('3_可滴定酸度'!$E$6:$E$13,MATCH($I476,'3_可滴定酸度'!$B$6:$B$13,0)),"")))</f>
        <v/>
      </c>
      <c r="M476" s="25">
        <f>IF($A476="","",IF($C476&lt;&gt;"manual_titration_mL","",IFERROR(INDEX('3_可滴定酸度'!$F$6:$F$13,MATCH($I476,'3_可滴定酸度'!$B$6:$B$13,0)),"")))</f>
        <v/>
      </c>
      <c r="N476" s="24">
        <f>IF($A476="","",IF(OR(K476="",L476="",M476=""),"",K476*E476*L476/(M476*1000)*100))</f>
        <v/>
      </c>
      <c r="O476" s="24">
        <f>IF($A476="","",IF(N476="","",IF(COUNTIFS('1_原始數據'!$A$2:$A$1000,$A476,'1_原始數據'!$B$2:$B$1000,$B476,'1_原始數據'!$D$2:$D$1000,$D476,'1_原始數據'!$I$2:$I$1000,$I476,'1_原始數據'!$C$2:$C$1000,"pasco_pct_acid")=0,"",SUMIFS('1_原始數據'!$E$2:$E$1000,'1_原始數據'!$A$2:$A$1000,$A476,'1_原始數據'!$B$2:$B$1000,$B476,'1_原始數據'!$D$2:$D$1000,$D476,'1_原始數據'!$I$2:$I$1000,$I476,'1_原始數據'!$C$2:$C$1000,"pasco_pct_acid"))))</f>
        <v/>
      </c>
      <c r="P476" s="26">
        <f>IF($A476="","",IF(OR(N476="",O476=""),"",O476-N476))</f>
        <v/>
      </c>
      <c r="Q476" s="24">
        <f>IF($A476="","",IF(P476="","",(O476+N476)/2))</f>
        <v/>
      </c>
      <c r="R476" s="27">
        <f>IF($A476="","",IF(P476="","",COUNT($P$2:P476)))</f>
        <v/>
      </c>
    </row>
    <row r="477">
      <c r="J477" s="24">
        <f>IF($A477="","",IF($C477&lt;&gt;"khp_titration_mL","",IF(COUNTIFS('1_原始數據'!$A$2:$A$1000,$A477,'1_原始數據'!$B$2:$B$1000,$B477,'1_原始數據'!$D$2:$D$1000,$D477,'1_原始數據'!$C$2:$C$1000,"khp_mass_g")=0,"",SUMIFS('1_原始數據'!$E$2:$E$1000,'1_原始數據'!$A$2:$A$1000,$A477,'1_原始數據'!$B$2:$B$1000,$B477,'1_原始數據'!$D$2:$D$1000,$D477,'1_原始數據'!$C$2:$C$1000,"khp_mass_g")/('2_NaOH標定'!$C$5*$E477/1000))))</f>
        <v/>
      </c>
      <c r="K477" s="24">
        <f>IF($A477="","",IF($C477&lt;&gt;"manual_titration_mL","",IF(COUNTIFS('1_原始數據'!$A$2:$A$1000,$A477,'1_原始數據'!$C$2:$C$1000,"khp_titration_mL")=0,"",AVERAGEIFS('1_原始數據'!$J$2:$J$1000,'1_原始數據'!$A$2:$A$1000,$A477,'1_原始數據'!$C$2:$C$1000,"khp_titration_mL"))))</f>
        <v/>
      </c>
      <c r="L477" s="25">
        <f>IF($A477="","",IF($C477&lt;&gt;"manual_titration_mL","",IFERROR(INDEX('3_可滴定酸度'!$E$6:$E$13,MATCH($I477,'3_可滴定酸度'!$B$6:$B$13,0)),"")))</f>
        <v/>
      </c>
      <c r="M477" s="25">
        <f>IF($A477="","",IF($C477&lt;&gt;"manual_titration_mL","",IFERROR(INDEX('3_可滴定酸度'!$F$6:$F$13,MATCH($I477,'3_可滴定酸度'!$B$6:$B$13,0)),"")))</f>
        <v/>
      </c>
      <c r="N477" s="24">
        <f>IF($A477="","",IF(OR(K477="",L477="",M477=""),"",K477*E477*L477/(M477*1000)*100))</f>
        <v/>
      </c>
      <c r="O477" s="24">
        <f>IF($A477="","",IF(N477="","",IF(COUNTIFS('1_原始數據'!$A$2:$A$1000,$A477,'1_原始數據'!$B$2:$B$1000,$B477,'1_原始數據'!$D$2:$D$1000,$D477,'1_原始數據'!$I$2:$I$1000,$I477,'1_原始數據'!$C$2:$C$1000,"pasco_pct_acid")=0,"",SUMIFS('1_原始數據'!$E$2:$E$1000,'1_原始數據'!$A$2:$A$1000,$A477,'1_原始數據'!$B$2:$B$1000,$B477,'1_原始數據'!$D$2:$D$1000,$D477,'1_原始數據'!$I$2:$I$1000,$I477,'1_原始數據'!$C$2:$C$1000,"pasco_pct_acid"))))</f>
        <v/>
      </c>
      <c r="P477" s="26">
        <f>IF($A477="","",IF(OR(N477="",O477=""),"",O477-N477))</f>
        <v/>
      </c>
      <c r="Q477" s="24">
        <f>IF($A477="","",IF(P477="","",(O477+N477)/2))</f>
        <v/>
      </c>
      <c r="R477" s="27">
        <f>IF($A477="","",IF(P477="","",COUNT($P$2:P477)))</f>
        <v/>
      </c>
    </row>
    <row r="478">
      <c r="J478" s="24">
        <f>IF($A478="","",IF($C478&lt;&gt;"khp_titration_mL","",IF(COUNTIFS('1_原始數據'!$A$2:$A$1000,$A478,'1_原始數據'!$B$2:$B$1000,$B478,'1_原始數據'!$D$2:$D$1000,$D478,'1_原始數據'!$C$2:$C$1000,"khp_mass_g")=0,"",SUMIFS('1_原始數據'!$E$2:$E$1000,'1_原始數據'!$A$2:$A$1000,$A478,'1_原始數據'!$B$2:$B$1000,$B478,'1_原始數據'!$D$2:$D$1000,$D478,'1_原始數據'!$C$2:$C$1000,"khp_mass_g")/('2_NaOH標定'!$C$5*$E478/1000))))</f>
        <v/>
      </c>
      <c r="K478" s="24">
        <f>IF($A478="","",IF($C478&lt;&gt;"manual_titration_mL","",IF(COUNTIFS('1_原始數據'!$A$2:$A$1000,$A478,'1_原始數據'!$C$2:$C$1000,"khp_titration_mL")=0,"",AVERAGEIFS('1_原始數據'!$J$2:$J$1000,'1_原始數據'!$A$2:$A$1000,$A478,'1_原始數據'!$C$2:$C$1000,"khp_titration_mL"))))</f>
        <v/>
      </c>
      <c r="L478" s="25">
        <f>IF($A478="","",IF($C478&lt;&gt;"manual_titration_mL","",IFERROR(INDEX('3_可滴定酸度'!$E$6:$E$13,MATCH($I478,'3_可滴定酸度'!$B$6:$B$13,0)),"")))</f>
        <v/>
      </c>
      <c r="M478" s="25">
        <f>IF($A478="","",IF($C478&lt;&gt;"manual_titration_mL","",IFERROR(INDEX('3_可滴定酸度'!$F$6:$F$13,MATCH($I478,'3_可滴定酸度'!$B$6:$B$13,0)),"")))</f>
        <v/>
      </c>
      <c r="N478" s="24">
        <f>IF($A478="","",IF(OR(K478="",L478="",M478=""),"",K478*E478*L478/(M478*1000)*100))</f>
        <v/>
      </c>
      <c r="O478" s="24">
        <f>IF($A478="","",IF(N478="","",IF(COUNTIFS('1_原始數據'!$A$2:$A$1000,$A478,'1_原始數據'!$B$2:$B$1000,$B478,'1_原始數據'!$D$2:$D$1000,$D478,'1_原始數據'!$I$2:$I$1000,$I478,'1_原始數據'!$C$2:$C$1000,"pasco_pct_acid")=0,"",SUMIFS('1_原始數據'!$E$2:$E$1000,'1_原始數據'!$A$2:$A$1000,$A478,'1_原始數據'!$B$2:$B$1000,$B478,'1_原始數據'!$D$2:$D$1000,$D478,'1_原始數據'!$I$2:$I$1000,$I478,'1_原始數據'!$C$2:$C$1000,"pasco_pct_acid"))))</f>
        <v/>
      </c>
      <c r="P478" s="26">
        <f>IF($A478="","",IF(OR(N478="",O478=""),"",O478-N478))</f>
        <v/>
      </c>
      <c r="Q478" s="24">
        <f>IF($A478="","",IF(P478="","",(O478+N478)/2))</f>
        <v/>
      </c>
      <c r="R478" s="27">
        <f>IF($A478="","",IF(P478="","",COUNT($P$2:P478)))</f>
        <v/>
      </c>
    </row>
    <row r="479">
      <c r="J479" s="24">
        <f>IF($A479="","",IF($C479&lt;&gt;"khp_titration_mL","",IF(COUNTIFS('1_原始數據'!$A$2:$A$1000,$A479,'1_原始數據'!$B$2:$B$1000,$B479,'1_原始數據'!$D$2:$D$1000,$D479,'1_原始數據'!$C$2:$C$1000,"khp_mass_g")=0,"",SUMIFS('1_原始數據'!$E$2:$E$1000,'1_原始數據'!$A$2:$A$1000,$A479,'1_原始數據'!$B$2:$B$1000,$B479,'1_原始數據'!$D$2:$D$1000,$D479,'1_原始數據'!$C$2:$C$1000,"khp_mass_g")/('2_NaOH標定'!$C$5*$E479/1000))))</f>
        <v/>
      </c>
      <c r="K479" s="24">
        <f>IF($A479="","",IF($C479&lt;&gt;"manual_titration_mL","",IF(COUNTIFS('1_原始數據'!$A$2:$A$1000,$A479,'1_原始數據'!$C$2:$C$1000,"khp_titration_mL")=0,"",AVERAGEIFS('1_原始數據'!$J$2:$J$1000,'1_原始數據'!$A$2:$A$1000,$A479,'1_原始數據'!$C$2:$C$1000,"khp_titration_mL"))))</f>
        <v/>
      </c>
      <c r="L479" s="25">
        <f>IF($A479="","",IF($C479&lt;&gt;"manual_titration_mL","",IFERROR(INDEX('3_可滴定酸度'!$E$6:$E$13,MATCH($I479,'3_可滴定酸度'!$B$6:$B$13,0)),"")))</f>
        <v/>
      </c>
      <c r="M479" s="25">
        <f>IF($A479="","",IF($C479&lt;&gt;"manual_titration_mL","",IFERROR(INDEX('3_可滴定酸度'!$F$6:$F$13,MATCH($I479,'3_可滴定酸度'!$B$6:$B$13,0)),"")))</f>
        <v/>
      </c>
      <c r="N479" s="24">
        <f>IF($A479="","",IF(OR(K479="",L479="",M479=""),"",K479*E479*L479/(M479*1000)*100))</f>
        <v/>
      </c>
      <c r="O479" s="24">
        <f>IF($A479="","",IF(N479="","",IF(COUNTIFS('1_原始數據'!$A$2:$A$1000,$A479,'1_原始數據'!$B$2:$B$1000,$B479,'1_原始數據'!$D$2:$D$1000,$D479,'1_原始數據'!$I$2:$I$1000,$I479,'1_原始數據'!$C$2:$C$1000,"pasco_pct_acid")=0,"",SUMIFS('1_原始數據'!$E$2:$E$1000,'1_原始數據'!$A$2:$A$1000,$A479,'1_原始數據'!$B$2:$B$1000,$B479,'1_原始數據'!$D$2:$D$1000,$D479,'1_原始數據'!$I$2:$I$1000,$I479,'1_原始數據'!$C$2:$C$1000,"pasco_pct_acid"))))</f>
        <v/>
      </c>
      <c r="P479" s="26">
        <f>IF($A479="","",IF(OR(N479="",O479=""),"",O479-N479))</f>
        <v/>
      </c>
      <c r="Q479" s="24">
        <f>IF($A479="","",IF(P479="","",(O479+N479)/2))</f>
        <v/>
      </c>
      <c r="R479" s="27">
        <f>IF($A479="","",IF(P479="","",COUNT($P$2:P479)))</f>
        <v/>
      </c>
    </row>
    <row r="480">
      <c r="J480" s="24">
        <f>IF($A480="","",IF($C480&lt;&gt;"khp_titration_mL","",IF(COUNTIFS('1_原始數據'!$A$2:$A$1000,$A480,'1_原始數據'!$B$2:$B$1000,$B480,'1_原始數據'!$D$2:$D$1000,$D480,'1_原始數據'!$C$2:$C$1000,"khp_mass_g")=0,"",SUMIFS('1_原始數據'!$E$2:$E$1000,'1_原始數據'!$A$2:$A$1000,$A480,'1_原始數據'!$B$2:$B$1000,$B480,'1_原始數據'!$D$2:$D$1000,$D480,'1_原始數據'!$C$2:$C$1000,"khp_mass_g")/('2_NaOH標定'!$C$5*$E480/1000))))</f>
        <v/>
      </c>
      <c r="K480" s="24">
        <f>IF($A480="","",IF($C480&lt;&gt;"manual_titration_mL","",IF(COUNTIFS('1_原始數據'!$A$2:$A$1000,$A480,'1_原始數據'!$C$2:$C$1000,"khp_titration_mL")=0,"",AVERAGEIFS('1_原始數據'!$J$2:$J$1000,'1_原始數據'!$A$2:$A$1000,$A480,'1_原始數據'!$C$2:$C$1000,"khp_titration_mL"))))</f>
        <v/>
      </c>
      <c r="L480" s="25">
        <f>IF($A480="","",IF($C480&lt;&gt;"manual_titration_mL","",IFERROR(INDEX('3_可滴定酸度'!$E$6:$E$13,MATCH($I480,'3_可滴定酸度'!$B$6:$B$13,0)),"")))</f>
        <v/>
      </c>
      <c r="M480" s="25">
        <f>IF($A480="","",IF($C480&lt;&gt;"manual_titration_mL","",IFERROR(INDEX('3_可滴定酸度'!$F$6:$F$13,MATCH($I480,'3_可滴定酸度'!$B$6:$B$13,0)),"")))</f>
        <v/>
      </c>
      <c r="N480" s="24">
        <f>IF($A480="","",IF(OR(K480="",L480="",M480=""),"",K480*E480*L480/(M480*1000)*100))</f>
        <v/>
      </c>
      <c r="O480" s="24">
        <f>IF($A480="","",IF(N480="","",IF(COUNTIFS('1_原始數據'!$A$2:$A$1000,$A480,'1_原始數據'!$B$2:$B$1000,$B480,'1_原始數據'!$D$2:$D$1000,$D480,'1_原始數據'!$I$2:$I$1000,$I480,'1_原始數據'!$C$2:$C$1000,"pasco_pct_acid")=0,"",SUMIFS('1_原始數據'!$E$2:$E$1000,'1_原始數據'!$A$2:$A$1000,$A480,'1_原始數據'!$B$2:$B$1000,$B480,'1_原始數據'!$D$2:$D$1000,$D480,'1_原始數據'!$I$2:$I$1000,$I480,'1_原始數據'!$C$2:$C$1000,"pasco_pct_acid"))))</f>
        <v/>
      </c>
      <c r="P480" s="26">
        <f>IF($A480="","",IF(OR(N480="",O480=""),"",O480-N480))</f>
        <v/>
      </c>
      <c r="Q480" s="24">
        <f>IF($A480="","",IF(P480="","",(O480+N480)/2))</f>
        <v/>
      </c>
      <c r="R480" s="27">
        <f>IF($A480="","",IF(P480="","",COUNT($P$2:P480)))</f>
        <v/>
      </c>
    </row>
    <row r="481">
      <c r="J481" s="24">
        <f>IF($A481="","",IF($C481&lt;&gt;"khp_titration_mL","",IF(COUNTIFS('1_原始數據'!$A$2:$A$1000,$A481,'1_原始數據'!$B$2:$B$1000,$B481,'1_原始數據'!$D$2:$D$1000,$D481,'1_原始數據'!$C$2:$C$1000,"khp_mass_g")=0,"",SUMIFS('1_原始數據'!$E$2:$E$1000,'1_原始數據'!$A$2:$A$1000,$A481,'1_原始數據'!$B$2:$B$1000,$B481,'1_原始數據'!$D$2:$D$1000,$D481,'1_原始數據'!$C$2:$C$1000,"khp_mass_g")/('2_NaOH標定'!$C$5*$E481/1000))))</f>
        <v/>
      </c>
      <c r="K481" s="24">
        <f>IF($A481="","",IF($C481&lt;&gt;"manual_titration_mL","",IF(COUNTIFS('1_原始數據'!$A$2:$A$1000,$A481,'1_原始數據'!$C$2:$C$1000,"khp_titration_mL")=0,"",AVERAGEIFS('1_原始數據'!$J$2:$J$1000,'1_原始數據'!$A$2:$A$1000,$A481,'1_原始數據'!$C$2:$C$1000,"khp_titration_mL"))))</f>
        <v/>
      </c>
      <c r="L481" s="25">
        <f>IF($A481="","",IF($C481&lt;&gt;"manual_titration_mL","",IFERROR(INDEX('3_可滴定酸度'!$E$6:$E$13,MATCH($I481,'3_可滴定酸度'!$B$6:$B$13,0)),"")))</f>
        <v/>
      </c>
      <c r="M481" s="25">
        <f>IF($A481="","",IF($C481&lt;&gt;"manual_titration_mL","",IFERROR(INDEX('3_可滴定酸度'!$F$6:$F$13,MATCH($I481,'3_可滴定酸度'!$B$6:$B$13,0)),"")))</f>
        <v/>
      </c>
      <c r="N481" s="24">
        <f>IF($A481="","",IF(OR(K481="",L481="",M481=""),"",K481*E481*L481/(M481*1000)*100))</f>
        <v/>
      </c>
      <c r="O481" s="24">
        <f>IF($A481="","",IF(N481="","",IF(COUNTIFS('1_原始數據'!$A$2:$A$1000,$A481,'1_原始數據'!$B$2:$B$1000,$B481,'1_原始數據'!$D$2:$D$1000,$D481,'1_原始數據'!$I$2:$I$1000,$I481,'1_原始數據'!$C$2:$C$1000,"pasco_pct_acid")=0,"",SUMIFS('1_原始數據'!$E$2:$E$1000,'1_原始數據'!$A$2:$A$1000,$A481,'1_原始數據'!$B$2:$B$1000,$B481,'1_原始數據'!$D$2:$D$1000,$D481,'1_原始數據'!$I$2:$I$1000,$I481,'1_原始數據'!$C$2:$C$1000,"pasco_pct_acid"))))</f>
        <v/>
      </c>
      <c r="P481" s="26">
        <f>IF($A481="","",IF(OR(N481="",O481=""),"",O481-N481))</f>
        <v/>
      </c>
      <c r="Q481" s="24">
        <f>IF($A481="","",IF(P481="","",(O481+N481)/2))</f>
        <v/>
      </c>
      <c r="R481" s="27">
        <f>IF($A481="","",IF(P481="","",COUNT($P$2:P481)))</f>
        <v/>
      </c>
    </row>
    <row r="482">
      <c r="J482" s="24">
        <f>IF($A482="","",IF($C482&lt;&gt;"khp_titration_mL","",IF(COUNTIFS('1_原始數據'!$A$2:$A$1000,$A482,'1_原始數據'!$B$2:$B$1000,$B482,'1_原始數據'!$D$2:$D$1000,$D482,'1_原始數據'!$C$2:$C$1000,"khp_mass_g")=0,"",SUMIFS('1_原始數據'!$E$2:$E$1000,'1_原始數據'!$A$2:$A$1000,$A482,'1_原始數據'!$B$2:$B$1000,$B482,'1_原始數據'!$D$2:$D$1000,$D482,'1_原始數據'!$C$2:$C$1000,"khp_mass_g")/('2_NaOH標定'!$C$5*$E482/1000))))</f>
        <v/>
      </c>
      <c r="K482" s="24">
        <f>IF($A482="","",IF($C482&lt;&gt;"manual_titration_mL","",IF(COUNTIFS('1_原始數據'!$A$2:$A$1000,$A482,'1_原始數據'!$C$2:$C$1000,"khp_titration_mL")=0,"",AVERAGEIFS('1_原始數據'!$J$2:$J$1000,'1_原始數據'!$A$2:$A$1000,$A482,'1_原始數據'!$C$2:$C$1000,"khp_titration_mL"))))</f>
        <v/>
      </c>
      <c r="L482" s="25">
        <f>IF($A482="","",IF($C482&lt;&gt;"manual_titration_mL","",IFERROR(INDEX('3_可滴定酸度'!$E$6:$E$13,MATCH($I482,'3_可滴定酸度'!$B$6:$B$13,0)),"")))</f>
        <v/>
      </c>
      <c r="M482" s="25">
        <f>IF($A482="","",IF($C482&lt;&gt;"manual_titration_mL","",IFERROR(INDEX('3_可滴定酸度'!$F$6:$F$13,MATCH($I482,'3_可滴定酸度'!$B$6:$B$13,0)),"")))</f>
        <v/>
      </c>
      <c r="N482" s="24">
        <f>IF($A482="","",IF(OR(K482="",L482="",M482=""),"",K482*E482*L482/(M482*1000)*100))</f>
        <v/>
      </c>
      <c r="O482" s="24">
        <f>IF($A482="","",IF(N482="","",IF(COUNTIFS('1_原始數據'!$A$2:$A$1000,$A482,'1_原始數據'!$B$2:$B$1000,$B482,'1_原始數據'!$D$2:$D$1000,$D482,'1_原始數據'!$I$2:$I$1000,$I482,'1_原始數據'!$C$2:$C$1000,"pasco_pct_acid")=0,"",SUMIFS('1_原始數據'!$E$2:$E$1000,'1_原始數據'!$A$2:$A$1000,$A482,'1_原始數據'!$B$2:$B$1000,$B482,'1_原始數據'!$D$2:$D$1000,$D482,'1_原始數據'!$I$2:$I$1000,$I482,'1_原始數據'!$C$2:$C$1000,"pasco_pct_acid"))))</f>
        <v/>
      </c>
      <c r="P482" s="26">
        <f>IF($A482="","",IF(OR(N482="",O482=""),"",O482-N482))</f>
        <v/>
      </c>
      <c r="Q482" s="24">
        <f>IF($A482="","",IF(P482="","",(O482+N482)/2))</f>
        <v/>
      </c>
      <c r="R482" s="27">
        <f>IF($A482="","",IF(P482="","",COUNT($P$2:P482)))</f>
        <v/>
      </c>
    </row>
    <row r="483">
      <c r="J483" s="24">
        <f>IF($A483="","",IF($C483&lt;&gt;"khp_titration_mL","",IF(COUNTIFS('1_原始數據'!$A$2:$A$1000,$A483,'1_原始數據'!$B$2:$B$1000,$B483,'1_原始數據'!$D$2:$D$1000,$D483,'1_原始數據'!$C$2:$C$1000,"khp_mass_g")=0,"",SUMIFS('1_原始數據'!$E$2:$E$1000,'1_原始數據'!$A$2:$A$1000,$A483,'1_原始數據'!$B$2:$B$1000,$B483,'1_原始數據'!$D$2:$D$1000,$D483,'1_原始數據'!$C$2:$C$1000,"khp_mass_g")/('2_NaOH標定'!$C$5*$E483/1000))))</f>
        <v/>
      </c>
      <c r="K483" s="24">
        <f>IF($A483="","",IF($C483&lt;&gt;"manual_titration_mL","",IF(COUNTIFS('1_原始數據'!$A$2:$A$1000,$A483,'1_原始數據'!$C$2:$C$1000,"khp_titration_mL")=0,"",AVERAGEIFS('1_原始數據'!$J$2:$J$1000,'1_原始數據'!$A$2:$A$1000,$A483,'1_原始數據'!$C$2:$C$1000,"khp_titration_mL"))))</f>
        <v/>
      </c>
      <c r="L483" s="25">
        <f>IF($A483="","",IF($C483&lt;&gt;"manual_titration_mL","",IFERROR(INDEX('3_可滴定酸度'!$E$6:$E$13,MATCH($I483,'3_可滴定酸度'!$B$6:$B$13,0)),"")))</f>
        <v/>
      </c>
      <c r="M483" s="25">
        <f>IF($A483="","",IF($C483&lt;&gt;"manual_titration_mL","",IFERROR(INDEX('3_可滴定酸度'!$F$6:$F$13,MATCH($I483,'3_可滴定酸度'!$B$6:$B$13,0)),"")))</f>
        <v/>
      </c>
      <c r="N483" s="24">
        <f>IF($A483="","",IF(OR(K483="",L483="",M483=""),"",K483*E483*L483/(M483*1000)*100))</f>
        <v/>
      </c>
      <c r="O483" s="24">
        <f>IF($A483="","",IF(N483="","",IF(COUNTIFS('1_原始數據'!$A$2:$A$1000,$A483,'1_原始數據'!$B$2:$B$1000,$B483,'1_原始數據'!$D$2:$D$1000,$D483,'1_原始數據'!$I$2:$I$1000,$I483,'1_原始數據'!$C$2:$C$1000,"pasco_pct_acid")=0,"",SUMIFS('1_原始數據'!$E$2:$E$1000,'1_原始數據'!$A$2:$A$1000,$A483,'1_原始數據'!$B$2:$B$1000,$B483,'1_原始數據'!$D$2:$D$1000,$D483,'1_原始數據'!$I$2:$I$1000,$I483,'1_原始數據'!$C$2:$C$1000,"pasco_pct_acid"))))</f>
        <v/>
      </c>
      <c r="P483" s="26">
        <f>IF($A483="","",IF(OR(N483="",O483=""),"",O483-N483))</f>
        <v/>
      </c>
      <c r="Q483" s="24">
        <f>IF($A483="","",IF(P483="","",(O483+N483)/2))</f>
        <v/>
      </c>
      <c r="R483" s="27">
        <f>IF($A483="","",IF(P483="","",COUNT($P$2:P483)))</f>
        <v/>
      </c>
    </row>
    <row r="484">
      <c r="J484" s="24">
        <f>IF($A484="","",IF($C484&lt;&gt;"khp_titration_mL","",IF(COUNTIFS('1_原始數據'!$A$2:$A$1000,$A484,'1_原始數據'!$B$2:$B$1000,$B484,'1_原始數據'!$D$2:$D$1000,$D484,'1_原始數據'!$C$2:$C$1000,"khp_mass_g")=0,"",SUMIFS('1_原始數據'!$E$2:$E$1000,'1_原始數據'!$A$2:$A$1000,$A484,'1_原始數據'!$B$2:$B$1000,$B484,'1_原始數據'!$D$2:$D$1000,$D484,'1_原始數據'!$C$2:$C$1000,"khp_mass_g")/('2_NaOH標定'!$C$5*$E484/1000))))</f>
        <v/>
      </c>
      <c r="K484" s="24">
        <f>IF($A484="","",IF($C484&lt;&gt;"manual_titration_mL","",IF(COUNTIFS('1_原始數據'!$A$2:$A$1000,$A484,'1_原始數據'!$C$2:$C$1000,"khp_titration_mL")=0,"",AVERAGEIFS('1_原始數據'!$J$2:$J$1000,'1_原始數據'!$A$2:$A$1000,$A484,'1_原始數據'!$C$2:$C$1000,"khp_titration_mL"))))</f>
        <v/>
      </c>
      <c r="L484" s="25">
        <f>IF($A484="","",IF($C484&lt;&gt;"manual_titration_mL","",IFERROR(INDEX('3_可滴定酸度'!$E$6:$E$13,MATCH($I484,'3_可滴定酸度'!$B$6:$B$13,0)),"")))</f>
        <v/>
      </c>
      <c r="M484" s="25">
        <f>IF($A484="","",IF($C484&lt;&gt;"manual_titration_mL","",IFERROR(INDEX('3_可滴定酸度'!$F$6:$F$13,MATCH($I484,'3_可滴定酸度'!$B$6:$B$13,0)),"")))</f>
        <v/>
      </c>
      <c r="N484" s="24">
        <f>IF($A484="","",IF(OR(K484="",L484="",M484=""),"",K484*E484*L484/(M484*1000)*100))</f>
        <v/>
      </c>
      <c r="O484" s="24">
        <f>IF($A484="","",IF(N484="","",IF(COUNTIFS('1_原始數據'!$A$2:$A$1000,$A484,'1_原始數據'!$B$2:$B$1000,$B484,'1_原始數據'!$D$2:$D$1000,$D484,'1_原始數據'!$I$2:$I$1000,$I484,'1_原始數據'!$C$2:$C$1000,"pasco_pct_acid")=0,"",SUMIFS('1_原始數據'!$E$2:$E$1000,'1_原始數據'!$A$2:$A$1000,$A484,'1_原始數據'!$B$2:$B$1000,$B484,'1_原始數據'!$D$2:$D$1000,$D484,'1_原始數據'!$I$2:$I$1000,$I484,'1_原始數據'!$C$2:$C$1000,"pasco_pct_acid"))))</f>
        <v/>
      </c>
      <c r="P484" s="26">
        <f>IF($A484="","",IF(OR(N484="",O484=""),"",O484-N484))</f>
        <v/>
      </c>
      <c r="Q484" s="24">
        <f>IF($A484="","",IF(P484="","",(O484+N484)/2))</f>
        <v/>
      </c>
      <c r="R484" s="27">
        <f>IF($A484="","",IF(P484="","",COUNT($P$2:P484)))</f>
        <v/>
      </c>
    </row>
    <row r="485">
      <c r="J485" s="24">
        <f>IF($A485="","",IF($C485&lt;&gt;"khp_titration_mL","",IF(COUNTIFS('1_原始數據'!$A$2:$A$1000,$A485,'1_原始數據'!$B$2:$B$1000,$B485,'1_原始數據'!$D$2:$D$1000,$D485,'1_原始數據'!$C$2:$C$1000,"khp_mass_g")=0,"",SUMIFS('1_原始數據'!$E$2:$E$1000,'1_原始數據'!$A$2:$A$1000,$A485,'1_原始數據'!$B$2:$B$1000,$B485,'1_原始數據'!$D$2:$D$1000,$D485,'1_原始數據'!$C$2:$C$1000,"khp_mass_g")/('2_NaOH標定'!$C$5*$E485/1000))))</f>
        <v/>
      </c>
      <c r="K485" s="24">
        <f>IF($A485="","",IF($C485&lt;&gt;"manual_titration_mL","",IF(COUNTIFS('1_原始數據'!$A$2:$A$1000,$A485,'1_原始數據'!$C$2:$C$1000,"khp_titration_mL")=0,"",AVERAGEIFS('1_原始數據'!$J$2:$J$1000,'1_原始數據'!$A$2:$A$1000,$A485,'1_原始數據'!$C$2:$C$1000,"khp_titration_mL"))))</f>
        <v/>
      </c>
      <c r="L485" s="25">
        <f>IF($A485="","",IF($C485&lt;&gt;"manual_titration_mL","",IFERROR(INDEX('3_可滴定酸度'!$E$6:$E$13,MATCH($I485,'3_可滴定酸度'!$B$6:$B$13,0)),"")))</f>
        <v/>
      </c>
      <c r="M485" s="25">
        <f>IF($A485="","",IF($C485&lt;&gt;"manual_titration_mL","",IFERROR(INDEX('3_可滴定酸度'!$F$6:$F$13,MATCH($I485,'3_可滴定酸度'!$B$6:$B$13,0)),"")))</f>
        <v/>
      </c>
      <c r="N485" s="24">
        <f>IF($A485="","",IF(OR(K485="",L485="",M485=""),"",K485*E485*L485/(M485*1000)*100))</f>
        <v/>
      </c>
      <c r="O485" s="24">
        <f>IF($A485="","",IF(N485="","",IF(COUNTIFS('1_原始數據'!$A$2:$A$1000,$A485,'1_原始數據'!$B$2:$B$1000,$B485,'1_原始數據'!$D$2:$D$1000,$D485,'1_原始數據'!$I$2:$I$1000,$I485,'1_原始數據'!$C$2:$C$1000,"pasco_pct_acid")=0,"",SUMIFS('1_原始數據'!$E$2:$E$1000,'1_原始數據'!$A$2:$A$1000,$A485,'1_原始數據'!$B$2:$B$1000,$B485,'1_原始數據'!$D$2:$D$1000,$D485,'1_原始數據'!$I$2:$I$1000,$I485,'1_原始數據'!$C$2:$C$1000,"pasco_pct_acid"))))</f>
        <v/>
      </c>
      <c r="P485" s="26">
        <f>IF($A485="","",IF(OR(N485="",O485=""),"",O485-N485))</f>
        <v/>
      </c>
      <c r="Q485" s="24">
        <f>IF($A485="","",IF(P485="","",(O485+N485)/2))</f>
        <v/>
      </c>
      <c r="R485" s="27">
        <f>IF($A485="","",IF(P485="","",COUNT($P$2:P485)))</f>
        <v/>
      </c>
    </row>
    <row r="486">
      <c r="J486" s="24">
        <f>IF($A486="","",IF($C486&lt;&gt;"khp_titration_mL","",IF(COUNTIFS('1_原始數據'!$A$2:$A$1000,$A486,'1_原始數據'!$B$2:$B$1000,$B486,'1_原始數據'!$D$2:$D$1000,$D486,'1_原始數據'!$C$2:$C$1000,"khp_mass_g")=0,"",SUMIFS('1_原始數據'!$E$2:$E$1000,'1_原始數據'!$A$2:$A$1000,$A486,'1_原始數據'!$B$2:$B$1000,$B486,'1_原始數據'!$D$2:$D$1000,$D486,'1_原始數據'!$C$2:$C$1000,"khp_mass_g")/('2_NaOH標定'!$C$5*$E486/1000))))</f>
        <v/>
      </c>
      <c r="K486" s="24">
        <f>IF($A486="","",IF($C486&lt;&gt;"manual_titration_mL","",IF(COUNTIFS('1_原始數據'!$A$2:$A$1000,$A486,'1_原始數據'!$C$2:$C$1000,"khp_titration_mL")=0,"",AVERAGEIFS('1_原始數據'!$J$2:$J$1000,'1_原始數據'!$A$2:$A$1000,$A486,'1_原始數據'!$C$2:$C$1000,"khp_titration_mL"))))</f>
        <v/>
      </c>
      <c r="L486" s="25">
        <f>IF($A486="","",IF($C486&lt;&gt;"manual_titration_mL","",IFERROR(INDEX('3_可滴定酸度'!$E$6:$E$13,MATCH($I486,'3_可滴定酸度'!$B$6:$B$13,0)),"")))</f>
        <v/>
      </c>
      <c r="M486" s="25">
        <f>IF($A486="","",IF($C486&lt;&gt;"manual_titration_mL","",IFERROR(INDEX('3_可滴定酸度'!$F$6:$F$13,MATCH($I486,'3_可滴定酸度'!$B$6:$B$13,0)),"")))</f>
        <v/>
      </c>
      <c r="N486" s="24">
        <f>IF($A486="","",IF(OR(K486="",L486="",M486=""),"",K486*E486*L486/(M486*1000)*100))</f>
        <v/>
      </c>
      <c r="O486" s="24">
        <f>IF($A486="","",IF(N486="","",IF(COUNTIFS('1_原始數據'!$A$2:$A$1000,$A486,'1_原始數據'!$B$2:$B$1000,$B486,'1_原始數據'!$D$2:$D$1000,$D486,'1_原始數據'!$I$2:$I$1000,$I486,'1_原始數據'!$C$2:$C$1000,"pasco_pct_acid")=0,"",SUMIFS('1_原始數據'!$E$2:$E$1000,'1_原始數據'!$A$2:$A$1000,$A486,'1_原始數據'!$B$2:$B$1000,$B486,'1_原始數據'!$D$2:$D$1000,$D486,'1_原始數據'!$I$2:$I$1000,$I486,'1_原始數據'!$C$2:$C$1000,"pasco_pct_acid"))))</f>
        <v/>
      </c>
      <c r="P486" s="26">
        <f>IF($A486="","",IF(OR(N486="",O486=""),"",O486-N486))</f>
        <v/>
      </c>
      <c r="Q486" s="24">
        <f>IF($A486="","",IF(P486="","",(O486+N486)/2))</f>
        <v/>
      </c>
      <c r="R486" s="27">
        <f>IF($A486="","",IF(P486="","",COUNT($P$2:P486)))</f>
        <v/>
      </c>
    </row>
    <row r="487">
      <c r="J487" s="24">
        <f>IF($A487="","",IF($C487&lt;&gt;"khp_titration_mL","",IF(COUNTIFS('1_原始數據'!$A$2:$A$1000,$A487,'1_原始數據'!$B$2:$B$1000,$B487,'1_原始數據'!$D$2:$D$1000,$D487,'1_原始數據'!$C$2:$C$1000,"khp_mass_g")=0,"",SUMIFS('1_原始數據'!$E$2:$E$1000,'1_原始數據'!$A$2:$A$1000,$A487,'1_原始數據'!$B$2:$B$1000,$B487,'1_原始數據'!$D$2:$D$1000,$D487,'1_原始數據'!$C$2:$C$1000,"khp_mass_g")/('2_NaOH標定'!$C$5*$E487/1000))))</f>
        <v/>
      </c>
      <c r="K487" s="24">
        <f>IF($A487="","",IF($C487&lt;&gt;"manual_titration_mL","",IF(COUNTIFS('1_原始數據'!$A$2:$A$1000,$A487,'1_原始數據'!$C$2:$C$1000,"khp_titration_mL")=0,"",AVERAGEIFS('1_原始數據'!$J$2:$J$1000,'1_原始數據'!$A$2:$A$1000,$A487,'1_原始數據'!$C$2:$C$1000,"khp_titration_mL"))))</f>
        <v/>
      </c>
      <c r="L487" s="25">
        <f>IF($A487="","",IF($C487&lt;&gt;"manual_titration_mL","",IFERROR(INDEX('3_可滴定酸度'!$E$6:$E$13,MATCH($I487,'3_可滴定酸度'!$B$6:$B$13,0)),"")))</f>
        <v/>
      </c>
      <c r="M487" s="25">
        <f>IF($A487="","",IF($C487&lt;&gt;"manual_titration_mL","",IFERROR(INDEX('3_可滴定酸度'!$F$6:$F$13,MATCH($I487,'3_可滴定酸度'!$B$6:$B$13,0)),"")))</f>
        <v/>
      </c>
      <c r="N487" s="24">
        <f>IF($A487="","",IF(OR(K487="",L487="",M487=""),"",K487*E487*L487/(M487*1000)*100))</f>
        <v/>
      </c>
      <c r="O487" s="24">
        <f>IF($A487="","",IF(N487="","",IF(COUNTIFS('1_原始數據'!$A$2:$A$1000,$A487,'1_原始數據'!$B$2:$B$1000,$B487,'1_原始數據'!$D$2:$D$1000,$D487,'1_原始數據'!$I$2:$I$1000,$I487,'1_原始數據'!$C$2:$C$1000,"pasco_pct_acid")=0,"",SUMIFS('1_原始數據'!$E$2:$E$1000,'1_原始數據'!$A$2:$A$1000,$A487,'1_原始數據'!$B$2:$B$1000,$B487,'1_原始數據'!$D$2:$D$1000,$D487,'1_原始數據'!$I$2:$I$1000,$I487,'1_原始數據'!$C$2:$C$1000,"pasco_pct_acid"))))</f>
        <v/>
      </c>
      <c r="P487" s="26">
        <f>IF($A487="","",IF(OR(N487="",O487=""),"",O487-N487))</f>
        <v/>
      </c>
      <c r="Q487" s="24">
        <f>IF($A487="","",IF(P487="","",(O487+N487)/2))</f>
        <v/>
      </c>
      <c r="R487" s="27">
        <f>IF($A487="","",IF(P487="","",COUNT($P$2:P487)))</f>
        <v/>
      </c>
    </row>
    <row r="488">
      <c r="J488" s="24">
        <f>IF($A488="","",IF($C488&lt;&gt;"khp_titration_mL","",IF(COUNTIFS('1_原始數據'!$A$2:$A$1000,$A488,'1_原始數據'!$B$2:$B$1000,$B488,'1_原始數據'!$D$2:$D$1000,$D488,'1_原始數據'!$C$2:$C$1000,"khp_mass_g")=0,"",SUMIFS('1_原始數據'!$E$2:$E$1000,'1_原始數據'!$A$2:$A$1000,$A488,'1_原始數據'!$B$2:$B$1000,$B488,'1_原始數據'!$D$2:$D$1000,$D488,'1_原始數據'!$C$2:$C$1000,"khp_mass_g")/('2_NaOH標定'!$C$5*$E488/1000))))</f>
        <v/>
      </c>
      <c r="K488" s="24">
        <f>IF($A488="","",IF($C488&lt;&gt;"manual_titration_mL","",IF(COUNTIFS('1_原始數據'!$A$2:$A$1000,$A488,'1_原始數據'!$C$2:$C$1000,"khp_titration_mL")=0,"",AVERAGEIFS('1_原始數據'!$J$2:$J$1000,'1_原始數據'!$A$2:$A$1000,$A488,'1_原始數據'!$C$2:$C$1000,"khp_titration_mL"))))</f>
        <v/>
      </c>
      <c r="L488" s="25">
        <f>IF($A488="","",IF($C488&lt;&gt;"manual_titration_mL","",IFERROR(INDEX('3_可滴定酸度'!$E$6:$E$13,MATCH($I488,'3_可滴定酸度'!$B$6:$B$13,0)),"")))</f>
        <v/>
      </c>
      <c r="M488" s="25">
        <f>IF($A488="","",IF($C488&lt;&gt;"manual_titration_mL","",IFERROR(INDEX('3_可滴定酸度'!$F$6:$F$13,MATCH($I488,'3_可滴定酸度'!$B$6:$B$13,0)),"")))</f>
        <v/>
      </c>
      <c r="N488" s="24">
        <f>IF($A488="","",IF(OR(K488="",L488="",M488=""),"",K488*E488*L488/(M488*1000)*100))</f>
        <v/>
      </c>
      <c r="O488" s="24">
        <f>IF($A488="","",IF(N488="","",IF(COUNTIFS('1_原始數據'!$A$2:$A$1000,$A488,'1_原始數據'!$B$2:$B$1000,$B488,'1_原始數據'!$D$2:$D$1000,$D488,'1_原始數據'!$I$2:$I$1000,$I488,'1_原始數據'!$C$2:$C$1000,"pasco_pct_acid")=0,"",SUMIFS('1_原始數據'!$E$2:$E$1000,'1_原始數據'!$A$2:$A$1000,$A488,'1_原始數據'!$B$2:$B$1000,$B488,'1_原始數據'!$D$2:$D$1000,$D488,'1_原始數據'!$I$2:$I$1000,$I488,'1_原始數據'!$C$2:$C$1000,"pasco_pct_acid"))))</f>
        <v/>
      </c>
      <c r="P488" s="26">
        <f>IF($A488="","",IF(OR(N488="",O488=""),"",O488-N488))</f>
        <v/>
      </c>
      <c r="Q488" s="24">
        <f>IF($A488="","",IF(P488="","",(O488+N488)/2))</f>
        <v/>
      </c>
      <c r="R488" s="27">
        <f>IF($A488="","",IF(P488="","",COUNT($P$2:P488)))</f>
        <v/>
      </c>
    </row>
    <row r="489">
      <c r="J489" s="24">
        <f>IF($A489="","",IF($C489&lt;&gt;"khp_titration_mL","",IF(COUNTIFS('1_原始數據'!$A$2:$A$1000,$A489,'1_原始數據'!$B$2:$B$1000,$B489,'1_原始數據'!$D$2:$D$1000,$D489,'1_原始數據'!$C$2:$C$1000,"khp_mass_g")=0,"",SUMIFS('1_原始數據'!$E$2:$E$1000,'1_原始數據'!$A$2:$A$1000,$A489,'1_原始數據'!$B$2:$B$1000,$B489,'1_原始數據'!$D$2:$D$1000,$D489,'1_原始數據'!$C$2:$C$1000,"khp_mass_g")/('2_NaOH標定'!$C$5*$E489/1000))))</f>
        <v/>
      </c>
      <c r="K489" s="24">
        <f>IF($A489="","",IF($C489&lt;&gt;"manual_titration_mL","",IF(COUNTIFS('1_原始數據'!$A$2:$A$1000,$A489,'1_原始數據'!$C$2:$C$1000,"khp_titration_mL")=0,"",AVERAGEIFS('1_原始數據'!$J$2:$J$1000,'1_原始數據'!$A$2:$A$1000,$A489,'1_原始數據'!$C$2:$C$1000,"khp_titration_mL"))))</f>
        <v/>
      </c>
      <c r="L489" s="25">
        <f>IF($A489="","",IF($C489&lt;&gt;"manual_titration_mL","",IFERROR(INDEX('3_可滴定酸度'!$E$6:$E$13,MATCH($I489,'3_可滴定酸度'!$B$6:$B$13,0)),"")))</f>
        <v/>
      </c>
      <c r="M489" s="25">
        <f>IF($A489="","",IF($C489&lt;&gt;"manual_titration_mL","",IFERROR(INDEX('3_可滴定酸度'!$F$6:$F$13,MATCH($I489,'3_可滴定酸度'!$B$6:$B$13,0)),"")))</f>
        <v/>
      </c>
      <c r="N489" s="24">
        <f>IF($A489="","",IF(OR(K489="",L489="",M489=""),"",K489*E489*L489/(M489*1000)*100))</f>
        <v/>
      </c>
      <c r="O489" s="24">
        <f>IF($A489="","",IF(N489="","",IF(COUNTIFS('1_原始數據'!$A$2:$A$1000,$A489,'1_原始數據'!$B$2:$B$1000,$B489,'1_原始數據'!$D$2:$D$1000,$D489,'1_原始數據'!$I$2:$I$1000,$I489,'1_原始數據'!$C$2:$C$1000,"pasco_pct_acid")=0,"",SUMIFS('1_原始數據'!$E$2:$E$1000,'1_原始數據'!$A$2:$A$1000,$A489,'1_原始數據'!$B$2:$B$1000,$B489,'1_原始數據'!$D$2:$D$1000,$D489,'1_原始數據'!$I$2:$I$1000,$I489,'1_原始數據'!$C$2:$C$1000,"pasco_pct_acid"))))</f>
        <v/>
      </c>
      <c r="P489" s="26">
        <f>IF($A489="","",IF(OR(N489="",O489=""),"",O489-N489))</f>
        <v/>
      </c>
      <c r="Q489" s="24">
        <f>IF($A489="","",IF(P489="","",(O489+N489)/2))</f>
        <v/>
      </c>
      <c r="R489" s="27">
        <f>IF($A489="","",IF(P489="","",COUNT($P$2:P489)))</f>
        <v/>
      </c>
    </row>
    <row r="490">
      <c r="J490" s="24">
        <f>IF($A490="","",IF($C490&lt;&gt;"khp_titration_mL","",IF(COUNTIFS('1_原始數據'!$A$2:$A$1000,$A490,'1_原始數據'!$B$2:$B$1000,$B490,'1_原始數據'!$D$2:$D$1000,$D490,'1_原始數據'!$C$2:$C$1000,"khp_mass_g")=0,"",SUMIFS('1_原始數據'!$E$2:$E$1000,'1_原始數據'!$A$2:$A$1000,$A490,'1_原始數據'!$B$2:$B$1000,$B490,'1_原始數據'!$D$2:$D$1000,$D490,'1_原始數據'!$C$2:$C$1000,"khp_mass_g")/('2_NaOH標定'!$C$5*$E490/1000))))</f>
        <v/>
      </c>
      <c r="K490" s="24">
        <f>IF($A490="","",IF($C490&lt;&gt;"manual_titration_mL","",IF(COUNTIFS('1_原始數據'!$A$2:$A$1000,$A490,'1_原始數據'!$C$2:$C$1000,"khp_titration_mL")=0,"",AVERAGEIFS('1_原始數據'!$J$2:$J$1000,'1_原始數據'!$A$2:$A$1000,$A490,'1_原始數據'!$C$2:$C$1000,"khp_titration_mL"))))</f>
        <v/>
      </c>
      <c r="L490" s="25">
        <f>IF($A490="","",IF($C490&lt;&gt;"manual_titration_mL","",IFERROR(INDEX('3_可滴定酸度'!$E$6:$E$13,MATCH($I490,'3_可滴定酸度'!$B$6:$B$13,0)),"")))</f>
        <v/>
      </c>
      <c r="M490" s="25">
        <f>IF($A490="","",IF($C490&lt;&gt;"manual_titration_mL","",IFERROR(INDEX('3_可滴定酸度'!$F$6:$F$13,MATCH($I490,'3_可滴定酸度'!$B$6:$B$13,0)),"")))</f>
        <v/>
      </c>
      <c r="N490" s="24">
        <f>IF($A490="","",IF(OR(K490="",L490="",M490=""),"",K490*E490*L490/(M490*1000)*100))</f>
        <v/>
      </c>
      <c r="O490" s="24">
        <f>IF($A490="","",IF(N490="","",IF(COUNTIFS('1_原始數據'!$A$2:$A$1000,$A490,'1_原始數據'!$B$2:$B$1000,$B490,'1_原始數據'!$D$2:$D$1000,$D490,'1_原始數據'!$I$2:$I$1000,$I490,'1_原始數據'!$C$2:$C$1000,"pasco_pct_acid")=0,"",SUMIFS('1_原始數據'!$E$2:$E$1000,'1_原始數據'!$A$2:$A$1000,$A490,'1_原始數據'!$B$2:$B$1000,$B490,'1_原始數據'!$D$2:$D$1000,$D490,'1_原始數據'!$I$2:$I$1000,$I490,'1_原始數據'!$C$2:$C$1000,"pasco_pct_acid"))))</f>
        <v/>
      </c>
      <c r="P490" s="26">
        <f>IF($A490="","",IF(OR(N490="",O490=""),"",O490-N490))</f>
        <v/>
      </c>
      <c r="Q490" s="24">
        <f>IF($A490="","",IF(P490="","",(O490+N490)/2))</f>
        <v/>
      </c>
      <c r="R490" s="27">
        <f>IF($A490="","",IF(P490="","",COUNT($P$2:P490)))</f>
        <v/>
      </c>
    </row>
    <row r="491">
      <c r="J491" s="24">
        <f>IF($A491="","",IF($C491&lt;&gt;"khp_titration_mL","",IF(COUNTIFS('1_原始數據'!$A$2:$A$1000,$A491,'1_原始數據'!$B$2:$B$1000,$B491,'1_原始數據'!$D$2:$D$1000,$D491,'1_原始數據'!$C$2:$C$1000,"khp_mass_g")=0,"",SUMIFS('1_原始數據'!$E$2:$E$1000,'1_原始數據'!$A$2:$A$1000,$A491,'1_原始數據'!$B$2:$B$1000,$B491,'1_原始數據'!$D$2:$D$1000,$D491,'1_原始數據'!$C$2:$C$1000,"khp_mass_g")/('2_NaOH標定'!$C$5*$E491/1000))))</f>
        <v/>
      </c>
      <c r="K491" s="24">
        <f>IF($A491="","",IF($C491&lt;&gt;"manual_titration_mL","",IF(COUNTIFS('1_原始數據'!$A$2:$A$1000,$A491,'1_原始數據'!$C$2:$C$1000,"khp_titration_mL")=0,"",AVERAGEIFS('1_原始數據'!$J$2:$J$1000,'1_原始數據'!$A$2:$A$1000,$A491,'1_原始數據'!$C$2:$C$1000,"khp_titration_mL"))))</f>
        <v/>
      </c>
      <c r="L491" s="25">
        <f>IF($A491="","",IF($C491&lt;&gt;"manual_titration_mL","",IFERROR(INDEX('3_可滴定酸度'!$E$6:$E$13,MATCH($I491,'3_可滴定酸度'!$B$6:$B$13,0)),"")))</f>
        <v/>
      </c>
      <c r="M491" s="25">
        <f>IF($A491="","",IF($C491&lt;&gt;"manual_titration_mL","",IFERROR(INDEX('3_可滴定酸度'!$F$6:$F$13,MATCH($I491,'3_可滴定酸度'!$B$6:$B$13,0)),"")))</f>
        <v/>
      </c>
      <c r="N491" s="24">
        <f>IF($A491="","",IF(OR(K491="",L491="",M491=""),"",K491*E491*L491/(M491*1000)*100))</f>
        <v/>
      </c>
      <c r="O491" s="24">
        <f>IF($A491="","",IF(N491="","",IF(COUNTIFS('1_原始數據'!$A$2:$A$1000,$A491,'1_原始數據'!$B$2:$B$1000,$B491,'1_原始數據'!$D$2:$D$1000,$D491,'1_原始數據'!$I$2:$I$1000,$I491,'1_原始數據'!$C$2:$C$1000,"pasco_pct_acid")=0,"",SUMIFS('1_原始數據'!$E$2:$E$1000,'1_原始數據'!$A$2:$A$1000,$A491,'1_原始數據'!$B$2:$B$1000,$B491,'1_原始數據'!$D$2:$D$1000,$D491,'1_原始數據'!$I$2:$I$1000,$I491,'1_原始數據'!$C$2:$C$1000,"pasco_pct_acid"))))</f>
        <v/>
      </c>
      <c r="P491" s="26">
        <f>IF($A491="","",IF(OR(N491="",O491=""),"",O491-N491))</f>
        <v/>
      </c>
      <c r="Q491" s="24">
        <f>IF($A491="","",IF(P491="","",(O491+N491)/2))</f>
        <v/>
      </c>
      <c r="R491" s="27">
        <f>IF($A491="","",IF(P491="","",COUNT($P$2:P491)))</f>
        <v/>
      </c>
    </row>
    <row r="492">
      <c r="J492" s="24">
        <f>IF($A492="","",IF($C492&lt;&gt;"khp_titration_mL","",IF(COUNTIFS('1_原始數據'!$A$2:$A$1000,$A492,'1_原始數據'!$B$2:$B$1000,$B492,'1_原始數據'!$D$2:$D$1000,$D492,'1_原始數據'!$C$2:$C$1000,"khp_mass_g")=0,"",SUMIFS('1_原始數據'!$E$2:$E$1000,'1_原始數據'!$A$2:$A$1000,$A492,'1_原始數據'!$B$2:$B$1000,$B492,'1_原始數據'!$D$2:$D$1000,$D492,'1_原始數據'!$C$2:$C$1000,"khp_mass_g")/('2_NaOH標定'!$C$5*$E492/1000))))</f>
        <v/>
      </c>
      <c r="K492" s="24">
        <f>IF($A492="","",IF($C492&lt;&gt;"manual_titration_mL","",IF(COUNTIFS('1_原始數據'!$A$2:$A$1000,$A492,'1_原始數據'!$C$2:$C$1000,"khp_titration_mL")=0,"",AVERAGEIFS('1_原始數據'!$J$2:$J$1000,'1_原始數據'!$A$2:$A$1000,$A492,'1_原始數據'!$C$2:$C$1000,"khp_titration_mL"))))</f>
        <v/>
      </c>
      <c r="L492" s="25">
        <f>IF($A492="","",IF($C492&lt;&gt;"manual_titration_mL","",IFERROR(INDEX('3_可滴定酸度'!$E$6:$E$13,MATCH($I492,'3_可滴定酸度'!$B$6:$B$13,0)),"")))</f>
        <v/>
      </c>
      <c r="M492" s="25">
        <f>IF($A492="","",IF($C492&lt;&gt;"manual_titration_mL","",IFERROR(INDEX('3_可滴定酸度'!$F$6:$F$13,MATCH($I492,'3_可滴定酸度'!$B$6:$B$13,0)),"")))</f>
        <v/>
      </c>
      <c r="N492" s="24">
        <f>IF($A492="","",IF(OR(K492="",L492="",M492=""),"",K492*E492*L492/(M492*1000)*100))</f>
        <v/>
      </c>
      <c r="O492" s="24">
        <f>IF($A492="","",IF(N492="","",IF(COUNTIFS('1_原始數據'!$A$2:$A$1000,$A492,'1_原始數據'!$B$2:$B$1000,$B492,'1_原始數據'!$D$2:$D$1000,$D492,'1_原始數據'!$I$2:$I$1000,$I492,'1_原始數據'!$C$2:$C$1000,"pasco_pct_acid")=0,"",SUMIFS('1_原始數據'!$E$2:$E$1000,'1_原始數據'!$A$2:$A$1000,$A492,'1_原始數據'!$B$2:$B$1000,$B492,'1_原始數據'!$D$2:$D$1000,$D492,'1_原始數據'!$I$2:$I$1000,$I492,'1_原始數據'!$C$2:$C$1000,"pasco_pct_acid"))))</f>
        <v/>
      </c>
      <c r="P492" s="26">
        <f>IF($A492="","",IF(OR(N492="",O492=""),"",O492-N492))</f>
        <v/>
      </c>
      <c r="Q492" s="24">
        <f>IF($A492="","",IF(P492="","",(O492+N492)/2))</f>
        <v/>
      </c>
      <c r="R492" s="27">
        <f>IF($A492="","",IF(P492="","",COUNT($P$2:P492)))</f>
        <v/>
      </c>
    </row>
    <row r="493">
      <c r="J493" s="24">
        <f>IF($A493="","",IF($C493&lt;&gt;"khp_titration_mL","",IF(COUNTIFS('1_原始數據'!$A$2:$A$1000,$A493,'1_原始數據'!$B$2:$B$1000,$B493,'1_原始數據'!$D$2:$D$1000,$D493,'1_原始數據'!$C$2:$C$1000,"khp_mass_g")=0,"",SUMIFS('1_原始數據'!$E$2:$E$1000,'1_原始數據'!$A$2:$A$1000,$A493,'1_原始數據'!$B$2:$B$1000,$B493,'1_原始數據'!$D$2:$D$1000,$D493,'1_原始數據'!$C$2:$C$1000,"khp_mass_g")/('2_NaOH標定'!$C$5*$E493/1000))))</f>
        <v/>
      </c>
      <c r="K493" s="24">
        <f>IF($A493="","",IF($C493&lt;&gt;"manual_titration_mL","",IF(COUNTIFS('1_原始數據'!$A$2:$A$1000,$A493,'1_原始數據'!$C$2:$C$1000,"khp_titration_mL")=0,"",AVERAGEIFS('1_原始數據'!$J$2:$J$1000,'1_原始數據'!$A$2:$A$1000,$A493,'1_原始數據'!$C$2:$C$1000,"khp_titration_mL"))))</f>
        <v/>
      </c>
      <c r="L493" s="25">
        <f>IF($A493="","",IF($C493&lt;&gt;"manual_titration_mL","",IFERROR(INDEX('3_可滴定酸度'!$E$6:$E$13,MATCH($I493,'3_可滴定酸度'!$B$6:$B$13,0)),"")))</f>
        <v/>
      </c>
      <c r="M493" s="25">
        <f>IF($A493="","",IF($C493&lt;&gt;"manual_titration_mL","",IFERROR(INDEX('3_可滴定酸度'!$F$6:$F$13,MATCH($I493,'3_可滴定酸度'!$B$6:$B$13,0)),"")))</f>
        <v/>
      </c>
      <c r="N493" s="24">
        <f>IF($A493="","",IF(OR(K493="",L493="",M493=""),"",K493*E493*L493/(M493*1000)*100))</f>
        <v/>
      </c>
      <c r="O493" s="24">
        <f>IF($A493="","",IF(N493="","",IF(COUNTIFS('1_原始數據'!$A$2:$A$1000,$A493,'1_原始數據'!$B$2:$B$1000,$B493,'1_原始數據'!$D$2:$D$1000,$D493,'1_原始數據'!$I$2:$I$1000,$I493,'1_原始數據'!$C$2:$C$1000,"pasco_pct_acid")=0,"",SUMIFS('1_原始數據'!$E$2:$E$1000,'1_原始數據'!$A$2:$A$1000,$A493,'1_原始數據'!$B$2:$B$1000,$B493,'1_原始數據'!$D$2:$D$1000,$D493,'1_原始數據'!$I$2:$I$1000,$I493,'1_原始數據'!$C$2:$C$1000,"pasco_pct_acid"))))</f>
        <v/>
      </c>
      <c r="P493" s="26">
        <f>IF($A493="","",IF(OR(N493="",O493=""),"",O493-N493))</f>
        <v/>
      </c>
      <c r="Q493" s="24">
        <f>IF($A493="","",IF(P493="","",(O493+N493)/2))</f>
        <v/>
      </c>
      <c r="R493" s="27">
        <f>IF($A493="","",IF(P493="","",COUNT($P$2:P493)))</f>
        <v/>
      </c>
    </row>
    <row r="494">
      <c r="J494" s="24">
        <f>IF($A494="","",IF($C494&lt;&gt;"khp_titration_mL","",IF(COUNTIFS('1_原始數據'!$A$2:$A$1000,$A494,'1_原始數據'!$B$2:$B$1000,$B494,'1_原始數據'!$D$2:$D$1000,$D494,'1_原始數據'!$C$2:$C$1000,"khp_mass_g")=0,"",SUMIFS('1_原始數據'!$E$2:$E$1000,'1_原始數據'!$A$2:$A$1000,$A494,'1_原始數據'!$B$2:$B$1000,$B494,'1_原始數據'!$D$2:$D$1000,$D494,'1_原始數據'!$C$2:$C$1000,"khp_mass_g")/('2_NaOH標定'!$C$5*$E494/1000))))</f>
        <v/>
      </c>
      <c r="K494" s="24">
        <f>IF($A494="","",IF($C494&lt;&gt;"manual_titration_mL","",IF(COUNTIFS('1_原始數據'!$A$2:$A$1000,$A494,'1_原始數據'!$C$2:$C$1000,"khp_titration_mL")=0,"",AVERAGEIFS('1_原始數據'!$J$2:$J$1000,'1_原始數據'!$A$2:$A$1000,$A494,'1_原始數據'!$C$2:$C$1000,"khp_titration_mL"))))</f>
        <v/>
      </c>
      <c r="L494" s="25">
        <f>IF($A494="","",IF($C494&lt;&gt;"manual_titration_mL","",IFERROR(INDEX('3_可滴定酸度'!$E$6:$E$13,MATCH($I494,'3_可滴定酸度'!$B$6:$B$13,0)),"")))</f>
        <v/>
      </c>
      <c r="M494" s="25">
        <f>IF($A494="","",IF($C494&lt;&gt;"manual_titration_mL","",IFERROR(INDEX('3_可滴定酸度'!$F$6:$F$13,MATCH($I494,'3_可滴定酸度'!$B$6:$B$13,0)),"")))</f>
        <v/>
      </c>
      <c r="N494" s="24">
        <f>IF($A494="","",IF(OR(K494="",L494="",M494=""),"",K494*E494*L494/(M494*1000)*100))</f>
        <v/>
      </c>
      <c r="O494" s="24">
        <f>IF($A494="","",IF(N494="","",IF(COUNTIFS('1_原始數據'!$A$2:$A$1000,$A494,'1_原始數據'!$B$2:$B$1000,$B494,'1_原始數據'!$D$2:$D$1000,$D494,'1_原始數據'!$I$2:$I$1000,$I494,'1_原始數據'!$C$2:$C$1000,"pasco_pct_acid")=0,"",SUMIFS('1_原始數據'!$E$2:$E$1000,'1_原始數據'!$A$2:$A$1000,$A494,'1_原始數據'!$B$2:$B$1000,$B494,'1_原始數據'!$D$2:$D$1000,$D494,'1_原始數據'!$I$2:$I$1000,$I494,'1_原始數據'!$C$2:$C$1000,"pasco_pct_acid"))))</f>
        <v/>
      </c>
      <c r="P494" s="26">
        <f>IF($A494="","",IF(OR(N494="",O494=""),"",O494-N494))</f>
        <v/>
      </c>
      <c r="Q494" s="24">
        <f>IF($A494="","",IF(P494="","",(O494+N494)/2))</f>
        <v/>
      </c>
      <c r="R494" s="27">
        <f>IF($A494="","",IF(P494="","",COUNT($P$2:P494)))</f>
        <v/>
      </c>
    </row>
    <row r="495">
      <c r="J495" s="24">
        <f>IF($A495="","",IF($C495&lt;&gt;"khp_titration_mL","",IF(COUNTIFS('1_原始數據'!$A$2:$A$1000,$A495,'1_原始數據'!$B$2:$B$1000,$B495,'1_原始數據'!$D$2:$D$1000,$D495,'1_原始數據'!$C$2:$C$1000,"khp_mass_g")=0,"",SUMIFS('1_原始數據'!$E$2:$E$1000,'1_原始數據'!$A$2:$A$1000,$A495,'1_原始數據'!$B$2:$B$1000,$B495,'1_原始數據'!$D$2:$D$1000,$D495,'1_原始數據'!$C$2:$C$1000,"khp_mass_g")/('2_NaOH標定'!$C$5*$E495/1000))))</f>
        <v/>
      </c>
      <c r="K495" s="24">
        <f>IF($A495="","",IF($C495&lt;&gt;"manual_titration_mL","",IF(COUNTIFS('1_原始數據'!$A$2:$A$1000,$A495,'1_原始數據'!$C$2:$C$1000,"khp_titration_mL")=0,"",AVERAGEIFS('1_原始數據'!$J$2:$J$1000,'1_原始數據'!$A$2:$A$1000,$A495,'1_原始數據'!$C$2:$C$1000,"khp_titration_mL"))))</f>
        <v/>
      </c>
      <c r="L495" s="25">
        <f>IF($A495="","",IF($C495&lt;&gt;"manual_titration_mL","",IFERROR(INDEX('3_可滴定酸度'!$E$6:$E$13,MATCH($I495,'3_可滴定酸度'!$B$6:$B$13,0)),"")))</f>
        <v/>
      </c>
      <c r="M495" s="25">
        <f>IF($A495="","",IF($C495&lt;&gt;"manual_titration_mL","",IFERROR(INDEX('3_可滴定酸度'!$F$6:$F$13,MATCH($I495,'3_可滴定酸度'!$B$6:$B$13,0)),"")))</f>
        <v/>
      </c>
      <c r="N495" s="24">
        <f>IF($A495="","",IF(OR(K495="",L495="",M495=""),"",K495*E495*L495/(M495*1000)*100))</f>
        <v/>
      </c>
      <c r="O495" s="24">
        <f>IF($A495="","",IF(N495="","",IF(COUNTIFS('1_原始數據'!$A$2:$A$1000,$A495,'1_原始數據'!$B$2:$B$1000,$B495,'1_原始數據'!$D$2:$D$1000,$D495,'1_原始數據'!$I$2:$I$1000,$I495,'1_原始數據'!$C$2:$C$1000,"pasco_pct_acid")=0,"",SUMIFS('1_原始數據'!$E$2:$E$1000,'1_原始數據'!$A$2:$A$1000,$A495,'1_原始數據'!$B$2:$B$1000,$B495,'1_原始數據'!$D$2:$D$1000,$D495,'1_原始數據'!$I$2:$I$1000,$I495,'1_原始數據'!$C$2:$C$1000,"pasco_pct_acid"))))</f>
        <v/>
      </c>
      <c r="P495" s="26">
        <f>IF($A495="","",IF(OR(N495="",O495=""),"",O495-N495))</f>
        <v/>
      </c>
      <c r="Q495" s="24">
        <f>IF($A495="","",IF(P495="","",(O495+N495)/2))</f>
        <v/>
      </c>
      <c r="R495" s="27">
        <f>IF($A495="","",IF(P495="","",COUNT($P$2:P495)))</f>
        <v/>
      </c>
    </row>
    <row r="496">
      <c r="J496" s="24">
        <f>IF($A496="","",IF($C496&lt;&gt;"khp_titration_mL","",IF(COUNTIFS('1_原始數據'!$A$2:$A$1000,$A496,'1_原始數據'!$B$2:$B$1000,$B496,'1_原始數據'!$D$2:$D$1000,$D496,'1_原始數據'!$C$2:$C$1000,"khp_mass_g")=0,"",SUMIFS('1_原始數據'!$E$2:$E$1000,'1_原始數據'!$A$2:$A$1000,$A496,'1_原始數據'!$B$2:$B$1000,$B496,'1_原始數據'!$D$2:$D$1000,$D496,'1_原始數據'!$C$2:$C$1000,"khp_mass_g")/('2_NaOH標定'!$C$5*$E496/1000))))</f>
        <v/>
      </c>
      <c r="K496" s="24">
        <f>IF($A496="","",IF($C496&lt;&gt;"manual_titration_mL","",IF(COUNTIFS('1_原始數據'!$A$2:$A$1000,$A496,'1_原始數據'!$C$2:$C$1000,"khp_titration_mL")=0,"",AVERAGEIFS('1_原始數據'!$J$2:$J$1000,'1_原始數據'!$A$2:$A$1000,$A496,'1_原始數據'!$C$2:$C$1000,"khp_titration_mL"))))</f>
        <v/>
      </c>
      <c r="L496" s="25">
        <f>IF($A496="","",IF($C496&lt;&gt;"manual_titration_mL","",IFERROR(INDEX('3_可滴定酸度'!$E$6:$E$13,MATCH($I496,'3_可滴定酸度'!$B$6:$B$13,0)),"")))</f>
        <v/>
      </c>
      <c r="M496" s="25">
        <f>IF($A496="","",IF($C496&lt;&gt;"manual_titration_mL","",IFERROR(INDEX('3_可滴定酸度'!$F$6:$F$13,MATCH($I496,'3_可滴定酸度'!$B$6:$B$13,0)),"")))</f>
        <v/>
      </c>
      <c r="N496" s="24">
        <f>IF($A496="","",IF(OR(K496="",L496="",M496=""),"",K496*E496*L496/(M496*1000)*100))</f>
        <v/>
      </c>
      <c r="O496" s="24">
        <f>IF($A496="","",IF(N496="","",IF(COUNTIFS('1_原始數據'!$A$2:$A$1000,$A496,'1_原始數據'!$B$2:$B$1000,$B496,'1_原始數據'!$D$2:$D$1000,$D496,'1_原始數據'!$I$2:$I$1000,$I496,'1_原始數據'!$C$2:$C$1000,"pasco_pct_acid")=0,"",SUMIFS('1_原始數據'!$E$2:$E$1000,'1_原始數據'!$A$2:$A$1000,$A496,'1_原始數據'!$B$2:$B$1000,$B496,'1_原始數據'!$D$2:$D$1000,$D496,'1_原始數據'!$I$2:$I$1000,$I496,'1_原始數據'!$C$2:$C$1000,"pasco_pct_acid"))))</f>
        <v/>
      </c>
      <c r="P496" s="26">
        <f>IF($A496="","",IF(OR(N496="",O496=""),"",O496-N496))</f>
        <v/>
      </c>
      <c r="Q496" s="24">
        <f>IF($A496="","",IF(P496="","",(O496+N496)/2))</f>
        <v/>
      </c>
      <c r="R496" s="27">
        <f>IF($A496="","",IF(P496="","",COUNT($P$2:P496)))</f>
        <v/>
      </c>
    </row>
    <row r="497">
      <c r="J497" s="24">
        <f>IF($A497="","",IF($C497&lt;&gt;"khp_titration_mL","",IF(COUNTIFS('1_原始數據'!$A$2:$A$1000,$A497,'1_原始數據'!$B$2:$B$1000,$B497,'1_原始數據'!$D$2:$D$1000,$D497,'1_原始數據'!$C$2:$C$1000,"khp_mass_g")=0,"",SUMIFS('1_原始數據'!$E$2:$E$1000,'1_原始數據'!$A$2:$A$1000,$A497,'1_原始數據'!$B$2:$B$1000,$B497,'1_原始數據'!$D$2:$D$1000,$D497,'1_原始數據'!$C$2:$C$1000,"khp_mass_g")/('2_NaOH標定'!$C$5*$E497/1000))))</f>
        <v/>
      </c>
      <c r="K497" s="24">
        <f>IF($A497="","",IF($C497&lt;&gt;"manual_titration_mL","",IF(COUNTIFS('1_原始數據'!$A$2:$A$1000,$A497,'1_原始數據'!$C$2:$C$1000,"khp_titration_mL")=0,"",AVERAGEIFS('1_原始數據'!$J$2:$J$1000,'1_原始數據'!$A$2:$A$1000,$A497,'1_原始數據'!$C$2:$C$1000,"khp_titration_mL"))))</f>
        <v/>
      </c>
      <c r="L497" s="25">
        <f>IF($A497="","",IF($C497&lt;&gt;"manual_titration_mL","",IFERROR(INDEX('3_可滴定酸度'!$E$6:$E$13,MATCH($I497,'3_可滴定酸度'!$B$6:$B$13,0)),"")))</f>
        <v/>
      </c>
      <c r="M497" s="25">
        <f>IF($A497="","",IF($C497&lt;&gt;"manual_titration_mL","",IFERROR(INDEX('3_可滴定酸度'!$F$6:$F$13,MATCH($I497,'3_可滴定酸度'!$B$6:$B$13,0)),"")))</f>
        <v/>
      </c>
      <c r="N497" s="24">
        <f>IF($A497="","",IF(OR(K497="",L497="",M497=""),"",K497*E497*L497/(M497*1000)*100))</f>
        <v/>
      </c>
      <c r="O497" s="24">
        <f>IF($A497="","",IF(N497="","",IF(COUNTIFS('1_原始數據'!$A$2:$A$1000,$A497,'1_原始數據'!$B$2:$B$1000,$B497,'1_原始數據'!$D$2:$D$1000,$D497,'1_原始數據'!$I$2:$I$1000,$I497,'1_原始數據'!$C$2:$C$1000,"pasco_pct_acid")=0,"",SUMIFS('1_原始數據'!$E$2:$E$1000,'1_原始數據'!$A$2:$A$1000,$A497,'1_原始數據'!$B$2:$B$1000,$B497,'1_原始數據'!$D$2:$D$1000,$D497,'1_原始數據'!$I$2:$I$1000,$I497,'1_原始數據'!$C$2:$C$1000,"pasco_pct_acid"))))</f>
        <v/>
      </c>
      <c r="P497" s="26">
        <f>IF($A497="","",IF(OR(N497="",O497=""),"",O497-N497))</f>
        <v/>
      </c>
      <c r="Q497" s="24">
        <f>IF($A497="","",IF(P497="","",(O497+N497)/2))</f>
        <v/>
      </c>
      <c r="R497" s="27">
        <f>IF($A497="","",IF(P497="","",COUNT($P$2:P497)))</f>
        <v/>
      </c>
    </row>
    <row r="498">
      <c r="J498" s="24">
        <f>IF($A498="","",IF($C498&lt;&gt;"khp_titration_mL","",IF(COUNTIFS('1_原始數據'!$A$2:$A$1000,$A498,'1_原始數據'!$B$2:$B$1000,$B498,'1_原始數據'!$D$2:$D$1000,$D498,'1_原始數據'!$C$2:$C$1000,"khp_mass_g")=0,"",SUMIFS('1_原始數據'!$E$2:$E$1000,'1_原始數據'!$A$2:$A$1000,$A498,'1_原始數據'!$B$2:$B$1000,$B498,'1_原始數據'!$D$2:$D$1000,$D498,'1_原始數據'!$C$2:$C$1000,"khp_mass_g")/('2_NaOH標定'!$C$5*$E498/1000))))</f>
        <v/>
      </c>
      <c r="K498" s="24">
        <f>IF($A498="","",IF($C498&lt;&gt;"manual_titration_mL","",IF(COUNTIFS('1_原始數據'!$A$2:$A$1000,$A498,'1_原始數據'!$C$2:$C$1000,"khp_titration_mL")=0,"",AVERAGEIFS('1_原始數據'!$J$2:$J$1000,'1_原始數據'!$A$2:$A$1000,$A498,'1_原始數據'!$C$2:$C$1000,"khp_titration_mL"))))</f>
        <v/>
      </c>
      <c r="L498" s="25">
        <f>IF($A498="","",IF($C498&lt;&gt;"manual_titration_mL","",IFERROR(INDEX('3_可滴定酸度'!$E$6:$E$13,MATCH($I498,'3_可滴定酸度'!$B$6:$B$13,0)),"")))</f>
        <v/>
      </c>
      <c r="M498" s="25">
        <f>IF($A498="","",IF($C498&lt;&gt;"manual_titration_mL","",IFERROR(INDEX('3_可滴定酸度'!$F$6:$F$13,MATCH($I498,'3_可滴定酸度'!$B$6:$B$13,0)),"")))</f>
        <v/>
      </c>
      <c r="N498" s="24">
        <f>IF($A498="","",IF(OR(K498="",L498="",M498=""),"",K498*E498*L498/(M498*1000)*100))</f>
        <v/>
      </c>
      <c r="O498" s="24">
        <f>IF($A498="","",IF(N498="","",IF(COUNTIFS('1_原始數據'!$A$2:$A$1000,$A498,'1_原始數據'!$B$2:$B$1000,$B498,'1_原始數據'!$D$2:$D$1000,$D498,'1_原始數據'!$I$2:$I$1000,$I498,'1_原始數據'!$C$2:$C$1000,"pasco_pct_acid")=0,"",SUMIFS('1_原始數據'!$E$2:$E$1000,'1_原始數據'!$A$2:$A$1000,$A498,'1_原始數據'!$B$2:$B$1000,$B498,'1_原始數據'!$D$2:$D$1000,$D498,'1_原始數據'!$I$2:$I$1000,$I498,'1_原始數據'!$C$2:$C$1000,"pasco_pct_acid"))))</f>
        <v/>
      </c>
      <c r="P498" s="26">
        <f>IF($A498="","",IF(OR(N498="",O498=""),"",O498-N498))</f>
        <v/>
      </c>
      <c r="Q498" s="24">
        <f>IF($A498="","",IF(P498="","",(O498+N498)/2))</f>
        <v/>
      </c>
      <c r="R498" s="27">
        <f>IF($A498="","",IF(P498="","",COUNT($P$2:P498)))</f>
        <v/>
      </c>
    </row>
    <row r="499">
      <c r="J499" s="24">
        <f>IF($A499="","",IF($C499&lt;&gt;"khp_titration_mL","",IF(COUNTIFS('1_原始數據'!$A$2:$A$1000,$A499,'1_原始數據'!$B$2:$B$1000,$B499,'1_原始數據'!$D$2:$D$1000,$D499,'1_原始數據'!$C$2:$C$1000,"khp_mass_g")=0,"",SUMIFS('1_原始數據'!$E$2:$E$1000,'1_原始數據'!$A$2:$A$1000,$A499,'1_原始數據'!$B$2:$B$1000,$B499,'1_原始數據'!$D$2:$D$1000,$D499,'1_原始數據'!$C$2:$C$1000,"khp_mass_g")/('2_NaOH標定'!$C$5*$E499/1000))))</f>
        <v/>
      </c>
      <c r="K499" s="24">
        <f>IF($A499="","",IF($C499&lt;&gt;"manual_titration_mL","",IF(COUNTIFS('1_原始數據'!$A$2:$A$1000,$A499,'1_原始數據'!$C$2:$C$1000,"khp_titration_mL")=0,"",AVERAGEIFS('1_原始數據'!$J$2:$J$1000,'1_原始數據'!$A$2:$A$1000,$A499,'1_原始數據'!$C$2:$C$1000,"khp_titration_mL"))))</f>
        <v/>
      </c>
      <c r="L499" s="25">
        <f>IF($A499="","",IF($C499&lt;&gt;"manual_titration_mL","",IFERROR(INDEX('3_可滴定酸度'!$E$6:$E$13,MATCH($I499,'3_可滴定酸度'!$B$6:$B$13,0)),"")))</f>
        <v/>
      </c>
      <c r="M499" s="25">
        <f>IF($A499="","",IF($C499&lt;&gt;"manual_titration_mL","",IFERROR(INDEX('3_可滴定酸度'!$F$6:$F$13,MATCH($I499,'3_可滴定酸度'!$B$6:$B$13,0)),"")))</f>
        <v/>
      </c>
      <c r="N499" s="24">
        <f>IF($A499="","",IF(OR(K499="",L499="",M499=""),"",K499*E499*L499/(M499*1000)*100))</f>
        <v/>
      </c>
      <c r="O499" s="24">
        <f>IF($A499="","",IF(N499="","",IF(COUNTIFS('1_原始數據'!$A$2:$A$1000,$A499,'1_原始數據'!$B$2:$B$1000,$B499,'1_原始數據'!$D$2:$D$1000,$D499,'1_原始數據'!$I$2:$I$1000,$I499,'1_原始數據'!$C$2:$C$1000,"pasco_pct_acid")=0,"",SUMIFS('1_原始數據'!$E$2:$E$1000,'1_原始數據'!$A$2:$A$1000,$A499,'1_原始數據'!$B$2:$B$1000,$B499,'1_原始數據'!$D$2:$D$1000,$D499,'1_原始數據'!$I$2:$I$1000,$I499,'1_原始數據'!$C$2:$C$1000,"pasco_pct_acid"))))</f>
        <v/>
      </c>
      <c r="P499" s="26">
        <f>IF($A499="","",IF(OR(N499="",O499=""),"",O499-N499))</f>
        <v/>
      </c>
      <c r="Q499" s="24">
        <f>IF($A499="","",IF(P499="","",(O499+N499)/2))</f>
        <v/>
      </c>
      <c r="R499" s="27">
        <f>IF($A499="","",IF(P499="","",COUNT($P$2:P499)))</f>
        <v/>
      </c>
    </row>
    <row r="500">
      <c r="J500" s="24">
        <f>IF($A500="","",IF($C500&lt;&gt;"khp_titration_mL","",IF(COUNTIFS('1_原始數據'!$A$2:$A$1000,$A500,'1_原始數據'!$B$2:$B$1000,$B500,'1_原始數據'!$D$2:$D$1000,$D500,'1_原始數據'!$C$2:$C$1000,"khp_mass_g")=0,"",SUMIFS('1_原始數據'!$E$2:$E$1000,'1_原始數據'!$A$2:$A$1000,$A500,'1_原始數據'!$B$2:$B$1000,$B500,'1_原始數據'!$D$2:$D$1000,$D500,'1_原始數據'!$C$2:$C$1000,"khp_mass_g")/('2_NaOH標定'!$C$5*$E500/1000))))</f>
        <v/>
      </c>
      <c r="K500" s="24">
        <f>IF($A500="","",IF($C500&lt;&gt;"manual_titration_mL","",IF(COUNTIFS('1_原始數據'!$A$2:$A$1000,$A500,'1_原始數據'!$C$2:$C$1000,"khp_titration_mL")=0,"",AVERAGEIFS('1_原始數據'!$J$2:$J$1000,'1_原始數據'!$A$2:$A$1000,$A500,'1_原始數據'!$C$2:$C$1000,"khp_titration_mL"))))</f>
        <v/>
      </c>
      <c r="L500" s="25">
        <f>IF($A500="","",IF($C500&lt;&gt;"manual_titration_mL","",IFERROR(INDEX('3_可滴定酸度'!$E$6:$E$13,MATCH($I500,'3_可滴定酸度'!$B$6:$B$13,0)),"")))</f>
        <v/>
      </c>
      <c r="M500" s="25">
        <f>IF($A500="","",IF($C500&lt;&gt;"manual_titration_mL","",IFERROR(INDEX('3_可滴定酸度'!$F$6:$F$13,MATCH($I500,'3_可滴定酸度'!$B$6:$B$13,0)),"")))</f>
        <v/>
      </c>
      <c r="N500" s="24">
        <f>IF($A500="","",IF(OR(K500="",L500="",M500=""),"",K500*E500*L500/(M500*1000)*100))</f>
        <v/>
      </c>
      <c r="O500" s="24">
        <f>IF($A500="","",IF(N500="","",IF(COUNTIFS('1_原始數據'!$A$2:$A$1000,$A500,'1_原始數據'!$B$2:$B$1000,$B500,'1_原始數據'!$D$2:$D$1000,$D500,'1_原始數據'!$I$2:$I$1000,$I500,'1_原始數據'!$C$2:$C$1000,"pasco_pct_acid")=0,"",SUMIFS('1_原始數據'!$E$2:$E$1000,'1_原始數據'!$A$2:$A$1000,$A500,'1_原始數據'!$B$2:$B$1000,$B500,'1_原始數據'!$D$2:$D$1000,$D500,'1_原始數據'!$I$2:$I$1000,$I500,'1_原始數據'!$C$2:$C$1000,"pasco_pct_acid"))))</f>
        <v/>
      </c>
      <c r="P500" s="26">
        <f>IF($A500="","",IF(OR(N500="",O500=""),"",O500-N500))</f>
        <v/>
      </c>
      <c r="Q500" s="24">
        <f>IF($A500="","",IF(P500="","",(O500+N500)/2))</f>
        <v/>
      </c>
      <c r="R500" s="27">
        <f>IF($A500="","",IF(P500="","",COUNT($P$2:P500)))</f>
        <v/>
      </c>
    </row>
    <row r="501">
      <c r="J501" s="24">
        <f>IF($A501="","",IF($C501&lt;&gt;"khp_titration_mL","",IF(COUNTIFS('1_原始數據'!$A$2:$A$1000,$A501,'1_原始數據'!$B$2:$B$1000,$B501,'1_原始數據'!$D$2:$D$1000,$D501,'1_原始數據'!$C$2:$C$1000,"khp_mass_g")=0,"",SUMIFS('1_原始數據'!$E$2:$E$1000,'1_原始數據'!$A$2:$A$1000,$A501,'1_原始數據'!$B$2:$B$1000,$B501,'1_原始數據'!$D$2:$D$1000,$D501,'1_原始數據'!$C$2:$C$1000,"khp_mass_g")/('2_NaOH標定'!$C$5*$E501/1000))))</f>
        <v/>
      </c>
      <c r="K501" s="24">
        <f>IF($A501="","",IF($C501&lt;&gt;"manual_titration_mL","",IF(COUNTIFS('1_原始數據'!$A$2:$A$1000,$A501,'1_原始數據'!$C$2:$C$1000,"khp_titration_mL")=0,"",AVERAGEIFS('1_原始數據'!$J$2:$J$1000,'1_原始數據'!$A$2:$A$1000,$A501,'1_原始數據'!$C$2:$C$1000,"khp_titration_mL"))))</f>
        <v/>
      </c>
      <c r="L501" s="25">
        <f>IF($A501="","",IF($C501&lt;&gt;"manual_titration_mL","",IFERROR(INDEX('3_可滴定酸度'!$E$6:$E$13,MATCH($I501,'3_可滴定酸度'!$B$6:$B$13,0)),"")))</f>
        <v/>
      </c>
      <c r="M501" s="25">
        <f>IF($A501="","",IF($C501&lt;&gt;"manual_titration_mL","",IFERROR(INDEX('3_可滴定酸度'!$F$6:$F$13,MATCH($I501,'3_可滴定酸度'!$B$6:$B$13,0)),"")))</f>
        <v/>
      </c>
      <c r="N501" s="24">
        <f>IF($A501="","",IF(OR(K501="",L501="",M501=""),"",K501*E501*L501/(M501*1000)*100))</f>
        <v/>
      </c>
      <c r="O501" s="24">
        <f>IF($A501="","",IF(N501="","",IF(COUNTIFS('1_原始數據'!$A$2:$A$1000,$A501,'1_原始數據'!$B$2:$B$1000,$B501,'1_原始數據'!$D$2:$D$1000,$D501,'1_原始數據'!$I$2:$I$1000,$I501,'1_原始數據'!$C$2:$C$1000,"pasco_pct_acid")=0,"",SUMIFS('1_原始數據'!$E$2:$E$1000,'1_原始數據'!$A$2:$A$1000,$A501,'1_原始數據'!$B$2:$B$1000,$B501,'1_原始數據'!$D$2:$D$1000,$D501,'1_原始數據'!$I$2:$I$1000,$I501,'1_原始數據'!$C$2:$C$1000,"pasco_pct_acid"))))</f>
        <v/>
      </c>
      <c r="P501" s="26">
        <f>IF($A501="","",IF(OR(N501="",O501=""),"",O501-N501))</f>
        <v/>
      </c>
      <c r="Q501" s="24">
        <f>IF($A501="","",IF(P501="","",(O501+N501)/2))</f>
        <v/>
      </c>
      <c r="R501" s="27">
        <f>IF($A501="","",IF(P501="","",COUNT($P$2:P501)))</f>
        <v/>
      </c>
    </row>
    <row r="502">
      <c r="J502" s="24">
        <f>IF($A502="","",IF($C502&lt;&gt;"khp_titration_mL","",IF(COUNTIFS('1_原始數據'!$A$2:$A$1000,$A502,'1_原始數據'!$B$2:$B$1000,$B502,'1_原始數據'!$D$2:$D$1000,$D502,'1_原始數據'!$C$2:$C$1000,"khp_mass_g")=0,"",SUMIFS('1_原始數據'!$E$2:$E$1000,'1_原始數據'!$A$2:$A$1000,$A502,'1_原始數據'!$B$2:$B$1000,$B502,'1_原始數據'!$D$2:$D$1000,$D502,'1_原始數據'!$C$2:$C$1000,"khp_mass_g")/('2_NaOH標定'!$C$5*$E502/1000))))</f>
        <v/>
      </c>
      <c r="K502" s="24">
        <f>IF($A502="","",IF($C502&lt;&gt;"manual_titration_mL","",IF(COUNTIFS('1_原始數據'!$A$2:$A$1000,$A502,'1_原始數據'!$C$2:$C$1000,"khp_titration_mL")=0,"",AVERAGEIFS('1_原始數據'!$J$2:$J$1000,'1_原始數據'!$A$2:$A$1000,$A502,'1_原始數據'!$C$2:$C$1000,"khp_titration_mL"))))</f>
        <v/>
      </c>
      <c r="L502" s="25">
        <f>IF($A502="","",IF($C502&lt;&gt;"manual_titration_mL","",IFERROR(INDEX('3_可滴定酸度'!$E$6:$E$13,MATCH($I502,'3_可滴定酸度'!$B$6:$B$13,0)),"")))</f>
        <v/>
      </c>
      <c r="M502" s="25">
        <f>IF($A502="","",IF($C502&lt;&gt;"manual_titration_mL","",IFERROR(INDEX('3_可滴定酸度'!$F$6:$F$13,MATCH($I502,'3_可滴定酸度'!$B$6:$B$13,0)),"")))</f>
        <v/>
      </c>
      <c r="N502" s="24">
        <f>IF($A502="","",IF(OR(K502="",L502="",M502=""),"",K502*E502*L502/(M502*1000)*100))</f>
        <v/>
      </c>
      <c r="O502" s="24">
        <f>IF($A502="","",IF(N502="","",IF(COUNTIFS('1_原始數據'!$A$2:$A$1000,$A502,'1_原始數據'!$B$2:$B$1000,$B502,'1_原始數據'!$D$2:$D$1000,$D502,'1_原始數據'!$I$2:$I$1000,$I502,'1_原始數據'!$C$2:$C$1000,"pasco_pct_acid")=0,"",SUMIFS('1_原始數據'!$E$2:$E$1000,'1_原始數據'!$A$2:$A$1000,$A502,'1_原始數據'!$B$2:$B$1000,$B502,'1_原始數據'!$D$2:$D$1000,$D502,'1_原始數據'!$I$2:$I$1000,$I502,'1_原始數據'!$C$2:$C$1000,"pasco_pct_acid"))))</f>
        <v/>
      </c>
      <c r="P502" s="26">
        <f>IF($A502="","",IF(OR(N502="",O502=""),"",O502-N502))</f>
        <v/>
      </c>
      <c r="Q502" s="24">
        <f>IF($A502="","",IF(P502="","",(O502+N502)/2))</f>
        <v/>
      </c>
      <c r="R502" s="27">
        <f>IF($A502="","",IF(P502="","",COUNT($P$2:P502)))</f>
        <v/>
      </c>
    </row>
    <row r="503">
      <c r="J503" s="24">
        <f>IF($A503="","",IF($C503&lt;&gt;"khp_titration_mL","",IF(COUNTIFS('1_原始數據'!$A$2:$A$1000,$A503,'1_原始數據'!$B$2:$B$1000,$B503,'1_原始數據'!$D$2:$D$1000,$D503,'1_原始數據'!$C$2:$C$1000,"khp_mass_g")=0,"",SUMIFS('1_原始數據'!$E$2:$E$1000,'1_原始數據'!$A$2:$A$1000,$A503,'1_原始數據'!$B$2:$B$1000,$B503,'1_原始數據'!$D$2:$D$1000,$D503,'1_原始數據'!$C$2:$C$1000,"khp_mass_g")/('2_NaOH標定'!$C$5*$E503/1000))))</f>
        <v/>
      </c>
      <c r="K503" s="24">
        <f>IF($A503="","",IF($C503&lt;&gt;"manual_titration_mL","",IF(COUNTIFS('1_原始數據'!$A$2:$A$1000,$A503,'1_原始數據'!$C$2:$C$1000,"khp_titration_mL")=0,"",AVERAGEIFS('1_原始數據'!$J$2:$J$1000,'1_原始數據'!$A$2:$A$1000,$A503,'1_原始數據'!$C$2:$C$1000,"khp_titration_mL"))))</f>
        <v/>
      </c>
      <c r="L503" s="25">
        <f>IF($A503="","",IF($C503&lt;&gt;"manual_titration_mL","",IFERROR(INDEX('3_可滴定酸度'!$E$6:$E$13,MATCH($I503,'3_可滴定酸度'!$B$6:$B$13,0)),"")))</f>
        <v/>
      </c>
      <c r="M503" s="25">
        <f>IF($A503="","",IF($C503&lt;&gt;"manual_titration_mL","",IFERROR(INDEX('3_可滴定酸度'!$F$6:$F$13,MATCH($I503,'3_可滴定酸度'!$B$6:$B$13,0)),"")))</f>
        <v/>
      </c>
      <c r="N503" s="24">
        <f>IF($A503="","",IF(OR(K503="",L503="",M503=""),"",K503*E503*L503/(M503*1000)*100))</f>
        <v/>
      </c>
      <c r="O503" s="24">
        <f>IF($A503="","",IF(N503="","",IF(COUNTIFS('1_原始數據'!$A$2:$A$1000,$A503,'1_原始數據'!$B$2:$B$1000,$B503,'1_原始數據'!$D$2:$D$1000,$D503,'1_原始數據'!$I$2:$I$1000,$I503,'1_原始數據'!$C$2:$C$1000,"pasco_pct_acid")=0,"",SUMIFS('1_原始數據'!$E$2:$E$1000,'1_原始數據'!$A$2:$A$1000,$A503,'1_原始數據'!$B$2:$B$1000,$B503,'1_原始數據'!$D$2:$D$1000,$D503,'1_原始數據'!$I$2:$I$1000,$I503,'1_原始數據'!$C$2:$C$1000,"pasco_pct_acid"))))</f>
        <v/>
      </c>
      <c r="P503" s="26">
        <f>IF($A503="","",IF(OR(N503="",O503=""),"",O503-N503))</f>
        <v/>
      </c>
      <c r="Q503" s="24">
        <f>IF($A503="","",IF(P503="","",(O503+N503)/2))</f>
        <v/>
      </c>
      <c r="R503" s="27">
        <f>IF($A503="","",IF(P503="","",COUNT($P$2:P503)))</f>
        <v/>
      </c>
    </row>
    <row r="504">
      <c r="J504" s="24">
        <f>IF($A504="","",IF($C504&lt;&gt;"khp_titration_mL","",IF(COUNTIFS('1_原始數據'!$A$2:$A$1000,$A504,'1_原始數據'!$B$2:$B$1000,$B504,'1_原始數據'!$D$2:$D$1000,$D504,'1_原始數據'!$C$2:$C$1000,"khp_mass_g")=0,"",SUMIFS('1_原始數據'!$E$2:$E$1000,'1_原始數據'!$A$2:$A$1000,$A504,'1_原始數據'!$B$2:$B$1000,$B504,'1_原始數據'!$D$2:$D$1000,$D504,'1_原始數據'!$C$2:$C$1000,"khp_mass_g")/('2_NaOH標定'!$C$5*$E504/1000))))</f>
        <v/>
      </c>
      <c r="K504" s="24">
        <f>IF($A504="","",IF($C504&lt;&gt;"manual_titration_mL","",IF(COUNTIFS('1_原始數據'!$A$2:$A$1000,$A504,'1_原始數據'!$C$2:$C$1000,"khp_titration_mL")=0,"",AVERAGEIFS('1_原始數據'!$J$2:$J$1000,'1_原始數據'!$A$2:$A$1000,$A504,'1_原始數據'!$C$2:$C$1000,"khp_titration_mL"))))</f>
        <v/>
      </c>
      <c r="L504" s="25">
        <f>IF($A504="","",IF($C504&lt;&gt;"manual_titration_mL","",IFERROR(INDEX('3_可滴定酸度'!$E$6:$E$13,MATCH($I504,'3_可滴定酸度'!$B$6:$B$13,0)),"")))</f>
        <v/>
      </c>
      <c r="M504" s="25">
        <f>IF($A504="","",IF($C504&lt;&gt;"manual_titration_mL","",IFERROR(INDEX('3_可滴定酸度'!$F$6:$F$13,MATCH($I504,'3_可滴定酸度'!$B$6:$B$13,0)),"")))</f>
        <v/>
      </c>
      <c r="N504" s="24">
        <f>IF($A504="","",IF(OR(K504="",L504="",M504=""),"",K504*E504*L504/(M504*1000)*100))</f>
        <v/>
      </c>
      <c r="O504" s="24">
        <f>IF($A504="","",IF(N504="","",IF(COUNTIFS('1_原始數據'!$A$2:$A$1000,$A504,'1_原始數據'!$B$2:$B$1000,$B504,'1_原始數據'!$D$2:$D$1000,$D504,'1_原始數據'!$I$2:$I$1000,$I504,'1_原始數據'!$C$2:$C$1000,"pasco_pct_acid")=0,"",SUMIFS('1_原始數據'!$E$2:$E$1000,'1_原始數據'!$A$2:$A$1000,$A504,'1_原始數據'!$B$2:$B$1000,$B504,'1_原始數據'!$D$2:$D$1000,$D504,'1_原始數據'!$I$2:$I$1000,$I504,'1_原始數據'!$C$2:$C$1000,"pasco_pct_acid"))))</f>
        <v/>
      </c>
      <c r="P504" s="26">
        <f>IF($A504="","",IF(OR(N504="",O504=""),"",O504-N504))</f>
        <v/>
      </c>
      <c r="Q504" s="24">
        <f>IF($A504="","",IF(P504="","",(O504+N504)/2))</f>
        <v/>
      </c>
      <c r="R504" s="27">
        <f>IF($A504="","",IF(P504="","",COUNT($P$2:P504)))</f>
        <v/>
      </c>
    </row>
    <row r="505">
      <c r="J505" s="24">
        <f>IF($A505="","",IF($C505&lt;&gt;"khp_titration_mL","",IF(COUNTIFS('1_原始數據'!$A$2:$A$1000,$A505,'1_原始數據'!$B$2:$B$1000,$B505,'1_原始數據'!$D$2:$D$1000,$D505,'1_原始數據'!$C$2:$C$1000,"khp_mass_g")=0,"",SUMIFS('1_原始數據'!$E$2:$E$1000,'1_原始數據'!$A$2:$A$1000,$A505,'1_原始數據'!$B$2:$B$1000,$B505,'1_原始數據'!$D$2:$D$1000,$D505,'1_原始數據'!$C$2:$C$1000,"khp_mass_g")/('2_NaOH標定'!$C$5*$E505/1000))))</f>
        <v/>
      </c>
      <c r="K505" s="24">
        <f>IF($A505="","",IF($C505&lt;&gt;"manual_titration_mL","",IF(COUNTIFS('1_原始數據'!$A$2:$A$1000,$A505,'1_原始數據'!$C$2:$C$1000,"khp_titration_mL")=0,"",AVERAGEIFS('1_原始數據'!$J$2:$J$1000,'1_原始數據'!$A$2:$A$1000,$A505,'1_原始數據'!$C$2:$C$1000,"khp_titration_mL"))))</f>
        <v/>
      </c>
      <c r="L505" s="25">
        <f>IF($A505="","",IF($C505&lt;&gt;"manual_titration_mL","",IFERROR(INDEX('3_可滴定酸度'!$E$6:$E$13,MATCH($I505,'3_可滴定酸度'!$B$6:$B$13,0)),"")))</f>
        <v/>
      </c>
      <c r="M505" s="25">
        <f>IF($A505="","",IF($C505&lt;&gt;"manual_titration_mL","",IFERROR(INDEX('3_可滴定酸度'!$F$6:$F$13,MATCH($I505,'3_可滴定酸度'!$B$6:$B$13,0)),"")))</f>
        <v/>
      </c>
      <c r="N505" s="24">
        <f>IF($A505="","",IF(OR(K505="",L505="",M505=""),"",K505*E505*L505/(M505*1000)*100))</f>
        <v/>
      </c>
      <c r="O505" s="24">
        <f>IF($A505="","",IF(N505="","",IF(COUNTIFS('1_原始數據'!$A$2:$A$1000,$A505,'1_原始數據'!$B$2:$B$1000,$B505,'1_原始數據'!$D$2:$D$1000,$D505,'1_原始數據'!$I$2:$I$1000,$I505,'1_原始數據'!$C$2:$C$1000,"pasco_pct_acid")=0,"",SUMIFS('1_原始數據'!$E$2:$E$1000,'1_原始數據'!$A$2:$A$1000,$A505,'1_原始數據'!$B$2:$B$1000,$B505,'1_原始數據'!$D$2:$D$1000,$D505,'1_原始數據'!$I$2:$I$1000,$I505,'1_原始數據'!$C$2:$C$1000,"pasco_pct_acid"))))</f>
        <v/>
      </c>
      <c r="P505" s="26">
        <f>IF($A505="","",IF(OR(N505="",O505=""),"",O505-N505))</f>
        <v/>
      </c>
      <c r="Q505" s="24">
        <f>IF($A505="","",IF(P505="","",(O505+N505)/2))</f>
        <v/>
      </c>
      <c r="R505" s="27">
        <f>IF($A505="","",IF(P505="","",COUNT($P$2:P505)))</f>
        <v/>
      </c>
    </row>
    <row r="506">
      <c r="J506" s="24">
        <f>IF($A506="","",IF($C506&lt;&gt;"khp_titration_mL","",IF(COUNTIFS('1_原始數據'!$A$2:$A$1000,$A506,'1_原始數據'!$B$2:$B$1000,$B506,'1_原始數據'!$D$2:$D$1000,$D506,'1_原始數據'!$C$2:$C$1000,"khp_mass_g")=0,"",SUMIFS('1_原始數據'!$E$2:$E$1000,'1_原始數據'!$A$2:$A$1000,$A506,'1_原始數據'!$B$2:$B$1000,$B506,'1_原始數據'!$D$2:$D$1000,$D506,'1_原始數據'!$C$2:$C$1000,"khp_mass_g")/('2_NaOH標定'!$C$5*$E506/1000))))</f>
        <v/>
      </c>
      <c r="K506" s="24">
        <f>IF($A506="","",IF($C506&lt;&gt;"manual_titration_mL","",IF(COUNTIFS('1_原始數據'!$A$2:$A$1000,$A506,'1_原始數據'!$C$2:$C$1000,"khp_titration_mL")=0,"",AVERAGEIFS('1_原始數據'!$J$2:$J$1000,'1_原始數據'!$A$2:$A$1000,$A506,'1_原始數據'!$C$2:$C$1000,"khp_titration_mL"))))</f>
        <v/>
      </c>
      <c r="L506" s="25">
        <f>IF($A506="","",IF($C506&lt;&gt;"manual_titration_mL","",IFERROR(INDEX('3_可滴定酸度'!$E$6:$E$13,MATCH($I506,'3_可滴定酸度'!$B$6:$B$13,0)),"")))</f>
        <v/>
      </c>
      <c r="M506" s="25">
        <f>IF($A506="","",IF($C506&lt;&gt;"manual_titration_mL","",IFERROR(INDEX('3_可滴定酸度'!$F$6:$F$13,MATCH($I506,'3_可滴定酸度'!$B$6:$B$13,0)),"")))</f>
        <v/>
      </c>
      <c r="N506" s="24">
        <f>IF($A506="","",IF(OR(K506="",L506="",M506=""),"",K506*E506*L506/(M506*1000)*100))</f>
        <v/>
      </c>
      <c r="O506" s="24">
        <f>IF($A506="","",IF(N506="","",IF(COUNTIFS('1_原始數據'!$A$2:$A$1000,$A506,'1_原始數據'!$B$2:$B$1000,$B506,'1_原始數據'!$D$2:$D$1000,$D506,'1_原始數據'!$I$2:$I$1000,$I506,'1_原始數據'!$C$2:$C$1000,"pasco_pct_acid")=0,"",SUMIFS('1_原始數據'!$E$2:$E$1000,'1_原始數據'!$A$2:$A$1000,$A506,'1_原始數據'!$B$2:$B$1000,$B506,'1_原始數據'!$D$2:$D$1000,$D506,'1_原始數據'!$I$2:$I$1000,$I506,'1_原始數據'!$C$2:$C$1000,"pasco_pct_acid"))))</f>
        <v/>
      </c>
      <c r="P506" s="26">
        <f>IF($A506="","",IF(OR(N506="",O506=""),"",O506-N506))</f>
        <v/>
      </c>
      <c r="Q506" s="24">
        <f>IF($A506="","",IF(P506="","",(O506+N506)/2))</f>
        <v/>
      </c>
      <c r="R506" s="27">
        <f>IF($A506="","",IF(P506="","",COUNT($P$2:P506)))</f>
        <v/>
      </c>
    </row>
    <row r="507">
      <c r="J507" s="24">
        <f>IF($A507="","",IF($C507&lt;&gt;"khp_titration_mL","",IF(COUNTIFS('1_原始數據'!$A$2:$A$1000,$A507,'1_原始數據'!$B$2:$B$1000,$B507,'1_原始數據'!$D$2:$D$1000,$D507,'1_原始數據'!$C$2:$C$1000,"khp_mass_g")=0,"",SUMIFS('1_原始數據'!$E$2:$E$1000,'1_原始數據'!$A$2:$A$1000,$A507,'1_原始數據'!$B$2:$B$1000,$B507,'1_原始數據'!$D$2:$D$1000,$D507,'1_原始數據'!$C$2:$C$1000,"khp_mass_g")/('2_NaOH標定'!$C$5*$E507/1000))))</f>
        <v/>
      </c>
      <c r="K507" s="24">
        <f>IF($A507="","",IF($C507&lt;&gt;"manual_titration_mL","",IF(COUNTIFS('1_原始數據'!$A$2:$A$1000,$A507,'1_原始數據'!$C$2:$C$1000,"khp_titration_mL")=0,"",AVERAGEIFS('1_原始數據'!$J$2:$J$1000,'1_原始數據'!$A$2:$A$1000,$A507,'1_原始數據'!$C$2:$C$1000,"khp_titration_mL"))))</f>
        <v/>
      </c>
      <c r="L507" s="25">
        <f>IF($A507="","",IF($C507&lt;&gt;"manual_titration_mL","",IFERROR(INDEX('3_可滴定酸度'!$E$6:$E$13,MATCH($I507,'3_可滴定酸度'!$B$6:$B$13,0)),"")))</f>
        <v/>
      </c>
      <c r="M507" s="25">
        <f>IF($A507="","",IF($C507&lt;&gt;"manual_titration_mL","",IFERROR(INDEX('3_可滴定酸度'!$F$6:$F$13,MATCH($I507,'3_可滴定酸度'!$B$6:$B$13,0)),"")))</f>
        <v/>
      </c>
      <c r="N507" s="24">
        <f>IF($A507="","",IF(OR(K507="",L507="",M507=""),"",K507*E507*L507/(M507*1000)*100))</f>
        <v/>
      </c>
      <c r="O507" s="24">
        <f>IF($A507="","",IF(N507="","",IF(COUNTIFS('1_原始數據'!$A$2:$A$1000,$A507,'1_原始數據'!$B$2:$B$1000,$B507,'1_原始數據'!$D$2:$D$1000,$D507,'1_原始數據'!$I$2:$I$1000,$I507,'1_原始數據'!$C$2:$C$1000,"pasco_pct_acid")=0,"",SUMIFS('1_原始數據'!$E$2:$E$1000,'1_原始數據'!$A$2:$A$1000,$A507,'1_原始數據'!$B$2:$B$1000,$B507,'1_原始數據'!$D$2:$D$1000,$D507,'1_原始數據'!$I$2:$I$1000,$I507,'1_原始數據'!$C$2:$C$1000,"pasco_pct_acid"))))</f>
        <v/>
      </c>
      <c r="P507" s="26">
        <f>IF($A507="","",IF(OR(N507="",O507=""),"",O507-N507))</f>
        <v/>
      </c>
      <c r="Q507" s="24">
        <f>IF($A507="","",IF(P507="","",(O507+N507)/2))</f>
        <v/>
      </c>
      <c r="R507" s="27">
        <f>IF($A507="","",IF(P507="","",COUNT($P$2:P507)))</f>
        <v/>
      </c>
    </row>
    <row r="508">
      <c r="J508" s="24">
        <f>IF($A508="","",IF($C508&lt;&gt;"khp_titration_mL","",IF(COUNTIFS('1_原始數據'!$A$2:$A$1000,$A508,'1_原始數據'!$B$2:$B$1000,$B508,'1_原始數據'!$D$2:$D$1000,$D508,'1_原始數據'!$C$2:$C$1000,"khp_mass_g")=0,"",SUMIFS('1_原始數據'!$E$2:$E$1000,'1_原始數據'!$A$2:$A$1000,$A508,'1_原始數據'!$B$2:$B$1000,$B508,'1_原始數據'!$D$2:$D$1000,$D508,'1_原始數據'!$C$2:$C$1000,"khp_mass_g")/('2_NaOH標定'!$C$5*$E508/1000))))</f>
        <v/>
      </c>
      <c r="K508" s="24">
        <f>IF($A508="","",IF($C508&lt;&gt;"manual_titration_mL","",IF(COUNTIFS('1_原始數據'!$A$2:$A$1000,$A508,'1_原始數據'!$C$2:$C$1000,"khp_titration_mL")=0,"",AVERAGEIFS('1_原始數據'!$J$2:$J$1000,'1_原始數據'!$A$2:$A$1000,$A508,'1_原始數據'!$C$2:$C$1000,"khp_titration_mL"))))</f>
        <v/>
      </c>
      <c r="L508" s="25">
        <f>IF($A508="","",IF($C508&lt;&gt;"manual_titration_mL","",IFERROR(INDEX('3_可滴定酸度'!$E$6:$E$13,MATCH($I508,'3_可滴定酸度'!$B$6:$B$13,0)),"")))</f>
        <v/>
      </c>
      <c r="M508" s="25">
        <f>IF($A508="","",IF($C508&lt;&gt;"manual_titration_mL","",IFERROR(INDEX('3_可滴定酸度'!$F$6:$F$13,MATCH($I508,'3_可滴定酸度'!$B$6:$B$13,0)),"")))</f>
        <v/>
      </c>
      <c r="N508" s="24">
        <f>IF($A508="","",IF(OR(K508="",L508="",M508=""),"",K508*E508*L508/(M508*1000)*100))</f>
        <v/>
      </c>
      <c r="O508" s="24">
        <f>IF($A508="","",IF(N508="","",IF(COUNTIFS('1_原始數據'!$A$2:$A$1000,$A508,'1_原始數據'!$B$2:$B$1000,$B508,'1_原始數據'!$D$2:$D$1000,$D508,'1_原始數據'!$I$2:$I$1000,$I508,'1_原始數據'!$C$2:$C$1000,"pasco_pct_acid")=0,"",SUMIFS('1_原始數據'!$E$2:$E$1000,'1_原始數據'!$A$2:$A$1000,$A508,'1_原始數據'!$B$2:$B$1000,$B508,'1_原始數據'!$D$2:$D$1000,$D508,'1_原始數據'!$I$2:$I$1000,$I508,'1_原始數據'!$C$2:$C$1000,"pasco_pct_acid"))))</f>
        <v/>
      </c>
      <c r="P508" s="26">
        <f>IF($A508="","",IF(OR(N508="",O508=""),"",O508-N508))</f>
        <v/>
      </c>
      <c r="Q508" s="24">
        <f>IF($A508="","",IF(P508="","",(O508+N508)/2))</f>
        <v/>
      </c>
      <c r="R508" s="27">
        <f>IF($A508="","",IF(P508="","",COUNT($P$2:P508)))</f>
        <v/>
      </c>
    </row>
    <row r="509">
      <c r="J509" s="24">
        <f>IF($A509="","",IF($C509&lt;&gt;"khp_titration_mL","",IF(COUNTIFS('1_原始數據'!$A$2:$A$1000,$A509,'1_原始數據'!$B$2:$B$1000,$B509,'1_原始數據'!$D$2:$D$1000,$D509,'1_原始數據'!$C$2:$C$1000,"khp_mass_g")=0,"",SUMIFS('1_原始數據'!$E$2:$E$1000,'1_原始數據'!$A$2:$A$1000,$A509,'1_原始數據'!$B$2:$B$1000,$B509,'1_原始數據'!$D$2:$D$1000,$D509,'1_原始數據'!$C$2:$C$1000,"khp_mass_g")/('2_NaOH標定'!$C$5*$E509/1000))))</f>
        <v/>
      </c>
      <c r="K509" s="24">
        <f>IF($A509="","",IF($C509&lt;&gt;"manual_titration_mL","",IF(COUNTIFS('1_原始數據'!$A$2:$A$1000,$A509,'1_原始數據'!$C$2:$C$1000,"khp_titration_mL")=0,"",AVERAGEIFS('1_原始數據'!$J$2:$J$1000,'1_原始數據'!$A$2:$A$1000,$A509,'1_原始數據'!$C$2:$C$1000,"khp_titration_mL"))))</f>
        <v/>
      </c>
      <c r="L509" s="25">
        <f>IF($A509="","",IF($C509&lt;&gt;"manual_titration_mL","",IFERROR(INDEX('3_可滴定酸度'!$E$6:$E$13,MATCH($I509,'3_可滴定酸度'!$B$6:$B$13,0)),"")))</f>
        <v/>
      </c>
      <c r="M509" s="25">
        <f>IF($A509="","",IF($C509&lt;&gt;"manual_titration_mL","",IFERROR(INDEX('3_可滴定酸度'!$F$6:$F$13,MATCH($I509,'3_可滴定酸度'!$B$6:$B$13,0)),"")))</f>
        <v/>
      </c>
      <c r="N509" s="24">
        <f>IF($A509="","",IF(OR(K509="",L509="",M509=""),"",K509*E509*L509/(M509*1000)*100))</f>
        <v/>
      </c>
      <c r="O509" s="24">
        <f>IF($A509="","",IF(N509="","",IF(COUNTIFS('1_原始數據'!$A$2:$A$1000,$A509,'1_原始數據'!$B$2:$B$1000,$B509,'1_原始數據'!$D$2:$D$1000,$D509,'1_原始數據'!$I$2:$I$1000,$I509,'1_原始數據'!$C$2:$C$1000,"pasco_pct_acid")=0,"",SUMIFS('1_原始數據'!$E$2:$E$1000,'1_原始數據'!$A$2:$A$1000,$A509,'1_原始數據'!$B$2:$B$1000,$B509,'1_原始數據'!$D$2:$D$1000,$D509,'1_原始數據'!$I$2:$I$1000,$I509,'1_原始數據'!$C$2:$C$1000,"pasco_pct_acid"))))</f>
        <v/>
      </c>
      <c r="P509" s="26">
        <f>IF($A509="","",IF(OR(N509="",O509=""),"",O509-N509))</f>
        <v/>
      </c>
      <c r="Q509" s="24">
        <f>IF($A509="","",IF(P509="","",(O509+N509)/2))</f>
        <v/>
      </c>
      <c r="R509" s="27">
        <f>IF($A509="","",IF(P509="","",COUNT($P$2:P509)))</f>
        <v/>
      </c>
    </row>
    <row r="510">
      <c r="J510" s="24">
        <f>IF($A510="","",IF($C510&lt;&gt;"khp_titration_mL","",IF(COUNTIFS('1_原始數據'!$A$2:$A$1000,$A510,'1_原始數據'!$B$2:$B$1000,$B510,'1_原始數據'!$D$2:$D$1000,$D510,'1_原始數據'!$C$2:$C$1000,"khp_mass_g")=0,"",SUMIFS('1_原始數據'!$E$2:$E$1000,'1_原始數據'!$A$2:$A$1000,$A510,'1_原始數據'!$B$2:$B$1000,$B510,'1_原始數據'!$D$2:$D$1000,$D510,'1_原始數據'!$C$2:$C$1000,"khp_mass_g")/('2_NaOH標定'!$C$5*$E510/1000))))</f>
        <v/>
      </c>
      <c r="K510" s="24">
        <f>IF($A510="","",IF($C510&lt;&gt;"manual_titration_mL","",IF(COUNTIFS('1_原始數據'!$A$2:$A$1000,$A510,'1_原始數據'!$C$2:$C$1000,"khp_titration_mL")=0,"",AVERAGEIFS('1_原始數據'!$J$2:$J$1000,'1_原始數據'!$A$2:$A$1000,$A510,'1_原始數據'!$C$2:$C$1000,"khp_titration_mL"))))</f>
        <v/>
      </c>
      <c r="L510" s="25">
        <f>IF($A510="","",IF($C510&lt;&gt;"manual_titration_mL","",IFERROR(INDEX('3_可滴定酸度'!$E$6:$E$13,MATCH($I510,'3_可滴定酸度'!$B$6:$B$13,0)),"")))</f>
        <v/>
      </c>
      <c r="M510" s="25">
        <f>IF($A510="","",IF($C510&lt;&gt;"manual_titration_mL","",IFERROR(INDEX('3_可滴定酸度'!$F$6:$F$13,MATCH($I510,'3_可滴定酸度'!$B$6:$B$13,0)),"")))</f>
        <v/>
      </c>
      <c r="N510" s="24">
        <f>IF($A510="","",IF(OR(K510="",L510="",M510=""),"",K510*E510*L510/(M510*1000)*100))</f>
        <v/>
      </c>
      <c r="O510" s="24">
        <f>IF($A510="","",IF(N510="","",IF(COUNTIFS('1_原始數據'!$A$2:$A$1000,$A510,'1_原始數據'!$B$2:$B$1000,$B510,'1_原始數據'!$D$2:$D$1000,$D510,'1_原始數據'!$I$2:$I$1000,$I510,'1_原始數據'!$C$2:$C$1000,"pasco_pct_acid")=0,"",SUMIFS('1_原始數據'!$E$2:$E$1000,'1_原始數據'!$A$2:$A$1000,$A510,'1_原始數據'!$B$2:$B$1000,$B510,'1_原始數據'!$D$2:$D$1000,$D510,'1_原始數據'!$I$2:$I$1000,$I510,'1_原始數據'!$C$2:$C$1000,"pasco_pct_acid"))))</f>
        <v/>
      </c>
      <c r="P510" s="26">
        <f>IF($A510="","",IF(OR(N510="",O510=""),"",O510-N510))</f>
        <v/>
      </c>
      <c r="Q510" s="24">
        <f>IF($A510="","",IF(P510="","",(O510+N510)/2))</f>
        <v/>
      </c>
      <c r="R510" s="27">
        <f>IF($A510="","",IF(P510="","",COUNT($P$2:P510)))</f>
        <v/>
      </c>
    </row>
    <row r="511">
      <c r="J511" s="24">
        <f>IF($A511="","",IF($C511&lt;&gt;"khp_titration_mL","",IF(COUNTIFS('1_原始數據'!$A$2:$A$1000,$A511,'1_原始數據'!$B$2:$B$1000,$B511,'1_原始數據'!$D$2:$D$1000,$D511,'1_原始數據'!$C$2:$C$1000,"khp_mass_g")=0,"",SUMIFS('1_原始數據'!$E$2:$E$1000,'1_原始數據'!$A$2:$A$1000,$A511,'1_原始數據'!$B$2:$B$1000,$B511,'1_原始數據'!$D$2:$D$1000,$D511,'1_原始數據'!$C$2:$C$1000,"khp_mass_g")/('2_NaOH標定'!$C$5*$E511/1000))))</f>
        <v/>
      </c>
      <c r="K511" s="24">
        <f>IF($A511="","",IF($C511&lt;&gt;"manual_titration_mL","",IF(COUNTIFS('1_原始數據'!$A$2:$A$1000,$A511,'1_原始數據'!$C$2:$C$1000,"khp_titration_mL")=0,"",AVERAGEIFS('1_原始數據'!$J$2:$J$1000,'1_原始數據'!$A$2:$A$1000,$A511,'1_原始數據'!$C$2:$C$1000,"khp_titration_mL"))))</f>
        <v/>
      </c>
      <c r="L511" s="25">
        <f>IF($A511="","",IF($C511&lt;&gt;"manual_titration_mL","",IFERROR(INDEX('3_可滴定酸度'!$E$6:$E$13,MATCH($I511,'3_可滴定酸度'!$B$6:$B$13,0)),"")))</f>
        <v/>
      </c>
      <c r="M511" s="25">
        <f>IF($A511="","",IF($C511&lt;&gt;"manual_titration_mL","",IFERROR(INDEX('3_可滴定酸度'!$F$6:$F$13,MATCH($I511,'3_可滴定酸度'!$B$6:$B$13,0)),"")))</f>
        <v/>
      </c>
      <c r="N511" s="24">
        <f>IF($A511="","",IF(OR(K511="",L511="",M511=""),"",K511*E511*L511/(M511*1000)*100))</f>
        <v/>
      </c>
      <c r="O511" s="24">
        <f>IF($A511="","",IF(N511="","",IF(COUNTIFS('1_原始數據'!$A$2:$A$1000,$A511,'1_原始數據'!$B$2:$B$1000,$B511,'1_原始數據'!$D$2:$D$1000,$D511,'1_原始數據'!$I$2:$I$1000,$I511,'1_原始數據'!$C$2:$C$1000,"pasco_pct_acid")=0,"",SUMIFS('1_原始數據'!$E$2:$E$1000,'1_原始數據'!$A$2:$A$1000,$A511,'1_原始數據'!$B$2:$B$1000,$B511,'1_原始數據'!$D$2:$D$1000,$D511,'1_原始數據'!$I$2:$I$1000,$I511,'1_原始數據'!$C$2:$C$1000,"pasco_pct_acid"))))</f>
        <v/>
      </c>
      <c r="P511" s="26">
        <f>IF($A511="","",IF(OR(N511="",O511=""),"",O511-N511))</f>
        <v/>
      </c>
      <c r="Q511" s="24">
        <f>IF($A511="","",IF(P511="","",(O511+N511)/2))</f>
        <v/>
      </c>
      <c r="R511" s="27">
        <f>IF($A511="","",IF(P511="","",COUNT($P$2:P511)))</f>
        <v/>
      </c>
    </row>
    <row r="512">
      <c r="J512" s="24">
        <f>IF($A512="","",IF($C512&lt;&gt;"khp_titration_mL","",IF(COUNTIFS('1_原始數據'!$A$2:$A$1000,$A512,'1_原始數據'!$B$2:$B$1000,$B512,'1_原始數據'!$D$2:$D$1000,$D512,'1_原始數據'!$C$2:$C$1000,"khp_mass_g")=0,"",SUMIFS('1_原始數據'!$E$2:$E$1000,'1_原始數據'!$A$2:$A$1000,$A512,'1_原始數據'!$B$2:$B$1000,$B512,'1_原始數據'!$D$2:$D$1000,$D512,'1_原始數據'!$C$2:$C$1000,"khp_mass_g")/('2_NaOH標定'!$C$5*$E512/1000))))</f>
        <v/>
      </c>
      <c r="K512" s="24">
        <f>IF($A512="","",IF($C512&lt;&gt;"manual_titration_mL","",IF(COUNTIFS('1_原始數據'!$A$2:$A$1000,$A512,'1_原始數據'!$C$2:$C$1000,"khp_titration_mL")=0,"",AVERAGEIFS('1_原始數據'!$J$2:$J$1000,'1_原始數據'!$A$2:$A$1000,$A512,'1_原始數據'!$C$2:$C$1000,"khp_titration_mL"))))</f>
        <v/>
      </c>
      <c r="L512" s="25">
        <f>IF($A512="","",IF($C512&lt;&gt;"manual_titration_mL","",IFERROR(INDEX('3_可滴定酸度'!$E$6:$E$13,MATCH($I512,'3_可滴定酸度'!$B$6:$B$13,0)),"")))</f>
        <v/>
      </c>
      <c r="M512" s="25">
        <f>IF($A512="","",IF($C512&lt;&gt;"manual_titration_mL","",IFERROR(INDEX('3_可滴定酸度'!$F$6:$F$13,MATCH($I512,'3_可滴定酸度'!$B$6:$B$13,0)),"")))</f>
        <v/>
      </c>
      <c r="N512" s="24">
        <f>IF($A512="","",IF(OR(K512="",L512="",M512=""),"",K512*E512*L512/(M512*1000)*100))</f>
        <v/>
      </c>
      <c r="O512" s="24">
        <f>IF($A512="","",IF(N512="","",IF(COUNTIFS('1_原始數據'!$A$2:$A$1000,$A512,'1_原始數據'!$B$2:$B$1000,$B512,'1_原始數據'!$D$2:$D$1000,$D512,'1_原始數據'!$I$2:$I$1000,$I512,'1_原始數據'!$C$2:$C$1000,"pasco_pct_acid")=0,"",SUMIFS('1_原始數據'!$E$2:$E$1000,'1_原始數據'!$A$2:$A$1000,$A512,'1_原始數據'!$B$2:$B$1000,$B512,'1_原始數據'!$D$2:$D$1000,$D512,'1_原始數據'!$I$2:$I$1000,$I512,'1_原始數據'!$C$2:$C$1000,"pasco_pct_acid"))))</f>
        <v/>
      </c>
      <c r="P512" s="26">
        <f>IF($A512="","",IF(OR(N512="",O512=""),"",O512-N512))</f>
        <v/>
      </c>
      <c r="Q512" s="24">
        <f>IF($A512="","",IF(P512="","",(O512+N512)/2))</f>
        <v/>
      </c>
      <c r="R512" s="27">
        <f>IF($A512="","",IF(P512="","",COUNT($P$2:P512)))</f>
        <v/>
      </c>
    </row>
    <row r="513">
      <c r="J513" s="24">
        <f>IF($A513="","",IF($C513&lt;&gt;"khp_titration_mL","",IF(COUNTIFS('1_原始數據'!$A$2:$A$1000,$A513,'1_原始數據'!$B$2:$B$1000,$B513,'1_原始數據'!$D$2:$D$1000,$D513,'1_原始數據'!$C$2:$C$1000,"khp_mass_g")=0,"",SUMIFS('1_原始數據'!$E$2:$E$1000,'1_原始數據'!$A$2:$A$1000,$A513,'1_原始數據'!$B$2:$B$1000,$B513,'1_原始數據'!$D$2:$D$1000,$D513,'1_原始數據'!$C$2:$C$1000,"khp_mass_g")/('2_NaOH標定'!$C$5*$E513/1000))))</f>
        <v/>
      </c>
      <c r="K513" s="24">
        <f>IF($A513="","",IF($C513&lt;&gt;"manual_titration_mL","",IF(COUNTIFS('1_原始數據'!$A$2:$A$1000,$A513,'1_原始數據'!$C$2:$C$1000,"khp_titration_mL")=0,"",AVERAGEIFS('1_原始數據'!$J$2:$J$1000,'1_原始數據'!$A$2:$A$1000,$A513,'1_原始數據'!$C$2:$C$1000,"khp_titration_mL"))))</f>
        <v/>
      </c>
      <c r="L513" s="25">
        <f>IF($A513="","",IF($C513&lt;&gt;"manual_titration_mL","",IFERROR(INDEX('3_可滴定酸度'!$E$6:$E$13,MATCH($I513,'3_可滴定酸度'!$B$6:$B$13,0)),"")))</f>
        <v/>
      </c>
      <c r="M513" s="25">
        <f>IF($A513="","",IF($C513&lt;&gt;"manual_titration_mL","",IFERROR(INDEX('3_可滴定酸度'!$F$6:$F$13,MATCH($I513,'3_可滴定酸度'!$B$6:$B$13,0)),"")))</f>
        <v/>
      </c>
      <c r="N513" s="24">
        <f>IF($A513="","",IF(OR(K513="",L513="",M513=""),"",K513*E513*L513/(M513*1000)*100))</f>
        <v/>
      </c>
      <c r="O513" s="24">
        <f>IF($A513="","",IF(N513="","",IF(COUNTIFS('1_原始數據'!$A$2:$A$1000,$A513,'1_原始數據'!$B$2:$B$1000,$B513,'1_原始數據'!$D$2:$D$1000,$D513,'1_原始數據'!$I$2:$I$1000,$I513,'1_原始數據'!$C$2:$C$1000,"pasco_pct_acid")=0,"",SUMIFS('1_原始數據'!$E$2:$E$1000,'1_原始數據'!$A$2:$A$1000,$A513,'1_原始數據'!$B$2:$B$1000,$B513,'1_原始數據'!$D$2:$D$1000,$D513,'1_原始數據'!$I$2:$I$1000,$I513,'1_原始數據'!$C$2:$C$1000,"pasco_pct_acid"))))</f>
        <v/>
      </c>
      <c r="P513" s="26">
        <f>IF($A513="","",IF(OR(N513="",O513=""),"",O513-N513))</f>
        <v/>
      </c>
      <c r="Q513" s="24">
        <f>IF($A513="","",IF(P513="","",(O513+N513)/2))</f>
        <v/>
      </c>
      <c r="R513" s="27">
        <f>IF($A513="","",IF(P513="","",COUNT($P$2:P513)))</f>
        <v/>
      </c>
    </row>
    <row r="514">
      <c r="J514" s="24">
        <f>IF($A514="","",IF($C514&lt;&gt;"khp_titration_mL","",IF(COUNTIFS('1_原始數據'!$A$2:$A$1000,$A514,'1_原始數據'!$B$2:$B$1000,$B514,'1_原始數據'!$D$2:$D$1000,$D514,'1_原始數據'!$C$2:$C$1000,"khp_mass_g")=0,"",SUMIFS('1_原始數據'!$E$2:$E$1000,'1_原始數據'!$A$2:$A$1000,$A514,'1_原始數據'!$B$2:$B$1000,$B514,'1_原始數據'!$D$2:$D$1000,$D514,'1_原始數據'!$C$2:$C$1000,"khp_mass_g")/('2_NaOH標定'!$C$5*$E514/1000))))</f>
        <v/>
      </c>
      <c r="K514" s="24">
        <f>IF($A514="","",IF($C514&lt;&gt;"manual_titration_mL","",IF(COUNTIFS('1_原始數據'!$A$2:$A$1000,$A514,'1_原始數據'!$C$2:$C$1000,"khp_titration_mL")=0,"",AVERAGEIFS('1_原始數據'!$J$2:$J$1000,'1_原始數據'!$A$2:$A$1000,$A514,'1_原始數據'!$C$2:$C$1000,"khp_titration_mL"))))</f>
        <v/>
      </c>
      <c r="L514" s="25">
        <f>IF($A514="","",IF($C514&lt;&gt;"manual_titration_mL","",IFERROR(INDEX('3_可滴定酸度'!$E$6:$E$13,MATCH($I514,'3_可滴定酸度'!$B$6:$B$13,0)),"")))</f>
        <v/>
      </c>
      <c r="M514" s="25">
        <f>IF($A514="","",IF($C514&lt;&gt;"manual_titration_mL","",IFERROR(INDEX('3_可滴定酸度'!$F$6:$F$13,MATCH($I514,'3_可滴定酸度'!$B$6:$B$13,0)),"")))</f>
        <v/>
      </c>
      <c r="N514" s="24">
        <f>IF($A514="","",IF(OR(K514="",L514="",M514=""),"",K514*E514*L514/(M514*1000)*100))</f>
        <v/>
      </c>
      <c r="O514" s="24">
        <f>IF($A514="","",IF(N514="","",IF(COUNTIFS('1_原始數據'!$A$2:$A$1000,$A514,'1_原始數據'!$B$2:$B$1000,$B514,'1_原始數據'!$D$2:$D$1000,$D514,'1_原始數據'!$I$2:$I$1000,$I514,'1_原始數據'!$C$2:$C$1000,"pasco_pct_acid")=0,"",SUMIFS('1_原始數據'!$E$2:$E$1000,'1_原始數據'!$A$2:$A$1000,$A514,'1_原始數據'!$B$2:$B$1000,$B514,'1_原始數據'!$D$2:$D$1000,$D514,'1_原始數據'!$I$2:$I$1000,$I514,'1_原始數據'!$C$2:$C$1000,"pasco_pct_acid"))))</f>
        <v/>
      </c>
      <c r="P514" s="26">
        <f>IF($A514="","",IF(OR(N514="",O514=""),"",O514-N514))</f>
        <v/>
      </c>
      <c r="Q514" s="24">
        <f>IF($A514="","",IF(P514="","",(O514+N514)/2))</f>
        <v/>
      </c>
      <c r="R514" s="27">
        <f>IF($A514="","",IF(P514="","",COUNT($P$2:P514)))</f>
        <v/>
      </c>
    </row>
    <row r="515">
      <c r="J515" s="24">
        <f>IF($A515="","",IF($C515&lt;&gt;"khp_titration_mL","",IF(COUNTIFS('1_原始數據'!$A$2:$A$1000,$A515,'1_原始數據'!$B$2:$B$1000,$B515,'1_原始數據'!$D$2:$D$1000,$D515,'1_原始數據'!$C$2:$C$1000,"khp_mass_g")=0,"",SUMIFS('1_原始數據'!$E$2:$E$1000,'1_原始數據'!$A$2:$A$1000,$A515,'1_原始數據'!$B$2:$B$1000,$B515,'1_原始數據'!$D$2:$D$1000,$D515,'1_原始數據'!$C$2:$C$1000,"khp_mass_g")/('2_NaOH標定'!$C$5*$E515/1000))))</f>
        <v/>
      </c>
      <c r="K515" s="24">
        <f>IF($A515="","",IF($C515&lt;&gt;"manual_titration_mL","",IF(COUNTIFS('1_原始數據'!$A$2:$A$1000,$A515,'1_原始數據'!$C$2:$C$1000,"khp_titration_mL")=0,"",AVERAGEIFS('1_原始數據'!$J$2:$J$1000,'1_原始數據'!$A$2:$A$1000,$A515,'1_原始數據'!$C$2:$C$1000,"khp_titration_mL"))))</f>
        <v/>
      </c>
      <c r="L515" s="25">
        <f>IF($A515="","",IF($C515&lt;&gt;"manual_titration_mL","",IFERROR(INDEX('3_可滴定酸度'!$E$6:$E$13,MATCH($I515,'3_可滴定酸度'!$B$6:$B$13,0)),"")))</f>
        <v/>
      </c>
      <c r="M515" s="25">
        <f>IF($A515="","",IF($C515&lt;&gt;"manual_titration_mL","",IFERROR(INDEX('3_可滴定酸度'!$F$6:$F$13,MATCH($I515,'3_可滴定酸度'!$B$6:$B$13,0)),"")))</f>
        <v/>
      </c>
      <c r="N515" s="24">
        <f>IF($A515="","",IF(OR(K515="",L515="",M515=""),"",K515*E515*L515/(M515*1000)*100))</f>
        <v/>
      </c>
      <c r="O515" s="24">
        <f>IF($A515="","",IF(N515="","",IF(COUNTIFS('1_原始數據'!$A$2:$A$1000,$A515,'1_原始數據'!$B$2:$B$1000,$B515,'1_原始數據'!$D$2:$D$1000,$D515,'1_原始數據'!$I$2:$I$1000,$I515,'1_原始數據'!$C$2:$C$1000,"pasco_pct_acid")=0,"",SUMIFS('1_原始數據'!$E$2:$E$1000,'1_原始數據'!$A$2:$A$1000,$A515,'1_原始數據'!$B$2:$B$1000,$B515,'1_原始數據'!$D$2:$D$1000,$D515,'1_原始數據'!$I$2:$I$1000,$I515,'1_原始數據'!$C$2:$C$1000,"pasco_pct_acid"))))</f>
        <v/>
      </c>
      <c r="P515" s="26">
        <f>IF($A515="","",IF(OR(N515="",O515=""),"",O515-N515))</f>
        <v/>
      </c>
      <c r="Q515" s="24">
        <f>IF($A515="","",IF(P515="","",(O515+N515)/2))</f>
        <v/>
      </c>
      <c r="R515" s="27">
        <f>IF($A515="","",IF(P515="","",COUNT($P$2:P515)))</f>
        <v/>
      </c>
    </row>
    <row r="516">
      <c r="J516" s="24">
        <f>IF($A516="","",IF($C516&lt;&gt;"khp_titration_mL","",IF(COUNTIFS('1_原始數據'!$A$2:$A$1000,$A516,'1_原始數據'!$B$2:$B$1000,$B516,'1_原始數據'!$D$2:$D$1000,$D516,'1_原始數據'!$C$2:$C$1000,"khp_mass_g")=0,"",SUMIFS('1_原始數據'!$E$2:$E$1000,'1_原始數據'!$A$2:$A$1000,$A516,'1_原始數據'!$B$2:$B$1000,$B516,'1_原始數據'!$D$2:$D$1000,$D516,'1_原始數據'!$C$2:$C$1000,"khp_mass_g")/('2_NaOH標定'!$C$5*$E516/1000))))</f>
        <v/>
      </c>
      <c r="K516" s="24">
        <f>IF($A516="","",IF($C516&lt;&gt;"manual_titration_mL","",IF(COUNTIFS('1_原始數據'!$A$2:$A$1000,$A516,'1_原始數據'!$C$2:$C$1000,"khp_titration_mL")=0,"",AVERAGEIFS('1_原始數據'!$J$2:$J$1000,'1_原始數據'!$A$2:$A$1000,$A516,'1_原始數據'!$C$2:$C$1000,"khp_titration_mL"))))</f>
        <v/>
      </c>
      <c r="L516" s="25">
        <f>IF($A516="","",IF($C516&lt;&gt;"manual_titration_mL","",IFERROR(INDEX('3_可滴定酸度'!$E$6:$E$13,MATCH($I516,'3_可滴定酸度'!$B$6:$B$13,0)),"")))</f>
        <v/>
      </c>
      <c r="M516" s="25">
        <f>IF($A516="","",IF($C516&lt;&gt;"manual_titration_mL","",IFERROR(INDEX('3_可滴定酸度'!$F$6:$F$13,MATCH($I516,'3_可滴定酸度'!$B$6:$B$13,0)),"")))</f>
        <v/>
      </c>
      <c r="N516" s="24">
        <f>IF($A516="","",IF(OR(K516="",L516="",M516=""),"",K516*E516*L516/(M516*1000)*100))</f>
        <v/>
      </c>
      <c r="O516" s="24">
        <f>IF($A516="","",IF(N516="","",IF(COUNTIFS('1_原始數據'!$A$2:$A$1000,$A516,'1_原始數據'!$B$2:$B$1000,$B516,'1_原始數據'!$D$2:$D$1000,$D516,'1_原始數據'!$I$2:$I$1000,$I516,'1_原始數據'!$C$2:$C$1000,"pasco_pct_acid")=0,"",SUMIFS('1_原始數據'!$E$2:$E$1000,'1_原始數據'!$A$2:$A$1000,$A516,'1_原始數據'!$B$2:$B$1000,$B516,'1_原始數據'!$D$2:$D$1000,$D516,'1_原始數據'!$I$2:$I$1000,$I516,'1_原始數據'!$C$2:$C$1000,"pasco_pct_acid"))))</f>
        <v/>
      </c>
      <c r="P516" s="26">
        <f>IF($A516="","",IF(OR(N516="",O516=""),"",O516-N516))</f>
        <v/>
      </c>
      <c r="Q516" s="24">
        <f>IF($A516="","",IF(P516="","",(O516+N516)/2))</f>
        <v/>
      </c>
      <c r="R516" s="27">
        <f>IF($A516="","",IF(P516="","",COUNT($P$2:P516)))</f>
        <v/>
      </c>
    </row>
    <row r="517">
      <c r="J517" s="24">
        <f>IF($A517="","",IF($C517&lt;&gt;"khp_titration_mL","",IF(COUNTIFS('1_原始數據'!$A$2:$A$1000,$A517,'1_原始數據'!$B$2:$B$1000,$B517,'1_原始數據'!$D$2:$D$1000,$D517,'1_原始數據'!$C$2:$C$1000,"khp_mass_g")=0,"",SUMIFS('1_原始數據'!$E$2:$E$1000,'1_原始數據'!$A$2:$A$1000,$A517,'1_原始數據'!$B$2:$B$1000,$B517,'1_原始數據'!$D$2:$D$1000,$D517,'1_原始數據'!$C$2:$C$1000,"khp_mass_g")/('2_NaOH標定'!$C$5*$E517/1000))))</f>
        <v/>
      </c>
      <c r="K517" s="24">
        <f>IF($A517="","",IF($C517&lt;&gt;"manual_titration_mL","",IF(COUNTIFS('1_原始數據'!$A$2:$A$1000,$A517,'1_原始數據'!$C$2:$C$1000,"khp_titration_mL")=0,"",AVERAGEIFS('1_原始數據'!$J$2:$J$1000,'1_原始數據'!$A$2:$A$1000,$A517,'1_原始數據'!$C$2:$C$1000,"khp_titration_mL"))))</f>
        <v/>
      </c>
      <c r="L517" s="25">
        <f>IF($A517="","",IF($C517&lt;&gt;"manual_titration_mL","",IFERROR(INDEX('3_可滴定酸度'!$E$6:$E$13,MATCH($I517,'3_可滴定酸度'!$B$6:$B$13,0)),"")))</f>
        <v/>
      </c>
      <c r="M517" s="25">
        <f>IF($A517="","",IF($C517&lt;&gt;"manual_titration_mL","",IFERROR(INDEX('3_可滴定酸度'!$F$6:$F$13,MATCH($I517,'3_可滴定酸度'!$B$6:$B$13,0)),"")))</f>
        <v/>
      </c>
      <c r="N517" s="24">
        <f>IF($A517="","",IF(OR(K517="",L517="",M517=""),"",K517*E517*L517/(M517*1000)*100))</f>
        <v/>
      </c>
      <c r="O517" s="24">
        <f>IF($A517="","",IF(N517="","",IF(COUNTIFS('1_原始數據'!$A$2:$A$1000,$A517,'1_原始數據'!$B$2:$B$1000,$B517,'1_原始數據'!$D$2:$D$1000,$D517,'1_原始數據'!$I$2:$I$1000,$I517,'1_原始數據'!$C$2:$C$1000,"pasco_pct_acid")=0,"",SUMIFS('1_原始數據'!$E$2:$E$1000,'1_原始數據'!$A$2:$A$1000,$A517,'1_原始數據'!$B$2:$B$1000,$B517,'1_原始數據'!$D$2:$D$1000,$D517,'1_原始數據'!$I$2:$I$1000,$I517,'1_原始數據'!$C$2:$C$1000,"pasco_pct_acid"))))</f>
        <v/>
      </c>
      <c r="P517" s="26">
        <f>IF($A517="","",IF(OR(N517="",O517=""),"",O517-N517))</f>
        <v/>
      </c>
      <c r="Q517" s="24">
        <f>IF($A517="","",IF(P517="","",(O517+N517)/2))</f>
        <v/>
      </c>
      <c r="R517" s="27">
        <f>IF($A517="","",IF(P517="","",COUNT($P$2:P517)))</f>
        <v/>
      </c>
    </row>
    <row r="518">
      <c r="J518" s="24">
        <f>IF($A518="","",IF($C518&lt;&gt;"khp_titration_mL","",IF(COUNTIFS('1_原始數據'!$A$2:$A$1000,$A518,'1_原始數據'!$B$2:$B$1000,$B518,'1_原始數據'!$D$2:$D$1000,$D518,'1_原始數據'!$C$2:$C$1000,"khp_mass_g")=0,"",SUMIFS('1_原始數據'!$E$2:$E$1000,'1_原始數據'!$A$2:$A$1000,$A518,'1_原始數據'!$B$2:$B$1000,$B518,'1_原始數據'!$D$2:$D$1000,$D518,'1_原始數據'!$C$2:$C$1000,"khp_mass_g")/('2_NaOH標定'!$C$5*$E518/1000))))</f>
        <v/>
      </c>
      <c r="K518" s="24">
        <f>IF($A518="","",IF($C518&lt;&gt;"manual_titration_mL","",IF(COUNTIFS('1_原始數據'!$A$2:$A$1000,$A518,'1_原始數據'!$C$2:$C$1000,"khp_titration_mL")=0,"",AVERAGEIFS('1_原始數據'!$J$2:$J$1000,'1_原始數據'!$A$2:$A$1000,$A518,'1_原始數據'!$C$2:$C$1000,"khp_titration_mL"))))</f>
        <v/>
      </c>
      <c r="L518" s="25">
        <f>IF($A518="","",IF($C518&lt;&gt;"manual_titration_mL","",IFERROR(INDEX('3_可滴定酸度'!$E$6:$E$13,MATCH($I518,'3_可滴定酸度'!$B$6:$B$13,0)),"")))</f>
        <v/>
      </c>
      <c r="M518" s="25">
        <f>IF($A518="","",IF($C518&lt;&gt;"manual_titration_mL","",IFERROR(INDEX('3_可滴定酸度'!$F$6:$F$13,MATCH($I518,'3_可滴定酸度'!$B$6:$B$13,0)),"")))</f>
        <v/>
      </c>
      <c r="N518" s="24">
        <f>IF($A518="","",IF(OR(K518="",L518="",M518=""),"",K518*E518*L518/(M518*1000)*100))</f>
        <v/>
      </c>
      <c r="O518" s="24">
        <f>IF($A518="","",IF(N518="","",IF(COUNTIFS('1_原始數據'!$A$2:$A$1000,$A518,'1_原始數據'!$B$2:$B$1000,$B518,'1_原始數據'!$D$2:$D$1000,$D518,'1_原始數據'!$I$2:$I$1000,$I518,'1_原始數據'!$C$2:$C$1000,"pasco_pct_acid")=0,"",SUMIFS('1_原始數據'!$E$2:$E$1000,'1_原始數據'!$A$2:$A$1000,$A518,'1_原始數據'!$B$2:$B$1000,$B518,'1_原始數據'!$D$2:$D$1000,$D518,'1_原始數據'!$I$2:$I$1000,$I518,'1_原始數據'!$C$2:$C$1000,"pasco_pct_acid"))))</f>
        <v/>
      </c>
      <c r="P518" s="26">
        <f>IF($A518="","",IF(OR(N518="",O518=""),"",O518-N518))</f>
        <v/>
      </c>
      <c r="Q518" s="24">
        <f>IF($A518="","",IF(P518="","",(O518+N518)/2))</f>
        <v/>
      </c>
      <c r="R518" s="27">
        <f>IF($A518="","",IF(P518="","",COUNT($P$2:P518)))</f>
        <v/>
      </c>
    </row>
    <row r="519">
      <c r="J519" s="24">
        <f>IF($A519="","",IF($C519&lt;&gt;"khp_titration_mL","",IF(COUNTIFS('1_原始數據'!$A$2:$A$1000,$A519,'1_原始數據'!$B$2:$B$1000,$B519,'1_原始數據'!$D$2:$D$1000,$D519,'1_原始數據'!$C$2:$C$1000,"khp_mass_g")=0,"",SUMIFS('1_原始數據'!$E$2:$E$1000,'1_原始數據'!$A$2:$A$1000,$A519,'1_原始數據'!$B$2:$B$1000,$B519,'1_原始數據'!$D$2:$D$1000,$D519,'1_原始數據'!$C$2:$C$1000,"khp_mass_g")/('2_NaOH標定'!$C$5*$E519/1000))))</f>
        <v/>
      </c>
      <c r="K519" s="24">
        <f>IF($A519="","",IF($C519&lt;&gt;"manual_titration_mL","",IF(COUNTIFS('1_原始數據'!$A$2:$A$1000,$A519,'1_原始數據'!$C$2:$C$1000,"khp_titration_mL")=0,"",AVERAGEIFS('1_原始數據'!$J$2:$J$1000,'1_原始數據'!$A$2:$A$1000,$A519,'1_原始數據'!$C$2:$C$1000,"khp_titration_mL"))))</f>
        <v/>
      </c>
      <c r="L519" s="25">
        <f>IF($A519="","",IF($C519&lt;&gt;"manual_titration_mL","",IFERROR(INDEX('3_可滴定酸度'!$E$6:$E$13,MATCH($I519,'3_可滴定酸度'!$B$6:$B$13,0)),"")))</f>
        <v/>
      </c>
      <c r="M519" s="25">
        <f>IF($A519="","",IF($C519&lt;&gt;"manual_titration_mL","",IFERROR(INDEX('3_可滴定酸度'!$F$6:$F$13,MATCH($I519,'3_可滴定酸度'!$B$6:$B$13,0)),"")))</f>
        <v/>
      </c>
      <c r="N519" s="24">
        <f>IF($A519="","",IF(OR(K519="",L519="",M519=""),"",K519*E519*L519/(M519*1000)*100))</f>
        <v/>
      </c>
      <c r="O519" s="24">
        <f>IF($A519="","",IF(N519="","",IF(COUNTIFS('1_原始數據'!$A$2:$A$1000,$A519,'1_原始數據'!$B$2:$B$1000,$B519,'1_原始數據'!$D$2:$D$1000,$D519,'1_原始數據'!$I$2:$I$1000,$I519,'1_原始數據'!$C$2:$C$1000,"pasco_pct_acid")=0,"",SUMIFS('1_原始數據'!$E$2:$E$1000,'1_原始數據'!$A$2:$A$1000,$A519,'1_原始數據'!$B$2:$B$1000,$B519,'1_原始數據'!$D$2:$D$1000,$D519,'1_原始數據'!$I$2:$I$1000,$I519,'1_原始數據'!$C$2:$C$1000,"pasco_pct_acid"))))</f>
        <v/>
      </c>
      <c r="P519" s="26">
        <f>IF($A519="","",IF(OR(N519="",O519=""),"",O519-N519))</f>
        <v/>
      </c>
      <c r="Q519" s="24">
        <f>IF($A519="","",IF(P519="","",(O519+N519)/2))</f>
        <v/>
      </c>
      <c r="R519" s="27">
        <f>IF($A519="","",IF(P519="","",COUNT($P$2:P519)))</f>
        <v/>
      </c>
    </row>
    <row r="520">
      <c r="J520" s="24">
        <f>IF($A520="","",IF($C520&lt;&gt;"khp_titration_mL","",IF(COUNTIFS('1_原始數據'!$A$2:$A$1000,$A520,'1_原始數據'!$B$2:$B$1000,$B520,'1_原始數據'!$D$2:$D$1000,$D520,'1_原始數據'!$C$2:$C$1000,"khp_mass_g")=0,"",SUMIFS('1_原始數據'!$E$2:$E$1000,'1_原始數據'!$A$2:$A$1000,$A520,'1_原始數據'!$B$2:$B$1000,$B520,'1_原始數據'!$D$2:$D$1000,$D520,'1_原始數據'!$C$2:$C$1000,"khp_mass_g")/('2_NaOH標定'!$C$5*$E520/1000))))</f>
        <v/>
      </c>
      <c r="K520" s="24">
        <f>IF($A520="","",IF($C520&lt;&gt;"manual_titration_mL","",IF(COUNTIFS('1_原始數據'!$A$2:$A$1000,$A520,'1_原始數據'!$C$2:$C$1000,"khp_titration_mL")=0,"",AVERAGEIFS('1_原始數據'!$J$2:$J$1000,'1_原始數據'!$A$2:$A$1000,$A520,'1_原始數據'!$C$2:$C$1000,"khp_titration_mL"))))</f>
        <v/>
      </c>
      <c r="L520" s="25">
        <f>IF($A520="","",IF($C520&lt;&gt;"manual_titration_mL","",IFERROR(INDEX('3_可滴定酸度'!$E$6:$E$13,MATCH($I520,'3_可滴定酸度'!$B$6:$B$13,0)),"")))</f>
        <v/>
      </c>
      <c r="M520" s="25">
        <f>IF($A520="","",IF($C520&lt;&gt;"manual_titration_mL","",IFERROR(INDEX('3_可滴定酸度'!$F$6:$F$13,MATCH($I520,'3_可滴定酸度'!$B$6:$B$13,0)),"")))</f>
        <v/>
      </c>
      <c r="N520" s="24">
        <f>IF($A520="","",IF(OR(K520="",L520="",M520=""),"",K520*E520*L520/(M520*1000)*100))</f>
        <v/>
      </c>
      <c r="O520" s="24">
        <f>IF($A520="","",IF(N520="","",IF(COUNTIFS('1_原始數據'!$A$2:$A$1000,$A520,'1_原始數據'!$B$2:$B$1000,$B520,'1_原始數據'!$D$2:$D$1000,$D520,'1_原始數據'!$I$2:$I$1000,$I520,'1_原始數據'!$C$2:$C$1000,"pasco_pct_acid")=0,"",SUMIFS('1_原始數據'!$E$2:$E$1000,'1_原始數據'!$A$2:$A$1000,$A520,'1_原始數據'!$B$2:$B$1000,$B520,'1_原始數據'!$D$2:$D$1000,$D520,'1_原始數據'!$I$2:$I$1000,$I520,'1_原始數據'!$C$2:$C$1000,"pasco_pct_acid"))))</f>
        <v/>
      </c>
      <c r="P520" s="26">
        <f>IF($A520="","",IF(OR(N520="",O520=""),"",O520-N520))</f>
        <v/>
      </c>
      <c r="Q520" s="24">
        <f>IF($A520="","",IF(P520="","",(O520+N520)/2))</f>
        <v/>
      </c>
      <c r="R520" s="27">
        <f>IF($A520="","",IF(P520="","",COUNT($P$2:P520)))</f>
        <v/>
      </c>
    </row>
    <row r="521">
      <c r="J521" s="24">
        <f>IF($A521="","",IF($C521&lt;&gt;"khp_titration_mL","",IF(COUNTIFS('1_原始數據'!$A$2:$A$1000,$A521,'1_原始數據'!$B$2:$B$1000,$B521,'1_原始數據'!$D$2:$D$1000,$D521,'1_原始數據'!$C$2:$C$1000,"khp_mass_g")=0,"",SUMIFS('1_原始數據'!$E$2:$E$1000,'1_原始數據'!$A$2:$A$1000,$A521,'1_原始數據'!$B$2:$B$1000,$B521,'1_原始數據'!$D$2:$D$1000,$D521,'1_原始數據'!$C$2:$C$1000,"khp_mass_g")/('2_NaOH標定'!$C$5*$E521/1000))))</f>
        <v/>
      </c>
      <c r="K521" s="24">
        <f>IF($A521="","",IF($C521&lt;&gt;"manual_titration_mL","",IF(COUNTIFS('1_原始數據'!$A$2:$A$1000,$A521,'1_原始數據'!$C$2:$C$1000,"khp_titration_mL")=0,"",AVERAGEIFS('1_原始數據'!$J$2:$J$1000,'1_原始數據'!$A$2:$A$1000,$A521,'1_原始數據'!$C$2:$C$1000,"khp_titration_mL"))))</f>
        <v/>
      </c>
      <c r="L521" s="25">
        <f>IF($A521="","",IF($C521&lt;&gt;"manual_titration_mL","",IFERROR(INDEX('3_可滴定酸度'!$E$6:$E$13,MATCH($I521,'3_可滴定酸度'!$B$6:$B$13,0)),"")))</f>
        <v/>
      </c>
      <c r="M521" s="25">
        <f>IF($A521="","",IF($C521&lt;&gt;"manual_titration_mL","",IFERROR(INDEX('3_可滴定酸度'!$F$6:$F$13,MATCH($I521,'3_可滴定酸度'!$B$6:$B$13,0)),"")))</f>
        <v/>
      </c>
      <c r="N521" s="24">
        <f>IF($A521="","",IF(OR(K521="",L521="",M521=""),"",K521*E521*L521/(M521*1000)*100))</f>
        <v/>
      </c>
      <c r="O521" s="24">
        <f>IF($A521="","",IF(N521="","",IF(COUNTIFS('1_原始數據'!$A$2:$A$1000,$A521,'1_原始數據'!$B$2:$B$1000,$B521,'1_原始數據'!$D$2:$D$1000,$D521,'1_原始數據'!$I$2:$I$1000,$I521,'1_原始數據'!$C$2:$C$1000,"pasco_pct_acid")=0,"",SUMIFS('1_原始數據'!$E$2:$E$1000,'1_原始數據'!$A$2:$A$1000,$A521,'1_原始數據'!$B$2:$B$1000,$B521,'1_原始數據'!$D$2:$D$1000,$D521,'1_原始數據'!$I$2:$I$1000,$I521,'1_原始數據'!$C$2:$C$1000,"pasco_pct_acid"))))</f>
        <v/>
      </c>
      <c r="P521" s="26">
        <f>IF($A521="","",IF(OR(N521="",O521=""),"",O521-N521))</f>
        <v/>
      </c>
      <c r="Q521" s="24">
        <f>IF($A521="","",IF(P521="","",(O521+N521)/2))</f>
        <v/>
      </c>
      <c r="R521" s="27">
        <f>IF($A521="","",IF(P521="","",COUNT($P$2:P521)))</f>
        <v/>
      </c>
    </row>
    <row r="522">
      <c r="J522" s="24">
        <f>IF($A522="","",IF($C522&lt;&gt;"khp_titration_mL","",IF(COUNTIFS('1_原始數據'!$A$2:$A$1000,$A522,'1_原始數據'!$B$2:$B$1000,$B522,'1_原始數據'!$D$2:$D$1000,$D522,'1_原始數據'!$C$2:$C$1000,"khp_mass_g")=0,"",SUMIFS('1_原始數據'!$E$2:$E$1000,'1_原始數據'!$A$2:$A$1000,$A522,'1_原始數據'!$B$2:$B$1000,$B522,'1_原始數據'!$D$2:$D$1000,$D522,'1_原始數據'!$C$2:$C$1000,"khp_mass_g")/('2_NaOH標定'!$C$5*$E522/1000))))</f>
        <v/>
      </c>
      <c r="K522" s="24">
        <f>IF($A522="","",IF($C522&lt;&gt;"manual_titration_mL","",IF(COUNTIFS('1_原始數據'!$A$2:$A$1000,$A522,'1_原始數據'!$C$2:$C$1000,"khp_titration_mL")=0,"",AVERAGEIFS('1_原始數據'!$J$2:$J$1000,'1_原始數據'!$A$2:$A$1000,$A522,'1_原始數據'!$C$2:$C$1000,"khp_titration_mL"))))</f>
        <v/>
      </c>
      <c r="L522" s="25">
        <f>IF($A522="","",IF($C522&lt;&gt;"manual_titration_mL","",IFERROR(INDEX('3_可滴定酸度'!$E$6:$E$13,MATCH($I522,'3_可滴定酸度'!$B$6:$B$13,0)),"")))</f>
        <v/>
      </c>
      <c r="M522" s="25">
        <f>IF($A522="","",IF($C522&lt;&gt;"manual_titration_mL","",IFERROR(INDEX('3_可滴定酸度'!$F$6:$F$13,MATCH($I522,'3_可滴定酸度'!$B$6:$B$13,0)),"")))</f>
        <v/>
      </c>
      <c r="N522" s="24">
        <f>IF($A522="","",IF(OR(K522="",L522="",M522=""),"",K522*E522*L522/(M522*1000)*100))</f>
        <v/>
      </c>
      <c r="O522" s="24">
        <f>IF($A522="","",IF(N522="","",IF(COUNTIFS('1_原始數據'!$A$2:$A$1000,$A522,'1_原始數據'!$B$2:$B$1000,$B522,'1_原始數據'!$D$2:$D$1000,$D522,'1_原始數據'!$I$2:$I$1000,$I522,'1_原始數據'!$C$2:$C$1000,"pasco_pct_acid")=0,"",SUMIFS('1_原始數據'!$E$2:$E$1000,'1_原始數據'!$A$2:$A$1000,$A522,'1_原始數據'!$B$2:$B$1000,$B522,'1_原始數據'!$D$2:$D$1000,$D522,'1_原始數據'!$I$2:$I$1000,$I522,'1_原始數據'!$C$2:$C$1000,"pasco_pct_acid"))))</f>
        <v/>
      </c>
      <c r="P522" s="26">
        <f>IF($A522="","",IF(OR(N522="",O522=""),"",O522-N522))</f>
        <v/>
      </c>
      <c r="Q522" s="24">
        <f>IF($A522="","",IF(P522="","",(O522+N522)/2))</f>
        <v/>
      </c>
      <c r="R522" s="27">
        <f>IF($A522="","",IF(P522="","",COUNT($P$2:P522)))</f>
        <v/>
      </c>
    </row>
    <row r="523">
      <c r="J523" s="24">
        <f>IF($A523="","",IF($C523&lt;&gt;"khp_titration_mL","",IF(COUNTIFS('1_原始數據'!$A$2:$A$1000,$A523,'1_原始數據'!$B$2:$B$1000,$B523,'1_原始數據'!$D$2:$D$1000,$D523,'1_原始數據'!$C$2:$C$1000,"khp_mass_g")=0,"",SUMIFS('1_原始數據'!$E$2:$E$1000,'1_原始數據'!$A$2:$A$1000,$A523,'1_原始數據'!$B$2:$B$1000,$B523,'1_原始數據'!$D$2:$D$1000,$D523,'1_原始數據'!$C$2:$C$1000,"khp_mass_g")/('2_NaOH標定'!$C$5*$E523/1000))))</f>
        <v/>
      </c>
      <c r="K523" s="24">
        <f>IF($A523="","",IF($C523&lt;&gt;"manual_titration_mL","",IF(COUNTIFS('1_原始數據'!$A$2:$A$1000,$A523,'1_原始數據'!$C$2:$C$1000,"khp_titration_mL")=0,"",AVERAGEIFS('1_原始數據'!$J$2:$J$1000,'1_原始數據'!$A$2:$A$1000,$A523,'1_原始數據'!$C$2:$C$1000,"khp_titration_mL"))))</f>
        <v/>
      </c>
      <c r="L523" s="25">
        <f>IF($A523="","",IF($C523&lt;&gt;"manual_titration_mL","",IFERROR(INDEX('3_可滴定酸度'!$E$6:$E$13,MATCH($I523,'3_可滴定酸度'!$B$6:$B$13,0)),"")))</f>
        <v/>
      </c>
      <c r="M523" s="25">
        <f>IF($A523="","",IF($C523&lt;&gt;"manual_titration_mL","",IFERROR(INDEX('3_可滴定酸度'!$F$6:$F$13,MATCH($I523,'3_可滴定酸度'!$B$6:$B$13,0)),"")))</f>
        <v/>
      </c>
      <c r="N523" s="24">
        <f>IF($A523="","",IF(OR(K523="",L523="",M523=""),"",K523*E523*L523/(M523*1000)*100))</f>
        <v/>
      </c>
      <c r="O523" s="24">
        <f>IF($A523="","",IF(N523="","",IF(COUNTIFS('1_原始數據'!$A$2:$A$1000,$A523,'1_原始數據'!$B$2:$B$1000,$B523,'1_原始數據'!$D$2:$D$1000,$D523,'1_原始數據'!$I$2:$I$1000,$I523,'1_原始數據'!$C$2:$C$1000,"pasco_pct_acid")=0,"",SUMIFS('1_原始數據'!$E$2:$E$1000,'1_原始數據'!$A$2:$A$1000,$A523,'1_原始數據'!$B$2:$B$1000,$B523,'1_原始數據'!$D$2:$D$1000,$D523,'1_原始數據'!$I$2:$I$1000,$I523,'1_原始數據'!$C$2:$C$1000,"pasco_pct_acid"))))</f>
        <v/>
      </c>
      <c r="P523" s="26">
        <f>IF($A523="","",IF(OR(N523="",O523=""),"",O523-N523))</f>
        <v/>
      </c>
      <c r="Q523" s="24">
        <f>IF($A523="","",IF(P523="","",(O523+N523)/2))</f>
        <v/>
      </c>
      <c r="R523" s="27">
        <f>IF($A523="","",IF(P523="","",COUNT($P$2:P523)))</f>
        <v/>
      </c>
    </row>
    <row r="524">
      <c r="J524" s="24">
        <f>IF($A524="","",IF($C524&lt;&gt;"khp_titration_mL","",IF(COUNTIFS('1_原始數據'!$A$2:$A$1000,$A524,'1_原始數據'!$B$2:$B$1000,$B524,'1_原始數據'!$D$2:$D$1000,$D524,'1_原始數據'!$C$2:$C$1000,"khp_mass_g")=0,"",SUMIFS('1_原始數據'!$E$2:$E$1000,'1_原始數據'!$A$2:$A$1000,$A524,'1_原始數據'!$B$2:$B$1000,$B524,'1_原始數據'!$D$2:$D$1000,$D524,'1_原始數據'!$C$2:$C$1000,"khp_mass_g")/('2_NaOH標定'!$C$5*$E524/1000))))</f>
        <v/>
      </c>
      <c r="K524" s="24">
        <f>IF($A524="","",IF($C524&lt;&gt;"manual_titration_mL","",IF(COUNTIFS('1_原始數據'!$A$2:$A$1000,$A524,'1_原始數據'!$C$2:$C$1000,"khp_titration_mL")=0,"",AVERAGEIFS('1_原始數據'!$J$2:$J$1000,'1_原始數據'!$A$2:$A$1000,$A524,'1_原始數據'!$C$2:$C$1000,"khp_titration_mL"))))</f>
        <v/>
      </c>
      <c r="L524" s="25">
        <f>IF($A524="","",IF($C524&lt;&gt;"manual_titration_mL","",IFERROR(INDEX('3_可滴定酸度'!$E$6:$E$13,MATCH($I524,'3_可滴定酸度'!$B$6:$B$13,0)),"")))</f>
        <v/>
      </c>
      <c r="M524" s="25">
        <f>IF($A524="","",IF($C524&lt;&gt;"manual_titration_mL","",IFERROR(INDEX('3_可滴定酸度'!$F$6:$F$13,MATCH($I524,'3_可滴定酸度'!$B$6:$B$13,0)),"")))</f>
        <v/>
      </c>
      <c r="N524" s="24">
        <f>IF($A524="","",IF(OR(K524="",L524="",M524=""),"",K524*E524*L524/(M524*1000)*100))</f>
        <v/>
      </c>
      <c r="O524" s="24">
        <f>IF($A524="","",IF(N524="","",IF(COUNTIFS('1_原始數據'!$A$2:$A$1000,$A524,'1_原始數據'!$B$2:$B$1000,$B524,'1_原始數據'!$D$2:$D$1000,$D524,'1_原始數據'!$I$2:$I$1000,$I524,'1_原始數據'!$C$2:$C$1000,"pasco_pct_acid")=0,"",SUMIFS('1_原始數據'!$E$2:$E$1000,'1_原始數據'!$A$2:$A$1000,$A524,'1_原始數據'!$B$2:$B$1000,$B524,'1_原始數據'!$D$2:$D$1000,$D524,'1_原始數據'!$I$2:$I$1000,$I524,'1_原始數據'!$C$2:$C$1000,"pasco_pct_acid"))))</f>
        <v/>
      </c>
      <c r="P524" s="26">
        <f>IF($A524="","",IF(OR(N524="",O524=""),"",O524-N524))</f>
        <v/>
      </c>
      <c r="Q524" s="24">
        <f>IF($A524="","",IF(P524="","",(O524+N524)/2))</f>
        <v/>
      </c>
      <c r="R524" s="27">
        <f>IF($A524="","",IF(P524="","",COUNT($P$2:P524)))</f>
        <v/>
      </c>
    </row>
    <row r="525">
      <c r="J525" s="24">
        <f>IF($A525="","",IF($C525&lt;&gt;"khp_titration_mL","",IF(COUNTIFS('1_原始數據'!$A$2:$A$1000,$A525,'1_原始數據'!$B$2:$B$1000,$B525,'1_原始數據'!$D$2:$D$1000,$D525,'1_原始數據'!$C$2:$C$1000,"khp_mass_g")=0,"",SUMIFS('1_原始數據'!$E$2:$E$1000,'1_原始數據'!$A$2:$A$1000,$A525,'1_原始數據'!$B$2:$B$1000,$B525,'1_原始數據'!$D$2:$D$1000,$D525,'1_原始數據'!$C$2:$C$1000,"khp_mass_g")/('2_NaOH標定'!$C$5*$E525/1000))))</f>
        <v/>
      </c>
      <c r="K525" s="24">
        <f>IF($A525="","",IF($C525&lt;&gt;"manual_titration_mL","",IF(COUNTIFS('1_原始數據'!$A$2:$A$1000,$A525,'1_原始數據'!$C$2:$C$1000,"khp_titration_mL")=0,"",AVERAGEIFS('1_原始數據'!$J$2:$J$1000,'1_原始數據'!$A$2:$A$1000,$A525,'1_原始數據'!$C$2:$C$1000,"khp_titration_mL"))))</f>
        <v/>
      </c>
      <c r="L525" s="25">
        <f>IF($A525="","",IF($C525&lt;&gt;"manual_titration_mL","",IFERROR(INDEX('3_可滴定酸度'!$E$6:$E$13,MATCH($I525,'3_可滴定酸度'!$B$6:$B$13,0)),"")))</f>
        <v/>
      </c>
      <c r="M525" s="25">
        <f>IF($A525="","",IF($C525&lt;&gt;"manual_titration_mL","",IFERROR(INDEX('3_可滴定酸度'!$F$6:$F$13,MATCH($I525,'3_可滴定酸度'!$B$6:$B$13,0)),"")))</f>
        <v/>
      </c>
      <c r="N525" s="24">
        <f>IF($A525="","",IF(OR(K525="",L525="",M525=""),"",K525*E525*L525/(M525*1000)*100))</f>
        <v/>
      </c>
      <c r="O525" s="24">
        <f>IF($A525="","",IF(N525="","",IF(COUNTIFS('1_原始數據'!$A$2:$A$1000,$A525,'1_原始數據'!$B$2:$B$1000,$B525,'1_原始數據'!$D$2:$D$1000,$D525,'1_原始數據'!$I$2:$I$1000,$I525,'1_原始數據'!$C$2:$C$1000,"pasco_pct_acid")=0,"",SUMIFS('1_原始數據'!$E$2:$E$1000,'1_原始數據'!$A$2:$A$1000,$A525,'1_原始數據'!$B$2:$B$1000,$B525,'1_原始數據'!$D$2:$D$1000,$D525,'1_原始數據'!$I$2:$I$1000,$I525,'1_原始數據'!$C$2:$C$1000,"pasco_pct_acid"))))</f>
        <v/>
      </c>
      <c r="P525" s="26">
        <f>IF($A525="","",IF(OR(N525="",O525=""),"",O525-N525))</f>
        <v/>
      </c>
      <c r="Q525" s="24">
        <f>IF($A525="","",IF(P525="","",(O525+N525)/2))</f>
        <v/>
      </c>
      <c r="R525" s="27">
        <f>IF($A525="","",IF(P525="","",COUNT($P$2:P525)))</f>
        <v/>
      </c>
    </row>
    <row r="526">
      <c r="J526" s="24">
        <f>IF($A526="","",IF($C526&lt;&gt;"khp_titration_mL","",IF(COUNTIFS('1_原始數據'!$A$2:$A$1000,$A526,'1_原始數據'!$B$2:$B$1000,$B526,'1_原始數據'!$D$2:$D$1000,$D526,'1_原始數據'!$C$2:$C$1000,"khp_mass_g")=0,"",SUMIFS('1_原始數據'!$E$2:$E$1000,'1_原始數據'!$A$2:$A$1000,$A526,'1_原始數據'!$B$2:$B$1000,$B526,'1_原始數據'!$D$2:$D$1000,$D526,'1_原始數據'!$C$2:$C$1000,"khp_mass_g")/('2_NaOH標定'!$C$5*$E526/1000))))</f>
        <v/>
      </c>
      <c r="K526" s="24">
        <f>IF($A526="","",IF($C526&lt;&gt;"manual_titration_mL","",IF(COUNTIFS('1_原始數據'!$A$2:$A$1000,$A526,'1_原始數據'!$C$2:$C$1000,"khp_titration_mL")=0,"",AVERAGEIFS('1_原始數據'!$J$2:$J$1000,'1_原始數據'!$A$2:$A$1000,$A526,'1_原始數據'!$C$2:$C$1000,"khp_titration_mL"))))</f>
        <v/>
      </c>
      <c r="L526" s="25">
        <f>IF($A526="","",IF($C526&lt;&gt;"manual_titration_mL","",IFERROR(INDEX('3_可滴定酸度'!$E$6:$E$13,MATCH($I526,'3_可滴定酸度'!$B$6:$B$13,0)),"")))</f>
        <v/>
      </c>
      <c r="M526" s="25">
        <f>IF($A526="","",IF($C526&lt;&gt;"manual_titration_mL","",IFERROR(INDEX('3_可滴定酸度'!$F$6:$F$13,MATCH($I526,'3_可滴定酸度'!$B$6:$B$13,0)),"")))</f>
        <v/>
      </c>
      <c r="N526" s="24">
        <f>IF($A526="","",IF(OR(K526="",L526="",M526=""),"",K526*E526*L526/(M526*1000)*100))</f>
        <v/>
      </c>
      <c r="O526" s="24">
        <f>IF($A526="","",IF(N526="","",IF(COUNTIFS('1_原始數據'!$A$2:$A$1000,$A526,'1_原始數據'!$B$2:$B$1000,$B526,'1_原始數據'!$D$2:$D$1000,$D526,'1_原始數據'!$I$2:$I$1000,$I526,'1_原始數據'!$C$2:$C$1000,"pasco_pct_acid")=0,"",SUMIFS('1_原始數據'!$E$2:$E$1000,'1_原始數據'!$A$2:$A$1000,$A526,'1_原始數據'!$B$2:$B$1000,$B526,'1_原始數據'!$D$2:$D$1000,$D526,'1_原始數據'!$I$2:$I$1000,$I526,'1_原始數據'!$C$2:$C$1000,"pasco_pct_acid"))))</f>
        <v/>
      </c>
      <c r="P526" s="26">
        <f>IF($A526="","",IF(OR(N526="",O526=""),"",O526-N526))</f>
        <v/>
      </c>
      <c r="Q526" s="24">
        <f>IF($A526="","",IF(P526="","",(O526+N526)/2))</f>
        <v/>
      </c>
      <c r="R526" s="27">
        <f>IF($A526="","",IF(P526="","",COUNT($P$2:P526)))</f>
        <v/>
      </c>
    </row>
    <row r="527">
      <c r="J527" s="24">
        <f>IF($A527="","",IF($C527&lt;&gt;"khp_titration_mL","",IF(COUNTIFS('1_原始數據'!$A$2:$A$1000,$A527,'1_原始數據'!$B$2:$B$1000,$B527,'1_原始數據'!$D$2:$D$1000,$D527,'1_原始數據'!$C$2:$C$1000,"khp_mass_g")=0,"",SUMIFS('1_原始數據'!$E$2:$E$1000,'1_原始數據'!$A$2:$A$1000,$A527,'1_原始數據'!$B$2:$B$1000,$B527,'1_原始數據'!$D$2:$D$1000,$D527,'1_原始數據'!$C$2:$C$1000,"khp_mass_g")/('2_NaOH標定'!$C$5*$E527/1000))))</f>
        <v/>
      </c>
      <c r="K527" s="24">
        <f>IF($A527="","",IF($C527&lt;&gt;"manual_titration_mL","",IF(COUNTIFS('1_原始數據'!$A$2:$A$1000,$A527,'1_原始數據'!$C$2:$C$1000,"khp_titration_mL")=0,"",AVERAGEIFS('1_原始數據'!$J$2:$J$1000,'1_原始數據'!$A$2:$A$1000,$A527,'1_原始數據'!$C$2:$C$1000,"khp_titration_mL"))))</f>
        <v/>
      </c>
      <c r="L527" s="25">
        <f>IF($A527="","",IF($C527&lt;&gt;"manual_titration_mL","",IFERROR(INDEX('3_可滴定酸度'!$E$6:$E$13,MATCH($I527,'3_可滴定酸度'!$B$6:$B$13,0)),"")))</f>
        <v/>
      </c>
      <c r="M527" s="25">
        <f>IF($A527="","",IF($C527&lt;&gt;"manual_titration_mL","",IFERROR(INDEX('3_可滴定酸度'!$F$6:$F$13,MATCH($I527,'3_可滴定酸度'!$B$6:$B$13,0)),"")))</f>
        <v/>
      </c>
      <c r="N527" s="24">
        <f>IF($A527="","",IF(OR(K527="",L527="",M527=""),"",K527*E527*L527/(M527*1000)*100))</f>
        <v/>
      </c>
      <c r="O527" s="24">
        <f>IF($A527="","",IF(N527="","",IF(COUNTIFS('1_原始數據'!$A$2:$A$1000,$A527,'1_原始數據'!$B$2:$B$1000,$B527,'1_原始數據'!$D$2:$D$1000,$D527,'1_原始數據'!$I$2:$I$1000,$I527,'1_原始數據'!$C$2:$C$1000,"pasco_pct_acid")=0,"",SUMIFS('1_原始數據'!$E$2:$E$1000,'1_原始數據'!$A$2:$A$1000,$A527,'1_原始數據'!$B$2:$B$1000,$B527,'1_原始數據'!$D$2:$D$1000,$D527,'1_原始數據'!$I$2:$I$1000,$I527,'1_原始數據'!$C$2:$C$1000,"pasco_pct_acid"))))</f>
        <v/>
      </c>
      <c r="P527" s="26">
        <f>IF($A527="","",IF(OR(N527="",O527=""),"",O527-N527))</f>
        <v/>
      </c>
      <c r="Q527" s="24">
        <f>IF($A527="","",IF(P527="","",(O527+N527)/2))</f>
        <v/>
      </c>
      <c r="R527" s="27">
        <f>IF($A527="","",IF(P527="","",COUNT($P$2:P527)))</f>
        <v/>
      </c>
    </row>
    <row r="528">
      <c r="J528" s="24">
        <f>IF($A528="","",IF($C528&lt;&gt;"khp_titration_mL","",IF(COUNTIFS('1_原始數據'!$A$2:$A$1000,$A528,'1_原始數據'!$B$2:$B$1000,$B528,'1_原始數據'!$D$2:$D$1000,$D528,'1_原始數據'!$C$2:$C$1000,"khp_mass_g")=0,"",SUMIFS('1_原始數據'!$E$2:$E$1000,'1_原始數據'!$A$2:$A$1000,$A528,'1_原始數據'!$B$2:$B$1000,$B528,'1_原始數據'!$D$2:$D$1000,$D528,'1_原始數據'!$C$2:$C$1000,"khp_mass_g")/('2_NaOH標定'!$C$5*$E528/1000))))</f>
        <v/>
      </c>
      <c r="K528" s="24">
        <f>IF($A528="","",IF($C528&lt;&gt;"manual_titration_mL","",IF(COUNTIFS('1_原始數據'!$A$2:$A$1000,$A528,'1_原始數據'!$C$2:$C$1000,"khp_titration_mL")=0,"",AVERAGEIFS('1_原始數據'!$J$2:$J$1000,'1_原始數據'!$A$2:$A$1000,$A528,'1_原始數據'!$C$2:$C$1000,"khp_titration_mL"))))</f>
        <v/>
      </c>
      <c r="L528" s="25">
        <f>IF($A528="","",IF($C528&lt;&gt;"manual_titration_mL","",IFERROR(INDEX('3_可滴定酸度'!$E$6:$E$13,MATCH($I528,'3_可滴定酸度'!$B$6:$B$13,0)),"")))</f>
        <v/>
      </c>
      <c r="M528" s="25">
        <f>IF($A528="","",IF($C528&lt;&gt;"manual_titration_mL","",IFERROR(INDEX('3_可滴定酸度'!$F$6:$F$13,MATCH($I528,'3_可滴定酸度'!$B$6:$B$13,0)),"")))</f>
        <v/>
      </c>
      <c r="N528" s="24">
        <f>IF($A528="","",IF(OR(K528="",L528="",M528=""),"",K528*E528*L528/(M528*1000)*100))</f>
        <v/>
      </c>
      <c r="O528" s="24">
        <f>IF($A528="","",IF(N528="","",IF(COUNTIFS('1_原始數據'!$A$2:$A$1000,$A528,'1_原始數據'!$B$2:$B$1000,$B528,'1_原始數據'!$D$2:$D$1000,$D528,'1_原始數據'!$I$2:$I$1000,$I528,'1_原始數據'!$C$2:$C$1000,"pasco_pct_acid")=0,"",SUMIFS('1_原始數據'!$E$2:$E$1000,'1_原始數據'!$A$2:$A$1000,$A528,'1_原始數據'!$B$2:$B$1000,$B528,'1_原始數據'!$D$2:$D$1000,$D528,'1_原始數據'!$I$2:$I$1000,$I528,'1_原始數據'!$C$2:$C$1000,"pasco_pct_acid"))))</f>
        <v/>
      </c>
      <c r="P528" s="26">
        <f>IF($A528="","",IF(OR(N528="",O528=""),"",O528-N528))</f>
        <v/>
      </c>
      <c r="Q528" s="24">
        <f>IF($A528="","",IF(P528="","",(O528+N528)/2))</f>
        <v/>
      </c>
      <c r="R528" s="27">
        <f>IF($A528="","",IF(P528="","",COUNT($P$2:P528)))</f>
        <v/>
      </c>
    </row>
    <row r="529">
      <c r="J529" s="24">
        <f>IF($A529="","",IF($C529&lt;&gt;"khp_titration_mL","",IF(COUNTIFS('1_原始數據'!$A$2:$A$1000,$A529,'1_原始數據'!$B$2:$B$1000,$B529,'1_原始數據'!$D$2:$D$1000,$D529,'1_原始數據'!$C$2:$C$1000,"khp_mass_g")=0,"",SUMIFS('1_原始數據'!$E$2:$E$1000,'1_原始數據'!$A$2:$A$1000,$A529,'1_原始數據'!$B$2:$B$1000,$B529,'1_原始數據'!$D$2:$D$1000,$D529,'1_原始數據'!$C$2:$C$1000,"khp_mass_g")/('2_NaOH標定'!$C$5*$E529/1000))))</f>
        <v/>
      </c>
      <c r="K529" s="24">
        <f>IF($A529="","",IF($C529&lt;&gt;"manual_titration_mL","",IF(COUNTIFS('1_原始數據'!$A$2:$A$1000,$A529,'1_原始數據'!$C$2:$C$1000,"khp_titration_mL")=0,"",AVERAGEIFS('1_原始數據'!$J$2:$J$1000,'1_原始數據'!$A$2:$A$1000,$A529,'1_原始數據'!$C$2:$C$1000,"khp_titration_mL"))))</f>
        <v/>
      </c>
      <c r="L529" s="25">
        <f>IF($A529="","",IF($C529&lt;&gt;"manual_titration_mL","",IFERROR(INDEX('3_可滴定酸度'!$E$6:$E$13,MATCH($I529,'3_可滴定酸度'!$B$6:$B$13,0)),"")))</f>
        <v/>
      </c>
      <c r="M529" s="25">
        <f>IF($A529="","",IF($C529&lt;&gt;"manual_titration_mL","",IFERROR(INDEX('3_可滴定酸度'!$F$6:$F$13,MATCH($I529,'3_可滴定酸度'!$B$6:$B$13,0)),"")))</f>
        <v/>
      </c>
      <c r="N529" s="24">
        <f>IF($A529="","",IF(OR(K529="",L529="",M529=""),"",K529*E529*L529/(M529*1000)*100))</f>
        <v/>
      </c>
      <c r="O529" s="24">
        <f>IF($A529="","",IF(N529="","",IF(COUNTIFS('1_原始數據'!$A$2:$A$1000,$A529,'1_原始數據'!$B$2:$B$1000,$B529,'1_原始數據'!$D$2:$D$1000,$D529,'1_原始數據'!$I$2:$I$1000,$I529,'1_原始數據'!$C$2:$C$1000,"pasco_pct_acid")=0,"",SUMIFS('1_原始數據'!$E$2:$E$1000,'1_原始數據'!$A$2:$A$1000,$A529,'1_原始數據'!$B$2:$B$1000,$B529,'1_原始數據'!$D$2:$D$1000,$D529,'1_原始數據'!$I$2:$I$1000,$I529,'1_原始數據'!$C$2:$C$1000,"pasco_pct_acid"))))</f>
        <v/>
      </c>
      <c r="P529" s="26">
        <f>IF($A529="","",IF(OR(N529="",O529=""),"",O529-N529))</f>
        <v/>
      </c>
      <c r="Q529" s="24">
        <f>IF($A529="","",IF(P529="","",(O529+N529)/2))</f>
        <v/>
      </c>
      <c r="R529" s="27">
        <f>IF($A529="","",IF(P529="","",COUNT($P$2:P529)))</f>
        <v/>
      </c>
    </row>
    <row r="530">
      <c r="J530" s="24">
        <f>IF($A530="","",IF($C530&lt;&gt;"khp_titration_mL","",IF(COUNTIFS('1_原始數據'!$A$2:$A$1000,$A530,'1_原始數據'!$B$2:$B$1000,$B530,'1_原始數據'!$D$2:$D$1000,$D530,'1_原始數據'!$C$2:$C$1000,"khp_mass_g")=0,"",SUMIFS('1_原始數據'!$E$2:$E$1000,'1_原始數據'!$A$2:$A$1000,$A530,'1_原始數據'!$B$2:$B$1000,$B530,'1_原始數據'!$D$2:$D$1000,$D530,'1_原始數據'!$C$2:$C$1000,"khp_mass_g")/('2_NaOH標定'!$C$5*$E530/1000))))</f>
        <v/>
      </c>
      <c r="K530" s="24">
        <f>IF($A530="","",IF($C530&lt;&gt;"manual_titration_mL","",IF(COUNTIFS('1_原始數據'!$A$2:$A$1000,$A530,'1_原始數據'!$C$2:$C$1000,"khp_titration_mL")=0,"",AVERAGEIFS('1_原始數據'!$J$2:$J$1000,'1_原始數據'!$A$2:$A$1000,$A530,'1_原始數據'!$C$2:$C$1000,"khp_titration_mL"))))</f>
        <v/>
      </c>
      <c r="L530" s="25">
        <f>IF($A530="","",IF($C530&lt;&gt;"manual_titration_mL","",IFERROR(INDEX('3_可滴定酸度'!$E$6:$E$13,MATCH($I530,'3_可滴定酸度'!$B$6:$B$13,0)),"")))</f>
        <v/>
      </c>
      <c r="M530" s="25">
        <f>IF($A530="","",IF($C530&lt;&gt;"manual_titration_mL","",IFERROR(INDEX('3_可滴定酸度'!$F$6:$F$13,MATCH($I530,'3_可滴定酸度'!$B$6:$B$13,0)),"")))</f>
        <v/>
      </c>
      <c r="N530" s="24">
        <f>IF($A530="","",IF(OR(K530="",L530="",M530=""),"",K530*E530*L530/(M530*1000)*100))</f>
        <v/>
      </c>
      <c r="O530" s="24">
        <f>IF($A530="","",IF(N530="","",IF(COUNTIFS('1_原始數據'!$A$2:$A$1000,$A530,'1_原始數據'!$B$2:$B$1000,$B530,'1_原始數據'!$D$2:$D$1000,$D530,'1_原始數據'!$I$2:$I$1000,$I530,'1_原始數據'!$C$2:$C$1000,"pasco_pct_acid")=0,"",SUMIFS('1_原始數據'!$E$2:$E$1000,'1_原始數據'!$A$2:$A$1000,$A530,'1_原始數據'!$B$2:$B$1000,$B530,'1_原始數據'!$D$2:$D$1000,$D530,'1_原始數據'!$I$2:$I$1000,$I530,'1_原始數據'!$C$2:$C$1000,"pasco_pct_acid"))))</f>
        <v/>
      </c>
      <c r="P530" s="26">
        <f>IF($A530="","",IF(OR(N530="",O530=""),"",O530-N530))</f>
        <v/>
      </c>
      <c r="Q530" s="24">
        <f>IF($A530="","",IF(P530="","",(O530+N530)/2))</f>
        <v/>
      </c>
      <c r="R530" s="27">
        <f>IF($A530="","",IF(P530="","",COUNT($P$2:P530)))</f>
        <v/>
      </c>
    </row>
    <row r="531">
      <c r="J531" s="24">
        <f>IF($A531="","",IF($C531&lt;&gt;"khp_titration_mL","",IF(COUNTIFS('1_原始數據'!$A$2:$A$1000,$A531,'1_原始數據'!$B$2:$B$1000,$B531,'1_原始數據'!$D$2:$D$1000,$D531,'1_原始數據'!$C$2:$C$1000,"khp_mass_g")=0,"",SUMIFS('1_原始數據'!$E$2:$E$1000,'1_原始數據'!$A$2:$A$1000,$A531,'1_原始數據'!$B$2:$B$1000,$B531,'1_原始數據'!$D$2:$D$1000,$D531,'1_原始數據'!$C$2:$C$1000,"khp_mass_g")/('2_NaOH標定'!$C$5*$E531/1000))))</f>
        <v/>
      </c>
      <c r="K531" s="24">
        <f>IF($A531="","",IF($C531&lt;&gt;"manual_titration_mL","",IF(COUNTIFS('1_原始數據'!$A$2:$A$1000,$A531,'1_原始數據'!$C$2:$C$1000,"khp_titration_mL")=0,"",AVERAGEIFS('1_原始數據'!$J$2:$J$1000,'1_原始數據'!$A$2:$A$1000,$A531,'1_原始數據'!$C$2:$C$1000,"khp_titration_mL"))))</f>
        <v/>
      </c>
      <c r="L531" s="25">
        <f>IF($A531="","",IF($C531&lt;&gt;"manual_titration_mL","",IFERROR(INDEX('3_可滴定酸度'!$E$6:$E$13,MATCH($I531,'3_可滴定酸度'!$B$6:$B$13,0)),"")))</f>
        <v/>
      </c>
      <c r="M531" s="25">
        <f>IF($A531="","",IF($C531&lt;&gt;"manual_titration_mL","",IFERROR(INDEX('3_可滴定酸度'!$F$6:$F$13,MATCH($I531,'3_可滴定酸度'!$B$6:$B$13,0)),"")))</f>
        <v/>
      </c>
      <c r="N531" s="24">
        <f>IF($A531="","",IF(OR(K531="",L531="",M531=""),"",K531*E531*L531/(M531*1000)*100))</f>
        <v/>
      </c>
      <c r="O531" s="24">
        <f>IF($A531="","",IF(N531="","",IF(COUNTIFS('1_原始數據'!$A$2:$A$1000,$A531,'1_原始數據'!$B$2:$B$1000,$B531,'1_原始數據'!$D$2:$D$1000,$D531,'1_原始數據'!$I$2:$I$1000,$I531,'1_原始數據'!$C$2:$C$1000,"pasco_pct_acid")=0,"",SUMIFS('1_原始數據'!$E$2:$E$1000,'1_原始數據'!$A$2:$A$1000,$A531,'1_原始數據'!$B$2:$B$1000,$B531,'1_原始數據'!$D$2:$D$1000,$D531,'1_原始數據'!$I$2:$I$1000,$I531,'1_原始數據'!$C$2:$C$1000,"pasco_pct_acid"))))</f>
        <v/>
      </c>
      <c r="P531" s="26">
        <f>IF($A531="","",IF(OR(N531="",O531=""),"",O531-N531))</f>
        <v/>
      </c>
      <c r="Q531" s="24">
        <f>IF($A531="","",IF(P531="","",(O531+N531)/2))</f>
        <v/>
      </c>
      <c r="R531" s="27">
        <f>IF($A531="","",IF(P531="","",COUNT($P$2:P531)))</f>
        <v/>
      </c>
    </row>
    <row r="532">
      <c r="J532" s="24">
        <f>IF($A532="","",IF($C532&lt;&gt;"khp_titration_mL","",IF(COUNTIFS('1_原始數據'!$A$2:$A$1000,$A532,'1_原始數據'!$B$2:$B$1000,$B532,'1_原始數據'!$D$2:$D$1000,$D532,'1_原始數據'!$C$2:$C$1000,"khp_mass_g")=0,"",SUMIFS('1_原始數據'!$E$2:$E$1000,'1_原始數據'!$A$2:$A$1000,$A532,'1_原始數據'!$B$2:$B$1000,$B532,'1_原始數據'!$D$2:$D$1000,$D532,'1_原始數據'!$C$2:$C$1000,"khp_mass_g")/('2_NaOH標定'!$C$5*$E532/1000))))</f>
        <v/>
      </c>
      <c r="K532" s="24">
        <f>IF($A532="","",IF($C532&lt;&gt;"manual_titration_mL","",IF(COUNTIFS('1_原始數據'!$A$2:$A$1000,$A532,'1_原始數據'!$C$2:$C$1000,"khp_titration_mL")=0,"",AVERAGEIFS('1_原始數據'!$J$2:$J$1000,'1_原始數據'!$A$2:$A$1000,$A532,'1_原始數據'!$C$2:$C$1000,"khp_titration_mL"))))</f>
        <v/>
      </c>
      <c r="L532" s="25">
        <f>IF($A532="","",IF($C532&lt;&gt;"manual_titration_mL","",IFERROR(INDEX('3_可滴定酸度'!$E$6:$E$13,MATCH($I532,'3_可滴定酸度'!$B$6:$B$13,0)),"")))</f>
        <v/>
      </c>
      <c r="M532" s="25">
        <f>IF($A532="","",IF($C532&lt;&gt;"manual_titration_mL","",IFERROR(INDEX('3_可滴定酸度'!$F$6:$F$13,MATCH($I532,'3_可滴定酸度'!$B$6:$B$13,0)),"")))</f>
        <v/>
      </c>
      <c r="N532" s="24">
        <f>IF($A532="","",IF(OR(K532="",L532="",M532=""),"",K532*E532*L532/(M532*1000)*100))</f>
        <v/>
      </c>
      <c r="O532" s="24">
        <f>IF($A532="","",IF(N532="","",IF(COUNTIFS('1_原始數據'!$A$2:$A$1000,$A532,'1_原始數據'!$B$2:$B$1000,$B532,'1_原始數據'!$D$2:$D$1000,$D532,'1_原始數據'!$I$2:$I$1000,$I532,'1_原始數據'!$C$2:$C$1000,"pasco_pct_acid")=0,"",SUMIFS('1_原始數據'!$E$2:$E$1000,'1_原始數據'!$A$2:$A$1000,$A532,'1_原始數據'!$B$2:$B$1000,$B532,'1_原始數據'!$D$2:$D$1000,$D532,'1_原始數據'!$I$2:$I$1000,$I532,'1_原始數據'!$C$2:$C$1000,"pasco_pct_acid"))))</f>
        <v/>
      </c>
      <c r="P532" s="26">
        <f>IF($A532="","",IF(OR(N532="",O532=""),"",O532-N532))</f>
        <v/>
      </c>
      <c r="Q532" s="24">
        <f>IF($A532="","",IF(P532="","",(O532+N532)/2))</f>
        <v/>
      </c>
      <c r="R532" s="27">
        <f>IF($A532="","",IF(P532="","",COUNT($P$2:P532)))</f>
        <v/>
      </c>
    </row>
    <row r="533">
      <c r="J533" s="24">
        <f>IF($A533="","",IF($C533&lt;&gt;"khp_titration_mL","",IF(COUNTIFS('1_原始數據'!$A$2:$A$1000,$A533,'1_原始數據'!$B$2:$B$1000,$B533,'1_原始數據'!$D$2:$D$1000,$D533,'1_原始數據'!$C$2:$C$1000,"khp_mass_g")=0,"",SUMIFS('1_原始數據'!$E$2:$E$1000,'1_原始數據'!$A$2:$A$1000,$A533,'1_原始數據'!$B$2:$B$1000,$B533,'1_原始數據'!$D$2:$D$1000,$D533,'1_原始數據'!$C$2:$C$1000,"khp_mass_g")/('2_NaOH標定'!$C$5*$E533/1000))))</f>
        <v/>
      </c>
      <c r="K533" s="24">
        <f>IF($A533="","",IF($C533&lt;&gt;"manual_titration_mL","",IF(COUNTIFS('1_原始數據'!$A$2:$A$1000,$A533,'1_原始數據'!$C$2:$C$1000,"khp_titration_mL")=0,"",AVERAGEIFS('1_原始數據'!$J$2:$J$1000,'1_原始數據'!$A$2:$A$1000,$A533,'1_原始數據'!$C$2:$C$1000,"khp_titration_mL"))))</f>
        <v/>
      </c>
      <c r="L533" s="25">
        <f>IF($A533="","",IF($C533&lt;&gt;"manual_titration_mL","",IFERROR(INDEX('3_可滴定酸度'!$E$6:$E$13,MATCH($I533,'3_可滴定酸度'!$B$6:$B$13,0)),"")))</f>
        <v/>
      </c>
      <c r="M533" s="25">
        <f>IF($A533="","",IF($C533&lt;&gt;"manual_titration_mL","",IFERROR(INDEX('3_可滴定酸度'!$F$6:$F$13,MATCH($I533,'3_可滴定酸度'!$B$6:$B$13,0)),"")))</f>
        <v/>
      </c>
      <c r="N533" s="24">
        <f>IF($A533="","",IF(OR(K533="",L533="",M533=""),"",K533*E533*L533/(M533*1000)*100))</f>
        <v/>
      </c>
      <c r="O533" s="24">
        <f>IF($A533="","",IF(N533="","",IF(COUNTIFS('1_原始數據'!$A$2:$A$1000,$A533,'1_原始數據'!$B$2:$B$1000,$B533,'1_原始數據'!$D$2:$D$1000,$D533,'1_原始數據'!$I$2:$I$1000,$I533,'1_原始數據'!$C$2:$C$1000,"pasco_pct_acid")=0,"",SUMIFS('1_原始數據'!$E$2:$E$1000,'1_原始數據'!$A$2:$A$1000,$A533,'1_原始數據'!$B$2:$B$1000,$B533,'1_原始數據'!$D$2:$D$1000,$D533,'1_原始數據'!$I$2:$I$1000,$I533,'1_原始數據'!$C$2:$C$1000,"pasco_pct_acid"))))</f>
        <v/>
      </c>
      <c r="P533" s="26">
        <f>IF($A533="","",IF(OR(N533="",O533=""),"",O533-N533))</f>
        <v/>
      </c>
      <c r="Q533" s="24">
        <f>IF($A533="","",IF(P533="","",(O533+N533)/2))</f>
        <v/>
      </c>
      <c r="R533" s="27">
        <f>IF($A533="","",IF(P533="","",COUNT($P$2:P533)))</f>
        <v/>
      </c>
    </row>
    <row r="534">
      <c r="J534" s="24">
        <f>IF($A534="","",IF($C534&lt;&gt;"khp_titration_mL","",IF(COUNTIFS('1_原始數據'!$A$2:$A$1000,$A534,'1_原始數據'!$B$2:$B$1000,$B534,'1_原始數據'!$D$2:$D$1000,$D534,'1_原始數據'!$C$2:$C$1000,"khp_mass_g")=0,"",SUMIFS('1_原始數據'!$E$2:$E$1000,'1_原始數據'!$A$2:$A$1000,$A534,'1_原始數據'!$B$2:$B$1000,$B534,'1_原始數據'!$D$2:$D$1000,$D534,'1_原始數據'!$C$2:$C$1000,"khp_mass_g")/('2_NaOH標定'!$C$5*$E534/1000))))</f>
        <v/>
      </c>
      <c r="K534" s="24">
        <f>IF($A534="","",IF($C534&lt;&gt;"manual_titration_mL","",IF(COUNTIFS('1_原始數據'!$A$2:$A$1000,$A534,'1_原始數據'!$C$2:$C$1000,"khp_titration_mL")=0,"",AVERAGEIFS('1_原始數據'!$J$2:$J$1000,'1_原始數據'!$A$2:$A$1000,$A534,'1_原始數據'!$C$2:$C$1000,"khp_titration_mL"))))</f>
        <v/>
      </c>
      <c r="L534" s="25">
        <f>IF($A534="","",IF($C534&lt;&gt;"manual_titration_mL","",IFERROR(INDEX('3_可滴定酸度'!$E$6:$E$13,MATCH($I534,'3_可滴定酸度'!$B$6:$B$13,0)),"")))</f>
        <v/>
      </c>
      <c r="M534" s="25">
        <f>IF($A534="","",IF($C534&lt;&gt;"manual_titration_mL","",IFERROR(INDEX('3_可滴定酸度'!$F$6:$F$13,MATCH($I534,'3_可滴定酸度'!$B$6:$B$13,0)),"")))</f>
        <v/>
      </c>
      <c r="N534" s="24">
        <f>IF($A534="","",IF(OR(K534="",L534="",M534=""),"",K534*E534*L534/(M534*1000)*100))</f>
        <v/>
      </c>
      <c r="O534" s="24">
        <f>IF($A534="","",IF(N534="","",IF(COUNTIFS('1_原始數據'!$A$2:$A$1000,$A534,'1_原始數據'!$B$2:$B$1000,$B534,'1_原始數據'!$D$2:$D$1000,$D534,'1_原始數據'!$I$2:$I$1000,$I534,'1_原始數據'!$C$2:$C$1000,"pasco_pct_acid")=0,"",SUMIFS('1_原始數據'!$E$2:$E$1000,'1_原始數據'!$A$2:$A$1000,$A534,'1_原始數據'!$B$2:$B$1000,$B534,'1_原始數據'!$D$2:$D$1000,$D534,'1_原始數據'!$I$2:$I$1000,$I534,'1_原始數據'!$C$2:$C$1000,"pasco_pct_acid"))))</f>
        <v/>
      </c>
      <c r="P534" s="26">
        <f>IF($A534="","",IF(OR(N534="",O534=""),"",O534-N534))</f>
        <v/>
      </c>
      <c r="Q534" s="24">
        <f>IF($A534="","",IF(P534="","",(O534+N534)/2))</f>
        <v/>
      </c>
      <c r="R534" s="27">
        <f>IF($A534="","",IF(P534="","",COUNT($P$2:P534)))</f>
        <v/>
      </c>
    </row>
    <row r="535">
      <c r="J535" s="24">
        <f>IF($A535="","",IF($C535&lt;&gt;"khp_titration_mL","",IF(COUNTIFS('1_原始數據'!$A$2:$A$1000,$A535,'1_原始數據'!$B$2:$B$1000,$B535,'1_原始數據'!$D$2:$D$1000,$D535,'1_原始數據'!$C$2:$C$1000,"khp_mass_g")=0,"",SUMIFS('1_原始數據'!$E$2:$E$1000,'1_原始數據'!$A$2:$A$1000,$A535,'1_原始數據'!$B$2:$B$1000,$B535,'1_原始數據'!$D$2:$D$1000,$D535,'1_原始數據'!$C$2:$C$1000,"khp_mass_g")/('2_NaOH標定'!$C$5*$E535/1000))))</f>
        <v/>
      </c>
      <c r="K535" s="24">
        <f>IF($A535="","",IF($C535&lt;&gt;"manual_titration_mL","",IF(COUNTIFS('1_原始數據'!$A$2:$A$1000,$A535,'1_原始數據'!$C$2:$C$1000,"khp_titration_mL")=0,"",AVERAGEIFS('1_原始數據'!$J$2:$J$1000,'1_原始數據'!$A$2:$A$1000,$A535,'1_原始數據'!$C$2:$C$1000,"khp_titration_mL"))))</f>
        <v/>
      </c>
      <c r="L535" s="25">
        <f>IF($A535="","",IF($C535&lt;&gt;"manual_titration_mL","",IFERROR(INDEX('3_可滴定酸度'!$E$6:$E$13,MATCH($I535,'3_可滴定酸度'!$B$6:$B$13,0)),"")))</f>
        <v/>
      </c>
      <c r="M535" s="25">
        <f>IF($A535="","",IF($C535&lt;&gt;"manual_titration_mL","",IFERROR(INDEX('3_可滴定酸度'!$F$6:$F$13,MATCH($I535,'3_可滴定酸度'!$B$6:$B$13,0)),"")))</f>
        <v/>
      </c>
      <c r="N535" s="24">
        <f>IF($A535="","",IF(OR(K535="",L535="",M535=""),"",K535*E535*L535/(M535*1000)*100))</f>
        <v/>
      </c>
      <c r="O535" s="24">
        <f>IF($A535="","",IF(N535="","",IF(COUNTIFS('1_原始數據'!$A$2:$A$1000,$A535,'1_原始數據'!$B$2:$B$1000,$B535,'1_原始數據'!$D$2:$D$1000,$D535,'1_原始數據'!$I$2:$I$1000,$I535,'1_原始數據'!$C$2:$C$1000,"pasco_pct_acid")=0,"",SUMIFS('1_原始數據'!$E$2:$E$1000,'1_原始數據'!$A$2:$A$1000,$A535,'1_原始數據'!$B$2:$B$1000,$B535,'1_原始數據'!$D$2:$D$1000,$D535,'1_原始數據'!$I$2:$I$1000,$I535,'1_原始數據'!$C$2:$C$1000,"pasco_pct_acid"))))</f>
        <v/>
      </c>
      <c r="P535" s="26">
        <f>IF($A535="","",IF(OR(N535="",O535=""),"",O535-N535))</f>
        <v/>
      </c>
      <c r="Q535" s="24">
        <f>IF($A535="","",IF(P535="","",(O535+N535)/2))</f>
        <v/>
      </c>
      <c r="R535" s="27">
        <f>IF($A535="","",IF(P535="","",COUNT($P$2:P535)))</f>
        <v/>
      </c>
    </row>
    <row r="536">
      <c r="J536" s="24">
        <f>IF($A536="","",IF($C536&lt;&gt;"khp_titration_mL","",IF(COUNTIFS('1_原始數據'!$A$2:$A$1000,$A536,'1_原始數據'!$B$2:$B$1000,$B536,'1_原始數據'!$D$2:$D$1000,$D536,'1_原始數據'!$C$2:$C$1000,"khp_mass_g")=0,"",SUMIFS('1_原始數據'!$E$2:$E$1000,'1_原始數據'!$A$2:$A$1000,$A536,'1_原始數據'!$B$2:$B$1000,$B536,'1_原始數據'!$D$2:$D$1000,$D536,'1_原始數據'!$C$2:$C$1000,"khp_mass_g")/('2_NaOH標定'!$C$5*$E536/1000))))</f>
        <v/>
      </c>
      <c r="K536" s="24">
        <f>IF($A536="","",IF($C536&lt;&gt;"manual_titration_mL","",IF(COUNTIFS('1_原始數據'!$A$2:$A$1000,$A536,'1_原始數據'!$C$2:$C$1000,"khp_titration_mL")=0,"",AVERAGEIFS('1_原始數據'!$J$2:$J$1000,'1_原始數據'!$A$2:$A$1000,$A536,'1_原始數據'!$C$2:$C$1000,"khp_titration_mL"))))</f>
        <v/>
      </c>
      <c r="L536" s="25">
        <f>IF($A536="","",IF($C536&lt;&gt;"manual_titration_mL","",IFERROR(INDEX('3_可滴定酸度'!$E$6:$E$13,MATCH($I536,'3_可滴定酸度'!$B$6:$B$13,0)),"")))</f>
        <v/>
      </c>
      <c r="M536" s="25">
        <f>IF($A536="","",IF($C536&lt;&gt;"manual_titration_mL","",IFERROR(INDEX('3_可滴定酸度'!$F$6:$F$13,MATCH($I536,'3_可滴定酸度'!$B$6:$B$13,0)),"")))</f>
        <v/>
      </c>
      <c r="N536" s="24">
        <f>IF($A536="","",IF(OR(K536="",L536="",M536=""),"",K536*E536*L536/(M536*1000)*100))</f>
        <v/>
      </c>
      <c r="O536" s="24">
        <f>IF($A536="","",IF(N536="","",IF(COUNTIFS('1_原始數據'!$A$2:$A$1000,$A536,'1_原始數據'!$B$2:$B$1000,$B536,'1_原始數據'!$D$2:$D$1000,$D536,'1_原始數據'!$I$2:$I$1000,$I536,'1_原始數據'!$C$2:$C$1000,"pasco_pct_acid")=0,"",SUMIFS('1_原始數據'!$E$2:$E$1000,'1_原始數據'!$A$2:$A$1000,$A536,'1_原始數據'!$B$2:$B$1000,$B536,'1_原始數據'!$D$2:$D$1000,$D536,'1_原始數據'!$I$2:$I$1000,$I536,'1_原始數據'!$C$2:$C$1000,"pasco_pct_acid"))))</f>
        <v/>
      </c>
      <c r="P536" s="26">
        <f>IF($A536="","",IF(OR(N536="",O536=""),"",O536-N536))</f>
        <v/>
      </c>
      <c r="Q536" s="24">
        <f>IF($A536="","",IF(P536="","",(O536+N536)/2))</f>
        <v/>
      </c>
      <c r="R536" s="27">
        <f>IF($A536="","",IF(P536="","",COUNT($P$2:P536)))</f>
        <v/>
      </c>
    </row>
    <row r="537">
      <c r="J537" s="24">
        <f>IF($A537="","",IF($C537&lt;&gt;"khp_titration_mL","",IF(COUNTIFS('1_原始數據'!$A$2:$A$1000,$A537,'1_原始數據'!$B$2:$B$1000,$B537,'1_原始數據'!$D$2:$D$1000,$D537,'1_原始數據'!$C$2:$C$1000,"khp_mass_g")=0,"",SUMIFS('1_原始數據'!$E$2:$E$1000,'1_原始數據'!$A$2:$A$1000,$A537,'1_原始數據'!$B$2:$B$1000,$B537,'1_原始數據'!$D$2:$D$1000,$D537,'1_原始數據'!$C$2:$C$1000,"khp_mass_g")/('2_NaOH標定'!$C$5*$E537/1000))))</f>
        <v/>
      </c>
      <c r="K537" s="24">
        <f>IF($A537="","",IF($C537&lt;&gt;"manual_titration_mL","",IF(COUNTIFS('1_原始數據'!$A$2:$A$1000,$A537,'1_原始數據'!$C$2:$C$1000,"khp_titration_mL")=0,"",AVERAGEIFS('1_原始數據'!$J$2:$J$1000,'1_原始數據'!$A$2:$A$1000,$A537,'1_原始數據'!$C$2:$C$1000,"khp_titration_mL"))))</f>
        <v/>
      </c>
      <c r="L537" s="25">
        <f>IF($A537="","",IF($C537&lt;&gt;"manual_titration_mL","",IFERROR(INDEX('3_可滴定酸度'!$E$6:$E$13,MATCH($I537,'3_可滴定酸度'!$B$6:$B$13,0)),"")))</f>
        <v/>
      </c>
      <c r="M537" s="25">
        <f>IF($A537="","",IF($C537&lt;&gt;"manual_titration_mL","",IFERROR(INDEX('3_可滴定酸度'!$F$6:$F$13,MATCH($I537,'3_可滴定酸度'!$B$6:$B$13,0)),"")))</f>
        <v/>
      </c>
      <c r="N537" s="24">
        <f>IF($A537="","",IF(OR(K537="",L537="",M537=""),"",K537*E537*L537/(M537*1000)*100))</f>
        <v/>
      </c>
      <c r="O537" s="24">
        <f>IF($A537="","",IF(N537="","",IF(COUNTIFS('1_原始數據'!$A$2:$A$1000,$A537,'1_原始數據'!$B$2:$B$1000,$B537,'1_原始數據'!$D$2:$D$1000,$D537,'1_原始數據'!$I$2:$I$1000,$I537,'1_原始數據'!$C$2:$C$1000,"pasco_pct_acid")=0,"",SUMIFS('1_原始數據'!$E$2:$E$1000,'1_原始數據'!$A$2:$A$1000,$A537,'1_原始數據'!$B$2:$B$1000,$B537,'1_原始數據'!$D$2:$D$1000,$D537,'1_原始數據'!$I$2:$I$1000,$I537,'1_原始數據'!$C$2:$C$1000,"pasco_pct_acid"))))</f>
        <v/>
      </c>
      <c r="P537" s="26">
        <f>IF($A537="","",IF(OR(N537="",O537=""),"",O537-N537))</f>
        <v/>
      </c>
      <c r="Q537" s="24">
        <f>IF($A537="","",IF(P537="","",(O537+N537)/2))</f>
        <v/>
      </c>
      <c r="R537" s="27">
        <f>IF($A537="","",IF(P537="","",COUNT($P$2:P537)))</f>
        <v/>
      </c>
    </row>
    <row r="538">
      <c r="J538" s="24">
        <f>IF($A538="","",IF($C538&lt;&gt;"khp_titration_mL","",IF(COUNTIFS('1_原始數據'!$A$2:$A$1000,$A538,'1_原始數據'!$B$2:$B$1000,$B538,'1_原始數據'!$D$2:$D$1000,$D538,'1_原始數據'!$C$2:$C$1000,"khp_mass_g")=0,"",SUMIFS('1_原始數據'!$E$2:$E$1000,'1_原始數據'!$A$2:$A$1000,$A538,'1_原始數據'!$B$2:$B$1000,$B538,'1_原始數據'!$D$2:$D$1000,$D538,'1_原始數據'!$C$2:$C$1000,"khp_mass_g")/('2_NaOH標定'!$C$5*$E538/1000))))</f>
        <v/>
      </c>
      <c r="K538" s="24">
        <f>IF($A538="","",IF($C538&lt;&gt;"manual_titration_mL","",IF(COUNTIFS('1_原始數據'!$A$2:$A$1000,$A538,'1_原始數據'!$C$2:$C$1000,"khp_titration_mL")=0,"",AVERAGEIFS('1_原始數據'!$J$2:$J$1000,'1_原始數據'!$A$2:$A$1000,$A538,'1_原始數據'!$C$2:$C$1000,"khp_titration_mL"))))</f>
        <v/>
      </c>
      <c r="L538" s="25">
        <f>IF($A538="","",IF($C538&lt;&gt;"manual_titration_mL","",IFERROR(INDEX('3_可滴定酸度'!$E$6:$E$13,MATCH($I538,'3_可滴定酸度'!$B$6:$B$13,0)),"")))</f>
        <v/>
      </c>
      <c r="M538" s="25">
        <f>IF($A538="","",IF($C538&lt;&gt;"manual_titration_mL","",IFERROR(INDEX('3_可滴定酸度'!$F$6:$F$13,MATCH($I538,'3_可滴定酸度'!$B$6:$B$13,0)),"")))</f>
        <v/>
      </c>
      <c r="N538" s="24">
        <f>IF($A538="","",IF(OR(K538="",L538="",M538=""),"",K538*E538*L538/(M538*1000)*100))</f>
        <v/>
      </c>
      <c r="O538" s="24">
        <f>IF($A538="","",IF(N538="","",IF(COUNTIFS('1_原始數據'!$A$2:$A$1000,$A538,'1_原始數據'!$B$2:$B$1000,$B538,'1_原始數據'!$D$2:$D$1000,$D538,'1_原始數據'!$I$2:$I$1000,$I538,'1_原始數據'!$C$2:$C$1000,"pasco_pct_acid")=0,"",SUMIFS('1_原始數據'!$E$2:$E$1000,'1_原始數據'!$A$2:$A$1000,$A538,'1_原始數據'!$B$2:$B$1000,$B538,'1_原始數據'!$D$2:$D$1000,$D538,'1_原始數據'!$I$2:$I$1000,$I538,'1_原始數據'!$C$2:$C$1000,"pasco_pct_acid"))))</f>
        <v/>
      </c>
      <c r="P538" s="26">
        <f>IF($A538="","",IF(OR(N538="",O538=""),"",O538-N538))</f>
        <v/>
      </c>
      <c r="Q538" s="24">
        <f>IF($A538="","",IF(P538="","",(O538+N538)/2))</f>
        <v/>
      </c>
      <c r="R538" s="27">
        <f>IF($A538="","",IF(P538="","",COUNT($P$2:P538)))</f>
        <v/>
      </c>
    </row>
    <row r="539">
      <c r="J539" s="24">
        <f>IF($A539="","",IF($C539&lt;&gt;"khp_titration_mL","",IF(COUNTIFS('1_原始數據'!$A$2:$A$1000,$A539,'1_原始數據'!$B$2:$B$1000,$B539,'1_原始數據'!$D$2:$D$1000,$D539,'1_原始數據'!$C$2:$C$1000,"khp_mass_g")=0,"",SUMIFS('1_原始數據'!$E$2:$E$1000,'1_原始數據'!$A$2:$A$1000,$A539,'1_原始數據'!$B$2:$B$1000,$B539,'1_原始數據'!$D$2:$D$1000,$D539,'1_原始數據'!$C$2:$C$1000,"khp_mass_g")/('2_NaOH標定'!$C$5*$E539/1000))))</f>
        <v/>
      </c>
      <c r="K539" s="24">
        <f>IF($A539="","",IF($C539&lt;&gt;"manual_titration_mL","",IF(COUNTIFS('1_原始數據'!$A$2:$A$1000,$A539,'1_原始數據'!$C$2:$C$1000,"khp_titration_mL")=0,"",AVERAGEIFS('1_原始數據'!$J$2:$J$1000,'1_原始數據'!$A$2:$A$1000,$A539,'1_原始數據'!$C$2:$C$1000,"khp_titration_mL"))))</f>
        <v/>
      </c>
      <c r="L539" s="25">
        <f>IF($A539="","",IF($C539&lt;&gt;"manual_titration_mL","",IFERROR(INDEX('3_可滴定酸度'!$E$6:$E$13,MATCH($I539,'3_可滴定酸度'!$B$6:$B$13,0)),"")))</f>
        <v/>
      </c>
      <c r="M539" s="25">
        <f>IF($A539="","",IF($C539&lt;&gt;"manual_titration_mL","",IFERROR(INDEX('3_可滴定酸度'!$F$6:$F$13,MATCH($I539,'3_可滴定酸度'!$B$6:$B$13,0)),"")))</f>
        <v/>
      </c>
      <c r="N539" s="24">
        <f>IF($A539="","",IF(OR(K539="",L539="",M539=""),"",K539*E539*L539/(M539*1000)*100))</f>
        <v/>
      </c>
      <c r="O539" s="24">
        <f>IF($A539="","",IF(N539="","",IF(COUNTIFS('1_原始數據'!$A$2:$A$1000,$A539,'1_原始數據'!$B$2:$B$1000,$B539,'1_原始數據'!$D$2:$D$1000,$D539,'1_原始數據'!$I$2:$I$1000,$I539,'1_原始數據'!$C$2:$C$1000,"pasco_pct_acid")=0,"",SUMIFS('1_原始數據'!$E$2:$E$1000,'1_原始數據'!$A$2:$A$1000,$A539,'1_原始數據'!$B$2:$B$1000,$B539,'1_原始數據'!$D$2:$D$1000,$D539,'1_原始數據'!$I$2:$I$1000,$I539,'1_原始數據'!$C$2:$C$1000,"pasco_pct_acid"))))</f>
        <v/>
      </c>
      <c r="P539" s="26">
        <f>IF($A539="","",IF(OR(N539="",O539=""),"",O539-N539))</f>
        <v/>
      </c>
      <c r="Q539" s="24">
        <f>IF($A539="","",IF(P539="","",(O539+N539)/2))</f>
        <v/>
      </c>
      <c r="R539" s="27">
        <f>IF($A539="","",IF(P539="","",COUNT($P$2:P539)))</f>
        <v/>
      </c>
    </row>
    <row r="540">
      <c r="J540" s="24">
        <f>IF($A540="","",IF($C540&lt;&gt;"khp_titration_mL","",IF(COUNTIFS('1_原始數據'!$A$2:$A$1000,$A540,'1_原始數據'!$B$2:$B$1000,$B540,'1_原始數據'!$D$2:$D$1000,$D540,'1_原始數據'!$C$2:$C$1000,"khp_mass_g")=0,"",SUMIFS('1_原始數據'!$E$2:$E$1000,'1_原始數據'!$A$2:$A$1000,$A540,'1_原始數據'!$B$2:$B$1000,$B540,'1_原始數據'!$D$2:$D$1000,$D540,'1_原始數據'!$C$2:$C$1000,"khp_mass_g")/('2_NaOH標定'!$C$5*$E540/1000))))</f>
        <v/>
      </c>
      <c r="K540" s="24">
        <f>IF($A540="","",IF($C540&lt;&gt;"manual_titration_mL","",IF(COUNTIFS('1_原始數據'!$A$2:$A$1000,$A540,'1_原始數據'!$C$2:$C$1000,"khp_titration_mL")=0,"",AVERAGEIFS('1_原始數據'!$J$2:$J$1000,'1_原始數據'!$A$2:$A$1000,$A540,'1_原始數據'!$C$2:$C$1000,"khp_titration_mL"))))</f>
        <v/>
      </c>
      <c r="L540" s="25">
        <f>IF($A540="","",IF($C540&lt;&gt;"manual_titration_mL","",IFERROR(INDEX('3_可滴定酸度'!$E$6:$E$13,MATCH($I540,'3_可滴定酸度'!$B$6:$B$13,0)),"")))</f>
        <v/>
      </c>
      <c r="M540" s="25">
        <f>IF($A540="","",IF($C540&lt;&gt;"manual_titration_mL","",IFERROR(INDEX('3_可滴定酸度'!$F$6:$F$13,MATCH($I540,'3_可滴定酸度'!$B$6:$B$13,0)),"")))</f>
        <v/>
      </c>
      <c r="N540" s="24">
        <f>IF($A540="","",IF(OR(K540="",L540="",M540=""),"",K540*E540*L540/(M540*1000)*100))</f>
        <v/>
      </c>
      <c r="O540" s="24">
        <f>IF($A540="","",IF(N540="","",IF(COUNTIFS('1_原始數據'!$A$2:$A$1000,$A540,'1_原始數據'!$B$2:$B$1000,$B540,'1_原始數據'!$D$2:$D$1000,$D540,'1_原始數據'!$I$2:$I$1000,$I540,'1_原始數據'!$C$2:$C$1000,"pasco_pct_acid")=0,"",SUMIFS('1_原始數據'!$E$2:$E$1000,'1_原始數據'!$A$2:$A$1000,$A540,'1_原始數據'!$B$2:$B$1000,$B540,'1_原始數據'!$D$2:$D$1000,$D540,'1_原始數據'!$I$2:$I$1000,$I540,'1_原始數據'!$C$2:$C$1000,"pasco_pct_acid"))))</f>
        <v/>
      </c>
      <c r="P540" s="26">
        <f>IF($A540="","",IF(OR(N540="",O540=""),"",O540-N540))</f>
        <v/>
      </c>
      <c r="Q540" s="24">
        <f>IF($A540="","",IF(P540="","",(O540+N540)/2))</f>
        <v/>
      </c>
      <c r="R540" s="27">
        <f>IF($A540="","",IF(P540="","",COUNT($P$2:P540)))</f>
        <v/>
      </c>
    </row>
    <row r="541">
      <c r="J541" s="24">
        <f>IF($A541="","",IF($C541&lt;&gt;"khp_titration_mL","",IF(COUNTIFS('1_原始數據'!$A$2:$A$1000,$A541,'1_原始數據'!$B$2:$B$1000,$B541,'1_原始數據'!$D$2:$D$1000,$D541,'1_原始數據'!$C$2:$C$1000,"khp_mass_g")=0,"",SUMIFS('1_原始數據'!$E$2:$E$1000,'1_原始數據'!$A$2:$A$1000,$A541,'1_原始數據'!$B$2:$B$1000,$B541,'1_原始數據'!$D$2:$D$1000,$D541,'1_原始數據'!$C$2:$C$1000,"khp_mass_g")/('2_NaOH標定'!$C$5*$E541/1000))))</f>
        <v/>
      </c>
      <c r="K541" s="24">
        <f>IF($A541="","",IF($C541&lt;&gt;"manual_titration_mL","",IF(COUNTIFS('1_原始數據'!$A$2:$A$1000,$A541,'1_原始數據'!$C$2:$C$1000,"khp_titration_mL")=0,"",AVERAGEIFS('1_原始數據'!$J$2:$J$1000,'1_原始數據'!$A$2:$A$1000,$A541,'1_原始數據'!$C$2:$C$1000,"khp_titration_mL"))))</f>
        <v/>
      </c>
      <c r="L541" s="25">
        <f>IF($A541="","",IF($C541&lt;&gt;"manual_titration_mL","",IFERROR(INDEX('3_可滴定酸度'!$E$6:$E$13,MATCH($I541,'3_可滴定酸度'!$B$6:$B$13,0)),"")))</f>
        <v/>
      </c>
      <c r="M541" s="25">
        <f>IF($A541="","",IF($C541&lt;&gt;"manual_titration_mL","",IFERROR(INDEX('3_可滴定酸度'!$F$6:$F$13,MATCH($I541,'3_可滴定酸度'!$B$6:$B$13,0)),"")))</f>
        <v/>
      </c>
      <c r="N541" s="24">
        <f>IF($A541="","",IF(OR(K541="",L541="",M541=""),"",K541*E541*L541/(M541*1000)*100))</f>
        <v/>
      </c>
      <c r="O541" s="24">
        <f>IF($A541="","",IF(N541="","",IF(COUNTIFS('1_原始數據'!$A$2:$A$1000,$A541,'1_原始數據'!$B$2:$B$1000,$B541,'1_原始數據'!$D$2:$D$1000,$D541,'1_原始數據'!$I$2:$I$1000,$I541,'1_原始數據'!$C$2:$C$1000,"pasco_pct_acid")=0,"",SUMIFS('1_原始數據'!$E$2:$E$1000,'1_原始數據'!$A$2:$A$1000,$A541,'1_原始數據'!$B$2:$B$1000,$B541,'1_原始數據'!$D$2:$D$1000,$D541,'1_原始數據'!$I$2:$I$1000,$I541,'1_原始數據'!$C$2:$C$1000,"pasco_pct_acid"))))</f>
        <v/>
      </c>
      <c r="P541" s="26">
        <f>IF($A541="","",IF(OR(N541="",O541=""),"",O541-N541))</f>
        <v/>
      </c>
      <c r="Q541" s="24">
        <f>IF($A541="","",IF(P541="","",(O541+N541)/2))</f>
        <v/>
      </c>
      <c r="R541" s="27">
        <f>IF($A541="","",IF(P541="","",COUNT($P$2:P541)))</f>
        <v/>
      </c>
    </row>
    <row r="542">
      <c r="J542" s="24">
        <f>IF($A542="","",IF($C542&lt;&gt;"khp_titration_mL","",IF(COUNTIFS('1_原始數據'!$A$2:$A$1000,$A542,'1_原始數據'!$B$2:$B$1000,$B542,'1_原始數據'!$D$2:$D$1000,$D542,'1_原始數據'!$C$2:$C$1000,"khp_mass_g")=0,"",SUMIFS('1_原始數據'!$E$2:$E$1000,'1_原始數據'!$A$2:$A$1000,$A542,'1_原始數據'!$B$2:$B$1000,$B542,'1_原始數據'!$D$2:$D$1000,$D542,'1_原始數據'!$C$2:$C$1000,"khp_mass_g")/('2_NaOH標定'!$C$5*$E542/1000))))</f>
        <v/>
      </c>
      <c r="K542" s="24">
        <f>IF($A542="","",IF($C542&lt;&gt;"manual_titration_mL","",IF(COUNTIFS('1_原始數據'!$A$2:$A$1000,$A542,'1_原始數據'!$C$2:$C$1000,"khp_titration_mL")=0,"",AVERAGEIFS('1_原始數據'!$J$2:$J$1000,'1_原始數據'!$A$2:$A$1000,$A542,'1_原始數據'!$C$2:$C$1000,"khp_titration_mL"))))</f>
        <v/>
      </c>
      <c r="L542" s="25">
        <f>IF($A542="","",IF($C542&lt;&gt;"manual_titration_mL","",IFERROR(INDEX('3_可滴定酸度'!$E$6:$E$13,MATCH($I542,'3_可滴定酸度'!$B$6:$B$13,0)),"")))</f>
        <v/>
      </c>
      <c r="M542" s="25">
        <f>IF($A542="","",IF($C542&lt;&gt;"manual_titration_mL","",IFERROR(INDEX('3_可滴定酸度'!$F$6:$F$13,MATCH($I542,'3_可滴定酸度'!$B$6:$B$13,0)),"")))</f>
        <v/>
      </c>
      <c r="N542" s="24">
        <f>IF($A542="","",IF(OR(K542="",L542="",M542=""),"",K542*E542*L542/(M542*1000)*100))</f>
        <v/>
      </c>
      <c r="O542" s="24">
        <f>IF($A542="","",IF(N542="","",IF(COUNTIFS('1_原始數據'!$A$2:$A$1000,$A542,'1_原始數據'!$B$2:$B$1000,$B542,'1_原始數據'!$D$2:$D$1000,$D542,'1_原始數據'!$I$2:$I$1000,$I542,'1_原始數據'!$C$2:$C$1000,"pasco_pct_acid")=0,"",SUMIFS('1_原始數據'!$E$2:$E$1000,'1_原始數據'!$A$2:$A$1000,$A542,'1_原始數據'!$B$2:$B$1000,$B542,'1_原始數據'!$D$2:$D$1000,$D542,'1_原始數據'!$I$2:$I$1000,$I542,'1_原始數據'!$C$2:$C$1000,"pasco_pct_acid"))))</f>
        <v/>
      </c>
      <c r="P542" s="26">
        <f>IF($A542="","",IF(OR(N542="",O542=""),"",O542-N542))</f>
        <v/>
      </c>
      <c r="Q542" s="24">
        <f>IF($A542="","",IF(P542="","",(O542+N542)/2))</f>
        <v/>
      </c>
      <c r="R542" s="27">
        <f>IF($A542="","",IF(P542="","",COUNT($P$2:P542)))</f>
        <v/>
      </c>
    </row>
    <row r="543">
      <c r="J543" s="24">
        <f>IF($A543="","",IF($C543&lt;&gt;"khp_titration_mL","",IF(COUNTIFS('1_原始數據'!$A$2:$A$1000,$A543,'1_原始數據'!$B$2:$B$1000,$B543,'1_原始數據'!$D$2:$D$1000,$D543,'1_原始數據'!$C$2:$C$1000,"khp_mass_g")=0,"",SUMIFS('1_原始數據'!$E$2:$E$1000,'1_原始數據'!$A$2:$A$1000,$A543,'1_原始數據'!$B$2:$B$1000,$B543,'1_原始數據'!$D$2:$D$1000,$D543,'1_原始數據'!$C$2:$C$1000,"khp_mass_g")/('2_NaOH標定'!$C$5*$E543/1000))))</f>
        <v/>
      </c>
      <c r="K543" s="24">
        <f>IF($A543="","",IF($C543&lt;&gt;"manual_titration_mL","",IF(COUNTIFS('1_原始數據'!$A$2:$A$1000,$A543,'1_原始數據'!$C$2:$C$1000,"khp_titration_mL")=0,"",AVERAGEIFS('1_原始數據'!$J$2:$J$1000,'1_原始數據'!$A$2:$A$1000,$A543,'1_原始數據'!$C$2:$C$1000,"khp_titration_mL"))))</f>
        <v/>
      </c>
      <c r="L543" s="25">
        <f>IF($A543="","",IF($C543&lt;&gt;"manual_titration_mL","",IFERROR(INDEX('3_可滴定酸度'!$E$6:$E$13,MATCH($I543,'3_可滴定酸度'!$B$6:$B$13,0)),"")))</f>
        <v/>
      </c>
      <c r="M543" s="25">
        <f>IF($A543="","",IF($C543&lt;&gt;"manual_titration_mL","",IFERROR(INDEX('3_可滴定酸度'!$F$6:$F$13,MATCH($I543,'3_可滴定酸度'!$B$6:$B$13,0)),"")))</f>
        <v/>
      </c>
      <c r="N543" s="24">
        <f>IF($A543="","",IF(OR(K543="",L543="",M543=""),"",K543*E543*L543/(M543*1000)*100))</f>
        <v/>
      </c>
      <c r="O543" s="24">
        <f>IF($A543="","",IF(N543="","",IF(COUNTIFS('1_原始數據'!$A$2:$A$1000,$A543,'1_原始數據'!$B$2:$B$1000,$B543,'1_原始數據'!$D$2:$D$1000,$D543,'1_原始數據'!$I$2:$I$1000,$I543,'1_原始數據'!$C$2:$C$1000,"pasco_pct_acid")=0,"",SUMIFS('1_原始數據'!$E$2:$E$1000,'1_原始數據'!$A$2:$A$1000,$A543,'1_原始數據'!$B$2:$B$1000,$B543,'1_原始數據'!$D$2:$D$1000,$D543,'1_原始數據'!$I$2:$I$1000,$I543,'1_原始數據'!$C$2:$C$1000,"pasco_pct_acid"))))</f>
        <v/>
      </c>
      <c r="P543" s="26">
        <f>IF($A543="","",IF(OR(N543="",O543=""),"",O543-N543))</f>
        <v/>
      </c>
      <c r="Q543" s="24">
        <f>IF($A543="","",IF(P543="","",(O543+N543)/2))</f>
        <v/>
      </c>
      <c r="R543" s="27">
        <f>IF($A543="","",IF(P543="","",COUNT($P$2:P543)))</f>
        <v/>
      </c>
    </row>
    <row r="544">
      <c r="J544" s="24">
        <f>IF($A544="","",IF($C544&lt;&gt;"khp_titration_mL","",IF(COUNTIFS('1_原始數據'!$A$2:$A$1000,$A544,'1_原始數據'!$B$2:$B$1000,$B544,'1_原始數據'!$D$2:$D$1000,$D544,'1_原始數據'!$C$2:$C$1000,"khp_mass_g")=0,"",SUMIFS('1_原始數據'!$E$2:$E$1000,'1_原始數據'!$A$2:$A$1000,$A544,'1_原始數據'!$B$2:$B$1000,$B544,'1_原始數據'!$D$2:$D$1000,$D544,'1_原始數據'!$C$2:$C$1000,"khp_mass_g")/('2_NaOH標定'!$C$5*$E544/1000))))</f>
        <v/>
      </c>
      <c r="K544" s="24">
        <f>IF($A544="","",IF($C544&lt;&gt;"manual_titration_mL","",IF(COUNTIFS('1_原始數據'!$A$2:$A$1000,$A544,'1_原始數據'!$C$2:$C$1000,"khp_titration_mL")=0,"",AVERAGEIFS('1_原始數據'!$J$2:$J$1000,'1_原始數據'!$A$2:$A$1000,$A544,'1_原始數據'!$C$2:$C$1000,"khp_titration_mL"))))</f>
        <v/>
      </c>
      <c r="L544" s="25">
        <f>IF($A544="","",IF($C544&lt;&gt;"manual_titration_mL","",IFERROR(INDEX('3_可滴定酸度'!$E$6:$E$13,MATCH($I544,'3_可滴定酸度'!$B$6:$B$13,0)),"")))</f>
        <v/>
      </c>
      <c r="M544" s="25">
        <f>IF($A544="","",IF($C544&lt;&gt;"manual_titration_mL","",IFERROR(INDEX('3_可滴定酸度'!$F$6:$F$13,MATCH($I544,'3_可滴定酸度'!$B$6:$B$13,0)),"")))</f>
        <v/>
      </c>
      <c r="N544" s="24">
        <f>IF($A544="","",IF(OR(K544="",L544="",M544=""),"",K544*E544*L544/(M544*1000)*100))</f>
        <v/>
      </c>
      <c r="O544" s="24">
        <f>IF($A544="","",IF(N544="","",IF(COUNTIFS('1_原始數據'!$A$2:$A$1000,$A544,'1_原始數據'!$B$2:$B$1000,$B544,'1_原始數據'!$D$2:$D$1000,$D544,'1_原始數據'!$I$2:$I$1000,$I544,'1_原始數據'!$C$2:$C$1000,"pasco_pct_acid")=0,"",SUMIFS('1_原始數據'!$E$2:$E$1000,'1_原始數據'!$A$2:$A$1000,$A544,'1_原始數據'!$B$2:$B$1000,$B544,'1_原始數據'!$D$2:$D$1000,$D544,'1_原始數據'!$I$2:$I$1000,$I544,'1_原始數據'!$C$2:$C$1000,"pasco_pct_acid"))))</f>
        <v/>
      </c>
      <c r="P544" s="26">
        <f>IF($A544="","",IF(OR(N544="",O544=""),"",O544-N544))</f>
        <v/>
      </c>
      <c r="Q544" s="24">
        <f>IF($A544="","",IF(P544="","",(O544+N544)/2))</f>
        <v/>
      </c>
      <c r="R544" s="27">
        <f>IF($A544="","",IF(P544="","",COUNT($P$2:P544)))</f>
        <v/>
      </c>
    </row>
    <row r="545">
      <c r="J545" s="24">
        <f>IF($A545="","",IF($C545&lt;&gt;"khp_titration_mL","",IF(COUNTIFS('1_原始數據'!$A$2:$A$1000,$A545,'1_原始數據'!$B$2:$B$1000,$B545,'1_原始數據'!$D$2:$D$1000,$D545,'1_原始數據'!$C$2:$C$1000,"khp_mass_g")=0,"",SUMIFS('1_原始數據'!$E$2:$E$1000,'1_原始數據'!$A$2:$A$1000,$A545,'1_原始數據'!$B$2:$B$1000,$B545,'1_原始數據'!$D$2:$D$1000,$D545,'1_原始數據'!$C$2:$C$1000,"khp_mass_g")/('2_NaOH標定'!$C$5*$E545/1000))))</f>
        <v/>
      </c>
      <c r="K545" s="24">
        <f>IF($A545="","",IF($C545&lt;&gt;"manual_titration_mL","",IF(COUNTIFS('1_原始數據'!$A$2:$A$1000,$A545,'1_原始數據'!$C$2:$C$1000,"khp_titration_mL")=0,"",AVERAGEIFS('1_原始數據'!$J$2:$J$1000,'1_原始數據'!$A$2:$A$1000,$A545,'1_原始數據'!$C$2:$C$1000,"khp_titration_mL"))))</f>
        <v/>
      </c>
      <c r="L545" s="25">
        <f>IF($A545="","",IF($C545&lt;&gt;"manual_titration_mL","",IFERROR(INDEX('3_可滴定酸度'!$E$6:$E$13,MATCH($I545,'3_可滴定酸度'!$B$6:$B$13,0)),"")))</f>
        <v/>
      </c>
      <c r="M545" s="25">
        <f>IF($A545="","",IF($C545&lt;&gt;"manual_titration_mL","",IFERROR(INDEX('3_可滴定酸度'!$F$6:$F$13,MATCH($I545,'3_可滴定酸度'!$B$6:$B$13,0)),"")))</f>
        <v/>
      </c>
      <c r="N545" s="24">
        <f>IF($A545="","",IF(OR(K545="",L545="",M545=""),"",K545*E545*L545/(M545*1000)*100))</f>
        <v/>
      </c>
      <c r="O545" s="24">
        <f>IF($A545="","",IF(N545="","",IF(COUNTIFS('1_原始數據'!$A$2:$A$1000,$A545,'1_原始數據'!$B$2:$B$1000,$B545,'1_原始數據'!$D$2:$D$1000,$D545,'1_原始數據'!$I$2:$I$1000,$I545,'1_原始數據'!$C$2:$C$1000,"pasco_pct_acid")=0,"",SUMIFS('1_原始數據'!$E$2:$E$1000,'1_原始數據'!$A$2:$A$1000,$A545,'1_原始數據'!$B$2:$B$1000,$B545,'1_原始數據'!$D$2:$D$1000,$D545,'1_原始數據'!$I$2:$I$1000,$I545,'1_原始數據'!$C$2:$C$1000,"pasco_pct_acid"))))</f>
        <v/>
      </c>
      <c r="P545" s="26">
        <f>IF($A545="","",IF(OR(N545="",O545=""),"",O545-N545))</f>
        <v/>
      </c>
      <c r="Q545" s="24">
        <f>IF($A545="","",IF(P545="","",(O545+N545)/2))</f>
        <v/>
      </c>
      <c r="R545" s="27">
        <f>IF($A545="","",IF(P545="","",COUNT($P$2:P545)))</f>
        <v/>
      </c>
    </row>
    <row r="546">
      <c r="J546" s="24">
        <f>IF($A546="","",IF($C546&lt;&gt;"khp_titration_mL","",IF(COUNTIFS('1_原始數據'!$A$2:$A$1000,$A546,'1_原始數據'!$B$2:$B$1000,$B546,'1_原始數據'!$D$2:$D$1000,$D546,'1_原始數據'!$C$2:$C$1000,"khp_mass_g")=0,"",SUMIFS('1_原始數據'!$E$2:$E$1000,'1_原始數據'!$A$2:$A$1000,$A546,'1_原始數據'!$B$2:$B$1000,$B546,'1_原始數據'!$D$2:$D$1000,$D546,'1_原始數據'!$C$2:$C$1000,"khp_mass_g")/('2_NaOH標定'!$C$5*$E546/1000))))</f>
        <v/>
      </c>
      <c r="K546" s="24">
        <f>IF($A546="","",IF($C546&lt;&gt;"manual_titration_mL","",IF(COUNTIFS('1_原始數據'!$A$2:$A$1000,$A546,'1_原始數據'!$C$2:$C$1000,"khp_titration_mL")=0,"",AVERAGEIFS('1_原始數據'!$J$2:$J$1000,'1_原始數據'!$A$2:$A$1000,$A546,'1_原始數據'!$C$2:$C$1000,"khp_titration_mL"))))</f>
        <v/>
      </c>
      <c r="L546" s="25">
        <f>IF($A546="","",IF($C546&lt;&gt;"manual_titration_mL","",IFERROR(INDEX('3_可滴定酸度'!$E$6:$E$13,MATCH($I546,'3_可滴定酸度'!$B$6:$B$13,0)),"")))</f>
        <v/>
      </c>
      <c r="M546" s="25">
        <f>IF($A546="","",IF($C546&lt;&gt;"manual_titration_mL","",IFERROR(INDEX('3_可滴定酸度'!$F$6:$F$13,MATCH($I546,'3_可滴定酸度'!$B$6:$B$13,0)),"")))</f>
        <v/>
      </c>
      <c r="N546" s="24">
        <f>IF($A546="","",IF(OR(K546="",L546="",M546=""),"",K546*E546*L546/(M546*1000)*100))</f>
        <v/>
      </c>
      <c r="O546" s="24">
        <f>IF($A546="","",IF(N546="","",IF(COUNTIFS('1_原始數據'!$A$2:$A$1000,$A546,'1_原始數據'!$B$2:$B$1000,$B546,'1_原始數據'!$D$2:$D$1000,$D546,'1_原始數據'!$I$2:$I$1000,$I546,'1_原始數據'!$C$2:$C$1000,"pasco_pct_acid")=0,"",SUMIFS('1_原始數據'!$E$2:$E$1000,'1_原始數據'!$A$2:$A$1000,$A546,'1_原始數據'!$B$2:$B$1000,$B546,'1_原始數據'!$D$2:$D$1000,$D546,'1_原始數據'!$I$2:$I$1000,$I546,'1_原始數據'!$C$2:$C$1000,"pasco_pct_acid"))))</f>
        <v/>
      </c>
      <c r="P546" s="26">
        <f>IF($A546="","",IF(OR(N546="",O546=""),"",O546-N546))</f>
        <v/>
      </c>
      <c r="Q546" s="24">
        <f>IF($A546="","",IF(P546="","",(O546+N546)/2))</f>
        <v/>
      </c>
      <c r="R546" s="27">
        <f>IF($A546="","",IF(P546="","",COUNT($P$2:P546)))</f>
        <v/>
      </c>
    </row>
    <row r="547">
      <c r="J547" s="24">
        <f>IF($A547="","",IF($C547&lt;&gt;"khp_titration_mL","",IF(COUNTIFS('1_原始數據'!$A$2:$A$1000,$A547,'1_原始數據'!$B$2:$B$1000,$B547,'1_原始數據'!$D$2:$D$1000,$D547,'1_原始數據'!$C$2:$C$1000,"khp_mass_g")=0,"",SUMIFS('1_原始數據'!$E$2:$E$1000,'1_原始數據'!$A$2:$A$1000,$A547,'1_原始數據'!$B$2:$B$1000,$B547,'1_原始數據'!$D$2:$D$1000,$D547,'1_原始數據'!$C$2:$C$1000,"khp_mass_g")/('2_NaOH標定'!$C$5*$E547/1000))))</f>
        <v/>
      </c>
      <c r="K547" s="24">
        <f>IF($A547="","",IF($C547&lt;&gt;"manual_titration_mL","",IF(COUNTIFS('1_原始數據'!$A$2:$A$1000,$A547,'1_原始數據'!$C$2:$C$1000,"khp_titration_mL")=0,"",AVERAGEIFS('1_原始數據'!$J$2:$J$1000,'1_原始數據'!$A$2:$A$1000,$A547,'1_原始數據'!$C$2:$C$1000,"khp_titration_mL"))))</f>
        <v/>
      </c>
      <c r="L547" s="25">
        <f>IF($A547="","",IF($C547&lt;&gt;"manual_titration_mL","",IFERROR(INDEX('3_可滴定酸度'!$E$6:$E$13,MATCH($I547,'3_可滴定酸度'!$B$6:$B$13,0)),"")))</f>
        <v/>
      </c>
      <c r="M547" s="25">
        <f>IF($A547="","",IF($C547&lt;&gt;"manual_titration_mL","",IFERROR(INDEX('3_可滴定酸度'!$F$6:$F$13,MATCH($I547,'3_可滴定酸度'!$B$6:$B$13,0)),"")))</f>
        <v/>
      </c>
      <c r="N547" s="24">
        <f>IF($A547="","",IF(OR(K547="",L547="",M547=""),"",K547*E547*L547/(M547*1000)*100))</f>
        <v/>
      </c>
      <c r="O547" s="24">
        <f>IF($A547="","",IF(N547="","",IF(COUNTIFS('1_原始數據'!$A$2:$A$1000,$A547,'1_原始數據'!$B$2:$B$1000,$B547,'1_原始數據'!$D$2:$D$1000,$D547,'1_原始數據'!$I$2:$I$1000,$I547,'1_原始數據'!$C$2:$C$1000,"pasco_pct_acid")=0,"",SUMIFS('1_原始數據'!$E$2:$E$1000,'1_原始數據'!$A$2:$A$1000,$A547,'1_原始數據'!$B$2:$B$1000,$B547,'1_原始數據'!$D$2:$D$1000,$D547,'1_原始數據'!$I$2:$I$1000,$I547,'1_原始數據'!$C$2:$C$1000,"pasco_pct_acid"))))</f>
        <v/>
      </c>
      <c r="P547" s="26">
        <f>IF($A547="","",IF(OR(N547="",O547=""),"",O547-N547))</f>
        <v/>
      </c>
      <c r="Q547" s="24">
        <f>IF($A547="","",IF(P547="","",(O547+N547)/2))</f>
        <v/>
      </c>
      <c r="R547" s="27">
        <f>IF($A547="","",IF(P547="","",COUNT($P$2:P547)))</f>
        <v/>
      </c>
    </row>
    <row r="548">
      <c r="J548" s="24">
        <f>IF($A548="","",IF($C548&lt;&gt;"khp_titration_mL","",IF(COUNTIFS('1_原始數據'!$A$2:$A$1000,$A548,'1_原始數據'!$B$2:$B$1000,$B548,'1_原始數據'!$D$2:$D$1000,$D548,'1_原始數據'!$C$2:$C$1000,"khp_mass_g")=0,"",SUMIFS('1_原始數據'!$E$2:$E$1000,'1_原始數據'!$A$2:$A$1000,$A548,'1_原始數據'!$B$2:$B$1000,$B548,'1_原始數據'!$D$2:$D$1000,$D548,'1_原始數據'!$C$2:$C$1000,"khp_mass_g")/('2_NaOH標定'!$C$5*$E548/1000))))</f>
        <v/>
      </c>
      <c r="K548" s="24">
        <f>IF($A548="","",IF($C548&lt;&gt;"manual_titration_mL","",IF(COUNTIFS('1_原始數據'!$A$2:$A$1000,$A548,'1_原始數據'!$C$2:$C$1000,"khp_titration_mL")=0,"",AVERAGEIFS('1_原始數據'!$J$2:$J$1000,'1_原始數據'!$A$2:$A$1000,$A548,'1_原始數據'!$C$2:$C$1000,"khp_titration_mL"))))</f>
        <v/>
      </c>
      <c r="L548" s="25">
        <f>IF($A548="","",IF($C548&lt;&gt;"manual_titration_mL","",IFERROR(INDEX('3_可滴定酸度'!$E$6:$E$13,MATCH($I548,'3_可滴定酸度'!$B$6:$B$13,0)),"")))</f>
        <v/>
      </c>
      <c r="M548" s="25">
        <f>IF($A548="","",IF($C548&lt;&gt;"manual_titration_mL","",IFERROR(INDEX('3_可滴定酸度'!$F$6:$F$13,MATCH($I548,'3_可滴定酸度'!$B$6:$B$13,0)),"")))</f>
        <v/>
      </c>
      <c r="N548" s="24">
        <f>IF($A548="","",IF(OR(K548="",L548="",M548=""),"",K548*E548*L548/(M548*1000)*100))</f>
        <v/>
      </c>
      <c r="O548" s="24">
        <f>IF($A548="","",IF(N548="","",IF(COUNTIFS('1_原始數據'!$A$2:$A$1000,$A548,'1_原始數據'!$B$2:$B$1000,$B548,'1_原始數據'!$D$2:$D$1000,$D548,'1_原始數據'!$I$2:$I$1000,$I548,'1_原始數據'!$C$2:$C$1000,"pasco_pct_acid")=0,"",SUMIFS('1_原始數據'!$E$2:$E$1000,'1_原始數據'!$A$2:$A$1000,$A548,'1_原始數據'!$B$2:$B$1000,$B548,'1_原始數據'!$D$2:$D$1000,$D548,'1_原始數據'!$I$2:$I$1000,$I548,'1_原始數據'!$C$2:$C$1000,"pasco_pct_acid"))))</f>
        <v/>
      </c>
      <c r="P548" s="26">
        <f>IF($A548="","",IF(OR(N548="",O548=""),"",O548-N548))</f>
        <v/>
      </c>
      <c r="Q548" s="24">
        <f>IF($A548="","",IF(P548="","",(O548+N548)/2))</f>
        <v/>
      </c>
      <c r="R548" s="27">
        <f>IF($A548="","",IF(P548="","",COUNT($P$2:P548)))</f>
        <v/>
      </c>
    </row>
    <row r="549">
      <c r="J549" s="24">
        <f>IF($A549="","",IF($C549&lt;&gt;"khp_titration_mL","",IF(COUNTIFS('1_原始數據'!$A$2:$A$1000,$A549,'1_原始數據'!$B$2:$B$1000,$B549,'1_原始數據'!$D$2:$D$1000,$D549,'1_原始數據'!$C$2:$C$1000,"khp_mass_g")=0,"",SUMIFS('1_原始數據'!$E$2:$E$1000,'1_原始數據'!$A$2:$A$1000,$A549,'1_原始數據'!$B$2:$B$1000,$B549,'1_原始數據'!$D$2:$D$1000,$D549,'1_原始數據'!$C$2:$C$1000,"khp_mass_g")/('2_NaOH標定'!$C$5*$E549/1000))))</f>
        <v/>
      </c>
      <c r="K549" s="24">
        <f>IF($A549="","",IF($C549&lt;&gt;"manual_titration_mL","",IF(COUNTIFS('1_原始數據'!$A$2:$A$1000,$A549,'1_原始數據'!$C$2:$C$1000,"khp_titration_mL")=0,"",AVERAGEIFS('1_原始數據'!$J$2:$J$1000,'1_原始數據'!$A$2:$A$1000,$A549,'1_原始數據'!$C$2:$C$1000,"khp_titration_mL"))))</f>
        <v/>
      </c>
      <c r="L549" s="25">
        <f>IF($A549="","",IF($C549&lt;&gt;"manual_titration_mL","",IFERROR(INDEX('3_可滴定酸度'!$E$6:$E$13,MATCH($I549,'3_可滴定酸度'!$B$6:$B$13,0)),"")))</f>
        <v/>
      </c>
      <c r="M549" s="25">
        <f>IF($A549="","",IF($C549&lt;&gt;"manual_titration_mL","",IFERROR(INDEX('3_可滴定酸度'!$F$6:$F$13,MATCH($I549,'3_可滴定酸度'!$B$6:$B$13,0)),"")))</f>
        <v/>
      </c>
      <c r="N549" s="24">
        <f>IF($A549="","",IF(OR(K549="",L549="",M549=""),"",K549*E549*L549/(M549*1000)*100))</f>
        <v/>
      </c>
      <c r="O549" s="24">
        <f>IF($A549="","",IF(N549="","",IF(COUNTIFS('1_原始數據'!$A$2:$A$1000,$A549,'1_原始數據'!$B$2:$B$1000,$B549,'1_原始數據'!$D$2:$D$1000,$D549,'1_原始數據'!$I$2:$I$1000,$I549,'1_原始數據'!$C$2:$C$1000,"pasco_pct_acid")=0,"",SUMIFS('1_原始數據'!$E$2:$E$1000,'1_原始數據'!$A$2:$A$1000,$A549,'1_原始數據'!$B$2:$B$1000,$B549,'1_原始數據'!$D$2:$D$1000,$D549,'1_原始數據'!$I$2:$I$1000,$I549,'1_原始數據'!$C$2:$C$1000,"pasco_pct_acid"))))</f>
        <v/>
      </c>
      <c r="P549" s="26">
        <f>IF($A549="","",IF(OR(N549="",O549=""),"",O549-N549))</f>
        <v/>
      </c>
      <c r="Q549" s="24">
        <f>IF($A549="","",IF(P549="","",(O549+N549)/2))</f>
        <v/>
      </c>
      <c r="R549" s="27">
        <f>IF($A549="","",IF(P549="","",COUNT($P$2:P549)))</f>
        <v/>
      </c>
    </row>
    <row r="550">
      <c r="J550" s="24">
        <f>IF($A550="","",IF($C550&lt;&gt;"khp_titration_mL","",IF(COUNTIFS('1_原始數據'!$A$2:$A$1000,$A550,'1_原始數據'!$B$2:$B$1000,$B550,'1_原始數據'!$D$2:$D$1000,$D550,'1_原始數據'!$C$2:$C$1000,"khp_mass_g")=0,"",SUMIFS('1_原始數據'!$E$2:$E$1000,'1_原始數據'!$A$2:$A$1000,$A550,'1_原始數據'!$B$2:$B$1000,$B550,'1_原始數據'!$D$2:$D$1000,$D550,'1_原始數據'!$C$2:$C$1000,"khp_mass_g")/('2_NaOH標定'!$C$5*$E550/1000))))</f>
        <v/>
      </c>
      <c r="K550" s="24">
        <f>IF($A550="","",IF($C550&lt;&gt;"manual_titration_mL","",IF(COUNTIFS('1_原始數據'!$A$2:$A$1000,$A550,'1_原始數據'!$C$2:$C$1000,"khp_titration_mL")=0,"",AVERAGEIFS('1_原始數據'!$J$2:$J$1000,'1_原始數據'!$A$2:$A$1000,$A550,'1_原始數據'!$C$2:$C$1000,"khp_titration_mL"))))</f>
        <v/>
      </c>
      <c r="L550" s="25">
        <f>IF($A550="","",IF($C550&lt;&gt;"manual_titration_mL","",IFERROR(INDEX('3_可滴定酸度'!$E$6:$E$13,MATCH($I550,'3_可滴定酸度'!$B$6:$B$13,0)),"")))</f>
        <v/>
      </c>
      <c r="M550" s="25">
        <f>IF($A550="","",IF($C550&lt;&gt;"manual_titration_mL","",IFERROR(INDEX('3_可滴定酸度'!$F$6:$F$13,MATCH($I550,'3_可滴定酸度'!$B$6:$B$13,0)),"")))</f>
        <v/>
      </c>
      <c r="N550" s="24">
        <f>IF($A550="","",IF(OR(K550="",L550="",M550=""),"",K550*E550*L550/(M550*1000)*100))</f>
        <v/>
      </c>
      <c r="O550" s="24">
        <f>IF($A550="","",IF(N550="","",IF(COUNTIFS('1_原始數據'!$A$2:$A$1000,$A550,'1_原始數據'!$B$2:$B$1000,$B550,'1_原始數據'!$D$2:$D$1000,$D550,'1_原始數據'!$I$2:$I$1000,$I550,'1_原始數據'!$C$2:$C$1000,"pasco_pct_acid")=0,"",SUMIFS('1_原始數據'!$E$2:$E$1000,'1_原始數據'!$A$2:$A$1000,$A550,'1_原始數據'!$B$2:$B$1000,$B550,'1_原始數據'!$D$2:$D$1000,$D550,'1_原始數據'!$I$2:$I$1000,$I550,'1_原始數據'!$C$2:$C$1000,"pasco_pct_acid"))))</f>
        <v/>
      </c>
      <c r="P550" s="26">
        <f>IF($A550="","",IF(OR(N550="",O550=""),"",O550-N550))</f>
        <v/>
      </c>
      <c r="Q550" s="24">
        <f>IF($A550="","",IF(P550="","",(O550+N550)/2))</f>
        <v/>
      </c>
      <c r="R550" s="27">
        <f>IF($A550="","",IF(P550="","",COUNT($P$2:P550)))</f>
        <v/>
      </c>
    </row>
    <row r="551">
      <c r="J551" s="24">
        <f>IF($A551="","",IF($C551&lt;&gt;"khp_titration_mL","",IF(COUNTIFS('1_原始數據'!$A$2:$A$1000,$A551,'1_原始數據'!$B$2:$B$1000,$B551,'1_原始數據'!$D$2:$D$1000,$D551,'1_原始數據'!$C$2:$C$1000,"khp_mass_g")=0,"",SUMIFS('1_原始數據'!$E$2:$E$1000,'1_原始數據'!$A$2:$A$1000,$A551,'1_原始數據'!$B$2:$B$1000,$B551,'1_原始數據'!$D$2:$D$1000,$D551,'1_原始數據'!$C$2:$C$1000,"khp_mass_g")/('2_NaOH標定'!$C$5*$E551/1000))))</f>
        <v/>
      </c>
      <c r="K551" s="24">
        <f>IF($A551="","",IF($C551&lt;&gt;"manual_titration_mL","",IF(COUNTIFS('1_原始數據'!$A$2:$A$1000,$A551,'1_原始數據'!$C$2:$C$1000,"khp_titration_mL")=0,"",AVERAGEIFS('1_原始數據'!$J$2:$J$1000,'1_原始數據'!$A$2:$A$1000,$A551,'1_原始數據'!$C$2:$C$1000,"khp_titration_mL"))))</f>
        <v/>
      </c>
      <c r="L551" s="25">
        <f>IF($A551="","",IF($C551&lt;&gt;"manual_titration_mL","",IFERROR(INDEX('3_可滴定酸度'!$E$6:$E$13,MATCH($I551,'3_可滴定酸度'!$B$6:$B$13,0)),"")))</f>
        <v/>
      </c>
      <c r="M551" s="25">
        <f>IF($A551="","",IF($C551&lt;&gt;"manual_titration_mL","",IFERROR(INDEX('3_可滴定酸度'!$F$6:$F$13,MATCH($I551,'3_可滴定酸度'!$B$6:$B$13,0)),"")))</f>
        <v/>
      </c>
      <c r="N551" s="24">
        <f>IF($A551="","",IF(OR(K551="",L551="",M551=""),"",K551*E551*L551/(M551*1000)*100))</f>
        <v/>
      </c>
      <c r="O551" s="24">
        <f>IF($A551="","",IF(N551="","",IF(COUNTIFS('1_原始數據'!$A$2:$A$1000,$A551,'1_原始數據'!$B$2:$B$1000,$B551,'1_原始數據'!$D$2:$D$1000,$D551,'1_原始數據'!$I$2:$I$1000,$I551,'1_原始數據'!$C$2:$C$1000,"pasco_pct_acid")=0,"",SUMIFS('1_原始數據'!$E$2:$E$1000,'1_原始數據'!$A$2:$A$1000,$A551,'1_原始數據'!$B$2:$B$1000,$B551,'1_原始數據'!$D$2:$D$1000,$D551,'1_原始數據'!$I$2:$I$1000,$I551,'1_原始數據'!$C$2:$C$1000,"pasco_pct_acid"))))</f>
        <v/>
      </c>
      <c r="P551" s="26">
        <f>IF($A551="","",IF(OR(N551="",O551=""),"",O551-N551))</f>
        <v/>
      </c>
      <c r="Q551" s="24">
        <f>IF($A551="","",IF(P551="","",(O551+N551)/2))</f>
        <v/>
      </c>
      <c r="R551" s="27">
        <f>IF($A551="","",IF(P551="","",COUNT($P$2:P551)))</f>
        <v/>
      </c>
    </row>
    <row r="552">
      <c r="J552" s="24">
        <f>IF($A552="","",IF($C552&lt;&gt;"khp_titration_mL","",IF(COUNTIFS('1_原始數據'!$A$2:$A$1000,$A552,'1_原始數據'!$B$2:$B$1000,$B552,'1_原始數據'!$D$2:$D$1000,$D552,'1_原始數據'!$C$2:$C$1000,"khp_mass_g")=0,"",SUMIFS('1_原始數據'!$E$2:$E$1000,'1_原始數據'!$A$2:$A$1000,$A552,'1_原始數據'!$B$2:$B$1000,$B552,'1_原始數據'!$D$2:$D$1000,$D552,'1_原始數據'!$C$2:$C$1000,"khp_mass_g")/('2_NaOH標定'!$C$5*$E552/1000))))</f>
        <v/>
      </c>
      <c r="K552" s="24">
        <f>IF($A552="","",IF($C552&lt;&gt;"manual_titration_mL","",IF(COUNTIFS('1_原始數據'!$A$2:$A$1000,$A552,'1_原始數據'!$C$2:$C$1000,"khp_titration_mL")=0,"",AVERAGEIFS('1_原始數據'!$J$2:$J$1000,'1_原始數據'!$A$2:$A$1000,$A552,'1_原始數據'!$C$2:$C$1000,"khp_titration_mL"))))</f>
        <v/>
      </c>
      <c r="L552" s="25">
        <f>IF($A552="","",IF($C552&lt;&gt;"manual_titration_mL","",IFERROR(INDEX('3_可滴定酸度'!$E$6:$E$13,MATCH($I552,'3_可滴定酸度'!$B$6:$B$13,0)),"")))</f>
        <v/>
      </c>
      <c r="M552" s="25">
        <f>IF($A552="","",IF($C552&lt;&gt;"manual_titration_mL","",IFERROR(INDEX('3_可滴定酸度'!$F$6:$F$13,MATCH($I552,'3_可滴定酸度'!$B$6:$B$13,0)),"")))</f>
        <v/>
      </c>
      <c r="N552" s="24">
        <f>IF($A552="","",IF(OR(K552="",L552="",M552=""),"",K552*E552*L552/(M552*1000)*100))</f>
        <v/>
      </c>
      <c r="O552" s="24">
        <f>IF($A552="","",IF(N552="","",IF(COUNTIFS('1_原始數據'!$A$2:$A$1000,$A552,'1_原始數據'!$B$2:$B$1000,$B552,'1_原始數據'!$D$2:$D$1000,$D552,'1_原始數據'!$I$2:$I$1000,$I552,'1_原始數據'!$C$2:$C$1000,"pasco_pct_acid")=0,"",SUMIFS('1_原始數據'!$E$2:$E$1000,'1_原始數據'!$A$2:$A$1000,$A552,'1_原始數據'!$B$2:$B$1000,$B552,'1_原始數據'!$D$2:$D$1000,$D552,'1_原始數據'!$I$2:$I$1000,$I552,'1_原始數據'!$C$2:$C$1000,"pasco_pct_acid"))))</f>
        <v/>
      </c>
      <c r="P552" s="26">
        <f>IF($A552="","",IF(OR(N552="",O552=""),"",O552-N552))</f>
        <v/>
      </c>
      <c r="Q552" s="24">
        <f>IF($A552="","",IF(P552="","",(O552+N552)/2))</f>
        <v/>
      </c>
      <c r="R552" s="27">
        <f>IF($A552="","",IF(P552="","",COUNT($P$2:P552)))</f>
        <v/>
      </c>
    </row>
    <row r="553">
      <c r="J553" s="24">
        <f>IF($A553="","",IF($C553&lt;&gt;"khp_titration_mL","",IF(COUNTIFS('1_原始數據'!$A$2:$A$1000,$A553,'1_原始數據'!$B$2:$B$1000,$B553,'1_原始數據'!$D$2:$D$1000,$D553,'1_原始數據'!$C$2:$C$1000,"khp_mass_g")=0,"",SUMIFS('1_原始數據'!$E$2:$E$1000,'1_原始數據'!$A$2:$A$1000,$A553,'1_原始數據'!$B$2:$B$1000,$B553,'1_原始數據'!$D$2:$D$1000,$D553,'1_原始數據'!$C$2:$C$1000,"khp_mass_g")/('2_NaOH標定'!$C$5*$E553/1000))))</f>
        <v/>
      </c>
      <c r="K553" s="24">
        <f>IF($A553="","",IF($C553&lt;&gt;"manual_titration_mL","",IF(COUNTIFS('1_原始數據'!$A$2:$A$1000,$A553,'1_原始數據'!$C$2:$C$1000,"khp_titration_mL")=0,"",AVERAGEIFS('1_原始數據'!$J$2:$J$1000,'1_原始數據'!$A$2:$A$1000,$A553,'1_原始數據'!$C$2:$C$1000,"khp_titration_mL"))))</f>
        <v/>
      </c>
      <c r="L553" s="25">
        <f>IF($A553="","",IF($C553&lt;&gt;"manual_titration_mL","",IFERROR(INDEX('3_可滴定酸度'!$E$6:$E$13,MATCH($I553,'3_可滴定酸度'!$B$6:$B$13,0)),"")))</f>
        <v/>
      </c>
      <c r="M553" s="25">
        <f>IF($A553="","",IF($C553&lt;&gt;"manual_titration_mL","",IFERROR(INDEX('3_可滴定酸度'!$F$6:$F$13,MATCH($I553,'3_可滴定酸度'!$B$6:$B$13,0)),"")))</f>
        <v/>
      </c>
      <c r="N553" s="24">
        <f>IF($A553="","",IF(OR(K553="",L553="",M553=""),"",K553*E553*L553/(M553*1000)*100))</f>
        <v/>
      </c>
      <c r="O553" s="24">
        <f>IF($A553="","",IF(N553="","",IF(COUNTIFS('1_原始數據'!$A$2:$A$1000,$A553,'1_原始數據'!$B$2:$B$1000,$B553,'1_原始數據'!$D$2:$D$1000,$D553,'1_原始數據'!$I$2:$I$1000,$I553,'1_原始數據'!$C$2:$C$1000,"pasco_pct_acid")=0,"",SUMIFS('1_原始數據'!$E$2:$E$1000,'1_原始數據'!$A$2:$A$1000,$A553,'1_原始數據'!$B$2:$B$1000,$B553,'1_原始數據'!$D$2:$D$1000,$D553,'1_原始數據'!$I$2:$I$1000,$I553,'1_原始數據'!$C$2:$C$1000,"pasco_pct_acid"))))</f>
        <v/>
      </c>
      <c r="P553" s="26">
        <f>IF($A553="","",IF(OR(N553="",O553=""),"",O553-N553))</f>
        <v/>
      </c>
      <c r="Q553" s="24">
        <f>IF($A553="","",IF(P553="","",(O553+N553)/2))</f>
        <v/>
      </c>
      <c r="R553" s="27">
        <f>IF($A553="","",IF(P553="","",COUNT($P$2:P553)))</f>
        <v/>
      </c>
    </row>
    <row r="554">
      <c r="J554" s="24">
        <f>IF($A554="","",IF($C554&lt;&gt;"khp_titration_mL","",IF(COUNTIFS('1_原始數據'!$A$2:$A$1000,$A554,'1_原始數據'!$B$2:$B$1000,$B554,'1_原始數據'!$D$2:$D$1000,$D554,'1_原始數據'!$C$2:$C$1000,"khp_mass_g")=0,"",SUMIFS('1_原始數據'!$E$2:$E$1000,'1_原始數據'!$A$2:$A$1000,$A554,'1_原始數據'!$B$2:$B$1000,$B554,'1_原始數據'!$D$2:$D$1000,$D554,'1_原始數據'!$C$2:$C$1000,"khp_mass_g")/('2_NaOH標定'!$C$5*$E554/1000))))</f>
        <v/>
      </c>
      <c r="K554" s="24">
        <f>IF($A554="","",IF($C554&lt;&gt;"manual_titration_mL","",IF(COUNTIFS('1_原始數據'!$A$2:$A$1000,$A554,'1_原始數據'!$C$2:$C$1000,"khp_titration_mL")=0,"",AVERAGEIFS('1_原始數據'!$J$2:$J$1000,'1_原始數據'!$A$2:$A$1000,$A554,'1_原始數據'!$C$2:$C$1000,"khp_titration_mL"))))</f>
        <v/>
      </c>
      <c r="L554" s="25">
        <f>IF($A554="","",IF($C554&lt;&gt;"manual_titration_mL","",IFERROR(INDEX('3_可滴定酸度'!$E$6:$E$13,MATCH($I554,'3_可滴定酸度'!$B$6:$B$13,0)),"")))</f>
        <v/>
      </c>
      <c r="M554" s="25">
        <f>IF($A554="","",IF($C554&lt;&gt;"manual_titration_mL","",IFERROR(INDEX('3_可滴定酸度'!$F$6:$F$13,MATCH($I554,'3_可滴定酸度'!$B$6:$B$13,0)),"")))</f>
        <v/>
      </c>
      <c r="N554" s="24">
        <f>IF($A554="","",IF(OR(K554="",L554="",M554=""),"",K554*E554*L554/(M554*1000)*100))</f>
        <v/>
      </c>
      <c r="O554" s="24">
        <f>IF($A554="","",IF(N554="","",IF(COUNTIFS('1_原始數據'!$A$2:$A$1000,$A554,'1_原始數據'!$B$2:$B$1000,$B554,'1_原始數據'!$D$2:$D$1000,$D554,'1_原始數據'!$I$2:$I$1000,$I554,'1_原始數據'!$C$2:$C$1000,"pasco_pct_acid")=0,"",SUMIFS('1_原始數據'!$E$2:$E$1000,'1_原始數據'!$A$2:$A$1000,$A554,'1_原始數據'!$B$2:$B$1000,$B554,'1_原始數據'!$D$2:$D$1000,$D554,'1_原始數據'!$I$2:$I$1000,$I554,'1_原始數據'!$C$2:$C$1000,"pasco_pct_acid"))))</f>
        <v/>
      </c>
      <c r="P554" s="26">
        <f>IF($A554="","",IF(OR(N554="",O554=""),"",O554-N554))</f>
        <v/>
      </c>
      <c r="Q554" s="24">
        <f>IF($A554="","",IF(P554="","",(O554+N554)/2))</f>
        <v/>
      </c>
      <c r="R554" s="27">
        <f>IF($A554="","",IF(P554="","",COUNT($P$2:P554)))</f>
        <v/>
      </c>
    </row>
    <row r="555">
      <c r="J555" s="24">
        <f>IF($A555="","",IF($C555&lt;&gt;"khp_titration_mL","",IF(COUNTIFS('1_原始數據'!$A$2:$A$1000,$A555,'1_原始數據'!$B$2:$B$1000,$B555,'1_原始數據'!$D$2:$D$1000,$D555,'1_原始數據'!$C$2:$C$1000,"khp_mass_g")=0,"",SUMIFS('1_原始數據'!$E$2:$E$1000,'1_原始數據'!$A$2:$A$1000,$A555,'1_原始數據'!$B$2:$B$1000,$B555,'1_原始數據'!$D$2:$D$1000,$D555,'1_原始數據'!$C$2:$C$1000,"khp_mass_g")/('2_NaOH標定'!$C$5*$E555/1000))))</f>
        <v/>
      </c>
      <c r="K555" s="24">
        <f>IF($A555="","",IF($C555&lt;&gt;"manual_titration_mL","",IF(COUNTIFS('1_原始數據'!$A$2:$A$1000,$A555,'1_原始數據'!$C$2:$C$1000,"khp_titration_mL")=0,"",AVERAGEIFS('1_原始數據'!$J$2:$J$1000,'1_原始數據'!$A$2:$A$1000,$A555,'1_原始數據'!$C$2:$C$1000,"khp_titration_mL"))))</f>
        <v/>
      </c>
      <c r="L555" s="25">
        <f>IF($A555="","",IF($C555&lt;&gt;"manual_titration_mL","",IFERROR(INDEX('3_可滴定酸度'!$E$6:$E$13,MATCH($I555,'3_可滴定酸度'!$B$6:$B$13,0)),"")))</f>
        <v/>
      </c>
      <c r="M555" s="25">
        <f>IF($A555="","",IF($C555&lt;&gt;"manual_titration_mL","",IFERROR(INDEX('3_可滴定酸度'!$F$6:$F$13,MATCH($I555,'3_可滴定酸度'!$B$6:$B$13,0)),"")))</f>
        <v/>
      </c>
      <c r="N555" s="24">
        <f>IF($A555="","",IF(OR(K555="",L555="",M555=""),"",K555*E555*L555/(M555*1000)*100))</f>
        <v/>
      </c>
      <c r="O555" s="24">
        <f>IF($A555="","",IF(N555="","",IF(COUNTIFS('1_原始數據'!$A$2:$A$1000,$A555,'1_原始數據'!$B$2:$B$1000,$B555,'1_原始數據'!$D$2:$D$1000,$D555,'1_原始數據'!$I$2:$I$1000,$I555,'1_原始數據'!$C$2:$C$1000,"pasco_pct_acid")=0,"",SUMIFS('1_原始數據'!$E$2:$E$1000,'1_原始數據'!$A$2:$A$1000,$A555,'1_原始數據'!$B$2:$B$1000,$B555,'1_原始數據'!$D$2:$D$1000,$D555,'1_原始數據'!$I$2:$I$1000,$I555,'1_原始數據'!$C$2:$C$1000,"pasco_pct_acid"))))</f>
        <v/>
      </c>
      <c r="P555" s="26">
        <f>IF($A555="","",IF(OR(N555="",O555=""),"",O555-N555))</f>
        <v/>
      </c>
      <c r="Q555" s="24">
        <f>IF($A555="","",IF(P555="","",(O555+N555)/2))</f>
        <v/>
      </c>
      <c r="R555" s="27">
        <f>IF($A555="","",IF(P555="","",COUNT($P$2:P555)))</f>
        <v/>
      </c>
    </row>
    <row r="556">
      <c r="J556" s="24">
        <f>IF($A556="","",IF($C556&lt;&gt;"khp_titration_mL","",IF(COUNTIFS('1_原始數據'!$A$2:$A$1000,$A556,'1_原始數據'!$B$2:$B$1000,$B556,'1_原始數據'!$D$2:$D$1000,$D556,'1_原始數據'!$C$2:$C$1000,"khp_mass_g")=0,"",SUMIFS('1_原始數據'!$E$2:$E$1000,'1_原始數據'!$A$2:$A$1000,$A556,'1_原始數據'!$B$2:$B$1000,$B556,'1_原始數據'!$D$2:$D$1000,$D556,'1_原始數據'!$C$2:$C$1000,"khp_mass_g")/('2_NaOH標定'!$C$5*$E556/1000))))</f>
        <v/>
      </c>
      <c r="K556" s="24">
        <f>IF($A556="","",IF($C556&lt;&gt;"manual_titration_mL","",IF(COUNTIFS('1_原始數據'!$A$2:$A$1000,$A556,'1_原始數據'!$C$2:$C$1000,"khp_titration_mL")=0,"",AVERAGEIFS('1_原始數據'!$J$2:$J$1000,'1_原始數據'!$A$2:$A$1000,$A556,'1_原始數據'!$C$2:$C$1000,"khp_titration_mL"))))</f>
        <v/>
      </c>
      <c r="L556" s="25">
        <f>IF($A556="","",IF($C556&lt;&gt;"manual_titration_mL","",IFERROR(INDEX('3_可滴定酸度'!$E$6:$E$13,MATCH($I556,'3_可滴定酸度'!$B$6:$B$13,0)),"")))</f>
        <v/>
      </c>
      <c r="M556" s="25">
        <f>IF($A556="","",IF($C556&lt;&gt;"manual_titration_mL","",IFERROR(INDEX('3_可滴定酸度'!$F$6:$F$13,MATCH($I556,'3_可滴定酸度'!$B$6:$B$13,0)),"")))</f>
        <v/>
      </c>
      <c r="N556" s="24">
        <f>IF($A556="","",IF(OR(K556="",L556="",M556=""),"",K556*E556*L556/(M556*1000)*100))</f>
        <v/>
      </c>
      <c r="O556" s="24">
        <f>IF($A556="","",IF(N556="","",IF(COUNTIFS('1_原始數據'!$A$2:$A$1000,$A556,'1_原始數據'!$B$2:$B$1000,$B556,'1_原始數據'!$D$2:$D$1000,$D556,'1_原始數據'!$I$2:$I$1000,$I556,'1_原始數據'!$C$2:$C$1000,"pasco_pct_acid")=0,"",SUMIFS('1_原始數據'!$E$2:$E$1000,'1_原始數據'!$A$2:$A$1000,$A556,'1_原始數據'!$B$2:$B$1000,$B556,'1_原始數據'!$D$2:$D$1000,$D556,'1_原始數據'!$I$2:$I$1000,$I556,'1_原始數據'!$C$2:$C$1000,"pasco_pct_acid"))))</f>
        <v/>
      </c>
      <c r="P556" s="26">
        <f>IF($A556="","",IF(OR(N556="",O556=""),"",O556-N556))</f>
        <v/>
      </c>
      <c r="Q556" s="24">
        <f>IF($A556="","",IF(P556="","",(O556+N556)/2))</f>
        <v/>
      </c>
      <c r="R556" s="27">
        <f>IF($A556="","",IF(P556="","",COUNT($P$2:P556)))</f>
        <v/>
      </c>
    </row>
    <row r="557">
      <c r="J557" s="24">
        <f>IF($A557="","",IF($C557&lt;&gt;"khp_titration_mL","",IF(COUNTIFS('1_原始數據'!$A$2:$A$1000,$A557,'1_原始數據'!$B$2:$B$1000,$B557,'1_原始數據'!$D$2:$D$1000,$D557,'1_原始數據'!$C$2:$C$1000,"khp_mass_g")=0,"",SUMIFS('1_原始數據'!$E$2:$E$1000,'1_原始數據'!$A$2:$A$1000,$A557,'1_原始數據'!$B$2:$B$1000,$B557,'1_原始數據'!$D$2:$D$1000,$D557,'1_原始數據'!$C$2:$C$1000,"khp_mass_g")/('2_NaOH標定'!$C$5*$E557/1000))))</f>
        <v/>
      </c>
      <c r="K557" s="24">
        <f>IF($A557="","",IF($C557&lt;&gt;"manual_titration_mL","",IF(COUNTIFS('1_原始數據'!$A$2:$A$1000,$A557,'1_原始數據'!$C$2:$C$1000,"khp_titration_mL")=0,"",AVERAGEIFS('1_原始數據'!$J$2:$J$1000,'1_原始數據'!$A$2:$A$1000,$A557,'1_原始數據'!$C$2:$C$1000,"khp_titration_mL"))))</f>
        <v/>
      </c>
      <c r="L557" s="25">
        <f>IF($A557="","",IF($C557&lt;&gt;"manual_titration_mL","",IFERROR(INDEX('3_可滴定酸度'!$E$6:$E$13,MATCH($I557,'3_可滴定酸度'!$B$6:$B$13,0)),"")))</f>
        <v/>
      </c>
      <c r="M557" s="25">
        <f>IF($A557="","",IF($C557&lt;&gt;"manual_titration_mL","",IFERROR(INDEX('3_可滴定酸度'!$F$6:$F$13,MATCH($I557,'3_可滴定酸度'!$B$6:$B$13,0)),"")))</f>
        <v/>
      </c>
      <c r="N557" s="24">
        <f>IF($A557="","",IF(OR(K557="",L557="",M557=""),"",K557*E557*L557/(M557*1000)*100))</f>
        <v/>
      </c>
      <c r="O557" s="24">
        <f>IF($A557="","",IF(N557="","",IF(COUNTIFS('1_原始數據'!$A$2:$A$1000,$A557,'1_原始數據'!$B$2:$B$1000,$B557,'1_原始數據'!$D$2:$D$1000,$D557,'1_原始數據'!$I$2:$I$1000,$I557,'1_原始數據'!$C$2:$C$1000,"pasco_pct_acid")=0,"",SUMIFS('1_原始數據'!$E$2:$E$1000,'1_原始數據'!$A$2:$A$1000,$A557,'1_原始數據'!$B$2:$B$1000,$B557,'1_原始數據'!$D$2:$D$1000,$D557,'1_原始數據'!$I$2:$I$1000,$I557,'1_原始數據'!$C$2:$C$1000,"pasco_pct_acid"))))</f>
        <v/>
      </c>
      <c r="P557" s="26">
        <f>IF($A557="","",IF(OR(N557="",O557=""),"",O557-N557))</f>
        <v/>
      </c>
      <c r="Q557" s="24">
        <f>IF($A557="","",IF(P557="","",(O557+N557)/2))</f>
        <v/>
      </c>
      <c r="R557" s="27">
        <f>IF($A557="","",IF(P557="","",COUNT($P$2:P557)))</f>
        <v/>
      </c>
    </row>
    <row r="558">
      <c r="J558" s="24">
        <f>IF($A558="","",IF($C558&lt;&gt;"khp_titration_mL","",IF(COUNTIFS('1_原始數據'!$A$2:$A$1000,$A558,'1_原始數據'!$B$2:$B$1000,$B558,'1_原始數據'!$D$2:$D$1000,$D558,'1_原始數據'!$C$2:$C$1000,"khp_mass_g")=0,"",SUMIFS('1_原始數據'!$E$2:$E$1000,'1_原始數據'!$A$2:$A$1000,$A558,'1_原始數據'!$B$2:$B$1000,$B558,'1_原始數據'!$D$2:$D$1000,$D558,'1_原始數據'!$C$2:$C$1000,"khp_mass_g")/('2_NaOH標定'!$C$5*$E558/1000))))</f>
        <v/>
      </c>
      <c r="K558" s="24">
        <f>IF($A558="","",IF($C558&lt;&gt;"manual_titration_mL","",IF(COUNTIFS('1_原始數據'!$A$2:$A$1000,$A558,'1_原始數據'!$C$2:$C$1000,"khp_titration_mL")=0,"",AVERAGEIFS('1_原始數據'!$J$2:$J$1000,'1_原始數據'!$A$2:$A$1000,$A558,'1_原始數據'!$C$2:$C$1000,"khp_titration_mL"))))</f>
        <v/>
      </c>
      <c r="L558" s="25">
        <f>IF($A558="","",IF($C558&lt;&gt;"manual_titration_mL","",IFERROR(INDEX('3_可滴定酸度'!$E$6:$E$13,MATCH($I558,'3_可滴定酸度'!$B$6:$B$13,0)),"")))</f>
        <v/>
      </c>
      <c r="M558" s="25">
        <f>IF($A558="","",IF($C558&lt;&gt;"manual_titration_mL","",IFERROR(INDEX('3_可滴定酸度'!$F$6:$F$13,MATCH($I558,'3_可滴定酸度'!$B$6:$B$13,0)),"")))</f>
        <v/>
      </c>
      <c r="N558" s="24">
        <f>IF($A558="","",IF(OR(K558="",L558="",M558=""),"",K558*E558*L558/(M558*1000)*100))</f>
        <v/>
      </c>
      <c r="O558" s="24">
        <f>IF($A558="","",IF(N558="","",IF(COUNTIFS('1_原始數據'!$A$2:$A$1000,$A558,'1_原始數據'!$B$2:$B$1000,$B558,'1_原始數據'!$D$2:$D$1000,$D558,'1_原始數據'!$I$2:$I$1000,$I558,'1_原始數據'!$C$2:$C$1000,"pasco_pct_acid")=0,"",SUMIFS('1_原始數據'!$E$2:$E$1000,'1_原始數據'!$A$2:$A$1000,$A558,'1_原始數據'!$B$2:$B$1000,$B558,'1_原始數據'!$D$2:$D$1000,$D558,'1_原始數據'!$I$2:$I$1000,$I558,'1_原始數據'!$C$2:$C$1000,"pasco_pct_acid"))))</f>
        <v/>
      </c>
      <c r="P558" s="26">
        <f>IF($A558="","",IF(OR(N558="",O558=""),"",O558-N558))</f>
        <v/>
      </c>
      <c r="Q558" s="24">
        <f>IF($A558="","",IF(P558="","",(O558+N558)/2))</f>
        <v/>
      </c>
      <c r="R558" s="27">
        <f>IF($A558="","",IF(P558="","",COUNT($P$2:P558)))</f>
        <v/>
      </c>
    </row>
    <row r="559">
      <c r="J559" s="24">
        <f>IF($A559="","",IF($C559&lt;&gt;"khp_titration_mL","",IF(COUNTIFS('1_原始數據'!$A$2:$A$1000,$A559,'1_原始數據'!$B$2:$B$1000,$B559,'1_原始數據'!$D$2:$D$1000,$D559,'1_原始數據'!$C$2:$C$1000,"khp_mass_g")=0,"",SUMIFS('1_原始數據'!$E$2:$E$1000,'1_原始數據'!$A$2:$A$1000,$A559,'1_原始數據'!$B$2:$B$1000,$B559,'1_原始數據'!$D$2:$D$1000,$D559,'1_原始數據'!$C$2:$C$1000,"khp_mass_g")/('2_NaOH標定'!$C$5*$E559/1000))))</f>
        <v/>
      </c>
      <c r="K559" s="24">
        <f>IF($A559="","",IF($C559&lt;&gt;"manual_titration_mL","",IF(COUNTIFS('1_原始數據'!$A$2:$A$1000,$A559,'1_原始數據'!$C$2:$C$1000,"khp_titration_mL")=0,"",AVERAGEIFS('1_原始數據'!$J$2:$J$1000,'1_原始數據'!$A$2:$A$1000,$A559,'1_原始數據'!$C$2:$C$1000,"khp_titration_mL"))))</f>
        <v/>
      </c>
      <c r="L559" s="25">
        <f>IF($A559="","",IF($C559&lt;&gt;"manual_titration_mL","",IFERROR(INDEX('3_可滴定酸度'!$E$6:$E$13,MATCH($I559,'3_可滴定酸度'!$B$6:$B$13,0)),"")))</f>
        <v/>
      </c>
      <c r="M559" s="25">
        <f>IF($A559="","",IF($C559&lt;&gt;"manual_titration_mL","",IFERROR(INDEX('3_可滴定酸度'!$F$6:$F$13,MATCH($I559,'3_可滴定酸度'!$B$6:$B$13,0)),"")))</f>
        <v/>
      </c>
      <c r="N559" s="24">
        <f>IF($A559="","",IF(OR(K559="",L559="",M559=""),"",K559*E559*L559/(M559*1000)*100))</f>
        <v/>
      </c>
      <c r="O559" s="24">
        <f>IF($A559="","",IF(N559="","",IF(COUNTIFS('1_原始數據'!$A$2:$A$1000,$A559,'1_原始數據'!$B$2:$B$1000,$B559,'1_原始數據'!$D$2:$D$1000,$D559,'1_原始數據'!$I$2:$I$1000,$I559,'1_原始數據'!$C$2:$C$1000,"pasco_pct_acid")=0,"",SUMIFS('1_原始數據'!$E$2:$E$1000,'1_原始數據'!$A$2:$A$1000,$A559,'1_原始數據'!$B$2:$B$1000,$B559,'1_原始數據'!$D$2:$D$1000,$D559,'1_原始數據'!$I$2:$I$1000,$I559,'1_原始數據'!$C$2:$C$1000,"pasco_pct_acid"))))</f>
        <v/>
      </c>
      <c r="P559" s="26">
        <f>IF($A559="","",IF(OR(N559="",O559=""),"",O559-N559))</f>
        <v/>
      </c>
      <c r="Q559" s="24">
        <f>IF($A559="","",IF(P559="","",(O559+N559)/2))</f>
        <v/>
      </c>
      <c r="R559" s="27">
        <f>IF($A559="","",IF(P559="","",COUNT($P$2:P559)))</f>
        <v/>
      </c>
    </row>
    <row r="560">
      <c r="J560" s="24">
        <f>IF($A560="","",IF($C560&lt;&gt;"khp_titration_mL","",IF(COUNTIFS('1_原始數據'!$A$2:$A$1000,$A560,'1_原始數據'!$B$2:$B$1000,$B560,'1_原始數據'!$D$2:$D$1000,$D560,'1_原始數據'!$C$2:$C$1000,"khp_mass_g")=0,"",SUMIFS('1_原始數據'!$E$2:$E$1000,'1_原始數據'!$A$2:$A$1000,$A560,'1_原始數據'!$B$2:$B$1000,$B560,'1_原始數據'!$D$2:$D$1000,$D560,'1_原始數據'!$C$2:$C$1000,"khp_mass_g")/('2_NaOH標定'!$C$5*$E560/1000))))</f>
        <v/>
      </c>
      <c r="K560" s="24">
        <f>IF($A560="","",IF($C560&lt;&gt;"manual_titration_mL","",IF(COUNTIFS('1_原始數據'!$A$2:$A$1000,$A560,'1_原始數據'!$C$2:$C$1000,"khp_titration_mL")=0,"",AVERAGEIFS('1_原始數據'!$J$2:$J$1000,'1_原始數據'!$A$2:$A$1000,$A560,'1_原始數據'!$C$2:$C$1000,"khp_titration_mL"))))</f>
        <v/>
      </c>
      <c r="L560" s="25">
        <f>IF($A560="","",IF($C560&lt;&gt;"manual_titration_mL","",IFERROR(INDEX('3_可滴定酸度'!$E$6:$E$13,MATCH($I560,'3_可滴定酸度'!$B$6:$B$13,0)),"")))</f>
        <v/>
      </c>
      <c r="M560" s="25">
        <f>IF($A560="","",IF($C560&lt;&gt;"manual_titration_mL","",IFERROR(INDEX('3_可滴定酸度'!$F$6:$F$13,MATCH($I560,'3_可滴定酸度'!$B$6:$B$13,0)),"")))</f>
        <v/>
      </c>
      <c r="N560" s="24">
        <f>IF($A560="","",IF(OR(K560="",L560="",M560=""),"",K560*E560*L560/(M560*1000)*100))</f>
        <v/>
      </c>
      <c r="O560" s="24">
        <f>IF($A560="","",IF(N560="","",IF(COUNTIFS('1_原始數據'!$A$2:$A$1000,$A560,'1_原始數據'!$B$2:$B$1000,$B560,'1_原始數據'!$D$2:$D$1000,$D560,'1_原始數據'!$I$2:$I$1000,$I560,'1_原始數據'!$C$2:$C$1000,"pasco_pct_acid")=0,"",SUMIFS('1_原始數據'!$E$2:$E$1000,'1_原始數據'!$A$2:$A$1000,$A560,'1_原始數據'!$B$2:$B$1000,$B560,'1_原始數據'!$D$2:$D$1000,$D560,'1_原始數據'!$I$2:$I$1000,$I560,'1_原始數據'!$C$2:$C$1000,"pasco_pct_acid"))))</f>
        <v/>
      </c>
      <c r="P560" s="26">
        <f>IF($A560="","",IF(OR(N560="",O560=""),"",O560-N560))</f>
        <v/>
      </c>
      <c r="Q560" s="24">
        <f>IF($A560="","",IF(P560="","",(O560+N560)/2))</f>
        <v/>
      </c>
      <c r="R560" s="27">
        <f>IF($A560="","",IF(P560="","",COUNT($P$2:P560)))</f>
        <v/>
      </c>
    </row>
    <row r="561">
      <c r="J561" s="24">
        <f>IF($A561="","",IF($C561&lt;&gt;"khp_titration_mL","",IF(COUNTIFS('1_原始數據'!$A$2:$A$1000,$A561,'1_原始數據'!$B$2:$B$1000,$B561,'1_原始數據'!$D$2:$D$1000,$D561,'1_原始數據'!$C$2:$C$1000,"khp_mass_g")=0,"",SUMIFS('1_原始數據'!$E$2:$E$1000,'1_原始數據'!$A$2:$A$1000,$A561,'1_原始數據'!$B$2:$B$1000,$B561,'1_原始數據'!$D$2:$D$1000,$D561,'1_原始數據'!$C$2:$C$1000,"khp_mass_g")/('2_NaOH標定'!$C$5*$E561/1000))))</f>
        <v/>
      </c>
      <c r="K561" s="24">
        <f>IF($A561="","",IF($C561&lt;&gt;"manual_titration_mL","",IF(COUNTIFS('1_原始數據'!$A$2:$A$1000,$A561,'1_原始數據'!$C$2:$C$1000,"khp_titration_mL")=0,"",AVERAGEIFS('1_原始數據'!$J$2:$J$1000,'1_原始數據'!$A$2:$A$1000,$A561,'1_原始數據'!$C$2:$C$1000,"khp_titration_mL"))))</f>
        <v/>
      </c>
      <c r="L561" s="25">
        <f>IF($A561="","",IF($C561&lt;&gt;"manual_titration_mL","",IFERROR(INDEX('3_可滴定酸度'!$E$6:$E$13,MATCH($I561,'3_可滴定酸度'!$B$6:$B$13,0)),"")))</f>
        <v/>
      </c>
      <c r="M561" s="25">
        <f>IF($A561="","",IF($C561&lt;&gt;"manual_titration_mL","",IFERROR(INDEX('3_可滴定酸度'!$F$6:$F$13,MATCH($I561,'3_可滴定酸度'!$B$6:$B$13,0)),"")))</f>
        <v/>
      </c>
      <c r="N561" s="24">
        <f>IF($A561="","",IF(OR(K561="",L561="",M561=""),"",K561*E561*L561/(M561*1000)*100))</f>
        <v/>
      </c>
      <c r="O561" s="24">
        <f>IF($A561="","",IF(N561="","",IF(COUNTIFS('1_原始數據'!$A$2:$A$1000,$A561,'1_原始數據'!$B$2:$B$1000,$B561,'1_原始數據'!$D$2:$D$1000,$D561,'1_原始數據'!$I$2:$I$1000,$I561,'1_原始數據'!$C$2:$C$1000,"pasco_pct_acid")=0,"",SUMIFS('1_原始數據'!$E$2:$E$1000,'1_原始數據'!$A$2:$A$1000,$A561,'1_原始數據'!$B$2:$B$1000,$B561,'1_原始數據'!$D$2:$D$1000,$D561,'1_原始數據'!$I$2:$I$1000,$I561,'1_原始數據'!$C$2:$C$1000,"pasco_pct_acid"))))</f>
        <v/>
      </c>
      <c r="P561" s="26">
        <f>IF($A561="","",IF(OR(N561="",O561=""),"",O561-N561))</f>
        <v/>
      </c>
      <c r="Q561" s="24">
        <f>IF($A561="","",IF(P561="","",(O561+N561)/2))</f>
        <v/>
      </c>
      <c r="R561" s="27">
        <f>IF($A561="","",IF(P561="","",COUNT($P$2:P561)))</f>
        <v/>
      </c>
    </row>
    <row r="562">
      <c r="J562" s="24">
        <f>IF($A562="","",IF($C562&lt;&gt;"khp_titration_mL","",IF(COUNTIFS('1_原始數據'!$A$2:$A$1000,$A562,'1_原始數據'!$B$2:$B$1000,$B562,'1_原始數據'!$D$2:$D$1000,$D562,'1_原始數據'!$C$2:$C$1000,"khp_mass_g")=0,"",SUMIFS('1_原始數據'!$E$2:$E$1000,'1_原始數據'!$A$2:$A$1000,$A562,'1_原始數據'!$B$2:$B$1000,$B562,'1_原始數據'!$D$2:$D$1000,$D562,'1_原始數據'!$C$2:$C$1000,"khp_mass_g")/('2_NaOH標定'!$C$5*$E562/1000))))</f>
        <v/>
      </c>
      <c r="K562" s="24">
        <f>IF($A562="","",IF($C562&lt;&gt;"manual_titration_mL","",IF(COUNTIFS('1_原始數據'!$A$2:$A$1000,$A562,'1_原始數據'!$C$2:$C$1000,"khp_titration_mL")=0,"",AVERAGEIFS('1_原始數據'!$J$2:$J$1000,'1_原始數據'!$A$2:$A$1000,$A562,'1_原始數據'!$C$2:$C$1000,"khp_titration_mL"))))</f>
        <v/>
      </c>
      <c r="L562" s="25">
        <f>IF($A562="","",IF($C562&lt;&gt;"manual_titration_mL","",IFERROR(INDEX('3_可滴定酸度'!$E$6:$E$13,MATCH($I562,'3_可滴定酸度'!$B$6:$B$13,0)),"")))</f>
        <v/>
      </c>
      <c r="M562" s="25">
        <f>IF($A562="","",IF($C562&lt;&gt;"manual_titration_mL","",IFERROR(INDEX('3_可滴定酸度'!$F$6:$F$13,MATCH($I562,'3_可滴定酸度'!$B$6:$B$13,0)),"")))</f>
        <v/>
      </c>
      <c r="N562" s="24">
        <f>IF($A562="","",IF(OR(K562="",L562="",M562=""),"",K562*E562*L562/(M562*1000)*100))</f>
        <v/>
      </c>
      <c r="O562" s="24">
        <f>IF($A562="","",IF(N562="","",IF(COUNTIFS('1_原始數據'!$A$2:$A$1000,$A562,'1_原始數據'!$B$2:$B$1000,$B562,'1_原始數據'!$D$2:$D$1000,$D562,'1_原始數據'!$I$2:$I$1000,$I562,'1_原始數據'!$C$2:$C$1000,"pasco_pct_acid")=0,"",SUMIFS('1_原始數據'!$E$2:$E$1000,'1_原始數據'!$A$2:$A$1000,$A562,'1_原始數據'!$B$2:$B$1000,$B562,'1_原始數據'!$D$2:$D$1000,$D562,'1_原始數據'!$I$2:$I$1000,$I562,'1_原始數據'!$C$2:$C$1000,"pasco_pct_acid"))))</f>
        <v/>
      </c>
      <c r="P562" s="26">
        <f>IF($A562="","",IF(OR(N562="",O562=""),"",O562-N562))</f>
        <v/>
      </c>
      <c r="Q562" s="24">
        <f>IF($A562="","",IF(P562="","",(O562+N562)/2))</f>
        <v/>
      </c>
      <c r="R562" s="27">
        <f>IF($A562="","",IF(P562="","",COUNT($P$2:P562)))</f>
        <v/>
      </c>
    </row>
    <row r="563">
      <c r="J563" s="24">
        <f>IF($A563="","",IF($C563&lt;&gt;"khp_titration_mL","",IF(COUNTIFS('1_原始數據'!$A$2:$A$1000,$A563,'1_原始數據'!$B$2:$B$1000,$B563,'1_原始數據'!$D$2:$D$1000,$D563,'1_原始數據'!$C$2:$C$1000,"khp_mass_g")=0,"",SUMIFS('1_原始數據'!$E$2:$E$1000,'1_原始數據'!$A$2:$A$1000,$A563,'1_原始數據'!$B$2:$B$1000,$B563,'1_原始數據'!$D$2:$D$1000,$D563,'1_原始數據'!$C$2:$C$1000,"khp_mass_g")/('2_NaOH標定'!$C$5*$E563/1000))))</f>
        <v/>
      </c>
      <c r="K563" s="24">
        <f>IF($A563="","",IF($C563&lt;&gt;"manual_titration_mL","",IF(COUNTIFS('1_原始數據'!$A$2:$A$1000,$A563,'1_原始數據'!$C$2:$C$1000,"khp_titration_mL")=0,"",AVERAGEIFS('1_原始數據'!$J$2:$J$1000,'1_原始數據'!$A$2:$A$1000,$A563,'1_原始數據'!$C$2:$C$1000,"khp_titration_mL"))))</f>
        <v/>
      </c>
      <c r="L563" s="25">
        <f>IF($A563="","",IF($C563&lt;&gt;"manual_titration_mL","",IFERROR(INDEX('3_可滴定酸度'!$E$6:$E$13,MATCH($I563,'3_可滴定酸度'!$B$6:$B$13,0)),"")))</f>
        <v/>
      </c>
      <c r="M563" s="25">
        <f>IF($A563="","",IF($C563&lt;&gt;"manual_titration_mL","",IFERROR(INDEX('3_可滴定酸度'!$F$6:$F$13,MATCH($I563,'3_可滴定酸度'!$B$6:$B$13,0)),"")))</f>
        <v/>
      </c>
      <c r="N563" s="24">
        <f>IF($A563="","",IF(OR(K563="",L563="",M563=""),"",K563*E563*L563/(M563*1000)*100))</f>
        <v/>
      </c>
      <c r="O563" s="24">
        <f>IF($A563="","",IF(N563="","",IF(COUNTIFS('1_原始數據'!$A$2:$A$1000,$A563,'1_原始數據'!$B$2:$B$1000,$B563,'1_原始數據'!$D$2:$D$1000,$D563,'1_原始數據'!$I$2:$I$1000,$I563,'1_原始數據'!$C$2:$C$1000,"pasco_pct_acid")=0,"",SUMIFS('1_原始數據'!$E$2:$E$1000,'1_原始數據'!$A$2:$A$1000,$A563,'1_原始數據'!$B$2:$B$1000,$B563,'1_原始數據'!$D$2:$D$1000,$D563,'1_原始數據'!$I$2:$I$1000,$I563,'1_原始數據'!$C$2:$C$1000,"pasco_pct_acid"))))</f>
        <v/>
      </c>
      <c r="P563" s="26">
        <f>IF($A563="","",IF(OR(N563="",O563=""),"",O563-N563))</f>
        <v/>
      </c>
      <c r="Q563" s="24">
        <f>IF($A563="","",IF(P563="","",(O563+N563)/2))</f>
        <v/>
      </c>
      <c r="R563" s="27">
        <f>IF($A563="","",IF(P563="","",COUNT($P$2:P563)))</f>
        <v/>
      </c>
    </row>
    <row r="564">
      <c r="J564" s="24">
        <f>IF($A564="","",IF($C564&lt;&gt;"khp_titration_mL","",IF(COUNTIFS('1_原始數據'!$A$2:$A$1000,$A564,'1_原始數據'!$B$2:$B$1000,$B564,'1_原始數據'!$D$2:$D$1000,$D564,'1_原始數據'!$C$2:$C$1000,"khp_mass_g")=0,"",SUMIFS('1_原始數據'!$E$2:$E$1000,'1_原始數據'!$A$2:$A$1000,$A564,'1_原始數據'!$B$2:$B$1000,$B564,'1_原始數據'!$D$2:$D$1000,$D564,'1_原始數據'!$C$2:$C$1000,"khp_mass_g")/('2_NaOH標定'!$C$5*$E564/1000))))</f>
        <v/>
      </c>
      <c r="K564" s="24">
        <f>IF($A564="","",IF($C564&lt;&gt;"manual_titration_mL","",IF(COUNTIFS('1_原始數據'!$A$2:$A$1000,$A564,'1_原始數據'!$C$2:$C$1000,"khp_titration_mL")=0,"",AVERAGEIFS('1_原始數據'!$J$2:$J$1000,'1_原始數據'!$A$2:$A$1000,$A564,'1_原始數據'!$C$2:$C$1000,"khp_titration_mL"))))</f>
        <v/>
      </c>
      <c r="L564" s="25">
        <f>IF($A564="","",IF($C564&lt;&gt;"manual_titration_mL","",IFERROR(INDEX('3_可滴定酸度'!$E$6:$E$13,MATCH($I564,'3_可滴定酸度'!$B$6:$B$13,0)),"")))</f>
        <v/>
      </c>
      <c r="M564" s="25">
        <f>IF($A564="","",IF($C564&lt;&gt;"manual_titration_mL","",IFERROR(INDEX('3_可滴定酸度'!$F$6:$F$13,MATCH($I564,'3_可滴定酸度'!$B$6:$B$13,0)),"")))</f>
        <v/>
      </c>
      <c r="N564" s="24">
        <f>IF($A564="","",IF(OR(K564="",L564="",M564=""),"",K564*E564*L564/(M564*1000)*100))</f>
        <v/>
      </c>
      <c r="O564" s="24">
        <f>IF($A564="","",IF(N564="","",IF(COUNTIFS('1_原始數據'!$A$2:$A$1000,$A564,'1_原始數據'!$B$2:$B$1000,$B564,'1_原始數據'!$D$2:$D$1000,$D564,'1_原始數據'!$I$2:$I$1000,$I564,'1_原始數據'!$C$2:$C$1000,"pasco_pct_acid")=0,"",SUMIFS('1_原始數據'!$E$2:$E$1000,'1_原始數據'!$A$2:$A$1000,$A564,'1_原始數據'!$B$2:$B$1000,$B564,'1_原始數據'!$D$2:$D$1000,$D564,'1_原始數據'!$I$2:$I$1000,$I564,'1_原始數據'!$C$2:$C$1000,"pasco_pct_acid"))))</f>
        <v/>
      </c>
      <c r="P564" s="26">
        <f>IF($A564="","",IF(OR(N564="",O564=""),"",O564-N564))</f>
        <v/>
      </c>
      <c r="Q564" s="24">
        <f>IF($A564="","",IF(P564="","",(O564+N564)/2))</f>
        <v/>
      </c>
      <c r="R564" s="27">
        <f>IF($A564="","",IF(P564="","",COUNT($P$2:P564)))</f>
        <v/>
      </c>
    </row>
    <row r="565">
      <c r="J565" s="24">
        <f>IF($A565="","",IF($C565&lt;&gt;"khp_titration_mL","",IF(COUNTIFS('1_原始數據'!$A$2:$A$1000,$A565,'1_原始數據'!$B$2:$B$1000,$B565,'1_原始數據'!$D$2:$D$1000,$D565,'1_原始數據'!$C$2:$C$1000,"khp_mass_g")=0,"",SUMIFS('1_原始數據'!$E$2:$E$1000,'1_原始數據'!$A$2:$A$1000,$A565,'1_原始數據'!$B$2:$B$1000,$B565,'1_原始數據'!$D$2:$D$1000,$D565,'1_原始數據'!$C$2:$C$1000,"khp_mass_g")/('2_NaOH標定'!$C$5*$E565/1000))))</f>
        <v/>
      </c>
      <c r="K565" s="24">
        <f>IF($A565="","",IF($C565&lt;&gt;"manual_titration_mL","",IF(COUNTIFS('1_原始數據'!$A$2:$A$1000,$A565,'1_原始數據'!$C$2:$C$1000,"khp_titration_mL")=0,"",AVERAGEIFS('1_原始數據'!$J$2:$J$1000,'1_原始數據'!$A$2:$A$1000,$A565,'1_原始數據'!$C$2:$C$1000,"khp_titration_mL"))))</f>
        <v/>
      </c>
      <c r="L565" s="25">
        <f>IF($A565="","",IF($C565&lt;&gt;"manual_titration_mL","",IFERROR(INDEX('3_可滴定酸度'!$E$6:$E$13,MATCH($I565,'3_可滴定酸度'!$B$6:$B$13,0)),"")))</f>
        <v/>
      </c>
      <c r="M565" s="25">
        <f>IF($A565="","",IF($C565&lt;&gt;"manual_titration_mL","",IFERROR(INDEX('3_可滴定酸度'!$F$6:$F$13,MATCH($I565,'3_可滴定酸度'!$B$6:$B$13,0)),"")))</f>
        <v/>
      </c>
      <c r="N565" s="24">
        <f>IF($A565="","",IF(OR(K565="",L565="",M565=""),"",K565*E565*L565/(M565*1000)*100))</f>
        <v/>
      </c>
      <c r="O565" s="24">
        <f>IF($A565="","",IF(N565="","",IF(COUNTIFS('1_原始數據'!$A$2:$A$1000,$A565,'1_原始數據'!$B$2:$B$1000,$B565,'1_原始數據'!$D$2:$D$1000,$D565,'1_原始數據'!$I$2:$I$1000,$I565,'1_原始數據'!$C$2:$C$1000,"pasco_pct_acid")=0,"",SUMIFS('1_原始數據'!$E$2:$E$1000,'1_原始數據'!$A$2:$A$1000,$A565,'1_原始數據'!$B$2:$B$1000,$B565,'1_原始數據'!$D$2:$D$1000,$D565,'1_原始數據'!$I$2:$I$1000,$I565,'1_原始數據'!$C$2:$C$1000,"pasco_pct_acid"))))</f>
        <v/>
      </c>
      <c r="P565" s="26">
        <f>IF($A565="","",IF(OR(N565="",O565=""),"",O565-N565))</f>
        <v/>
      </c>
      <c r="Q565" s="24">
        <f>IF($A565="","",IF(P565="","",(O565+N565)/2))</f>
        <v/>
      </c>
      <c r="R565" s="27">
        <f>IF($A565="","",IF(P565="","",COUNT($P$2:P565)))</f>
        <v/>
      </c>
    </row>
    <row r="566">
      <c r="J566" s="24">
        <f>IF($A566="","",IF($C566&lt;&gt;"khp_titration_mL","",IF(COUNTIFS('1_原始數據'!$A$2:$A$1000,$A566,'1_原始數據'!$B$2:$B$1000,$B566,'1_原始數據'!$D$2:$D$1000,$D566,'1_原始數據'!$C$2:$C$1000,"khp_mass_g")=0,"",SUMIFS('1_原始數據'!$E$2:$E$1000,'1_原始數據'!$A$2:$A$1000,$A566,'1_原始數據'!$B$2:$B$1000,$B566,'1_原始數據'!$D$2:$D$1000,$D566,'1_原始數據'!$C$2:$C$1000,"khp_mass_g")/('2_NaOH標定'!$C$5*$E566/1000))))</f>
        <v/>
      </c>
      <c r="K566" s="24">
        <f>IF($A566="","",IF($C566&lt;&gt;"manual_titration_mL","",IF(COUNTIFS('1_原始數據'!$A$2:$A$1000,$A566,'1_原始數據'!$C$2:$C$1000,"khp_titration_mL")=0,"",AVERAGEIFS('1_原始數據'!$J$2:$J$1000,'1_原始數據'!$A$2:$A$1000,$A566,'1_原始數據'!$C$2:$C$1000,"khp_titration_mL"))))</f>
        <v/>
      </c>
      <c r="L566" s="25">
        <f>IF($A566="","",IF($C566&lt;&gt;"manual_titration_mL","",IFERROR(INDEX('3_可滴定酸度'!$E$6:$E$13,MATCH($I566,'3_可滴定酸度'!$B$6:$B$13,0)),"")))</f>
        <v/>
      </c>
      <c r="M566" s="25">
        <f>IF($A566="","",IF($C566&lt;&gt;"manual_titration_mL","",IFERROR(INDEX('3_可滴定酸度'!$F$6:$F$13,MATCH($I566,'3_可滴定酸度'!$B$6:$B$13,0)),"")))</f>
        <v/>
      </c>
      <c r="N566" s="24">
        <f>IF($A566="","",IF(OR(K566="",L566="",M566=""),"",K566*E566*L566/(M566*1000)*100))</f>
        <v/>
      </c>
      <c r="O566" s="24">
        <f>IF($A566="","",IF(N566="","",IF(COUNTIFS('1_原始數據'!$A$2:$A$1000,$A566,'1_原始數據'!$B$2:$B$1000,$B566,'1_原始數據'!$D$2:$D$1000,$D566,'1_原始數據'!$I$2:$I$1000,$I566,'1_原始數據'!$C$2:$C$1000,"pasco_pct_acid")=0,"",SUMIFS('1_原始數據'!$E$2:$E$1000,'1_原始數據'!$A$2:$A$1000,$A566,'1_原始數據'!$B$2:$B$1000,$B566,'1_原始數據'!$D$2:$D$1000,$D566,'1_原始數據'!$I$2:$I$1000,$I566,'1_原始數據'!$C$2:$C$1000,"pasco_pct_acid"))))</f>
        <v/>
      </c>
      <c r="P566" s="26">
        <f>IF($A566="","",IF(OR(N566="",O566=""),"",O566-N566))</f>
        <v/>
      </c>
      <c r="Q566" s="24">
        <f>IF($A566="","",IF(P566="","",(O566+N566)/2))</f>
        <v/>
      </c>
      <c r="R566" s="27">
        <f>IF($A566="","",IF(P566="","",COUNT($P$2:P566)))</f>
        <v/>
      </c>
    </row>
    <row r="567">
      <c r="J567" s="24">
        <f>IF($A567="","",IF($C567&lt;&gt;"khp_titration_mL","",IF(COUNTIFS('1_原始數據'!$A$2:$A$1000,$A567,'1_原始數據'!$B$2:$B$1000,$B567,'1_原始數據'!$D$2:$D$1000,$D567,'1_原始數據'!$C$2:$C$1000,"khp_mass_g")=0,"",SUMIFS('1_原始數據'!$E$2:$E$1000,'1_原始數據'!$A$2:$A$1000,$A567,'1_原始數據'!$B$2:$B$1000,$B567,'1_原始數據'!$D$2:$D$1000,$D567,'1_原始數據'!$C$2:$C$1000,"khp_mass_g")/('2_NaOH標定'!$C$5*$E567/1000))))</f>
        <v/>
      </c>
      <c r="K567" s="24">
        <f>IF($A567="","",IF($C567&lt;&gt;"manual_titration_mL","",IF(COUNTIFS('1_原始數據'!$A$2:$A$1000,$A567,'1_原始數據'!$C$2:$C$1000,"khp_titration_mL")=0,"",AVERAGEIFS('1_原始數據'!$J$2:$J$1000,'1_原始數據'!$A$2:$A$1000,$A567,'1_原始數據'!$C$2:$C$1000,"khp_titration_mL"))))</f>
        <v/>
      </c>
      <c r="L567" s="25">
        <f>IF($A567="","",IF($C567&lt;&gt;"manual_titration_mL","",IFERROR(INDEX('3_可滴定酸度'!$E$6:$E$13,MATCH($I567,'3_可滴定酸度'!$B$6:$B$13,0)),"")))</f>
        <v/>
      </c>
      <c r="M567" s="25">
        <f>IF($A567="","",IF($C567&lt;&gt;"manual_titration_mL","",IFERROR(INDEX('3_可滴定酸度'!$F$6:$F$13,MATCH($I567,'3_可滴定酸度'!$B$6:$B$13,0)),"")))</f>
        <v/>
      </c>
      <c r="N567" s="24">
        <f>IF($A567="","",IF(OR(K567="",L567="",M567=""),"",K567*E567*L567/(M567*1000)*100))</f>
        <v/>
      </c>
      <c r="O567" s="24">
        <f>IF($A567="","",IF(N567="","",IF(COUNTIFS('1_原始數據'!$A$2:$A$1000,$A567,'1_原始數據'!$B$2:$B$1000,$B567,'1_原始數據'!$D$2:$D$1000,$D567,'1_原始數據'!$I$2:$I$1000,$I567,'1_原始數據'!$C$2:$C$1000,"pasco_pct_acid")=0,"",SUMIFS('1_原始數據'!$E$2:$E$1000,'1_原始數據'!$A$2:$A$1000,$A567,'1_原始數據'!$B$2:$B$1000,$B567,'1_原始數據'!$D$2:$D$1000,$D567,'1_原始數據'!$I$2:$I$1000,$I567,'1_原始數據'!$C$2:$C$1000,"pasco_pct_acid"))))</f>
        <v/>
      </c>
      <c r="P567" s="26">
        <f>IF($A567="","",IF(OR(N567="",O567=""),"",O567-N567))</f>
        <v/>
      </c>
      <c r="Q567" s="24">
        <f>IF($A567="","",IF(P567="","",(O567+N567)/2))</f>
        <v/>
      </c>
      <c r="R567" s="27">
        <f>IF($A567="","",IF(P567="","",COUNT($P$2:P567)))</f>
        <v/>
      </c>
    </row>
    <row r="568">
      <c r="J568" s="24">
        <f>IF($A568="","",IF($C568&lt;&gt;"khp_titration_mL","",IF(COUNTIFS('1_原始數據'!$A$2:$A$1000,$A568,'1_原始數據'!$B$2:$B$1000,$B568,'1_原始數據'!$D$2:$D$1000,$D568,'1_原始數據'!$C$2:$C$1000,"khp_mass_g")=0,"",SUMIFS('1_原始數據'!$E$2:$E$1000,'1_原始數據'!$A$2:$A$1000,$A568,'1_原始數據'!$B$2:$B$1000,$B568,'1_原始數據'!$D$2:$D$1000,$D568,'1_原始數據'!$C$2:$C$1000,"khp_mass_g")/('2_NaOH標定'!$C$5*$E568/1000))))</f>
        <v/>
      </c>
      <c r="K568" s="24">
        <f>IF($A568="","",IF($C568&lt;&gt;"manual_titration_mL","",IF(COUNTIFS('1_原始數據'!$A$2:$A$1000,$A568,'1_原始數據'!$C$2:$C$1000,"khp_titration_mL")=0,"",AVERAGEIFS('1_原始數據'!$J$2:$J$1000,'1_原始數據'!$A$2:$A$1000,$A568,'1_原始數據'!$C$2:$C$1000,"khp_titration_mL"))))</f>
        <v/>
      </c>
      <c r="L568" s="25">
        <f>IF($A568="","",IF($C568&lt;&gt;"manual_titration_mL","",IFERROR(INDEX('3_可滴定酸度'!$E$6:$E$13,MATCH($I568,'3_可滴定酸度'!$B$6:$B$13,0)),"")))</f>
        <v/>
      </c>
      <c r="M568" s="25">
        <f>IF($A568="","",IF($C568&lt;&gt;"manual_titration_mL","",IFERROR(INDEX('3_可滴定酸度'!$F$6:$F$13,MATCH($I568,'3_可滴定酸度'!$B$6:$B$13,0)),"")))</f>
        <v/>
      </c>
      <c r="N568" s="24">
        <f>IF($A568="","",IF(OR(K568="",L568="",M568=""),"",K568*E568*L568/(M568*1000)*100))</f>
        <v/>
      </c>
      <c r="O568" s="24">
        <f>IF($A568="","",IF(N568="","",IF(COUNTIFS('1_原始數據'!$A$2:$A$1000,$A568,'1_原始數據'!$B$2:$B$1000,$B568,'1_原始數據'!$D$2:$D$1000,$D568,'1_原始數據'!$I$2:$I$1000,$I568,'1_原始數據'!$C$2:$C$1000,"pasco_pct_acid")=0,"",SUMIFS('1_原始數據'!$E$2:$E$1000,'1_原始數據'!$A$2:$A$1000,$A568,'1_原始數據'!$B$2:$B$1000,$B568,'1_原始數據'!$D$2:$D$1000,$D568,'1_原始數據'!$I$2:$I$1000,$I568,'1_原始數據'!$C$2:$C$1000,"pasco_pct_acid"))))</f>
        <v/>
      </c>
      <c r="P568" s="26">
        <f>IF($A568="","",IF(OR(N568="",O568=""),"",O568-N568))</f>
        <v/>
      </c>
      <c r="Q568" s="24">
        <f>IF($A568="","",IF(P568="","",(O568+N568)/2))</f>
        <v/>
      </c>
      <c r="R568" s="27">
        <f>IF($A568="","",IF(P568="","",COUNT($P$2:P568)))</f>
        <v/>
      </c>
    </row>
    <row r="569">
      <c r="J569" s="24">
        <f>IF($A569="","",IF($C569&lt;&gt;"khp_titration_mL","",IF(COUNTIFS('1_原始數據'!$A$2:$A$1000,$A569,'1_原始數據'!$B$2:$B$1000,$B569,'1_原始數據'!$D$2:$D$1000,$D569,'1_原始數據'!$C$2:$C$1000,"khp_mass_g")=0,"",SUMIFS('1_原始數據'!$E$2:$E$1000,'1_原始數據'!$A$2:$A$1000,$A569,'1_原始數據'!$B$2:$B$1000,$B569,'1_原始數據'!$D$2:$D$1000,$D569,'1_原始數據'!$C$2:$C$1000,"khp_mass_g")/('2_NaOH標定'!$C$5*$E569/1000))))</f>
        <v/>
      </c>
      <c r="K569" s="24">
        <f>IF($A569="","",IF($C569&lt;&gt;"manual_titration_mL","",IF(COUNTIFS('1_原始數據'!$A$2:$A$1000,$A569,'1_原始數據'!$C$2:$C$1000,"khp_titration_mL")=0,"",AVERAGEIFS('1_原始數據'!$J$2:$J$1000,'1_原始數據'!$A$2:$A$1000,$A569,'1_原始數據'!$C$2:$C$1000,"khp_titration_mL"))))</f>
        <v/>
      </c>
      <c r="L569" s="25">
        <f>IF($A569="","",IF($C569&lt;&gt;"manual_titration_mL","",IFERROR(INDEX('3_可滴定酸度'!$E$6:$E$13,MATCH($I569,'3_可滴定酸度'!$B$6:$B$13,0)),"")))</f>
        <v/>
      </c>
      <c r="M569" s="25">
        <f>IF($A569="","",IF($C569&lt;&gt;"manual_titration_mL","",IFERROR(INDEX('3_可滴定酸度'!$F$6:$F$13,MATCH($I569,'3_可滴定酸度'!$B$6:$B$13,0)),"")))</f>
        <v/>
      </c>
      <c r="N569" s="24">
        <f>IF($A569="","",IF(OR(K569="",L569="",M569=""),"",K569*E569*L569/(M569*1000)*100))</f>
        <v/>
      </c>
      <c r="O569" s="24">
        <f>IF($A569="","",IF(N569="","",IF(COUNTIFS('1_原始數據'!$A$2:$A$1000,$A569,'1_原始數據'!$B$2:$B$1000,$B569,'1_原始數據'!$D$2:$D$1000,$D569,'1_原始數據'!$I$2:$I$1000,$I569,'1_原始數據'!$C$2:$C$1000,"pasco_pct_acid")=0,"",SUMIFS('1_原始數據'!$E$2:$E$1000,'1_原始數據'!$A$2:$A$1000,$A569,'1_原始數據'!$B$2:$B$1000,$B569,'1_原始數據'!$D$2:$D$1000,$D569,'1_原始數據'!$I$2:$I$1000,$I569,'1_原始數據'!$C$2:$C$1000,"pasco_pct_acid"))))</f>
        <v/>
      </c>
      <c r="P569" s="26">
        <f>IF($A569="","",IF(OR(N569="",O569=""),"",O569-N569))</f>
        <v/>
      </c>
      <c r="Q569" s="24">
        <f>IF($A569="","",IF(P569="","",(O569+N569)/2))</f>
        <v/>
      </c>
      <c r="R569" s="27">
        <f>IF($A569="","",IF(P569="","",COUNT($P$2:P569)))</f>
        <v/>
      </c>
    </row>
    <row r="570">
      <c r="J570" s="24">
        <f>IF($A570="","",IF($C570&lt;&gt;"khp_titration_mL","",IF(COUNTIFS('1_原始數據'!$A$2:$A$1000,$A570,'1_原始數據'!$B$2:$B$1000,$B570,'1_原始數據'!$D$2:$D$1000,$D570,'1_原始數據'!$C$2:$C$1000,"khp_mass_g")=0,"",SUMIFS('1_原始數據'!$E$2:$E$1000,'1_原始數據'!$A$2:$A$1000,$A570,'1_原始數據'!$B$2:$B$1000,$B570,'1_原始數據'!$D$2:$D$1000,$D570,'1_原始數據'!$C$2:$C$1000,"khp_mass_g")/('2_NaOH標定'!$C$5*$E570/1000))))</f>
        <v/>
      </c>
      <c r="K570" s="24">
        <f>IF($A570="","",IF($C570&lt;&gt;"manual_titration_mL","",IF(COUNTIFS('1_原始數據'!$A$2:$A$1000,$A570,'1_原始數據'!$C$2:$C$1000,"khp_titration_mL")=0,"",AVERAGEIFS('1_原始數據'!$J$2:$J$1000,'1_原始數據'!$A$2:$A$1000,$A570,'1_原始數據'!$C$2:$C$1000,"khp_titration_mL"))))</f>
        <v/>
      </c>
      <c r="L570" s="25">
        <f>IF($A570="","",IF($C570&lt;&gt;"manual_titration_mL","",IFERROR(INDEX('3_可滴定酸度'!$E$6:$E$13,MATCH($I570,'3_可滴定酸度'!$B$6:$B$13,0)),"")))</f>
        <v/>
      </c>
      <c r="M570" s="25">
        <f>IF($A570="","",IF($C570&lt;&gt;"manual_titration_mL","",IFERROR(INDEX('3_可滴定酸度'!$F$6:$F$13,MATCH($I570,'3_可滴定酸度'!$B$6:$B$13,0)),"")))</f>
        <v/>
      </c>
      <c r="N570" s="24">
        <f>IF($A570="","",IF(OR(K570="",L570="",M570=""),"",K570*E570*L570/(M570*1000)*100))</f>
        <v/>
      </c>
      <c r="O570" s="24">
        <f>IF($A570="","",IF(N570="","",IF(COUNTIFS('1_原始數據'!$A$2:$A$1000,$A570,'1_原始數據'!$B$2:$B$1000,$B570,'1_原始數據'!$D$2:$D$1000,$D570,'1_原始數據'!$I$2:$I$1000,$I570,'1_原始數據'!$C$2:$C$1000,"pasco_pct_acid")=0,"",SUMIFS('1_原始數據'!$E$2:$E$1000,'1_原始數據'!$A$2:$A$1000,$A570,'1_原始數據'!$B$2:$B$1000,$B570,'1_原始數據'!$D$2:$D$1000,$D570,'1_原始數據'!$I$2:$I$1000,$I570,'1_原始數據'!$C$2:$C$1000,"pasco_pct_acid"))))</f>
        <v/>
      </c>
      <c r="P570" s="26">
        <f>IF($A570="","",IF(OR(N570="",O570=""),"",O570-N570))</f>
        <v/>
      </c>
      <c r="Q570" s="24">
        <f>IF($A570="","",IF(P570="","",(O570+N570)/2))</f>
        <v/>
      </c>
      <c r="R570" s="27">
        <f>IF($A570="","",IF(P570="","",COUNT($P$2:P570)))</f>
        <v/>
      </c>
    </row>
    <row r="571">
      <c r="J571" s="24">
        <f>IF($A571="","",IF($C571&lt;&gt;"khp_titration_mL","",IF(COUNTIFS('1_原始數據'!$A$2:$A$1000,$A571,'1_原始數據'!$B$2:$B$1000,$B571,'1_原始數據'!$D$2:$D$1000,$D571,'1_原始數據'!$C$2:$C$1000,"khp_mass_g")=0,"",SUMIFS('1_原始數據'!$E$2:$E$1000,'1_原始數據'!$A$2:$A$1000,$A571,'1_原始數據'!$B$2:$B$1000,$B571,'1_原始數據'!$D$2:$D$1000,$D571,'1_原始數據'!$C$2:$C$1000,"khp_mass_g")/('2_NaOH標定'!$C$5*$E571/1000))))</f>
        <v/>
      </c>
      <c r="K571" s="24">
        <f>IF($A571="","",IF($C571&lt;&gt;"manual_titration_mL","",IF(COUNTIFS('1_原始數據'!$A$2:$A$1000,$A571,'1_原始數據'!$C$2:$C$1000,"khp_titration_mL")=0,"",AVERAGEIFS('1_原始數據'!$J$2:$J$1000,'1_原始數據'!$A$2:$A$1000,$A571,'1_原始數據'!$C$2:$C$1000,"khp_titration_mL"))))</f>
        <v/>
      </c>
      <c r="L571" s="25">
        <f>IF($A571="","",IF($C571&lt;&gt;"manual_titration_mL","",IFERROR(INDEX('3_可滴定酸度'!$E$6:$E$13,MATCH($I571,'3_可滴定酸度'!$B$6:$B$13,0)),"")))</f>
        <v/>
      </c>
      <c r="M571" s="25">
        <f>IF($A571="","",IF($C571&lt;&gt;"manual_titration_mL","",IFERROR(INDEX('3_可滴定酸度'!$F$6:$F$13,MATCH($I571,'3_可滴定酸度'!$B$6:$B$13,0)),"")))</f>
        <v/>
      </c>
      <c r="N571" s="24">
        <f>IF($A571="","",IF(OR(K571="",L571="",M571=""),"",K571*E571*L571/(M571*1000)*100))</f>
        <v/>
      </c>
      <c r="O571" s="24">
        <f>IF($A571="","",IF(N571="","",IF(COUNTIFS('1_原始數據'!$A$2:$A$1000,$A571,'1_原始數據'!$B$2:$B$1000,$B571,'1_原始數據'!$D$2:$D$1000,$D571,'1_原始數據'!$I$2:$I$1000,$I571,'1_原始數據'!$C$2:$C$1000,"pasco_pct_acid")=0,"",SUMIFS('1_原始數據'!$E$2:$E$1000,'1_原始數據'!$A$2:$A$1000,$A571,'1_原始數據'!$B$2:$B$1000,$B571,'1_原始數據'!$D$2:$D$1000,$D571,'1_原始數據'!$I$2:$I$1000,$I571,'1_原始數據'!$C$2:$C$1000,"pasco_pct_acid"))))</f>
        <v/>
      </c>
      <c r="P571" s="26">
        <f>IF($A571="","",IF(OR(N571="",O571=""),"",O571-N571))</f>
        <v/>
      </c>
      <c r="Q571" s="24">
        <f>IF($A571="","",IF(P571="","",(O571+N571)/2))</f>
        <v/>
      </c>
      <c r="R571" s="27">
        <f>IF($A571="","",IF(P571="","",COUNT($P$2:P571)))</f>
        <v/>
      </c>
    </row>
    <row r="572">
      <c r="J572" s="24">
        <f>IF($A572="","",IF($C572&lt;&gt;"khp_titration_mL","",IF(COUNTIFS('1_原始數據'!$A$2:$A$1000,$A572,'1_原始數據'!$B$2:$B$1000,$B572,'1_原始數據'!$D$2:$D$1000,$D572,'1_原始數據'!$C$2:$C$1000,"khp_mass_g")=0,"",SUMIFS('1_原始數據'!$E$2:$E$1000,'1_原始數據'!$A$2:$A$1000,$A572,'1_原始數據'!$B$2:$B$1000,$B572,'1_原始數據'!$D$2:$D$1000,$D572,'1_原始數據'!$C$2:$C$1000,"khp_mass_g")/('2_NaOH標定'!$C$5*$E572/1000))))</f>
        <v/>
      </c>
      <c r="K572" s="24">
        <f>IF($A572="","",IF($C572&lt;&gt;"manual_titration_mL","",IF(COUNTIFS('1_原始數據'!$A$2:$A$1000,$A572,'1_原始數據'!$C$2:$C$1000,"khp_titration_mL")=0,"",AVERAGEIFS('1_原始數據'!$J$2:$J$1000,'1_原始數據'!$A$2:$A$1000,$A572,'1_原始數據'!$C$2:$C$1000,"khp_titration_mL"))))</f>
        <v/>
      </c>
      <c r="L572" s="25">
        <f>IF($A572="","",IF($C572&lt;&gt;"manual_titration_mL","",IFERROR(INDEX('3_可滴定酸度'!$E$6:$E$13,MATCH($I572,'3_可滴定酸度'!$B$6:$B$13,0)),"")))</f>
        <v/>
      </c>
      <c r="M572" s="25">
        <f>IF($A572="","",IF($C572&lt;&gt;"manual_titration_mL","",IFERROR(INDEX('3_可滴定酸度'!$F$6:$F$13,MATCH($I572,'3_可滴定酸度'!$B$6:$B$13,0)),"")))</f>
        <v/>
      </c>
      <c r="N572" s="24">
        <f>IF($A572="","",IF(OR(K572="",L572="",M572=""),"",K572*E572*L572/(M572*1000)*100))</f>
        <v/>
      </c>
      <c r="O572" s="24">
        <f>IF($A572="","",IF(N572="","",IF(COUNTIFS('1_原始數據'!$A$2:$A$1000,$A572,'1_原始數據'!$B$2:$B$1000,$B572,'1_原始數據'!$D$2:$D$1000,$D572,'1_原始數據'!$I$2:$I$1000,$I572,'1_原始數據'!$C$2:$C$1000,"pasco_pct_acid")=0,"",SUMIFS('1_原始數據'!$E$2:$E$1000,'1_原始數據'!$A$2:$A$1000,$A572,'1_原始數據'!$B$2:$B$1000,$B572,'1_原始數據'!$D$2:$D$1000,$D572,'1_原始數據'!$I$2:$I$1000,$I572,'1_原始數據'!$C$2:$C$1000,"pasco_pct_acid"))))</f>
        <v/>
      </c>
      <c r="P572" s="26">
        <f>IF($A572="","",IF(OR(N572="",O572=""),"",O572-N572))</f>
        <v/>
      </c>
      <c r="Q572" s="24">
        <f>IF($A572="","",IF(P572="","",(O572+N572)/2))</f>
        <v/>
      </c>
      <c r="R572" s="27">
        <f>IF($A572="","",IF(P572="","",COUNT($P$2:P572)))</f>
        <v/>
      </c>
    </row>
    <row r="573">
      <c r="J573" s="24">
        <f>IF($A573="","",IF($C573&lt;&gt;"khp_titration_mL","",IF(COUNTIFS('1_原始數據'!$A$2:$A$1000,$A573,'1_原始數據'!$B$2:$B$1000,$B573,'1_原始數據'!$D$2:$D$1000,$D573,'1_原始數據'!$C$2:$C$1000,"khp_mass_g")=0,"",SUMIFS('1_原始數據'!$E$2:$E$1000,'1_原始數據'!$A$2:$A$1000,$A573,'1_原始數據'!$B$2:$B$1000,$B573,'1_原始數據'!$D$2:$D$1000,$D573,'1_原始數據'!$C$2:$C$1000,"khp_mass_g")/('2_NaOH標定'!$C$5*$E573/1000))))</f>
        <v/>
      </c>
      <c r="K573" s="24">
        <f>IF($A573="","",IF($C573&lt;&gt;"manual_titration_mL","",IF(COUNTIFS('1_原始數據'!$A$2:$A$1000,$A573,'1_原始數據'!$C$2:$C$1000,"khp_titration_mL")=0,"",AVERAGEIFS('1_原始數據'!$J$2:$J$1000,'1_原始數據'!$A$2:$A$1000,$A573,'1_原始數據'!$C$2:$C$1000,"khp_titration_mL"))))</f>
        <v/>
      </c>
      <c r="L573" s="25">
        <f>IF($A573="","",IF($C573&lt;&gt;"manual_titration_mL","",IFERROR(INDEX('3_可滴定酸度'!$E$6:$E$13,MATCH($I573,'3_可滴定酸度'!$B$6:$B$13,0)),"")))</f>
        <v/>
      </c>
      <c r="M573" s="25">
        <f>IF($A573="","",IF($C573&lt;&gt;"manual_titration_mL","",IFERROR(INDEX('3_可滴定酸度'!$F$6:$F$13,MATCH($I573,'3_可滴定酸度'!$B$6:$B$13,0)),"")))</f>
        <v/>
      </c>
      <c r="N573" s="24">
        <f>IF($A573="","",IF(OR(K573="",L573="",M573=""),"",K573*E573*L573/(M573*1000)*100))</f>
        <v/>
      </c>
      <c r="O573" s="24">
        <f>IF($A573="","",IF(N573="","",IF(COUNTIFS('1_原始數據'!$A$2:$A$1000,$A573,'1_原始數據'!$B$2:$B$1000,$B573,'1_原始數據'!$D$2:$D$1000,$D573,'1_原始數據'!$I$2:$I$1000,$I573,'1_原始數據'!$C$2:$C$1000,"pasco_pct_acid")=0,"",SUMIFS('1_原始數據'!$E$2:$E$1000,'1_原始數據'!$A$2:$A$1000,$A573,'1_原始數據'!$B$2:$B$1000,$B573,'1_原始數據'!$D$2:$D$1000,$D573,'1_原始數據'!$I$2:$I$1000,$I573,'1_原始數據'!$C$2:$C$1000,"pasco_pct_acid"))))</f>
        <v/>
      </c>
      <c r="P573" s="26">
        <f>IF($A573="","",IF(OR(N573="",O573=""),"",O573-N573))</f>
        <v/>
      </c>
      <c r="Q573" s="24">
        <f>IF($A573="","",IF(P573="","",(O573+N573)/2))</f>
        <v/>
      </c>
      <c r="R573" s="27">
        <f>IF($A573="","",IF(P573="","",COUNT($P$2:P573)))</f>
        <v/>
      </c>
    </row>
    <row r="574">
      <c r="J574" s="24">
        <f>IF($A574="","",IF($C574&lt;&gt;"khp_titration_mL","",IF(COUNTIFS('1_原始數據'!$A$2:$A$1000,$A574,'1_原始數據'!$B$2:$B$1000,$B574,'1_原始數據'!$D$2:$D$1000,$D574,'1_原始數據'!$C$2:$C$1000,"khp_mass_g")=0,"",SUMIFS('1_原始數據'!$E$2:$E$1000,'1_原始數據'!$A$2:$A$1000,$A574,'1_原始數據'!$B$2:$B$1000,$B574,'1_原始數據'!$D$2:$D$1000,$D574,'1_原始數據'!$C$2:$C$1000,"khp_mass_g")/('2_NaOH標定'!$C$5*$E574/1000))))</f>
        <v/>
      </c>
      <c r="K574" s="24">
        <f>IF($A574="","",IF($C574&lt;&gt;"manual_titration_mL","",IF(COUNTIFS('1_原始數據'!$A$2:$A$1000,$A574,'1_原始數據'!$C$2:$C$1000,"khp_titration_mL")=0,"",AVERAGEIFS('1_原始數據'!$J$2:$J$1000,'1_原始數據'!$A$2:$A$1000,$A574,'1_原始數據'!$C$2:$C$1000,"khp_titration_mL"))))</f>
        <v/>
      </c>
      <c r="L574" s="25">
        <f>IF($A574="","",IF($C574&lt;&gt;"manual_titration_mL","",IFERROR(INDEX('3_可滴定酸度'!$E$6:$E$13,MATCH($I574,'3_可滴定酸度'!$B$6:$B$13,0)),"")))</f>
        <v/>
      </c>
      <c r="M574" s="25">
        <f>IF($A574="","",IF($C574&lt;&gt;"manual_titration_mL","",IFERROR(INDEX('3_可滴定酸度'!$F$6:$F$13,MATCH($I574,'3_可滴定酸度'!$B$6:$B$13,0)),"")))</f>
        <v/>
      </c>
      <c r="N574" s="24">
        <f>IF($A574="","",IF(OR(K574="",L574="",M574=""),"",K574*E574*L574/(M574*1000)*100))</f>
        <v/>
      </c>
      <c r="O574" s="24">
        <f>IF($A574="","",IF(N574="","",IF(COUNTIFS('1_原始數據'!$A$2:$A$1000,$A574,'1_原始數據'!$B$2:$B$1000,$B574,'1_原始數據'!$D$2:$D$1000,$D574,'1_原始數據'!$I$2:$I$1000,$I574,'1_原始數據'!$C$2:$C$1000,"pasco_pct_acid")=0,"",SUMIFS('1_原始數據'!$E$2:$E$1000,'1_原始數據'!$A$2:$A$1000,$A574,'1_原始數據'!$B$2:$B$1000,$B574,'1_原始數據'!$D$2:$D$1000,$D574,'1_原始數據'!$I$2:$I$1000,$I574,'1_原始數據'!$C$2:$C$1000,"pasco_pct_acid"))))</f>
        <v/>
      </c>
      <c r="P574" s="26">
        <f>IF($A574="","",IF(OR(N574="",O574=""),"",O574-N574))</f>
        <v/>
      </c>
      <c r="Q574" s="24">
        <f>IF($A574="","",IF(P574="","",(O574+N574)/2))</f>
        <v/>
      </c>
      <c r="R574" s="27">
        <f>IF($A574="","",IF(P574="","",COUNT($P$2:P574)))</f>
        <v/>
      </c>
    </row>
    <row r="575">
      <c r="J575" s="24">
        <f>IF($A575="","",IF($C575&lt;&gt;"khp_titration_mL","",IF(COUNTIFS('1_原始數據'!$A$2:$A$1000,$A575,'1_原始數據'!$B$2:$B$1000,$B575,'1_原始數據'!$D$2:$D$1000,$D575,'1_原始數據'!$C$2:$C$1000,"khp_mass_g")=0,"",SUMIFS('1_原始數據'!$E$2:$E$1000,'1_原始數據'!$A$2:$A$1000,$A575,'1_原始數據'!$B$2:$B$1000,$B575,'1_原始數據'!$D$2:$D$1000,$D575,'1_原始數據'!$C$2:$C$1000,"khp_mass_g")/('2_NaOH標定'!$C$5*$E575/1000))))</f>
        <v/>
      </c>
      <c r="K575" s="24">
        <f>IF($A575="","",IF($C575&lt;&gt;"manual_titration_mL","",IF(COUNTIFS('1_原始數據'!$A$2:$A$1000,$A575,'1_原始數據'!$C$2:$C$1000,"khp_titration_mL")=0,"",AVERAGEIFS('1_原始數據'!$J$2:$J$1000,'1_原始數據'!$A$2:$A$1000,$A575,'1_原始數據'!$C$2:$C$1000,"khp_titration_mL"))))</f>
        <v/>
      </c>
      <c r="L575" s="25">
        <f>IF($A575="","",IF($C575&lt;&gt;"manual_titration_mL","",IFERROR(INDEX('3_可滴定酸度'!$E$6:$E$13,MATCH($I575,'3_可滴定酸度'!$B$6:$B$13,0)),"")))</f>
        <v/>
      </c>
      <c r="M575" s="25">
        <f>IF($A575="","",IF($C575&lt;&gt;"manual_titration_mL","",IFERROR(INDEX('3_可滴定酸度'!$F$6:$F$13,MATCH($I575,'3_可滴定酸度'!$B$6:$B$13,0)),"")))</f>
        <v/>
      </c>
      <c r="N575" s="24">
        <f>IF($A575="","",IF(OR(K575="",L575="",M575=""),"",K575*E575*L575/(M575*1000)*100))</f>
        <v/>
      </c>
      <c r="O575" s="24">
        <f>IF($A575="","",IF(N575="","",IF(COUNTIFS('1_原始數據'!$A$2:$A$1000,$A575,'1_原始數據'!$B$2:$B$1000,$B575,'1_原始數據'!$D$2:$D$1000,$D575,'1_原始數據'!$I$2:$I$1000,$I575,'1_原始數據'!$C$2:$C$1000,"pasco_pct_acid")=0,"",SUMIFS('1_原始數據'!$E$2:$E$1000,'1_原始數據'!$A$2:$A$1000,$A575,'1_原始數據'!$B$2:$B$1000,$B575,'1_原始數據'!$D$2:$D$1000,$D575,'1_原始數據'!$I$2:$I$1000,$I575,'1_原始數據'!$C$2:$C$1000,"pasco_pct_acid"))))</f>
        <v/>
      </c>
      <c r="P575" s="26">
        <f>IF($A575="","",IF(OR(N575="",O575=""),"",O575-N575))</f>
        <v/>
      </c>
      <c r="Q575" s="24">
        <f>IF($A575="","",IF(P575="","",(O575+N575)/2))</f>
        <v/>
      </c>
      <c r="R575" s="27">
        <f>IF($A575="","",IF(P575="","",COUNT($P$2:P575)))</f>
        <v/>
      </c>
    </row>
    <row r="576">
      <c r="J576" s="24">
        <f>IF($A576="","",IF($C576&lt;&gt;"khp_titration_mL","",IF(COUNTIFS('1_原始數據'!$A$2:$A$1000,$A576,'1_原始數據'!$B$2:$B$1000,$B576,'1_原始數據'!$D$2:$D$1000,$D576,'1_原始數據'!$C$2:$C$1000,"khp_mass_g")=0,"",SUMIFS('1_原始數據'!$E$2:$E$1000,'1_原始數據'!$A$2:$A$1000,$A576,'1_原始數據'!$B$2:$B$1000,$B576,'1_原始數據'!$D$2:$D$1000,$D576,'1_原始數據'!$C$2:$C$1000,"khp_mass_g")/('2_NaOH標定'!$C$5*$E576/1000))))</f>
        <v/>
      </c>
      <c r="K576" s="24">
        <f>IF($A576="","",IF($C576&lt;&gt;"manual_titration_mL","",IF(COUNTIFS('1_原始數據'!$A$2:$A$1000,$A576,'1_原始數據'!$C$2:$C$1000,"khp_titration_mL")=0,"",AVERAGEIFS('1_原始數據'!$J$2:$J$1000,'1_原始數據'!$A$2:$A$1000,$A576,'1_原始數據'!$C$2:$C$1000,"khp_titration_mL"))))</f>
        <v/>
      </c>
      <c r="L576" s="25">
        <f>IF($A576="","",IF($C576&lt;&gt;"manual_titration_mL","",IFERROR(INDEX('3_可滴定酸度'!$E$6:$E$13,MATCH($I576,'3_可滴定酸度'!$B$6:$B$13,0)),"")))</f>
        <v/>
      </c>
      <c r="M576" s="25">
        <f>IF($A576="","",IF($C576&lt;&gt;"manual_titration_mL","",IFERROR(INDEX('3_可滴定酸度'!$F$6:$F$13,MATCH($I576,'3_可滴定酸度'!$B$6:$B$13,0)),"")))</f>
        <v/>
      </c>
      <c r="N576" s="24">
        <f>IF($A576="","",IF(OR(K576="",L576="",M576=""),"",K576*E576*L576/(M576*1000)*100))</f>
        <v/>
      </c>
      <c r="O576" s="24">
        <f>IF($A576="","",IF(N576="","",IF(COUNTIFS('1_原始數據'!$A$2:$A$1000,$A576,'1_原始數據'!$B$2:$B$1000,$B576,'1_原始數據'!$D$2:$D$1000,$D576,'1_原始數據'!$I$2:$I$1000,$I576,'1_原始數據'!$C$2:$C$1000,"pasco_pct_acid")=0,"",SUMIFS('1_原始數據'!$E$2:$E$1000,'1_原始數據'!$A$2:$A$1000,$A576,'1_原始數據'!$B$2:$B$1000,$B576,'1_原始數據'!$D$2:$D$1000,$D576,'1_原始數據'!$I$2:$I$1000,$I576,'1_原始數據'!$C$2:$C$1000,"pasco_pct_acid"))))</f>
        <v/>
      </c>
      <c r="P576" s="26">
        <f>IF($A576="","",IF(OR(N576="",O576=""),"",O576-N576))</f>
        <v/>
      </c>
      <c r="Q576" s="24">
        <f>IF($A576="","",IF(P576="","",(O576+N576)/2))</f>
        <v/>
      </c>
      <c r="R576" s="27">
        <f>IF($A576="","",IF(P576="","",COUNT($P$2:P576)))</f>
        <v/>
      </c>
    </row>
    <row r="577">
      <c r="J577" s="24">
        <f>IF($A577="","",IF($C577&lt;&gt;"khp_titration_mL","",IF(COUNTIFS('1_原始數據'!$A$2:$A$1000,$A577,'1_原始數據'!$B$2:$B$1000,$B577,'1_原始數據'!$D$2:$D$1000,$D577,'1_原始數據'!$C$2:$C$1000,"khp_mass_g")=0,"",SUMIFS('1_原始數據'!$E$2:$E$1000,'1_原始數據'!$A$2:$A$1000,$A577,'1_原始數據'!$B$2:$B$1000,$B577,'1_原始數據'!$D$2:$D$1000,$D577,'1_原始數據'!$C$2:$C$1000,"khp_mass_g")/('2_NaOH標定'!$C$5*$E577/1000))))</f>
        <v/>
      </c>
      <c r="K577" s="24">
        <f>IF($A577="","",IF($C577&lt;&gt;"manual_titration_mL","",IF(COUNTIFS('1_原始數據'!$A$2:$A$1000,$A577,'1_原始數據'!$C$2:$C$1000,"khp_titration_mL")=0,"",AVERAGEIFS('1_原始數據'!$J$2:$J$1000,'1_原始數據'!$A$2:$A$1000,$A577,'1_原始數據'!$C$2:$C$1000,"khp_titration_mL"))))</f>
        <v/>
      </c>
      <c r="L577" s="25">
        <f>IF($A577="","",IF($C577&lt;&gt;"manual_titration_mL","",IFERROR(INDEX('3_可滴定酸度'!$E$6:$E$13,MATCH($I577,'3_可滴定酸度'!$B$6:$B$13,0)),"")))</f>
        <v/>
      </c>
      <c r="M577" s="25">
        <f>IF($A577="","",IF($C577&lt;&gt;"manual_titration_mL","",IFERROR(INDEX('3_可滴定酸度'!$F$6:$F$13,MATCH($I577,'3_可滴定酸度'!$B$6:$B$13,0)),"")))</f>
        <v/>
      </c>
      <c r="N577" s="24">
        <f>IF($A577="","",IF(OR(K577="",L577="",M577=""),"",K577*E577*L577/(M577*1000)*100))</f>
        <v/>
      </c>
      <c r="O577" s="24">
        <f>IF($A577="","",IF(N577="","",IF(COUNTIFS('1_原始數據'!$A$2:$A$1000,$A577,'1_原始數據'!$B$2:$B$1000,$B577,'1_原始數據'!$D$2:$D$1000,$D577,'1_原始數據'!$I$2:$I$1000,$I577,'1_原始數據'!$C$2:$C$1000,"pasco_pct_acid")=0,"",SUMIFS('1_原始數據'!$E$2:$E$1000,'1_原始數據'!$A$2:$A$1000,$A577,'1_原始數據'!$B$2:$B$1000,$B577,'1_原始數據'!$D$2:$D$1000,$D577,'1_原始數據'!$I$2:$I$1000,$I577,'1_原始數據'!$C$2:$C$1000,"pasco_pct_acid"))))</f>
        <v/>
      </c>
      <c r="P577" s="26">
        <f>IF($A577="","",IF(OR(N577="",O577=""),"",O577-N577))</f>
        <v/>
      </c>
      <c r="Q577" s="24">
        <f>IF($A577="","",IF(P577="","",(O577+N577)/2))</f>
        <v/>
      </c>
      <c r="R577" s="27">
        <f>IF($A577="","",IF(P577="","",COUNT($P$2:P577)))</f>
        <v/>
      </c>
    </row>
    <row r="578">
      <c r="J578" s="24">
        <f>IF($A578="","",IF($C578&lt;&gt;"khp_titration_mL","",IF(COUNTIFS('1_原始數據'!$A$2:$A$1000,$A578,'1_原始數據'!$B$2:$B$1000,$B578,'1_原始數據'!$D$2:$D$1000,$D578,'1_原始數據'!$C$2:$C$1000,"khp_mass_g")=0,"",SUMIFS('1_原始數據'!$E$2:$E$1000,'1_原始數據'!$A$2:$A$1000,$A578,'1_原始數據'!$B$2:$B$1000,$B578,'1_原始數據'!$D$2:$D$1000,$D578,'1_原始數據'!$C$2:$C$1000,"khp_mass_g")/('2_NaOH標定'!$C$5*$E578/1000))))</f>
        <v/>
      </c>
      <c r="K578" s="24">
        <f>IF($A578="","",IF($C578&lt;&gt;"manual_titration_mL","",IF(COUNTIFS('1_原始數據'!$A$2:$A$1000,$A578,'1_原始數據'!$C$2:$C$1000,"khp_titration_mL")=0,"",AVERAGEIFS('1_原始數據'!$J$2:$J$1000,'1_原始數據'!$A$2:$A$1000,$A578,'1_原始數據'!$C$2:$C$1000,"khp_titration_mL"))))</f>
        <v/>
      </c>
      <c r="L578" s="25">
        <f>IF($A578="","",IF($C578&lt;&gt;"manual_titration_mL","",IFERROR(INDEX('3_可滴定酸度'!$E$6:$E$13,MATCH($I578,'3_可滴定酸度'!$B$6:$B$13,0)),"")))</f>
        <v/>
      </c>
      <c r="M578" s="25">
        <f>IF($A578="","",IF($C578&lt;&gt;"manual_titration_mL","",IFERROR(INDEX('3_可滴定酸度'!$F$6:$F$13,MATCH($I578,'3_可滴定酸度'!$B$6:$B$13,0)),"")))</f>
        <v/>
      </c>
      <c r="N578" s="24">
        <f>IF($A578="","",IF(OR(K578="",L578="",M578=""),"",K578*E578*L578/(M578*1000)*100))</f>
        <v/>
      </c>
      <c r="O578" s="24">
        <f>IF($A578="","",IF(N578="","",IF(COUNTIFS('1_原始數據'!$A$2:$A$1000,$A578,'1_原始數據'!$B$2:$B$1000,$B578,'1_原始數據'!$D$2:$D$1000,$D578,'1_原始數據'!$I$2:$I$1000,$I578,'1_原始數據'!$C$2:$C$1000,"pasco_pct_acid")=0,"",SUMIFS('1_原始數據'!$E$2:$E$1000,'1_原始數據'!$A$2:$A$1000,$A578,'1_原始數據'!$B$2:$B$1000,$B578,'1_原始數據'!$D$2:$D$1000,$D578,'1_原始數據'!$I$2:$I$1000,$I578,'1_原始數據'!$C$2:$C$1000,"pasco_pct_acid"))))</f>
        <v/>
      </c>
      <c r="P578" s="26">
        <f>IF($A578="","",IF(OR(N578="",O578=""),"",O578-N578))</f>
        <v/>
      </c>
      <c r="Q578" s="24">
        <f>IF($A578="","",IF(P578="","",(O578+N578)/2))</f>
        <v/>
      </c>
      <c r="R578" s="27">
        <f>IF($A578="","",IF(P578="","",COUNT($P$2:P578)))</f>
        <v/>
      </c>
    </row>
    <row r="579">
      <c r="J579" s="24">
        <f>IF($A579="","",IF($C579&lt;&gt;"khp_titration_mL","",IF(COUNTIFS('1_原始數據'!$A$2:$A$1000,$A579,'1_原始數據'!$B$2:$B$1000,$B579,'1_原始數據'!$D$2:$D$1000,$D579,'1_原始數據'!$C$2:$C$1000,"khp_mass_g")=0,"",SUMIFS('1_原始數據'!$E$2:$E$1000,'1_原始數據'!$A$2:$A$1000,$A579,'1_原始數據'!$B$2:$B$1000,$B579,'1_原始數據'!$D$2:$D$1000,$D579,'1_原始數據'!$C$2:$C$1000,"khp_mass_g")/('2_NaOH標定'!$C$5*$E579/1000))))</f>
        <v/>
      </c>
      <c r="K579" s="24">
        <f>IF($A579="","",IF($C579&lt;&gt;"manual_titration_mL","",IF(COUNTIFS('1_原始數據'!$A$2:$A$1000,$A579,'1_原始數據'!$C$2:$C$1000,"khp_titration_mL")=0,"",AVERAGEIFS('1_原始數據'!$J$2:$J$1000,'1_原始數據'!$A$2:$A$1000,$A579,'1_原始數據'!$C$2:$C$1000,"khp_titration_mL"))))</f>
        <v/>
      </c>
      <c r="L579" s="25">
        <f>IF($A579="","",IF($C579&lt;&gt;"manual_titration_mL","",IFERROR(INDEX('3_可滴定酸度'!$E$6:$E$13,MATCH($I579,'3_可滴定酸度'!$B$6:$B$13,0)),"")))</f>
        <v/>
      </c>
      <c r="M579" s="25">
        <f>IF($A579="","",IF($C579&lt;&gt;"manual_titration_mL","",IFERROR(INDEX('3_可滴定酸度'!$F$6:$F$13,MATCH($I579,'3_可滴定酸度'!$B$6:$B$13,0)),"")))</f>
        <v/>
      </c>
      <c r="N579" s="24">
        <f>IF($A579="","",IF(OR(K579="",L579="",M579=""),"",K579*E579*L579/(M579*1000)*100))</f>
        <v/>
      </c>
      <c r="O579" s="24">
        <f>IF($A579="","",IF(N579="","",IF(COUNTIFS('1_原始數據'!$A$2:$A$1000,$A579,'1_原始數據'!$B$2:$B$1000,$B579,'1_原始數據'!$D$2:$D$1000,$D579,'1_原始數據'!$I$2:$I$1000,$I579,'1_原始數據'!$C$2:$C$1000,"pasco_pct_acid")=0,"",SUMIFS('1_原始數據'!$E$2:$E$1000,'1_原始數據'!$A$2:$A$1000,$A579,'1_原始數據'!$B$2:$B$1000,$B579,'1_原始數據'!$D$2:$D$1000,$D579,'1_原始數據'!$I$2:$I$1000,$I579,'1_原始數據'!$C$2:$C$1000,"pasco_pct_acid"))))</f>
        <v/>
      </c>
      <c r="P579" s="26">
        <f>IF($A579="","",IF(OR(N579="",O579=""),"",O579-N579))</f>
        <v/>
      </c>
      <c r="Q579" s="24">
        <f>IF($A579="","",IF(P579="","",(O579+N579)/2))</f>
        <v/>
      </c>
      <c r="R579" s="27">
        <f>IF($A579="","",IF(P579="","",COUNT($P$2:P579)))</f>
        <v/>
      </c>
    </row>
    <row r="580">
      <c r="J580" s="24">
        <f>IF($A580="","",IF($C580&lt;&gt;"khp_titration_mL","",IF(COUNTIFS('1_原始數據'!$A$2:$A$1000,$A580,'1_原始數據'!$B$2:$B$1000,$B580,'1_原始數據'!$D$2:$D$1000,$D580,'1_原始數據'!$C$2:$C$1000,"khp_mass_g")=0,"",SUMIFS('1_原始數據'!$E$2:$E$1000,'1_原始數據'!$A$2:$A$1000,$A580,'1_原始數據'!$B$2:$B$1000,$B580,'1_原始數據'!$D$2:$D$1000,$D580,'1_原始數據'!$C$2:$C$1000,"khp_mass_g")/('2_NaOH標定'!$C$5*$E580/1000))))</f>
        <v/>
      </c>
      <c r="K580" s="24">
        <f>IF($A580="","",IF($C580&lt;&gt;"manual_titration_mL","",IF(COUNTIFS('1_原始數據'!$A$2:$A$1000,$A580,'1_原始數據'!$C$2:$C$1000,"khp_titration_mL")=0,"",AVERAGEIFS('1_原始數據'!$J$2:$J$1000,'1_原始數據'!$A$2:$A$1000,$A580,'1_原始數據'!$C$2:$C$1000,"khp_titration_mL"))))</f>
        <v/>
      </c>
      <c r="L580" s="25">
        <f>IF($A580="","",IF($C580&lt;&gt;"manual_titration_mL","",IFERROR(INDEX('3_可滴定酸度'!$E$6:$E$13,MATCH($I580,'3_可滴定酸度'!$B$6:$B$13,0)),"")))</f>
        <v/>
      </c>
      <c r="M580" s="25">
        <f>IF($A580="","",IF($C580&lt;&gt;"manual_titration_mL","",IFERROR(INDEX('3_可滴定酸度'!$F$6:$F$13,MATCH($I580,'3_可滴定酸度'!$B$6:$B$13,0)),"")))</f>
        <v/>
      </c>
      <c r="N580" s="24">
        <f>IF($A580="","",IF(OR(K580="",L580="",M580=""),"",K580*E580*L580/(M580*1000)*100))</f>
        <v/>
      </c>
      <c r="O580" s="24">
        <f>IF($A580="","",IF(N580="","",IF(COUNTIFS('1_原始數據'!$A$2:$A$1000,$A580,'1_原始數據'!$B$2:$B$1000,$B580,'1_原始數據'!$D$2:$D$1000,$D580,'1_原始數據'!$I$2:$I$1000,$I580,'1_原始數據'!$C$2:$C$1000,"pasco_pct_acid")=0,"",SUMIFS('1_原始數據'!$E$2:$E$1000,'1_原始數據'!$A$2:$A$1000,$A580,'1_原始數據'!$B$2:$B$1000,$B580,'1_原始數據'!$D$2:$D$1000,$D580,'1_原始數據'!$I$2:$I$1000,$I580,'1_原始數據'!$C$2:$C$1000,"pasco_pct_acid"))))</f>
        <v/>
      </c>
      <c r="P580" s="26">
        <f>IF($A580="","",IF(OR(N580="",O580=""),"",O580-N580))</f>
        <v/>
      </c>
      <c r="Q580" s="24">
        <f>IF($A580="","",IF(P580="","",(O580+N580)/2))</f>
        <v/>
      </c>
      <c r="R580" s="27">
        <f>IF($A580="","",IF(P580="","",COUNT($P$2:P580)))</f>
        <v/>
      </c>
    </row>
    <row r="581">
      <c r="J581" s="24">
        <f>IF($A581="","",IF($C581&lt;&gt;"khp_titration_mL","",IF(COUNTIFS('1_原始數據'!$A$2:$A$1000,$A581,'1_原始數據'!$B$2:$B$1000,$B581,'1_原始數據'!$D$2:$D$1000,$D581,'1_原始數據'!$C$2:$C$1000,"khp_mass_g")=0,"",SUMIFS('1_原始數據'!$E$2:$E$1000,'1_原始數據'!$A$2:$A$1000,$A581,'1_原始數據'!$B$2:$B$1000,$B581,'1_原始數據'!$D$2:$D$1000,$D581,'1_原始數據'!$C$2:$C$1000,"khp_mass_g")/('2_NaOH標定'!$C$5*$E581/1000))))</f>
        <v/>
      </c>
      <c r="K581" s="24">
        <f>IF($A581="","",IF($C581&lt;&gt;"manual_titration_mL","",IF(COUNTIFS('1_原始數據'!$A$2:$A$1000,$A581,'1_原始數據'!$C$2:$C$1000,"khp_titration_mL")=0,"",AVERAGEIFS('1_原始數據'!$J$2:$J$1000,'1_原始數據'!$A$2:$A$1000,$A581,'1_原始數據'!$C$2:$C$1000,"khp_titration_mL"))))</f>
        <v/>
      </c>
      <c r="L581" s="25">
        <f>IF($A581="","",IF($C581&lt;&gt;"manual_titration_mL","",IFERROR(INDEX('3_可滴定酸度'!$E$6:$E$13,MATCH($I581,'3_可滴定酸度'!$B$6:$B$13,0)),"")))</f>
        <v/>
      </c>
      <c r="M581" s="25">
        <f>IF($A581="","",IF($C581&lt;&gt;"manual_titration_mL","",IFERROR(INDEX('3_可滴定酸度'!$F$6:$F$13,MATCH($I581,'3_可滴定酸度'!$B$6:$B$13,0)),"")))</f>
        <v/>
      </c>
      <c r="N581" s="24">
        <f>IF($A581="","",IF(OR(K581="",L581="",M581=""),"",K581*E581*L581/(M581*1000)*100))</f>
        <v/>
      </c>
      <c r="O581" s="24">
        <f>IF($A581="","",IF(N581="","",IF(COUNTIFS('1_原始數據'!$A$2:$A$1000,$A581,'1_原始數據'!$B$2:$B$1000,$B581,'1_原始數據'!$D$2:$D$1000,$D581,'1_原始數據'!$I$2:$I$1000,$I581,'1_原始數據'!$C$2:$C$1000,"pasco_pct_acid")=0,"",SUMIFS('1_原始數據'!$E$2:$E$1000,'1_原始數據'!$A$2:$A$1000,$A581,'1_原始數據'!$B$2:$B$1000,$B581,'1_原始數據'!$D$2:$D$1000,$D581,'1_原始數據'!$I$2:$I$1000,$I581,'1_原始數據'!$C$2:$C$1000,"pasco_pct_acid"))))</f>
        <v/>
      </c>
      <c r="P581" s="26">
        <f>IF($A581="","",IF(OR(N581="",O581=""),"",O581-N581))</f>
        <v/>
      </c>
      <c r="Q581" s="24">
        <f>IF($A581="","",IF(P581="","",(O581+N581)/2))</f>
        <v/>
      </c>
      <c r="R581" s="27">
        <f>IF($A581="","",IF(P581="","",COUNT($P$2:P581)))</f>
        <v/>
      </c>
    </row>
    <row r="582">
      <c r="J582" s="24">
        <f>IF($A582="","",IF($C582&lt;&gt;"khp_titration_mL","",IF(COUNTIFS('1_原始數據'!$A$2:$A$1000,$A582,'1_原始數據'!$B$2:$B$1000,$B582,'1_原始數據'!$D$2:$D$1000,$D582,'1_原始數據'!$C$2:$C$1000,"khp_mass_g")=0,"",SUMIFS('1_原始數據'!$E$2:$E$1000,'1_原始數據'!$A$2:$A$1000,$A582,'1_原始數據'!$B$2:$B$1000,$B582,'1_原始數據'!$D$2:$D$1000,$D582,'1_原始數據'!$C$2:$C$1000,"khp_mass_g")/('2_NaOH標定'!$C$5*$E582/1000))))</f>
        <v/>
      </c>
      <c r="K582" s="24">
        <f>IF($A582="","",IF($C582&lt;&gt;"manual_titration_mL","",IF(COUNTIFS('1_原始數據'!$A$2:$A$1000,$A582,'1_原始數據'!$C$2:$C$1000,"khp_titration_mL")=0,"",AVERAGEIFS('1_原始數據'!$J$2:$J$1000,'1_原始數據'!$A$2:$A$1000,$A582,'1_原始數據'!$C$2:$C$1000,"khp_titration_mL"))))</f>
        <v/>
      </c>
      <c r="L582" s="25">
        <f>IF($A582="","",IF($C582&lt;&gt;"manual_titration_mL","",IFERROR(INDEX('3_可滴定酸度'!$E$6:$E$13,MATCH($I582,'3_可滴定酸度'!$B$6:$B$13,0)),"")))</f>
        <v/>
      </c>
      <c r="M582" s="25">
        <f>IF($A582="","",IF($C582&lt;&gt;"manual_titration_mL","",IFERROR(INDEX('3_可滴定酸度'!$F$6:$F$13,MATCH($I582,'3_可滴定酸度'!$B$6:$B$13,0)),"")))</f>
        <v/>
      </c>
      <c r="N582" s="24">
        <f>IF($A582="","",IF(OR(K582="",L582="",M582=""),"",K582*E582*L582/(M582*1000)*100))</f>
        <v/>
      </c>
      <c r="O582" s="24">
        <f>IF($A582="","",IF(N582="","",IF(COUNTIFS('1_原始數據'!$A$2:$A$1000,$A582,'1_原始數據'!$B$2:$B$1000,$B582,'1_原始數據'!$D$2:$D$1000,$D582,'1_原始數據'!$I$2:$I$1000,$I582,'1_原始數據'!$C$2:$C$1000,"pasco_pct_acid")=0,"",SUMIFS('1_原始數據'!$E$2:$E$1000,'1_原始數據'!$A$2:$A$1000,$A582,'1_原始數據'!$B$2:$B$1000,$B582,'1_原始數據'!$D$2:$D$1000,$D582,'1_原始數據'!$I$2:$I$1000,$I582,'1_原始數據'!$C$2:$C$1000,"pasco_pct_acid"))))</f>
        <v/>
      </c>
      <c r="P582" s="26">
        <f>IF($A582="","",IF(OR(N582="",O582=""),"",O582-N582))</f>
        <v/>
      </c>
      <c r="Q582" s="24">
        <f>IF($A582="","",IF(P582="","",(O582+N582)/2))</f>
        <v/>
      </c>
      <c r="R582" s="27">
        <f>IF($A582="","",IF(P582="","",COUNT($P$2:P582)))</f>
        <v/>
      </c>
    </row>
    <row r="583">
      <c r="J583" s="24">
        <f>IF($A583="","",IF($C583&lt;&gt;"khp_titration_mL","",IF(COUNTIFS('1_原始數據'!$A$2:$A$1000,$A583,'1_原始數據'!$B$2:$B$1000,$B583,'1_原始數據'!$D$2:$D$1000,$D583,'1_原始數據'!$C$2:$C$1000,"khp_mass_g")=0,"",SUMIFS('1_原始數據'!$E$2:$E$1000,'1_原始數據'!$A$2:$A$1000,$A583,'1_原始數據'!$B$2:$B$1000,$B583,'1_原始數據'!$D$2:$D$1000,$D583,'1_原始數據'!$C$2:$C$1000,"khp_mass_g")/('2_NaOH標定'!$C$5*$E583/1000))))</f>
        <v/>
      </c>
      <c r="K583" s="24">
        <f>IF($A583="","",IF($C583&lt;&gt;"manual_titration_mL","",IF(COUNTIFS('1_原始數據'!$A$2:$A$1000,$A583,'1_原始數據'!$C$2:$C$1000,"khp_titration_mL")=0,"",AVERAGEIFS('1_原始數據'!$J$2:$J$1000,'1_原始數據'!$A$2:$A$1000,$A583,'1_原始數據'!$C$2:$C$1000,"khp_titration_mL"))))</f>
        <v/>
      </c>
      <c r="L583" s="25">
        <f>IF($A583="","",IF($C583&lt;&gt;"manual_titration_mL","",IFERROR(INDEX('3_可滴定酸度'!$E$6:$E$13,MATCH($I583,'3_可滴定酸度'!$B$6:$B$13,0)),"")))</f>
        <v/>
      </c>
      <c r="M583" s="25">
        <f>IF($A583="","",IF($C583&lt;&gt;"manual_titration_mL","",IFERROR(INDEX('3_可滴定酸度'!$F$6:$F$13,MATCH($I583,'3_可滴定酸度'!$B$6:$B$13,0)),"")))</f>
        <v/>
      </c>
      <c r="N583" s="24">
        <f>IF($A583="","",IF(OR(K583="",L583="",M583=""),"",K583*E583*L583/(M583*1000)*100))</f>
        <v/>
      </c>
      <c r="O583" s="24">
        <f>IF($A583="","",IF(N583="","",IF(COUNTIFS('1_原始數據'!$A$2:$A$1000,$A583,'1_原始數據'!$B$2:$B$1000,$B583,'1_原始數據'!$D$2:$D$1000,$D583,'1_原始數據'!$I$2:$I$1000,$I583,'1_原始數據'!$C$2:$C$1000,"pasco_pct_acid")=0,"",SUMIFS('1_原始數據'!$E$2:$E$1000,'1_原始數據'!$A$2:$A$1000,$A583,'1_原始數據'!$B$2:$B$1000,$B583,'1_原始數據'!$D$2:$D$1000,$D583,'1_原始數據'!$I$2:$I$1000,$I583,'1_原始數據'!$C$2:$C$1000,"pasco_pct_acid"))))</f>
        <v/>
      </c>
      <c r="P583" s="26">
        <f>IF($A583="","",IF(OR(N583="",O583=""),"",O583-N583))</f>
        <v/>
      </c>
      <c r="Q583" s="24">
        <f>IF($A583="","",IF(P583="","",(O583+N583)/2))</f>
        <v/>
      </c>
      <c r="R583" s="27">
        <f>IF($A583="","",IF(P583="","",COUNT($P$2:P583)))</f>
        <v/>
      </c>
    </row>
    <row r="584">
      <c r="J584" s="24">
        <f>IF($A584="","",IF($C584&lt;&gt;"khp_titration_mL","",IF(COUNTIFS('1_原始數據'!$A$2:$A$1000,$A584,'1_原始數據'!$B$2:$B$1000,$B584,'1_原始數據'!$D$2:$D$1000,$D584,'1_原始數據'!$C$2:$C$1000,"khp_mass_g")=0,"",SUMIFS('1_原始數據'!$E$2:$E$1000,'1_原始數據'!$A$2:$A$1000,$A584,'1_原始數據'!$B$2:$B$1000,$B584,'1_原始數據'!$D$2:$D$1000,$D584,'1_原始數據'!$C$2:$C$1000,"khp_mass_g")/('2_NaOH標定'!$C$5*$E584/1000))))</f>
        <v/>
      </c>
      <c r="K584" s="24">
        <f>IF($A584="","",IF($C584&lt;&gt;"manual_titration_mL","",IF(COUNTIFS('1_原始數據'!$A$2:$A$1000,$A584,'1_原始數據'!$C$2:$C$1000,"khp_titration_mL")=0,"",AVERAGEIFS('1_原始數據'!$J$2:$J$1000,'1_原始數據'!$A$2:$A$1000,$A584,'1_原始數據'!$C$2:$C$1000,"khp_titration_mL"))))</f>
        <v/>
      </c>
      <c r="L584" s="25">
        <f>IF($A584="","",IF($C584&lt;&gt;"manual_titration_mL","",IFERROR(INDEX('3_可滴定酸度'!$E$6:$E$13,MATCH($I584,'3_可滴定酸度'!$B$6:$B$13,0)),"")))</f>
        <v/>
      </c>
      <c r="M584" s="25">
        <f>IF($A584="","",IF($C584&lt;&gt;"manual_titration_mL","",IFERROR(INDEX('3_可滴定酸度'!$F$6:$F$13,MATCH($I584,'3_可滴定酸度'!$B$6:$B$13,0)),"")))</f>
        <v/>
      </c>
      <c r="N584" s="24">
        <f>IF($A584="","",IF(OR(K584="",L584="",M584=""),"",K584*E584*L584/(M584*1000)*100))</f>
        <v/>
      </c>
      <c r="O584" s="24">
        <f>IF($A584="","",IF(N584="","",IF(COUNTIFS('1_原始數據'!$A$2:$A$1000,$A584,'1_原始數據'!$B$2:$B$1000,$B584,'1_原始數據'!$D$2:$D$1000,$D584,'1_原始數據'!$I$2:$I$1000,$I584,'1_原始數據'!$C$2:$C$1000,"pasco_pct_acid")=0,"",SUMIFS('1_原始數據'!$E$2:$E$1000,'1_原始數據'!$A$2:$A$1000,$A584,'1_原始數據'!$B$2:$B$1000,$B584,'1_原始數據'!$D$2:$D$1000,$D584,'1_原始數據'!$I$2:$I$1000,$I584,'1_原始數據'!$C$2:$C$1000,"pasco_pct_acid"))))</f>
        <v/>
      </c>
      <c r="P584" s="26">
        <f>IF($A584="","",IF(OR(N584="",O584=""),"",O584-N584))</f>
        <v/>
      </c>
      <c r="Q584" s="24">
        <f>IF($A584="","",IF(P584="","",(O584+N584)/2))</f>
        <v/>
      </c>
      <c r="R584" s="27">
        <f>IF($A584="","",IF(P584="","",COUNT($P$2:P584)))</f>
        <v/>
      </c>
    </row>
    <row r="585">
      <c r="J585" s="24">
        <f>IF($A585="","",IF($C585&lt;&gt;"khp_titration_mL","",IF(COUNTIFS('1_原始數據'!$A$2:$A$1000,$A585,'1_原始數據'!$B$2:$B$1000,$B585,'1_原始數據'!$D$2:$D$1000,$D585,'1_原始數據'!$C$2:$C$1000,"khp_mass_g")=0,"",SUMIFS('1_原始數據'!$E$2:$E$1000,'1_原始數據'!$A$2:$A$1000,$A585,'1_原始數據'!$B$2:$B$1000,$B585,'1_原始數據'!$D$2:$D$1000,$D585,'1_原始數據'!$C$2:$C$1000,"khp_mass_g")/('2_NaOH標定'!$C$5*$E585/1000))))</f>
        <v/>
      </c>
      <c r="K585" s="24">
        <f>IF($A585="","",IF($C585&lt;&gt;"manual_titration_mL","",IF(COUNTIFS('1_原始數據'!$A$2:$A$1000,$A585,'1_原始數據'!$C$2:$C$1000,"khp_titration_mL")=0,"",AVERAGEIFS('1_原始數據'!$J$2:$J$1000,'1_原始數據'!$A$2:$A$1000,$A585,'1_原始數據'!$C$2:$C$1000,"khp_titration_mL"))))</f>
        <v/>
      </c>
      <c r="L585" s="25">
        <f>IF($A585="","",IF($C585&lt;&gt;"manual_titration_mL","",IFERROR(INDEX('3_可滴定酸度'!$E$6:$E$13,MATCH($I585,'3_可滴定酸度'!$B$6:$B$13,0)),"")))</f>
        <v/>
      </c>
      <c r="M585" s="25">
        <f>IF($A585="","",IF($C585&lt;&gt;"manual_titration_mL","",IFERROR(INDEX('3_可滴定酸度'!$F$6:$F$13,MATCH($I585,'3_可滴定酸度'!$B$6:$B$13,0)),"")))</f>
        <v/>
      </c>
      <c r="N585" s="24">
        <f>IF($A585="","",IF(OR(K585="",L585="",M585=""),"",K585*E585*L585/(M585*1000)*100))</f>
        <v/>
      </c>
      <c r="O585" s="24">
        <f>IF($A585="","",IF(N585="","",IF(COUNTIFS('1_原始數據'!$A$2:$A$1000,$A585,'1_原始數據'!$B$2:$B$1000,$B585,'1_原始數據'!$D$2:$D$1000,$D585,'1_原始數據'!$I$2:$I$1000,$I585,'1_原始數據'!$C$2:$C$1000,"pasco_pct_acid")=0,"",SUMIFS('1_原始數據'!$E$2:$E$1000,'1_原始數據'!$A$2:$A$1000,$A585,'1_原始數據'!$B$2:$B$1000,$B585,'1_原始數據'!$D$2:$D$1000,$D585,'1_原始數據'!$I$2:$I$1000,$I585,'1_原始數據'!$C$2:$C$1000,"pasco_pct_acid"))))</f>
        <v/>
      </c>
      <c r="P585" s="26">
        <f>IF($A585="","",IF(OR(N585="",O585=""),"",O585-N585))</f>
        <v/>
      </c>
      <c r="Q585" s="24">
        <f>IF($A585="","",IF(P585="","",(O585+N585)/2))</f>
        <v/>
      </c>
      <c r="R585" s="27">
        <f>IF($A585="","",IF(P585="","",COUNT($P$2:P585)))</f>
        <v/>
      </c>
    </row>
    <row r="586">
      <c r="J586" s="24">
        <f>IF($A586="","",IF($C586&lt;&gt;"khp_titration_mL","",IF(COUNTIFS('1_原始數據'!$A$2:$A$1000,$A586,'1_原始數據'!$B$2:$B$1000,$B586,'1_原始數據'!$D$2:$D$1000,$D586,'1_原始數據'!$C$2:$C$1000,"khp_mass_g")=0,"",SUMIFS('1_原始數據'!$E$2:$E$1000,'1_原始數據'!$A$2:$A$1000,$A586,'1_原始數據'!$B$2:$B$1000,$B586,'1_原始數據'!$D$2:$D$1000,$D586,'1_原始數據'!$C$2:$C$1000,"khp_mass_g")/('2_NaOH標定'!$C$5*$E586/1000))))</f>
        <v/>
      </c>
      <c r="K586" s="24">
        <f>IF($A586="","",IF($C586&lt;&gt;"manual_titration_mL","",IF(COUNTIFS('1_原始數據'!$A$2:$A$1000,$A586,'1_原始數據'!$C$2:$C$1000,"khp_titration_mL")=0,"",AVERAGEIFS('1_原始數據'!$J$2:$J$1000,'1_原始數據'!$A$2:$A$1000,$A586,'1_原始數據'!$C$2:$C$1000,"khp_titration_mL"))))</f>
        <v/>
      </c>
      <c r="L586" s="25">
        <f>IF($A586="","",IF($C586&lt;&gt;"manual_titration_mL","",IFERROR(INDEX('3_可滴定酸度'!$E$6:$E$13,MATCH($I586,'3_可滴定酸度'!$B$6:$B$13,0)),"")))</f>
        <v/>
      </c>
      <c r="M586" s="25">
        <f>IF($A586="","",IF($C586&lt;&gt;"manual_titration_mL","",IFERROR(INDEX('3_可滴定酸度'!$F$6:$F$13,MATCH($I586,'3_可滴定酸度'!$B$6:$B$13,0)),"")))</f>
        <v/>
      </c>
      <c r="N586" s="24">
        <f>IF($A586="","",IF(OR(K586="",L586="",M586=""),"",K586*E586*L586/(M586*1000)*100))</f>
        <v/>
      </c>
      <c r="O586" s="24">
        <f>IF($A586="","",IF(N586="","",IF(COUNTIFS('1_原始數據'!$A$2:$A$1000,$A586,'1_原始數據'!$B$2:$B$1000,$B586,'1_原始數據'!$D$2:$D$1000,$D586,'1_原始數據'!$I$2:$I$1000,$I586,'1_原始數據'!$C$2:$C$1000,"pasco_pct_acid")=0,"",SUMIFS('1_原始數據'!$E$2:$E$1000,'1_原始數據'!$A$2:$A$1000,$A586,'1_原始數據'!$B$2:$B$1000,$B586,'1_原始數據'!$D$2:$D$1000,$D586,'1_原始數據'!$I$2:$I$1000,$I586,'1_原始數據'!$C$2:$C$1000,"pasco_pct_acid"))))</f>
        <v/>
      </c>
      <c r="P586" s="26">
        <f>IF($A586="","",IF(OR(N586="",O586=""),"",O586-N586))</f>
        <v/>
      </c>
      <c r="Q586" s="24">
        <f>IF($A586="","",IF(P586="","",(O586+N586)/2))</f>
        <v/>
      </c>
      <c r="R586" s="27">
        <f>IF($A586="","",IF(P586="","",COUNT($P$2:P586)))</f>
        <v/>
      </c>
    </row>
    <row r="587">
      <c r="J587" s="24">
        <f>IF($A587="","",IF($C587&lt;&gt;"khp_titration_mL","",IF(COUNTIFS('1_原始數據'!$A$2:$A$1000,$A587,'1_原始數據'!$B$2:$B$1000,$B587,'1_原始數據'!$D$2:$D$1000,$D587,'1_原始數據'!$C$2:$C$1000,"khp_mass_g")=0,"",SUMIFS('1_原始數據'!$E$2:$E$1000,'1_原始數據'!$A$2:$A$1000,$A587,'1_原始數據'!$B$2:$B$1000,$B587,'1_原始數據'!$D$2:$D$1000,$D587,'1_原始數據'!$C$2:$C$1000,"khp_mass_g")/('2_NaOH標定'!$C$5*$E587/1000))))</f>
        <v/>
      </c>
      <c r="K587" s="24">
        <f>IF($A587="","",IF($C587&lt;&gt;"manual_titration_mL","",IF(COUNTIFS('1_原始數據'!$A$2:$A$1000,$A587,'1_原始數據'!$C$2:$C$1000,"khp_titration_mL")=0,"",AVERAGEIFS('1_原始數據'!$J$2:$J$1000,'1_原始數據'!$A$2:$A$1000,$A587,'1_原始數據'!$C$2:$C$1000,"khp_titration_mL"))))</f>
        <v/>
      </c>
      <c r="L587" s="25">
        <f>IF($A587="","",IF($C587&lt;&gt;"manual_titration_mL","",IFERROR(INDEX('3_可滴定酸度'!$E$6:$E$13,MATCH($I587,'3_可滴定酸度'!$B$6:$B$13,0)),"")))</f>
        <v/>
      </c>
      <c r="M587" s="25">
        <f>IF($A587="","",IF($C587&lt;&gt;"manual_titration_mL","",IFERROR(INDEX('3_可滴定酸度'!$F$6:$F$13,MATCH($I587,'3_可滴定酸度'!$B$6:$B$13,0)),"")))</f>
        <v/>
      </c>
      <c r="N587" s="24">
        <f>IF($A587="","",IF(OR(K587="",L587="",M587=""),"",K587*E587*L587/(M587*1000)*100))</f>
        <v/>
      </c>
      <c r="O587" s="24">
        <f>IF($A587="","",IF(N587="","",IF(COUNTIFS('1_原始數據'!$A$2:$A$1000,$A587,'1_原始數據'!$B$2:$B$1000,$B587,'1_原始數據'!$D$2:$D$1000,$D587,'1_原始數據'!$I$2:$I$1000,$I587,'1_原始數據'!$C$2:$C$1000,"pasco_pct_acid")=0,"",SUMIFS('1_原始數據'!$E$2:$E$1000,'1_原始數據'!$A$2:$A$1000,$A587,'1_原始數據'!$B$2:$B$1000,$B587,'1_原始數據'!$D$2:$D$1000,$D587,'1_原始數據'!$I$2:$I$1000,$I587,'1_原始數據'!$C$2:$C$1000,"pasco_pct_acid"))))</f>
        <v/>
      </c>
      <c r="P587" s="26">
        <f>IF($A587="","",IF(OR(N587="",O587=""),"",O587-N587))</f>
        <v/>
      </c>
      <c r="Q587" s="24">
        <f>IF($A587="","",IF(P587="","",(O587+N587)/2))</f>
        <v/>
      </c>
      <c r="R587" s="27">
        <f>IF($A587="","",IF(P587="","",COUNT($P$2:P587)))</f>
        <v/>
      </c>
    </row>
    <row r="588">
      <c r="J588" s="24">
        <f>IF($A588="","",IF($C588&lt;&gt;"khp_titration_mL","",IF(COUNTIFS('1_原始數據'!$A$2:$A$1000,$A588,'1_原始數據'!$B$2:$B$1000,$B588,'1_原始數據'!$D$2:$D$1000,$D588,'1_原始數據'!$C$2:$C$1000,"khp_mass_g")=0,"",SUMIFS('1_原始數據'!$E$2:$E$1000,'1_原始數據'!$A$2:$A$1000,$A588,'1_原始數據'!$B$2:$B$1000,$B588,'1_原始數據'!$D$2:$D$1000,$D588,'1_原始數據'!$C$2:$C$1000,"khp_mass_g")/('2_NaOH標定'!$C$5*$E588/1000))))</f>
        <v/>
      </c>
      <c r="K588" s="24">
        <f>IF($A588="","",IF($C588&lt;&gt;"manual_titration_mL","",IF(COUNTIFS('1_原始數據'!$A$2:$A$1000,$A588,'1_原始數據'!$C$2:$C$1000,"khp_titration_mL")=0,"",AVERAGEIFS('1_原始數據'!$J$2:$J$1000,'1_原始數據'!$A$2:$A$1000,$A588,'1_原始數據'!$C$2:$C$1000,"khp_titration_mL"))))</f>
        <v/>
      </c>
      <c r="L588" s="25">
        <f>IF($A588="","",IF($C588&lt;&gt;"manual_titration_mL","",IFERROR(INDEX('3_可滴定酸度'!$E$6:$E$13,MATCH($I588,'3_可滴定酸度'!$B$6:$B$13,0)),"")))</f>
        <v/>
      </c>
      <c r="M588" s="25">
        <f>IF($A588="","",IF($C588&lt;&gt;"manual_titration_mL","",IFERROR(INDEX('3_可滴定酸度'!$F$6:$F$13,MATCH($I588,'3_可滴定酸度'!$B$6:$B$13,0)),"")))</f>
        <v/>
      </c>
      <c r="N588" s="24">
        <f>IF($A588="","",IF(OR(K588="",L588="",M588=""),"",K588*E588*L588/(M588*1000)*100))</f>
        <v/>
      </c>
      <c r="O588" s="24">
        <f>IF($A588="","",IF(N588="","",IF(COUNTIFS('1_原始數據'!$A$2:$A$1000,$A588,'1_原始數據'!$B$2:$B$1000,$B588,'1_原始數據'!$D$2:$D$1000,$D588,'1_原始數據'!$I$2:$I$1000,$I588,'1_原始數據'!$C$2:$C$1000,"pasco_pct_acid")=0,"",SUMIFS('1_原始數據'!$E$2:$E$1000,'1_原始數據'!$A$2:$A$1000,$A588,'1_原始數據'!$B$2:$B$1000,$B588,'1_原始數據'!$D$2:$D$1000,$D588,'1_原始數據'!$I$2:$I$1000,$I588,'1_原始數據'!$C$2:$C$1000,"pasco_pct_acid"))))</f>
        <v/>
      </c>
      <c r="P588" s="26">
        <f>IF($A588="","",IF(OR(N588="",O588=""),"",O588-N588))</f>
        <v/>
      </c>
      <c r="Q588" s="24">
        <f>IF($A588="","",IF(P588="","",(O588+N588)/2))</f>
        <v/>
      </c>
      <c r="R588" s="27">
        <f>IF($A588="","",IF(P588="","",COUNT($P$2:P588)))</f>
        <v/>
      </c>
    </row>
    <row r="589">
      <c r="J589" s="24">
        <f>IF($A589="","",IF($C589&lt;&gt;"khp_titration_mL","",IF(COUNTIFS('1_原始數據'!$A$2:$A$1000,$A589,'1_原始數據'!$B$2:$B$1000,$B589,'1_原始數據'!$D$2:$D$1000,$D589,'1_原始數據'!$C$2:$C$1000,"khp_mass_g")=0,"",SUMIFS('1_原始數據'!$E$2:$E$1000,'1_原始數據'!$A$2:$A$1000,$A589,'1_原始數據'!$B$2:$B$1000,$B589,'1_原始數據'!$D$2:$D$1000,$D589,'1_原始數據'!$C$2:$C$1000,"khp_mass_g")/('2_NaOH標定'!$C$5*$E589/1000))))</f>
        <v/>
      </c>
      <c r="K589" s="24">
        <f>IF($A589="","",IF($C589&lt;&gt;"manual_titration_mL","",IF(COUNTIFS('1_原始數據'!$A$2:$A$1000,$A589,'1_原始數據'!$C$2:$C$1000,"khp_titration_mL")=0,"",AVERAGEIFS('1_原始數據'!$J$2:$J$1000,'1_原始數據'!$A$2:$A$1000,$A589,'1_原始數據'!$C$2:$C$1000,"khp_titration_mL"))))</f>
        <v/>
      </c>
      <c r="L589" s="25">
        <f>IF($A589="","",IF($C589&lt;&gt;"manual_titration_mL","",IFERROR(INDEX('3_可滴定酸度'!$E$6:$E$13,MATCH($I589,'3_可滴定酸度'!$B$6:$B$13,0)),"")))</f>
        <v/>
      </c>
      <c r="M589" s="25">
        <f>IF($A589="","",IF($C589&lt;&gt;"manual_titration_mL","",IFERROR(INDEX('3_可滴定酸度'!$F$6:$F$13,MATCH($I589,'3_可滴定酸度'!$B$6:$B$13,0)),"")))</f>
        <v/>
      </c>
      <c r="N589" s="24">
        <f>IF($A589="","",IF(OR(K589="",L589="",M589=""),"",K589*E589*L589/(M589*1000)*100))</f>
        <v/>
      </c>
      <c r="O589" s="24">
        <f>IF($A589="","",IF(N589="","",IF(COUNTIFS('1_原始數據'!$A$2:$A$1000,$A589,'1_原始數據'!$B$2:$B$1000,$B589,'1_原始數據'!$D$2:$D$1000,$D589,'1_原始數據'!$I$2:$I$1000,$I589,'1_原始數據'!$C$2:$C$1000,"pasco_pct_acid")=0,"",SUMIFS('1_原始數據'!$E$2:$E$1000,'1_原始數據'!$A$2:$A$1000,$A589,'1_原始數據'!$B$2:$B$1000,$B589,'1_原始數據'!$D$2:$D$1000,$D589,'1_原始數據'!$I$2:$I$1000,$I589,'1_原始數據'!$C$2:$C$1000,"pasco_pct_acid"))))</f>
        <v/>
      </c>
      <c r="P589" s="26">
        <f>IF($A589="","",IF(OR(N589="",O589=""),"",O589-N589))</f>
        <v/>
      </c>
      <c r="Q589" s="24">
        <f>IF($A589="","",IF(P589="","",(O589+N589)/2))</f>
        <v/>
      </c>
      <c r="R589" s="27">
        <f>IF($A589="","",IF(P589="","",COUNT($P$2:P589)))</f>
        <v/>
      </c>
    </row>
    <row r="590">
      <c r="J590" s="24">
        <f>IF($A590="","",IF($C590&lt;&gt;"khp_titration_mL","",IF(COUNTIFS('1_原始數據'!$A$2:$A$1000,$A590,'1_原始數據'!$B$2:$B$1000,$B590,'1_原始數據'!$D$2:$D$1000,$D590,'1_原始數據'!$C$2:$C$1000,"khp_mass_g")=0,"",SUMIFS('1_原始數據'!$E$2:$E$1000,'1_原始數據'!$A$2:$A$1000,$A590,'1_原始數據'!$B$2:$B$1000,$B590,'1_原始數據'!$D$2:$D$1000,$D590,'1_原始數據'!$C$2:$C$1000,"khp_mass_g")/('2_NaOH標定'!$C$5*$E590/1000))))</f>
        <v/>
      </c>
      <c r="K590" s="24">
        <f>IF($A590="","",IF($C590&lt;&gt;"manual_titration_mL","",IF(COUNTIFS('1_原始數據'!$A$2:$A$1000,$A590,'1_原始數據'!$C$2:$C$1000,"khp_titration_mL")=0,"",AVERAGEIFS('1_原始數據'!$J$2:$J$1000,'1_原始數據'!$A$2:$A$1000,$A590,'1_原始數據'!$C$2:$C$1000,"khp_titration_mL"))))</f>
        <v/>
      </c>
      <c r="L590" s="25">
        <f>IF($A590="","",IF($C590&lt;&gt;"manual_titration_mL","",IFERROR(INDEX('3_可滴定酸度'!$E$6:$E$13,MATCH($I590,'3_可滴定酸度'!$B$6:$B$13,0)),"")))</f>
        <v/>
      </c>
      <c r="M590" s="25">
        <f>IF($A590="","",IF($C590&lt;&gt;"manual_titration_mL","",IFERROR(INDEX('3_可滴定酸度'!$F$6:$F$13,MATCH($I590,'3_可滴定酸度'!$B$6:$B$13,0)),"")))</f>
        <v/>
      </c>
      <c r="N590" s="24">
        <f>IF($A590="","",IF(OR(K590="",L590="",M590=""),"",K590*E590*L590/(M590*1000)*100))</f>
        <v/>
      </c>
      <c r="O590" s="24">
        <f>IF($A590="","",IF(N590="","",IF(COUNTIFS('1_原始數據'!$A$2:$A$1000,$A590,'1_原始數據'!$B$2:$B$1000,$B590,'1_原始數據'!$D$2:$D$1000,$D590,'1_原始數據'!$I$2:$I$1000,$I590,'1_原始數據'!$C$2:$C$1000,"pasco_pct_acid")=0,"",SUMIFS('1_原始數據'!$E$2:$E$1000,'1_原始數據'!$A$2:$A$1000,$A590,'1_原始數據'!$B$2:$B$1000,$B590,'1_原始數據'!$D$2:$D$1000,$D590,'1_原始數據'!$I$2:$I$1000,$I590,'1_原始數據'!$C$2:$C$1000,"pasco_pct_acid"))))</f>
        <v/>
      </c>
      <c r="P590" s="26">
        <f>IF($A590="","",IF(OR(N590="",O590=""),"",O590-N590))</f>
        <v/>
      </c>
      <c r="Q590" s="24">
        <f>IF($A590="","",IF(P590="","",(O590+N590)/2))</f>
        <v/>
      </c>
      <c r="R590" s="27">
        <f>IF($A590="","",IF(P590="","",COUNT($P$2:P590)))</f>
        <v/>
      </c>
    </row>
    <row r="591">
      <c r="J591" s="24">
        <f>IF($A591="","",IF($C591&lt;&gt;"khp_titration_mL","",IF(COUNTIFS('1_原始數據'!$A$2:$A$1000,$A591,'1_原始數據'!$B$2:$B$1000,$B591,'1_原始數據'!$D$2:$D$1000,$D591,'1_原始數據'!$C$2:$C$1000,"khp_mass_g")=0,"",SUMIFS('1_原始數據'!$E$2:$E$1000,'1_原始數據'!$A$2:$A$1000,$A591,'1_原始數據'!$B$2:$B$1000,$B591,'1_原始數據'!$D$2:$D$1000,$D591,'1_原始數據'!$C$2:$C$1000,"khp_mass_g")/('2_NaOH標定'!$C$5*$E591/1000))))</f>
        <v/>
      </c>
      <c r="K591" s="24">
        <f>IF($A591="","",IF($C591&lt;&gt;"manual_titration_mL","",IF(COUNTIFS('1_原始數據'!$A$2:$A$1000,$A591,'1_原始數據'!$C$2:$C$1000,"khp_titration_mL")=0,"",AVERAGEIFS('1_原始數據'!$J$2:$J$1000,'1_原始數據'!$A$2:$A$1000,$A591,'1_原始數據'!$C$2:$C$1000,"khp_titration_mL"))))</f>
        <v/>
      </c>
      <c r="L591" s="25">
        <f>IF($A591="","",IF($C591&lt;&gt;"manual_titration_mL","",IFERROR(INDEX('3_可滴定酸度'!$E$6:$E$13,MATCH($I591,'3_可滴定酸度'!$B$6:$B$13,0)),"")))</f>
        <v/>
      </c>
      <c r="M591" s="25">
        <f>IF($A591="","",IF($C591&lt;&gt;"manual_titration_mL","",IFERROR(INDEX('3_可滴定酸度'!$F$6:$F$13,MATCH($I591,'3_可滴定酸度'!$B$6:$B$13,0)),"")))</f>
        <v/>
      </c>
      <c r="N591" s="24">
        <f>IF($A591="","",IF(OR(K591="",L591="",M591=""),"",K591*E591*L591/(M591*1000)*100))</f>
        <v/>
      </c>
      <c r="O591" s="24">
        <f>IF($A591="","",IF(N591="","",IF(COUNTIFS('1_原始數據'!$A$2:$A$1000,$A591,'1_原始數據'!$B$2:$B$1000,$B591,'1_原始數據'!$D$2:$D$1000,$D591,'1_原始數據'!$I$2:$I$1000,$I591,'1_原始數據'!$C$2:$C$1000,"pasco_pct_acid")=0,"",SUMIFS('1_原始數據'!$E$2:$E$1000,'1_原始數據'!$A$2:$A$1000,$A591,'1_原始數據'!$B$2:$B$1000,$B591,'1_原始數據'!$D$2:$D$1000,$D591,'1_原始數據'!$I$2:$I$1000,$I591,'1_原始數據'!$C$2:$C$1000,"pasco_pct_acid"))))</f>
        <v/>
      </c>
      <c r="P591" s="26">
        <f>IF($A591="","",IF(OR(N591="",O591=""),"",O591-N591))</f>
        <v/>
      </c>
      <c r="Q591" s="24">
        <f>IF($A591="","",IF(P591="","",(O591+N591)/2))</f>
        <v/>
      </c>
      <c r="R591" s="27">
        <f>IF($A591="","",IF(P591="","",COUNT($P$2:P591)))</f>
        <v/>
      </c>
    </row>
    <row r="592">
      <c r="J592" s="24">
        <f>IF($A592="","",IF($C592&lt;&gt;"khp_titration_mL","",IF(COUNTIFS('1_原始數據'!$A$2:$A$1000,$A592,'1_原始數據'!$B$2:$B$1000,$B592,'1_原始數據'!$D$2:$D$1000,$D592,'1_原始數據'!$C$2:$C$1000,"khp_mass_g")=0,"",SUMIFS('1_原始數據'!$E$2:$E$1000,'1_原始數據'!$A$2:$A$1000,$A592,'1_原始數據'!$B$2:$B$1000,$B592,'1_原始數據'!$D$2:$D$1000,$D592,'1_原始數據'!$C$2:$C$1000,"khp_mass_g")/('2_NaOH標定'!$C$5*$E592/1000))))</f>
        <v/>
      </c>
      <c r="K592" s="24">
        <f>IF($A592="","",IF($C592&lt;&gt;"manual_titration_mL","",IF(COUNTIFS('1_原始數據'!$A$2:$A$1000,$A592,'1_原始數據'!$C$2:$C$1000,"khp_titration_mL")=0,"",AVERAGEIFS('1_原始數據'!$J$2:$J$1000,'1_原始數據'!$A$2:$A$1000,$A592,'1_原始數據'!$C$2:$C$1000,"khp_titration_mL"))))</f>
        <v/>
      </c>
      <c r="L592" s="25">
        <f>IF($A592="","",IF($C592&lt;&gt;"manual_titration_mL","",IFERROR(INDEX('3_可滴定酸度'!$E$6:$E$13,MATCH($I592,'3_可滴定酸度'!$B$6:$B$13,0)),"")))</f>
        <v/>
      </c>
      <c r="M592" s="25">
        <f>IF($A592="","",IF($C592&lt;&gt;"manual_titration_mL","",IFERROR(INDEX('3_可滴定酸度'!$F$6:$F$13,MATCH($I592,'3_可滴定酸度'!$B$6:$B$13,0)),"")))</f>
        <v/>
      </c>
      <c r="N592" s="24">
        <f>IF($A592="","",IF(OR(K592="",L592="",M592=""),"",K592*E592*L592/(M592*1000)*100))</f>
        <v/>
      </c>
      <c r="O592" s="24">
        <f>IF($A592="","",IF(N592="","",IF(COUNTIFS('1_原始數據'!$A$2:$A$1000,$A592,'1_原始數據'!$B$2:$B$1000,$B592,'1_原始數據'!$D$2:$D$1000,$D592,'1_原始數據'!$I$2:$I$1000,$I592,'1_原始數據'!$C$2:$C$1000,"pasco_pct_acid")=0,"",SUMIFS('1_原始數據'!$E$2:$E$1000,'1_原始數據'!$A$2:$A$1000,$A592,'1_原始數據'!$B$2:$B$1000,$B592,'1_原始數據'!$D$2:$D$1000,$D592,'1_原始數據'!$I$2:$I$1000,$I592,'1_原始數據'!$C$2:$C$1000,"pasco_pct_acid"))))</f>
        <v/>
      </c>
      <c r="P592" s="26">
        <f>IF($A592="","",IF(OR(N592="",O592=""),"",O592-N592))</f>
        <v/>
      </c>
      <c r="Q592" s="24">
        <f>IF($A592="","",IF(P592="","",(O592+N592)/2))</f>
        <v/>
      </c>
      <c r="R592" s="27">
        <f>IF($A592="","",IF(P592="","",COUNT($P$2:P592)))</f>
        <v/>
      </c>
    </row>
    <row r="593">
      <c r="J593" s="24">
        <f>IF($A593="","",IF($C593&lt;&gt;"khp_titration_mL","",IF(COUNTIFS('1_原始數據'!$A$2:$A$1000,$A593,'1_原始數據'!$B$2:$B$1000,$B593,'1_原始數據'!$D$2:$D$1000,$D593,'1_原始數據'!$C$2:$C$1000,"khp_mass_g")=0,"",SUMIFS('1_原始數據'!$E$2:$E$1000,'1_原始數據'!$A$2:$A$1000,$A593,'1_原始數據'!$B$2:$B$1000,$B593,'1_原始數據'!$D$2:$D$1000,$D593,'1_原始數據'!$C$2:$C$1000,"khp_mass_g")/('2_NaOH標定'!$C$5*$E593/1000))))</f>
        <v/>
      </c>
      <c r="K593" s="24">
        <f>IF($A593="","",IF($C593&lt;&gt;"manual_titration_mL","",IF(COUNTIFS('1_原始數據'!$A$2:$A$1000,$A593,'1_原始數據'!$C$2:$C$1000,"khp_titration_mL")=0,"",AVERAGEIFS('1_原始數據'!$J$2:$J$1000,'1_原始數據'!$A$2:$A$1000,$A593,'1_原始數據'!$C$2:$C$1000,"khp_titration_mL"))))</f>
        <v/>
      </c>
      <c r="L593" s="25">
        <f>IF($A593="","",IF($C593&lt;&gt;"manual_titration_mL","",IFERROR(INDEX('3_可滴定酸度'!$E$6:$E$13,MATCH($I593,'3_可滴定酸度'!$B$6:$B$13,0)),"")))</f>
        <v/>
      </c>
      <c r="M593" s="25">
        <f>IF($A593="","",IF($C593&lt;&gt;"manual_titration_mL","",IFERROR(INDEX('3_可滴定酸度'!$F$6:$F$13,MATCH($I593,'3_可滴定酸度'!$B$6:$B$13,0)),"")))</f>
        <v/>
      </c>
      <c r="N593" s="24">
        <f>IF($A593="","",IF(OR(K593="",L593="",M593=""),"",K593*E593*L593/(M593*1000)*100))</f>
        <v/>
      </c>
      <c r="O593" s="24">
        <f>IF($A593="","",IF(N593="","",IF(COUNTIFS('1_原始數據'!$A$2:$A$1000,$A593,'1_原始數據'!$B$2:$B$1000,$B593,'1_原始數據'!$D$2:$D$1000,$D593,'1_原始數據'!$I$2:$I$1000,$I593,'1_原始數據'!$C$2:$C$1000,"pasco_pct_acid")=0,"",SUMIFS('1_原始數據'!$E$2:$E$1000,'1_原始數據'!$A$2:$A$1000,$A593,'1_原始數據'!$B$2:$B$1000,$B593,'1_原始數據'!$D$2:$D$1000,$D593,'1_原始數據'!$I$2:$I$1000,$I593,'1_原始數據'!$C$2:$C$1000,"pasco_pct_acid"))))</f>
        <v/>
      </c>
      <c r="P593" s="26">
        <f>IF($A593="","",IF(OR(N593="",O593=""),"",O593-N593))</f>
        <v/>
      </c>
      <c r="Q593" s="24">
        <f>IF($A593="","",IF(P593="","",(O593+N593)/2))</f>
        <v/>
      </c>
      <c r="R593" s="27">
        <f>IF($A593="","",IF(P593="","",COUNT($P$2:P593)))</f>
        <v/>
      </c>
    </row>
    <row r="594">
      <c r="J594" s="24">
        <f>IF($A594="","",IF($C594&lt;&gt;"khp_titration_mL","",IF(COUNTIFS('1_原始數據'!$A$2:$A$1000,$A594,'1_原始數據'!$B$2:$B$1000,$B594,'1_原始數據'!$D$2:$D$1000,$D594,'1_原始數據'!$C$2:$C$1000,"khp_mass_g")=0,"",SUMIFS('1_原始數據'!$E$2:$E$1000,'1_原始數據'!$A$2:$A$1000,$A594,'1_原始數據'!$B$2:$B$1000,$B594,'1_原始數據'!$D$2:$D$1000,$D594,'1_原始數據'!$C$2:$C$1000,"khp_mass_g")/('2_NaOH標定'!$C$5*$E594/1000))))</f>
        <v/>
      </c>
      <c r="K594" s="24">
        <f>IF($A594="","",IF($C594&lt;&gt;"manual_titration_mL","",IF(COUNTIFS('1_原始數據'!$A$2:$A$1000,$A594,'1_原始數據'!$C$2:$C$1000,"khp_titration_mL")=0,"",AVERAGEIFS('1_原始數據'!$J$2:$J$1000,'1_原始數據'!$A$2:$A$1000,$A594,'1_原始數據'!$C$2:$C$1000,"khp_titration_mL"))))</f>
        <v/>
      </c>
      <c r="L594" s="25">
        <f>IF($A594="","",IF($C594&lt;&gt;"manual_titration_mL","",IFERROR(INDEX('3_可滴定酸度'!$E$6:$E$13,MATCH($I594,'3_可滴定酸度'!$B$6:$B$13,0)),"")))</f>
        <v/>
      </c>
      <c r="M594" s="25">
        <f>IF($A594="","",IF($C594&lt;&gt;"manual_titration_mL","",IFERROR(INDEX('3_可滴定酸度'!$F$6:$F$13,MATCH($I594,'3_可滴定酸度'!$B$6:$B$13,0)),"")))</f>
        <v/>
      </c>
      <c r="N594" s="24">
        <f>IF($A594="","",IF(OR(K594="",L594="",M594=""),"",K594*E594*L594/(M594*1000)*100))</f>
        <v/>
      </c>
      <c r="O594" s="24">
        <f>IF($A594="","",IF(N594="","",IF(COUNTIFS('1_原始數據'!$A$2:$A$1000,$A594,'1_原始數據'!$B$2:$B$1000,$B594,'1_原始數據'!$D$2:$D$1000,$D594,'1_原始數據'!$I$2:$I$1000,$I594,'1_原始數據'!$C$2:$C$1000,"pasco_pct_acid")=0,"",SUMIFS('1_原始數據'!$E$2:$E$1000,'1_原始數據'!$A$2:$A$1000,$A594,'1_原始數據'!$B$2:$B$1000,$B594,'1_原始數據'!$D$2:$D$1000,$D594,'1_原始數據'!$I$2:$I$1000,$I594,'1_原始數據'!$C$2:$C$1000,"pasco_pct_acid"))))</f>
        <v/>
      </c>
      <c r="P594" s="26">
        <f>IF($A594="","",IF(OR(N594="",O594=""),"",O594-N594))</f>
        <v/>
      </c>
      <c r="Q594" s="24">
        <f>IF($A594="","",IF(P594="","",(O594+N594)/2))</f>
        <v/>
      </c>
      <c r="R594" s="27">
        <f>IF($A594="","",IF(P594="","",COUNT($P$2:P594)))</f>
        <v/>
      </c>
    </row>
    <row r="595">
      <c r="J595" s="24">
        <f>IF($A595="","",IF($C595&lt;&gt;"khp_titration_mL","",IF(COUNTIFS('1_原始數據'!$A$2:$A$1000,$A595,'1_原始數據'!$B$2:$B$1000,$B595,'1_原始數據'!$D$2:$D$1000,$D595,'1_原始數據'!$C$2:$C$1000,"khp_mass_g")=0,"",SUMIFS('1_原始數據'!$E$2:$E$1000,'1_原始數據'!$A$2:$A$1000,$A595,'1_原始數據'!$B$2:$B$1000,$B595,'1_原始數據'!$D$2:$D$1000,$D595,'1_原始數據'!$C$2:$C$1000,"khp_mass_g")/('2_NaOH標定'!$C$5*$E595/1000))))</f>
        <v/>
      </c>
      <c r="K595" s="24">
        <f>IF($A595="","",IF($C595&lt;&gt;"manual_titration_mL","",IF(COUNTIFS('1_原始數據'!$A$2:$A$1000,$A595,'1_原始數據'!$C$2:$C$1000,"khp_titration_mL")=0,"",AVERAGEIFS('1_原始數據'!$J$2:$J$1000,'1_原始數據'!$A$2:$A$1000,$A595,'1_原始數據'!$C$2:$C$1000,"khp_titration_mL"))))</f>
        <v/>
      </c>
      <c r="L595" s="25">
        <f>IF($A595="","",IF($C595&lt;&gt;"manual_titration_mL","",IFERROR(INDEX('3_可滴定酸度'!$E$6:$E$13,MATCH($I595,'3_可滴定酸度'!$B$6:$B$13,0)),"")))</f>
        <v/>
      </c>
      <c r="M595" s="25">
        <f>IF($A595="","",IF($C595&lt;&gt;"manual_titration_mL","",IFERROR(INDEX('3_可滴定酸度'!$F$6:$F$13,MATCH($I595,'3_可滴定酸度'!$B$6:$B$13,0)),"")))</f>
        <v/>
      </c>
      <c r="N595" s="24">
        <f>IF($A595="","",IF(OR(K595="",L595="",M595=""),"",K595*E595*L595/(M595*1000)*100))</f>
        <v/>
      </c>
      <c r="O595" s="24">
        <f>IF($A595="","",IF(N595="","",IF(COUNTIFS('1_原始數據'!$A$2:$A$1000,$A595,'1_原始數據'!$B$2:$B$1000,$B595,'1_原始數據'!$D$2:$D$1000,$D595,'1_原始數據'!$I$2:$I$1000,$I595,'1_原始數據'!$C$2:$C$1000,"pasco_pct_acid")=0,"",SUMIFS('1_原始數據'!$E$2:$E$1000,'1_原始數據'!$A$2:$A$1000,$A595,'1_原始數據'!$B$2:$B$1000,$B595,'1_原始數據'!$D$2:$D$1000,$D595,'1_原始數據'!$I$2:$I$1000,$I595,'1_原始數據'!$C$2:$C$1000,"pasco_pct_acid"))))</f>
        <v/>
      </c>
      <c r="P595" s="26">
        <f>IF($A595="","",IF(OR(N595="",O595=""),"",O595-N595))</f>
        <v/>
      </c>
      <c r="Q595" s="24">
        <f>IF($A595="","",IF(P595="","",(O595+N595)/2))</f>
        <v/>
      </c>
      <c r="R595" s="27">
        <f>IF($A595="","",IF(P595="","",COUNT($P$2:P595)))</f>
        <v/>
      </c>
    </row>
    <row r="596">
      <c r="J596" s="24">
        <f>IF($A596="","",IF($C596&lt;&gt;"khp_titration_mL","",IF(COUNTIFS('1_原始數據'!$A$2:$A$1000,$A596,'1_原始數據'!$B$2:$B$1000,$B596,'1_原始數據'!$D$2:$D$1000,$D596,'1_原始數據'!$C$2:$C$1000,"khp_mass_g")=0,"",SUMIFS('1_原始數據'!$E$2:$E$1000,'1_原始數據'!$A$2:$A$1000,$A596,'1_原始數據'!$B$2:$B$1000,$B596,'1_原始數據'!$D$2:$D$1000,$D596,'1_原始數據'!$C$2:$C$1000,"khp_mass_g")/('2_NaOH標定'!$C$5*$E596/1000))))</f>
        <v/>
      </c>
      <c r="K596" s="24">
        <f>IF($A596="","",IF($C596&lt;&gt;"manual_titration_mL","",IF(COUNTIFS('1_原始數據'!$A$2:$A$1000,$A596,'1_原始數據'!$C$2:$C$1000,"khp_titration_mL")=0,"",AVERAGEIFS('1_原始數據'!$J$2:$J$1000,'1_原始數據'!$A$2:$A$1000,$A596,'1_原始數據'!$C$2:$C$1000,"khp_titration_mL"))))</f>
        <v/>
      </c>
      <c r="L596" s="25">
        <f>IF($A596="","",IF($C596&lt;&gt;"manual_titration_mL","",IFERROR(INDEX('3_可滴定酸度'!$E$6:$E$13,MATCH($I596,'3_可滴定酸度'!$B$6:$B$13,0)),"")))</f>
        <v/>
      </c>
      <c r="M596" s="25">
        <f>IF($A596="","",IF($C596&lt;&gt;"manual_titration_mL","",IFERROR(INDEX('3_可滴定酸度'!$F$6:$F$13,MATCH($I596,'3_可滴定酸度'!$B$6:$B$13,0)),"")))</f>
        <v/>
      </c>
      <c r="N596" s="24">
        <f>IF($A596="","",IF(OR(K596="",L596="",M596=""),"",K596*E596*L596/(M596*1000)*100))</f>
        <v/>
      </c>
      <c r="O596" s="24">
        <f>IF($A596="","",IF(N596="","",IF(COUNTIFS('1_原始數據'!$A$2:$A$1000,$A596,'1_原始數據'!$B$2:$B$1000,$B596,'1_原始數據'!$D$2:$D$1000,$D596,'1_原始數據'!$I$2:$I$1000,$I596,'1_原始數據'!$C$2:$C$1000,"pasco_pct_acid")=0,"",SUMIFS('1_原始數據'!$E$2:$E$1000,'1_原始數據'!$A$2:$A$1000,$A596,'1_原始數據'!$B$2:$B$1000,$B596,'1_原始數據'!$D$2:$D$1000,$D596,'1_原始數據'!$I$2:$I$1000,$I596,'1_原始數據'!$C$2:$C$1000,"pasco_pct_acid"))))</f>
        <v/>
      </c>
      <c r="P596" s="26">
        <f>IF($A596="","",IF(OR(N596="",O596=""),"",O596-N596))</f>
        <v/>
      </c>
      <c r="Q596" s="24">
        <f>IF($A596="","",IF(P596="","",(O596+N596)/2))</f>
        <v/>
      </c>
      <c r="R596" s="27">
        <f>IF($A596="","",IF(P596="","",COUNT($P$2:P596)))</f>
        <v/>
      </c>
    </row>
    <row r="597">
      <c r="J597" s="24">
        <f>IF($A597="","",IF($C597&lt;&gt;"khp_titration_mL","",IF(COUNTIFS('1_原始數據'!$A$2:$A$1000,$A597,'1_原始數據'!$B$2:$B$1000,$B597,'1_原始數據'!$D$2:$D$1000,$D597,'1_原始數據'!$C$2:$C$1000,"khp_mass_g")=0,"",SUMIFS('1_原始數據'!$E$2:$E$1000,'1_原始數據'!$A$2:$A$1000,$A597,'1_原始數據'!$B$2:$B$1000,$B597,'1_原始數據'!$D$2:$D$1000,$D597,'1_原始數據'!$C$2:$C$1000,"khp_mass_g")/('2_NaOH標定'!$C$5*$E597/1000))))</f>
        <v/>
      </c>
      <c r="K597" s="24">
        <f>IF($A597="","",IF($C597&lt;&gt;"manual_titration_mL","",IF(COUNTIFS('1_原始數據'!$A$2:$A$1000,$A597,'1_原始數據'!$C$2:$C$1000,"khp_titration_mL")=0,"",AVERAGEIFS('1_原始數據'!$J$2:$J$1000,'1_原始數據'!$A$2:$A$1000,$A597,'1_原始數據'!$C$2:$C$1000,"khp_titration_mL"))))</f>
        <v/>
      </c>
      <c r="L597" s="25">
        <f>IF($A597="","",IF($C597&lt;&gt;"manual_titration_mL","",IFERROR(INDEX('3_可滴定酸度'!$E$6:$E$13,MATCH($I597,'3_可滴定酸度'!$B$6:$B$13,0)),"")))</f>
        <v/>
      </c>
      <c r="M597" s="25">
        <f>IF($A597="","",IF($C597&lt;&gt;"manual_titration_mL","",IFERROR(INDEX('3_可滴定酸度'!$F$6:$F$13,MATCH($I597,'3_可滴定酸度'!$B$6:$B$13,0)),"")))</f>
        <v/>
      </c>
      <c r="N597" s="24">
        <f>IF($A597="","",IF(OR(K597="",L597="",M597=""),"",K597*E597*L597/(M597*1000)*100))</f>
        <v/>
      </c>
      <c r="O597" s="24">
        <f>IF($A597="","",IF(N597="","",IF(COUNTIFS('1_原始數據'!$A$2:$A$1000,$A597,'1_原始數據'!$B$2:$B$1000,$B597,'1_原始數據'!$D$2:$D$1000,$D597,'1_原始數據'!$I$2:$I$1000,$I597,'1_原始數據'!$C$2:$C$1000,"pasco_pct_acid")=0,"",SUMIFS('1_原始數據'!$E$2:$E$1000,'1_原始數據'!$A$2:$A$1000,$A597,'1_原始數據'!$B$2:$B$1000,$B597,'1_原始數據'!$D$2:$D$1000,$D597,'1_原始數據'!$I$2:$I$1000,$I597,'1_原始數據'!$C$2:$C$1000,"pasco_pct_acid"))))</f>
        <v/>
      </c>
      <c r="P597" s="26">
        <f>IF($A597="","",IF(OR(N597="",O597=""),"",O597-N597))</f>
        <v/>
      </c>
      <c r="Q597" s="24">
        <f>IF($A597="","",IF(P597="","",(O597+N597)/2))</f>
        <v/>
      </c>
      <c r="R597" s="27">
        <f>IF($A597="","",IF(P597="","",COUNT($P$2:P597)))</f>
        <v/>
      </c>
    </row>
    <row r="598">
      <c r="J598" s="24">
        <f>IF($A598="","",IF($C598&lt;&gt;"khp_titration_mL","",IF(COUNTIFS('1_原始數據'!$A$2:$A$1000,$A598,'1_原始數據'!$B$2:$B$1000,$B598,'1_原始數據'!$D$2:$D$1000,$D598,'1_原始數據'!$C$2:$C$1000,"khp_mass_g")=0,"",SUMIFS('1_原始數據'!$E$2:$E$1000,'1_原始數據'!$A$2:$A$1000,$A598,'1_原始數據'!$B$2:$B$1000,$B598,'1_原始數據'!$D$2:$D$1000,$D598,'1_原始數據'!$C$2:$C$1000,"khp_mass_g")/('2_NaOH標定'!$C$5*$E598/1000))))</f>
        <v/>
      </c>
      <c r="K598" s="24">
        <f>IF($A598="","",IF($C598&lt;&gt;"manual_titration_mL","",IF(COUNTIFS('1_原始數據'!$A$2:$A$1000,$A598,'1_原始數據'!$C$2:$C$1000,"khp_titration_mL")=0,"",AVERAGEIFS('1_原始數據'!$J$2:$J$1000,'1_原始數據'!$A$2:$A$1000,$A598,'1_原始數據'!$C$2:$C$1000,"khp_titration_mL"))))</f>
        <v/>
      </c>
      <c r="L598" s="25">
        <f>IF($A598="","",IF($C598&lt;&gt;"manual_titration_mL","",IFERROR(INDEX('3_可滴定酸度'!$E$6:$E$13,MATCH($I598,'3_可滴定酸度'!$B$6:$B$13,0)),"")))</f>
        <v/>
      </c>
      <c r="M598" s="25">
        <f>IF($A598="","",IF($C598&lt;&gt;"manual_titration_mL","",IFERROR(INDEX('3_可滴定酸度'!$F$6:$F$13,MATCH($I598,'3_可滴定酸度'!$B$6:$B$13,0)),"")))</f>
        <v/>
      </c>
      <c r="N598" s="24">
        <f>IF($A598="","",IF(OR(K598="",L598="",M598=""),"",K598*E598*L598/(M598*1000)*100))</f>
        <v/>
      </c>
      <c r="O598" s="24">
        <f>IF($A598="","",IF(N598="","",IF(COUNTIFS('1_原始數據'!$A$2:$A$1000,$A598,'1_原始數據'!$B$2:$B$1000,$B598,'1_原始數據'!$D$2:$D$1000,$D598,'1_原始數據'!$I$2:$I$1000,$I598,'1_原始數據'!$C$2:$C$1000,"pasco_pct_acid")=0,"",SUMIFS('1_原始數據'!$E$2:$E$1000,'1_原始數據'!$A$2:$A$1000,$A598,'1_原始數據'!$B$2:$B$1000,$B598,'1_原始數據'!$D$2:$D$1000,$D598,'1_原始數據'!$I$2:$I$1000,$I598,'1_原始數據'!$C$2:$C$1000,"pasco_pct_acid"))))</f>
        <v/>
      </c>
      <c r="P598" s="26">
        <f>IF($A598="","",IF(OR(N598="",O598=""),"",O598-N598))</f>
        <v/>
      </c>
      <c r="Q598" s="24">
        <f>IF($A598="","",IF(P598="","",(O598+N598)/2))</f>
        <v/>
      </c>
      <c r="R598" s="27">
        <f>IF($A598="","",IF(P598="","",COUNT($P$2:P598)))</f>
        <v/>
      </c>
    </row>
    <row r="599">
      <c r="J599" s="24">
        <f>IF($A599="","",IF($C599&lt;&gt;"khp_titration_mL","",IF(COUNTIFS('1_原始數據'!$A$2:$A$1000,$A599,'1_原始數據'!$B$2:$B$1000,$B599,'1_原始數據'!$D$2:$D$1000,$D599,'1_原始數據'!$C$2:$C$1000,"khp_mass_g")=0,"",SUMIFS('1_原始數據'!$E$2:$E$1000,'1_原始數據'!$A$2:$A$1000,$A599,'1_原始數據'!$B$2:$B$1000,$B599,'1_原始數據'!$D$2:$D$1000,$D599,'1_原始數據'!$C$2:$C$1000,"khp_mass_g")/('2_NaOH標定'!$C$5*$E599/1000))))</f>
        <v/>
      </c>
      <c r="K599" s="24">
        <f>IF($A599="","",IF($C599&lt;&gt;"manual_titration_mL","",IF(COUNTIFS('1_原始數據'!$A$2:$A$1000,$A599,'1_原始數據'!$C$2:$C$1000,"khp_titration_mL")=0,"",AVERAGEIFS('1_原始數據'!$J$2:$J$1000,'1_原始數據'!$A$2:$A$1000,$A599,'1_原始數據'!$C$2:$C$1000,"khp_titration_mL"))))</f>
        <v/>
      </c>
      <c r="L599" s="25">
        <f>IF($A599="","",IF($C599&lt;&gt;"manual_titration_mL","",IFERROR(INDEX('3_可滴定酸度'!$E$6:$E$13,MATCH($I599,'3_可滴定酸度'!$B$6:$B$13,0)),"")))</f>
        <v/>
      </c>
      <c r="M599" s="25">
        <f>IF($A599="","",IF($C599&lt;&gt;"manual_titration_mL","",IFERROR(INDEX('3_可滴定酸度'!$F$6:$F$13,MATCH($I599,'3_可滴定酸度'!$B$6:$B$13,0)),"")))</f>
        <v/>
      </c>
      <c r="N599" s="24">
        <f>IF($A599="","",IF(OR(K599="",L599="",M599=""),"",K599*E599*L599/(M599*1000)*100))</f>
        <v/>
      </c>
      <c r="O599" s="24">
        <f>IF($A599="","",IF(N599="","",IF(COUNTIFS('1_原始數據'!$A$2:$A$1000,$A599,'1_原始數據'!$B$2:$B$1000,$B599,'1_原始數據'!$D$2:$D$1000,$D599,'1_原始數據'!$I$2:$I$1000,$I599,'1_原始數據'!$C$2:$C$1000,"pasco_pct_acid")=0,"",SUMIFS('1_原始數據'!$E$2:$E$1000,'1_原始數據'!$A$2:$A$1000,$A599,'1_原始數據'!$B$2:$B$1000,$B599,'1_原始數據'!$D$2:$D$1000,$D599,'1_原始數據'!$I$2:$I$1000,$I599,'1_原始數據'!$C$2:$C$1000,"pasco_pct_acid"))))</f>
        <v/>
      </c>
      <c r="P599" s="26">
        <f>IF($A599="","",IF(OR(N599="",O599=""),"",O599-N599))</f>
        <v/>
      </c>
      <c r="Q599" s="24">
        <f>IF($A599="","",IF(P599="","",(O599+N599)/2))</f>
        <v/>
      </c>
      <c r="R599" s="27">
        <f>IF($A599="","",IF(P599="","",COUNT($P$2:P599)))</f>
        <v/>
      </c>
    </row>
    <row r="600">
      <c r="J600" s="24">
        <f>IF($A600="","",IF($C600&lt;&gt;"khp_titration_mL","",IF(COUNTIFS('1_原始數據'!$A$2:$A$1000,$A600,'1_原始數據'!$B$2:$B$1000,$B600,'1_原始數據'!$D$2:$D$1000,$D600,'1_原始數據'!$C$2:$C$1000,"khp_mass_g")=0,"",SUMIFS('1_原始數據'!$E$2:$E$1000,'1_原始數據'!$A$2:$A$1000,$A600,'1_原始數據'!$B$2:$B$1000,$B600,'1_原始數據'!$D$2:$D$1000,$D600,'1_原始數據'!$C$2:$C$1000,"khp_mass_g")/('2_NaOH標定'!$C$5*$E600/1000))))</f>
        <v/>
      </c>
      <c r="K600" s="24">
        <f>IF($A600="","",IF($C600&lt;&gt;"manual_titration_mL","",IF(COUNTIFS('1_原始數據'!$A$2:$A$1000,$A600,'1_原始數據'!$C$2:$C$1000,"khp_titration_mL")=0,"",AVERAGEIFS('1_原始數據'!$J$2:$J$1000,'1_原始數據'!$A$2:$A$1000,$A600,'1_原始數據'!$C$2:$C$1000,"khp_titration_mL"))))</f>
        <v/>
      </c>
      <c r="L600" s="25">
        <f>IF($A600="","",IF($C600&lt;&gt;"manual_titration_mL","",IFERROR(INDEX('3_可滴定酸度'!$E$6:$E$13,MATCH($I600,'3_可滴定酸度'!$B$6:$B$13,0)),"")))</f>
        <v/>
      </c>
      <c r="M600" s="25">
        <f>IF($A600="","",IF($C600&lt;&gt;"manual_titration_mL","",IFERROR(INDEX('3_可滴定酸度'!$F$6:$F$13,MATCH($I600,'3_可滴定酸度'!$B$6:$B$13,0)),"")))</f>
        <v/>
      </c>
      <c r="N600" s="24">
        <f>IF($A600="","",IF(OR(K600="",L600="",M600=""),"",K600*E600*L600/(M600*1000)*100))</f>
        <v/>
      </c>
      <c r="O600" s="24">
        <f>IF($A600="","",IF(N600="","",IF(COUNTIFS('1_原始數據'!$A$2:$A$1000,$A600,'1_原始數據'!$B$2:$B$1000,$B600,'1_原始數據'!$D$2:$D$1000,$D600,'1_原始數據'!$I$2:$I$1000,$I600,'1_原始數據'!$C$2:$C$1000,"pasco_pct_acid")=0,"",SUMIFS('1_原始數據'!$E$2:$E$1000,'1_原始數據'!$A$2:$A$1000,$A600,'1_原始數據'!$B$2:$B$1000,$B600,'1_原始數據'!$D$2:$D$1000,$D600,'1_原始數據'!$I$2:$I$1000,$I600,'1_原始數據'!$C$2:$C$1000,"pasco_pct_acid"))))</f>
        <v/>
      </c>
      <c r="P600" s="26">
        <f>IF($A600="","",IF(OR(N600="",O600=""),"",O600-N600))</f>
        <v/>
      </c>
      <c r="Q600" s="24">
        <f>IF($A600="","",IF(P600="","",(O600+N600)/2))</f>
        <v/>
      </c>
      <c r="R600" s="27">
        <f>IF($A600="","",IF(P600="","",COUNT($P$2:P600)))</f>
        <v/>
      </c>
    </row>
    <row r="601">
      <c r="J601" s="24">
        <f>IF($A601="","",IF($C601&lt;&gt;"khp_titration_mL","",IF(COUNTIFS('1_原始數據'!$A$2:$A$1000,$A601,'1_原始數據'!$B$2:$B$1000,$B601,'1_原始數據'!$D$2:$D$1000,$D601,'1_原始數據'!$C$2:$C$1000,"khp_mass_g")=0,"",SUMIFS('1_原始數據'!$E$2:$E$1000,'1_原始數據'!$A$2:$A$1000,$A601,'1_原始數據'!$B$2:$B$1000,$B601,'1_原始數據'!$D$2:$D$1000,$D601,'1_原始數據'!$C$2:$C$1000,"khp_mass_g")/('2_NaOH標定'!$C$5*$E601/1000))))</f>
        <v/>
      </c>
      <c r="K601" s="24">
        <f>IF($A601="","",IF($C601&lt;&gt;"manual_titration_mL","",IF(COUNTIFS('1_原始數據'!$A$2:$A$1000,$A601,'1_原始數據'!$C$2:$C$1000,"khp_titration_mL")=0,"",AVERAGEIFS('1_原始數據'!$J$2:$J$1000,'1_原始數據'!$A$2:$A$1000,$A601,'1_原始數據'!$C$2:$C$1000,"khp_titration_mL"))))</f>
        <v/>
      </c>
      <c r="L601" s="25">
        <f>IF($A601="","",IF($C601&lt;&gt;"manual_titration_mL","",IFERROR(INDEX('3_可滴定酸度'!$E$6:$E$13,MATCH($I601,'3_可滴定酸度'!$B$6:$B$13,0)),"")))</f>
        <v/>
      </c>
      <c r="M601" s="25">
        <f>IF($A601="","",IF($C601&lt;&gt;"manual_titration_mL","",IFERROR(INDEX('3_可滴定酸度'!$F$6:$F$13,MATCH($I601,'3_可滴定酸度'!$B$6:$B$13,0)),"")))</f>
        <v/>
      </c>
      <c r="N601" s="24">
        <f>IF($A601="","",IF(OR(K601="",L601="",M601=""),"",K601*E601*L601/(M601*1000)*100))</f>
        <v/>
      </c>
      <c r="O601" s="24">
        <f>IF($A601="","",IF(N601="","",IF(COUNTIFS('1_原始數據'!$A$2:$A$1000,$A601,'1_原始數據'!$B$2:$B$1000,$B601,'1_原始數據'!$D$2:$D$1000,$D601,'1_原始數據'!$I$2:$I$1000,$I601,'1_原始數據'!$C$2:$C$1000,"pasco_pct_acid")=0,"",SUMIFS('1_原始數據'!$E$2:$E$1000,'1_原始數據'!$A$2:$A$1000,$A601,'1_原始數據'!$B$2:$B$1000,$B601,'1_原始數據'!$D$2:$D$1000,$D601,'1_原始數據'!$I$2:$I$1000,$I601,'1_原始數據'!$C$2:$C$1000,"pasco_pct_acid"))))</f>
        <v/>
      </c>
      <c r="P601" s="26">
        <f>IF($A601="","",IF(OR(N601="",O601=""),"",O601-N601))</f>
        <v/>
      </c>
      <c r="Q601" s="24">
        <f>IF($A601="","",IF(P601="","",(O601+N601)/2))</f>
        <v/>
      </c>
      <c r="R601" s="27">
        <f>IF($A601="","",IF(P601="","",COUNT($P$2:P601)))</f>
        <v/>
      </c>
    </row>
    <row r="602">
      <c r="J602" s="24">
        <f>IF($A602="","",IF($C602&lt;&gt;"khp_titration_mL","",IF(COUNTIFS('1_原始數據'!$A$2:$A$1000,$A602,'1_原始數據'!$B$2:$B$1000,$B602,'1_原始數據'!$D$2:$D$1000,$D602,'1_原始數據'!$C$2:$C$1000,"khp_mass_g")=0,"",SUMIFS('1_原始數據'!$E$2:$E$1000,'1_原始數據'!$A$2:$A$1000,$A602,'1_原始數據'!$B$2:$B$1000,$B602,'1_原始數據'!$D$2:$D$1000,$D602,'1_原始數據'!$C$2:$C$1000,"khp_mass_g")/('2_NaOH標定'!$C$5*$E602/1000))))</f>
        <v/>
      </c>
      <c r="K602" s="24">
        <f>IF($A602="","",IF($C602&lt;&gt;"manual_titration_mL","",IF(COUNTIFS('1_原始數據'!$A$2:$A$1000,$A602,'1_原始數據'!$C$2:$C$1000,"khp_titration_mL")=0,"",AVERAGEIFS('1_原始數據'!$J$2:$J$1000,'1_原始數據'!$A$2:$A$1000,$A602,'1_原始數據'!$C$2:$C$1000,"khp_titration_mL"))))</f>
        <v/>
      </c>
      <c r="L602" s="25">
        <f>IF($A602="","",IF($C602&lt;&gt;"manual_titration_mL","",IFERROR(INDEX('3_可滴定酸度'!$E$6:$E$13,MATCH($I602,'3_可滴定酸度'!$B$6:$B$13,0)),"")))</f>
        <v/>
      </c>
      <c r="M602" s="25">
        <f>IF($A602="","",IF($C602&lt;&gt;"manual_titration_mL","",IFERROR(INDEX('3_可滴定酸度'!$F$6:$F$13,MATCH($I602,'3_可滴定酸度'!$B$6:$B$13,0)),"")))</f>
        <v/>
      </c>
      <c r="N602" s="24">
        <f>IF($A602="","",IF(OR(K602="",L602="",M602=""),"",K602*E602*L602/(M602*1000)*100))</f>
        <v/>
      </c>
      <c r="O602" s="24">
        <f>IF($A602="","",IF(N602="","",IF(COUNTIFS('1_原始數據'!$A$2:$A$1000,$A602,'1_原始數據'!$B$2:$B$1000,$B602,'1_原始數據'!$D$2:$D$1000,$D602,'1_原始數據'!$I$2:$I$1000,$I602,'1_原始數據'!$C$2:$C$1000,"pasco_pct_acid")=0,"",SUMIFS('1_原始數據'!$E$2:$E$1000,'1_原始數據'!$A$2:$A$1000,$A602,'1_原始數據'!$B$2:$B$1000,$B602,'1_原始數據'!$D$2:$D$1000,$D602,'1_原始數據'!$I$2:$I$1000,$I602,'1_原始數據'!$C$2:$C$1000,"pasco_pct_acid"))))</f>
        <v/>
      </c>
      <c r="P602" s="26">
        <f>IF($A602="","",IF(OR(N602="",O602=""),"",O602-N602))</f>
        <v/>
      </c>
      <c r="Q602" s="24">
        <f>IF($A602="","",IF(P602="","",(O602+N602)/2))</f>
        <v/>
      </c>
      <c r="R602" s="27">
        <f>IF($A602="","",IF(P602="","",COUNT($P$2:P602)))</f>
        <v/>
      </c>
    </row>
    <row r="603">
      <c r="J603" s="24">
        <f>IF($A603="","",IF($C603&lt;&gt;"khp_titration_mL","",IF(COUNTIFS('1_原始數據'!$A$2:$A$1000,$A603,'1_原始數據'!$B$2:$B$1000,$B603,'1_原始數據'!$D$2:$D$1000,$D603,'1_原始數據'!$C$2:$C$1000,"khp_mass_g")=0,"",SUMIFS('1_原始數據'!$E$2:$E$1000,'1_原始數據'!$A$2:$A$1000,$A603,'1_原始數據'!$B$2:$B$1000,$B603,'1_原始數據'!$D$2:$D$1000,$D603,'1_原始數據'!$C$2:$C$1000,"khp_mass_g")/('2_NaOH標定'!$C$5*$E603/1000))))</f>
        <v/>
      </c>
      <c r="K603" s="24">
        <f>IF($A603="","",IF($C603&lt;&gt;"manual_titration_mL","",IF(COUNTIFS('1_原始數據'!$A$2:$A$1000,$A603,'1_原始數據'!$C$2:$C$1000,"khp_titration_mL")=0,"",AVERAGEIFS('1_原始數據'!$J$2:$J$1000,'1_原始數據'!$A$2:$A$1000,$A603,'1_原始數據'!$C$2:$C$1000,"khp_titration_mL"))))</f>
        <v/>
      </c>
      <c r="L603" s="25">
        <f>IF($A603="","",IF($C603&lt;&gt;"manual_titration_mL","",IFERROR(INDEX('3_可滴定酸度'!$E$6:$E$13,MATCH($I603,'3_可滴定酸度'!$B$6:$B$13,0)),"")))</f>
        <v/>
      </c>
      <c r="M603" s="25">
        <f>IF($A603="","",IF($C603&lt;&gt;"manual_titration_mL","",IFERROR(INDEX('3_可滴定酸度'!$F$6:$F$13,MATCH($I603,'3_可滴定酸度'!$B$6:$B$13,0)),"")))</f>
        <v/>
      </c>
      <c r="N603" s="24">
        <f>IF($A603="","",IF(OR(K603="",L603="",M603=""),"",K603*E603*L603/(M603*1000)*100))</f>
        <v/>
      </c>
      <c r="O603" s="24">
        <f>IF($A603="","",IF(N603="","",IF(COUNTIFS('1_原始數據'!$A$2:$A$1000,$A603,'1_原始數據'!$B$2:$B$1000,$B603,'1_原始數據'!$D$2:$D$1000,$D603,'1_原始數據'!$I$2:$I$1000,$I603,'1_原始數據'!$C$2:$C$1000,"pasco_pct_acid")=0,"",SUMIFS('1_原始數據'!$E$2:$E$1000,'1_原始數據'!$A$2:$A$1000,$A603,'1_原始數據'!$B$2:$B$1000,$B603,'1_原始數據'!$D$2:$D$1000,$D603,'1_原始數據'!$I$2:$I$1000,$I603,'1_原始數據'!$C$2:$C$1000,"pasco_pct_acid"))))</f>
        <v/>
      </c>
      <c r="P603" s="26">
        <f>IF($A603="","",IF(OR(N603="",O603=""),"",O603-N603))</f>
        <v/>
      </c>
      <c r="Q603" s="24">
        <f>IF($A603="","",IF(P603="","",(O603+N603)/2))</f>
        <v/>
      </c>
      <c r="R603" s="27">
        <f>IF($A603="","",IF(P603="","",COUNT($P$2:P603)))</f>
        <v/>
      </c>
    </row>
    <row r="604">
      <c r="J604" s="24">
        <f>IF($A604="","",IF($C604&lt;&gt;"khp_titration_mL","",IF(COUNTIFS('1_原始數據'!$A$2:$A$1000,$A604,'1_原始數據'!$B$2:$B$1000,$B604,'1_原始數據'!$D$2:$D$1000,$D604,'1_原始數據'!$C$2:$C$1000,"khp_mass_g")=0,"",SUMIFS('1_原始數據'!$E$2:$E$1000,'1_原始數據'!$A$2:$A$1000,$A604,'1_原始數據'!$B$2:$B$1000,$B604,'1_原始數據'!$D$2:$D$1000,$D604,'1_原始數據'!$C$2:$C$1000,"khp_mass_g")/('2_NaOH標定'!$C$5*$E604/1000))))</f>
        <v/>
      </c>
      <c r="K604" s="24">
        <f>IF($A604="","",IF($C604&lt;&gt;"manual_titration_mL","",IF(COUNTIFS('1_原始數據'!$A$2:$A$1000,$A604,'1_原始數據'!$C$2:$C$1000,"khp_titration_mL")=0,"",AVERAGEIFS('1_原始數據'!$J$2:$J$1000,'1_原始數據'!$A$2:$A$1000,$A604,'1_原始數據'!$C$2:$C$1000,"khp_titration_mL"))))</f>
        <v/>
      </c>
      <c r="L604" s="25">
        <f>IF($A604="","",IF($C604&lt;&gt;"manual_titration_mL","",IFERROR(INDEX('3_可滴定酸度'!$E$6:$E$13,MATCH($I604,'3_可滴定酸度'!$B$6:$B$13,0)),"")))</f>
        <v/>
      </c>
      <c r="M604" s="25">
        <f>IF($A604="","",IF($C604&lt;&gt;"manual_titration_mL","",IFERROR(INDEX('3_可滴定酸度'!$F$6:$F$13,MATCH($I604,'3_可滴定酸度'!$B$6:$B$13,0)),"")))</f>
        <v/>
      </c>
      <c r="N604" s="24">
        <f>IF($A604="","",IF(OR(K604="",L604="",M604=""),"",K604*E604*L604/(M604*1000)*100))</f>
        <v/>
      </c>
      <c r="O604" s="24">
        <f>IF($A604="","",IF(N604="","",IF(COUNTIFS('1_原始數據'!$A$2:$A$1000,$A604,'1_原始數據'!$B$2:$B$1000,$B604,'1_原始數據'!$D$2:$D$1000,$D604,'1_原始數據'!$I$2:$I$1000,$I604,'1_原始數據'!$C$2:$C$1000,"pasco_pct_acid")=0,"",SUMIFS('1_原始數據'!$E$2:$E$1000,'1_原始數據'!$A$2:$A$1000,$A604,'1_原始數據'!$B$2:$B$1000,$B604,'1_原始數據'!$D$2:$D$1000,$D604,'1_原始數據'!$I$2:$I$1000,$I604,'1_原始數據'!$C$2:$C$1000,"pasco_pct_acid"))))</f>
        <v/>
      </c>
      <c r="P604" s="26">
        <f>IF($A604="","",IF(OR(N604="",O604=""),"",O604-N604))</f>
        <v/>
      </c>
      <c r="Q604" s="24">
        <f>IF($A604="","",IF(P604="","",(O604+N604)/2))</f>
        <v/>
      </c>
      <c r="R604" s="27">
        <f>IF($A604="","",IF(P604="","",COUNT($P$2:P604)))</f>
        <v/>
      </c>
    </row>
    <row r="605">
      <c r="J605" s="24">
        <f>IF($A605="","",IF($C605&lt;&gt;"khp_titration_mL","",IF(COUNTIFS('1_原始數據'!$A$2:$A$1000,$A605,'1_原始數據'!$B$2:$B$1000,$B605,'1_原始數據'!$D$2:$D$1000,$D605,'1_原始數據'!$C$2:$C$1000,"khp_mass_g")=0,"",SUMIFS('1_原始數據'!$E$2:$E$1000,'1_原始數據'!$A$2:$A$1000,$A605,'1_原始數據'!$B$2:$B$1000,$B605,'1_原始數據'!$D$2:$D$1000,$D605,'1_原始數據'!$C$2:$C$1000,"khp_mass_g")/('2_NaOH標定'!$C$5*$E605/1000))))</f>
        <v/>
      </c>
      <c r="K605" s="24">
        <f>IF($A605="","",IF($C605&lt;&gt;"manual_titration_mL","",IF(COUNTIFS('1_原始數據'!$A$2:$A$1000,$A605,'1_原始數據'!$C$2:$C$1000,"khp_titration_mL")=0,"",AVERAGEIFS('1_原始數據'!$J$2:$J$1000,'1_原始數據'!$A$2:$A$1000,$A605,'1_原始數據'!$C$2:$C$1000,"khp_titration_mL"))))</f>
        <v/>
      </c>
      <c r="L605" s="25">
        <f>IF($A605="","",IF($C605&lt;&gt;"manual_titration_mL","",IFERROR(INDEX('3_可滴定酸度'!$E$6:$E$13,MATCH($I605,'3_可滴定酸度'!$B$6:$B$13,0)),"")))</f>
        <v/>
      </c>
      <c r="M605" s="25">
        <f>IF($A605="","",IF($C605&lt;&gt;"manual_titration_mL","",IFERROR(INDEX('3_可滴定酸度'!$F$6:$F$13,MATCH($I605,'3_可滴定酸度'!$B$6:$B$13,0)),"")))</f>
        <v/>
      </c>
      <c r="N605" s="24">
        <f>IF($A605="","",IF(OR(K605="",L605="",M605=""),"",K605*E605*L605/(M605*1000)*100))</f>
        <v/>
      </c>
      <c r="O605" s="24">
        <f>IF($A605="","",IF(N605="","",IF(COUNTIFS('1_原始數據'!$A$2:$A$1000,$A605,'1_原始數據'!$B$2:$B$1000,$B605,'1_原始數據'!$D$2:$D$1000,$D605,'1_原始數據'!$I$2:$I$1000,$I605,'1_原始數據'!$C$2:$C$1000,"pasco_pct_acid")=0,"",SUMIFS('1_原始數據'!$E$2:$E$1000,'1_原始數據'!$A$2:$A$1000,$A605,'1_原始數據'!$B$2:$B$1000,$B605,'1_原始數據'!$D$2:$D$1000,$D605,'1_原始數據'!$I$2:$I$1000,$I605,'1_原始數據'!$C$2:$C$1000,"pasco_pct_acid"))))</f>
        <v/>
      </c>
      <c r="P605" s="26">
        <f>IF($A605="","",IF(OR(N605="",O605=""),"",O605-N605))</f>
        <v/>
      </c>
      <c r="Q605" s="24">
        <f>IF($A605="","",IF(P605="","",(O605+N605)/2))</f>
        <v/>
      </c>
      <c r="R605" s="27">
        <f>IF($A605="","",IF(P605="","",COUNT($P$2:P605)))</f>
        <v/>
      </c>
    </row>
    <row r="606">
      <c r="J606" s="24">
        <f>IF($A606="","",IF($C606&lt;&gt;"khp_titration_mL","",IF(COUNTIFS('1_原始數據'!$A$2:$A$1000,$A606,'1_原始數據'!$B$2:$B$1000,$B606,'1_原始數據'!$D$2:$D$1000,$D606,'1_原始數據'!$C$2:$C$1000,"khp_mass_g")=0,"",SUMIFS('1_原始數據'!$E$2:$E$1000,'1_原始數據'!$A$2:$A$1000,$A606,'1_原始數據'!$B$2:$B$1000,$B606,'1_原始數據'!$D$2:$D$1000,$D606,'1_原始數據'!$C$2:$C$1000,"khp_mass_g")/('2_NaOH標定'!$C$5*$E606/1000))))</f>
        <v/>
      </c>
      <c r="K606" s="24">
        <f>IF($A606="","",IF($C606&lt;&gt;"manual_titration_mL","",IF(COUNTIFS('1_原始數據'!$A$2:$A$1000,$A606,'1_原始數據'!$C$2:$C$1000,"khp_titration_mL")=0,"",AVERAGEIFS('1_原始數據'!$J$2:$J$1000,'1_原始數據'!$A$2:$A$1000,$A606,'1_原始數據'!$C$2:$C$1000,"khp_titration_mL"))))</f>
        <v/>
      </c>
      <c r="L606" s="25">
        <f>IF($A606="","",IF($C606&lt;&gt;"manual_titration_mL","",IFERROR(INDEX('3_可滴定酸度'!$E$6:$E$13,MATCH($I606,'3_可滴定酸度'!$B$6:$B$13,0)),"")))</f>
        <v/>
      </c>
      <c r="M606" s="25">
        <f>IF($A606="","",IF($C606&lt;&gt;"manual_titration_mL","",IFERROR(INDEX('3_可滴定酸度'!$F$6:$F$13,MATCH($I606,'3_可滴定酸度'!$B$6:$B$13,0)),"")))</f>
        <v/>
      </c>
      <c r="N606" s="24">
        <f>IF($A606="","",IF(OR(K606="",L606="",M606=""),"",K606*E606*L606/(M606*1000)*100))</f>
        <v/>
      </c>
      <c r="O606" s="24">
        <f>IF($A606="","",IF(N606="","",IF(COUNTIFS('1_原始數據'!$A$2:$A$1000,$A606,'1_原始數據'!$B$2:$B$1000,$B606,'1_原始數據'!$D$2:$D$1000,$D606,'1_原始數據'!$I$2:$I$1000,$I606,'1_原始數據'!$C$2:$C$1000,"pasco_pct_acid")=0,"",SUMIFS('1_原始數據'!$E$2:$E$1000,'1_原始數據'!$A$2:$A$1000,$A606,'1_原始數據'!$B$2:$B$1000,$B606,'1_原始數據'!$D$2:$D$1000,$D606,'1_原始數據'!$I$2:$I$1000,$I606,'1_原始數據'!$C$2:$C$1000,"pasco_pct_acid"))))</f>
        <v/>
      </c>
      <c r="P606" s="26">
        <f>IF($A606="","",IF(OR(N606="",O606=""),"",O606-N606))</f>
        <v/>
      </c>
      <c r="Q606" s="24">
        <f>IF($A606="","",IF(P606="","",(O606+N606)/2))</f>
        <v/>
      </c>
      <c r="R606" s="27">
        <f>IF($A606="","",IF(P606="","",COUNT($P$2:P606)))</f>
        <v/>
      </c>
    </row>
    <row r="607">
      <c r="J607" s="24">
        <f>IF($A607="","",IF($C607&lt;&gt;"khp_titration_mL","",IF(COUNTIFS('1_原始數據'!$A$2:$A$1000,$A607,'1_原始數據'!$B$2:$B$1000,$B607,'1_原始數據'!$D$2:$D$1000,$D607,'1_原始數據'!$C$2:$C$1000,"khp_mass_g")=0,"",SUMIFS('1_原始數據'!$E$2:$E$1000,'1_原始數據'!$A$2:$A$1000,$A607,'1_原始數據'!$B$2:$B$1000,$B607,'1_原始數據'!$D$2:$D$1000,$D607,'1_原始數據'!$C$2:$C$1000,"khp_mass_g")/('2_NaOH標定'!$C$5*$E607/1000))))</f>
        <v/>
      </c>
      <c r="K607" s="24">
        <f>IF($A607="","",IF($C607&lt;&gt;"manual_titration_mL","",IF(COUNTIFS('1_原始數據'!$A$2:$A$1000,$A607,'1_原始數據'!$C$2:$C$1000,"khp_titration_mL")=0,"",AVERAGEIFS('1_原始數據'!$J$2:$J$1000,'1_原始數據'!$A$2:$A$1000,$A607,'1_原始數據'!$C$2:$C$1000,"khp_titration_mL"))))</f>
        <v/>
      </c>
      <c r="L607" s="25">
        <f>IF($A607="","",IF($C607&lt;&gt;"manual_titration_mL","",IFERROR(INDEX('3_可滴定酸度'!$E$6:$E$13,MATCH($I607,'3_可滴定酸度'!$B$6:$B$13,0)),"")))</f>
        <v/>
      </c>
      <c r="M607" s="25">
        <f>IF($A607="","",IF($C607&lt;&gt;"manual_titration_mL","",IFERROR(INDEX('3_可滴定酸度'!$F$6:$F$13,MATCH($I607,'3_可滴定酸度'!$B$6:$B$13,0)),"")))</f>
        <v/>
      </c>
      <c r="N607" s="24">
        <f>IF($A607="","",IF(OR(K607="",L607="",M607=""),"",K607*E607*L607/(M607*1000)*100))</f>
        <v/>
      </c>
      <c r="O607" s="24">
        <f>IF($A607="","",IF(N607="","",IF(COUNTIFS('1_原始數據'!$A$2:$A$1000,$A607,'1_原始數據'!$B$2:$B$1000,$B607,'1_原始數據'!$D$2:$D$1000,$D607,'1_原始數據'!$I$2:$I$1000,$I607,'1_原始數據'!$C$2:$C$1000,"pasco_pct_acid")=0,"",SUMIFS('1_原始數據'!$E$2:$E$1000,'1_原始數據'!$A$2:$A$1000,$A607,'1_原始數據'!$B$2:$B$1000,$B607,'1_原始數據'!$D$2:$D$1000,$D607,'1_原始數據'!$I$2:$I$1000,$I607,'1_原始數據'!$C$2:$C$1000,"pasco_pct_acid"))))</f>
        <v/>
      </c>
      <c r="P607" s="26">
        <f>IF($A607="","",IF(OR(N607="",O607=""),"",O607-N607))</f>
        <v/>
      </c>
      <c r="Q607" s="24">
        <f>IF($A607="","",IF(P607="","",(O607+N607)/2))</f>
        <v/>
      </c>
      <c r="R607" s="27">
        <f>IF($A607="","",IF(P607="","",COUNT($P$2:P607)))</f>
        <v/>
      </c>
    </row>
    <row r="608">
      <c r="J608" s="24">
        <f>IF($A608="","",IF($C608&lt;&gt;"khp_titration_mL","",IF(COUNTIFS('1_原始數據'!$A$2:$A$1000,$A608,'1_原始數據'!$B$2:$B$1000,$B608,'1_原始數據'!$D$2:$D$1000,$D608,'1_原始數據'!$C$2:$C$1000,"khp_mass_g")=0,"",SUMIFS('1_原始數據'!$E$2:$E$1000,'1_原始數據'!$A$2:$A$1000,$A608,'1_原始數據'!$B$2:$B$1000,$B608,'1_原始數據'!$D$2:$D$1000,$D608,'1_原始數據'!$C$2:$C$1000,"khp_mass_g")/('2_NaOH標定'!$C$5*$E608/1000))))</f>
        <v/>
      </c>
      <c r="K608" s="24">
        <f>IF($A608="","",IF($C608&lt;&gt;"manual_titration_mL","",IF(COUNTIFS('1_原始數據'!$A$2:$A$1000,$A608,'1_原始數據'!$C$2:$C$1000,"khp_titration_mL")=0,"",AVERAGEIFS('1_原始數據'!$J$2:$J$1000,'1_原始數據'!$A$2:$A$1000,$A608,'1_原始數據'!$C$2:$C$1000,"khp_titration_mL"))))</f>
        <v/>
      </c>
      <c r="L608" s="25">
        <f>IF($A608="","",IF($C608&lt;&gt;"manual_titration_mL","",IFERROR(INDEX('3_可滴定酸度'!$E$6:$E$13,MATCH($I608,'3_可滴定酸度'!$B$6:$B$13,0)),"")))</f>
        <v/>
      </c>
      <c r="M608" s="25">
        <f>IF($A608="","",IF($C608&lt;&gt;"manual_titration_mL","",IFERROR(INDEX('3_可滴定酸度'!$F$6:$F$13,MATCH($I608,'3_可滴定酸度'!$B$6:$B$13,0)),"")))</f>
        <v/>
      </c>
      <c r="N608" s="24">
        <f>IF($A608="","",IF(OR(K608="",L608="",M608=""),"",K608*E608*L608/(M608*1000)*100))</f>
        <v/>
      </c>
      <c r="O608" s="24">
        <f>IF($A608="","",IF(N608="","",IF(COUNTIFS('1_原始數據'!$A$2:$A$1000,$A608,'1_原始數據'!$B$2:$B$1000,$B608,'1_原始數據'!$D$2:$D$1000,$D608,'1_原始數據'!$I$2:$I$1000,$I608,'1_原始數據'!$C$2:$C$1000,"pasco_pct_acid")=0,"",SUMIFS('1_原始數據'!$E$2:$E$1000,'1_原始數據'!$A$2:$A$1000,$A608,'1_原始數據'!$B$2:$B$1000,$B608,'1_原始數據'!$D$2:$D$1000,$D608,'1_原始數據'!$I$2:$I$1000,$I608,'1_原始數據'!$C$2:$C$1000,"pasco_pct_acid"))))</f>
        <v/>
      </c>
      <c r="P608" s="26">
        <f>IF($A608="","",IF(OR(N608="",O608=""),"",O608-N608))</f>
        <v/>
      </c>
      <c r="Q608" s="24">
        <f>IF($A608="","",IF(P608="","",(O608+N608)/2))</f>
        <v/>
      </c>
      <c r="R608" s="27">
        <f>IF($A608="","",IF(P608="","",COUNT($P$2:P608)))</f>
        <v/>
      </c>
    </row>
    <row r="609">
      <c r="J609" s="24">
        <f>IF($A609="","",IF($C609&lt;&gt;"khp_titration_mL","",IF(COUNTIFS('1_原始數據'!$A$2:$A$1000,$A609,'1_原始數據'!$B$2:$B$1000,$B609,'1_原始數據'!$D$2:$D$1000,$D609,'1_原始數據'!$C$2:$C$1000,"khp_mass_g")=0,"",SUMIFS('1_原始數據'!$E$2:$E$1000,'1_原始數據'!$A$2:$A$1000,$A609,'1_原始數據'!$B$2:$B$1000,$B609,'1_原始數據'!$D$2:$D$1000,$D609,'1_原始數據'!$C$2:$C$1000,"khp_mass_g")/('2_NaOH標定'!$C$5*$E609/1000))))</f>
        <v/>
      </c>
      <c r="K609" s="24">
        <f>IF($A609="","",IF($C609&lt;&gt;"manual_titration_mL","",IF(COUNTIFS('1_原始數據'!$A$2:$A$1000,$A609,'1_原始數據'!$C$2:$C$1000,"khp_titration_mL")=0,"",AVERAGEIFS('1_原始數據'!$J$2:$J$1000,'1_原始數據'!$A$2:$A$1000,$A609,'1_原始數據'!$C$2:$C$1000,"khp_titration_mL"))))</f>
        <v/>
      </c>
      <c r="L609" s="25">
        <f>IF($A609="","",IF($C609&lt;&gt;"manual_titration_mL","",IFERROR(INDEX('3_可滴定酸度'!$E$6:$E$13,MATCH($I609,'3_可滴定酸度'!$B$6:$B$13,0)),"")))</f>
        <v/>
      </c>
      <c r="M609" s="25">
        <f>IF($A609="","",IF($C609&lt;&gt;"manual_titration_mL","",IFERROR(INDEX('3_可滴定酸度'!$F$6:$F$13,MATCH($I609,'3_可滴定酸度'!$B$6:$B$13,0)),"")))</f>
        <v/>
      </c>
      <c r="N609" s="24">
        <f>IF($A609="","",IF(OR(K609="",L609="",M609=""),"",K609*E609*L609/(M609*1000)*100))</f>
        <v/>
      </c>
      <c r="O609" s="24">
        <f>IF($A609="","",IF(N609="","",IF(COUNTIFS('1_原始數據'!$A$2:$A$1000,$A609,'1_原始數據'!$B$2:$B$1000,$B609,'1_原始數據'!$D$2:$D$1000,$D609,'1_原始數據'!$I$2:$I$1000,$I609,'1_原始數據'!$C$2:$C$1000,"pasco_pct_acid")=0,"",SUMIFS('1_原始數據'!$E$2:$E$1000,'1_原始數據'!$A$2:$A$1000,$A609,'1_原始數據'!$B$2:$B$1000,$B609,'1_原始數據'!$D$2:$D$1000,$D609,'1_原始數據'!$I$2:$I$1000,$I609,'1_原始數據'!$C$2:$C$1000,"pasco_pct_acid"))))</f>
        <v/>
      </c>
      <c r="P609" s="26">
        <f>IF($A609="","",IF(OR(N609="",O609=""),"",O609-N609))</f>
        <v/>
      </c>
      <c r="Q609" s="24">
        <f>IF($A609="","",IF(P609="","",(O609+N609)/2))</f>
        <v/>
      </c>
      <c r="R609" s="27">
        <f>IF($A609="","",IF(P609="","",COUNT($P$2:P609)))</f>
        <v/>
      </c>
    </row>
    <row r="610">
      <c r="J610" s="24">
        <f>IF($A610="","",IF($C610&lt;&gt;"khp_titration_mL","",IF(COUNTIFS('1_原始數據'!$A$2:$A$1000,$A610,'1_原始數據'!$B$2:$B$1000,$B610,'1_原始數據'!$D$2:$D$1000,$D610,'1_原始數據'!$C$2:$C$1000,"khp_mass_g")=0,"",SUMIFS('1_原始數據'!$E$2:$E$1000,'1_原始數據'!$A$2:$A$1000,$A610,'1_原始數據'!$B$2:$B$1000,$B610,'1_原始數據'!$D$2:$D$1000,$D610,'1_原始數據'!$C$2:$C$1000,"khp_mass_g")/('2_NaOH標定'!$C$5*$E610/1000))))</f>
        <v/>
      </c>
      <c r="K610" s="24">
        <f>IF($A610="","",IF($C610&lt;&gt;"manual_titration_mL","",IF(COUNTIFS('1_原始數據'!$A$2:$A$1000,$A610,'1_原始數據'!$C$2:$C$1000,"khp_titration_mL")=0,"",AVERAGEIFS('1_原始數據'!$J$2:$J$1000,'1_原始數據'!$A$2:$A$1000,$A610,'1_原始數據'!$C$2:$C$1000,"khp_titration_mL"))))</f>
        <v/>
      </c>
      <c r="L610" s="25">
        <f>IF($A610="","",IF($C610&lt;&gt;"manual_titration_mL","",IFERROR(INDEX('3_可滴定酸度'!$E$6:$E$13,MATCH($I610,'3_可滴定酸度'!$B$6:$B$13,0)),"")))</f>
        <v/>
      </c>
      <c r="M610" s="25">
        <f>IF($A610="","",IF($C610&lt;&gt;"manual_titration_mL","",IFERROR(INDEX('3_可滴定酸度'!$F$6:$F$13,MATCH($I610,'3_可滴定酸度'!$B$6:$B$13,0)),"")))</f>
        <v/>
      </c>
      <c r="N610" s="24">
        <f>IF($A610="","",IF(OR(K610="",L610="",M610=""),"",K610*E610*L610/(M610*1000)*100))</f>
        <v/>
      </c>
      <c r="O610" s="24">
        <f>IF($A610="","",IF(N610="","",IF(COUNTIFS('1_原始數據'!$A$2:$A$1000,$A610,'1_原始數據'!$B$2:$B$1000,$B610,'1_原始數據'!$D$2:$D$1000,$D610,'1_原始數據'!$I$2:$I$1000,$I610,'1_原始數據'!$C$2:$C$1000,"pasco_pct_acid")=0,"",SUMIFS('1_原始數據'!$E$2:$E$1000,'1_原始數據'!$A$2:$A$1000,$A610,'1_原始數據'!$B$2:$B$1000,$B610,'1_原始數據'!$D$2:$D$1000,$D610,'1_原始數據'!$I$2:$I$1000,$I610,'1_原始數據'!$C$2:$C$1000,"pasco_pct_acid"))))</f>
        <v/>
      </c>
      <c r="P610" s="26">
        <f>IF($A610="","",IF(OR(N610="",O610=""),"",O610-N610))</f>
        <v/>
      </c>
      <c r="Q610" s="24">
        <f>IF($A610="","",IF(P610="","",(O610+N610)/2))</f>
        <v/>
      </c>
      <c r="R610" s="27">
        <f>IF($A610="","",IF(P610="","",COUNT($P$2:P610)))</f>
        <v/>
      </c>
    </row>
    <row r="611">
      <c r="J611" s="24">
        <f>IF($A611="","",IF($C611&lt;&gt;"khp_titration_mL","",IF(COUNTIFS('1_原始數據'!$A$2:$A$1000,$A611,'1_原始數據'!$B$2:$B$1000,$B611,'1_原始數據'!$D$2:$D$1000,$D611,'1_原始數據'!$C$2:$C$1000,"khp_mass_g")=0,"",SUMIFS('1_原始數據'!$E$2:$E$1000,'1_原始數據'!$A$2:$A$1000,$A611,'1_原始數據'!$B$2:$B$1000,$B611,'1_原始數據'!$D$2:$D$1000,$D611,'1_原始數據'!$C$2:$C$1000,"khp_mass_g")/('2_NaOH標定'!$C$5*$E611/1000))))</f>
        <v/>
      </c>
      <c r="K611" s="24">
        <f>IF($A611="","",IF($C611&lt;&gt;"manual_titration_mL","",IF(COUNTIFS('1_原始數據'!$A$2:$A$1000,$A611,'1_原始數據'!$C$2:$C$1000,"khp_titration_mL")=0,"",AVERAGEIFS('1_原始數據'!$J$2:$J$1000,'1_原始數據'!$A$2:$A$1000,$A611,'1_原始數據'!$C$2:$C$1000,"khp_titration_mL"))))</f>
        <v/>
      </c>
      <c r="L611" s="25">
        <f>IF($A611="","",IF($C611&lt;&gt;"manual_titration_mL","",IFERROR(INDEX('3_可滴定酸度'!$E$6:$E$13,MATCH($I611,'3_可滴定酸度'!$B$6:$B$13,0)),"")))</f>
        <v/>
      </c>
      <c r="M611" s="25">
        <f>IF($A611="","",IF($C611&lt;&gt;"manual_titration_mL","",IFERROR(INDEX('3_可滴定酸度'!$F$6:$F$13,MATCH($I611,'3_可滴定酸度'!$B$6:$B$13,0)),"")))</f>
        <v/>
      </c>
      <c r="N611" s="24">
        <f>IF($A611="","",IF(OR(K611="",L611="",M611=""),"",K611*E611*L611/(M611*1000)*100))</f>
        <v/>
      </c>
      <c r="O611" s="24">
        <f>IF($A611="","",IF(N611="","",IF(COUNTIFS('1_原始數據'!$A$2:$A$1000,$A611,'1_原始數據'!$B$2:$B$1000,$B611,'1_原始數據'!$D$2:$D$1000,$D611,'1_原始數據'!$I$2:$I$1000,$I611,'1_原始數據'!$C$2:$C$1000,"pasco_pct_acid")=0,"",SUMIFS('1_原始數據'!$E$2:$E$1000,'1_原始數據'!$A$2:$A$1000,$A611,'1_原始數據'!$B$2:$B$1000,$B611,'1_原始數據'!$D$2:$D$1000,$D611,'1_原始數據'!$I$2:$I$1000,$I611,'1_原始數據'!$C$2:$C$1000,"pasco_pct_acid"))))</f>
        <v/>
      </c>
      <c r="P611" s="26">
        <f>IF($A611="","",IF(OR(N611="",O611=""),"",O611-N611))</f>
        <v/>
      </c>
      <c r="Q611" s="24">
        <f>IF($A611="","",IF(P611="","",(O611+N611)/2))</f>
        <v/>
      </c>
      <c r="R611" s="27">
        <f>IF($A611="","",IF(P611="","",COUNT($P$2:P611)))</f>
        <v/>
      </c>
    </row>
    <row r="612">
      <c r="J612" s="24">
        <f>IF($A612="","",IF($C612&lt;&gt;"khp_titration_mL","",IF(COUNTIFS('1_原始數據'!$A$2:$A$1000,$A612,'1_原始數據'!$B$2:$B$1000,$B612,'1_原始數據'!$D$2:$D$1000,$D612,'1_原始數據'!$C$2:$C$1000,"khp_mass_g")=0,"",SUMIFS('1_原始數據'!$E$2:$E$1000,'1_原始數據'!$A$2:$A$1000,$A612,'1_原始數據'!$B$2:$B$1000,$B612,'1_原始數據'!$D$2:$D$1000,$D612,'1_原始數據'!$C$2:$C$1000,"khp_mass_g")/('2_NaOH標定'!$C$5*$E612/1000))))</f>
        <v/>
      </c>
      <c r="K612" s="24">
        <f>IF($A612="","",IF($C612&lt;&gt;"manual_titration_mL","",IF(COUNTIFS('1_原始數據'!$A$2:$A$1000,$A612,'1_原始數據'!$C$2:$C$1000,"khp_titration_mL")=0,"",AVERAGEIFS('1_原始數據'!$J$2:$J$1000,'1_原始數據'!$A$2:$A$1000,$A612,'1_原始數據'!$C$2:$C$1000,"khp_titration_mL"))))</f>
        <v/>
      </c>
      <c r="L612" s="25">
        <f>IF($A612="","",IF($C612&lt;&gt;"manual_titration_mL","",IFERROR(INDEX('3_可滴定酸度'!$E$6:$E$13,MATCH($I612,'3_可滴定酸度'!$B$6:$B$13,0)),"")))</f>
        <v/>
      </c>
      <c r="M612" s="25">
        <f>IF($A612="","",IF($C612&lt;&gt;"manual_titration_mL","",IFERROR(INDEX('3_可滴定酸度'!$F$6:$F$13,MATCH($I612,'3_可滴定酸度'!$B$6:$B$13,0)),"")))</f>
        <v/>
      </c>
      <c r="N612" s="24">
        <f>IF($A612="","",IF(OR(K612="",L612="",M612=""),"",K612*E612*L612/(M612*1000)*100))</f>
        <v/>
      </c>
      <c r="O612" s="24">
        <f>IF($A612="","",IF(N612="","",IF(COUNTIFS('1_原始數據'!$A$2:$A$1000,$A612,'1_原始數據'!$B$2:$B$1000,$B612,'1_原始數據'!$D$2:$D$1000,$D612,'1_原始數據'!$I$2:$I$1000,$I612,'1_原始數據'!$C$2:$C$1000,"pasco_pct_acid")=0,"",SUMIFS('1_原始數據'!$E$2:$E$1000,'1_原始數據'!$A$2:$A$1000,$A612,'1_原始數據'!$B$2:$B$1000,$B612,'1_原始數據'!$D$2:$D$1000,$D612,'1_原始數據'!$I$2:$I$1000,$I612,'1_原始數據'!$C$2:$C$1000,"pasco_pct_acid"))))</f>
        <v/>
      </c>
      <c r="P612" s="26">
        <f>IF($A612="","",IF(OR(N612="",O612=""),"",O612-N612))</f>
        <v/>
      </c>
      <c r="Q612" s="24">
        <f>IF($A612="","",IF(P612="","",(O612+N612)/2))</f>
        <v/>
      </c>
      <c r="R612" s="27">
        <f>IF($A612="","",IF(P612="","",COUNT($P$2:P612)))</f>
        <v/>
      </c>
    </row>
    <row r="613">
      <c r="J613" s="24">
        <f>IF($A613="","",IF($C613&lt;&gt;"khp_titration_mL","",IF(COUNTIFS('1_原始數據'!$A$2:$A$1000,$A613,'1_原始數據'!$B$2:$B$1000,$B613,'1_原始數據'!$D$2:$D$1000,$D613,'1_原始數據'!$C$2:$C$1000,"khp_mass_g")=0,"",SUMIFS('1_原始數據'!$E$2:$E$1000,'1_原始數據'!$A$2:$A$1000,$A613,'1_原始數據'!$B$2:$B$1000,$B613,'1_原始數據'!$D$2:$D$1000,$D613,'1_原始數據'!$C$2:$C$1000,"khp_mass_g")/('2_NaOH標定'!$C$5*$E613/1000))))</f>
        <v/>
      </c>
      <c r="K613" s="24">
        <f>IF($A613="","",IF($C613&lt;&gt;"manual_titration_mL","",IF(COUNTIFS('1_原始數據'!$A$2:$A$1000,$A613,'1_原始數據'!$C$2:$C$1000,"khp_titration_mL")=0,"",AVERAGEIFS('1_原始數據'!$J$2:$J$1000,'1_原始數據'!$A$2:$A$1000,$A613,'1_原始數據'!$C$2:$C$1000,"khp_titration_mL"))))</f>
        <v/>
      </c>
      <c r="L613" s="25">
        <f>IF($A613="","",IF($C613&lt;&gt;"manual_titration_mL","",IFERROR(INDEX('3_可滴定酸度'!$E$6:$E$13,MATCH($I613,'3_可滴定酸度'!$B$6:$B$13,0)),"")))</f>
        <v/>
      </c>
      <c r="M613" s="25">
        <f>IF($A613="","",IF($C613&lt;&gt;"manual_titration_mL","",IFERROR(INDEX('3_可滴定酸度'!$F$6:$F$13,MATCH($I613,'3_可滴定酸度'!$B$6:$B$13,0)),"")))</f>
        <v/>
      </c>
      <c r="N613" s="24">
        <f>IF($A613="","",IF(OR(K613="",L613="",M613=""),"",K613*E613*L613/(M613*1000)*100))</f>
        <v/>
      </c>
      <c r="O613" s="24">
        <f>IF($A613="","",IF(N613="","",IF(COUNTIFS('1_原始數據'!$A$2:$A$1000,$A613,'1_原始數據'!$B$2:$B$1000,$B613,'1_原始數據'!$D$2:$D$1000,$D613,'1_原始數據'!$I$2:$I$1000,$I613,'1_原始數據'!$C$2:$C$1000,"pasco_pct_acid")=0,"",SUMIFS('1_原始數據'!$E$2:$E$1000,'1_原始數據'!$A$2:$A$1000,$A613,'1_原始數據'!$B$2:$B$1000,$B613,'1_原始數據'!$D$2:$D$1000,$D613,'1_原始數據'!$I$2:$I$1000,$I613,'1_原始數據'!$C$2:$C$1000,"pasco_pct_acid"))))</f>
        <v/>
      </c>
      <c r="P613" s="26">
        <f>IF($A613="","",IF(OR(N613="",O613=""),"",O613-N613))</f>
        <v/>
      </c>
      <c r="Q613" s="24">
        <f>IF($A613="","",IF(P613="","",(O613+N613)/2))</f>
        <v/>
      </c>
      <c r="R613" s="27">
        <f>IF($A613="","",IF(P613="","",COUNT($P$2:P613)))</f>
        <v/>
      </c>
    </row>
    <row r="614">
      <c r="J614" s="24">
        <f>IF($A614="","",IF($C614&lt;&gt;"khp_titration_mL","",IF(COUNTIFS('1_原始數據'!$A$2:$A$1000,$A614,'1_原始數據'!$B$2:$B$1000,$B614,'1_原始數據'!$D$2:$D$1000,$D614,'1_原始數據'!$C$2:$C$1000,"khp_mass_g")=0,"",SUMIFS('1_原始數據'!$E$2:$E$1000,'1_原始數據'!$A$2:$A$1000,$A614,'1_原始數據'!$B$2:$B$1000,$B614,'1_原始數據'!$D$2:$D$1000,$D614,'1_原始數據'!$C$2:$C$1000,"khp_mass_g")/('2_NaOH標定'!$C$5*$E614/1000))))</f>
        <v/>
      </c>
      <c r="K614" s="24">
        <f>IF($A614="","",IF($C614&lt;&gt;"manual_titration_mL","",IF(COUNTIFS('1_原始數據'!$A$2:$A$1000,$A614,'1_原始數據'!$C$2:$C$1000,"khp_titration_mL")=0,"",AVERAGEIFS('1_原始數據'!$J$2:$J$1000,'1_原始數據'!$A$2:$A$1000,$A614,'1_原始數據'!$C$2:$C$1000,"khp_titration_mL"))))</f>
        <v/>
      </c>
      <c r="L614" s="25">
        <f>IF($A614="","",IF($C614&lt;&gt;"manual_titration_mL","",IFERROR(INDEX('3_可滴定酸度'!$E$6:$E$13,MATCH($I614,'3_可滴定酸度'!$B$6:$B$13,0)),"")))</f>
        <v/>
      </c>
      <c r="M614" s="25">
        <f>IF($A614="","",IF($C614&lt;&gt;"manual_titration_mL","",IFERROR(INDEX('3_可滴定酸度'!$F$6:$F$13,MATCH($I614,'3_可滴定酸度'!$B$6:$B$13,0)),"")))</f>
        <v/>
      </c>
      <c r="N614" s="24">
        <f>IF($A614="","",IF(OR(K614="",L614="",M614=""),"",K614*E614*L614/(M614*1000)*100))</f>
        <v/>
      </c>
      <c r="O614" s="24">
        <f>IF($A614="","",IF(N614="","",IF(COUNTIFS('1_原始數據'!$A$2:$A$1000,$A614,'1_原始數據'!$B$2:$B$1000,$B614,'1_原始數據'!$D$2:$D$1000,$D614,'1_原始數據'!$I$2:$I$1000,$I614,'1_原始數據'!$C$2:$C$1000,"pasco_pct_acid")=0,"",SUMIFS('1_原始數據'!$E$2:$E$1000,'1_原始數據'!$A$2:$A$1000,$A614,'1_原始數據'!$B$2:$B$1000,$B614,'1_原始數據'!$D$2:$D$1000,$D614,'1_原始數據'!$I$2:$I$1000,$I614,'1_原始數據'!$C$2:$C$1000,"pasco_pct_acid"))))</f>
        <v/>
      </c>
      <c r="P614" s="26">
        <f>IF($A614="","",IF(OR(N614="",O614=""),"",O614-N614))</f>
        <v/>
      </c>
      <c r="Q614" s="24">
        <f>IF($A614="","",IF(P614="","",(O614+N614)/2))</f>
        <v/>
      </c>
      <c r="R614" s="27">
        <f>IF($A614="","",IF(P614="","",COUNT($P$2:P614)))</f>
        <v/>
      </c>
    </row>
    <row r="615">
      <c r="J615" s="24">
        <f>IF($A615="","",IF($C615&lt;&gt;"khp_titration_mL","",IF(COUNTIFS('1_原始數據'!$A$2:$A$1000,$A615,'1_原始數據'!$B$2:$B$1000,$B615,'1_原始數據'!$D$2:$D$1000,$D615,'1_原始數據'!$C$2:$C$1000,"khp_mass_g")=0,"",SUMIFS('1_原始數據'!$E$2:$E$1000,'1_原始數據'!$A$2:$A$1000,$A615,'1_原始數據'!$B$2:$B$1000,$B615,'1_原始數據'!$D$2:$D$1000,$D615,'1_原始數據'!$C$2:$C$1000,"khp_mass_g")/('2_NaOH標定'!$C$5*$E615/1000))))</f>
        <v/>
      </c>
      <c r="K615" s="24">
        <f>IF($A615="","",IF($C615&lt;&gt;"manual_titration_mL","",IF(COUNTIFS('1_原始數據'!$A$2:$A$1000,$A615,'1_原始數據'!$C$2:$C$1000,"khp_titration_mL")=0,"",AVERAGEIFS('1_原始數據'!$J$2:$J$1000,'1_原始數據'!$A$2:$A$1000,$A615,'1_原始數據'!$C$2:$C$1000,"khp_titration_mL"))))</f>
        <v/>
      </c>
      <c r="L615" s="25">
        <f>IF($A615="","",IF($C615&lt;&gt;"manual_titration_mL","",IFERROR(INDEX('3_可滴定酸度'!$E$6:$E$13,MATCH($I615,'3_可滴定酸度'!$B$6:$B$13,0)),"")))</f>
        <v/>
      </c>
      <c r="M615" s="25">
        <f>IF($A615="","",IF($C615&lt;&gt;"manual_titration_mL","",IFERROR(INDEX('3_可滴定酸度'!$F$6:$F$13,MATCH($I615,'3_可滴定酸度'!$B$6:$B$13,0)),"")))</f>
        <v/>
      </c>
      <c r="N615" s="24">
        <f>IF($A615="","",IF(OR(K615="",L615="",M615=""),"",K615*E615*L615/(M615*1000)*100))</f>
        <v/>
      </c>
      <c r="O615" s="24">
        <f>IF($A615="","",IF(N615="","",IF(COUNTIFS('1_原始數據'!$A$2:$A$1000,$A615,'1_原始數據'!$B$2:$B$1000,$B615,'1_原始數據'!$D$2:$D$1000,$D615,'1_原始數據'!$I$2:$I$1000,$I615,'1_原始數據'!$C$2:$C$1000,"pasco_pct_acid")=0,"",SUMIFS('1_原始數據'!$E$2:$E$1000,'1_原始數據'!$A$2:$A$1000,$A615,'1_原始數據'!$B$2:$B$1000,$B615,'1_原始數據'!$D$2:$D$1000,$D615,'1_原始數據'!$I$2:$I$1000,$I615,'1_原始數據'!$C$2:$C$1000,"pasco_pct_acid"))))</f>
        <v/>
      </c>
      <c r="P615" s="26">
        <f>IF($A615="","",IF(OR(N615="",O615=""),"",O615-N615))</f>
        <v/>
      </c>
      <c r="Q615" s="24">
        <f>IF($A615="","",IF(P615="","",(O615+N615)/2))</f>
        <v/>
      </c>
      <c r="R615" s="27">
        <f>IF($A615="","",IF(P615="","",COUNT($P$2:P615)))</f>
        <v/>
      </c>
    </row>
    <row r="616">
      <c r="J616" s="24">
        <f>IF($A616="","",IF($C616&lt;&gt;"khp_titration_mL","",IF(COUNTIFS('1_原始數據'!$A$2:$A$1000,$A616,'1_原始數據'!$B$2:$B$1000,$B616,'1_原始數據'!$D$2:$D$1000,$D616,'1_原始數據'!$C$2:$C$1000,"khp_mass_g")=0,"",SUMIFS('1_原始數據'!$E$2:$E$1000,'1_原始數據'!$A$2:$A$1000,$A616,'1_原始數據'!$B$2:$B$1000,$B616,'1_原始數據'!$D$2:$D$1000,$D616,'1_原始數據'!$C$2:$C$1000,"khp_mass_g")/('2_NaOH標定'!$C$5*$E616/1000))))</f>
        <v/>
      </c>
      <c r="K616" s="24">
        <f>IF($A616="","",IF($C616&lt;&gt;"manual_titration_mL","",IF(COUNTIFS('1_原始數據'!$A$2:$A$1000,$A616,'1_原始數據'!$C$2:$C$1000,"khp_titration_mL")=0,"",AVERAGEIFS('1_原始數據'!$J$2:$J$1000,'1_原始數據'!$A$2:$A$1000,$A616,'1_原始數據'!$C$2:$C$1000,"khp_titration_mL"))))</f>
        <v/>
      </c>
      <c r="L616" s="25">
        <f>IF($A616="","",IF($C616&lt;&gt;"manual_titration_mL","",IFERROR(INDEX('3_可滴定酸度'!$E$6:$E$13,MATCH($I616,'3_可滴定酸度'!$B$6:$B$13,0)),"")))</f>
        <v/>
      </c>
      <c r="M616" s="25">
        <f>IF($A616="","",IF($C616&lt;&gt;"manual_titration_mL","",IFERROR(INDEX('3_可滴定酸度'!$F$6:$F$13,MATCH($I616,'3_可滴定酸度'!$B$6:$B$13,0)),"")))</f>
        <v/>
      </c>
      <c r="N616" s="24">
        <f>IF($A616="","",IF(OR(K616="",L616="",M616=""),"",K616*E616*L616/(M616*1000)*100))</f>
        <v/>
      </c>
      <c r="O616" s="24">
        <f>IF($A616="","",IF(N616="","",IF(COUNTIFS('1_原始數據'!$A$2:$A$1000,$A616,'1_原始數據'!$B$2:$B$1000,$B616,'1_原始數據'!$D$2:$D$1000,$D616,'1_原始數據'!$I$2:$I$1000,$I616,'1_原始數據'!$C$2:$C$1000,"pasco_pct_acid")=0,"",SUMIFS('1_原始數據'!$E$2:$E$1000,'1_原始數據'!$A$2:$A$1000,$A616,'1_原始數據'!$B$2:$B$1000,$B616,'1_原始數據'!$D$2:$D$1000,$D616,'1_原始數據'!$I$2:$I$1000,$I616,'1_原始數據'!$C$2:$C$1000,"pasco_pct_acid"))))</f>
        <v/>
      </c>
      <c r="P616" s="26">
        <f>IF($A616="","",IF(OR(N616="",O616=""),"",O616-N616))</f>
        <v/>
      </c>
      <c r="Q616" s="24">
        <f>IF($A616="","",IF(P616="","",(O616+N616)/2))</f>
        <v/>
      </c>
      <c r="R616" s="27">
        <f>IF($A616="","",IF(P616="","",COUNT($P$2:P616)))</f>
        <v/>
      </c>
    </row>
    <row r="617">
      <c r="J617" s="24">
        <f>IF($A617="","",IF($C617&lt;&gt;"khp_titration_mL","",IF(COUNTIFS('1_原始數據'!$A$2:$A$1000,$A617,'1_原始數據'!$B$2:$B$1000,$B617,'1_原始數據'!$D$2:$D$1000,$D617,'1_原始數據'!$C$2:$C$1000,"khp_mass_g")=0,"",SUMIFS('1_原始數據'!$E$2:$E$1000,'1_原始數據'!$A$2:$A$1000,$A617,'1_原始數據'!$B$2:$B$1000,$B617,'1_原始數據'!$D$2:$D$1000,$D617,'1_原始數據'!$C$2:$C$1000,"khp_mass_g")/('2_NaOH標定'!$C$5*$E617/1000))))</f>
        <v/>
      </c>
      <c r="K617" s="24">
        <f>IF($A617="","",IF($C617&lt;&gt;"manual_titration_mL","",IF(COUNTIFS('1_原始數據'!$A$2:$A$1000,$A617,'1_原始數據'!$C$2:$C$1000,"khp_titration_mL")=0,"",AVERAGEIFS('1_原始數據'!$J$2:$J$1000,'1_原始數據'!$A$2:$A$1000,$A617,'1_原始數據'!$C$2:$C$1000,"khp_titration_mL"))))</f>
        <v/>
      </c>
      <c r="L617" s="25">
        <f>IF($A617="","",IF($C617&lt;&gt;"manual_titration_mL","",IFERROR(INDEX('3_可滴定酸度'!$E$6:$E$13,MATCH($I617,'3_可滴定酸度'!$B$6:$B$13,0)),"")))</f>
        <v/>
      </c>
      <c r="M617" s="25">
        <f>IF($A617="","",IF($C617&lt;&gt;"manual_titration_mL","",IFERROR(INDEX('3_可滴定酸度'!$F$6:$F$13,MATCH($I617,'3_可滴定酸度'!$B$6:$B$13,0)),"")))</f>
        <v/>
      </c>
      <c r="N617" s="24">
        <f>IF($A617="","",IF(OR(K617="",L617="",M617=""),"",K617*E617*L617/(M617*1000)*100))</f>
        <v/>
      </c>
      <c r="O617" s="24">
        <f>IF($A617="","",IF(N617="","",IF(COUNTIFS('1_原始數據'!$A$2:$A$1000,$A617,'1_原始數據'!$B$2:$B$1000,$B617,'1_原始數據'!$D$2:$D$1000,$D617,'1_原始數據'!$I$2:$I$1000,$I617,'1_原始數據'!$C$2:$C$1000,"pasco_pct_acid")=0,"",SUMIFS('1_原始數據'!$E$2:$E$1000,'1_原始數據'!$A$2:$A$1000,$A617,'1_原始數據'!$B$2:$B$1000,$B617,'1_原始數據'!$D$2:$D$1000,$D617,'1_原始數據'!$I$2:$I$1000,$I617,'1_原始數據'!$C$2:$C$1000,"pasco_pct_acid"))))</f>
        <v/>
      </c>
      <c r="P617" s="26">
        <f>IF($A617="","",IF(OR(N617="",O617=""),"",O617-N617))</f>
        <v/>
      </c>
      <c r="Q617" s="24">
        <f>IF($A617="","",IF(P617="","",(O617+N617)/2))</f>
        <v/>
      </c>
      <c r="R617" s="27">
        <f>IF($A617="","",IF(P617="","",COUNT($P$2:P617)))</f>
        <v/>
      </c>
    </row>
    <row r="618">
      <c r="J618" s="24">
        <f>IF($A618="","",IF($C618&lt;&gt;"khp_titration_mL","",IF(COUNTIFS('1_原始數據'!$A$2:$A$1000,$A618,'1_原始數據'!$B$2:$B$1000,$B618,'1_原始數據'!$D$2:$D$1000,$D618,'1_原始數據'!$C$2:$C$1000,"khp_mass_g")=0,"",SUMIFS('1_原始數據'!$E$2:$E$1000,'1_原始數據'!$A$2:$A$1000,$A618,'1_原始數據'!$B$2:$B$1000,$B618,'1_原始數據'!$D$2:$D$1000,$D618,'1_原始數據'!$C$2:$C$1000,"khp_mass_g")/('2_NaOH標定'!$C$5*$E618/1000))))</f>
        <v/>
      </c>
      <c r="K618" s="24">
        <f>IF($A618="","",IF($C618&lt;&gt;"manual_titration_mL","",IF(COUNTIFS('1_原始數據'!$A$2:$A$1000,$A618,'1_原始數據'!$C$2:$C$1000,"khp_titration_mL")=0,"",AVERAGEIFS('1_原始數據'!$J$2:$J$1000,'1_原始數據'!$A$2:$A$1000,$A618,'1_原始數據'!$C$2:$C$1000,"khp_titration_mL"))))</f>
        <v/>
      </c>
      <c r="L618" s="25">
        <f>IF($A618="","",IF($C618&lt;&gt;"manual_titration_mL","",IFERROR(INDEX('3_可滴定酸度'!$E$6:$E$13,MATCH($I618,'3_可滴定酸度'!$B$6:$B$13,0)),"")))</f>
        <v/>
      </c>
      <c r="M618" s="25">
        <f>IF($A618="","",IF($C618&lt;&gt;"manual_titration_mL","",IFERROR(INDEX('3_可滴定酸度'!$F$6:$F$13,MATCH($I618,'3_可滴定酸度'!$B$6:$B$13,0)),"")))</f>
        <v/>
      </c>
      <c r="N618" s="24">
        <f>IF($A618="","",IF(OR(K618="",L618="",M618=""),"",K618*E618*L618/(M618*1000)*100))</f>
        <v/>
      </c>
      <c r="O618" s="24">
        <f>IF($A618="","",IF(N618="","",IF(COUNTIFS('1_原始數據'!$A$2:$A$1000,$A618,'1_原始數據'!$B$2:$B$1000,$B618,'1_原始數據'!$D$2:$D$1000,$D618,'1_原始數據'!$I$2:$I$1000,$I618,'1_原始數據'!$C$2:$C$1000,"pasco_pct_acid")=0,"",SUMIFS('1_原始數據'!$E$2:$E$1000,'1_原始數據'!$A$2:$A$1000,$A618,'1_原始數據'!$B$2:$B$1000,$B618,'1_原始數據'!$D$2:$D$1000,$D618,'1_原始數據'!$I$2:$I$1000,$I618,'1_原始數據'!$C$2:$C$1000,"pasco_pct_acid"))))</f>
        <v/>
      </c>
      <c r="P618" s="26">
        <f>IF($A618="","",IF(OR(N618="",O618=""),"",O618-N618))</f>
        <v/>
      </c>
      <c r="Q618" s="24">
        <f>IF($A618="","",IF(P618="","",(O618+N618)/2))</f>
        <v/>
      </c>
      <c r="R618" s="27">
        <f>IF($A618="","",IF(P618="","",COUNT($P$2:P618)))</f>
        <v/>
      </c>
    </row>
    <row r="619">
      <c r="J619" s="24">
        <f>IF($A619="","",IF($C619&lt;&gt;"khp_titration_mL","",IF(COUNTIFS('1_原始數據'!$A$2:$A$1000,$A619,'1_原始數據'!$B$2:$B$1000,$B619,'1_原始數據'!$D$2:$D$1000,$D619,'1_原始數據'!$C$2:$C$1000,"khp_mass_g")=0,"",SUMIFS('1_原始數據'!$E$2:$E$1000,'1_原始數據'!$A$2:$A$1000,$A619,'1_原始數據'!$B$2:$B$1000,$B619,'1_原始數據'!$D$2:$D$1000,$D619,'1_原始數據'!$C$2:$C$1000,"khp_mass_g")/('2_NaOH標定'!$C$5*$E619/1000))))</f>
        <v/>
      </c>
      <c r="K619" s="24">
        <f>IF($A619="","",IF($C619&lt;&gt;"manual_titration_mL","",IF(COUNTIFS('1_原始數據'!$A$2:$A$1000,$A619,'1_原始數據'!$C$2:$C$1000,"khp_titration_mL")=0,"",AVERAGEIFS('1_原始數據'!$J$2:$J$1000,'1_原始數據'!$A$2:$A$1000,$A619,'1_原始數據'!$C$2:$C$1000,"khp_titration_mL"))))</f>
        <v/>
      </c>
      <c r="L619" s="25">
        <f>IF($A619="","",IF($C619&lt;&gt;"manual_titration_mL","",IFERROR(INDEX('3_可滴定酸度'!$E$6:$E$13,MATCH($I619,'3_可滴定酸度'!$B$6:$B$13,0)),"")))</f>
        <v/>
      </c>
      <c r="M619" s="25">
        <f>IF($A619="","",IF($C619&lt;&gt;"manual_titration_mL","",IFERROR(INDEX('3_可滴定酸度'!$F$6:$F$13,MATCH($I619,'3_可滴定酸度'!$B$6:$B$13,0)),"")))</f>
        <v/>
      </c>
      <c r="N619" s="24">
        <f>IF($A619="","",IF(OR(K619="",L619="",M619=""),"",K619*E619*L619/(M619*1000)*100))</f>
        <v/>
      </c>
      <c r="O619" s="24">
        <f>IF($A619="","",IF(N619="","",IF(COUNTIFS('1_原始數據'!$A$2:$A$1000,$A619,'1_原始數據'!$B$2:$B$1000,$B619,'1_原始數據'!$D$2:$D$1000,$D619,'1_原始數據'!$I$2:$I$1000,$I619,'1_原始數據'!$C$2:$C$1000,"pasco_pct_acid")=0,"",SUMIFS('1_原始數據'!$E$2:$E$1000,'1_原始數據'!$A$2:$A$1000,$A619,'1_原始數據'!$B$2:$B$1000,$B619,'1_原始數據'!$D$2:$D$1000,$D619,'1_原始數據'!$I$2:$I$1000,$I619,'1_原始數據'!$C$2:$C$1000,"pasco_pct_acid"))))</f>
        <v/>
      </c>
      <c r="P619" s="26">
        <f>IF($A619="","",IF(OR(N619="",O619=""),"",O619-N619))</f>
        <v/>
      </c>
      <c r="Q619" s="24">
        <f>IF($A619="","",IF(P619="","",(O619+N619)/2))</f>
        <v/>
      </c>
      <c r="R619" s="27">
        <f>IF($A619="","",IF(P619="","",COUNT($P$2:P619)))</f>
        <v/>
      </c>
    </row>
    <row r="620">
      <c r="J620" s="24">
        <f>IF($A620="","",IF($C620&lt;&gt;"khp_titration_mL","",IF(COUNTIFS('1_原始數據'!$A$2:$A$1000,$A620,'1_原始數據'!$B$2:$B$1000,$B620,'1_原始數據'!$D$2:$D$1000,$D620,'1_原始數據'!$C$2:$C$1000,"khp_mass_g")=0,"",SUMIFS('1_原始數據'!$E$2:$E$1000,'1_原始數據'!$A$2:$A$1000,$A620,'1_原始數據'!$B$2:$B$1000,$B620,'1_原始數據'!$D$2:$D$1000,$D620,'1_原始數據'!$C$2:$C$1000,"khp_mass_g")/('2_NaOH標定'!$C$5*$E620/1000))))</f>
        <v/>
      </c>
      <c r="K620" s="24">
        <f>IF($A620="","",IF($C620&lt;&gt;"manual_titration_mL","",IF(COUNTIFS('1_原始數據'!$A$2:$A$1000,$A620,'1_原始數據'!$C$2:$C$1000,"khp_titration_mL")=0,"",AVERAGEIFS('1_原始數據'!$J$2:$J$1000,'1_原始數據'!$A$2:$A$1000,$A620,'1_原始數據'!$C$2:$C$1000,"khp_titration_mL"))))</f>
        <v/>
      </c>
      <c r="L620" s="25">
        <f>IF($A620="","",IF($C620&lt;&gt;"manual_titration_mL","",IFERROR(INDEX('3_可滴定酸度'!$E$6:$E$13,MATCH($I620,'3_可滴定酸度'!$B$6:$B$13,0)),"")))</f>
        <v/>
      </c>
      <c r="M620" s="25">
        <f>IF($A620="","",IF($C620&lt;&gt;"manual_titration_mL","",IFERROR(INDEX('3_可滴定酸度'!$F$6:$F$13,MATCH($I620,'3_可滴定酸度'!$B$6:$B$13,0)),"")))</f>
        <v/>
      </c>
      <c r="N620" s="24">
        <f>IF($A620="","",IF(OR(K620="",L620="",M620=""),"",K620*E620*L620/(M620*1000)*100))</f>
        <v/>
      </c>
      <c r="O620" s="24">
        <f>IF($A620="","",IF(N620="","",IF(COUNTIFS('1_原始數據'!$A$2:$A$1000,$A620,'1_原始數據'!$B$2:$B$1000,$B620,'1_原始數據'!$D$2:$D$1000,$D620,'1_原始數據'!$I$2:$I$1000,$I620,'1_原始數據'!$C$2:$C$1000,"pasco_pct_acid")=0,"",SUMIFS('1_原始數據'!$E$2:$E$1000,'1_原始數據'!$A$2:$A$1000,$A620,'1_原始數據'!$B$2:$B$1000,$B620,'1_原始數據'!$D$2:$D$1000,$D620,'1_原始數據'!$I$2:$I$1000,$I620,'1_原始數據'!$C$2:$C$1000,"pasco_pct_acid"))))</f>
        <v/>
      </c>
      <c r="P620" s="26">
        <f>IF($A620="","",IF(OR(N620="",O620=""),"",O620-N620))</f>
        <v/>
      </c>
      <c r="Q620" s="24">
        <f>IF($A620="","",IF(P620="","",(O620+N620)/2))</f>
        <v/>
      </c>
      <c r="R620" s="27">
        <f>IF($A620="","",IF(P620="","",COUNT($P$2:P620)))</f>
        <v/>
      </c>
    </row>
    <row r="621">
      <c r="J621" s="24">
        <f>IF($A621="","",IF($C621&lt;&gt;"khp_titration_mL","",IF(COUNTIFS('1_原始數據'!$A$2:$A$1000,$A621,'1_原始數據'!$B$2:$B$1000,$B621,'1_原始數據'!$D$2:$D$1000,$D621,'1_原始數據'!$C$2:$C$1000,"khp_mass_g")=0,"",SUMIFS('1_原始數據'!$E$2:$E$1000,'1_原始數據'!$A$2:$A$1000,$A621,'1_原始數據'!$B$2:$B$1000,$B621,'1_原始數據'!$D$2:$D$1000,$D621,'1_原始數據'!$C$2:$C$1000,"khp_mass_g")/('2_NaOH標定'!$C$5*$E621/1000))))</f>
        <v/>
      </c>
      <c r="K621" s="24">
        <f>IF($A621="","",IF($C621&lt;&gt;"manual_titration_mL","",IF(COUNTIFS('1_原始數據'!$A$2:$A$1000,$A621,'1_原始數據'!$C$2:$C$1000,"khp_titration_mL")=0,"",AVERAGEIFS('1_原始數據'!$J$2:$J$1000,'1_原始數據'!$A$2:$A$1000,$A621,'1_原始數據'!$C$2:$C$1000,"khp_titration_mL"))))</f>
        <v/>
      </c>
      <c r="L621" s="25">
        <f>IF($A621="","",IF($C621&lt;&gt;"manual_titration_mL","",IFERROR(INDEX('3_可滴定酸度'!$E$6:$E$13,MATCH($I621,'3_可滴定酸度'!$B$6:$B$13,0)),"")))</f>
        <v/>
      </c>
      <c r="M621" s="25">
        <f>IF($A621="","",IF($C621&lt;&gt;"manual_titration_mL","",IFERROR(INDEX('3_可滴定酸度'!$F$6:$F$13,MATCH($I621,'3_可滴定酸度'!$B$6:$B$13,0)),"")))</f>
        <v/>
      </c>
      <c r="N621" s="24">
        <f>IF($A621="","",IF(OR(K621="",L621="",M621=""),"",K621*E621*L621/(M621*1000)*100))</f>
        <v/>
      </c>
      <c r="O621" s="24">
        <f>IF($A621="","",IF(N621="","",IF(COUNTIFS('1_原始數據'!$A$2:$A$1000,$A621,'1_原始數據'!$B$2:$B$1000,$B621,'1_原始數據'!$D$2:$D$1000,$D621,'1_原始數據'!$I$2:$I$1000,$I621,'1_原始數據'!$C$2:$C$1000,"pasco_pct_acid")=0,"",SUMIFS('1_原始數據'!$E$2:$E$1000,'1_原始數據'!$A$2:$A$1000,$A621,'1_原始數據'!$B$2:$B$1000,$B621,'1_原始數據'!$D$2:$D$1000,$D621,'1_原始數據'!$I$2:$I$1000,$I621,'1_原始數據'!$C$2:$C$1000,"pasco_pct_acid"))))</f>
        <v/>
      </c>
      <c r="P621" s="26">
        <f>IF($A621="","",IF(OR(N621="",O621=""),"",O621-N621))</f>
        <v/>
      </c>
      <c r="Q621" s="24">
        <f>IF($A621="","",IF(P621="","",(O621+N621)/2))</f>
        <v/>
      </c>
      <c r="R621" s="27">
        <f>IF($A621="","",IF(P621="","",COUNT($P$2:P621)))</f>
        <v/>
      </c>
    </row>
    <row r="622">
      <c r="J622" s="24">
        <f>IF($A622="","",IF($C622&lt;&gt;"khp_titration_mL","",IF(COUNTIFS('1_原始數據'!$A$2:$A$1000,$A622,'1_原始數據'!$B$2:$B$1000,$B622,'1_原始數據'!$D$2:$D$1000,$D622,'1_原始數據'!$C$2:$C$1000,"khp_mass_g")=0,"",SUMIFS('1_原始數據'!$E$2:$E$1000,'1_原始數據'!$A$2:$A$1000,$A622,'1_原始數據'!$B$2:$B$1000,$B622,'1_原始數據'!$D$2:$D$1000,$D622,'1_原始數據'!$C$2:$C$1000,"khp_mass_g")/('2_NaOH標定'!$C$5*$E622/1000))))</f>
        <v/>
      </c>
      <c r="K622" s="24">
        <f>IF($A622="","",IF($C622&lt;&gt;"manual_titration_mL","",IF(COUNTIFS('1_原始數據'!$A$2:$A$1000,$A622,'1_原始數據'!$C$2:$C$1000,"khp_titration_mL")=0,"",AVERAGEIFS('1_原始數據'!$J$2:$J$1000,'1_原始數據'!$A$2:$A$1000,$A622,'1_原始數據'!$C$2:$C$1000,"khp_titration_mL"))))</f>
        <v/>
      </c>
      <c r="L622" s="25">
        <f>IF($A622="","",IF($C622&lt;&gt;"manual_titration_mL","",IFERROR(INDEX('3_可滴定酸度'!$E$6:$E$13,MATCH($I622,'3_可滴定酸度'!$B$6:$B$13,0)),"")))</f>
        <v/>
      </c>
      <c r="M622" s="25">
        <f>IF($A622="","",IF($C622&lt;&gt;"manual_titration_mL","",IFERROR(INDEX('3_可滴定酸度'!$F$6:$F$13,MATCH($I622,'3_可滴定酸度'!$B$6:$B$13,0)),"")))</f>
        <v/>
      </c>
      <c r="N622" s="24">
        <f>IF($A622="","",IF(OR(K622="",L622="",M622=""),"",K622*E622*L622/(M622*1000)*100))</f>
        <v/>
      </c>
      <c r="O622" s="24">
        <f>IF($A622="","",IF(N622="","",IF(COUNTIFS('1_原始數據'!$A$2:$A$1000,$A622,'1_原始數據'!$B$2:$B$1000,$B622,'1_原始數據'!$D$2:$D$1000,$D622,'1_原始數據'!$I$2:$I$1000,$I622,'1_原始數據'!$C$2:$C$1000,"pasco_pct_acid")=0,"",SUMIFS('1_原始數據'!$E$2:$E$1000,'1_原始數據'!$A$2:$A$1000,$A622,'1_原始數據'!$B$2:$B$1000,$B622,'1_原始數據'!$D$2:$D$1000,$D622,'1_原始數據'!$I$2:$I$1000,$I622,'1_原始數據'!$C$2:$C$1000,"pasco_pct_acid"))))</f>
        <v/>
      </c>
      <c r="P622" s="26">
        <f>IF($A622="","",IF(OR(N622="",O622=""),"",O622-N622))</f>
        <v/>
      </c>
      <c r="Q622" s="24">
        <f>IF($A622="","",IF(P622="","",(O622+N622)/2))</f>
        <v/>
      </c>
      <c r="R622" s="27">
        <f>IF($A622="","",IF(P622="","",COUNT($P$2:P622)))</f>
        <v/>
      </c>
    </row>
    <row r="623">
      <c r="J623" s="24">
        <f>IF($A623="","",IF($C623&lt;&gt;"khp_titration_mL","",IF(COUNTIFS('1_原始數據'!$A$2:$A$1000,$A623,'1_原始數據'!$B$2:$B$1000,$B623,'1_原始數據'!$D$2:$D$1000,$D623,'1_原始數據'!$C$2:$C$1000,"khp_mass_g")=0,"",SUMIFS('1_原始數據'!$E$2:$E$1000,'1_原始數據'!$A$2:$A$1000,$A623,'1_原始數據'!$B$2:$B$1000,$B623,'1_原始數據'!$D$2:$D$1000,$D623,'1_原始數據'!$C$2:$C$1000,"khp_mass_g")/('2_NaOH標定'!$C$5*$E623/1000))))</f>
        <v/>
      </c>
      <c r="K623" s="24">
        <f>IF($A623="","",IF($C623&lt;&gt;"manual_titration_mL","",IF(COUNTIFS('1_原始數據'!$A$2:$A$1000,$A623,'1_原始數據'!$C$2:$C$1000,"khp_titration_mL")=0,"",AVERAGEIFS('1_原始數據'!$J$2:$J$1000,'1_原始數據'!$A$2:$A$1000,$A623,'1_原始數據'!$C$2:$C$1000,"khp_titration_mL"))))</f>
        <v/>
      </c>
      <c r="L623" s="25">
        <f>IF($A623="","",IF($C623&lt;&gt;"manual_titration_mL","",IFERROR(INDEX('3_可滴定酸度'!$E$6:$E$13,MATCH($I623,'3_可滴定酸度'!$B$6:$B$13,0)),"")))</f>
        <v/>
      </c>
      <c r="M623" s="25">
        <f>IF($A623="","",IF($C623&lt;&gt;"manual_titration_mL","",IFERROR(INDEX('3_可滴定酸度'!$F$6:$F$13,MATCH($I623,'3_可滴定酸度'!$B$6:$B$13,0)),"")))</f>
        <v/>
      </c>
      <c r="N623" s="24">
        <f>IF($A623="","",IF(OR(K623="",L623="",M623=""),"",K623*E623*L623/(M623*1000)*100))</f>
        <v/>
      </c>
      <c r="O623" s="24">
        <f>IF($A623="","",IF(N623="","",IF(COUNTIFS('1_原始數據'!$A$2:$A$1000,$A623,'1_原始數據'!$B$2:$B$1000,$B623,'1_原始數據'!$D$2:$D$1000,$D623,'1_原始數據'!$I$2:$I$1000,$I623,'1_原始數據'!$C$2:$C$1000,"pasco_pct_acid")=0,"",SUMIFS('1_原始數據'!$E$2:$E$1000,'1_原始數據'!$A$2:$A$1000,$A623,'1_原始數據'!$B$2:$B$1000,$B623,'1_原始數據'!$D$2:$D$1000,$D623,'1_原始數據'!$I$2:$I$1000,$I623,'1_原始數據'!$C$2:$C$1000,"pasco_pct_acid"))))</f>
        <v/>
      </c>
      <c r="P623" s="26">
        <f>IF($A623="","",IF(OR(N623="",O623=""),"",O623-N623))</f>
        <v/>
      </c>
      <c r="Q623" s="24">
        <f>IF($A623="","",IF(P623="","",(O623+N623)/2))</f>
        <v/>
      </c>
      <c r="R623" s="27">
        <f>IF($A623="","",IF(P623="","",COUNT($P$2:P623)))</f>
        <v/>
      </c>
    </row>
    <row r="624">
      <c r="J624" s="24">
        <f>IF($A624="","",IF($C624&lt;&gt;"khp_titration_mL","",IF(COUNTIFS('1_原始數據'!$A$2:$A$1000,$A624,'1_原始數據'!$B$2:$B$1000,$B624,'1_原始數據'!$D$2:$D$1000,$D624,'1_原始數據'!$C$2:$C$1000,"khp_mass_g")=0,"",SUMIFS('1_原始數據'!$E$2:$E$1000,'1_原始數據'!$A$2:$A$1000,$A624,'1_原始數據'!$B$2:$B$1000,$B624,'1_原始數據'!$D$2:$D$1000,$D624,'1_原始數據'!$C$2:$C$1000,"khp_mass_g")/('2_NaOH標定'!$C$5*$E624/1000))))</f>
        <v/>
      </c>
      <c r="K624" s="24">
        <f>IF($A624="","",IF($C624&lt;&gt;"manual_titration_mL","",IF(COUNTIFS('1_原始數據'!$A$2:$A$1000,$A624,'1_原始數據'!$C$2:$C$1000,"khp_titration_mL")=0,"",AVERAGEIFS('1_原始數據'!$J$2:$J$1000,'1_原始數據'!$A$2:$A$1000,$A624,'1_原始數據'!$C$2:$C$1000,"khp_titration_mL"))))</f>
        <v/>
      </c>
      <c r="L624" s="25">
        <f>IF($A624="","",IF($C624&lt;&gt;"manual_titration_mL","",IFERROR(INDEX('3_可滴定酸度'!$E$6:$E$13,MATCH($I624,'3_可滴定酸度'!$B$6:$B$13,0)),"")))</f>
        <v/>
      </c>
      <c r="M624" s="25">
        <f>IF($A624="","",IF($C624&lt;&gt;"manual_titration_mL","",IFERROR(INDEX('3_可滴定酸度'!$F$6:$F$13,MATCH($I624,'3_可滴定酸度'!$B$6:$B$13,0)),"")))</f>
        <v/>
      </c>
      <c r="N624" s="24">
        <f>IF($A624="","",IF(OR(K624="",L624="",M624=""),"",K624*E624*L624/(M624*1000)*100))</f>
        <v/>
      </c>
      <c r="O624" s="24">
        <f>IF($A624="","",IF(N624="","",IF(COUNTIFS('1_原始數據'!$A$2:$A$1000,$A624,'1_原始數據'!$B$2:$B$1000,$B624,'1_原始數據'!$D$2:$D$1000,$D624,'1_原始數據'!$I$2:$I$1000,$I624,'1_原始數據'!$C$2:$C$1000,"pasco_pct_acid")=0,"",SUMIFS('1_原始數據'!$E$2:$E$1000,'1_原始數據'!$A$2:$A$1000,$A624,'1_原始數據'!$B$2:$B$1000,$B624,'1_原始數據'!$D$2:$D$1000,$D624,'1_原始數據'!$I$2:$I$1000,$I624,'1_原始數據'!$C$2:$C$1000,"pasco_pct_acid"))))</f>
        <v/>
      </c>
      <c r="P624" s="26">
        <f>IF($A624="","",IF(OR(N624="",O624=""),"",O624-N624))</f>
        <v/>
      </c>
      <c r="Q624" s="24">
        <f>IF($A624="","",IF(P624="","",(O624+N624)/2))</f>
        <v/>
      </c>
      <c r="R624" s="27">
        <f>IF($A624="","",IF(P624="","",COUNT($P$2:P624)))</f>
        <v/>
      </c>
    </row>
    <row r="625">
      <c r="J625" s="24">
        <f>IF($A625="","",IF($C625&lt;&gt;"khp_titration_mL","",IF(COUNTIFS('1_原始數據'!$A$2:$A$1000,$A625,'1_原始數據'!$B$2:$B$1000,$B625,'1_原始數據'!$D$2:$D$1000,$D625,'1_原始數據'!$C$2:$C$1000,"khp_mass_g")=0,"",SUMIFS('1_原始數據'!$E$2:$E$1000,'1_原始數據'!$A$2:$A$1000,$A625,'1_原始數據'!$B$2:$B$1000,$B625,'1_原始數據'!$D$2:$D$1000,$D625,'1_原始數據'!$C$2:$C$1000,"khp_mass_g")/('2_NaOH標定'!$C$5*$E625/1000))))</f>
        <v/>
      </c>
      <c r="K625" s="24">
        <f>IF($A625="","",IF($C625&lt;&gt;"manual_titration_mL","",IF(COUNTIFS('1_原始數據'!$A$2:$A$1000,$A625,'1_原始數據'!$C$2:$C$1000,"khp_titration_mL")=0,"",AVERAGEIFS('1_原始數據'!$J$2:$J$1000,'1_原始數據'!$A$2:$A$1000,$A625,'1_原始數據'!$C$2:$C$1000,"khp_titration_mL"))))</f>
        <v/>
      </c>
      <c r="L625" s="25">
        <f>IF($A625="","",IF($C625&lt;&gt;"manual_titration_mL","",IFERROR(INDEX('3_可滴定酸度'!$E$6:$E$13,MATCH($I625,'3_可滴定酸度'!$B$6:$B$13,0)),"")))</f>
        <v/>
      </c>
      <c r="M625" s="25">
        <f>IF($A625="","",IF($C625&lt;&gt;"manual_titration_mL","",IFERROR(INDEX('3_可滴定酸度'!$F$6:$F$13,MATCH($I625,'3_可滴定酸度'!$B$6:$B$13,0)),"")))</f>
        <v/>
      </c>
      <c r="N625" s="24">
        <f>IF($A625="","",IF(OR(K625="",L625="",M625=""),"",K625*E625*L625/(M625*1000)*100))</f>
        <v/>
      </c>
      <c r="O625" s="24">
        <f>IF($A625="","",IF(N625="","",IF(COUNTIFS('1_原始數據'!$A$2:$A$1000,$A625,'1_原始數據'!$B$2:$B$1000,$B625,'1_原始數據'!$D$2:$D$1000,$D625,'1_原始數據'!$I$2:$I$1000,$I625,'1_原始數據'!$C$2:$C$1000,"pasco_pct_acid")=0,"",SUMIFS('1_原始數據'!$E$2:$E$1000,'1_原始數據'!$A$2:$A$1000,$A625,'1_原始數據'!$B$2:$B$1000,$B625,'1_原始數據'!$D$2:$D$1000,$D625,'1_原始數據'!$I$2:$I$1000,$I625,'1_原始數據'!$C$2:$C$1000,"pasco_pct_acid"))))</f>
        <v/>
      </c>
      <c r="P625" s="26">
        <f>IF($A625="","",IF(OR(N625="",O625=""),"",O625-N625))</f>
        <v/>
      </c>
      <c r="Q625" s="24">
        <f>IF($A625="","",IF(P625="","",(O625+N625)/2))</f>
        <v/>
      </c>
      <c r="R625" s="27">
        <f>IF($A625="","",IF(P625="","",COUNT($P$2:P625)))</f>
        <v/>
      </c>
    </row>
    <row r="626">
      <c r="J626" s="24">
        <f>IF($A626="","",IF($C626&lt;&gt;"khp_titration_mL","",IF(COUNTIFS('1_原始數據'!$A$2:$A$1000,$A626,'1_原始數據'!$B$2:$B$1000,$B626,'1_原始數據'!$D$2:$D$1000,$D626,'1_原始數據'!$C$2:$C$1000,"khp_mass_g")=0,"",SUMIFS('1_原始數據'!$E$2:$E$1000,'1_原始數據'!$A$2:$A$1000,$A626,'1_原始數據'!$B$2:$B$1000,$B626,'1_原始數據'!$D$2:$D$1000,$D626,'1_原始數據'!$C$2:$C$1000,"khp_mass_g")/('2_NaOH標定'!$C$5*$E626/1000))))</f>
        <v/>
      </c>
      <c r="K626" s="24">
        <f>IF($A626="","",IF($C626&lt;&gt;"manual_titration_mL","",IF(COUNTIFS('1_原始數據'!$A$2:$A$1000,$A626,'1_原始數據'!$C$2:$C$1000,"khp_titration_mL")=0,"",AVERAGEIFS('1_原始數據'!$J$2:$J$1000,'1_原始數據'!$A$2:$A$1000,$A626,'1_原始數據'!$C$2:$C$1000,"khp_titration_mL"))))</f>
        <v/>
      </c>
      <c r="L626" s="25">
        <f>IF($A626="","",IF($C626&lt;&gt;"manual_titration_mL","",IFERROR(INDEX('3_可滴定酸度'!$E$6:$E$13,MATCH($I626,'3_可滴定酸度'!$B$6:$B$13,0)),"")))</f>
        <v/>
      </c>
      <c r="M626" s="25">
        <f>IF($A626="","",IF($C626&lt;&gt;"manual_titration_mL","",IFERROR(INDEX('3_可滴定酸度'!$F$6:$F$13,MATCH($I626,'3_可滴定酸度'!$B$6:$B$13,0)),"")))</f>
        <v/>
      </c>
      <c r="N626" s="24">
        <f>IF($A626="","",IF(OR(K626="",L626="",M626=""),"",K626*E626*L626/(M626*1000)*100))</f>
        <v/>
      </c>
      <c r="O626" s="24">
        <f>IF($A626="","",IF(N626="","",IF(COUNTIFS('1_原始數據'!$A$2:$A$1000,$A626,'1_原始數據'!$B$2:$B$1000,$B626,'1_原始數據'!$D$2:$D$1000,$D626,'1_原始數據'!$I$2:$I$1000,$I626,'1_原始數據'!$C$2:$C$1000,"pasco_pct_acid")=0,"",SUMIFS('1_原始數據'!$E$2:$E$1000,'1_原始數據'!$A$2:$A$1000,$A626,'1_原始數據'!$B$2:$B$1000,$B626,'1_原始數據'!$D$2:$D$1000,$D626,'1_原始數據'!$I$2:$I$1000,$I626,'1_原始數據'!$C$2:$C$1000,"pasco_pct_acid"))))</f>
        <v/>
      </c>
      <c r="P626" s="26">
        <f>IF($A626="","",IF(OR(N626="",O626=""),"",O626-N626))</f>
        <v/>
      </c>
      <c r="Q626" s="24">
        <f>IF($A626="","",IF(P626="","",(O626+N626)/2))</f>
        <v/>
      </c>
      <c r="R626" s="27">
        <f>IF($A626="","",IF(P626="","",COUNT($P$2:P626)))</f>
        <v/>
      </c>
    </row>
    <row r="627">
      <c r="J627" s="24">
        <f>IF($A627="","",IF($C627&lt;&gt;"khp_titration_mL","",IF(COUNTIFS('1_原始數據'!$A$2:$A$1000,$A627,'1_原始數據'!$B$2:$B$1000,$B627,'1_原始數據'!$D$2:$D$1000,$D627,'1_原始數據'!$C$2:$C$1000,"khp_mass_g")=0,"",SUMIFS('1_原始數據'!$E$2:$E$1000,'1_原始數據'!$A$2:$A$1000,$A627,'1_原始數據'!$B$2:$B$1000,$B627,'1_原始數據'!$D$2:$D$1000,$D627,'1_原始數據'!$C$2:$C$1000,"khp_mass_g")/('2_NaOH標定'!$C$5*$E627/1000))))</f>
        <v/>
      </c>
      <c r="K627" s="24">
        <f>IF($A627="","",IF($C627&lt;&gt;"manual_titration_mL","",IF(COUNTIFS('1_原始數據'!$A$2:$A$1000,$A627,'1_原始數據'!$C$2:$C$1000,"khp_titration_mL")=0,"",AVERAGEIFS('1_原始數據'!$J$2:$J$1000,'1_原始數據'!$A$2:$A$1000,$A627,'1_原始數據'!$C$2:$C$1000,"khp_titration_mL"))))</f>
        <v/>
      </c>
      <c r="L627" s="25">
        <f>IF($A627="","",IF($C627&lt;&gt;"manual_titration_mL","",IFERROR(INDEX('3_可滴定酸度'!$E$6:$E$13,MATCH($I627,'3_可滴定酸度'!$B$6:$B$13,0)),"")))</f>
        <v/>
      </c>
      <c r="M627" s="25">
        <f>IF($A627="","",IF($C627&lt;&gt;"manual_titration_mL","",IFERROR(INDEX('3_可滴定酸度'!$F$6:$F$13,MATCH($I627,'3_可滴定酸度'!$B$6:$B$13,0)),"")))</f>
        <v/>
      </c>
      <c r="N627" s="24">
        <f>IF($A627="","",IF(OR(K627="",L627="",M627=""),"",K627*E627*L627/(M627*1000)*100))</f>
        <v/>
      </c>
      <c r="O627" s="24">
        <f>IF($A627="","",IF(N627="","",IF(COUNTIFS('1_原始數據'!$A$2:$A$1000,$A627,'1_原始數據'!$B$2:$B$1000,$B627,'1_原始數據'!$D$2:$D$1000,$D627,'1_原始數據'!$I$2:$I$1000,$I627,'1_原始數據'!$C$2:$C$1000,"pasco_pct_acid")=0,"",SUMIFS('1_原始數據'!$E$2:$E$1000,'1_原始數據'!$A$2:$A$1000,$A627,'1_原始數據'!$B$2:$B$1000,$B627,'1_原始數據'!$D$2:$D$1000,$D627,'1_原始數據'!$I$2:$I$1000,$I627,'1_原始數據'!$C$2:$C$1000,"pasco_pct_acid"))))</f>
        <v/>
      </c>
      <c r="P627" s="26">
        <f>IF($A627="","",IF(OR(N627="",O627=""),"",O627-N627))</f>
        <v/>
      </c>
      <c r="Q627" s="24">
        <f>IF($A627="","",IF(P627="","",(O627+N627)/2))</f>
        <v/>
      </c>
      <c r="R627" s="27">
        <f>IF($A627="","",IF(P627="","",COUNT($P$2:P627)))</f>
        <v/>
      </c>
    </row>
    <row r="628">
      <c r="J628" s="24">
        <f>IF($A628="","",IF($C628&lt;&gt;"khp_titration_mL","",IF(COUNTIFS('1_原始數據'!$A$2:$A$1000,$A628,'1_原始數據'!$B$2:$B$1000,$B628,'1_原始數據'!$D$2:$D$1000,$D628,'1_原始數據'!$C$2:$C$1000,"khp_mass_g")=0,"",SUMIFS('1_原始數據'!$E$2:$E$1000,'1_原始數據'!$A$2:$A$1000,$A628,'1_原始數據'!$B$2:$B$1000,$B628,'1_原始數據'!$D$2:$D$1000,$D628,'1_原始數據'!$C$2:$C$1000,"khp_mass_g")/('2_NaOH標定'!$C$5*$E628/1000))))</f>
        <v/>
      </c>
      <c r="K628" s="24">
        <f>IF($A628="","",IF($C628&lt;&gt;"manual_titration_mL","",IF(COUNTIFS('1_原始數據'!$A$2:$A$1000,$A628,'1_原始數據'!$C$2:$C$1000,"khp_titration_mL")=0,"",AVERAGEIFS('1_原始數據'!$J$2:$J$1000,'1_原始數據'!$A$2:$A$1000,$A628,'1_原始數據'!$C$2:$C$1000,"khp_titration_mL"))))</f>
        <v/>
      </c>
      <c r="L628" s="25">
        <f>IF($A628="","",IF($C628&lt;&gt;"manual_titration_mL","",IFERROR(INDEX('3_可滴定酸度'!$E$6:$E$13,MATCH($I628,'3_可滴定酸度'!$B$6:$B$13,0)),"")))</f>
        <v/>
      </c>
      <c r="M628" s="25">
        <f>IF($A628="","",IF($C628&lt;&gt;"manual_titration_mL","",IFERROR(INDEX('3_可滴定酸度'!$F$6:$F$13,MATCH($I628,'3_可滴定酸度'!$B$6:$B$13,0)),"")))</f>
        <v/>
      </c>
      <c r="N628" s="24">
        <f>IF($A628="","",IF(OR(K628="",L628="",M628=""),"",K628*E628*L628/(M628*1000)*100))</f>
        <v/>
      </c>
      <c r="O628" s="24">
        <f>IF($A628="","",IF(N628="","",IF(COUNTIFS('1_原始數據'!$A$2:$A$1000,$A628,'1_原始數據'!$B$2:$B$1000,$B628,'1_原始數據'!$D$2:$D$1000,$D628,'1_原始數據'!$I$2:$I$1000,$I628,'1_原始數據'!$C$2:$C$1000,"pasco_pct_acid")=0,"",SUMIFS('1_原始數據'!$E$2:$E$1000,'1_原始數據'!$A$2:$A$1000,$A628,'1_原始數據'!$B$2:$B$1000,$B628,'1_原始數據'!$D$2:$D$1000,$D628,'1_原始數據'!$I$2:$I$1000,$I628,'1_原始數據'!$C$2:$C$1000,"pasco_pct_acid"))))</f>
        <v/>
      </c>
      <c r="P628" s="26">
        <f>IF($A628="","",IF(OR(N628="",O628=""),"",O628-N628))</f>
        <v/>
      </c>
      <c r="Q628" s="24">
        <f>IF($A628="","",IF(P628="","",(O628+N628)/2))</f>
        <v/>
      </c>
      <c r="R628" s="27">
        <f>IF($A628="","",IF(P628="","",COUNT($P$2:P628)))</f>
        <v/>
      </c>
    </row>
    <row r="629">
      <c r="J629" s="24">
        <f>IF($A629="","",IF($C629&lt;&gt;"khp_titration_mL","",IF(COUNTIFS('1_原始數據'!$A$2:$A$1000,$A629,'1_原始數據'!$B$2:$B$1000,$B629,'1_原始數據'!$D$2:$D$1000,$D629,'1_原始數據'!$C$2:$C$1000,"khp_mass_g")=0,"",SUMIFS('1_原始數據'!$E$2:$E$1000,'1_原始數據'!$A$2:$A$1000,$A629,'1_原始數據'!$B$2:$B$1000,$B629,'1_原始數據'!$D$2:$D$1000,$D629,'1_原始數據'!$C$2:$C$1000,"khp_mass_g")/('2_NaOH標定'!$C$5*$E629/1000))))</f>
        <v/>
      </c>
      <c r="K629" s="24">
        <f>IF($A629="","",IF($C629&lt;&gt;"manual_titration_mL","",IF(COUNTIFS('1_原始數據'!$A$2:$A$1000,$A629,'1_原始數據'!$C$2:$C$1000,"khp_titration_mL")=0,"",AVERAGEIFS('1_原始數據'!$J$2:$J$1000,'1_原始數據'!$A$2:$A$1000,$A629,'1_原始數據'!$C$2:$C$1000,"khp_titration_mL"))))</f>
        <v/>
      </c>
      <c r="L629" s="25">
        <f>IF($A629="","",IF($C629&lt;&gt;"manual_titration_mL","",IFERROR(INDEX('3_可滴定酸度'!$E$6:$E$13,MATCH($I629,'3_可滴定酸度'!$B$6:$B$13,0)),"")))</f>
        <v/>
      </c>
      <c r="M629" s="25">
        <f>IF($A629="","",IF($C629&lt;&gt;"manual_titration_mL","",IFERROR(INDEX('3_可滴定酸度'!$F$6:$F$13,MATCH($I629,'3_可滴定酸度'!$B$6:$B$13,0)),"")))</f>
        <v/>
      </c>
      <c r="N629" s="24">
        <f>IF($A629="","",IF(OR(K629="",L629="",M629=""),"",K629*E629*L629/(M629*1000)*100))</f>
        <v/>
      </c>
      <c r="O629" s="24">
        <f>IF($A629="","",IF(N629="","",IF(COUNTIFS('1_原始數據'!$A$2:$A$1000,$A629,'1_原始數據'!$B$2:$B$1000,$B629,'1_原始數據'!$D$2:$D$1000,$D629,'1_原始數據'!$I$2:$I$1000,$I629,'1_原始數據'!$C$2:$C$1000,"pasco_pct_acid")=0,"",SUMIFS('1_原始數據'!$E$2:$E$1000,'1_原始數據'!$A$2:$A$1000,$A629,'1_原始數據'!$B$2:$B$1000,$B629,'1_原始數據'!$D$2:$D$1000,$D629,'1_原始數據'!$I$2:$I$1000,$I629,'1_原始數據'!$C$2:$C$1000,"pasco_pct_acid"))))</f>
        <v/>
      </c>
      <c r="P629" s="26">
        <f>IF($A629="","",IF(OR(N629="",O629=""),"",O629-N629))</f>
        <v/>
      </c>
      <c r="Q629" s="24">
        <f>IF($A629="","",IF(P629="","",(O629+N629)/2))</f>
        <v/>
      </c>
      <c r="R629" s="27">
        <f>IF($A629="","",IF(P629="","",COUNT($P$2:P629)))</f>
        <v/>
      </c>
    </row>
    <row r="630">
      <c r="J630" s="24">
        <f>IF($A630="","",IF($C630&lt;&gt;"khp_titration_mL","",IF(COUNTIFS('1_原始數據'!$A$2:$A$1000,$A630,'1_原始數據'!$B$2:$B$1000,$B630,'1_原始數據'!$D$2:$D$1000,$D630,'1_原始數據'!$C$2:$C$1000,"khp_mass_g")=0,"",SUMIFS('1_原始數據'!$E$2:$E$1000,'1_原始數據'!$A$2:$A$1000,$A630,'1_原始數據'!$B$2:$B$1000,$B630,'1_原始數據'!$D$2:$D$1000,$D630,'1_原始數據'!$C$2:$C$1000,"khp_mass_g")/('2_NaOH標定'!$C$5*$E630/1000))))</f>
        <v/>
      </c>
      <c r="K630" s="24">
        <f>IF($A630="","",IF($C630&lt;&gt;"manual_titration_mL","",IF(COUNTIFS('1_原始數據'!$A$2:$A$1000,$A630,'1_原始數據'!$C$2:$C$1000,"khp_titration_mL")=0,"",AVERAGEIFS('1_原始數據'!$J$2:$J$1000,'1_原始數據'!$A$2:$A$1000,$A630,'1_原始數據'!$C$2:$C$1000,"khp_titration_mL"))))</f>
        <v/>
      </c>
      <c r="L630" s="25">
        <f>IF($A630="","",IF($C630&lt;&gt;"manual_titration_mL","",IFERROR(INDEX('3_可滴定酸度'!$E$6:$E$13,MATCH($I630,'3_可滴定酸度'!$B$6:$B$13,0)),"")))</f>
        <v/>
      </c>
      <c r="M630" s="25">
        <f>IF($A630="","",IF($C630&lt;&gt;"manual_titration_mL","",IFERROR(INDEX('3_可滴定酸度'!$F$6:$F$13,MATCH($I630,'3_可滴定酸度'!$B$6:$B$13,0)),"")))</f>
        <v/>
      </c>
      <c r="N630" s="24">
        <f>IF($A630="","",IF(OR(K630="",L630="",M630=""),"",K630*E630*L630/(M630*1000)*100))</f>
        <v/>
      </c>
      <c r="O630" s="24">
        <f>IF($A630="","",IF(N630="","",IF(COUNTIFS('1_原始數據'!$A$2:$A$1000,$A630,'1_原始數據'!$B$2:$B$1000,$B630,'1_原始數據'!$D$2:$D$1000,$D630,'1_原始數據'!$I$2:$I$1000,$I630,'1_原始數據'!$C$2:$C$1000,"pasco_pct_acid")=0,"",SUMIFS('1_原始數據'!$E$2:$E$1000,'1_原始數據'!$A$2:$A$1000,$A630,'1_原始數據'!$B$2:$B$1000,$B630,'1_原始數據'!$D$2:$D$1000,$D630,'1_原始數據'!$I$2:$I$1000,$I630,'1_原始數據'!$C$2:$C$1000,"pasco_pct_acid"))))</f>
        <v/>
      </c>
      <c r="P630" s="26">
        <f>IF($A630="","",IF(OR(N630="",O630=""),"",O630-N630))</f>
        <v/>
      </c>
      <c r="Q630" s="24">
        <f>IF($A630="","",IF(P630="","",(O630+N630)/2))</f>
        <v/>
      </c>
      <c r="R630" s="27">
        <f>IF($A630="","",IF(P630="","",COUNT($P$2:P630)))</f>
        <v/>
      </c>
    </row>
    <row r="631">
      <c r="J631" s="24">
        <f>IF($A631="","",IF($C631&lt;&gt;"khp_titration_mL","",IF(COUNTIFS('1_原始數據'!$A$2:$A$1000,$A631,'1_原始數據'!$B$2:$B$1000,$B631,'1_原始數據'!$D$2:$D$1000,$D631,'1_原始數據'!$C$2:$C$1000,"khp_mass_g")=0,"",SUMIFS('1_原始數據'!$E$2:$E$1000,'1_原始數據'!$A$2:$A$1000,$A631,'1_原始數據'!$B$2:$B$1000,$B631,'1_原始數據'!$D$2:$D$1000,$D631,'1_原始數據'!$C$2:$C$1000,"khp_mass_g")/('2_NaOH標定'!$C$5*$E631/1000))))</f>
        <v/>
      </c>
      <c r="K631" s="24">
        <f>IF($A631="","",IF($C631&lt;&gt;"manual_titration_mL","",IF(COUNTIFS('1_原始數據'!$A$2:$A$1000,$A631,'1_原始數據'!$C$2:$C$1000,"khp_titration_mL")=0,"",AVERAGEIFS('1_原始數據'!$J$2:$J$1000,'1_原始數據'!$A$2:$A$1000,$A631,'1_原始數據'!$C$2:$C$1000,"khp_titration_mL"))))</f>
        <v/>
      </c>
      <c r="L631" s="25">
        <f>IF($A631="","",IF($C631&lt;&gt;"manual_titration_mL","",IFERROR(INDEX('3_可滴定酸度'!$E$6:$E$13,MATCH($I631,'3_可滴定酸度'!$B$6:$B$13,0)),"")))</f>
        <v/>
      </c>
      <c r="M631" s="25">
        <f>IF($A631="","",IF($C631&lt;&gt;"manual_titration_mL","",IFERROR(INDEX('3_可滴定酸度'!$F$6:$F$13,MATCH($I631,'3_可滴定酸度'!$B$6:$B$13,0)),"")))</f>
        <v/>
      </c>
      <c r="N631" s="24">
        <f>IF($A631="","",IF(OR(K631="",L631="",M631=""),"",K631*E631*L631/(M631*1000)*100))</f>
        <v/>
      </c>
      <c r="O631" s="24">
        <f>IF($A631="","",IF(N631="","",IF(COUNTIFS('1_原始數據'!$A$2:$A$1000,$A631,'1_原始數據'!$B$2:$B$1000,$B631,'1_原始數據'!$D$2:$D$1000,$D631,'1_原始數據'!$I$2:$I$1000,$I631,'1_原始數據'!$C$2:$C$1000,"pasco_pct_acid")=0,"",SUMIFS('1_原始數據'!$E$2:$E$1000,'1_原始數據'!$A$2:$A$1000,$A631,'1_原始數據'!$B$2:$B$1000,$B631,'1_原始數據'!$D$2:$D$1000,$D631,'1_原始數據'!$I$2:$I$1000,$I631,'1_原始數據'!$C$2:$C$1000,"pasco_pct_acid"))))</f>
        <v/>
      </c>
      <c r="P631" s="26">
        <f>IF($A631="","",IF(OR(N631="",O631=""),"",O631-N631))</f>
        <v/>
      </c>
      <c r="Q631" s="24">
        <f>IF($A631="","",IF(P631="","",(O631+N631)/2))</f>
        <v/>
      </c>
      <c r="R631" s="27">
        <f>IF($A631="","",IF(P631="","",COUNT($P$2:P631)))</f>
        <v/>
      </c>
    </row>
    <row r="632">
      <c r="J632" s="24">
        <f>IF($A632="","",IF($C632&lt;&gt;"khp_titration_mL","",IF(COUNTIFS('1_原始數據'!$A$2:$A$1000,$A632,'1_原始數據'!$B$2:$B$1000,$B632,'1_原始數據'!$D$2:$D$1000,$D632,'1_原始數據'!$C$2:$C$1000,"khp_mass_g")=0,"",SUMIFS('1_原始數據'!$E$2:$E$1000,'1_原始數據'!$A$2:$A$1000,$A632,'1_原始數據'!$B$2:$B$1000,$B632,'1_原始數據'!$D$2:$D$1000,$D632,'1_原始數據'!$C$2:$C$1000,"khp_mass_g")/('2_NaOH標定'!$C$5*$E632/1000))))</f>
        <v/>
      </c>
      <c r="K632" s="24">
        <f>IF($A632="","",IF($C632&lt;&gt;"manual_titration_mL","",IF(COUNTIFS('1_原始數據'!$A$2:$A$1000,$A632,'1_原始數據'!$C$2:$C$1000,"khp_titration_mL")=0,"",AVERAGEIFS('1_原始數據'!$J$2:$J$1000,'1_原始數據'!$A$2:$A$1000,$A632,'1_原始數據'!$C$2:$C$1000,"khp_titration_mL"))))</f>
        <v/>
      </c>
      <c r="L632" s="25">
        <f>IF($A632="","",IF($C632&lt;&gt;"manual_titration_mL","",IFERROR(INDEX('3_可滴定酸度'!$E$6:$E$13,MATCH($I632,'3_可滴定酸度'!$B$6:$B$13,0)),"")))</f>
        <v/>
      </c>
      <c r="M632" s="25">
        <f>IF($A632="","",IF($C632&lt;&gt;"manual_titration_mL","",IFERROR(INDEX('3_可滴定酸度'!$F$6:$F$13,MATCH($I632,'3_可滴定酸度'!$B$6:$B$13,0)),"")))</f>
        <v/>
      </c>
      <c r="N632" s="24">
        <f>IF($A632="","",IF(OR(K632="",L632="",M632=""),"",K632*E632*L632/(M632*1000)*100))</f>
        <v/>
      </c>
      <c r="O632" s="24">
        <f>IF($A632="","",IF(N632="","",IF(COUNTIFS('1_原始數據'!$A$2:$A$1000,$A632,'1_原始數據'!$B$2:$B$1000,$B632,'1_原始數據'!$D$2:$D$1000,$D632,'1_原始數據'!$I$2:$I$1000,$I632,'1_原始數據'!$C$2:$C$1000,"pasco_pct_acid")=0,"",SUMIFS('1_原始數據'!$E$2:$E$1000,'1_原始數據'!$A$2:$A$1000,$A632,'1_原始數據'!$B$2:$B$1000,$B632,'1_原始數據'!$D$2:$D$1000,$D632,'1_原始數據'!$I$2:$I$1000,$I632,'1_原始數據'!$C$2:$C$1000,"pasco_pct_acid"))))</f>
        <v/>
      </c>
      <c r="P632" s="26">
        <f>IF($A632="","",IF(OR(N632="",O632=""),"",O632-N632))</f>
        <v/>
      </c>
      <c r="Q632" s="24">
        <f>IF($A632="","",IF(P632="","",(O632+N632)/2))</f>
        <v/>
      </c>
      <c r="R632" s="27">
        <f>IF($A632="","",IF(P632="","",COUNT($P$2:P632)))</f>
        <v/>
      </c>
    </row>
    <row r="633">
      <c r="J633" s="24">
        <f>IF($A633="","",IF($C633&lt;&gt;"khp_titration_mL","",IF(COUNTIFS('1_原始數據'!$A$2:$A$1000,$A633,'1_原始數據'!$B$2:$B$1000,$B633,'1_原始數據'!$D$2:$D$1000,$D633,'1_原始數據'!$C$2:$C$1000,"khp_mass_g")=0,"",SUMIFS('1_原始數據'!$E$2:$E$1000,'1_原始數據'!$A$2:$A$1000,$A633,'1_原始數據'!$B$2:$B$1000,$B633,'1_原始數據'!$D$2:$D$1000,$D633,'1_原始數據'!$C$2:$C$1000,"khp_mass_g")/('2_NaOH標定'!$C$5*$E633/1000))))</f>
        <v/>
      </c>
      <c r="K633" s="24">
        <f>IF($A633="","",IF($C633&lt;&gt;"manual_titration_mL","",IF(COUNTIFS('1_原始數據'!$A$2:$A$1000,$A633,'1_原始數據'!$C$2:$C$1000,"khp_titration_mL")=0,"",AVERAGEIFS('1_原始數據'!$J$2:$J$1000,'1_原始數據'!$A$2:$A$1000,$A633,'1_原始數據'!$C$2:$C$1000,"khp_titration_mL"))))</f>
        <v/>
      </c>
      <c r="L633" s="25">
        <f>IF($A633="","",IF($C633&lt;&gt;"manual_titration_mL","",IFERROR(INDEX('3_可滴定酸度'!$E$6:$E$13,MATCH($I633,'3_可滴定酸度'!$B$6:$B$13,0)),"")))</f>
        <v/>
      </c>
      <c r="M633" s="25">
        <f>IF($A633="","",IF($C633&lt;&gt;"manual_titration_mL","",IFERROR(INDEX('3_可滴定酸度'!$F$6:$F$13,MATCH($I633,'3_可滴定酸度'!$B$6:$B$13,0)),"")))</f>
        <v/>
      </c>
      <c r="N633" s="24">
        <f>IF($A633="","",IF(OR(K633="",L633="",M633=""),"",K633*E633*L633/(M633*1000)*100))</f>
        <v/>
      </c>
      <c r="O633" s="24">
        <f>IF($A633="","",IF(N633="","",IF(COUNTIFS('1_原始數據'!$A$2:$A$1000,$A633,'1_原始數據'!$B$2:$B$1000,$B633,'1_原始數據'!$D$2:$D$1000,$D633,'1_原始數據'!$I$2:$I$1000,$I633,'1_原始數據'!$C$2:$C$1000,"pasco_pct_acid")=0,"",SUMIFS('1_原始數據'!$E$2:$E$1000,'1_原始數據'!$A$2:$A$1000,$A633,'1_原始數據'!$B$2:$B$1000,$B633,'1_原始數據'!$D$2:$D$1000,$D633,'1_原始數據'!$I$2:$I$1000,$I633,'1_原始數據'!$C$2:$C$1000,"pasco_pct_acid"))))</f>
        <v/>
      </c>
      <c r="P633" s="26">
        <f>IF($A633="","",IF(OR(N633="",O633=""),"",O633-N633))</f>
        <v/>
      </c>
      <c r="Q633" s="24">
        <f>IF($A633="","",IF(P633="","",(O633+N633)/2))</f>
        <v/>
      </c>
      <c r="R633" s="27">
        <f>IF($A633="","",IF(P633="","",COUNT($P$2:P633)))</f>
        <v/>
      </c>
    </row>
    <row r="634">
      <c r="J634" s="24">
        <f>IF($A634="","",IF($C634&lt;&gt;"khp_titration_mL","",IF(COUNTIFS('1_原始數據'!$A$2:$A$1000,$A634,'1_原始數據'!$B$2:$B$1000,$B634,'1_原始數據'!$D$2:$D$1000,$D634,'1_原始數據'!$C$2:$C$1000,"khp_mass_g")=0,"",SUMIFS('1_原始數據'!$E$2:$E$1000,'1_原始數據'!$A$2:$A$1000,$A634,'1_原始數據'!$B$2:$B$1000,$B634,'1_原始數據'!$D$2:$D$1000,$D634,'1_原始數據'!$C$2:$C$1000,"khp_mass_g")/('2_NaOH標定'!$C$5*$E634/1000))))</f>
        <v/>
      </c>
      <c r="K634" s="24">
        <f>IF($A634="","",IF($C634&lt;&gt;"manual_titration_mL","",IF(COUNTIFS('1_原始數據'!$A$2:$A$1000,$A634,'1_原始數據'!$C$2:$C$1000,"khp_titration_mL")=0,"",AVERAGEIFS('1_原始數據'!$J$2:$J$1000,'1_原始數據'!$A$2:$A$1000,$A634,'1_原始數據'!$C$2:$C$1000,"khp_titration_mL"))))</f>
        <v/>
      </c>
      <c r="L634" s="25">
        <f>IF($A634="","",IF($C634&lt;&gt;"manual_titration_mL","",IFERROR(INDEX('3_可滴定酸度'!$E$6:$E$13,MATCH($I634,'3_可滴定酸度'!$B$6:$B$13,0)),"")))</f>
        <v/>
      </c>
      <c r="M634" s="25">
        <f>IF($A634="","",IF($C634&lt;&gt;"manual_titration_mL","",IFERROR(INDEX('3_可滴定酸度'!$F$6:$F$13,MATCH($I634,'3_可滴定酸度'!$B$6:$B$13,0)),"")))</f>
        <v/>
      </c>
      <c r="N634" s="24">
        <f>IF($A634="","",IF(OR(K634="",L634="",M634=""),"",K634*E634*L634/(M634*1000)*100))</f>
        <v/>
      </c>
      <c r="O634" s="24">
        <f>IF($A634="","",IF(N634="","",IF(COUNTIFS('1_原始數據'!$A$2:$A$1000,$A634,'1_原始數據'!$B$2:$B$1000,$B634,'1_原始數據'!$D$2:$D$1000,$D634,'1_原始數據'!$I$2:$I$1000,$I634,'1_原始數據'!$C$2:$C$1000,"pasco_pct_acid")=0,"",SUMIFS('1_原始數據'!$E$2:$E$1000,'1_原始數據'!$A$2:$A$1000,$A634,'1_原始數據'!$B$2:$B$1000,$B634,'1_原始數據'!$D$2:$D$1000,$D634,'1_原始數據'!$I$2:$I$1000,$I634,'1_原始數據'!$C$2:$C$1000,"pasco_pct_acid"))))</f>
        <v/>
      </c>
      <c r="P634" s="26">
        <f>IF($A634="","",IF(OR(N634="",O634=""),"",O634-N634))</f>
        <v/>
      </c>
      <c r="Q634" s="24">
        <f>IF($A634="","",IF(P634="","",(O634+N634)/2))</f>
        <v/>
      </c>
      <c r="R634" s="27">
        <f>IF($A634="","",IF(P634="","",COUNT($P$2:P634)))</f>
        <v/>
      </c>
    </row>
    <row r="635">
      <c r="J635" s="24">
        <f>IF($A635="","",IF($C635&lt;&gt;"khp_titration_mL","",IF(COUNTIFS('1_原始數據'!$A$2:$A$1000,$A635,'1_原始數據'!$B$2:$B$1000,$B635,'1_原始數據'!$D$2:$D$1000,$D635,'1_原始數據'!$C$2:$C$1000,"khp_mass_g")=0,"",SUMIFS('1_原始數據'!$E$2:$E$1000,'1_原始數據'!$A$2:$A$1000,$A635,'1_原始數據'!$B$2:$B$1000,$B635,'1_原始數據'!$D$2:$D$1000,$D635,'1_原始數據'!$C$2:$C$1000,"khp_mass_g")/('2_NaOH標定'!$C$5*$E635/1000))))</f>
        <v/>
      </c>
      <c r="K635" s="24">
        <f>IF($A635="","",IF($C635&lt;&gt;"manual_titration_mL","",IF(COUNTIFS('1_原始數據'!$A$2:$A$1000,$A635,'1_原始數據'!$C$2:$C$1000,"khp_titration_mL")=0,"",AVERAGEIFS('1_原始數據'!$J$2:$J$1000,'1_原始數據'!$A$2:$A$1000,$A635,'1_原始數據'!$C$2:$C$1000,"khp_titration_mL"))))</f>
        <v/>
      </c>
      <c r="L635" s="25">
        <f>IF($A635="","",IF($C635&lt;&gt;"manual_titration_mL","",IFERROR(INDEX('3_可滴定酸度'!$E$6:$E$13,MATCH($I635,'3_可滴定酸度'!$B$6:$B$13,0)),"")))</f>
        <v/>
      </c>
      <c r="M635" s="25">
        <f>IF($A635="","",IF($C635&lt;&gt;"manual_titration_mL","",IFERROR(INDEX('3_可滴定酸度'!$F$6:$F$13,MATCH($I635,'3_可滴定酸度'!$B$6:$B$13,0)),"")))</f>
        <v/>
      </c>
      <c r="N635" s="24">
        <f>IF($A635="","",IF(OR(K635="",L635="",M635=""),"",K635*E635*L635/(M635*1000)*100))</f>
        <v/>
      </c>
      <c r="O635" s="24">
        <f>IF($A635="","",IF(N635="","",IF(COUNTIFS('1_原始數據'!$A$2:$A$1000,$A635,'1_原始數據'!$B$2:$B$1000,$B635,'1_原始數據'!$D$2:$D$1000,$D635,'1_原始數據'!$I$2:$I$1000,$I635,'1_原始數據'!$C$2:$C$1000,"pasco_pct_acid")=0,"",SUMIFS('1_原始數據'!$E$2:$E$1000,'1_原始數據'!$A$2:$A$1000,$A635,'1_原始數據'!$B$2:$B$1000,$B635,'1_原始數據'!$D$2:$D$1000,$D635,'1_原始數據'!$I$2:$I$1000,$I635,'1_原始數據'!$C$2:$C$1000,"pasco_pct_acid"))))</f>
        <v/>
      </c>
      <c r="P635" s="26">
        <f>IF($A635="","",IF(OR(N635="",O635=""),"",O635-N635))</f>
        <v/>
      </c>
      <c r="Q635" s="24">
        <f>IF($A635="","",IF(P635="","",(O635+N635)/2))</f>
        <v/>
      </c>
      <c r="R635" s="27">
        <f>IF($A635="","",IF(P635="","",COUNT($P$2:P635)))</f>
        <v/>
      </c>
    </row>
    <row r="636">
      <c r="J636" s="24">
        <f>IF($A636="","",IF($C636&lt;&gt;"khp_titration_mL","",IF(COUNTIFS('1_原始數據'!$A$2:$A$1000,$A636,'1_原始數據'!$B$2:$B$1000,$B636,'1_原始數據'!$D$2:$D$1000,$D636,'1_原始數據'!$C$2:$C$1000,"khp_mass_g")=0,"",SUMIFS('1_原始數據'!$E$2:$E$1000,'1_原始數據'!$A$2:$A$1000,$A636,'1_原始數據'!$B$2:$B$1000,$B636,'1_原始數據'!$D$2:$D$1000,$D636,'1_原始數據'!$C$2:$C$1000,"khp_mass_g")/('2_NaOH標定'!$C$5*$E636/1000))))</f>
        <v/>
      </c>
      <c r="K636" s="24">
        <f>IF($A636="","",IF($C636&lt;&gt;"manual_titration_mL","",IF(COUNTIFS('1_原始數據'!$A$2:$A$1000,$A636,'1_原始數據'!$C$2:$C$1000,"khp_titration_mL")=0,"",AVERAGEIFS('1_原始數據'!$J$2:$J$1000,'1_原始數據'!$A$2:$A$1000,$A636,'1_原始數據'!$C$2:$C$1000,"khp_titration_mL"))))</f>
        <v/>
      </c>
      <c r="L636" s="25">
        <f>IF($A636="","",IF($C636&lt;&gt;"manual_titration_mL","",IFERROR(INDEX('3_可滴定酸度'!$E$6:$E$13,MATCH($I636,'3_可滴定酸度'!$B$6:$B$13,0)),"")))</f>
        <v/>
      </c>
      <c r="M636" s="25">
        <f>IF($A636="","",IF($C636&lt;&gt;"manual_titration_mL","",IFERROR(INDEX('3_可滴定酸度'!$F$6:$F$13,MATCH($I636,'3_可滴定酸度'!$B$6:$B$13,0)),"")))</f>
        <v/>
      </c>
      <c r="N636" s="24">
        <f>IF($A636="","",IF(OR(K636="",L636="",M636=""),"",K636*E636*L636/(M636*1000)*100))</f>
        <v/>
      </c>
      <c r="O636" s="24">
        <f>IF($A636="","",IF(N636="","",IF(COUNTIFS('1_原始數據'!$A$2:$A$1000,$A636,'1_原始數據'!$B$2:$B$1000,$B636,'1_原始數據'!$D$2:$D$1000,$D636,'1_原始數據'!$I$2:$I$1000,$I636,'1_原始數據'!$C$2:$C$1000,"pasco_pct_acid")=0,"",SUMIFS('1_原始數據'!$E$2:$E$1000,'1_原始數據'!$A$2:$A$1000,$A636,'1_原始數據'!$B$2:$B$1000,$B636,'1_原始數據'!$D$2:$D$1000,$D636,'1_原始數據'!$I$2:$I$1000,$I636,'1_原始數據'!$C$2:$C$1000,"pasco_pct_acid"))))</f>
        <v/>
      </c>
      <c r="P636" s="26">
        <f>IF($A636="","",IF(OR(N636="",O636=""),"",O636-N636))</f>
        <v/>
      </c>
      <c r="Q636" s="24">
        <f>IF($A636="","",IF(P636="","",(O636+N636)/2))</f>
        <v/>
      </c>
      <c r="R636" s="27">
        <f>IF($A636="","",IF(P636="","",COUNT($P$2:P636)))</f>
        <v/>
      </c>
    </row>
    <row r="637">
      <c r="J637" s="24">
        <f>IF($A637="","",IF($C637&lt;&gt;"khp_titration_mL","",IF(COUNTIFS('1_原始數據'!$A$2:$A$1000,$A637,'1_原始數據'!$B$2:$B$1000,$B637,'1_原始數據'!$D$2:$D$1000,$D637,'1_原始數據'!$C$2:$C$1000,"khp_mass_g")=0,"",SUMIFS('1_原始數據'!$E$2:$E$1000,'1_原始數據'!$A$2:$A$1000,$A637,'1_原始數據'!$B$2:$B$1000,$B637,'1_原始數據'!$D$2:$D$1000,$D637,'1_原始數據'!$C$2:$C$1000,"khp_mass_g")/('2_NaOH標定'!$C$5*$E637/1000))))</f>
        <v/>
      </c>
      <c r="K637" s="24">
        <f>IF($A637="","",IF($C637&lt;&gt;"manual_titration_mL","",IF(COUNTIFS('1_原始數據'!$A$2:$A$1000,$A637,'1_原始數據'!$C$2:$C$1000,"khp_titration_mL")=0,"",AVERAGEIFS('1_原始數據'!$J$2:$J$1000,'1_原始數據'!$A$2:$A$1000,$A637,'1_原始數據'!$C$2:$C$1000,"khp_titration_mL"))))</f>
        <v/>
      </c>
      <c r="L637" s="25">
        <f>IF($A637="","",IF($C637&lt;&gt;"manual_titration_mL","",IFERROR(INDEX('3_可滴定酸度'!$E$6:$E$13,MATCH($I637,'3_可滴定酸度'!$B$6:$B$13,0)),"")))</f>
        <v/>
      </c>
      <c r="M637" s="25">
        <f>IF($A637="","",IF($C637&lt;&gt;"manual_titration_mL","",IFERROR(INDEX('3_可滴定酸度'!$F$6:$F$13,MATCH($I637,'3_可滴定酸度'!$B$6:$B$13,0)),"")))</f>
        <v/>
      </c>
      <c r="N637" s="24">
        <f>IF($A637="","",IF(OR(K637="",L637="",M637=""),"",K637*E637*L637/(M637*1000)*100))</f>
        <v/>
      </c>
      <c r="O637" s="24">
        <f>IF($A637="","",IF(N637="","",IF(COUNTIFS('1_原始數據'!$A$2:$A$1000,$A637,'1_原始數據'!$B$2:$B$1000,$B637,'1_原始數據'!$D$2:$D$1000,$D637,'1_原始數據'!$I$2:$I$1000,$I637,'1_原始數據'!$C$2:$C$1000,"pasco_pct_acid")=0,"",SUMIFS('1_原始數據'!$E$2:$E$1000,'1_原始數據'!$A$2:$A$1000,$A637,'1_原始數據'!$B$2:$B$1000,$B637,'1_原始數據'!$D$2:$D$1000,$D637,'1_原始數據'!$I$2:$I$1000,$I637,'1_原始數據'!$C$2:$C$1000,"pasco_pct_acid"))))</f>
        <v/>
      </c>
      <c r="P637" s="26">
        <f>IF($A637="","",IF(OR(N637="",O637=""),"",O637-N637))</f>
        <v/>
      </c>
      <c r="Q637" s="24">
        <f>IF($A637="","",IF(P637="","",(O637+N637)/2))</f>
        <v/>
      </c>
      <c r="R637" s="27">
        <f>IF($A637="","",IF(P637="","",COUNT($P$2:P637)))</f>
        <v/>
      </c>
    </row>
    <row r="638">
      <c r="J638" s="24">
        <f>IF($A638="","",IF($C638&lt;&gt;"khp_titration_mL","",IF(COUNTIFS('1_原始數據'!$A$2:$A$1000,$A638,'1_原始數據'!$B$2:$B$1000,$B638,'1_原始數據'!$D$2:$D$1000,$D638,'1_原始數據'!$C$2:$C$1000,"khp_mass_g")=0,"",SUMIFS('1_原始數據'!$E$2:$E$1000,'1_原始數據'!$A$2:$A$1000,$A638,'1_原始數據'!$B$2:$B$1000,$B638,'1_原始數據'!$D$2:$D$1000,$D638,'1_原始數據'!$C$2:$C$1000,"khp_mass_g")/('2_NaOH標定'!$C$5*$E638/1000))))</f>
        <v/>
      </c>
      <c r="K638" s="24">
        <f>IF($A638="","",IF($C638&lt;&gt;"manual_titration_mL","",IF(COUNTIFS('1_原始數據'!$A$2:$A$1000,$A638,'1_原始數據'!$C$2:$C$1000,"khp_titration_mL")=0,"",AVERAGEIFS('1_原始數據'!$J$2:$J$1000,'1_原始數據'!$A$2:$A$1000,$A638,'1_原始數據'!$C$2:$C$1000,"khp_titration_mL"))))</f>
        <v/>
      </c>
      <c r="L638" s="25">
        <f>IF($A638="","",IF($C638&lt;&gt;"manual_titration_mL","",IFERROR(INDEX('3_可滴定酸度'!$E$6:$E$13,MATCH($I638,'3_可滴定酸度'!$B$6:$B$13,0)),"")))</f>
        <v/>
      </c>
      <c r="M638" s="25">
        <f>IF($A638="","",IF($C638&lt;&gt;"manual_titration_mL","",IFERROR(INDEX('3_可滴定酸度'!$F$6:$F$13,MATCH($I638,'3_可滴定酸度'!$B$6:$B$13,0)),"")))</f>
        <v/>
      </c>
      <c r="N638" s="24">
        <f>IF($A638="","",IF(OR(K638="",L638="",M638=""),"",K638*E638*L638/(M638*1000)*100))</f>
        <v/>
      </c>
      <c r="O638" s="24">
        <f>IF($A638="","",IF(N638="","",IF(COUNTIFS('1_原始數據'!$A$2:$A$1000,$A638,'1_原始數據'!$B$2:$B$1000,$B638,'1_原始數據'!$D$2:$D$1000,$D638,'1_原始數據'!$I$2:$I$1000,$I638,'1_原始數據'!$C$2:$C$1000,"pasco_pct_acid")=0,"",SUMIFS('1_原始數據'!$E$2:$E$1000,'1_原始數據'!$A$2:$A$1000,$A638,'1_原始數據'!$B$2:$B$1000,$B638,'1_原始數據'!$D$2:$D$1000,$D638,'1_原始數據'!$I$2:$I$1000,$I638,'1_原始數據'!$C$2:$C$1000,"pasco_pct_acid"))))</f>
        <v/>
      </c>
      <c r="P638" s="26">
        <f>IF($A638="","",IF(OR(N638="",O638=""),"",O638-N638))</f>
        <v/>
      </c>
      <c r="Q638" s="24">
        <f>IF($A638="","",IF(P638="","",(O638+N638)/2))</f>
        <v/>
      </c>
      <c r="R638" s="27">
        <f>IF($A638="","",IF(P638="","",COUNT($P$2:P638)))</f>
        <v/>
      </c>
    </row>
    <row r="639">
      <c r="J639" s="24">
        <f>IF($A639="","",IF($C639&lt;&gt;"khp_titration_mL","",IF(COUNTIFS('1_原始數據'!$A$2:$A$1000,$A639,'1_原始數據'!$B$2:$B$1000,$B639,'1_原始數據'!$D$2:$D$1000,$D639,'1_原始數據'!$C$2:$C$1000,"khp_mass_g")=0,"",SUMIFS('1_原始數據'!$E$2:$E$1000,'1_原始數據'!$A$2:$A$1000,$A639,'1_原始數據'!$B$2:$B$1000,$B639,'1_原始數據'!$D$2:$D$1000,$D639,'1_原始數據'!$C$2:$C$1000,"khp_mass_g")/('2_NaOH標定'!$C$5*$E639/1000))))</f>
        <v/>
      </c>
      <c r="K639" s="24">
        <f>IF($A639="","",IF($C639&lt;&gt;"manual_titration_mL","",IF(COUNTIFS('1_原始數據'!$A$2:$A$1000,$A639,'1_原始數據'!$C$2:$C$1000,"khp_titration_mL")=0,"",AVERAGEIFS('1_原始數據'!$J$2:$J$1000,'1_原始數據'!$A$2:$A$1000,$A639,'1_原始數據'!$C$2:$C$1000,"khp_titration_mL"))))</f>
        <v/>
      </c>
      <c r="L639" s="25">
        <f>IF($A639="","",IF($C639&lt;&gt;"manual_titration_mL","",IFERROR(INDEX('3_可滴定酸度'!$E$6:$E$13,MATCH($I639,'3_可滴定酸度'!$B$6:$B$13,0)),"")))</f>
        <v/>
      </c>
      <c r="M639" s="25">
        <f>IF($A639="","",IF($C639&lt;&gt;"manual_titration_mL","",IFERROR(INDEX('3_可滴定酸度'!$F$6:$F$13,MATCH($I639,'3_可滴定酸度'!$B$6:$B$13,0)),"")))</f>
        <v/>
      </c>
      <c r="N639" s="24">
        <f>IF($A639="","",IF(OR(K639="",L639="",M639=""),"",K639*E639*L639/(M639*1000)*100))</f>
        <v/>
      </c>
      <c r="O639" s="24">
        <f>IF($A639="","",IF(N639="","",IF(COUNTIFS('1_原始數據'!$A$2:$A$1000,$A639,'1_原始數據'!$B$2:$B$1000,$B639,'1_原始數據'!$D$2:$D$1000,$D639,'1_原始數據'!$I$2:$I$1000,$I639,'1_原始數據'!$C$2:$C$1000,"pasco_pct_acid")=0,"",SUMIFS('1_原始數據'!$E$2:$E$1000,'1_原始數據'!$A$2:$A$1000,$A639,'1_原始數據'!$B$2:$B$1000,$B639,'1_原始數據'!$D$2:$D$1000,$D639,'1_原始數據'!$I$2:$I$1000,$I639,'1_原始數據'!$C$2:$C$1000,"pasco_pct_acid"))))</f>
        <v/>
      </c>
      <c r="P639" s="26">
        <f>IF($A639="","",IF(OR(N639="",O639=""),"",O639-N639))</f>
        <v/>
      </c>
      <c r="Q639" s="24">
        <f>IF($A639="","",IF(P639="","",(O639+N639)/2))</f>
        <v/>
      </c>
      <c r="R639" s="27">
        <f>IF($A639="","",IF(P639="","",COUNT($P$2:P639)))</f>
        <v/>
      </c>
    </row>
    <row r="640">
      <c r="J640" s="24">
        <f>IF($A640="","",IF($C640&lt;&gt;"khp_titration_mL","",IF(COUNTIFS('1_原始數據'!$A$2:$A$1000,$A640,'1_原始數據'!$B$2:$B$1000,$B640,'1_原始數據'!$D$2:$D$1000,$D640,'1_原始數據'!$C$2:$C$1000,"khp_mass_g")=0,"",SUMIFS('1_原始數據'!$E$2:$E$1000,'1_原始數據'!$A$2:$A$1000,$A640,'1_原始數據'!$B$2:$B$1000,$B640,'1_原始數據'!$D$2:$D$1000,$D640,'1_原始數據'!$C$2:$C$1000,"khp_mass_g")/('2_NaOH標定'!$C$5*$E640/1000))))</f>
        <v/>
      </c>
      <c r="K640" s="24">
        <f>IF($A640="","",IF($C640&lt;&gt;"manual_titration_mL","",IF(COUNTIFS('1_原始數據'!$A$2:$A$1000,$A640,'1_原始數據'!$C$2:$C$1000,"khp_titration_mL")=0,"",AVERAGEIFS('1_原始數據'!$J$2:$J$1000,'1_原始數據'!$A$2:$A$1000,$A640,'1_原始數據'!$C$2:$C$1000,"khp_titration_mL"))))</f>
        <v/>
      </c>
      <c r="L640" s="25">
        <f>IF($A640="","",IF($C640&lt;&gt;"manual_titration_mL","",IFERROR(INDEX('3_可滴定酸度'!$E$6:$E$13,MATCH($I640,'3_可滴定酸度'!$B$6:$B$13,0)),"")))</f>
        <v/>
      </c>
      <c r="M640" s="25">
        <f>IF($A640="","",IF($C640&lt;&gt;"manual_titration_mL","",IFERROR(INDEX('3_可滴定酸度'!$F$6:$F$13,MATCH($I640,'3_可滴定酸度'!$B$6:$B$13,0)),"")))</f>
        <v/>
      </c>
      <c r="N640" s="24">
        <f>IF($A640="","",IF(OR(K640="",L640="",M640=""),"",K640*E640*L640/(M640*1000)*100))</f>
        <v/>
      </c>
      <c r="O640" s="24">
        <f>IF($A640="","",IF(N640="","",IF(COUNTIFS('1_原始數據'!$A$2:$A$1000,$A640,'1_原始數據'!$B$2:$B$1000,$B640,'1_原始數據'!$D$2:$D$1000,$D640,'1_原始數據'!$I$2:$I$1000,$I640,'1_原始數據'!$C$2:$C$1000,"pasco_pct_acid")=0,"",SUMIFS('1_原始數據'!$E$2:$E$1000,'1_原始數據'!$A$2:$A$1000,$A640,'1_原始數據'!$B$2:$B$1000,$B640,'1_原始數據'!$D$2:$D$1000,$D640,'1_原始數據'!$I$2:$I$1000,$I640,'1_原始數據'!$C$2:$C$1000,"pasco_pct_acid"))))</f>
        <v/>
      </c>
      <c r="P640" s="26">
        <f>IF($A640="","",IF(OR(N640="",O640=""),"",O640-N640))</f>
        <v/>
      </c>
      <c r="Q640" s="24">
        <f>IF($A640="","",IF(P640="","",(O640+N640)/2))</f>
        <v/>
      </c>
      <c r="R640" s="27">
        <f>IF($A640="","",IF(P640="","",COUNT($P$2:P640)))</f>
        <v/>
      </c>
    </row>
    <row r="641">
      <c r="J641" s="24">
        <f>IF($A641="","",IF($C641&lt;&gt;"khp_titration_mL","",IF(COUNTIFS('1_原始數據'!$A$2:$A$1000,$A641,'1_原始數據'!$B$2:$B$1000,$B641,'1_原始數據'!$D$2:$D$1000,$D641,'1_原始數據'!$C$2:$C$1000,"khp_mass_g")=0,"",SUMIFS('1_原始數據'!$E$2:$E$1000,'1_原始數據'!$A$2:$A$1000,$A641,'1_原始數據'!$B$2:$B$1000,$B641,'1_原始數據'!$D$2:$D$1000,$D641,'1_原始數據'!$C$2:$C$1000,"khp_mass_g")/('2_NaOH標定'!$C$5*$E641/1000))))</f>
        <v/>
      </c>
      <c r="K641" s="24">
        <f>IF($A641="","",IF($C641&lt;&gt;"manual_titration_mL","",IF(COUNTIFS('1_原始數據'!$A$2:$A$1000,$A641,'1_原始數據'!$C$2:$C$1000,"khp_titration_mL")=0,"",AVERAGEIFS('1_原始數據'!$J$2:$J$1000,'1_原始數據'!$A$2:$A$1000,$A641,'1_原始數據'!$C$2:$C$1000,"khp_titration_mL"))))</f>
        <v/>
      </c>
      <c r="L641" s="25">
        <f>IF($A641="","",IF($C641&lt;&gt;"manual_titration_mL","",IFERROR(INDEX('3_可滴定酸度'!$E$6:$E$13,MATCH($I641,'3_可滴定酸度'!$B$6:$B$13,0)),"")))</f>
        <v/>
      </c>
      <c r="M641" s="25">
        <f>IF($A641="","",IF($C641&lt;&gt;"manual_titration_mL","",IFERROR(INDEX('3_可滴定酸度'!$F$6:$F$13,MATCH($I641,'3_可滴定酸度'!$B$6:$B$13,0)),"")))</f>
        <v/>
      </c>
      <c r="N641" s="24">
        <f>IF($A641="","",IF(OR(K641="",L641="",M641=""),"",K641*E641*L641/(M641*1000)*100))</f>
        <v/>
      </c>
      <c r="O641" s="24">
        <f>IF($A641="","",IF(N641="","",IF(COUNTIFS('1_原始數據'!$A$2:$A$1000,$A641,'1_原始數據'!$B$2:$B$1000,$B641,'1_原始數據'!$D$2:$D$1000,$D641,'1_原始數據'!$I$2:$I$1000,$I641,'1_原始數據'!$C$2:$C$1000,"pasco_pct_acid")=0,"",SUMIFS('1_原始數據'!$E$2:$E$1000,'1_原始數據'!$A$2:$A$1000,$A641,'1_原始數據'!$B$2:$B$1000,$B641,'1_原始數據'!$D$2:$D$1000,$D641,'1_原始數據'!$I$2:$I$1000,$I641,'1_原始數據'!$C$2:$C$1000,"pasco_pct_acid"))))</f>
        <v/>
      </c>
      <c r="P641" s="26">
        <f>IF($A641="","",IF(OR(N641="",O641=""),"",O641-N641))</f>
        <v/>
      </c>
      <c r="Q641" s="24">
        <f>IF($A641="","",IF(P641="","",(O641+N641)/2))</f>
        <v/>
      </c>
      <c r="R641" s="27">
        <f>IF($A641="","",IF(P641="","",COUNT($P$2:P641)))</f>
        <v/>
      </c>
    </row>
    <row r="642">
      <c r="J642" s="24">
        <f>IF($A642="","",IF($C642&lt;&gt;"khp_titration_mL","",IF(COUNTIFS('1_原始數據'!$A$2:$A$1000,$A642,'1_原始數據'!$B$2:$B$1000,$B642,'1_原始數據'!$D$2:$D$1000,$D642,'1_原始數據'!$C$2:$C$1000,"khp_mass_g")=0,"",SUMIFS('1_原始數據'!$E$2:$E$1000,'1_原始數據'!$A$2:$A$1000,$A642,'1_原始數據'!$B$2:$B$1000,$B642,'1_原始數據'!$D$2:$D$1000,$D642,'1_原始數據'!$C$2:$C$1000,"khp_mass_g")/('2_NaOH標定'!$C$5*$E642/1000))))</f>
        <v/>
      </c>
      <c r="K642" s="24">
        <f>IF($A642="","",IF($C642&lt;&gt;"manual_titration_mL","",IF(COUNTIFS('1_原始數據'!$A$2:$A$1000,$A642,'1_原始數據'!$C$2:$C$1000,"khp_titration_mL")=0,"",AVERAGEIFS('1_原始數據'!$J$2:$J$1000,'1_原始數據'!$A$2:$A$1000,$A642,'1_原始數據'!$C$2:$C$1000,"khp_titration_mL"))))</f>
        <v/>
      </c>
      <c r="L642" s="25">
        <f>IF($A642="","",IF($C642&lt;&gt;"manual_titration_mL","",IFERROR(INDEX('3_可滴定酸度'!$E$6:$E$13,MATCH($I642,'3_可滴定酸度'!$B$6:$B$13,0)),"")))</f>
        <v/>
      </c>
      <c r="M642" s="25">
        <f>IF($A642="","",IF($C642&lt;&gt;"manual_titration_mL","",IFERROR(INDEX('3_可滴定酸度'!$F$6:$F$13,MATCH($I642,'3_可滴定酸度'!$B$6:$B$13,0)),"")))</f>
        <v/>
      </c>
      <c r="N642" s="24">
        <f>IF($A642="","",IF(OR(K642="",L642="",M642=""),"",K642*E642*L642/(M642*1000)*100))</f>
        <v/>
      </c>
      <c r="O642" s="24">
        <f>IF($A642="","",IF(N642="","",IF(COUNTIFS('1_原始數據'!$A$2:$A$1000,$A642,'1_原始數據'!$B$2:$B$1000,$B642,'1_原始數據'!$D$2:$D$1000,$D642,'1_原始數據'!$I$2:$I$1000,$I642,'1_原始數據'!$C$2:$C$1000,"pasco_pct_acid")=0,"",SUMIFS('1_原始數據'!$E$2:$E$1000,'1_原始數據'!$A$2:$A$1000,$A642,'1_原始數據'!$B$2:$B$1000,$B642,'1_原始數據'!$D$2:$D$1000,$D642,'1_原始數據'!$I$2:$I$1000,$I642,'1_原始數據'!$C$2:$C$1000,"pasco_pct_acid"))))</f>
        <v/>
      </c>
      <c r="P642" s="26">
        <f>IF($A642="","",IF(OR(N642="",O642=""),"",O642-N642))</f>
        <v/>
      </c>
      <c r="Q642" s="24">
        <f>IF($A642="","",IF(P642="","",(O642+N642)/2))</f>
        <v/>
      </c>
      <c r="R642" s="27">
        <f>IF($A642="","",IF(P642="","",COUNT($P$2:P642)))</f>
        <v/>
      </c>
    </row>
    <row r="643">
      <c r="J643" s="24">
        <f>IF($A643="","",IF($C643&lt;&gt;"khp_titration_mL","",IF(COUNTIFS('1_原始數據'!$A$2:$A$1000,$A643,'1_原始數據'!$B$2:$B$1000,$B643,'1_原始數據'!$D$2:$D$1000,$D643,'1_原始數據'!$C$2:$C$1000,"khp_mass_g")=0,"",SUMIFS('1_原始數據'!$E$2:$E$1000,'1_原始數據'!$A$2:$A$1000,$A643,'1_原始數據'!$B$2:$B$1000,$B643,'1_原始數據'!$D$2:$D$1000,$D643,'1_原始數據'!$C$2:$C$1000,"khp_mass_g")/('2_NaOH標定'!$C$5*$E643/1000))))</f>
        <v/>
      </c>
      <c r="K643" s="24">
        <f>IF($A643="","",IF($C643&lt;&gt;"manual_titration_mL","",IF(COUNTIFS('1_原始數據'!$A$2:$A$1000,$A643,'1_原始數據'!$C$2:$C$1000,"khp_titration_mL")=0,"",AVERAGEIFS('1_原始數據'!$J$2:$J$1000,'1_原始數據'!$A$2:$A$1000,$A643,'1_原始數據'!$C$2:$C$1000,"khp_titration_mL"))))</f>
        <v/>
      </c>
      <c r="L643" s="25">
        <f>IF($A643="","",IF($C643&lt;&gt;"manual_titration_mL","",IFERROR(INDEX('3_可滴定酸度'!$E$6:$E$13,MATCH($I643,'3_可滴定酸度'!$B$6:$B$13,0)),"")))</f>
        <v/>
      </c>
      <c r="M643" s="25">
        <f>IF($A643="","",IF($C643&lt;&gt;"manual_titration_mL","",IFERROR(INDEX('3_可滴定酸度'!$F$6:$F$13,MATCH($I643,'3_可滴定酸度'!$B$6:$B$13,0)),"")))</f>
        <v/>
      </c>
      <c r="N643" s="24">
        <f>IF($A643="","",IF(OR(K643="",L643="",M643=""),"",K643*E643*L643/(M643*1000)*100))</f>
        <v/>
      </c>
      <c r="O643" s="24">
        <f>IF($A643="","",IF(N643="","",IF(COUNTIFS('1_原始數據'!$A$2:$A$1000,$A643,'1_原始數據'!$B$2:$B$1000,$B643,'1_原始數據'!$D$2:$D$1000,$D643,'1_原始數據'!$I$2:$I$1000,$I643,'1_原始數據'!$C$2:$C$1000,"pasco_pct_acid")=0,"",SUMIFS('1_原始數據'!$E$2:$E$1000,'1_原始數據'!$A$2:$A$1000,$A643,'1_原始數據'!$B$2:$B$1000,$B643,'1_原始數據'!$D$2:$D$1000,$D643,'1_原始數據'!$I$2:$I$1000,$I643,'1_原始數據'!$C$2:$C$1000,"pasco_pct_acid"))))</f>
        <v/>
      </c>
      <c r="P643" s="26">
        <f>IF($A643="","",IF(OR(N643="",O643=""),"",O643-N643))</f>
        <v/>
      </c>
      <c r="Q643" s="24">
        <f>IF($A643="","",IF(P643="","",(O643+N643)/2))</f>
        <v/>
      </c>
      <c r="R643" s="27">
        <f>IF($A643="","",IF(P643="","",COUNT($P$2:P643)))</f>
        <v/>
      </c>
    </row>
    <row r="644">
      <c r="J644" s="24">
        <f>IF($A644="","",IF($C644&lt;&gt;"khp_titration_mL","",IF(COUNTIFS('1_原始數據'!$A$2:$A$1000,$A644,'1_原始數據'!$B$2:$B$1000,$B644,'1_原始數據'!$D$2:$D$1000,$D644,'1_原始數據'!$C$2:$C$1000,"khp_mass_g")=0,"",SUMIFS('1_原始數據'!$E$2:$E$1000,'1_原始數據'!$A$2:$A$1000,$A644,'1_原始數據'!$B$2:$B$1000,$B644,'1_原始數據'!$D$2:$D$1000,$D644,'1_原始數據'!$C$2:$C$1000,"khp_mass_g")/('2_NaOH標定'!$C$5*$E644/1000))))</f>
        <v/>
      </c>
      <c r="K644" s="24">
        <f>IF($A644="","",IF($C644&lt;&gt;"manual_titration_mL","",IF(COUNTIFS('1_原始數據'!$A$2:$A$1000,$A644,'1_原始數據'!$C$2:$C$1000,"khp_titration_mL")=0,"",AVERAGEIFS('1_原始數據'!$J$2:$J$1000,'1_原始數據'!$A$2:$A$1000,$A644,'1_原始數據'!$C$2:$C$1000,"khp_titration_mL"))))</f>
        <v/>
      </c>
      <c r="L644" s="25">
        <f>IF($A644="","",IF($C644&lt;&gt;"manual_titration_mL","",IFERROR(INDEX('3_可滴定酸度'!$E$6:$E$13,MATCH($I644,'3_可滴定酸度'!$B$6:$B$13,0)),"")))</f>
        <v/>
      </c>
      <c r="M644" s="25">
        <f>IF($A644="","",IF($C644&lt;&gt;"manual_titration_mL","",IFERROR(INDEX('3_可滴定酸度'!$F$6:$F$13,MATCH($I644,'3_可滴定酸度'!$B$6:$B$13,0)),"")))</f>
        <v/>
      </c>
      <c r="N644" s="24">
        <f>IF($A644="","",IF(OR(K644="",L644="",M644=""),"",K644*E644*L644/(M644*1000)*100))</f>
        <v/>
      </c>
      <c r="O644" s="24">
        <f>IF($A644="","",IF(N644="","",IF(COUNTIFS('1_原始數據'!$A$2:$A$1000,$A644,'1_原始數據'!$B$2:$B$1000,$B644,'1_原始數據'!$D$2:$D$1000,$D644,'1_原始數據'!$I$2:$I$1000,$I644,'1_原始數據'!$C$2:$C$1000,"pasco_pct_acid")=0,"",SUMIFS('1_原始數據'!$E$2:$E$1000,'1_原始數據'!$A$2:$A$1000,$A644,'1_原始數據'!$B$2:$B$1000,$B644,'1_原始數據'!$D$2:$D$1000,$D644,'1_原始數據'!$I$2:$I$1000,$I644,'1_原始數據'!$C$2:$C$1000,"pasco_pct_acid"))))</f>
        <v/>
      </c>
      <c r="P644" s="26">
        <f>IF($A644="","",IF(OR(N644="",O644=""),"",O644-N644))</f>
        <v/>
      </c>
      <c r="Q644" s="24">
        <f>IF($A644="","",IF(P644="","",(O644+N644)/2))</f>
        <v/>
      </c>
      <c r="R644" s="27">
        <f>IF($A644="","",IF(P644="","",COUNT($P$2:P644)))</f>
        <v/>
      </c>
    </row>
    <row r="645">
      <c r="J645" s="24">
        <f>IF($A645="","",IF($C645&lt;&gt;"khp_titration_mL","",IF(COUNTIFS('1_原始數據'!$A$2:$A$1000,$A645,'1_原始數據'!$B$2:$B$1000,$B645,'1_原始數據'!$D$2:$D$1000,$D645,'1_原始數據'!$C$2:$C$1000,"khp_mass_g")=0,"",SUMIFS('1_原始數據'!$E$2:$E$1000,'1_原始數據'!$A$2:$A$1000,$A645,'1_原始數據'!$B$2:$B$1000,$B645,'1_原始數據'!$D$2:$D$1000,$D645,'1_原始數據'!$C$2:$C$1000,"khp_mass_g")/('2_NaOH標定'!$C$5*$E645/1000))))</f>
        <v/>
      </c>
      <c r="K645" s="24">
        <f>IF($A645="","",IF($C645&lt;&gt;"manual_titration_mL","",IF(COUNTIFS('1_原始數據'!$A$2:$A$1000,$A645,'1_原始數據'!$C$2:$C$1000,"khp_titration_mL")=0,"",AVERAGEIFS('1_原始數據'!$J$2:$J$1000,'1_原始數據'!$A$2:$A$1000,$A645,'1_原始數據'!$C$2:$C$1000,"khp_titration_mL"))))</f>
        <v/>
      </c>
      <c r="L645" s="25">
        <f>IF($A645="","",IF($C645&lt;&gt;"manual_titration_mL","",IFERROR(INDEX('3_可滴定酸度'!$E$6:$E$13,MATCH($I645,'3_可滴定酸度'!$B$6:$B$13,0)),"")))</f>
        <v/>
      </c>
      <c r="M645" s="25">
        <f>IF($A645="","",IF($C645&lt;&gt;"manual_titration_mL","",IFERROR(INDEX('3_可滴定酸度'!$F$6:$F$13,MATCH($I645,'3_可滴定酸度'!$B$6:$B$13,0)),"")))</f>
        <v/>
      </c>
      <c r="N645" s="24">
        <f>IF($A645="","",IF(OR(K645="",L645="",M645=""),"",K645*E645*L645/(M645*1000)*100))</f>
        <v/>
      </c>
      <c r="O645" s="24">
        <f>IF($A645="","",IF(N645="","",IF(COUNTIFS('1_原始數據'!$A$2:$A$1000,$A645,'1_原始數據'!$B$2:$B$1000,$B645,'1_原始數據'!$D$2:$D$1000,$D645,'1_原始數據'!$I$2:$I$1000,$I645,'1_原始數據'!$C$2:$C$1000,"pasco_pct_acid")=0,"",SUMIFS('1_原始數據'!$E$2:$E$1000,'1_原始數據'!$A$2:$A$1000,$A645,'1_原始數據'!$B$2:$B$1000,$B645,'1_原始數據'!$D$2:$D$1000,$D645,'1_原始數據'!$I$2:$I$1000,$I645,'1_原始數據'!$C$2:$C$1000,"pasco_pct_acid"))))</f>
        <v/>
      </c>
      <c r="P645" s="26">
        <f>IF($A645="","",IF(OR(N645="",O645=""),"",O645-N645))</f>
        <v/>
      </c>
      <c r="Q645" s="24">
        <f>IF($A645="","",IF(P645="","",(O645+N645)/2))</f>
        <v/>
      </c>
      <c r="R645" s="27">
        <f>IF($A645="","",IF(P645="","",COUNT($P$2:P645)))</f>
        <v/>
      </c>
    </row>
    <row r="646">
      <c r="J646" s="24">
        <f>IF($A646="","",IF($C646&lt;&gt;"khp_titration_mL","",IF(COUNTIFS('1_原始數據'!$A$2:$A$1000,$A646,'1_原始數據'!$B$2:$B$1000,$B646,'1_原始數據'!$D$2:$D$1000,$D646,'1_原始數據'!$C$2:$C$1000,"khp_mass_g")=0,"",SUMIFS('1_原始數據'!$E$2:$E$1000,'1_原始數據'!$A$2:$A$1000,$A646,'1_原始數據'!$B$2:$B$1000,$B646,'1_原始數據'!$D$2:$D$1000,$D646,'1_原始數據'!$C$2:$C$1000,"khp_mass_g")/('2_NaOH標定'!$C$5*$E646/1000))))</f>
        <v/>
      </c>
      <c r="K646" s="24">
        <f>IF($A646="","",IF($C646&lt;&gt;"manual_titration_mL","",IF(COUNTIFS('1_原始數據'!$A$2:$A$1000,$A646,'1_原始數據'!$C$2:$C$1000,"khp_titration_mL")=0,"",AVERAGEIFS('1_原始數據'!$J$2:$J$1000,'1_原始數據'!$A$2:$A$1000,$A646,'1_原始數據'!$C$2:$C$1000,"khp_titration_mL"))))</f>
        <v/>
      </c>
      <c r="L646" s="25">
        <f>IF($A646="","",IF($C646&lt;&gt;"manual_titration_mL","",IFERROR(INDEX('3_可滴定酸度'!$E$6:$E$13,MATCH($I646,'3_可滴定酸度'!$B$6:$B$13,0)),"")))</f>
        <v/>
      </c>
      <c r="M646" s="25">
        <f>IF($A646="","",IF($C646&lt;&gt;"manual_titration_mL","",IFERROR(INDEX('3_可滴定酸度'!$F$6:$F$13,MATCH($I646,'3_可滴定酸度'!$B$6:$B$13,0)),"")))</f>
        <v/>
      </c>
      <c r="N646" s="24">
        <f>IF($A646="","",IF(OR(K646="",L646="",M646=""),"",K646*E646*L646/(M646*1000)*100))</f>
        <v/>
      </c>
      <c r="O646" s="24">
        <f>IF($A646="","",IF(N646="","",IF(COUNTIFS('1_原始數據'!$A$2:$A$1000,$A646,'1_原始數據'!$B$2:$B$1000,$B646,'1_原始數據'!$D$2:$D$1000,$D646,'1_原始數據'!$I$2:$I$1000,$I646,'1_原始數據'!$C$2:$C$1000,"pasco_pct_acid")=0,"",SUMIFS('1_原始數據'!$E$2:$E$1000,'1_原始數據'!$A$2:$A$1000,$A646,'1_原始數據'!$B$2:$B$1000,$B646,'1_原始數據'!$D$2:$D$1000,$D646,'1_原始數據'!$I$2:$I$1000,$I646,'1_原始數據'!$C$2:$C$1000,"pasco_pct_acid"))))</f>
        <v/>
      </c>
      <c r="P646" s="26">
        <f>IF($A646="","",IF(OR(N646="",O646=""),"",O646-N646))</f>
        <v/>
      </c>
      <c r="Q646" s="24">
        <f>IF($A646="","",IF(P646="","",(O646+N646)/2))</f>
        <v/>
      </c>
      <c r="R646" s="27">
        <f>IF($A646="","",IF(P646="","",COUNT($P$2:P646)))</f>
        <v/>
      </c>
    </row>
    <row r="647">
      <c r="J647" s="24">
        <f>IF($A647="","",IF($C647&lt;&gt;"khp_titration_mL","",IF(COUNTIFS('1_原始數據'!$A$2:$A$1000,$A647,'1_原始數據'!$B$2:$B$1000,$B647,'1_原始數據'!$D$2:$D$1000,$D647,'1_原始數據'!$C$2:$C$1000,"khp_mass_g")=0,"",SUMIFS('1_原始數據'!$E$2:$E$1000,'1_原始數據'!$A$2:$A$1000,$A647,'1_原始數據'!$B$2:$B$1000,$B647,'1_原始數據'!$D$2:$D$1000,$D647,'1_原始數據'!$C$2:$C$1000,"khp_mass_g")/('2_NaOH標定'!$C$5*$E647/1000))))</f>
        <v/>
      </c>
      <c r="K647" s="24">
        <f>IF($A647="","",IF($C647&lt;&gt;"manual_titration_mL","",IF(COUNTIFS('1_原始數據'!$A$2:$A$1000,$A647,'1_原始數據'!$C$2:$C$1000,"khp_titration_mL")=0,"",AVERAGEIFS('1_原始數據'!$J$2:$J$1000,'1_原始數據'!$A$2:$A$1000,$A647,'1_原始數據'!$C$2:$C$1000,"khp_titration_mL"))))</f>
        <v/>
      </c>
      <c r="L647" s="25">
        <f>IF($A647="","",IF($C647&lt;&gt;"manual_titration_mL","",IFERROR(INDEX('3_可滴定酸度'!$E$6:$E$13,MATCH($I647,'3_可滴定酸度'!$B$6:$B$13,0)),"")))</f>
        <v/>
      </c>
      <c r="M647" s="25">
        <f>IF($A647="","",IF($C647&lt;&gt;"manual_titration_mL","",IFERROR(INDEX('3_可滴定酸度'!$F$6:$F$13,MATCH($I647,'3_可滴定酸度'!$B$6:$B$13,0)),"")))</f>
        <v/>
      </c>
      <c r="N647" s="24">
        <f>IF($A647="","",IF(OR(K647="",L647="",M647=""),"",K647*E647*L647/(M647*1000)*100))</f>
        <v/>
      </c>
      <c r="O647" s="24">
        <f>IF($A647="","",IF(N647="","",IF(COUNTIFS('1_原始數據'!$A$2:$A$1000,$A647,'1_原始數據'!$B$2:$B$1000,$B647,'1_原始數據'!$D$2:$D$1000,$D647,'1_原始數據'!$I$2:$I$1000,$I647,'1_原始數據'!$C$2:$C$1000,"pasco_pct_acid")=0,"",SUMIFS('1_原始數據'!$E$2:$E$1000,'1_原始數據'!$A$2:$A$1000,$A647,'1_原始數據'!$B$2:$B$1000,$B647,'1_原始數據'!$D$2:$D$1000,$D647,'1_原始數據'!$I$2:$I$1000,$I647,'1_原始數據'!$C$2:$C$1000,"pasco_pct_acid"))))</f>
        <v/>
      </c>
      <c r="P647" s="26">
        <f>IF($A647="","",IF(OR(N647="",O647=""),"",O647-N647))</f>
        <v/>
      </c>
      <c r="Q647" s="24">
        <f>IF($A647="","",IF(P647="","",(O647+N647)/2))</f>
        <v/>
      </c>
      <c r="R647" s="27">
        <f>IF($A647="","",IF(P647="","",COUNT($P$2:P647)))</f>
        <v/>
      </c>
    </row>
    <row r="648">
      <c r="J648" s="24">
        <f>IF($A648="","",IF($C648&lt;&gt;"khp_titration_mL","",IF(COUNTIFS('1_原始數據'!$A$2:$A$1000,$A648,'1_原始數據'!$B$2:$B$1000,$B648,'1_原始數據'!$D$2:$D$1000,$D648,'1_原始數據'!$C$2:$C$1000,"khp_mass_g")=0,"",SUMIFS('1_原始數據'!$E$2:$E$1000,'1_原始數據'!$A$2:$A$1000,$A648,'1_原始數據'!$B$2:$B$1000,$B648,'1_原始數據'!$D$2:$D$1000,$D648,'1_原始數據'!$C$2:$C$1000,"khp_mass_g")/('2_NaOH標定'!$C$5*$E648/1000))))</f>
        <v/>
      </c>
      <c r="K648" s="24">
        <f>IF($A648="","",IF($C648&lt;&gt;"manual_titration_mL","",IF(COUNTIFS('1_原始數據'!$A$2:$A$1000,$A648,'1_原始數據'!$C$2:$C$1000,"khp_titration_mL")=0,"",AVERAGEIFS('1_原始數據'!$J$2:$J$1000,'1_原始數據'!$A$2:$A$1000,$A648,'1_原始數據'!$C$2:$C$1000,"khp_titration_mL"))))</f>
        <v/>
      </c>
      <c r="L648" s="25">
        <f>IF($A648="","",IF($C648&lt;&gt;"manual_titration_mL","",IFERROR(INDEX('3_可滴定酸度'!$E$6:$E$13,MATCH($I648,'3_可滴定酸度'!$B$6:$B$13,0)),"")))</f>
        <v/>
      </c>
      <c r="M648" s="25">
        <f>IF($A648="","",IF($C648&lt;&gt;"manual_titration_mL","",IFERROR(INDEX('3_可滴定酸度'!$F$6:$F$13,MATCH($I648,'3_可滴定酸度'!$B$6:$B$13,0)),"")))</f>
        <v/>
      </c>
      <c r="N648" s="24">
        <f>IF($A648="","",IF(OR(K648="",L648="",M648=""),"",K648*E648*L648/(M648*1000)*100))</f>
        <v/>
      </c>
      <c r="O648" s="24">
        <f>IF($A648="","",IF(N648="","",IF(COUNTIFS('1_原始數據'!$A$2:$A$1000,$A648,'1_原始數據'!$B$2:$B$1000,$B648,'1_原始數據'!$D$2:$D$1000,$D648,'1_原始數據'!$I$2:$I$1000,$I648,'1_原始數據'!$C$2:$C$1000,"pasco_pct_acid")=0,"",SUMIFS('1_原始數據'!$E$2:$E$1000,'1_原始數據'!$A$2:$A$1000,$A648,'1_原始數據'!$B$2:$B$1000,$B648,'1_原始數據'!$D$2:$D$1000,$D648,'1_原始數據'!$I$2:$I$1000,$I648,'1_原始數據'!$C$2:$C$1000,"pasco_pct_acid"))))</f>
        <v/>
      </c>
      <c r="P648" s="26">
        <f>IF($A648="","",IF(OR(N648="",O648=""),"",O648-N648))</f>
        <v/>
      </c>
      <c r="Q648" s="24">
        <f>IF($A648="","",IF(P648="","",(O648+N648)/2))</f>
        <v/>
      </c>
      <c r="R648" s="27">
        <f>IF($A648="","",IF(P648="","",COUNT($P$2:P648)))</f>
        <v/>
      </c>
    </row>
    <row r="649">
      <c r="J649" s="24">
        <f>IF($A649="","",IF($C649&lt;&gt;"khp_titration_mL","",IF(COUNTIFS('1_原始數據'!$A$2:$A$1000,$A649,'1_原始數據'!$B$2:$B$1000,$B649,'1_原始數據'!$D$2:$D$1000,$D649,'1_原始數據'!$C$2:$C$1000,"khp_mass_g")=0,"",SUMIFS('1_原始數據'!$E$2:$E$1000,'1_原始數據'!$A$2:$A$1000,$A649,'1_原始數據'!$B$2:$B$1000,$B649,'1_原始數據'!$D$2:$D$1000,$D649,'1_原始數據'!$C$2:$C$1000,"khp_mass_g")/('2_NaOH標定'!$C$5*$E649/1000))))</f>
        <v/>
      </c>
      <c r="K649" s="24">
        <f>IF($A649="","",IF($C649&lt;&gt;"manual_titration_mL","",IF(COUNTIFS('1_原始數據'!$A$2:$A$1000,$A649,'1_原始數據'!$C$2:$C$1000,"khp_titration_mL")=0,"",AVERAGEIFS('1_原始數據'!$J$2:$J$1000,'1_原始數據'!$A$2:$A$1000,$A649,'1_原始數據'!$C$2:$C$1000,"khp_titration_mL"))))</f>
        <v/>
      </c>
      <c r="L649" s="25">
        <f>IF($A649="","",IF($C649&lt;&gt;"manual_titration_mL","",IFERROR(INDEX('3_可滴定酸度'!$E$6:$E$13,MATCH($I649,'3_可滴定酸度'!$B$6:$B$13,0)),"")))</f>
        <v/>
      </c>
      <c r="M649" s="25">
        <f>IF($A649="","",IF($C649&lt;&gt;"manual_titration_mL","",IFERROR(INDEX('3_可滴定酸度'!$F$6:$F$13,MATCH($I649,'3_可滴定酸度'!$B$6:$B$13,0)),"")))</f>
        <v/>
      </c>
      <c r="N649" s="24">
        <f>IF($A649="","",IF(OR(K649="",L649="",M649=""),"",K649*E649*L649/(M649*1000)*100))</f>
        <v/>
      </c>
      <c r="O649" s="24">
        <f>IF($A649="","",IF(N649="","",IF(COUNTIFS('1_原始數據'!$A$2:$A$1000,$A649,'1_原始數據'!$B$2:$B$1000,$B649,'1_原始數據'!$D$2:$D$1000,$D649,'1_原始數據'!$I$2:$I$1000,$I649,'1_原始數據'!$C$2:$C$1000,"pasco_pct_acid")=0,"",SUMIFS('1_原始數據'!$E$2:$E$1000,'1_原始數據'!$A$2:$A$1000,$A649,'1_原始數據'!$B$2:$B$1000,$B649,'1_原始數據'!$D$2:$D$1000,$D649,'1_原始數據'!$I$2:$I$1000,$I649,'1_原始數據'!$C$2:$C$1000,"pasco_pct_acid"))))</f>
        <v/>
      </c>
      <c r="P649" s="26">
        <f>IF($A649="","",IF(OR(N649="",O649=""),"",O649-N649))</f>
        <v/>
      </c>
      <c r="Q649" s="24">
        <f>IF($A649="","",IF(P649="","",(O649+N649)/2))</f>
        <v/>
      </c>
      <c r="R649" s="27">
        <f>IF($A649="","",IF(P649="","",COUNT($P$2:P649)))</f>
        <v/>
      </c>
    </row>
    <row r="650">
      <c r="J650" s="24">
        <f>IF($A650="","",IF($C650&lt;&gt;"khp_titration_mL","",IF(COUNTIFS('1_原始數據'!$A$2:$A$1000,$A650,'1_原始數據'!$B$2:$B$1000,$B650,'1_原始數據'!$D$2:$D$1000,$D650,'1_原始數據'!$C$2:$C$1000,"khp_mass_g")=0,"",SUMIFS('1_原始數據'!$E$2:$E$1000,'1_原始數據'!$A$2:$A$1000,$A650,'1_原始數據'!$B$2:$B$1000,$B650,'1_原始數據'!$D$2:$D$1000,$D650,'1_原始數據'!$C$2:$C$1000,"khp_mass_g")/('2_NaOH標定'!$C$5*$E650/1000))))</f>
        <v/>
      </c>
      <c r="K650" s="24">
        <f>IF($A650="","",IF($C650&lt;&gt;"manual_titration_mL","",IF(COUNTIFS('1_原始數據'!$A$2:$A$1000,$A650,'1_原始數據'!$C$2:$C$1000,"khp_titration_mL")=0,"",AVERAGEIFS('1_原始數據'!$J$2:$J$1000,'1_原始數據'!$A$2:$A$1000,$A650,'1_原始數據'!$C$2:$C$1000,"khp_titration_mL"))))</f>
        <v/>
      </c>
      <c r="L650" s="25">
        <f>IF($A650="","",IF($C650&lt;&gt;"manual_titration_mL","",IFERROR(INDEX('3_可滴定酸度'!$E$6:$E$13,MATCH($I650,'3_可滴定酸度'!$B$6:$B$13,0)),"")))</f>
        <v/>
      </c>
      <c r="M650" s="25">
        <f>IF($A650="","",IF($C650&lt;&gt;"manual_titration_mL","",IFERROR(INDEX('3_可滴定酸度'!$F$6:$F$13,MATCH($I650,'3_可滴定酸度'!$B$6:$B$13,0)),"")))</f>
        <v/>
      </c>
      <c r="N650" s="24">
        <f>IF($A650="","",IF(OR(K650="",L650="",M650=""),"",K650*E650*L650/(M650*1000)*100))</f>
        <v/>
      </c>
      <c r="O650" s="24">
        <f>IF($A650="","",IF(N650="","",IF(COUNTIFS('1_原始數據'!$A$2:$A$1000,$A650,'1_原始數據'!$B$2:$B$1000,$B650,'1_原始數據'!$D$2:$D$1000,$D650,'1_原始數據'!$I$2:$I$1000,$I650,'1_原始數據'!$C$2:$C$1000,"pasco_pct_acid")=0,"",SUMIFS('1_原始數據'!$E$2:$E$1000,'1_原始數據'!$A$2:$A$1000,$A650,'1_原始數據'!$B$2:$B$1000,$B650,'1_原始數據'!$D$2:$D$1000,$D650,'1_原始數據'!$I$2:$I$1000,$I650,'1_原始數據'!$C$2:$C$1000,"pasco_pct_acid"))))</f>
        <v/>
      </c>
      <c r="P650" s="26">
        <f>IF($A650="","",IF(OR(N650="",O650=""),"",O650-N650))</f>
        <v/>
      </c>
      <c r="Q650" s="24">
        <f>IF($A650="","",IF(P650="","",(O650+N650)/2))</f>
        <v/>
      </c>
      <c r="R650" s="27">
        <f>IF($A650="","",IF(P650="","",COUNT($P$2:P650)))</f>
        <v/>
      </c>
    </row>
    <row r="651">
      <c r="J651" s="24">
        <f>IF($A651="","",IF($C651&lt;&gt;"khp_titration_mL","",IF(COUNTIFS('1_原始數據'!$A$2:$A$1000,$A651,'1_原始數據'!$B$2:$B$1000,$B651,'1_原始數據'!$D$2:$D$1000,$D651,'1_原始數據'!$C$2:$C$1000,"khp_mass_g")=0,"",SUMIFS('1_原始數據'!$E$2:$E$1000,'1_原始數據'!$A$2:$A$1000,$A651,'1_原始數據'!$B$2:$B$1000,$B651,'1_原始數據'!$D$2:$D$1000,$D651,'1_原始數據'!$C$2:$C$1000,"khp_mass_g")/('2_NaOH標定'!$C$5*$E651/1000))))</f>
        <v/>
      </c>
      <c r="K651" s="24">
        <f>IF($A651="","",IF($C651&lt;&gt;"manual_titration_mL","",IF(COUNTIFS('1_原始數據'!$A$2:$A$1000,$A651,'1_原始數據'!$C$2:$C$1000,"khp_titration_mL")=0,"",AVERAGEIFS('1_原始數據'!$J$2:$J$1000,'1_原始數據'!$A$2:$A$1000,$A651,'1_原始數據'!$C$2:$C$1000,"khp_titration_mL"))))</f>
        <v/>
      </c>
      <c r="L651" s="25">
        <f>IF($A651="","",IF($C651&lt;&gt;"manual_titration_mL","",IFERROR(INDEX('3_可滴定酸度'!$E$6:$E$13,MATCH($I651,'3_可滴定酸度'!$B$6:$B$13,0)),"")))</f>
        <v/>
      </c>
      <c r="M651" s="25">
        <f>IF($A651="","",IF($C651&lt;&gt;"manual_titration_mL","",IFERROR(INDEX('3_可滴定酸度'!$F$6:$F$13,MATCH($I651,'3_可滴定酸度'!$B$6:$B$13,0)),"")))</f>
        <v/>
      </c>
      <c r="N651" s="24">
        <f>IF($A651="","",IF(OR(K651="",L651="",M651=""),"",K651*E651*L651/(M651*1000)*100))</f>
        <v/>
      </c>
      <c r="O651" s="24">
        <f>IF($A651="","",IF(N651="","",IF(COUNTIFS('1_原始數據'!$A$2:$A$1000,$A651,'1_原始數據'!$B$2:$B$1000,$B651,'1_原始數據'!$D$2:$D$1000,$D651,'1_原始數據'!$I$2:$I$1000,$I651,'1_原始數據'!$C$2:$C$1000,"pasco_pct_acid")=0,"",SUMIFS('1_原始數據'!$E$2:$E$1000,'1_原始數據'!$A$2:$A$1000,$A651,'1_原始數據'!$B$2:$B$1000,$B651,'1_原始數據'!$D$2:$D$1000,$D651,'1_原始數據'!$I$2:$I$1000,$I651,'1_原始數據'!$C$2:$C$1000,"pasco_pct_acid"))))</f>
        <v/>
      </c>
      <c r="P651" s="26">
        <f>IF($A651="","",IF(OR(N651="",O651=""),"",O651-N651))</f>
        <v/>
      </c>
      <c r="Q651" s="24">
        <f>IF($A651="","",IF(P651="","",(O651+N651)/2))</f>
        <v/>
      </c>
      <c r="R651" s="27">
        <f>IF($A651="","",IF(P651="","",COUNT($P$2:P651)))</f>
        <v/>
      </c>
    </row>
    <row r="652">
      <c r="J652" s="24">
        <f>IF($A652="","",IF($C652&lt;&gt;"khp_titration_mL","",IF(COUNTIFS('1_原始數據'!$A$2:$A$1000,$A652,'1_原始數據'!$B$2:$B$1000,$B652,'1_原始數據'!$D$2:$D$1000,$D652,'1_原始數據'!$C$2:$C$1000,"khp_mass_g")=0,"",SUMIFS('1_原始數據'!$E$2:$E$1000,'1_原始數據'!$A$2:$A$1000,$A652,'1_原始數據'!$B$2:$B$1000,$B652,'1_原始數據'!$D$2:$D$1000,$D652,'1_原始數據'!$C$2:$C$1000,"khp_mass_g")/('2_NaOH標定'!$C$5*$E652/1000))))</f>
        <v/>
      </c>
      <c r="K652" s="24">
        <f>IF($A652="","",IF($C652&lt;&gt;"manual_titration_mL","",IF(COUNTIFS('1_原始數據'!$A$2:$A$1000,$A652,'1_原始數據'!$C$2:$C$1000,"khp_titration_mL")=0,"",AVERAGEIFS('1_原始數據'!$J$2:$J$1000,'1_原始數據'!$A$2:$A$1000,$A652,'1_原始數據'!$C$2:$C$1000,"khp_titration_mL"))))</f>
        <v/>
      </c>
      <c r="L652" s="25">
        <f>IF($A652="","",IF($C652&lt;&gt;"manual_titration_mL","",IFERROR(INDEX('3_可滴定酸度'!$E$6:$E$13,MATCH($I652,'3_可滴定酸度'!$B$6:$B$13,0)),"")))</f>
        <v/>
      </c>
      <c r="M652" s="25">
        <f>IF($A652="","",IF($C652&lt;&gt;"manual_titration_mL","",IFERROR(INDEX('3_可滴定酸度'!$F$6:$F$13,MATCH($I652,'3_可滴定酸度'!$B$6:$B$13,0)),"")))</f>
        <v/>
      </c>
      <c r="N652" s="24">
        <f>IF($A652="","",IF(OR(K652="",L652="",M652=""),"",K652*E652*L652/(M652*1000)*100))</f>
        <v/>
      </c>
      <c r="O652" s="24">
        <f>IF($A652="","",IF(N652="","",IF(COUNTIFS('1_原始數據'!$A$2:$A$1000,$A652,'1_原始數據'!$B$2:$B$1000,$B652,'1_原始數據'!$D$2:$D$1000,$D652,'1_原始數據'!$I$2:$I$1000,$I652,'1_原始數據'!$C$2:$C$1000,"pasco_pct_acid")=0,"",SUMIFS('1_原始數據'!$E$2:$E$1000,'1_原始數據'!$A$2:$A$1000,$A652,'1_原始數據'!$B$2:$B$1000,$B652,'1_原始數據'!$D$2:$D$1000,$D652,'1_原始數據'!$I$2:$I$1000,$I652,'1_原始數據'!$C$2:$C$1000,"pasco_pct_acid"))))</f>
        <v/>
      </c>
      <c r="P652" s="26">
        <f>IF($A652="","",IF(OR(N652="",O652=""),"",O652-N652))</f>
        <v/>
      </c>
      <c r="Q652" s="24">
        <f>IF($A652="","",IF(P652="","",(O652+N652)/2))</f>
        <v/>
      </c>
      <c r="R652" s="27">
        <f>IF($A652="","",IF(P652="","",COUNT($P$2:P652)))</f>
        <v/>
      </c>
    </row>
    <row r="653">
      <c r="J653" s="24">
        <f>IF($A653="","",IF($C653&lt;&gt;"khp_titration_mL","",IF(COUNTIFS('1_原始數據'!$A$2:$A$1000,$A653,'1_原始數據'!$B$2:$B$1000,$B653,'1_原始數據'!$D$2:$D$1000,$D653,'1_原始數據'!$C$2:$C$1000,"khp_mass_g")=0,"",SUMIFS('1_原始數據'!$E$2:$E$1000,'1_原始數據'!$A$2:$A$1000,$A653,'1_原始數據'!$B$2:$B$1000,$B653,'1_原始數據'!$D$2:$D$1000,$D653,'1_原始數據'!$C$2:$C$1000,"khp_mass_g")/('2_NaOH標定'!$C$5*$E653/1000))))</f>
        <v/>
      </c>
      <c r="K653" s="24">
        <f>IF($A653="","",IF($C653&lt;&gt;"manual_titration_mL","",IF(COUNTIFS('1_原始數據'!$A$2:$A$1000,$A653,'1_原始數據'!$C$2:$C$1000,"khp_titration_mL")=0,"",AVERAGEIFS('1_原始數據'!$J$2:$J$1000,'1_原始數據'!$A$2:$A$1000,$A653,'1_原始數據'!$C$2:$C$1000,"khp_titration_mL"))))</f>
        <v/>
      </c>
      <c r="L653" s="25">
        <f>IF($A653="","",IF($C653&lt;&gt;"manual_titration_mL","",IFERROR(INDEX('3_可滴定酸度'!$E$6:$E$13,MATCH($I653,'3_可滴定酸度'!$B$6:$B$13,0)),"")))</f>
        <v/>
      </c>
      <c r="M653" s="25">
        <f>IF($A653="","",IF($C653&lt;&gt;"manual_titration_mL","",IFERROR(INDEX('3_可滴定酸度'!$F$6:$F$13,MATCH($I653,'3_可滴定酸度'!$B$6:$B$13,0)),"")))</f>
        <v/>
      </c>
      <c r="N653" s="24">
        <f>IF($A653="","",IF(OR(K653="",L653="",M653=""),"",K653*E653*L653/(M653*1000)*100))</f>
        <v/>
      </c>
      <c r="O653" s="24">
        <f>IF($A653="","",IF(N653="","",IF(COUNTIFS('1_原始數據'!$A$2:$A$1000,$A653,'1_原始數據'!$B$2:$B$1000,$B653,'1_原始數據'!$D$2:$D$1000,$D653,'1_原始數據'!$I$2:$I$1000,$I653,'1_原始數據'!$C$2:$C$1000,"pasco_pct_acid")=0,"",SUMIFS('1_原始數據'!$E$2:$E$1000,'1_原始數據'!$A$2:$A$1000,$A653,'1_原始數據'!$B$2:$B$1000,$B653,'1_原始數據'!$D$2:$D$1000,$D653,'1_原始數據'!$I$2:$I$1000,$I653,'1_原始數據'!$C$2:$C$1000,"pasco_pct_acid"))))</f>
        <v/>
      </c>
      <c r="P653" s="26">
        <f>IF($A653="","",IF(OR(N653="",O653=""),"",O653-N653))</f>
        <v/>
      </c>
      <c r="Q653" s="24">
        <f>IF($A653="","",IF(P653="","",(O653+N653)/2))</f>
        <v/>
      </c>
      <c r="R653" s="27">
        <f>IF($A653="","",IF(P653="","",COUNT($P$2:P653)))</f>
        <v/>
      </c>
    </row>
    <row r="654">
      <c r="J654" s="24">
        <f>IF($A654="","",IF($C654&lt;&gt;"khp_titration_mL","",IF(COUNTIFS('1_原始數據'!$A$2:$A$1000,$A654,'1_原始數據'!$B$2:$B$1000,$B654,'1_原始數據'!$D$2:$D$1000,$D654,'1_原始數據'!$C$2:$C$1000,"khp_mass_g")=0,"",SUMIFS('1_原始數據'!$E$2:$E$1000,'1_原始數據'!$A$2:$A$1000,$A654,'1_原始數據'!$B$2:$B$1000,$B654,'1_原始數據'!$D$2:$D$1000,$D654,'1_原始數據'!$C$2:$C$1000,"khp_mass_g")/('2_NaOH標定'!$C$5*$E654/1000))))</f>
        <v/>
      </c>
      <c r="K654" s="24">
        <f>IF($A654="","",IF($C654&lt;&gt;"manual_titration_mL","",IF(COUNTIFS('1_原始數據'!$A$2:$A$1000,$A654,'1_原始數據'!$C$2:$C$1000,"khp_titration_mL")=0,"",AVERAGEIFS('1_原始數據'!$J$2:$J$1000,'1_原始數據'!$A$2:$A$1000,$A654,'1_原始數據'!$C$2:$C$1000,"khp_titration_mL"))))</f>
        <v/>
      </c>
      <c r="L654" s="25">
        <f>IF($A654="","",IF($C654&lt;&gt;"manual_titration_mL","",IFERROR(INDEX('3_可滴定酸度'!$E$6:$E$13,MATCH($I654,'3_可滴定酸度'!$B$6:$B$13,0)),"")))</f>
        <v/>
      </c>
      <c r="M654" s="25">
        <f>IF($A654="","",IF($C654&lt;&gt;"manual_titration_mL","",IFERROR(INDEX('3_可滴定酸度'!$F$6:$F$13,MATCH($I654,'3_可滴定酸度'!$B$6:$B$13,0)),"")))</f>
        <v/>
      </c>
      <c r="N654" s="24">
        <f>IF($A654="","",IF(OR(K654="",L654="",M654=""),"",K654*E654*L654/(M654*1000)*100))</f>
        <v/>
      </c>
      <c r="O654" s="24">
        <f>IF($A654="","",IF(N654="","",IF(COUNTIFS('1_原始數據'!$A$2:$A$1000,$A654,'1_原始數據'!$B$2:$B$1000,$B654,'1_原始數據'!$D$2:$D$1000,$D654,'1_原始數據'!$I$2:$I$1000,$I654,'1_原始數據'!$C$2:$C$1000,"pasco_pct_acid")=0,"",SUMIFS('1_原始數據'!$E$2:$E$1000,'1_原始數據'!$A$2:$A$1000,$A654,'1_原始數據'!$B$2:$B$1000,$B654,'1_原始數據'!$D$2:$D$1000,$D654,'1_原始數據'!$I$2:$I$1000,$I654,'1_原始數據'!$C$2:$C$1000,"pasco_pct_acid"))))</f>
        <v/>
      </c>
      <c r="P654" s="26">
        <f>IF($A654="","",IF(OR(N654="",O654=""),"",O654-N654))</f>
        <v/>
      </c>
      <c r="Q654" s="24">
        <f>IF($A654="","",IF(P654="","",(O654+N654)/2))</f>
        <v/>
      </c>
      <c r="R654" s="27">
        <f>IF($A654="","",IF(P654="","",COUNT($P$2:P654)))</f>
        <v/>
      </c>
    </row>
    <row r="655">
      <c r="J655" s="24">
        <f>IF($A655="","",IF($C655&lt;&gt;"khp_titration_mL","",IF(COUNTIFS('1_原始數據'!$A$2:$A$1000,$A655,'1_原始數據'!$B$2:$B$1000,$B655,'1_原始數據'!$D$2:$D$1000,$D655,'1_原始數據'!$C$2:$C$1000,"khp_mass_g")=0,"",SUMIFS('1_原始數據'!$E$2:$E$1000,'1_原始數據'!$A$2:$A$1000,$A655,'1_原始數據'!$B$2:$B$1000,$B655,'1_原始數據'!$D$2:$D$1000,$D655,'1_原始數據'!$C$2:$C$1000,"khp_mass_g")/('2_NaOH標定'!$C$5*$E655/1000))))</f>
        <v/>
      </c>
      <c r="K655" s="24">
        <f>IF($A655="","",IF($C655&lt;&gt;"manual_titration_mL","",IF(COUNTIFS('1_原始數據'!$A$2:$A$1000,$A655,'1_原始數據'!$C$2:$C$1000,"khp_titration_mL")=0,"",AVERAGEIFS('1_原始數據'!$J$2:$J$1000,'1_原始數據'!$A$2:$A$1000,$A655,'1_原始數據'!$C$2:$C$1000,"khp_titration_mL"))))</f>
        <v/>
      </c>
      <c r="L655" s="25">
        <f>IF($A655="","",IF($C655&lt;&gt;"manual_titration_mL","",IFERROR(INDEX('3_可滴定酸度'!$E$6:$E$13,MATCH($I655,'3_可滴定酸度'!$B$6:$B$13,0)),"")))</f>
        <v/>
      </c>
      <c r="M655" s="25">
        <f>IF($A655="","",IF($C655&lt;&gt;"manual_titration_mL","",IFERROR(INDEX('3_可滴定酸度'!$F$6:$F$13,MATCH($I655,'3_可滴定酸度'!$B$6:$B$13,0)),"")))</f>
        <v/>
      </c>
      <c r="N655" s="24">
        <f>IF($A655="","",IF(OR(K655="",L655="",M655=""),"",K655*E655*L655/(M655*1000)*100))</f>
        <v/>
      </c>
      <c r="O655" s="24">
        <f>IF($A655="","",IF(N655="","",IF(COUNTIFS('1_原始數據'!$A$2:$A$1000,$A655,'1_原始數據'!$B$2:$B$1000,$B655,'1_原始數據'!$D$2:$D$1000,$D655,'1_原始數據'!$I$2:$I$1000,$I655,'1_原始數據'!$C$2:$C$1000,"pasco_pct_acid")=0,"",SUMIFS('1_原始數據'!$E$2:$E$1000,'1_原始數據'!$A$2:$A$1000,$A655,'1_原始數據'!$B$2:$B$1000,$B655,'1_原始數據'!$D$2:$D$1000,$D655,'1_原始數據'!$I$2:$I$1000,$I655,'1_原始數據'!$C$2:$C$1000,"pasco_pct_acid"))))</f>
        <v/>
      </c>
      <c r="P655" s="26">
        <f>IF($A655="","",IF(OR(N655="",O655=""),"",O655-N655))</f>
        <v/>
      </c>
      <c r="Q655" s="24">
        <f>IF($A655="","",IF(P655="","",(O655+N655)/2))</f>
        <v/>
      </c>
      <c r="R655" s="27">
        <f>IF($A655="","",IF(P655="","",COUNT($P$2:P655)))</f>
        <v/>
      </c>
    </row>
    <row r="656">
      <c r="J656" s="24">
        <f>IF($A656="","",IF($C656&lt;&gt;"khp_titration_mL","",IF(COUNTIFS('1_原始數據'!$A$2:$A$1000,$A656,'1_原始數據'!$B$2:$B$1000,$B656,'1_原始數據'!$D$2:$D$1000,$D656,'1_原始數據'!$C$2:$C$1000,"khp_mass_g")=0,"",SUMIFS('1_原始數據'!$E$2:$E$1000,'1_原始數據'!$A$2:$A$1000,$A656,'1_原始數據'!$B$2:$B$1000,$B656,'1_原始數據'!$D$2:$D$1000,$D656,'1_原始數據'!$C$2:$C$1000,"khp_mass_g")/('2_NaOH標定'!$C$5*$E656/1000))))</f>
        <v/>
      </c>
      <c r="K656" s="24">
        <f>IF($A656="","",IF($C656&lt;&gt;"manual_titration_mL","",IF(COUNTIFS('1_原始數據'!$A$2:$A$1000,$A656,'1_原始數據'!$C$2:$C$1000,"khp_titration_mL")=0,"",AVERAGEIFS('1_原始數據'!$J$2:$J$1000,'1_原始數據'!$A$2:$A$1000,$A656,'1_原始數據'!$C$2:$C$1000,"khp_titration_mL"))))</f>
        <v/>
      </c>
      <c r="L656" s="25">
        <f>IF($A656="","",IF($C656&lt;&gt;"manual_titration_mL","",IFERROR(INDEX('3_可滴定酸度'!$E$6:$E$13,MATCH($I656,'3_可滴定酸度'!$B$6:$B$13,0)),"")))</f>
        <v/>
      </c>
      <c r="M656" s="25">
        <f>IF($A656="","",IF($C656&lt;&gt;"manual_titration_mL","",IFERROR(INDEX('3_可滴定酸度'!$F$6:$F$13,MATCH($I656,'3_可滴定酸度'!$B$6:$B$13,0)),"")))</f>
        <v/>
      </c>
      <c r="N656" s="24">
        <f>IF($A656="","",IF(OR(K656="",L656="",M656=""),"",K656*E656*L656/(M656*1000)*100))</f>
        <v/>
      </c>
      <c r="O656" s="24">
        <f>IF($A656="","",IF(N656="","",IF(COUNTIFS('1_原始數據'!$A$2:$A$1000,$A656,'1_原始數據'!$B$2:$B$1000,$B656,'1_原始數據'!$D$2:$D$1000,$D656,'1_原始數據'!$I$2:$I$1000,$I656,'1_原始數據'!$C$2:$C$1000,"pasco_pct_acid")=0,"",SUMIFS('1_原始數據'!$E$2:$E$1000,'1_原始數據'!$A$2:$A$1000,$A656,'1_原始數據'!$B$2:$B$1000,$B656,'1_原始數據'!$D$2:$D$1000,$D656,'1_原始數據'!$I$2:$I$1000,$I656,'1_原始數據'!$C$2:$C$1000,"pasco_pct_acid"))))</f>
        <v/>
      </c>
      <c r="P656" s="26">
        <f>IF($A656="","",IF(OR(N656="",O656=""),"",O656-N656))</f>
        <v/>
      </c>
      <c r="Q656" s="24">
        <f>IF($A656="","",IF(P656="","",(O656+N656)/2))</f>
        <v/>
      </c>
      <c r="R656" s="27">
        <f>IF($A656="","",IF(P656="","",COUNT($P$2:P656)))</f>
        <v/>
      </c>
    </row>
    <row r="657">
      <c r="J657" s="24">
        <f>IF($A657="","",IF($C657&lt;&gt;"khp_titration_mL","",IF(COUNTIFS('1_原始數據'!$A$2:$A$1000,$A657,'1_原始數據'!$B$2:$B$1000,$B657,'1_原始數據'!$D$2:$D$1000,$D657,'1_原始數據'!$C$2:$C$1000,"khp_mass_g")=0,"",SUMIFS('1_原始數據'!$E$2:$E$1000,'1_原始數據'!$A$2:$A$1000,$A657,'1_原始數據'!$B$2:$B$1000,$B657,'1_原始數據'!$D$2:$D$1000,$D657,'1_原始數據'!$C$2:$C$1000,"khp_mass_g")/('2_NaOH標定'!$C$5*$E657/1000))))</f>
        <v/>
      </c>
      <c r="K657" s="24">
        <f>IF($A657="","",IF($C657&lt;&gt;"manual_titration_mL","",IF(COUNTIFS('1_原始數據'!$A$2:$A$1000,$A657,'1_原始數據'!$C$2:$C$1000,"khp_titration_mL")=0,"",AVERAGEIFS('1_原始數據'!$J$2:$J$1000,'1_原始數據'!$A$2:$A$1000,$A657,'1_原始數據'!$C$2:$C$1000,"khp_titration_mL"))))</f>
        <v/>
      </c>
      <c r="L657" s="25">
        <f>IF($A657="","",IF($C657&lt;&gt;"manual_titration_mL","",IFERROR(INDEX('3_可滴定酸度'!$E$6:$E$13,MATCH($I657,'3_可滴定酸度'!$B$6:$B$13,0)),"")))</f>
        <v/>
      </c>
      <c r="M657" s="25">
        <f>IF($A657="","",IF($C657&lt;&gt;"manual_titration_mL","",IFERROR(INDEX('3_可滴定酸度'!$F$6:$F$13,MATCH($I657,'3_可滴定酸度'!$B$6:$B$13,0)),"")))</f>
        <v/>
      </c>
      <c r="N657" s="24">
        <f>IF($A657="","",IF(OR(K657="",L657="",M657=""),"",K657*E657*L657/(M657*1000)*100))</f>
        <v/>
      </c>
      <c r="O657" s="24">
        <f>IF($A657="","",IF(N657="","",IF(COUNTIFS('1_原始數據'!$A$2:$A$1000,$A657,'1_原始數據'!$B$2:$B$1000,$B657,'1_原始數據'!$D$2:$D$1000,$D657,'1_原始數據'!$I$2:$I$1000,$I657,'1_原始數據'!$C$2:$C$1000,"pasco_pct_acid")=0,"",SUMIFS('1_原始數據'!$E$2:$E$1000,'1_原始數據'!$A$2:$A$1000,$A657,'1_原始數據'!$B$2:$B$1000,$B657,'1_原始數據'!$D$2:$D$1000,$D657,'1_原始數據'!$I$2:$I$1000,$I657,'1_原始數據'!$C$2:$C$1000,"pasco_pct_acid"))))</f>
        <v/>
      </c>
      <c r="P657" s="26">
        <f>IF($A657="","",IF(OR(N657="",O657=""),"",O657-N657))</f>
        <v/>
      </c>
      <c r="Q657" s="24">
        <f>IF($A657="","",IF(P657="","",(O657+N657)/2))</f>
        <v/>
      </c>
      <c r="R657" s="27">
        <f>IF($A657="","",IF(P657="","",COUNT($P$2:P657)))</f>
        <v/>
      </c>
    </row>
    <row r="658">
      <c r="J658" s="24">
        <f>IF($A658="","",IF($C658&lt;&gt;"khp_titration_mL","",IF(COUNTIFS('1_原始數據'!$A$2:$A$1000,$A658,'1_原始數據'!$B$2:$B$1000,$B658,'1_原始數據'!$D$2:$D$1000,$D658,'1_原始數據'!$C$2:$C$1000,"khp_mass_g")=0,"",SUMIFS('1_原始數據'!$E$2:$E$1000,'1_原始數據'!$A$2:$A$1000,$A658,'1_原始數據'!$B$2:$B$1000,$B658,'1_原始數據'!$D$2:$D$1000,$D658,'1_原始數據'!$C$2:$C$1000,"khp_mass_g")/('2_NaOH標定'!$C$5*$E658/1000))))</f>
        <v/>
      </c>
      <c r="K658" s="24">
        <f>IF($A658="","",IF($C658&lt;&gt;"manual_titration_mL","",IF(COUNTIFS('1_原始數據'!$A$2:$A$1000,$A658,'1_原始數據'!$C$2:$C$1000,"khp_titration_mL")=0,"",AVERAGEIFS('1_原始數據'!$J$2:$J$1000,'1_原始數據'!$A$2:$A$1000,$A658,'1_原始數據'!$C$2:$C$1000,"khp_titration_mL"))))</f>
        <v/>
      </c>
      <c r="L658" s="25">
        <f>IF($A658="","",IF($C658&lt;&gt;"manual_titration_mL","",IFERROR(INDEX('3_可滴定酸度'!$E$6:$E$13,MATCH($I658,'3_可滴定酸度'!$B$6:$B$13,0)),"")))</f>
        <v/>
      </c>
      <c r="M658" s="25">
        <f>IF($A658="","",IF($C658&lt;&gt;"manual_titration_mL","",IFERROR(INDEX('3_可滴定酸度'!$F$6:$F$13,MATCH($I658,'3_可滴定酸度'!$B$6:$B$13,0)),"")))</f>
        <v/>
      </c>
      <c r="N658" s="24">
        <f>IF($A658="","",IF(OR(K658="",L658="",M658=""),"",K658*E658*L658/(M658*1000)*100))</f>
        <v/>
      </c>
      <c r="O658" s="24">
        <f>IF($A658="","",IF(N658="","",IF(COUNTIFS('1_原始數據'!$A$2:$A$1000,$A658,'1_原始數據'!$B$2:$B$1000,$B658,'1_原始數據'!$D$2:$D$1000,$D658,'1_原始數據'!$I$2:$I$1000,$I658,'1_原始數據'!$C$2:$C$1000,"pasco_pct_acid")=0,"",SUMIFS('1_原始數據'!$E$2:$E$1000,'1_原始數據'!$A$2:$A$1000,$A658,'1_原始數據'!$B$2:$B$1000,$B658,'1_原始數據'!$D$2:$D$1000,$D658,'1_原始數據'!$I$2:$I$1000,$I658,'1_原始數據'!$C$2:$C$1000,"pasco_pct_acid"))))</f>
        <v/>
      </c>
      <c r="P658" s="26">
        <f>IF($A658="","",IF(OR(N658="",O658=""),"",O658-N658))</f>
        <v/>
      </c>
      <c r="Q658" s="24">
        <f>IF($A658="","",IF(P658="","",(O658+N658)/2))</f>
        <v/>
      </c>
      <c r="R658" s="27">
        <f>IF($A658="","",IF(P658="","",COUNT($P$2:P658)))</f>
        <v/>
      </c>
    </row>
    <row r="659">
      <c r="J659" s="24">
        <f>IF($A659="","",IF($C659&lt;&gt;"khp_titration_mL","",IF(COUNTIFS('1_原始數據'!$A$2:$A$1000,$A659,'1_原始數據'!$B$2:$B$1000,$B659,'1_原始數據'!$D$2:$D$1000,$D659,'1_原始數據'!$C$2:$C$1000,"khp_mass_g")=0,"",SUMIFS('1_原始數據'!$E$2:$E$1000,'1_原始數據'!$A$2:$A$1000,$A659,'1_原始數據'!$B$2:$B$1000,$B659,'1_原始數據'!$D$2:$D$1000,$D659,'1_原始數據'!$C$2:$C$1000,"khp_mass_g")/('2_NaOH標定'!$C$5*$E659/1000))))</f>
        <v/>
      </c>
      <c r="K659" s="24">
        <f>IF($A659="","",IF($C659&lt;&gt;"manual_titration_mL","",IF(COUNTIFS('1_原始數據'!$A$2:$A$1000,$A659,'1_原始數據'!$C$2:$C$1000,"khp_titration_mL")=0,"",AVERAGEIFS('1_原始數據'!$J$2:$J$1000,'1_原始數據'!$A$2:$A$1000,$A659,'1_原始數據'!$C$2:$C$1000,"khp_titration_mL"))))</f>
        <v/>
      </c>
      <c r="L659" s="25">
        <f>IF($A659="","",IF($C659&lt;&gt;"manual_titration_mL","",IFERROR(INDEX('3_可滴定酸度'!$E$6:$E$13,MATCH($I659,'3_可滴定酸度'!$B$6:$B$13,0)),"")))</f>
        <v/>
      </c>
      <c r="M659" s="25">
        <f>IF($A659="","",IF($C659&lt;&gt;"manual_titration_mL","",IFERROR(INDEX('3_可滴定酸度'!$F$6:$F$13,MATCH($I659,'3_可滴定酸度'!$B$6:$B$13,0)),"")))</f>
        <v/>
      </c>
      <c r="N659" s="24">
        <f>IF($A659="","",IF(OR(K659="",L659="",M659=""),"",K659*E659*L659/(M659*1000)*100))</f>
        <v/>
      </c>
      <c r="O659" s="24">
        <f>IF($A659="","",IF(N659="","",IF(COUNTIFS('1_原始數據'!$A$2:$A$1000,$A659,'1_原始數據'!$B$2:$B$1000,$B659,'1_原始數據'!$D$2:$D$1000,$D659,'1_原始數據'!$I$2:$I$1000,$I659,'1_原始數據'!$C$2:$C$1000,"pasco_pct_acid")=0,"",SUMIFS('1_原始數據'!$E$2:$E$1000,'1_原始數據'!$A$2:$A$1000,$A659,'1_原始數據'!$B$2:$B$1000,$B659,'1_原始數據'!$D$2:$D$1000,$D659,'1_原始數據'!$I$2:$I$1000,$I659,'1_原始數據'!$C$2:$C$1000,"pasco_pct_acid"))))</f>
        <v/>
      </c>
      <c r="P659" s="26">
        <f>IF($A659="","",IF(OR(N659="",O659=""),"",O659-N659))</f>
        <v/>
      </c>
      <c r="Q659" s="24">
        <f>IF($A659="","",IF(P659="","",(O659+N659)/2))</f>
        <v/>
      </c>
      <c r="R659" s="27">
        <f>IF($A659="","",IF(P659="","",COUNT($P$2:P659)))</f>
        <v/>
      </c>
    </row>
    <row r="660">
      <c r="J660" s="24">
        <f>IF($A660="","",IF($C660&lt;&gt;"khp_titration_mL","",IF(COUNTIFS('1_原始數據'!$A$2:$A$1000,$A660,'1_原始數據'!$B$2:$B$1000,$B660,'1_原始數據'!$D$2:$D$1000,$D660,'1_原始數據'!$C$2:$C$1000,"khp_mass_g")=0,"",SUMIFS('1_原始數據'!$E$2:$E$1000,'1_原始數據'!$A$2:$A$1000,$A660,'1_原始數據'!$B$2:$B$1000,$B660,'1_原始數據'!$D$2:$D$1000,$D660,'1_原始數據'!$C$2:$C$1000,"khp_mass_g")/('2_NaOH標定'!$C$5*$E660/1000))))</f>
        <v/>
      </c>
      <c r="K660" s="24">
        <f>IF($A660="","",IF($C660&lt;&gt;"manual_titration_mL","",IF(COUNTIFS('1_原始數據'!$A$2:$A$1000,$A660,'1_原始數據'!$C$2:$C$1000,"khp_titration_mL")=0,"",AVERAGEIFS('1_原始數據'!$J$2:$J$1000,'1_原始數據'!$A$2:$A$1000,$A660,'1_原始數據'!$C$2:$C$1000,"khp_titration_mL"))))</f>
        <v/>
      </c>
      <c r="L660" s="25">
        <f>IF($A660="","",IF($C660&lt;&gt;"manual_titration_mL","",IFERROR(INDEX('3_可滴定酸度'!$E$6:$E$13,MATCH($I660,'3_可滴定酸度'!$B$6:$B$13,0)),"")))</f>
        <v/>
      </c>
      <c r="M660" s="25">
        <f>IF($A660="","",IF($C660&lt;&gt;"manual_titration_mL","",IFERROR(INDEX('3_可滴定酸度'!$F$6:$F$13,MATCH($I660,'3_可滴定酸度'!$B$6:$B$13,0)),"")))</f>
        <v/>
      </c>
      <c r="N660" s="24">
        <f>IF($A660="","",IF(OR(K660="",L660="",M660=""),"",K660*E660*L660/(M660*1000)*100))</f>
        <v/>
      </c>
      <c r="O660" s="24">
        <f>IF($A660="","",IF(N660="","",IF(COUNTIFS('1_原始數據'!$A$2:$A$1000,$A660,'1_原始數據'!$B$2:$B$1000,$B660,'1_原始數據'!$D$2:$D$1000,$D660,'1_原始數據'!$I$2:$I$1000,$I660,'1_原始數據'!$C$2:$C$1000,"pasco_pct_acid")=0,"",SUMIFS('1_原始數據'!$E$2:$E$1000,'1_原始數據'!$A$2:$A$1000,$A660,'1_原始數據'!$B$2:$B$1000,$B660,'1_原始數據'!$D$2:$D$1000,$D660,'1_原始數據'!$I$2:$I$1000,$I660,'1_原始數據'!$C$2:$C$1000,"pasco_pct_acid"))))</f>
        <v/>
      </c>
      <c r="P660" s="26">
        <f>IF($A660="","",IF(OR(N660="",O660=""),"",O660-N660))</f>
        <v/>
      </c>
      <c r="Q660" s="24">
        <f>IF($A660="","",IF(P660="","",(O660+N660)/2))</f>
        <v/>
      </c>
      <c r="R660" s="27">
        <f>IF($A660="","",IF(P660="","",COUNT($P$2:P660)))</f>
        <v/>
      </c>
    </row>
    <row r="661">
      <c r="J661" s="24">
        <f>IF($A661="","",IF($C661&lt;&gt;"khp_titration_mL","",IF(COUNTIFS('1_原始數據'!$A$2:$A$1000,$A661,'1_原始數據'!$B$2:$B$1000,$B661,'1_原始數據'!$D$2:$D$1000,$D661,'1_原始數據'!$C$2:$C$1000,"khp_mass_g")=0,"",SUMIFS('1_原始數據'!$E$2:$E$1000,'1_原始數據'!$A$2:$A$1000,$A661,'1_原始數據'!$B$2:$B$1000,$B661,'1_原始數據'!$D$2:$D$1000,$D661,'1_原始數據'!$C$2:$C$1000,"khp_mass_g")/('2_NaOH標定'!$C$5*$E661/1000))))</f>
        <v/>
      </c>
      <c r="K661" s="24">
        <f>IF($A661="","",IF($C661&lt;&gt;"manual_titration_mL","",IF(COUNTIFS('1_原始數據'!$A$2:$A$1000,$A661,'1_原始數據'!$C$2:$C$1000,"khp_titration_mL")=0,"",AVERAGEIFS('1_原始數據'!$J$2:$J$1000,'1_原始數據'!$A$2:$A$1000,$A661,'1_原始數據'!$C$2:$C$1000,"khp_titration_mL"))))</f>
        <v/>
      </c>
      <c r="L661" s="25">
        <f>IF($A661="","",IF($C661&lt;&gt;"manual_titration_mL","",IFERROR(INDEX('3_可滴定酸度'!$E$6:$E$13,MATCH($I661,'3_可滴定酸度'!$B$6:$B$13,0)),"")))</f>
        <v/>
      </c>
      <c r="M661" s="25">
        <f>IF($A661="","",IF($C661&lt;&gt;"manual_titration_mL","",IFERROR(INDEX('3_可滴定酸度'!$F$6:$F$13,MATCH($I661,'3_可滴定酸度'!$B$6:$B$13,0)),"")))</f>
        <v/>
      </c>
      <c r="N661" s="24">
        <f>IF($A661="","",IF(OR(K661="",L661="",M661=""),"",K661*E661*L661/(M661*1000)*100))</f>
        <v/>
      </c>
      <c r="O661" s="24">
        <f>IF($A661="","",IF(N661="","",IF(COUNTIFS('1_原始數據'!$A$2:$A$1000,$A661,'1_原始數據'!$B$2:$B$1000,$B661,'1_原始數據'!$D$2:$D$1000,$D661,'1_原始數據'!$I$2:$I$1000,$I661,'1_原始數據'!$C$2:$C$1000,"pasco_pct_acid")=0,"",SUMIFS('1_原始數據'!$E$2:$E$1000,'1_原始數據'!$A$2:$A$1000,$A661,'1_原始數據'!$B$2:$B$1000,$B661,'1_原始數據'!$D$2:$D$1000,$D661,'1_原始數據'!$I$2:$I$1000,$I661,'1_原始數據'!$C$2:$C$1000,"pasco_pct_acid"))))</f>
        <v/>
      </c>
      <c r="P661" s="26">
        <f>IF($A661="","",IF(OR(N661="",O661=""),"",O661-N661))</f>
        <v/>
      </c>
      <c r="Q661" s="24">
        <f>IF($A661="","",IF(P661="","",(O661+N661)/2))</f>
        <v/>
      </c>
      <c r="R661" s="27">
        <f>IF($A661="","",IF(P661="","",COUNT($P$2:P661)))</f>
        <v/>
      </c>
    </row>
    <row r="662">
      <c r="J662" s="24">
        <f>IF($A662="","",IF($C662&lt;&gt;"khp_titration_mL","",IF(COUNTIFS('1_原始數據'!$A$2:$A$1000,$A662,'1_原始數據'!$B$2:$B$1000,$B662,'1_原始數據'!$D$2:$D$1000,$D662,'1_原始數據'!$C$2:$C$1000,"khp_mass_g")=0,"",SUMIFS('1_原始數據'!$E$2:$E$1000,'1_原始數據'!$A$2:$A$1000,$A662,'1_原始數據'!$B$2:$B$1000,$B662,'1_原始數據'!$D$2:$D$1000,$D662,'1_原始數據'!$C$2:$C$1000,"khp_mass_g")/('2_NaOH標定'!$C$5*$E662/1000))))</f>
        <v/>
      </c>
      <c r="K662" s="24">
        <f>IF($A662="","",IF($C662&lt;&gt;"manual_titration_mL","",IF(COUNTIFS('1_原始數據'!$A$2:$A$1000,$A662,'1_原始數據'!$C$2:$C$1000,"khp_titration_mL")=0,"",AVERAGEIFS('1_原始數據'!$J$2:$J$1000,'1_原始數據'!$A$2:$A$1000,$A662,'1_原始數據'!$C$2:$C$1000,"khp_titration_mL"))))</f>
        <v/>
      </c>
      <c r="L662" s="25">
        <f>IF($A662="","",IF($C662&lt;&gt;"manual_titration_mL","",IFERROR(INDEX('3_可滴定酸度'!$E$6:$E$13,MATCH($I662,'3_可滴定酸度'!$B$6:$B$13,0)),"")))</f>
        <v/>
      </c>
      <c r="M662" s="25">
        <f>IF($A662="","",IF($C662&lt;&gt;"manual_titration_mL","",IFERROR(INDEX('3_可滴定酸度'!$F$6:$F$13,MATCH($I662,'3_可滴定酸度'!$B$6:$B$13,0)),"")))</f>
        <v/>
      </c>
      <c r="N662" s="24">
        <f>IF($A662="","",IF(OR(K662="",L662="",M662=""),"",K662*E662*L662/(M662*1000)*100))</f>
        <v/>
      </c>
      <c r="O662" s="24">
        <f>IF($A662="","",IF(N662="","",IF(COUNTIFS('1_原始數據'!$A$2:$A$1000,$A662,'1_原始數據'!$B$2:$B$1000,$B662,'1_原始數據'!$D$2:$D$1000,$D662,'1_原始數據'!$I$2:$I$1000,$I662,'1_原始數據'!$C$2:$C$1000,"pasco_pct_acid")=0,"",SUMIFS('1_原始數據'!$E$2:$E$1000,'1_原始數據'!$A$2:$A$1000,$A662,'1_原始數據'!$B$2:$B$1000,$B662,'1_原始數據'!$D$2:$D$1000,$D662,'1_原始數據'!$I$2:$I$1000,$I662,'1_原始數據'!$C$2:$C$1000,"pasco_pct_acid"))))</f>
        <v/>
      </c>
      <c r="P662" s="26">
        <f>IF($A662="","",IF(OR(N662="",O662=""),"",O662-N662))</f>
        <v/>
      </c>
      <c r="Q662" s="24">
        <f>IF($A662="","",IF(P662="","",(O662+N662)/2))</f>
        <v/>
      </c>
      <c r="R662" s="27">
        <f>IF($A662="","",IF(P662="","",COUNT($P$2:P662)))</f>
        <v/>
      </c>
    </row>
    <row r="663">
      <c r="J663" s="24">
        <f>IF($A663="","",IF($C663&lt;&gt;"khp_titration_mL","",IF(COUNTIFS('1_原始數據'!$A$2:$A$1000,$A663,'1_原始數據'!$B$2:$B$1000,$B663,'1_原始數據'!$D$2:$D$1000,$D663,'1_原始數據'!$C$2:$C$1000,"khp_mass_g")=0,"",SUMIFS('1_原始數據'!$E$2:$E$1000,'1_原始數據'!$A$2:$A$1000,$A663,'1_原始數據'!$B$2:$B$1000,$B663,'1_原始數據'!$D$2:$D$1000,$D663,'1_原始數據'!$C$2:$C$1000,"khp_mass_g")/('2_NaOH標定'!$C$5*$E663/1000))))</f>
        <v/>
      </c>
      <c r="K663" s="24">
        <f>IF($A663="","",IF($C663&lt;&gt;"manual_titration_mL","",IF(COUNTIFS('1_原始數據'!$A$2:$A$1000,$A663,'1_原始數據'!$C$2:$C$1000,"khp_titration_mL")=0,"",AVERAGEIFS('1_原始數據'!$J$2:$J$1000,'1_原始數據'!$A$2:$A$1000,$A663,'1_原始數據'!$C$2:$C$1000,"khp_titration_mL"))))</f>
        <v/>
      </c>
      <c r="L663" s="25">
        <f>IF($A663="","",IF($C663&lt;&gt;"manual_titration_mL","",IFERROR(INDEX('3_可滴定酸度'!$E$6:$E$13,MATCH($I663,'3_可滴定酸度'!$B$6:$B$13,0)),"")))</f>
        <v/>
      </c>
      <c r="M663" s="25">
        <f>IF($A663="","",IF($C663&lt;&gt;"manual_titration_mL","",IFERROR(INDEX('3_可滴定酸度'!$F$6:$F$13,MATCH($I663,'3_可滴定酸度'!$B$6:$B$13,0)),"")))</f>
        <v/>
      </c>
      <c r="N663" s="24">
        <f>IF($A663="","",IF(OR(K663="",L663="",M663=""),"",K663*E663*L663/(M663*1000)*100))</f>
        <v/>
      </c>
      <c r="O663" s="24">
        <f>IF($A663="","",IF(N663="","",IF(COUNTIFS('1_原始數據'!$A$2:$A$1000,$A663,'1_原始數據'!$B$2:$B$1000,$B663,'1_原始數據'!$D$2:$D$1000,$D663,'1_原始數據'!$I$2:$I$1000,$I663,'1_原始數據'!$C$2:$C$1000,"pasco_pct_acid")=0,"",SUMIFS('1_原始數據'!$E$2:$E$1000,'1_原始數據'!$A$2:$A$1000,$A663,'1_原始數據'!$B$2:$B$1000,$B663,'1_原始數據'!$D$2:$D$1000,$D663,'1_原始數據'!$I$2:$I$1000,$I663,'1_原始數據'!$C$2:$C$1000,"pasco_pct_acid"))))</f>
        <v/>
      </c>
      <c r="P663" s="26">
        <f>IF($A663="","",IF(OR(N663="",O663=""),"",O663-N663))</f>
        <v/>
      </c>
      <c r="Q663" s="24">
        <f>IF($A663="","",IF(P663="","",(O663+N663)/2))</f>
        <v/>
      </c>
      <c r="R663" s="27">
        <f>IF($A663="","",IF(P663="","",COUNT($P$2:P663)))</f>
        <v/>
      </c>
    </row>
    <row r="664">
      <c r="J664" s="24">
        <f>IF($A664="","",IF($C664&lt;&gt;"khp_titration_mL","",IF(COUNTIFS('1_原始數據'!$A$2:$A$1000,$A664,'1_原始數據'!$B$2:$B$1000,$B664,'1_原始數據'!$D$2:$D$1000,$D664,'1_原始數據'!$C$2:$C$1000,"khp_mass_g")=0,"",SUMIFS('1_原始數據'!$E$2:$E$1000,'1_原始數據'!$A$2:$A$1000,$A664,'1_原始數據'!$B$2:$B$1000,$B664,'1_原始數據'!$D$2:$D$1000,$D664,'1_原始數據'!$C$2:$C$1000,"khp_mass_g")/('2_NaOH標定'!$C$5*$E664/1000))))</f>
        <v/>
      </c>
      <c r="K664" s="24">
        <f>IF($A664="","",IF($C664&lt;&gt;"manual_titration_mL","",IF(COUNTIFS('1_原始數據'!$A$2:$A$1000,$A664,'1_原始數據'!$C$2:$C$1000,"khp_titration_mL")=0,"",AVERAGEIFS('1_原始數據'!$J$2:$J$1000,'1_原始數據'!$A$2:$A$1000,$A664,'1_原始數據'!$C$2:$C$1000,"khp_titration_mL"))))</f>
        <v/>
      </c>
      <c r="L664" s="25">
        <f>IF($A664="","",IF($C664&lt;&gt;"manual_titration_mL","",IFERROR(INDEX('3_可滴定酸度'!$E$6:$E$13,MATCH($I664,'3_可滴定酸度'!$B$6:$B$13,0)),"")))</f>
        <v/>
      </c>
      <c r="M664" s="25">
        <f>IF($A664="","",IF($C664&lt;&gt;"manual_titration_mL","",IFERROR(INDEX('3_可滴定酸度'!$F$6:$F$13,MATCH($I664,'3_可滴定酸度'!$B$6:$B$13,0)),"")))</f>
        <v/>
      </c>
      <c r="N664" s="24">
        <f>IF($A664="","",IF(OR(K664="",L664="",M664=""),"",K664*E664*L664/(M664*1000)*100))</f>
        <v/>
      </c>
      <c r="O664" s="24">
        <f>IF($A664="","",IF(N664="","",IF(COUNTIFS('1_原始數據'!$A$2:$A$1000,$A664,'1_原始數據'!$B$2:$B$1000,$B664,'1_原始數據'!$D$2:$D$1000,$D664,'1_原始數據'!$I$2:$I$1000,$I664,'1_原始數據'!$C$2:$C$1000,"pasco_pct_acid")=0,"",SUMIFS('1_原始數據'!$E$2:$E$1000,'1_原始數據'!$A$2:$A$1000,$A664,'1_原始數據'!$B$2:$B$1000,$B664,'1_原始數據'!$D$2:$D$1000,$D664,'1_原始數據'!$I$2:$I$1000,$I664,'1_原始數據'!$C$2:$C$1000,"pasco_pct_acid"))))</f>
        <v/>
      </c>
      <c r="P664" s="26">
        <f>IF($A664="","",IF(OR(N664="",O664=""),"",O664-N664))</f>
        <v/>
      </c>
      <c r="Q664" s="24">
        <f>IF($A664="","",IF(P664="","",(O664+N664)/2))</f>
        <v/>
      </c>
      <c r="R664" s="27">
        <f>IF($A664="","",IF(P664="","",COUNT($P$2:P664)))</f>
        <v/>
      </c>
    </row>
    <row r="665">
      <c r="J665" s="24">
        <f>IF($A665="","",IF($C665&lt;&gt;"khp_titration_mL","",IF(COUNTIFS('1_原始數據'!$A$2:$A$1000,$A665,'1_原始數據'!$B$2:$B$1000,$B665,'1_原始數據'!$D$2:$D$1000,$D665,'1_原始數據'!$C$2:$C$1000,"khp_mass_g")=0,"",SUMIFS('1_原始數據'!$E$2:$E$1000,'1_原始數據'!$A$2:$A$1000,$A665,'1_原始數據'!$B$2:$B$1000,$B665,'1_原始數據'!$D$2:$D$1000,$D665,'1_原始數據'!$C$2:$C$1000,"khp_mass_g")/('2_NaOH標定'!$C$5*$E665/1000))))</f>
        <v/>
      </c>
      <c r="K665" s="24">
        <f>IF($A665="","",IF($C665&lt;&gt;"manual_titration_mL","",IF(COUNTIFS('1_原始數據'!$A$2:$A$1000,$A665,'1_原始數據'!$C$2:$C$1000,"khp_titration_mL")=0,"",AVERAGEIFS('1_原始數據'!$J$2:$J$1000,'1_原始數據'!$A$2:$A$1000,$A665,'1_原始數據'!$C$2:$C$1000,"khp_titration_mL"))))</f>
        <v/>
      </c>
      <c r="L665" s="25">
        <f>IF($A665="","",IF($C665&lt;&gt;"manual_titration_mL","",IFERROR(INDEX('3_可滴定酸度'!$E$6:$E$13,MATCH($I665,'3_可滴定酸度'!$B$6:$B$13,0)),"")))</f>
        <v/>
      </c>
      <c r="M665" s="25">
        <f>IF($A665="","",IF($C665&lt;&gt;"manual_titration_mL","",IFERROR(INDEX('3_可滴定酸度'!$F$6:$F$13,MATCH($I665,'3_可滴定酸度'!$B$6:$B$13,0)),"")))</f>
        <v/>
      </c>
      <c r="N665" s="24">
        <f>IF($A665="","",IF(OR(K665="",L665="",M665=""),"",K665*E665*L665/(M665*1000)*100))</f>
        <v/>
      </c>
      <c r="O665" s="24">
        <f>IF($A665="","",IF(N665="","",IF(COUNTIFS('1_原始數據'!$A$2:$A$1000,$A665,'1_原始數據'!$B$2:$B$1000,$B665,'1_原始數據'!$D$2:$D$1000,$D665,'1_原始數據'!$I$2:$I$1000,$I665,'1_原始數據'!$C$2:$C$1000,"pasco_pct_acid")=0,"",SUMIFS('1_原始數據'!$E$2:$E$1000,'1_原始數據'!$A$2:$A$1000,$A665,'1_原始數據'!$B$2:$B$1000,$B665,'1_原始數據'!$D$2:$D$1000,$D665,'1_原始數據'!$I$2:$I$1000,$I665,'1_原始數據'!$C$2:$C$1000,"pasco_pct_acid"))))</f>
        <v/>
      </c>
      <c r="P665" s="26">
        <f>IF($A665="","",IF(OR(N665="",O665=""),"",O665-N665))</f>
        <v/>
      </c>
      <c r="Q665" s="24">
        <f>IF($A665="","",IF(P665="","",(O665+N665)/2))</f>
        <v/>
      </c>
      <c r="R665" s="27">
        <f>IF($A665="","",IF(P665="","",COUNT($P$2:P665)))</f>
        <v/>
      </c>
    </row>
    <row r="666">
      <c r="J666" s="24">
        <f>IF($A666="","",IF($C666&lt;&gt;"khp_titration_mL","",IF(COUNTIFS('1_原始數據'!$A$2:$A$1000,$A666,'1_原始數據'!$B$2:$B$1000,$B666,'1_原始數據'!$D$2:$D$1000,$D666,'1_原始數據'!$C$2:$C$1000,"khp_mass_g")=0,"",SUMIFS('1_原始數據'!$E$2:$E$1000,'1_原始數據'!$A$2:$A$1000,$A666,'1_原始數據'!$B$2:$B$1000,$B666,'1_原始數據'!$D$2:$D$1000,$D666,'1_原始數據'!$C$2:$C$1000,"khp_mass_g")/('2_NaOH標定'!$C$5*$E666/1000))))</f>
        <v/>
      </c>
      <c r="K666" s="24">
        <f>IF($A666="","",IF($C666&lt;&gt;"manual_titration_mL","",IF(COUNTIFS('1_原始數據'!$A$2:$A$1000,$A666,'1_原始數據'!$C$2:$C$1000,"khp_titration_mL")=0,"",AVERAGEIFS('1_原始數據'!$J$2:$J$1000,'1_原始數據'!$A$2:$A$1000,$A666,'1_原始數據'!$C$2:$C$1000,"khp_titration_mL"))))</f>
        <v/>
      </c>
      <c r="L666" s="25">
        <f>IF($A666="","",IF($C666&lt;&gt;"manual_titration_mL","",IFERROR(INDEX('3_可滴定酸度'!$E$6:$E$13,MATCH($I666,'3_可滴定酸度'!$B$6:$B$13,0)),"")))</f>
        <v/>
      </c>
      <c r="M666" s="25">
        <f>IF($A666="","",IF($C666&lt;&gt;"manual_titration_mL","",IFERROR(INDEX('3_可滴定酸度'!$F$6:$F$13,MATCH($I666,'3_可滴定酸度'!$B$6:$B$13,0)),"")))</f>
        <v/>
      </c>
      <c r="N666" s="24">
        <f>IF($A666="","",IF(OR(K666="",L666="",M666=""),"",K666*E666*L666/(M666*1000)*100))</f>
        <v/>
      </c>
      <c r="O666" s="24">
        <f>IF($A666="","",IF(N666="","",IF(COUNTIFS('1_原始數據'!$A$2:$A$1000,$A666,'1_原始數據'!$B$2:$B$1000,$B666,'1_原始數據'!$D$2:$D$1000,$D666,'1_原始數據'!$I$2:$I$1000,$I666,'1_原始數據'!$C$2:$C$1000,"pasco_pct_acid")=0,"",SUMIFS('1_原始數據'!$E$2:$E$1000,'1_原始數據'!$A$2:$A$1000,$A666,'1_原始數據'!$B$2:$B$1000,$B666,'1_原始數據'!$D$2:$D$1000,$D666,'1_原始數據'!$I$2:$I$1000,$I666,'1_原始數據'!$C$2:$C$1000,"pasco_pct_acid"))))</f>
        <v/>
      </c>
      <c r="P666" s="26">
        <f>IF($A666="","",IF(OR(N666="",O666=""),"",O666-N666))</f>
        <v/>
      </c>
      <c r="Q666" s="24">
        <f>IF($A666="","",IF(P666="","",(O666+N666)/2))</f>
        <v/>
      </c>
      <c r="R666" s="27">
        <f>IF($A666="","",IF(P666="","",COUNT($P$2:P666)))</f>
        <v/>
      </c>
    </row>
    <row r="667">
      <c r="J667" s="24">
        <f>IF($A667="","",IF($C667&lt;&gt;"khp_titration_mL","",IF(COUNTIFS('1_原始數據'!$A$2:$A$1000,$A667,'1_原始數據'!$B$2:$B$1000,$B667,'1_原始數據'!$D$2:$D$1000,$D667,'1_原始數據'!$C$2:$C$1000,"khp_mass_g")=0,"",SUMIFS('1_原始數據'!$E$2:$E$1000,'1_原始數據'!$A$2:$A$1000,$A667,'1_原始數據'!$B$2:$B$1000,$B667,'1_原始數據'!$D$2:$D$1000,$D667,'1_原始數據'!$C$2:$C$1000,"khp_mass_g")/('2_NaOH標定'!$C$5*$E667/1000))))</f>
        <v/>
      </c>
      <c r="K667" s="24">
        <f>IF($A667="","",IF($C667&lt;&gt;"manual_titration_mL","",IF(COUNTIFS('1_原始數據'!$A$2:$A$1000,$A667,'1_原始數據'!$C$2:$C$1000,"khp_titration_mL")=0,"",AVERAGEIFS('1_原始數據'!$J$2:$J$1000,'1_原始數據'!$A$2:$A$1000,$A667,'1_原始數據'!$C$2:$C$1000,"khp_titration_mL"))))</f>
        <v/>
      </c>
      <c r="L667" s="25">
        <f>IF($A667="","",IF($C667&lt;&gt;"manual_titration_mL","",IFERROR(INDEX('3_可滴定酸度'!$E$6:$E$13,MATCH($I667,'3_可滴定酸度'!$B$6:$B$13,0)),"")))</f>
        <v/>
      </c>
      <c r="M667" s="25">
        <f>IF($A667="","",IF($C667&lt;&gt;"manual_titration_mL","",IFERROR(INDEX('3_可滴定酸度'!$F$6:$F$13,MATCH($I667,'3_可滴定酸度'!$B$6:$B$13,0)),"")))</f>
        <v/>
      </c>
      <c r="N667" s="24">
        <f>IF($A667="","",IF(OR(K667="",L667="",M667=""),"",K667*E667*L667/(M667*1000)*100))</f>
        <v/>
      </c>
      <c r="O667" s="24">
        <f>IF($A667="","",IF(N667="","",IF(COUNTIFS('1_原始數據'!$A$2:$A$1000,$A667,'1_原始數據'!$B$2:$B$1000,$B667,'1_原始數據'!$D$2:$D$1000,$D667,'1_原始數據'!$I$2:$I$1000,$I667,'1_原始數據'!$C$2:$C$1000,"pasco_pct_acid")=0,"",SUMIFS('1_原始數據'!$E$2:$E$1000,'1_原始數據'!$A$2:$A$1000,$A667,'1_原始數據'!$B$2:$B$1000,$B667,'1_原始數據'!$D$2:$D$1000,$D667,'1_原始數據'!$I$2:$I$1000,$I667,'1_原始數據'!$C$2:$C$1000,"pasco_pct_acid"))))</f>
        <v/>
      </c>
      <c r="P667" s="26">
        <f>IF($A667="","",IF(OR(N667="",O667=""),"",O667-N667))</f>
        <v/>
      </c>
      <c r="Q667" s="24">
        <f>IF($A667="","",IF(P667="","",(O667+N667)/2))</f>
        <v/>
      </c>
      <c r="R667" s="27">
        <f>IF($A667="","",IF(P667="","",COUNT($P$2:P667)))</f>
        <v/>
      </c>
    </row>
    <row r="668">
      <c r="J668" s="24">
        <f>IF($A668="","",IF($C668&lt;&gt;"khp_titration_mL","",IF(COUNTIFS('1_原始數據'!$A$2:$A$1000,$A668,'1_原始數據'!$B$2:$B$1000,$B668,'1_原始數據'!$D$2:$D$1000,$D668,'1_原始數據'!$C$2:$C$1000,"khp_mass_g")=0,"",SUMIFS('1_原始數據'!$E$2:$E$1000,'1_原始數據'!$A$2:$A$1000,$A668,'1_原始數據'!$B$2:$B$1000,$B668,'1_原始數據'!$D$2:$D$1000,$D668,'1_原始數據'!$C$2:$C$1000,"khp_mass_g")/('2_NaOH標定'!$C$5*$E668/1000))))</f>
        <v/>
      </c>
      <c r="K668" s="24">
        <f>IF($A668="","",IF($C668&lt;&gt;"manual_titration_mL","",IF(COUNTIFS('1_原始數據'!$A$2:$A$1000,$A668,'1_原始數據'!$C$2:$C$1000,"khp_titration_mL")=0,"",AVERAGEIFS('1_原始數據'!$J$2:$J$1000,'1_原始數據'!$A$2:$A$1000,$A668,'1_原始數據'!$C$2:$C$1000,"khp_titration_mL"))))</f>
        <v/>
      </c>
      <c r="L668" s="25">
        <f>IF($A668="","",IF($C668&lt;&gt;"manual_titration_mL","",IFERROR(INDEX('3_可滴定酸度'!$E$6:$E$13,MATCH($I668,'3_可滴定酸度'!$B$6:$B$13,0)),"")))</f>
        <v/>
      </c>
      <c r="M668" s="25">
        <f>IF($A668="","",IF($C668&lt;&gt;"manual_titration_mL","",IFERROR(INDEX('3_可滴定酸度'!$F$6:$F$13,MATCH($I668,'3_可滴定酸度'!$B$6:$B$13,0)),"")))</f>
        <v/>
      </c>
      <c r="N668" s="24">
        <f>IF($A668="","",IF(OR(K668="",L668="",M668=""),"",K668*E668*L668/(M668*1000)*100))</f>
        <v/>
      </c>
      <c r="O668" s="24">
        <f>IF($A668="","",IF(N668="","",IF(COUNTIFS('1_原始數據'!$A$2:$A$1000,$A668,'1_原始數據'!$B$2:$B$1000,$B668,'1_原始數據'!$D$2:$D$1000,$D668,'1_原始數據'!$I$2:$I$1000,$I668,'1_原始數據'!$C$2:$C$1000,"pasco_pct_acid")=0,"",SUMIFS('1_原始數據'!$E$2:$E$1000,'1_原始數據'!$A$2:$A$1000,$A668,'1_原始數據'!$B$2:$B$1000,$B668,'1_原始數據'!$D$2:$D$1000,$D668,'1_原始數據'!$I$2:$I$1000,$I668,'1_原始數據'!$C$2:$C$1000,"pasco_pct_acid"))))</f>
        <v/>
      </c>
      <c r="P668" s="26">
        <f>IF($A668="","",IF(OR(N668="",O668=""),"",O668-N668))</f>
        <v/>
      </c>
      <c r="Q668" s="24">
        <f>IF($A668="","",IF(P668="","",(O668+N668)/2))</f>
        <v/>
      </c>
      <c r="R668" s="27">
        <f>IF($A668="","",IF(P668="","",COUNT($P$2:P668)))</f>
        <v/>
      </c>
    </row>
    <row r="669">
      <c r="J669" s="24">
        <f>IF($A669="","",IF($C669&lt;&gt;"khp_titration_mL","",IF(COUNTIFS('1_原始數據'!$A$2:$A$1000,$A669,'1_原始數據'!$B$2:$B$1000,$B669,'1_原始數據'!$D$2:$D$1000,$D669,'1_原始數據'!$C$2:$C$1000,"khp_mass_g")=0,"",SUMIFS('1_原始數據'!$E$2:$E$1000,'1_原始數據'!$A$2:$A$1000,$A669,'1_原始數據'!$B$2:$B$1000,$B669,'1_原始數據'!$D$2:$D$1000,$D669,'1_原始數據'!$C$2:$C$1000,"khp_mass_g")/('2_NaOH標定'!$C$5*$E669/1000))))</f>
        <v/>
      </c>
      <c r="K669" s="24">
        <f>IF($A669="","",IF($C669&lt;&gt;"manual_titration_mL","",IF(COUNTIFS('1_原始數據'!$A$2:$A$1000,$A669,'1_原始數據'!$C$2:$C$1000,"khp_titration_mL")=0,"",AVERAGEIFS('1_原始數據'!$J$2:$J$1000,'1_原始數據'!$A$2:$A$1000,$A669,'1_原始數據'!$C$2:$C$1000,"khp_titration_mL"))))</f>
        <v/>
      </c>
      <c r="L669" s="25">
        <f>IF($A669="","",IF($C669&lt;&gt;"manual_titration_mL","",IFERROR(INDEX('3_可滴定酸度'!$E$6:$E$13,MATCH($I669,'3_可滴定酸度'!$B$6:$B$13,0)),"")))</f>
        <v/>
      </c>
      <c r="M669" s="25">
        <f>IF($A669="","",IF($C669&lt;&gt;"manual_titration_mL","",IFERROR(INDEX('3_可滴定酸度'!$F$6:$F$13,MATCH($I669,'3_可滴定酸度'!$B$6:$B$13,0)),"")))</f>
        <v/>
      </c>
      <c r="N669" s="24">
        <f>IF($A669="","",IF(OR(K669="",L669="",M669=""),"",K669*E669*L669/(M669*1000)*100))</f>
        <v/>
      </c>
      <c r="O669" s="24">
        <f>IF($A669="","",IF(N669="","",IF(COUNTIFS('1_原始數據'!$A$2:$A$1000,$A669,'1_原始數據'!$B$2:$B$1000,$B669,'1_原始數據'!$D$2:$D$1000,$D669,'1_原始數據'!$I$2:$I$1000,$I669,'1_原始數據'!$C$2:$C$1000,"pasco_pct_acid")=0,"",SUMIFS('1_原始數據'!$E$2:$E$1000,'1_原始數據'!$A$2:$A$1000,$A669,'1_原始數據'!$B$2:$B$1000,$B669,'1_原始數據'!$D$2:$D$1000,$D669,'1_原始數據'!$I$2:$I$1000,$I669,'1_原始數據'!$C$2:$C$1000,"pasco_pct_acid"))))</f>
        <v/>
      </c>
      <c r="P669" s="26">
        <f>IF($A669="","",IF(OR(N669="",O669=""),"",O669-N669))</f>
        <v/>
      </c>
      <c r="Q669" s="24">
        <f>IF($A669="","",IF(P669="","",(O669+N669)/2))</f>
        <v/>
      </c>
      <c r="R669" s="27">
        <f>IF($A669="","",IF(P669="","",COUNT($P$2:P669)))</f>
        <v/>
      </c>
    </row>
    <row r="670">
      <c r="J670" s="24">
        <f>IF($A670="","",IF($C670&lt;&gt;"khp_titration_mL","",IF(COUNTIFS('1_原始數據'!$A$2:$A$1000,$A670,'1_原始數據'!$B$2:$B$1000,$B670,'1_原始數據'!$D$2:$D$1000,$D670,'1_原始數據'!$C$2:$C$1000,"khp_mass_g")=0,"",SUMIFS('1_原始數據'!$E$2:$E$1000,'1_原始數據'!$A$2:$A$1000,$A670,'1_原始數據'!$B$2:$B$1000,$B670,'1_原始數據'!$D$2:$D$1000,$D670,'1_原始數據'!$C$2:$C$1000,"khp_mass_g")/('2_NaOH標定'!$C$5*$E670/1000))))</f>
        <v/>
      </c>
      <c r="K670" s="24">
        <f>IF($A670="","",IF($C670&lt;&gt;"manual_titration_mL","",IF(COUNTIFS('1_原始數據'!$A$2:$A$1000,$A670,'1_原始數據'!$C$2:$C$1000,"khp_titration_mL")=0,"",AVERAGEIFS('1_原始數據'!$J$2:$J$1000,'1_原始數據'!$A$2:$A$1000,$A670,'1_原始數據'!$C$2:$C$1000,"khp_titration_mL"))))</f>
        <v/>
      </c>
      <c r="L670" s="25">
        <f>IF($A670="","",IF($C670&lt;&gt;"manual_titration_mL","",IFERROR(INDEX('3_可滴定酸度'!$E$6:$E$13,MATCH($I670,'3_可滴定酸度'!$B$6:$B$13,0)),"")))</f>
        <v/>
      </c>
      <c r="M670" s="25">
        <f>IF($A670="","",IF($C670&lt;&gt;"manual_titration_mL","",IFERROR(INDEX('3_可滴定酸度'!$F$6:$F$13,MATCH($I670,'3_可滴定酸度'!$B$6:$B$13,0)),"")))</f>
        <v/>
      </c>
      <c r="N670" s="24">
        <f>IF($A670="","",IF(OR(K670="",L670="",M670=""),"",K670*E670*L670/(M670*1000)*100))</f>
        <v/>
      </c>
      <c r="O670" s="24">
        <f>IF($A670="","",IF(N670="","",IF(COUNTIFS('1_原始數據'!$A$2:$A$1000,$A670,'1_原始數據'!$B$2:$B$1000,$B670,'1_原始數據'!$D$2:$D$1000,$D670,'1_原始數據'!$I$2:$I$1000,$I670,'1_原始數據'!$C$2:$C$1000,"pasco_pct_acid")=0,"",SUMIFS('1_原始數據'!$E$2:$E$1000,'1_原始數據'!$A$2:$A$1000,$A670,'1_原始數據'!$B$2:$B$1000,$B670,'1_原始數據'!$D$2:$D$1000,$D670,'1_原始數據'!$I$2:$I$1000,$I670,'1_原始數據'!$C$2:$C$1000,"pasco_pct_acid"))))</f>
        <v/>
      </c>
      <c r="P670" s="26">
        <f>IF($A670="","",IF(OR(N670="",O670=""),"",O670-N670))</f>
        <v/>
      </c>
      <c r="Q670" s="24">
        <f>IF($A670="","",IF(P670="","",(O670+N670)/2))</f>
        <v/>
      </c>
      <c r="R670" s="27">
        <f>IF($A670="","",IF(P670="","",COUNT($P$2:P670)))</f>
        <v/>
      </c>
    </row>
    <row r="671">
      <c r="J671" s="24">
        <f>IF($A671="","",IF($C671&lt;&gt;"khp_titration_mL","",IF(COUNTIFS('1_原始數據'!$A$2:$A$1000,$A671,'1_原始數據'!$B$2:$B$1000,$B671,'1_原始數據'!$D$2:$D$1000,$D671,'1_原始數據'!$C$2:$C$1000,"khp_mass_g")=0,"",SUMIFS('1_原始數據'!$E$2:$E$1000,'1_原始數據'!$A$2:$A$1000,$A671,'1_原始數據'!$B$2:$B$1000,$B671,'1_原始數據'!$D$2:$D$1000,$D671,'1_原始數據'!$C$2:$C$1000,"khp_mass_g")/('2_NaOH標定'!$C$5*$E671/1000))))</f>
        <v/>
      </c>
      <c r="K671" s="24">
        <f>IF($A671="","",IF($C671&lt;&gt;"manual_titration_mL","",IF(COUNTIFS('1_原始數據'!$A$2:$A$1000,$A671,'1_原始數據'!$C$2:$C$1000,"khp_titration_mL")=0,"",AVERAGEIFS('1_原始數據'!$J$2:$J$1000,'1_原始數據'!$A$2:$A$1000,$A671,'1_原始數據'!$C$2:$C$1000,"khp_titration_mL"))))</f>
        <v/>
      </c>
      <c r="L671" s="25">
        <f>IF($A671="","",IF($C671&lt;&gt;"manual_titration_mL","",IFERROR(INDEX('3_可滴定酸度'!$E$6:$E$13,MATCH($I671,'3_可滴定酸度'!$B$6:$B$13,0)),"")))</f>
        <v/>
      </c>
      <c r="M671" s="25">
        <f>IF($A671="","",IF($C671&lt;&gt;"manual_titration_mL","",IFERROR(INDEX('3_可滴定酸度'!$F$6:$F$13,MATCH($I671,'3_可滴定酸度'!$B$6:$B$13,0)),"")))</f>
        <v/>
      </c>
      <c r="N671" s="24">
        <f>IF($A671="","",IF(OR(K671="",L671="",M671=""),"",K671*E671*L671/(M671*1000)*100))</f>
        <v/>
      </c>
      <c r="O671" s="24">
        <f>IF($A671="","",IF(N671="","",IF(COUNTIFS('1_原始數據'!$A$2:$A$1000,$A671,'1_原始數據'!$B$2:$B$1000,$B671,'1_原始數據'!$D$2:$D$1000,$D671,'1_原始數據'!$I$2:$I$1000,$I671,'1_原始數據'!$C$2:$C$1000,"pasco_pct_acid")=0,"",SUMIFS('1_原始數據'!$E$2:$E$1000,'1_原始數據'!$A$2:$A$1000,$A671,'1_原始數據'!$B$2:$B$1000,$B671,'1_原始數據'!$D$2:$D$1000,$D671,'1_原始數據'!$I$2:$I$1000,$I671,'1_原始數據'!$C$2:$C$1000,"pasco_pct_acid"))))</f>
        <v/>
      </c>
      <c r="P671" s="26">
        <f>IF($A671="","",IF(OR(N671="",O671=""),"",O671-N671))</f>
        <v/>
      </c>
      <c r="Q671" s="24">
        <f>IF($A671="","",IF(P671="","",(O671+N671)/2))</f>
        <v/>
      </c>
      <c r="R671" s="27">
        <f>IF($A671="","",IF(P671="","",COUNT($P$2:P671)))</f>
        <v/>
      </c>
    </row>
    <row r="672">
      <c r="J672" s="24">
        <f>IF($A672="","",IF($C672&lt;&gt;"khp_titration_mL","",IF(COUNTIFS('1_原始數據'!$A$2:$A$1000,$A672,'1_原始數據'!$B$2:$B$1000,$B672,'1_原始數據'!$D$2:$D$1000,$D672,'1_原始數據'!$C$2:$C$1000,"khp_mass_g")=0,"",SUMIFS('1_原始數據'!$E$2:$E$1000,'1_原始數據'!$A$2:$A$1000,$A672,'1_原始數據'!$B$2:$B$1000,$B672,'1_原始數據'!$D$2:$D$1000,$D672,'1_原始數據'!$C$2:$C$1000,"khp_mass_g")/('2_NaOH標定'!$C$5*$E672/1000))))</f>
        <v/>
      </c>
      <c r="K672" s="24">
        <f>IF($A672="","",IF($C672&lt;&gt;"manual_titration_mL","",IF(COUNTIFS('1_原始數據'!$A$2:$A$1000,$A672,'1_原始數據'!$C$2:$C$1000,"khp_titration_mL")=0,"",AVERAGEIFS('1_原始數據'!$J$2:$J$1000,'1_原始數據'!$A$2:$A$1000,$A672,'1_原始數據'!$C$2:$C$1000,"khp_titration_mL"))))</f>
        <v/>
      </c>
      <c r="L672" s="25">
        <f>IF($A672="","",IF($C672&lt;&gt;"manual_titration_mL","",IFERROR(INDEX('3_可滴定酸度'!$E$6:$E$13,MATCH($I672,'3_可滴定酸度'!$B$6:$B$13,0)),"")))</f>
        <v/>
      </c>
      <c r="M672" s="25">
        <f>IF($A672="","",IF($C672&lt;&gt;"manual_titration_mL","",IFERROR(INDEX('3_可滴定酸度'!$F$6:$F$13,MATCH($I672,'3_可滴定酸度'!$B$6:$B$13,0)),"")))</f>
        <v/>
      </c>
      <c r="N672" s="24">
        <f>IF($A672="","",IF(OR(K672="",L672="",M672=""),"",K672*E672*L672/(M672*1000)*100))</f>
        <v/>
      </c>
      <c r="O672" s="24">
        <f>IF($A672="","",IF(N672="","",IF(COUNTIFS('1_原始數據'!$A$2:$A$1000,$A672,'1_原始數據'!$B$2:$B$1000,$B672,'1_原始數據'!$D$2:$D$1000,$D672,'1_原始數據'!$I$2:$I$1000,$I672,'1_原始數據'!$C$2:$C$1000,"pasco_pct_acid")=0,"",SUMIFS('1_原始數據'!$E$2:$E$1000,'1_原始數據'!$A$2:$A$1000,$A672,'1_原始數據'!$B$2:$B$1000,$B672,'1_原始數據'!$D$2:$D$1000,$D672,'1_原始數據'!$I$2:$I$1000,$I672,'1_原始數據'!$C$2:$C$1000,"pasco_pct_acid"))))</f>
        <v/>
      </c>
      <c r="P672" s="26">
        <f>IF($A672="","",IF(OR(N672="",O672=""),"",O672-N672))</f>
        <v/>
      </c>
      <c r="Q672" s="24">
        <f>IF($A672="","",IF(P672="","",(O672+N672)/2))</f>
        <v/>
      </c>
      <c r="R672" s="27">
        <f>IF($A672="","",IF(P672="","",COUNT($P$2:P672)))</f>
        <v/>
      </c>
    </row>
    <row r="673">
      <c r="J673" s="24">
        <f>IF($A673="","",IF($C673&lt;&gt;"khp_titration_mL","",IF(COUNTIFS('1_原始數據'!$A$2:$A$1000,$A673,'1_原始數據'!$B$2:$B$1000,$B673,'1_原始數據'!$D$2:$D$1000,$D673,'1_原始數據'!$C$2:$C$1000,"khp_mass_g")=0,"",SUMIFS('1_原始數據'!$E$2:$E$1000,'1_原始數據'!$A$2:$A$1000,$A673,'1_原始數據'!$B$2:$B$1000,$B673,'1_原始數據'!$D$2:$D$1000,$D673,'1_原始數據'!$C$2:$C$1000,"khp_mass_g")/('2_NaOH標定'!$C$5*$E673/1000))))</f>
        <v/>
      </c>
      <c r="K673" s="24">
        <f>IF($A673="","",IF($C673&lt;&gt;"manual_titration_mL","",IF(COUNTIFS('1_原始數據'!$A$2:$A$1000,$A673,'1_原始數據'!$C$2:$C$1000,"khp_titration_mL")=0,"",AVERAGEIFS('1_原始數據'!$J$2:$J$1000,'1_原始數據'!$A$2:$A$1000,$A673,'1_原始數據'!$C$2:$C$1000,"khp_titration_mL"))))</f>
        <v/>
      </c>
      <c r="L673" s="25">
        <f>IF($A673="","",IF($C673&lt;&gt;"manual_titration_mL","",IFERROR(INDEX('3_可滴定酸度'!$E$6:$E$13,MATCH($I673,'3_可滴定酸度'!$B$6:$B$13,0)),"")))</f>
        <v/>
      </c>
      <c r="M673" s="25">
        <f>IF($A673="","",IF($C673&lt;&gt;"manual_titration_mL","",IFERROR(INDEX('3_可滴定酸度'!$F$6:$F$13,MATCH($I673,'3_可滴定酸度'!$B$6:$B$13,0)),"")))</f>
        <v/>
      </c>
      <c r="N673" s="24">
        <f>IF($A673="","",IF(OR(K673="",L673="",M673=""),"",K673*E673*L673/(M673*1000)*100))</f>
        <v/>
      </c>
      <c r="O673" s="24">
        <f>IF($A673="","",IF(N673="","",IF(COUNTIFS('1_原始數據'!$A$2:$A$1000,$A673,'1_原始數據'!$B$2:$B$1000,$B673,'1_原始數據'!$D$2:$D$1000,$D673,'1_原始數據'!$I$2:$I$1000,$I673,'1_原始數據'!$C$2:$C$1000,"pasco_pct_acid")=0,"",SUMIFS('1_原始數據'!$E$2:$E$1000,'1_原始數據'!$A$2:$A$1000,$A673,'1_原始數據'!$B$2:$B$1000,$B673,'1_原始數據'!$D$2:$D$1000,$D673,'1_原始數據'!$I$2:$I$1000,$I673,'1_原始數據'!$C$2:$C$1000,"pasco_pct_acid"))))</f>
        <v/>
      </c>
      <c r="P673" s="26">
        <f>IF($A673="","",IF(OR(N673="",O673=""),"",O673-N673))</f>
        <v/>
      </c>
      <c r="Q673" s="24">
        <f>IF($A673="","",IF(P673="","",(O673+N673)/2))</f>
        <v/>
      </c>
      <c r="R673" s="27">
        <f>IF($A673="","",IF(P673="","",COUNT($P$2:P673)))</f>
        <v/>
      </c>
    </row>
    <row r="674">
      <c r="J674" s="24">
        <f>IF($A674="","",IF($C674&lt;&gt;"khp_titration_mL","",IF(COUNTIFS('1_原始數據'!$A$2:$A$1000,$A674,'1_原始數據'!$B$2:$B$1000,$B674,'1_原始數據'!$D$2:$D$1000,$D674,'1_原始數據'!$C$2:$C$1000,"khp_mass_g")=0,"",SUMIFS('1_原始數據'!$E$2:$E$1000,'1_原始數據'!$A$2:$A$1000,$A674,'1_原始數據'!$B$2:$B$1000,$B674,'1_原始數據'!$D$2:$D$1000,$D674,'1_原始數據'!$C$2:$C$1000,"khp_mass_g")/('2_NaOH標定'!$C$5*$E674/1000))))</f>
        <v/>
      </c>
      <c r="K674" s="24">
        <f>IF($A674="","",IF($C674&lt;&gt;"manual_titration_mL","",IF(COUNTIFS('1_原始數據'!$A$2:$A$1000,$A674,'1_原始數據'!$C$2:$C$1000,"khp_titration_mL")=0,"",AVERAGEIFS('1_原始數據'!$J$2:$J$1000,'1_原始數據'!$A$2:$A$1000,$A674,'1_原始數據'!$C$2:$C$1000,"khp_titration_mL"))))</f>
        <v/>
      </c>
      <c r="L674" s="25">
        <f>IF($A674="","",IF($C674&lt;&gt;"manual_titration_mL","",IFERROR(INDEX('3_可滴定酸度'!$E$6:$E$13,MATCH($I674,'3_可滴定酸度'!$B$6:$B$13,0)),"")))</f>
        <v/>
      </c>
      <c r="M674" s="25">
        <f>IF($A674="","",IF($C674&lt;&gt;"manual_titration_mL","",IFERROR(INDEX('3_可滴定酸度'!$F$6:$F$13,MATCH($I674,'3_可滴定酸度'!$B$6:$B$13,0)),"")))</f>
        <v/>
      </c>
      <c r="N674" s="24">
        <f>IF($A674="","",IF(OR(K674="",L674="",M674=""),"",K674*E674*L674/(M674*1000)*100))</f>
        <v/>
      </c>
      <c r="O674" s="24">
        <f>IF($A674="","",IF(N674="","",IF(COUNTIFS('1_原始數據'!$A$2:$A$1000,$A674,'1_原始數據'!$B$2:$B$1000,$B674,'1_原始數據'!$D$2:$D$1000,$D674,'1_原始數據'!$I$2:$I$1000,$I674,'1_原始數據'!$C$2:$C$1000,"pasco_pct_acid")=0,"",SUMIFS('1_原始數據'!$E$2:$E$1000,'1_原始數據'!$A$2:$A$1000,$A674,'1_原始數據'!$B$2:$B$1000,$B674,'1_原始數據'!$D$2:$D$1000,$D674,'1_原始數據'!$I$2:$I$1000,$I674,'1_原始數據'!$C$2:$C$1000,"pasco_pct_acid"))))</f>
        <v/>
      </c>
      <c r="P674" s="26">
        <f>IF($A674="","",IF(OR(N674="",O674=""),"",O674-N674))</f>
        <v/>
      </c>
      <c r="Q674" s="24">
        <f>IF($A674="","",IF(P674="","",(O674+N674)/2))</f>
        <v/>
      </c>
      <c r="R674" s="27">
        <f>IF($A674="","",IF(P674="","",COUNT($P$2:P674)))</f>
        <v/>
      </c>
    </row>
    <row r="675">
      <c r="J675" s="24">
        <f>IF($A675="","",IF($C675&lt;&gt;"khp_titration_mL","",IF(COUNTIFS('1_原始數據'!$A$2:$A$1000,$A675,'1_原始數據'!$B$2:$B$1000,$B675,'1_原始數據'!$D$2:$D$1000,$D675,'1_原始數據'!$C$2:$C$1000,"khp_mass_g")=0,"",SUMIFS('1_原始數據'!$E$2:$E$1000,'1_原始數據'!$A$2:$A$1000,$A675,'1_原始數據'!$B$2:$B$1000,$B675,'1_原始數據'!$D$2:$D$1000,$D675,'1_原始數據'!$C$2:$C$1000,"khp_mass_g")/('2_NaOH標定'!$C$5*$E675/1000))))</f>
        <v/>
      </c>
      <c r="K675" s="24">
        <f>IF($A675="","",IF($C675&lt;&gt;"manual_titration_mL","",IF(COUNTIFS('1_原始數據'!$A$2:$A$1000,$A675,'1_原始數據'!$C$2:$C$1000,"khp_titration_mL")=0,"",AVERAGEIFS('1_原始數據'!$J$2:$J$1000,'1_原始數據'!$A$2:$A$1000,$A675,'1_原始數據'!$C$2:$C$1000,"khp_titration_mL"))))</f>
        <v/>
      </c>
      <c r="L675" s="25">
        <f>IF($A675="","",IF($C675&lt;&gt;"manual_titration_mL","",IFERROR(INDEX('3_可滴定酸度'!$E$6:$E$13,MATCH($I675,'3_可滴定酸度'!$B$6:$B$13,0)),"")))</f>
        <v/>
      </c>
      <c r="M675" s="25">
        <f>IF($A675="","",IF($C675&lt;&gt;"manual_titration_mL","",IFERROR(INDEX('3_可滴定酸度'!$F$6:$F$13,MATCH($I675,'3_可滴定酸度'!$B$6:$B$13,0)),"")))</f>
        <v/>
      </c>
      <c r="N675" s="24">
        <f>IF($A675="","",IF(OR(K675="",L675="",M675=""),"",K675*E675*L675/(M675*1000)*100))</f>
        <v/>
      </c>
      <c r="O675" s="24">
        <f>IF($A675="","",IF(N675="","",IF(COUNTIFS('1_原始數據'!$A$2:$A$1000,$A675,'1_原始數據'!$B$2:$B$1000,$B675,'1_原始數據'!$D$2:$D$1000,$D675,'1_原始數據'!$I$2:$I$1000,$I675,'1_原始數據'!$C$2:$C$1000,"pasco_pct_acid")=0,"",SUMIFS('1_原始數據'!$E$2:$E$1000,'1_原始數據'!$A$2:$A$1000,$A675,'1_原始數據'!$B$2:$B$1000,$B675,'1_原始數據'!$D$2:$D$1000,$D675,'1_原始數據'!$I$2:$I$1000,$I675,'1_原始數據'!$C$2:$C$1000,"pasco_pct_acid"))))</f>
        <v/>
      </c>
      <c r="P675" s="26">
        <f>IF($A675="","",IF(OR(N675="",O675=""),"",O675-N675))</f>
        <v/>
      </c>
      <c r="Q675" s="24">
        <f>IF($A675="","",IF(P675="","",(O675+N675)/2))</f>
        <v/>
      </c>
      <c r="R675" s="27">
        <f>IF($A675="","",IF(P675="","",COUNT($P$2:P675)))</f>
        <v/>
      </c>
    </row>
    <row r="676">
      <c r="J676" s="24">
        <f>IF($A676="","",IF($C676&lt;&gt;"khp_titration_mL","",IF(COUNTIFS('1_原始數據'!$A$2:$A$1000,$A676,'1_原始數據'!$B$2:$B$1000,$B676,'1_原始數據'!$D$2:$D$1000,$D676,'1_原始數據'!$C$2:$C$1000,"khp_mass_g")=0,"",SUMIFS('1_原始數據'!$E$2:$E$1000,'1_原始數據'!$A$2:$A$1000,$A676,'1_原始數據'!$B$2:$B$1000,$B676,'1_原始數據'!$D$2:$D$1000,$D676,'1_原始數據'!$C$2:$C$1000,"khp_mass_g")/('2_NaOH標定'!$C$5*$E676/1000))))</f>
        <v/>
      </c>
      <c r="K676" s="24">
        <f>IF($A676="","",IF($C676&lt;&gt;"manual_titration_mL","",IF(COUNTIFS('1_原始數據'!$A$2:$A$1000,$A676,'1_原始數據'!$C$2:$C$1000,"khp_titration_mL")=0,"",AVERAGEIFS('1_原始數據'!$J$2:$J$1000,'1_原始數據'!$A$2:$A$1000,$A676,'1_原始數據'!$C$2:$C$1000,"khp_titration_mL"))))</f>
        <v/>
      </c>
      <c r="L676" s="25">
        <f>IF($A676="","",IF($C676&lt;&gt;"manual_titration_mL","",IFERROR(INDEX('3_可滴定酸度'!$E$6:$E$13,MATCH($I676,'3_可滴定酸度'!$B$6:$B$13,0)),"")))</f>
        <v/>
      </c>
      <c r="M676" s="25">
        <f>IF($A676="","",IF($C676&lt;&gt;"manual_titration_mL","",IFERROR(INDEX('3_可滴定酸度'!$F$6:$F$13,MATCH($I676,'3_可滴定酸度'!$B$6:$B$13,0)),"")))</f>
        <v/>
      </c>
      <c r="N676" s="24">
        <f>IF($A676="","",IF(OR(K676="",L676="",M676=""),"",K676*E676*L676/(M676*1000)*100))</f>
        <v/>
      </c>
      <c r="O676" s="24">
        <f>IF($A676="","",IF(N676="","",IF(COUNTIFS('1_原始數據'!$A$2:$A$1000,$A676,'1_原始數據'!$B$2:$B$1000,$B676,'1_原始數據'!$D$2:$D$1000,$D676,'1_原始數據'!$I$2:$I$1000,$I676,'1_原始數據'!$C$2:$C$1000,"pasco_pct_acid")=0,"",SUMIFS('1_原始數據'!$E$2:$E$1000,'1_原始數據'!$A$2:$A$1000,$A676,'1_原始數據'!$B$2:$B$1000,$B676,'1_原始數據'!$D$2:$D$1000,$D676,'1_原始數據'!$I$2:$I$1000,$I676,'1_原始數據'!$C$2:$C$1000,"pasco_pct_acid"))))</f>
        <v/>
      </c>
      <c r="P676" s="26">
        <f>IF($A676="","",IF(OR(N676="",O676=""),"",O676-N676))</f>
        <v/>
      </c>
      <c r="Q676" s="24">
        <f>IF($A676="","",IF(P676="","",(O676+N676)/2))</f>
        <v/>
      </c>
      <c r="R676" s="27">
        <f>IF($A676="","",IF(P676="","",COUNT($P$2:P676)))</f>
        <v/>
      </c>
    </row>
    <row r="677">
      <c r="J677" s="24">
        <f>IF($A677="","",IF($C677&lt;&gt;"khp_titration_mL","",IF(COUNTIFS('1_原始數據'!$A$2:$A$1000,$A677,'1_原始數據'!$B$2:$B$1000,$B677,'1_原始數據'!$D$2:$D$1000,$D677,'1_原始數據'!$C$2:$C$1000,"khp_mass_g")=0,"",SUMIFS('1_原始數據'!$E$2:$E$1000,'1_原始數據'!$A$2:$A$1000,$A677,'1_原始數據'!$B$2:$B$1000,$B677,'1_原始數據'!$D$2:$D$1000,$D677,'1_原始數據'!$C$2:$C$1000,"khp_mass_g")/('2_NaOH標定'!$C$5*$E677/1000))))</f>
        <v/>
      </c>
      <c r="K677" s="24">
        <f>IF($A677="","",IF($C677&lt;&gt;"manual_titration_mL","",IF(COUNTIFS('1_原始數據'!$A$2:$A$1000,$A677,'1_原始數據'!$C$2:$C$1000,"khp_titration_mL")=0,"",AVERAGEIFS('1_原始數據'!$J$2:$J$1000,'1_原始數據'!$A$2:$A$1000,$A677,'1_原始數據'!$C$2:$C$1000,"khp_titration_mL"))))</f>
        <v/>
      </c>
      <c r="L677" s="25">
        <f>IF($A677="","",IF($C677&lt;&gt;"manual_titration_mL","",IFERROR(INDEX('3_可滴定酸度'!$E$6:$E$13,MATCH($I677,'3_可滴定酸度'!$B$6:$B$13,0)),"")))</f>
        <v/>
      </c>
      <c r="M677" s="25">
        <f>IF($A677="","",IF($C677&lt;&gt;"manual_titration_mL","",IFERROR(INDEX('3_可滴定酸度'!$F$6:$F$13,MATCH($I677,'3_可滴定酸度'!$B$6:$B$13,0)),"")))</f>
        <v/>
      </c>
      <c r="N677" s="24">
        <f>IF($A677="","",IF(OR(K677="",L677="",M677=""),"",K677*E677*L677/(M677*1000)*100))</f>
        <v/>
      </c>
      <c r="O677" s="24">
        <f>IF($A677="","",IF(N677="","",IF(COUNTIFS('1_原始數據'!$A$2:$A$1000,$A677,'1_原始數據'!$B$2:$B$1000,$B677,'1_原始數據'!$D$2:$D$1000,$D677,'1_原始數據'!$I$2:$I$1000,$I677,'1_原始數據'!$C$2:$C$1000,"pasco_pct_acid")=0,"",SUMIFS('1_原始數據'!$E$2:$E$1000,'1_原始數據'!$A$2:$A$1000,$A677,'1_原始數據'!$B$2:$B$1000,$B677,'1_原始數據'!$D$2:$D$1000,$D677,'1_原始數據'!$I$2:$I$1000,$I677,'1_原始數據'!$C$2:$C$1000,"pasco_pct_acid"))))</f>
        <v/>
      </c>
      <c r="P677" s="26">
        <f>IF($A677="","",IF(OR(N677="",O677=""),"",O677-N677))</f>
        <v/>
      </c>
      <c r="Q677" s="24">
        <f>IF($A677="","",IF(P677="","",(O677+N677)/2))</f>
        <v/>
      </c>
      <c r="R677" s="27">
        <f>IF($A677="","",IF(P677="","",COUNT($P$2:P677)))</f>
        <v/>
      </c>
    </row>
    <row r="678">
      <c r="J678" s="24">
        <f>IF($A678="","",IF($C678&lt;&gt;"khp_titration_mL","",IF(COUNTIFS('1_原始數據'!$A$2:$A$1000,$A678,'1_原始數據'!$B$2:$B$1000,$B678,'1_原始數據'!$D$2:$D$1000,$D678,'1_原始數據'!$C$2:$C$1000,"khp_mass_g")=0,"",SUMIFS('1_原始數據'!$E$2:$E$1000,'1_原始數據'!$A$2:$A$1000,$A678,'1_原始數據'!$B$2:$B$1000,$B678,'1_原始數據'!$D$2:$D$1000,$D678,'1_原始數據'!$C$2:$C$1000,"khp_mass_g")/('2_NaOH標定'!$C$5*$E678/1000))))</f>
        <v/>
      </c>
      <c r="K678" s="24">
        <f>IF($A678="","",IF($C678&lt;&gt;"manual_titration_mL","",IF(COUNTIFS('1_原始數據'!$A$2:$A$1000,$A678,'1_原始數據'!$C$2:$C$1000,"khp_titration_mL")=0,"",AVERAGEIFS('1_原始數據'!$J$2:$J$1000,'1_原始數據'!$A$2:$A$1000,$A678,'1_原始數據'!$C$2:$C$1000,"khp_titration_mL"))))</f>
        <v/>
      </c>
      <c r="L678" s="25">
        <f>IF($A678="","",IF($C678&lt;&gt;"manual_titration_mL","",IFERROR(INDEX('3_可滴定酸度'!$E$6:$E$13,MATCH($I678,'3_可滴定酸度'!$B$6:$B$13,0)),"")))</f>
        <v/>
      </c>
      <c r="M678" s="25">
        <f>IF($A678="","",IF($C678&lt;&gt;"manual_titration_mL","",IFERROR(INDEX('3_可滴定酸度'!$F$6:$F$13,MATCH($I678,'3_可滴定酸度'!$B$6:$B$13,0)),"")))</f>
        <v/>
      </c>
      <c r="N678" s="24">
        <f>IF($A678="","",IF(OR(K678="",L678="",M678=""),"",K678*E678*L678/(M678*1000)*100))</f>
        <v/>
      </c>
      <c r="O678" s="24">
        <f>IF($A678="","",IF(N678="","",IF(COUNTIFS('1_原始數據'!$A$2:$A$1000,$A678,'1_原始數據'!$B$2:$B$1000,$B678,'1_原始數據'!$D$2:$D$1000,$D678,'1_原始數據'!$I$2:$I$1000,$I678,'1_原始數據'!$C$2:$C$1000,"pasco_pct_acid")=0,"",SUMIFS('1_原始數據'!$E$2:$E$1000,'1_原始數據'!$A$2:$A$1000,$A678,'1_原始數據'!$B$2:$B$1000,$B678,'1_原始數據'!$D$2:$D$1000,$D678,'1_原始數據'!$I$2:$I$1000,$I678,'1_原始數據'!$C$2:$C$1000,"pasco_pct_acid"))))</f>
        <v/>
      </c>
      <c r="P678" s="26">
        <f>IF($A678="","",IF(OR(N678="",O678=""),"",O678-N678))</f>
        <v/>
      </c>
      <c r="Q678" s="24">
        <f>IF($A678="","",IF(P678="","",(O678+N678)/2))</f>
        <v/>
      </c>
      <c r="R678" s="27">
        <f>IF($A678="","",IF(P678="","",COUNT($P$2:P678)))</f>
        <v/>
      </c>
    </row>
    <row r="679">
      <c r="J679" s="24">
        <f>IF($A679="","",IF($C679&lt;&gt;"khp_titration_mL","",IF(COUNTIFS('1_原始數據'!$A$2:$A$1000,$A679,'1_原始數據'!$B$2:$B$1000,$B679,'1_原始數據'!$D$2:$D$1000,$D679,'1_原始數據'!$C$2:$C$1000,"khp_mass_g")=0,"",SUMIFS('1_原始數據'!$E$2:$E$1000,'1_原始數據'!$A$2:$A$1000,$A679,'1_原始數據'!$B$2:$B$1000,$B679,'1_原始數據'!$D$2:$D$1000,$D679,'1_原始數據'!$C$2:$C$1000,"khp_mass_g")/('2_NaOH標定'!$C$5*$E679/1000))))</f>
        <v/>
      </c>
      <c r="K679" s="24">
        <f>IF($A679="","",IF($C679&lt;&gt;"manual_titration_mL","",IF(COUNTIFS('1_原始數據'!$A$2:$A$1000,$A679,'1_原始數據'!$C$2:$C$1000,"khp_titration_mL")=0,"",AVERAGEIFS('1_原始數據'!$J$2:$J$1000,'1_原始數據'!$A$2:$A$1000,$A679,'1_原始數據'!$C$2:$C$1000,"khp_titration_mL"))))</f>
        <v/>
      </c>
      <c r="L679" s="25">
        <f>IF($A679="","",IF($C679&lt;&gt;"manual_titration_mL","",IFERROR(INDEX('3_可滴定酸度'!$E$6:$E$13,MATCH($I679,'3_可滴定酸度'!$B$6:$B$13,0)),"")))</f>
        <v/>
      </c>
      <c r="M679" s="25">
        <f>IF($A679="","",IF($C679&lt;&gt;"manual_titration_mL","",IFERROR(INDEX('3_可滴定酸度'!$F$6:$F$13,MATCH($I679,'3_可滴定酸度'!$B$6:$B$13,0)),"")))</f>
        <v/>
      </c>
      <c r="N679" s="24">
        <f>IF($A679="","",IF(OR(K679="",L679="",M679=""),"",K679*E679*L679/(M679*1000)*100))</f>
        <v/>
      </c>
      <c r="O679" s="24">
        <f>IF($A679="","",IF(N679="","",IF(COUNTIFS('1_原始數據'!$A$2:$A$1000,$A679,'1_原始數據'!$B$2:$B$1000,$B679,'1_原始數據'!$D$2:$D$1000,$D679,'1_原始數據'!$I$2:$I$1000,$I679,'1_原始數據'!$C$2:$C$1000,"pasco_pct_acid")=0,"",SUMIFS('1_原始數據'!$E$2:$E$1000,'1_原始數據'!$A$2:$A$1000,$A679,'1_原始數據'!$B$2:$B$1000,$B679,'1_原始數據'!$D$2:$D$1000,$D679,'1_原始數據'!$I$2:$I$1000,$I679,'1_原始數據'!$C$2:$C$1000,"pasco_pct_acid"))))</f>
        <v/>
      </c>
      <c r="P679" s="26">
        <f>IF($A679="","",IF(OR(N679="",O679=""),"",O679-N679))</f>
        <v/>
      </c>
      <c r="Q679" s="24">
        <f>IF($A679="","",IF(P679="","",(O679+N679)/2))</f>
        <v/>
      </c>
      <c r="R679" s="27">
        <f>IF($A679="","",IF(P679="","",COUNT($P$2:P679)))</f>
        <v/>
      </c>
    </row>
    <row r="680">
      <c r="J680" s="24">
        <f>IF($A680="","",IF($C680&lt;&gt;"khp_titration_mL","",IF(COUNTIFS('1_原始數據'!$A$2:$A$1000,$A680,'1_原始數據'!$B$2:$B$1000,$B680,'1_原始數據'!$D$2:$D$1000,$D680,'1_原始數據'!$C$2:$C$1000,"khp_mass_g")=0,"",SUMIFS('1_原始數據'!$E$2:$E$1000,'1_原始數據'!$A$2:$A$1000,$A680,'1_原始數據'!$B$2:$B$1000,$B680,'1_原始數據'!$D$2:$D$1000,$D680,'1_原始數據'!$C$2:$C$1000,"khp_mass_g")/('2_NaOH標定'!$C$5*$E680/1000))))</f>
        <v/>
      </c>
      <c r="K680" s="24">
        <f>IF($A680="","",IF($C680&lt;&gt;"manual_titration_mL","",IF(COUNTIFS('1_原始數據'!$A$2:$A$1000,$A680,'1_原始數據'!$C$2:$C$1000,"khp_titration_mL")=0,"",AVERAGEIFS('1_原始數據'!$J$2:$J$1000,'1_原始數據'!$A$2:$A$1000,$A680,'1_原始數據'!$C$2:$C$1000,"khp_titration_mL"))))</f>
        <v/>
      </c>
      <c r="L680" s="25">
        <f>IF($A680="","",IF($C680&lt;&gt;"manual_titration_mL","",IFERROR(INDEX('3_可滴定酸度'!$E$6:$E$13,MATCH($I680,'3_可滴定酸度'!$B$6:$B$13,0)),"")))</f>
        <v/>
      </c>
      <c r="M680" s="25">
        <f>IF($A680="","",IF($C680&lt;&gt;"manual_titration_mL","",IFERROR(INDEX('3_可滴定酸度'!$F$6:$F$13,MATCH($I680,'3_可滴定酸度'!$B$6:$B$13,0)),"")))</f>
        <v/>
      </c>
      <c r="N680" s="24">
        <f>IF($A680="","",IF(OR(K680="",L680="",M680=""),"",K680*E680*L680/(M680*1000)*100))</f>
        <v/>
      </c>
      <c r="O680" s="24">
        <f>IF($A680="","",IF(N680="","",IF(COUNTIFS('1_原始數據'!$A$2:$A$1000,$A680,'1_原始數據'!$B$2:$B$1000,$B680,'1_原始數據'!$D$2:$D$1000,$D680,'1_原始數據'!$I$2:$I$1000,$I680,'1_原始數據'!$C$2:$C$1000,"pasco_pct_acid")=0,"",SUMIFS('1_原始數據'!$E$2:$E$1000,'1_原始數據'!$A$2:$A$1000,$A680,'1_原始數據'!$B$2:$B$1000,$B680,'1_原始數據'!$D$2:$D$1000,$D680,'1_原始數據'!$I$2:$I$1000,$I680,'1_原始數據'!$C$2:$C$1000,"pasco_pct_acid"))))</f>
        <v/>
      </c>
      <c r="P680" s="26">
        <f>IF($A680="","",IF(OR(N680="",O680=""),"",O680-N680))</f>
        <v/>
      </c>
      <c r="Q680" s="24">
        <f>IF($A680="","",IF(P680="","",(O680+N680)/2))</f>
        <v/>
      </c>
      <c r="R680" s="27">
        <f>IF($A680="","",IF(P680="","",COUNT($P$2:P680)))</f>
        <v/>
      </c>
    </row>
    <row r="681">
      <c r="J681" s="24">
        <f>IF($A681="","",IF($C681&lt;&gt;"khp_titration_mL","",IF(COUNTIFS('1_原始數據'!$A$2:$A$1000,$A681,'1_原始數據'!$B$2:$B$1000,$B681,'1_原始數據'!$D$2:$D$1000,$D681,'1_原始數據'!$C$2:$C$1000,"khp_mass_g")=0,"",SUMIFS('1_原始數據'!$E$2:$E$1000,'1_原始數據'!$A$2:$A$1000,$A681,'1_原始數據'!$B$2:$B$1000,$B681,'1_原始數據'!$D$2:$D$1000,$D681,'1_原始數據'!$C$2:$C$1000,"khp_mass_g")/('2_NaOH標定'!$C$5*$E681/1000))))</f>
        <v/>
      </c>
      <c r="K681" s="24">
        <f>IF($A681="","",IF($C681&lt;&gt;"manual_titration_mL","",IF(COUNTIFS('1_原始數據'!$A$2:$A$1000,$A681,'1_原始數據'!$C$2:$C$1000,"khp_titration_mL")=0,"",AVERAGEIFS('1_原始數據'!$J$2:$J$1000,'1_原始數據'!$A$2:$A$1000,$A681,'1_原始數據'!$C$2:$C$1000,"khp_titration_mL"))))</f>
        <v/>
      </c>
      <c r="L681" s="25">
        <f>IF($A681="","",IF($C681&lt;&gt;"manual_titration_mL","",IFERROR(INDEX('3_可滴定酸度'!$E$6:$E$13,MATCH($I681,'3_可滴定酸度'!$B$6:$B$13,0)),"")))</f>
        <v/>
      </c>
      <c r="M681" s="25">
        <f>IF($A681="","",IF($C681&lt;&gt;"manual_titration_mL","",IFERROR(INDEX('3_可滴定酸度'!$F$6:$F$13,MATCH($I681,'3_可滴定酸度'!$B$6:$B$13,0)),"")))</f>
        <v/>
      </c>
      <c r="N681" s="24">
        <f>IF($A681="","",IF(OR(K681="",L681="",M681=""),"",K681*E681*L681/(M681*1000)*100))</f>
        <v/>
      </c>
      <c r="O681" s="24">
        <f>IF($A681="","",IF(N681="","",IF(COUNTIFS('1_原始數據'!$A$2:$A$1000,$A681,'1_原始數據'!$B$2:$B$1000,$B681,'1_原始數據'!$D$2:$D$1000,$D681,'1_原始數據'!$I$2:$I$1000,$I681,'1_原始數據'!$C$2:$C$1000,"pasco_pct_acid")=0,"",SUMIFS('1_原始數據'!$E$2:$E$1000,'1_原始數據'!$A$2:$A$1000,$A681,'1_原始數據'!$B$2:$B$1000,$B681,'1_原始數據'!$D$2:$D$1000,$D681,'1_原始數據'!$I$2:$I$1000,$I681,'1_原始數據'!$C$2:$C$1000,"pasco_pct_acid"))))</f>
        <v/>
      </c>
      <c r="P681" s="26">
        <f>IF($A681="","",IF(OR(N681="",O681=""),"",O681-N681))</f>
        <v/>
      </c>
      <c r="Q681" s="24">
        <f>IF($A681="","",IF(P681="","",(O681+N681)/2))</f>
        <v/>
      </c>
      <c r="R681" s="27">
        <f>IF($A681="","",IF(P681="","",COUNT($P$2:P681)))</f>
        <v/>
      </c>
    </row>
    <row r="682">
      <c r="J682" s="24">
        <f>IF($A682="","",IF($C682&lt;&gt;"khp_titration_mL","",IF(COUNTIFS('1_原始數據'!$A$2:$A$1000,$A682,'1_原始數據'!$B$2:$B$1000,$B682,'1_原始數據'!$D$2:$D$1000,$D682,'1_原始數據'!$C$2:$C$1000,"khp_mass_g")=0,"",SUMIFS('1_原始數據'!$E$2:$E$1000,'1_原始數據'!$A$2:$A$1000,$A682,'1_原始數據'!$B$2:$B$1000,$B682,'1_原始數據'!$D$2:$D$1000,$D682,'1_原始數據'!$C$2:$C$1000,"khp_mass_g")/('2_NaOH標定'!$C$5*$E682/1000))))</f>
        <v/>
      </c>
      <c r="K682" s="24">
        <f>IF($A682="","",IF($C682&lt;&gt;"manual_titration_mL","",IF(COUNTIFS('1_原始數據'!$A$2:$A$1000,$A682,'1_原始數據'!$C$2:$C$1000,"khp_titration_mL")=0,"",AVERAGEIFS('1_原始數據'!$J$2:$J$1000,'1_原始數據'!$A$2:$A$1000,$A682,'1_原始數據'!$C$2:$C$1000,"khp_titration_mL"))))</f>
        <v/>
      </c>
      <c r="L682" s="25">
        <f>IF($A682="","",IF($C682&lt;&gt;"manual_titration_mL","",IFERROR(INDEX('3_可滴定酸度'!$E$6:$E$13,MATCH($I682,'3_可滴定酸度'!$B$6:$B$13,0)),"")))</f>
        <v/>
      </c>
      <c r="M682" s="25">
        <f>IF($A682="","",IF($C682&lt;&gt;"manual_titration_mL","",IFERROR(INDEX('3_可滴定酸度'!$F$6:$F$13,MATCH($I682,'3_可滴定酸度'!$B$6:$B$13,0)),"")))</f>
        <v/>
      </c>
      <c r="N682" s="24">
        <f>IF($A682="","",IF(OR(K682="",L682="",M682=""),"",K682*E682*L682/(M682*1000)*100))</f>
        <v/>
      </c>
      <c r="O682" s="24">
        <f>IF($A682="","",IF(N682="","",IF(COUNTIFS('1_原始數據'!$A$2:$A$1000,$A682,'1_原始數據'!$B$2:$B$1000,$B682,'1_原始數據'!$D$2:$D$1000,$D682,'1_原始數據'!$I$2:$I$1000,$I682,'1_原始數據'!$C$2:$C$1000,"pasco_pct_acid")=0,"",SUMIFS('1_原始數據'!$E$2:$E$1000,'1_原始數據'!$A$2:$A$1000,$A682,'1_原始數據'!$B$2:$B$1000,$B682,'1_原始數據'!$D$2:$D$1000,$D682,'1_原始數據'!$I$2:$I$1000,$I682,'1_原始數據'!$C$2:$C$1000,"pasco_pct_acid"))))</f>
        <v/>
      </c>
      <c r="P682" s="26">
        <f>IF($A682="","",IF(OR(N682="",O682=""),"",O682-N682))</f>
        <v/>
      </c>
      <c r="Q682" s="24">
        <f>IF($A682="","",IF(P682="","",(O682+N682)/2))</f>
        <v/>
      </c>
      <c r="R682" s="27">
        <f>IF($A682="","",IF(P682="","",COUNT($P$2:P682)))</f>
        <v/>
      </c>
    </row>
    <row r="683">
      <c r="J683" s="24">
        <f>IF($A683="","",IF($C683&lt;&gt;"khp_titration_mL","",IF(COUNTIFS('1_原始數據'!$A$2:$A$1000,$A683,'1_原始數據'!$B$2:$B$1000,$B683,'1_原始數據'!$D$2:$D$1000,$D683,'1_原始數據'!$C$2:$C$1000,"khp_mass_g")=0,"",SUMIFS('1_原始數據'!$E$2:$E$1000,'1_原始數據'!$A$2:$A$1000,$A683,'1_原始數據'!$B$2:$B$1000,$B683,'1_原始數據'!$D$2:$D$1000,$D683,'1_原始數據'!$C$2:$C$1000,"khp_mass_g")/('2_NaOH標定'!$C$5*$E683/1000))))</f>
        <v/>
      </c>
      <c r="K683" s="24">
        <f>IF($A683="","",IF($C683&lt;&gt;"manual_titration_mL","",IF(COUNTIFS('1_原始數據'!$A$2:$A$1000,$A683,'1_原始數據'!$C$2:$C$1000,"khp_titration_mL")=0,"",AVERAGEIFS('1_原始數據'!$J$2:$J$1000,'1_原始數據'!$A$2:$A$1000,$A683,'1_原始數據'!$C$2:$C$1000,"khp_titration_mL"))))</f>
        <v/>
      </c>
      <c r="L683" s="25">
        <f>IF($A683="","",IF($C683&lt;&gt;"manual_titration_mL","",IFERROR(INDEX('3_可滴定酸度'!$E$6:$E$13,MATCH($I683,'3_可滴定酸度'!$B$6:$B$13,0)),"")))</f>
        <v/>
      </c>
      <c r="M683" s="25">
        <f>IF($A683="","",IF($C683&lt;&gt;"manual_titration_mL","",IFERROR(INDEX('3_可滴定酸度'!$F$6:$F$13,MATCH($I683,'3_可滴定酸度'!$B$6:$B$13,0)),"")))</f>
        <v/>
      </c>
      <c r="N683" s="24">
        <f>IF($A683="","",IF(OR(K683="",L683="",M683=""),"",K683*E683*L683/(M683*1000)*100))</f>
        <v/>
      </c>
      <c r="O683" s="24">
        <f>IF($A683="","",IF(N683="","",IF(COUNTIFS('1_原始數據'!$A$2:$A$1000,$A683,'1_原始數據'!$B$2:$B$1000,$B683,'1_原始數據'!$D$2:$D$1000,$D683,'1_原始數據'!$I$2:$I$1000,$I683,'1_原始數據'!$C$2:$C$1000,"pasco_pct_acid")=0,"",SUMIFS('1_原始數據'!$E$2:$E$1000,'1_原始數據'!$A$2:$A$1000,$A683,'1_原始數據'!$B$2:$B$1000,$B683,'1_原始數據'!$D$2:$D$1000,$D683,'1_原始數據'!$I$2:$I$1000,$I683,'1_原始數據'!$C$2:$C$1000,"pasco_pct_acid"))))</f>
        <v/>
      </c>
      <c r="P683" s="26">
        <f>IF($A683="","",IF(OR(N683="",O683=""),"",O683-N683))</f>
        <v/>
      </c>
      <c r="Q683" s="24">
        <f>IF($A683="","",IF(P683="","",(O683+N683)/2))</f>
        <v/>
      </c>
      <c r="R683" s="27">
        <f>IF($A683="","",IF(P683="","",COUNT($P$2:P683)))</f>
        <v/>
      </c>
    </row>
    <row r="684">
      <c r="J684" s="24">
        <f>IF($A684="","",IF($C684&lt;&gt;"khp_titration_mL","",IF(COUNTIFS('1_原始數據'!$A$2:$A$1000,$A684,'1_原始數據'!$B$2:$B$1000,$B684,'1_原始數據'!$D$2:$D$1000,$D684,'1_原始數據'!$C$2:$C$1000,"khp_mass_g")=0,"",SUMIFS('1_原始數據'!$E$2:$E$1000,'1_原始數據'!$A$2:$A$1000,$A684,'1_原始數據'!$B$2:$B$1000,$B684,'1_原始數據'!$D$2:$D$1000,$D684,'1_原始數據'!$C$2:$C$1000,"khp_mass_g")/('2_NaOH標定'!$C$5*$E684/1000))))</f>
        <v/>
      </c>
      <c r="K684" s="24">
        <f>IF($A684="","",IF($C684&lt;&gt;"manual_titration_mL","",IF(COUNTIFS('1_原始數據'!$A$2:$A$1000,$A684,'1_原始數據'!$C$2:$C$1000,"khp_titration_mL")=0,"",AVERAGEIFS('1_原始數據'!$J$2:$J$1000,'1_原始數據'!$A$2:$A$1000,$A684,'1_原始數據'!$C$2:$C$1000,"khp_titration_mL"))))</f>
        <v/>
      </c>
      <c r="L684" s="25">
        <f>IF($A684="","",IF($C684&lt;&gt;"manual_titration_mL","",IFERROR(INDEX('3_可滴定酸度'!$E$6:$E$13,MATCH($I684,'3_可滴定酸度'!$B$6:$B$13,0)),"")))</f>
        <v/>
      </c>
      <c r="M684" s="25">
        <f>IF($A684="","",IF($C684&lt;&gt;"manual_titration_mL","",IFERROR(INDEX('3_可滴定酸度'!$F$6:$F$13,MATCH($I684,'3_可滴定酸度'!$B$6:$B$13,0)),"")))</f>
        <v/>
      </c>
      <c r="N684" s="24">
        <f>IF($A684="","",IF(OR(K684="",L684="",M684=""),"",K684*E684*L684/(M684*1000)*100))</f>
        <v/>
      </c>
      <c r="O684" s="24">
        <f>IF($A684="","",IF(N684="","",IF(COUNTIFS('1_原始數據'!$A$2:$A$1000,$A684,'1_原始數據'!$B$2:$B$1000,$B684,'1_原始數據'!$D$2:$D$1000,$D684,'1_原始數據'!$I$2:$I$1000,$I684,'1_原始數據'!$C$2:$C$1000,"pasco_pct_acid")=0,"",SUMIFS('1_原始數據'!$E$2:$E$1000,'1_原始數據'!$A$2:$A$1000,$A684,'1_原始數據'!$B$2:$B$1000,$B684,'1_原始數據'!$D$2:$D$1000,$D684,'1_原始數據'!$I$2:$I$1000,$I684,'1_原始數據'!$C$2:$C$1000,"pasco_pct_acid"))))</f>
        <v/>
      </c>
      <c r="P684" s="26">
        <f>IF($A684="","",IF(OR(N684="",O684=""),"",O684-N684))</f>
        <v/>
      </c>
      <c r="Q684" s="24">
        <f>IF($A684="","",IF(P684="","",(O684+N684)/2))</f>
        <v/>
      </c>
      <c r="R684" s="27">
        <f>IF($A684="","",IF(P684="","",COUNT($P$2:P684)))</f>
        <v/>
      </c>
    </row>
    <row r="685">
      <c r="J685" s="24">
        <f>IF($A685="","",IF($C685&lt;&gt;"khp_titration_mL","",IF(COUNTIFS('1_原始數據'!$A$2:$A$1000,$A685,'1_原始數據'!$B$2:$B$1000,$B685,'1_原始數據'!$D$2:$D$1000,$D685,'1_原始數據'!$C$2:$C$1000,"khp_mass_g")=0,"",SUMIFS('1_原始數據'!$E$2:$E$1000,'1_原始數據'!$A$2:$A$1000,$A685,'1_原始數據'!$B$2:$B$1000,$B685,'1_原始數據'!$D$2:$D$1000,$D685,'1_原始數據'!$C$2:$C$1000,"khp_mass_g")/('2_NaOH標定'!$C$5*$E685/1000))))</f>
        <v/>
      </c>
      <c r="K685" s="24">
        <f>IF($A685="","",IF($C685&lt;&gt;"manual_titration_mL","",IF(COUNTIFS('1_原始數據'!$A$2:$A$1000,$A685,'1_原始數據'!$C$2:$C$1000,"khp_titration_mL")=0,"",AVERAGEIFS('1_原始數據'!$J$2:$J$1000,'1_原始數據'!$A$2:$A$1000,$A685,'1_原始數據'!$C$2:$C$1000,"khp_titration_mL"))))</f>
        <v/>
      </c>
      <c r="L685" s="25">
        <f>IF($A685="","",IF($C685&lt;&gt;"manual_titration_mL","",IFERROR(INDEX('3_可滴定酸度'!$E$6:$E$13,MATCH($I685,'3_可滴定酸度'!$B$6:$B$13,0)),"")))</f>
        <v/>
      </c>
      <c r="M685" s="25">
        <f>IF($A685="","",IF($C685&lt;&gt;"manual_titration_mL","",IFERROR(INDEX('3_可滴定酸度'!$F$6:$F$13,MATCH($I685,'3_可滴定酸度'!$B$6:$B$13,0)),"")))</f>
        <v/>
      </c>
      <c r="N685" s="24">
        <f>IF($A685="","",IF(OR(K685="",L685="",M685=""),"",K685*E685*L685/(M685*1000)*100))</f>
        <v/>
      </c>
      <c r="O685" s="24">
        <f>IF($A685="","",IF(N685="","",IF(COUNTIFS('1_原始數據'!$A$2:$A$1000,$A685,'1_原始數據'!$B$2:$B$1000,$B685,'1_原始數據'!$D$2:$D$1000,$D685,'1_原始數據'!$I$2:$I$1000,$I685,'1_原始數據'!$C$2:$C$1000,"pasco_pct_acid")=0,"",SUMIFS('1_原始數據'!$E$2:$E$1000,'1_原始數據'!$A$2:$A$1000,$A685,'1_原始數據'!$B$2:$B$1000,$B685,'1_原始數據'!$D$2:$D$1000,$D685,'1_原始數據'!$I$2:$I$1000,$I685,'1_原始數據'!$C$2:$C$1000,"pasco_pct_acid"))))</f>
        <v/>
      </c>
      <c r="P685" s="26">
        <f>IF($A685="","",IF(OR(N685="",O685=""),"",O685-N685))</f>
        <v/>
      </c>
      <c r="Q685" s="24">
        <f>IF($A685="","",IF(P685="","",(O685+N685)/2))</f>
        <v/>
      </c>
      <c r="R685" s="27">
        <f>IF($A685="","",IF(P685="","",COUNT($P$2:P685)))</f>
        <v/>
      </c>
    </row>
    <row r="686">
      <c r="J686" s="24">
        <f>IF($A686="","",IF($C686&lt;&gt;"khp_titration_mL","",IF(COUNTIFS('1_原始數據'!$A$2:$A$1000,$A686,'1_原始數據'!$B$2:$B$1000,$B686,'1_原始數據'!$D$2:$D$1000,$D686,'1_原始數據'!$C$2:$C$1000,"khp_mass_g")=0,"",SUMIFS('1_原始數據'!$E$2:$E$1000,'1_原始數據'!$A$2:$A$1000,$A686,'1_原始數據'!$B$2:$B$1000,$B686,'1_原始數據'!$D$2:$D$1000,$D686,'1_原始數據'!$C$2:$C$1000,"khp_mass_g")/('2_NaOH標定'!$C$5*$E686/1000))))</f>
        <v/>
      </c>
      <c r="K686" s="24">
        <f>IF($A686="","",IF($C686&lt;&gt;"manual_titration_mL","",IF(COUNTIFS('1_原始數據'!$A$2:$A$1000,$A686,'1_原始數據'!$C$2:$C$1000,"khp_titration_mL")=0,"",AVERAGEIFS('1_原始數據'!$J$2:$J$1000,'1_原始數據'!$A$2:$A$1000,$A686,'1_原始數據'!$C$2:$C$1000,"khp_titration_mL"))))</f>
        <v/>
      </c>
      <c r="L686" s="25">
        <f>IF($A686="","",IF($C686&lt;&gt;"manual_titration_mL","",IFERROR(INDEX('3_可滴定酸度'!$E$6:$E$13,MATCH($I686,'3_可滴定酸度'!$B$6:$B$13,0)),"")))</f>
        <v/>
      </c>
      <c r="M686" s="25">
        <f>IF($A686="","",IF($C686&lt;&gt;"manual_titration_mL","",IFERROR(INDEX('3_可滴定酸度'!$F$6:$F$13,MATCH($I686,'3_可滴定酸度'!$B$6:$B$13,0)),"")))</f>
        <v/>
      </c>
      <c r="N686" s="24">
        <f>IF($A686="","",IF(OR(K686="",L686="",M686=""),"",K686*E686*L686/(M686*1000)*100))</f>
        <v/>
      </c>
      <c r="O686" s="24">
        <f>IF($A686="","",IF(N686="","",IF(COUNTIFS('1_原始數據'!$A$2:$A$1000,$A686,'1_原始數據'!$B$2:$B$1000,$B686,'1_原始數據'!$D$2:$D$1000,$D686,'1_原始數據'!$I$2:$I$1000,$I686,'1_原始數據'!$C$2:$C$1000,"pasco_pct_acid")=0,"",SUMIFS('1_原始數據'!$E$2:$E$1000,'1_原始數據'!$A$2:$A$1000,$A686,'1_原始數據'!$B$2:$B$1000,$B686,'1_原始數據'!$D$2:$D$1000,$D686,'1_原始數據'!$I$2:$I$1000,$I686,'1_原始數據'!$C$2:$C$1000,"pasco_pct_acid"))))</f>
        <v/>
      </c>
      <c r="P686" s="26">
        <f>IF($A686="","",IF(OR(N686="",O686=""),"",O686-N686))</f>
        <v/>
      </c>
      <c r="Q686" s="24">
        <f>IF($A686="","",IF(P686="","",(O686+N686)/2))</f>
        <v/>
      </c>
      <c r="R686" s="27">
        <f>IF($A686="","",IF(P686="","",COUNT($P$2:P686)))</f>
        <v/>
      </c>
    </row>
    <row r="687">
      <c r="J687" s="24">
        <f>IF($A687="","",IF($C687&lt;&gt;"khp_titration_mL","",IF(COUNTIFS('1_原始數據'!$A$2:$A$1000,$A687,'1_原始數據'!$B$2:$B$1000,$B687,'1_原始數據'!$D$2:$D$1000,$D687,'1_原始數據'!$C$2:$C$1000,"khp_mass_g")=0,"",SUMIFS('1_原始數據'!$E$2:$E$1000,'1_原始數據'!$A$2:$A$1000,$A687,'1_原始數據'!$B$2:$B$1000,$B687,'1_原始數據'!$D$2:$D$1000,$D687,'1_原始數據'!$C$2:$C$1000,"khp_mass_g")/('2_NaOH標定'!$C$5*$E687/1000))))</f>
        <v/>
      </c>
      <c r="K687" s="24">
        <f>IF($A687="","",IF($C687&lt;&gt;"manual_titration_mL","",IF(COUNTIFS('1_原始數據'!$A$2:$A$1000,$A687,'1_原始數據'!$C$2:$C$1000,"khp_titration_mL")=0,"",AVERAGEIFS('1_原始數據'!$J$2:$J$1000,'1_原始數據'!$A$2:$A$1000,$A687,'1_原始數據'!$C$2:$C$1000,"khp_titration_mL"))))</f>
        <v/>
      </c>
      <c r="L687" s="25">
        <f>IF($A687="","",IF($C687&lt;&gt;"manual_titration_mL","",IFERROR(INDEX('3_可滴定酸度'!$E$6:$E$13,MATCH($I687,'3_可滴定酸度'!$B$6:$B$13,0)),"")))</f>
        <v/>
      </c>
      <c r="M687" s="25">
        <f>IF($A687="","",IF($C687&lt;&gt;"manual_titration_mL","",IFERROR(INDEX('3_可滴定酸度'!$F$6:$F$13,MATCH($I687,'3_可滴定酸度'!$B$6:$B$13,0)),"")))</f>
        <v/>
      </c>
      <c r="N687" s="24">
        <f>IF($A687="","",IF(OR(K687="",L687="",M687=""),"",K687*E687*L687/(M687*1000)*100))</f>
        <v/>
      </c>
      <c r="O687" s="24">
        <f>IF($A687="","",IF(N687="","",IF(COUNTIFS('1_原始數據'!$A$2:$A$1000,$A687,'1_原始數據'!$B$2:$B$1000,$B687,'1_原始數據'!$D$2:$D$1000,$D687,'1_原始數據'!$I$2:$I$1000,$I687,'1_原始數據'!$C$2:$C$1000,"pasco_pct_acid")=0,"",SUMIFS('1_原始數據'!$E$2:$E$1000,'1_原始數據'!$A$2:$A$1000,$A687,'1_原始數據'!$B$2:$B$1000,$B687,'1_原始數據'!$D$2:$D$1000,$D687,'1_原始數據'!$I$2:$I$1000,$I687,'1_原始數據'!$C$2:$C$1000,"pasco_pct_acid"))))</f>
        <v/>
      </c>
      <c r="P687" s="26">
        <f>IF($A687="","",IF(OR(N687="",O687=""),"",O687-N687))</f>
        <v/>
      </c>
      <c r="Q687" s="24">
        <f>IF($A687="","",IF(P687="","",(O687+N687)/2))</f>
        <v/>
      </c>
      <c r="R687" s="27">
        <f>IF($A687="","",IF(P687="","",COUNT($P$2:P687)))</f>
        <v/>
      </c>
    </row>
    <row r="688">
      <c r="J688" s="24">
        <f>IF($A688="","",IF($C688&lt;&gt;"khp_titration_mL","",IF(COUNTIFS('1_原始數據'!$A$2:$A$1000,$A688,'1_原始數據'!$B$2:$B$1000,$B688,'1_原始數據'!$D$2:$D$1000,$D688,'1_原始數據'!$C$2:$C$1000,"khp_mass_g")=0,"",SUMIFS('1_原始數據'!$E$2:$E$1000,'1_原始數據'!$A$2:$A$1000,$A688,'1_原始數據'!$B$2:$B$1000,$B688,'1_原始數據'!$D$2:$D$1000,$D688,'1_原始數據'!$C$2:$C$1000,"khp_mass_g")/('2_NaOH標定'!$C$5*$E688/1000))))</f>
        <v/>
      </c>
      <c r="K688" s="24">
        <f>IF($A688="","",IF($C688&lt;&gt;"manual_titration_mL","",IF(COUNTIFS('1_原始數據'!$A$2:$A$1000,$A688,'1_原始數據'!$C$2:$C$1000,"khp_titration_mL")=0,"",AVERAGEIFS('1_原始數據'!$J$2:$J$1000,'1_原始數據'!$A$2:$A$1000,$A688,'1_原始數據'!$C$2:$C$1000,"khp_titration_mL"))))</f>
        <v/>
      </c>
      <c r="L688" s="25">
        <f>IF($A688="","",IF($C688&lt;&gt;"manual_titration_mL","",IFERROR(INDEX('3_可滴定酸度'!$E$6:$E$13,MATCH($I688,'3_可滴定酸度'!$B$6:$B$13,0)),"")))</f>
        <v/>
      </c>
      <c r="M688" s="25">
        <f>IF($A688="","",IF($C688&lt;&gt;"manual_titration_mL","",IFERROR(INDEX('3_可滴定酸度'!$F$6:$F$13,MATCH($I688,'3_可滴定酸度'!$B$6:$B$13,0)),"")))</f>
        <v/>
      </c>
      <c r="N688" s="24">
        <f>IF($A688="","",IF(OR(K688="",L688="",M688=""),"",K688*E688*L688/(M688*1000)*100))</f>
        <v/>
      </c>
      <c r="O688" s="24">
        <f>IF($A688="","",IF(N688="","",IF(COUNTIFS('1_原始數據'!$A$2:$A$1000,$A688,'1_原始數據'!$B$2:$B$1000,$B688,'1_原始數據'!$D$2:$D$1000,$D688,'1_原始數據'!$I$2:$I$1000,$I688,'1_原始數據'!$C$2:$C$1000,"pasco_pct_acid")=0,"",SUMIFS('1_原始數據'!$E$2:$E$1000,'1_原始數據'!$A$2:$A$1000,$A688,'1_原始數據'!$B$2:$B$1000,$B688,'1_原始數據'!$D$2:$D$1000,$D688,'1_原始數據'!$I$2:$I$1000,$I688,'1_原始數據'!$C$2:$C$1000,"pasco_pct_acid"))))</f>
        <v/>
      </c>
      <c r="P688" s="26">
        <f>IF($A688="","",IF(OR(N688="",O688=""),"",O688-N688))</f>
        <v/>
      </c>
      <c r="Q688" s="24">
        <f>IF($A688="","",IF(P688="","",(O688+N688)/2))</f>
        <v/>
      </c>
      <c r="R688" s="27">
        <f>IF($A688="","",IF(P688="","",COUNT($P$2:P688)))</f>
        <v/>
      </c>
    </row>
    <row r="689">
      <c r="J689" s="24">
        <f>IF($A689="","",IF($C689&lt;&gt;"khp_titration_mL","",IF(COUNTIFS('1_原始數據'!$A$2:$A$1000,$A689,'1_原始數據'!$B$2:$B$1000,$B689,'1_原始數據'!$D$2:$D$1000,$D689,'1_原始數據'!$C$2:$C$1000,"khp_mass_g")=0,"",SUMIFS('1_原始數據'!$E$2:$E$1000,'1_原始數據'!$A$2:$A$1000,$A689,'1_原始數據'!$B$2:$B$1000,$B689,'1_原始數據'!$D$2:$D$1000,$D689,'1_原始數據'!$C$2:$C$1000,"khp_mass_g")/('2_NaOH標定'!$C$5*$E689/1000))))</f>
        <v/>
      </c>
      <c r="K689" s="24">
        <f>IF($A689="","",IF($C689&lt;&gt;"manual_titration_mL","",IF(COUNTIFS('1_原始數據'!$A$2:$A$1000,$A689,'1_原始數據'!$C$2:$C$1000,"khp_titration_mL")=0,"",AVERAGEIFS('1_原始數據'!$J$2:$J$1000,'1_原始數據'!$A$2:$A$1000,$A689,'1_原始數據'!$C$2:$C$1000,"khp_titration_mL"))))</f>
        <v/>
      </c>
      <c r="L689" s="25">
        <f>IF($A689="","",IF($C689&lt;&gt;"manual_titration_mL","",IFERROR(INDEX('3_可滴定酸度'!$E$6:$E$13,MATCH($I689,'3_可滴定酸度'!$B$6:$B$13,0)),"")))</f>
        <v/>
      </c>
      <c r="M689" s="25">
        <f>IF($A689="","",IF($C689&lt;&gt;"manual_titration_mL","",IFERROR(INDEX('3_可滴定酸度'!$F$6:$F$13,MATCH($I689,'3_可滴定酸度'!$B$6:$B$13,0)),"")))</f>
        <v/>
      </c>
      <c r="N689" s="24">
        <f>IF($A689="","",IF(OR(K689="",L689="",M689=""),"",K689*E689*L689/(M689*1000)*100))</f>
        <v/>
      </c>
      <c r="O689" s="24">
        <f>IF($A689="","",IF(N689="","",IF(COUNTIFS('1_原始數據'!$A$2:$A$1000,$A689,'1_原始數據'!$B$2:$B$1000,$B689,'1_原始數據'!$D$2:$D$1000,$D689,'1_原始數據'!$I$2:$I$1000,$I689,'1_原始數據'!$C$2:$C$1000,"pasco_pct_acid")=0,"",SUMIFS('1_原始數據'!$E$2:$E$1000,'1_原始數據'!$A$2:$A$1000,$A689,'1_原始數據'!$B$2:$B$1000,$B689,'1_原始數據'!$D$2:$D$1000,$D689,'1_原始數據'!$I$2:$I$1000,$I689,'1_原始數據'!$C$2:$C$1000,"pasco_pct_acid"))))</f>
        <v/>
      </c>
      <c r="P689" s="26">
        <f>IF($A689="","",IF(OR(N689="",O689=""),"",O689-N689))</f>
        <v/>
      </c>
      <c r="Q689" s="24">
        <f>IF($A689="","",IF(P689="","",(O689+N689)/2))</f>
        <v/>
      </c>
      <c r="R689" s="27">
        <f>IF($A689="","",IF(P689="","",COUNT($P$2:P689)))</f>
        <v/>
      </c>
    </row>
    <row r="690">
      <c r="J690" s="24">
        <f>IF($A690="","",IF($C690&lt;&gt;"khp_titration_mL","",IF(COUNTIFS('1_原始數據'!$A$2:$A$1000,$A690,'1_原始數據'!$B$2:$B$1000,$B690,'1_原始數據'!$D$2:$D$1000,$D690,'1_原始數據'!$C$2:$C$1000,"khp_mass_g")=0,"",SUMIFS('1_原始數據'!$E$2:$E$1000,'1_原始數據'!$A$2:$A$1000,$A690,'1_原始數據'!$B$2:$B$1000,$B690,'1_原始數據'!$D$2:$D$1000,$D690,'1_原始數據'!$C$2:$C$1000,"khp_mass_g")/('2_NaOH標定'!$C$5*$E690/1000))))</f>
        <v/>
      </c>
      <c r="K690" s="24">
        <f>IF($A690="","",IF($C690&lt;&gt;"manual_titration_mL","",IF(COUNTIFS('1_原始數據'!$A$2:$A$1000,$A690,'1_原始數據'!$C$2:$C$1000,"khp_titration_mL")=0,"",AVERAGEIFS('1_原始數據'!$J$2:$J$1000,'1_原始數據'!$A$2:$A$1000,$A690,'1_原始數據'!$C$2:$C$1000,"khp_titration_mL"))))</f>
        <v/>
      </c>
      <c r="L690" s="25">
        <f>IF($A690="","",IF($C690&lt;&gt;"manual_titration_mL","",IFERROR(INDEX('3_可滴定酸度'!$E$6:$E$13,MATCH($I690,'3_可滴定酸度'!$B$6:$B$13,0)),"")))</f>
        <v/>
      </c>
      <c r="M690" s="25">
        <f>IF($A690="","",IF($C690&lt;&gt;"manual_titration_mL","",IFERROR(INDEX('3_可滴定酸度'!$F$6:$F$13,MATCH($I690,'3_可滴定酸度'!$B$6:$B$13,0)),"")))</f>
        <v/>
      </c>
      <c r="N690" s="24">
        <f>IF($A690="","",IF(OR(K690="",L690="",M690=""),"",K690*E690*L690/(M690*1000)*100))</f>
        <v/>
      </c>
      <c r="O690" s="24">
        <f>IF($A690="","",IF(N690="","",IF(COUNTIFS('1_原始數據'!$A$2:$A$1000,$A690,'1_原始數據'!$B$2:$B$1000,$B690,'1_原始數據'!$D$2:$D$1000,$D690,'1_原始數據'!$I$2:$I$1000,$I690,'1_原始數據'!$C$2:$C$1000,"pasco_pct_acid")=0,"",SUMIFS('1_原始數據'!$E$2:$E$1000,'1_原始數據'!$A$2:$A$1000,$A690,'1_原始數據'!$B$2:$B$1000,$B690,'1_原始數據'!$D$2:$D$1000,$D690,'1_原始數據'!$I$2:$I$1000,$I690,'1_原始數據'!$C$2:$C$1000,"pasco_pct_acid"))))</f>
        <v/>
      </c>
      <c r="P690" s="26">
        <f>IF($A690="","",IF(OR(N690="",O690=""),"",O690-N690))</f>
        <v/>
      </c>
      <c r="Q690" s="24">
        <f>IF($A690="","",IF(P690="","",(O690+N690)/2))</f>
        <v/>
      </c>
      <c r="R690" s="27">
        <f>IF($A690="","",IF(P690="","",COUNT($P$2:P690)))</f>
        <v/>
      </c>
    </row>
    <row r="691">
      <c r="J691" s="24">
        <f>IF($A691="","",IF($C691&lt;&gt;"khp_titration_mL","",IF(COUNTIFS('1_原始數據'!$A$2:$A$1000,$A691,'1_原始數據'!$B$2:$B$1000,$B691,'1_原始數據'!$D$2:$D$1000,$D691,'1_原始數據'!$C$2:$C$1000,"khp_mass_g")=0,"",SUMIFS('1_原始數據'!$E$2:$E$1000,'1_原始數據'!$A$2:$A$1000,$A691,'1_原始數據'!$B$2:$B$1000,$B691,'1_原始數據'!$D$2:$D$1000,$D691,'1_原始數據'!$C$2:$C$1000,"khp_mass_g")/('2_NaOH標定'!$C$5*$E691/1000))))</f>
        <v/>
      </c>
      <c r="K691" s="24">
        <f>IF($A691="","",IF($C691&lt;&gt;"manual_titration_mL","",IF(COUNTIFS('1_原始數據'!$A$2:$A$1000,$A691,'1_原始數據'!$C$2:$C$1000,"khp_titration_mL")=0,"",AVERAGEIFS('1_原始數據'!$J$2:$J$1000,'1_原始數據'!$A$2:$A$1000,$A691,'1_原始數據'!$C$2:$C$1000,"khp_titration_mL"))))</f>
        <v/>
      </c>
      <c r="L691" s="25">
        <f>IF($A691="","",IF($C691&lt;&gt;"manual_titration_mL","",IFERROR(INDEX('3_可滴定酸度'!$E$6:$E$13,MATCH($I691,'3_可滴定酸度'!$B$6:$B$13,0)),"")))</f>
        <v/>
      </c>
      <c r="M691" s="25">
        <f>IF($A691="","",IF($C691&lt;&gt;"manual_titration_mL","",IFERROR(INDEX('3_可滴定酸度'!$F$6:$F$13,MATCH($I691,'3_可滴定酸度'!$B$6:$B$13,0)),"")))</f>
        <v/>
      </c>
      <c r="N691" s="24">
        <f>IF($A691="","",IF(OR(K691="",L691="",M691=""),"",K691*E691*L691/(M691*1000)*100))</f>
        <v/>
      </c>
      <c r="O691" s="24">
        <f>IF($A691="","",IF(N691="","",IF(COUNTIFS('1_原始數據'!$A$2:$A$1000,$A691,'1_原始數據'!$B$2:$B$1000,$B691,'1_原始數據'!$D$2:$D$1000,$D691,'1_原始數據'!$I$2:$I$1000,$I691,'1_原始數據'!$C$2:$C$1000,"pasco_pct_acid")=0,"",SUMIFS('1_原始數據'!$E$2:$E$1000,'1_原始數據'!$A$2:$A$1000,$A691,'1_原始數據'!$B$2:$B$1000,$B691,'1_原始數據'!$D$2:$D$1000,$D691,'1_原始數據'!$I$2:$I$1000,$I691,'1_原始數據'!$C$2:$C$1000,"pasco_pct_acid"))))</f>
        <v/>
      </c>
      <c r="P691" s="26">
        <f>IF($A691="","",IF(OR(N691="",O691=""),"",O691-N691))</f>
        <v/>
      </c>
      <c r="Q691" s="24">
        <f>IF($A691="","",IF(P691="","",(O691+N691)/2))</f>
        <v/>
      </c>
      <c r="R691" s="27">
        <f>IF($A691="","",IF(P691="","",COUNT($P$2:P691)))</f>
        <v/>
      </c>
    </row>
    <row r="692">
      <c r="J692" s="24">
        <f>IF($A692="","",IF($C692&lt;&gt;"khp_titration_mL","",IF(COUNTIFS('1_原始數據'!$A$2:$A$1000,$A692,'1_原始數據'!$B$2:$B$1000,$B692,'1_原始數據'!$D$2:$D$1000,$D692,'1_原始數據'!$C$2:$C$1000,"khp_mass_g")=0,"",SUMIFS('1_原始數據'!$E$2:$E$1000,'1_原始數據'!$A$2:$A$1000,$A692,'1_原始數據'!$B$2:$B$1000,$B692,'1_原始數據'!$D$2:$D$1000,$D692,'1_原始數據'!$C$2:$C$1000,"khp_mass_g")/('2_NaOH標定'!$C$5*$E692/1000))))</f>
        <v/>
      </c>
      <c r="K692" s="24">
        <f>IF($A692="","",IF($C692&lt;&gt;"manual_titration_mL","",IF(COUNTIFS('1_原始數據'!$A$2:$A$1000,$A692,'1_原始數據'!$C$2:$C$1000,"khp_titration_mL")=0,"",AVERAGEIFS('1_原始數據'!$J$2:$J$1000,'1_原始數據'!$A$2:$A$1000,$A692,'1_原始數據'!$C$2:$C$1000,"khp_titration_mL"))))</f>
        <v/>
      </c>
      <c r="L692" s="25">
        <f>IF($A692="","",IF($C692&lt;&gt;"manual_titration_mL","",IFERROR(INDEX('3_可滴定酸度'!$E$6:$E$13,MATCH($I692,'3_可滴定酸度'!$B$6:$B$13,0)),"")))</f>
        <v/>
      </c>
      <c r="M692" s="25">
        <f>IF($A692="","",IF($C692&lt;&gt;"manual_titration_mL","",IFERROR(INDEX('3_可滴定酸度'!$F$6:$F$13,MATCH($I692,'3_可滴定酸度'!$B$6:$B$13,0)),"")))</f>
        <v/>
      </c>
      <c r="N692" s="24">
        <f>IF($A692="","",IF(OR(K692="",L692="",M692=""),"",K692*E692*L692/(M692*1000)*100))</f>
        <v/>
      </c>
      <c r="O692" s="24">
        <f>IF($A692="","",IF(N692="","",IF(COUNTIFS('1_原始數據'!$A$2:$A$1000,$A692,'1_原始數據'!$B$2:$B$1000,$B692,'1_原始數據'!$D$2:$D$1000,$D692,'1_原始數據'!$I$2:$I$1000,$I692,'1_原始數據'!$C$2:$C$1000,"pasco_pct_acid")=0,"",SUMIFS('1_原始數據'!$E$2:$E$1000,'1_原始數據'!$A$2:$A$1000,$A692,'1_原始數據'!$B$2:$B$1000,$B692,'1_原始數據'!$D$2:$D$1000,$D692,'1_原始數據'!$I$2:$I$1000,$I692,'1_原始數據'!$C$2:$C$1000,"pasco_pct_acid"))))</f>
        <v/>
      </c>
      <c r="P692" s="26">
        <f>IF($A692="","",IF(OR(N692="",O692=""),"",O692-N692))</f>
        <v/>
      </c>
      <c r="Q692" s="24">
        <f>IF($A692="","",IF(P692="","",(O692+N692)/2))</f>
        <v/>
      </c>
      <c r="R692" s="27">
        <f>IF($A692="","",IF(P692="","",COUNT($P$2:P692)))</f>
        <v/>
      </c>
    </row>
    <row r="693">
      <c r="J693" s="24">
        <f>IF($A693="","",IF($C693&lt;&gt;"khp_titration_mL","",IF(COUNTIFS('1_原始數據'!$A$2:$A$1000,$A693,'1_原始數據'!$B$2:$B$1000,$B693,'1_原始數據'!$D$2:$D$1000,$D693,'1_原始數據'!$C$2:$C$1000,"khp_mass_g")=0,"",SUMIFS('1_原始數據'!$E$2:$E$1000,'1_原始數據'!$A$2:$A$1000,$A693,'1_原始數據'!$B$2:$B$1000,$B693,'1_原始數據'!$D$2:$D$1000,$D693,'1_原始數據'!$C$2:$C$1000,"khp_mass_g")/('2_NaOH標定'!$C$5*$E693/1000))))</f>
        <v/>
      </c>
      <c r="K693" s="24">
        <f>IF($A693="","",IF($C693&lt;&gt;"manual_titration_mL","",IF(COUNTIFS('1_原始數據'!$A$2:$A$1000,$A693,'1_原始數據'!$C$2:$C$1000,"khp_titration_mL")=0,"",AVERAGEIFS('1_原始數據'!$J$2:$J$1000,'1_原始數據'!$A$2:$A$1000,$A693,'1_原始數據'!$C$2:$C$1000,"khp_titration_mL"))))</f>
        <v/>
      </c>
      <c r="L693" s="25">
        <f>IF($A693="","",IF($C693&lt;&gt;"manual_titration_mL","",IFERROR(INDEX('3_可滴定酸度'!$E$6:$E$13,MATCH($I693,'3_可滴定酸度'!$B$6:$B$13,0)),"")))</f>
        <v/>
      </c>
      <c r="M693" s="25">
        <f>IF($A693="","",IF($C693&lt;&gt;"manual_titration_mL","",IFERROR(INDEX('3_可滴定酸度'!$F$6:$F$13,MATCH($I693,'3_可滴定酸度'!$B$6:$B$13,0)),"")))</f>
        <v/>
      </c>
      <c r="N693" s="24">
        <f>IF($A693="","",IF(OR(K693="",L693="",M693=""),"",K693*E693*L693/(M693*1000)*100))</f>
        <v/>
      </c>
      <c r="O693" s="24">
        <f>IF($A693="","",IF(N693="","",IF(COUNTIFS('1_原始數據'!$A$2:$A$1000,$A693,'1_原始數據'!$B$2:$B$1000,$B693,'1_原始數據'!$D$2:$D$1000,$D693,'1_原始數據'!$I$2:$I$1000,$I693,'1_原始數據'!$C$2:$C$1000,"pasco_pct_acid")=0,"",SUMIFS('1_原始數據'!$E$2:$E$1000,'1_原始數據'!$A$2:$A$1000,$A693,'1_原始數據'!$B$2:$B$1000,$B693,'1_原始數據'!$D$2:$D$1000,$D693,'1_原始數據'!$I$2:$I$1000,$I693,'1_原始數據'!$C$2:$C$1000,"pasco_pct_acid"))))</f>
        <v/>
      </c>
      <c r="P693" s="26">
        <f>IF($A693="","",IF(OR(N693="",O693=""),"",O693-N693))</f>
        <v/>
      </c>
      <c r="Q693" s="24">
        <f>IF($A693="","",IF(P693="","",(O693+N693)/2))</f>
        <v/>
      </c>
      <c r="R693" s="27">
        <f>IF($A693="","",IF(P693="","",COUNT($P$2:P693)))</f>
        <v/>
      </c>
    </row>
    <row r="694">
      <c r="J694" s="24">
        <f>IF($A694="","",IF($C694&lt;&gt;"khp_titration_mL","",IF(COUNTIFS('1_原始數據'!$A$2:$A$1000,$A694,'1_原始數據'!$B$2:$B$1000,$B694,'1_原始數據'!$D$2:$D$1000,$D694,'1_原始數據'!$C$2:$C$1000,"khp_mass_g")=0,"",SUMIFS('1_原始數據'!$E$2:$E$1000,'1_原始數據'!$A$2:$A$1000,$A694,'1_原始數據'!$B$2:$B$1000,$B694,'1_原始數據'!$D$2:$D$1000,$D694,'1_原始數據'!$C$2:$C$1000,"khp_mass_g")/('2_NaOH標定'!$C$5*$E694/1000))))</f>
        <v/>
      </c>
      <c r="K694" s="24">
        <f>IF($A694="","",IF($C694&lt;&gt;"manual_titration_mL","",IF(COUNTIFS('1_原始數據'!$A$2:$A$1000,$A694,'1_原始數據'!$C$2:$C$1000,"khp_titration_mL")=0,"",AVERAGEIFS('1_原始數據'!$J$2:$J$1000,'1_原始數據'!$A$2:$A$1000,$A694,'1_原始數據'!$C$2:$C$1000,"khp_titration_mL"))))</f>
        <v/>
      </c>
      <c r="L694" s="25">
        <f>IF($A694="","",IF($C694&lt;&gt;"manual_titration_mL","",IFERROR(INDEX('3_可滴定酸度'!$E$6:$E$13,MATCH($I694,'3_可滴定酸度'!$B$6:$B$13,0)),"")))</f>
        <v/>
      </c>
      <c r="M694" s="25">
        <f>IF($A694="","",IF($C694&lt;&gt;"manual_titration_mL","",IFERROR(INDEX('3_可滴定酸度'!$F$6:$F$13,MATCH($I694,'3_可滴定酸度'!$B$6:$B$13,0)),"")))</f>
        <v/>
      </c>
      <c r="N694" s="24">
        <f>IF($A694="","",IF(OR(K694="",L694="",M694=""),"",K694*E694*L694/(M694*1000)*100))</f>
        <v/>
      </c>
      <c r="O694" s="24">
        <f>IF($A694="","",IF(N694="","",IF(COUNTIFS('1_原始數據'!$A$2:$A$1000,$A694,'1_原始數據'!$B$2:$B$1000,$B694,'1_原始數據'!$D$2:$D$1000,$D694,'1_原始數據'!$I$2:$I$1000,$I694,'1_原始數據'!$C$2:$C$1000,"pasco_pct_acid")=0,"",SUMIFS('1_原始數據'!$E$2:$E$1000,'1_原始數據'!$A$2:$A$1000,$A694,'1_原始數據'!$B$2:$B$1000,$B694,'1_原始數據'!$D$2:$D$1000,$D694,'1_原始數據'!$I$2:$I$1000,$I694,'1_原始數據'!$C$2:$C$1000,"pasco_pct_acid"))))</f>
        <v/>
      </c>
      <c r="P694" s="26">
        <f>IF($A694="","",IF(OR(N694="",O694=""),"",O694-N694))</f>
        <v/>
      </c>
      <c r="Q694" s="24">
        <f>IF($A694="","",IF(P694="","",(O694+N694)/2))</f>
        <v/>
      </c>
      <c r="R694" s="27">
        <f>IF($A694="","",IF(P694="","",COUNT($P$2:P694)))</f>
        <v/>
      </c>
    </row>
    <row r="695">
      <c r="J695" s="24">
        <f>IF($A695="","",IF($C695&lt;&gt;"khp_titration_mL","",IF(COUNTIFS('1_原始數據'!$A$2:$A$1000,$A695,'1_原始數據'!$B$2:$B$1000,$B695,'1_原始數據'!$D$2:$D$1000,$D695,'1_原始數據'!$C$2:$C$1000,"khp_mass_g")=0,"",SUMIFS('1_原始數據'!$E$2:$E$1000,'1_原始數據'!$A$2:$A$1000,$A695,'1_原始數據'!$B$2:$B$1000,$B695,'1_原始數據'!$D$2:$D$1000,$D695,'1_原始數據'!$C$2:$C$1000,"khp_mass_g")/('2_NaOH標定'!$C$5*$E695/1000))))</f>
        <v/>
      </c>
      <c r="K695" s="24">
        <f>IF($A695="","",IF($C695&lt;&gt;"manual_titration_mL","",IF(COUNTIFS('1_原始數據'!$A$2:$A$1000,$A695,'1_原始數據'!$C$2:$C$1000,"khp_titration_mL")=0,"",AVERAGEIFS('1_原始數據'!$J$2:$J$1000,'1_原始數據'!$A$2:$A$1000,$A695,'1_原始數據'!$C$2:$C$1000,"khp_titration_mL"))))</f>
        <v/>
      </c>
      <c r="L695" s="25">
        <f>IF($A695="","",IF($C695&lt;&gt;"manual_titration_mL","",IFERROR(INDEX('3_可滴定酸度'!$E$6:$E$13,MATCH($I695,'3_可滴定酸度'!$B$6:$B$13,0)),"")))</f>
        <v/>
      </c>
      <c r="M695" s="25">
        <f>IF($A695="","",IF($C695&lt;&gt;"manual_titration_mL","",IFERROR(INDEX('3_可滴定酸度'!$F$6:$F$13,MATCH($I695,'3_可滴定酸度'!$B$6:$B$13,0)),"")))</f>
        <v/>
      </c>
      <c r="N695" s="24">
        <f>IF($A695="","",IF(OR(K695="",L695="",M695=""),"",K695*E695*L695/(M695*1000)*100))</f>
        <v/>
      </c>
      <c r="O695" s="24">
        <f>IF($A695="","",IF(N695="","",IF(COUNTIFS('1_原始數據'!$A$2:$A$1000,$A695,'1_原始數據'!$B$2:$B$1000,$B695,'1_原始數據'!$D$2:$D$1000,$D695,'1_原始數據'!$I$2:$I$1000,$I695,'1_原始數據'!$C$2:$C$1000,"pasco_pct_acid")=0,"",SUMIFS('1_原始數據'!$E$2:$E$1000,'1_原始數據'!$A$2:$A$1000,$A695,'1_原始數據'!$B$2:$B$1000,$B695,'1_原始數據'!$D$2:$D$1000,$D695,'1_原始數據'!$I$2:$I$1000,$I695,'1_原始數據'!$C$2:$C$1000,"pasco_pct_acid"))))</f>
        <v/>
      </c>
      <c r="P695" s="26">
        <f>IF($A695="","",IF(OR(N695="",O695=""),"",O695-N695))</f>
        <v/>
      </c>
      <c r="Q695" s="24">
        <f>IF($A695="","",IF(P695="","",(O695+N695)/2))</f>
        <v/>
      </c>
      <c r="R695" s="27">
        <f>IF($A695="","",IF(P695="","",COUNT($P$2:P695)))</f>
        <v/>
      </c>
    </row>
    <row r="696">
      <c r="J696" s="24">
        <f>IF($A696="","",IF($C696&lt;&gt;"khp_titration_mL","",IF(COUNTIFS('1_原始數據'!$A$2:$A$1000,$A696,'1_原始數據'!$B$2:$B$1000,$B696,'1_原始數據'!$D$2:$D$1000,$D696,'1_原始數據'!$C$2:$C$1000,"khp_mass_g")=0,"",SUMIFS('1_原始數據'!$E$2:$E$1000,'1_原始數據'!$A$2:$A$1000,$A696,'1_原始數據'!$B$2:$B$1000,$B696,'1_原始數據'!$D$2:$D$1000,$D696,'1_原始數據'!$C$2:$C$1000,"khp_mass_g")/('2_NaOH標定'!$C$5*$E696/1000))))</f>
        <v/>
      </c>
      <c r="K696" s="24">
        <f>IF($A696="","",IF($C696&lt;&gt;"manual_titration_mL","",IF(COUNTIFS('1_原始數據'!$A$2:$A$1000,$A696,'1_原始數據'!$C$2:$C$1000,"khp_titration_mL")=0,"",AVERAGEIFS('1_原始數據'!$J$2:$J$1000,'1_原始數據'!$A$2:$A$1000,$A696,'1_原始數據'!$C$2:$C$1000,"khp_titration_mL"))))</f>
        <v/>
      </c>
      <c r="L696" s="25">
        <f>IF($A696="","",IF($C696&lt;&gt;"manual_titration_mL","",IFERROR(INDEX('3_可滴定酸度'!$E$6:$E$13,MATCH($I696,'3_可滴定酸度'!$B$6:$B$13,0)),"")))</f>
        <v/>
      </c>
      <c r="M696" s="25">
        <f>IF($A696="","",IF($C696&lt;&gt;"manual_titration_mL","",IFERROR(INDEX('3_可滴定酸度'!$F$6:$F$13,MATCH($I696,'3_可滴定酸度'!$B$6:$B$13,0)),"")))</f>
        <v/>
      </c>
      <c r="N696" s="24">
        <f>IF($A696="","",IF(OR(K696="",L696="",M696=""),"",K696*E696*L696/(M696*1000)*100))</f>
        <v/>
      </c>
      <c r="O696" s="24">
        <f>IF($A696="","",IF(N696="","",IF(COUNTIFS('1_原始數據'!$A$2:$A$1000,$A696,'1_原始數據'!$B$2:$B$1000,$B696,'1_原始數據'!$D$2:$D$1000,$D696,'1_原始數據'!$I$2:$I$1000,$I696,'1_原始數據'!$C$2:$C$1000,"pasco_pct_acid")=0,"",SUMIFS('1_原始數據'!$E$2:$E$1000,'1_原始數據'!$A$2:$A$1000,$A696,'1_原始數據'!$B$2:$B$1000,$B696,'1_原始數據'!$D$2:$D$1000,$D696,'1_原始數據'!$I$2:$I$1000,$I696,'1_原始數據'!$C$2:$C$1000,"pasco_pct_acid"))))</f>
        <v/>
      </c>
      <c r="P696" s="26">
        <f>IF($A696="","",IF(OR(N696="",O696=""),"",O696-N696))</f>
        <v/>
      </c>
      <c r="Q696" s="24">
        <f>IF($A696="","",IF(P696="","",(O696+N696)/2))</f>
        <v/>
      </c>
      <c r="R696" s="27">
        <f>IF($A696="","",IF(P696="","",COUNT($P$2:P696)))</f>
        <v/>
      </c>
    </row>
    <row r="697">
      <c r="J697" s="24">
        <f>IF($A697="","",IF($C697&lt;&gt;"khp_titration_mL","",IF(COUNTIFS('1_原始數據'!$A$2:$A$1000,$A697,'1_原始數據'!$B$2:$B$1000,$B697,'1_原始數據'!$D$2:$D$1000,$D697,'1_原始數據'!$C$2:$C$1000,"khp_mass_g")=0,"",SUMIFS('1_原始數據'!$E$2:$E$1000,'1_原始數據'!$A$2:$A$1000,$A697,'1_原始數據'!$B$2:$B$1000,$B697,'1_原始數據'!$D$2:$D$1000,$D697,'1_原始數據'!$C$2:$C$1000,"khp_mass_g")/('2_NaOH標定'!$C$5*$E697/1000))))</f>
        <v/>
      </c>
      <c r="K697" s="24">
        <f>IF($A697="","",IF($C697&lt;&gt;"manual_titration_mL","",IF(COUNTIFS('1_原始數據'!$A$2:$A$1000,$A697,'1_原始數據'!$C$2:$C$1000,"khp_titration_mL")=0,"",AVERAGEIFS('1_原始數據'!$J$2:$J$1000,'1_原始數據'!$A$2:$A$1000,$A697,'1_原始數據'!$C$2:$C$1000,"khp_titration_mL"))))</f>
        <v/>
      </c>
      <c r="L697" s="25">
        <f>IF($A697="","",IF($C697&lt;&gt;"manual_titration_mL","",IFERROR(INDEX('3_可滴定酸度'!$E$6:$E$13,MATCH($I697,'3_可滴定酸度'!$B$6:$B$13,0)),"")))</f>
        <v/>
      </c>
      <c r="M697" s="25">
        <f>IF($A697="","",IF($C697&lt;&gt;"manual_titration_mL","",IFERROR(INDEX('3_可滴定酸度'!$F$6:$F$13,MATCH($I697,'3_可滴定酸度'!$B$6:$B$13,0)),"")))</f>
        <v/>
      </c>
      <c r="N697" s="24">
        <f>IF($A697="","",IF(OR(K697="",L697="",M697=""),"",K697*E697*L697/(M697*1000)*100))</f>
        <v/>
      </c>
      <c r="O697" s="24">
        <f>IF($A697="","",IF(N697="","",IF(COUNTIFS('1_原始數據'!$A$2:$A$1000,$A697,'1_原始數據'!$B$2:$B$1000,$B697,'1_原始數據'!$D$2:$D$1000,$D697,'1_原始數據'!$I$2:$I$1000,$I697,'1_原始數據'!$C$2:$C$1000,"pasco_pct_acid")=0,"",SUMIFS('1_原始數據'!$E$2:$E$1000,'1_原始數據'!$A$2:$A$1000,$A697,'1_原始數據'!$B$2:$B$1000,$B697,'1_原始數據'!$D$2:$D$1000,$D697,'1_原始數據'!$I$2:$I$1000,$I697,'1_原始數據'!$C$2:$C$1000,"pasco_pct_acid"))))</f>
        <v/>
      </c>
      <c r="P697" s="26">
        <f>IF($A697="","",IF(OR(N697="",O697=""),"",O697-N697))</f>
        <v/>
      </c>
      <c r="Q697" s="24">
        <f>IF($A697="","",IF(P697="","",(O697+N697)/2))</f>
        <v/>
      </c>
      <c r="R697" s="27">
        <f>IF($A697="","",IF(P697="","",COUNT($P$2:P697)))</f>
        <v/>
      </c>
    </row>
    <row r="698">
      <c r="J698" s="24">
        <f>IF($A698="","",IF($C698&lt;&gt;"khp_titration_mL","",IF(COUNTIFS('1_原始數據'!$A$2:$A$1000,$A698,'1_原始數據'!$B$2:$B$1000,$B698,'1_原始數據'!$D$2:$D$1000,$D698,'1_原始數據'!$C$2:$C$1000,"khp_mass_g")=0,"",SUMIFS('1_原始數據'!$E$2:$E$1000,'1_原始數據'!$A$2:$A$1000,$A698,'1_原始數據'!$B$2:$B$1000,$B698,'1_原始數據'!$D$2:$D$1000,$D698,'1_原始數據'!$C$2:$C$1000,"khp_mass_g")/('2_NaOH標定'!$C$5*$E698/1000))))</f>
        <v/>
      </c>
      <c r="K698" s="24">
        <f>IF($A698="","",IF($C698&lt;&gt;"manual_titration_mL","",IF(COUNTIFS('1_原始數據'!$A$2:$A$1000,$A698,'1_原始數據'!$C$2:$C$1000,"khp_titration_mL")=0,"",AVERAGEIFS('1_原始數據'!$J$2:$J$1000,'1_原始數據'!$A$2:$A$1000,$A698,'1_原始數據'!$C$2:$C$1000,"khp_titration_mL"))))</f>
        <v/>
      </c>
      <c r="L698" s="25">
        <f>IF($A698="","",IF($C698&lt;&gt;"manual_titration_mL","",IFERROR(INDEX('3_可滴定酸度'!$E$6:$E$13,MATCH($I698,'3_可滴定酸度'!$B$6:$B$13,0)),"")))</f>
        <v/>
      </c>
      <c r="M698" s="25">
        <f>IF($A698="","",IF($C698&lt;&gt;"manual_titration_mL","",IFERROR(INDEX('3_可滴定酸度'!$F$6:$F$13,MATCH($I698,'3_可滴定酸度'!$B$6:$B$13,0)),"")))</f>
        <v/>
      </c>
      <c r="N698" s="24">
        <f>IF($A698="","",IF(OR(K698="",L698="",M698=""),"",K698*E698*L698/(M698*1000)*100))</f>
        <v/>
      </c>
      <c r="O698" s="24">
        <f>IF($A698="","",IF(N698="","",IF(COUNTIFS('1_原始數據'!$A$2:$A$1000,$A698,'1_原始數據'!$B$2:$B$1000,$B698,'1_原始數據'!$D$2:$D$1000,$D698,'1_原始數據'!$I$2:$I$1000,$I698,'1_原始數據'!$C$2:$C$1000,"pasco_pct_acid")=0,"",SUMIFS('1_原始數據'!$E$2:$E$1000,'1_原始數據'!$A$2:$A$1000,$A698,'1_原始數據'!$B$2:$B$1000,$B698,'1_原始數據'!$D$2:$D$1000,$D698,'1_原始數據'!$I$2:$I$1000,$I698,'1_原始數據'!$C$2:$C$1000,"pasco_pct_acid"))))</f>
        <v/>
      </c>
      <c r="P698" s="26">
        <f>IF($A698="","",IF(OR(N698="",O698=""),"",O698-N698))</f>
        <v/>
      </c>
      <c r="Q698" s="24">
        <f>IF($A698="","",IF(P698="","",(O698+N698)/2))</f>
        <v/>
      </c>
      <c r="R698" s="27">
        <f>IF($A698="","",IF(P698="","",COUNT($P$2:P698)))</f>
        <v/>
      </c>
    </row>
    <row r="699">
      <c r="J699" s="24">
        <f>IF($A699="","",IF($C699&lt;&gt;"khp_titration_mL","",IF(COUNTIFS('1_原始數據'!$A$2:$A$1000,$A699,'1_原始數據'!$B$2:$B$1000,$B699,'1_原始數據'!$D$2:$D$1000,$D699,'1_原始數據'!$C$2:$C$1000,"khp_mass_g")=0,"",SUMIFS('1_原始數據'!$E$2:$E$1000,'1_原始數據'!$A$2:$A$1000,$A699,'1_原始數據'!$B$2:$B$1000,$B699,'1_原始數據'!$D$2:$D$1000,$D699,'1_原始數據'!$C$2:$C$1000,"khp_mass_g")/('2_NaOH標定'!$C$5*$E699/1000))))</f>
        <v/>
      </c>
      <c r="K699" s="24">
        <f>IF($A699="","",IF($C699&lt;&gt;"manual_titration_mL","",IF(COUNTIFS('1_原始數據'!$A$2:$A$1000,$A699,'1_原始數據'!$C$2:$C$1000,"khp_titration_mL")=0,"",AVERAGEIFS('1_原始數據'!$J$2:$J$1000,'1_原始數據'!$A$2:$A$1000,$A699,'1_原始數據'!$C$2:$C$1000,"khp_titration_mL"))))</f>
        <v/>
      </c>
      <c r="L699" s="25">
        <f>IF($A699="","",IF($C699&lt;&gt;"manual_titration_mL","",IFERROR(INDEX('3_可滴定酸度'!$E$6:$E$13,MATCH($I699,'3_可滴定酸度'!$B$6:$B$13,0)),"")))</f>
        <v/>
      </c>
      <c r="M699" s="25">
        <f>IF($A699="","",IF($C699&lt;&gt;"manual_titration_mL","",IFERROR(INDEX('3_可滴定酸度'!$F$6:$F$13,MATCH($I699,'3_可滴定酸度'!$B$6:$B$13,0)),"")))</f>
        <v/>
      </c>
      <c r="N699" s="24">
        <f>IF($A699="","",IF(OR(K699="",L699="",M699=""),"",K699*E699*L699/(M699*1000)*100))</f>
        <v/>
      </c>
      <c r="O699" s="24">
        <f>IF($A699="","",IF(N699="","",IF(COUNTIFS('1_原始數據'!$A$2:$A$1000,$A699,'1_原始數據'!$B$2:$B$1000,$B699,'1_原始數據'!$D$2:$D$1000,$D699,'1_原始數據'!$I$2:$I$1000,$I699,'1_原始數據'!$C$2:$C$1000,"pasco_pct_acid")=0,"",SUMIFS('1_原始數據'!$E$2:$E$1000,'1_原始數據'!$A$2:$A$1000,$A699,'1_原始數據'!$B$2:$B$1000,$B699,'1_原始數據'!$D$2:$D$1000,$D699,'1_原始數據'!$I$2:$I$1000,$I699,'1_原始數據'!$C$2:$C$1000,"pasco_pct_acid"))))</f>
        <v/>
      </c>
      <c r="P699" s="26">
        <f>IF($A699="","",IF(OR(N699="",O699=""),"",O699-N699))</f>
        <v/>
      </c>
      <c r="Q699" s="24">
        <f>IF($A699="","",IF(P699="","",(O699+N699)/2))</f>
        <v/>
      </c>
      <c r="R699" s="27">
        <f>IF($A699="","",IF(P699="","",COUNT($P$2:P699)))</f>
        <v/>
      </c>
    </row>
    <row r="700">
      <c r="J700" s="24">
        <f>IF($A700="","",IF($C700&lt;&gt;"khp_titration_mL","",IF(COUNTIFS('1_原始數據'!$A$2:$A$1000,$A700,'1_原始數據'!$B$2:$B$1000,$B700,'1_原始數據'!$D$2:$D$1000,$D700,'1_原始數據'!$C$2:$C$1000,"khp_mass_g")=0,"",SUMIFS('1_原始數據'!$E$2:$E$1000,'1_原始數據'!$A$2:$A$1000,$A700,'1_原始數據'!$B$2:$B$1000,$B700,'1_原始數據'!$D$2:$D$1000,$D700,'1_原始數據'!$C$2:$C$1000,"khp_mass_g")/('2_NaOH標定'!$C$5*$E700/1000))))</f>
        <v/>
      </c>
      <c r="K700" s="24">
        <f>IF($A700="","",IF($C700&lt;&gt;"manual_titration_mL","",IF(COUNTIFS('1_原始數據'!$A$2:$A$1000,$A700,'1_原始數據'!$C$2:$C$1000,"khp_titration_mL")=0,"",AVERAGEIFS('1_原始數據'!$J$2:$J$1000,'1_原始數據'!$A$2:$A$1000,$A700,'1_原始數據'!$C$2:$C$1000,"khp_titration_mL"))))</f>
        <v/>
      </c>
      <c r="L700" s="25">
        <f>IF($A700="","",IF($C700&lt;&gt;"manual_titration_mL","",IFERROR(INDEX('3_可滴定酸度'!$E$6:$E$13,MATCH($I700,'3_可滴定酸度'!$B$6:$B$13,0)),"")))</f>
        <v/>
      </c>
      <c r="M700" s="25">
        <f>IF($A700="","",IF($C700&lt;&gt;"manual_titration_mL","",IFERROR(INDEX('3_可滴定酸度'!$F$6:$F$13,MATCH($I700,'3_可滴定酸度'!$B$6:$B$13,0)),"")))</f>
        <v/>
      </c>
      <c r="N700" s="24">
        <f>IF($A700="","",IF(OR(K700="",L700="",M700=""),"",K700*E700*L700/(M700*1000)*100))</f>
        <v/>
      </c>
      <c r="O700" s="24">
        <f>IF($A700="","",IF(N700="","",IF(COUNTIFS('1_原始數據'!$A$2:$A$1000,$A700,'1_原始數據'!$B$2:$B$1000,$B700,'1_原始數據'!$D$2:$D$1000,$D700,'1_原始數據'!$I$2:$I$1000,$I700,'1_原始數據'!$C$2:$C$1000,"pasco_pct_acid")=0,"",SUMIFS('1_原始數據'!$E$2:$E$1000,'1_原始數據'!$A$2:$A$1000,$A700,'1_原始數據'!$B$2:$B$1000,$B700,'1_原始數據'!$D$2:$D$1000,$D700,'1_原始數據'!$I$2:$I$1000,$I700,'1_原始數據'!$C$2:$C$1000,"pasco_pct_acid"))))</f>
        <v/>
      </c>
      <c r="P700" s="26">
        <f>IF($A700="","",IF(OR(N700="",O700=""),"",O700-N700))</f>
        <v/>
      </c>
      <c r="Q700" s="24">
        <f>IF($A700="","",IF(P700="","",(O700+N700)/2))</f>
        <v/>
      </c>
      <c r="R700" s="27">
        <f>IF($A700="","",IF(P700="","",COUNT($P$2:P700)))</f>
        <v/>
      </c>
    </row>
    <row r="701">
      <c r="J701" s="24">
        <f>IF($A701="","",IF($C701&lt;&gt;"khp_titration_mL","",IF(COUNTIFS('1_原始數據'!$A$2:$A$1000,$A701,'1_原始數據'!$B$2:$B$1000,$B701,'1_原始數據'!$D$2:$D$1000,$D701,'1_原始數據'!$C$2:$C$1000,"khp_mass_g")=0,"",SUMIFS('1_原始數據'!$E$2:$E$1000,'1_原始數據'!$A$2:$A$1000,$A701,'1_原始數據'!$B$2:$B$1000,$B701,'1_原始數據'!$D$2:$D$1000,$D701,'1_原始數據'!$C$2:$C$1000,"khp_mass_g")/('2_NaOH標定'!$C$5*$E701/1000))))</f>
        <v/>
      </c>
      <c r="K701" s="24">
        <f>IF($A701="","",IF($C701&lt;&gt;"manual_titration_mL","",IF(COUNTIFS('1_原始數據'!$A$2:$A$1000,$A701,'1_原始數據'!$C$2:$C$1000,"khp_titration_mL")=0,"",AVERAGEIFS('1_原始數據'!$J$2:$J$1000,'1_原始數據'!$A$2:$A$1000,$A701,'1_原始數據'!$C$2:$C$1000,"khp_titration_mL"))))</f>
        <v/>
      </c>
      <c r="L701" s="25">
        <f>IF($A701="","",IF($C701&lt;&gt;"manual_titration_mL","",IFERROR(INDEX('3_可滴定酸度'!$E$6:$E$13,MATCH($I701,'3_可滴定酸度'!$B$6:$B$13,0)),"")))</f>
        <v/>
      </c>
      <c r="M701" s="25">
        <f>IF($A701="","",IF($C701&lt;&gt;"manual_titration_mL","",IFERROR(INDEX('3_可滴定酸度'!$F$6:$F$13,MATCH($I701,'3_可滴定酸度'!$B$6:$B$13,0)),"")))</f>
        <v/>
      </c>
      <c r="N701" s="24">
        <f>IF($A701="","",IF(OR(K701="",L701="",M701=""),"",K701*E701*L701/(M701*1000)*100))</f>
        <v/>
      </c>
      <c r="O701" s="24">
        <f>IF($A701="","",IF(N701="","",IF(COUNTIFS('1_原始數據'!$A$2:$A$1000,$A701,'1_原始數據'!$B$2:$B$1000,$B701,'1_原始數據'!$D$2:$D$1000,$D701,'1_原始數據'!$I$2:$I$1000,$I701,'1_原始數據'!$C$2:$C$1000,"pasco_pct_acid")=0,"",SUMIFS('1_原始數據'!$E$2:$E$1000,'1_原始數據'!$A$2:$A$1000,$A701,'1_原始數據'!$B$2:$B$1000,$B701,'1_原始數據'!$D$2:$D$1000,$D701,'1_原始數據'!$I$2:$I$1000,$I701,'1_原始數據'!$C$2:$C$1000,"pasco_pct_acid"))))</f>
        <v/>
      </c>
      <c r="P701" s="26">
        <f>IF($A701="","",IF(OR(N701="",O701=""),"",O701-N701))</f>
        <v/>
      </c>
      <c r="Q701" s="24">
        <f>IF($A701="","",IF(P701="","",(O701+N701)/2))</f>
        <v/>
      </c>
      <c r="R701" s="27">
        <f>IF($A701="","",IF(P701="","",COUNT($P$2:P701)))</f>
        <v/>
      </c>
    </row>
    <row r="702">
      <c r="J702" s="24">
        <f>IF($A702="","",IF($C702&lt;&gt;"khp_titration_mL","",IF(COUNTIFS('1_原始數據'!$A$2:$A$1000,$A702,'1_原始數據'!$B$2:$B$1000,$B702,'1_原始數據'!$D$2:$D$1000,$D702,'1_原始數據'!$C$2:$C$1000,"khp_mass_g")=0,"",SUMIFS('1_原始數據'!$E$2:$E$1000,'1_原始數據'!$A$2:$A$1000,$A702,'1_原始數據'!$B$2:$B$1000,$B702,'1_原始數據'!$D$2:$D$1000,$D702,'1_原始數據'!$C$2:$C$1000,"khp_mass_g")/('2_NaOH標定'!$C$5*$E702/1000))))</f>
        <v/>
      </c>
      <c r="K702" s="24">
        <f>IF($A702="","",IF($C702&lt;&gt;"manual_titration_mL","",IF(COUNTIFS('1_原始數據'!$A$2:$A$1000,$A702,'1_原始數據'!$C$2:$C$1000,"khp_titration_mL")=0,"",AVERAGEIFS('1_原始數據'!$J$2:$J$1000,'1_原始數據'!$A$2:$A$1000,$A702,'1_原始數據'!$C$2:$C$1000,"khp_titration_mL"))))</f>
        <v/>
      </c>
      <c r="L702" s="25">
        <f>IF($A702="","",IF($C702&lt;&gt;"manual_titration_mL","",IFERROR(INDEX('3_可滴定酸度'!$E$6:$E$13,MATCH($I702,'3_可滴定酸度'!$B$6:$B$13,0)),"")))</f>
        <v/>
      </c>
      <c r="M702" s="25">
        <f>IF($A702="","",IF($C702&lt;&gt;"manual_titration_mL","",IFERROR(INDEX('3_可滴定酸度'!$F$6:$F$13,MATCH($I702,'3_可滴定酸度'!$B$6:$B$13,0)),"")))</f>
        <v/>
      </c>
      <c r="N702" s="24">
        <f>IF($A702="","",IF(OR(K702="",L702="",M702=""),"",K702*E702*L702/(M702*1000)*100))</f>
        <v/>
      </c>
      <c r="O702" s="24">
        <f>IF($A702="","",IF(N702="","",IF(COUNTIFS('1_原始數據'!$A$2:$A$1000,$A702,'1_原始數據'!$B$2:$B$1000,$B702,'1_原始數據'!$D$2:$D$1000,$D702,'1_原始數據'!$I$2:$I$1000,$I702,'1_原始數據'!$C$2:$C$1000,"pasco_pct_acid")=0,"",SUMIFS('1_原始數據'!$E$2:$E$1000,'1_原始數據'!$A$2:$A$1000,$A702,'1_原始數據'!$B$2:$B$1000,$B702,'1_原始數據'!$D$2:$D$1000,$D702,'1_原始數據'!$I$2:$I$1000,$I702,'1_原始數據'!$C$2:$C$1000,"pasco_pct_acid"))))</f>
        <v/>
      </c>
      <c r="P702" s="26">
        <f>IF($A702="","",IF(OR(N702="",O702=""),"",O702-N702))</f>
        <v/>
      </c>
      <c r="Q702" s="24">
        <f>IF($A702="","",IF(P702="","",(O702+N702)/2))</f>
        <v/>
      </c>
      <c r="R702" s="27">
        <f>IF($A702="","",IF(P702="","",COUNT($P$2:P702)))</f>
        <v/>
      </c>
    </row>
    <row r="703">
      <c r="J703" s="24">
        <f>IF($A703="","",IF($C703&lt;&gt;"khp_titration_mL","",IF(COUNTIFS('1_原始數據'!$A$2:$A$1000,$A703,'1_原始數據'!$B$2:$B$1000,$B703,'1_原始數據'!$D$2:$D$1000,$D703,'1_原始數據'!$C$2:$C$1000,"khp_mass_g")=0,"",SUMIFS('1_原始數據'!$E$2:$E$1000,'1_原始數據'!$A$2:$A$1000,$A703,'1_原始數據'!$B$2:$B$1000,$B703,'1_原始數據'!$D$2:$D$1000,$D703,'1_原始數據'!$C$2:$C$1000,"khp_mass_g")/('2_NaOH標定'!$C$5*$E703/1000))))</f>
        <v/>
      </c>
      <c r="K703" s="24">
        <f>IF($A703="","",IF($C703&lt;&gt;"manual_titration_mL","",IF(COUNTIFS('1_原始數據'!$A$2:$A$1000,$A703,'1_原始數據'!$C$2:$C$1000,"khp_titration_mL")=0,"",AVERAGEIFS('1_原始數據'!$J$2:$J$1000,'1_原始數據'!$A$2:$A$1000,$A703,'1_原始數據'!$C$2:$C$1000,"khp_titration_mL"))))</f>
        <v/>
      </c>
      <c r="L703" s="25">
        <f>IF($A703="","",IF($C703&lt;&gt;"manual_titration_mL","",IFERROR(INDEX('3_可滴定酸度'!$E$6:$E$13,MATCH($I703,'3_可滴定酸度'!$B$6:$B$13,0)),"")))</f>
        <v/>
      </c>
      <c r="M703" s="25">
        <f>IF($A703="","",IF($C703&lt;&gt;"manual_titration_mL","",IFERROR(INDEX('3_可滴定酸度'!$F$6:$F$13,MATCH($I703,'3_可滴定酸度'!$B$6:$B$13,0)),"")))</f>
        <v/>
      </c>
      <c r="N703" s="24">
        <f>IF($A703="","",IF(OR(K703="",L703="",M703=""),"",K703*E703*L703/(M703*1000)*100))</f>
        <v/>
      </c>
      <c r="O703" s="24">
        <f>IF($A703="","",IF(N703="","",IF(COUNTIFS('1_原始數據'!$A$2:$A$1000,$A703,'1_原始數據'!$B$2:$B$1000,$B703,'1_原始數據'!$D$2:$D$1000,$D703,'1_原始數據'!$I$2:$I$1000,$I703,'1_原始數據'!$C$2:$C$1000,"pasco_pct_acid")=0,"",SUMIFS('1_原始數據'!$E$2:$E$1000,'1_原始數據'!$A$2:$A$1000,$A703,'1_原始數據'!$B$2:$B$1000,$B703,'1_原始數據'!$D$2:$D$1000,$D703,'1_原始數據'!$I$2:$I$1000,$I703,'1_原始數據'!$C$2:$C$1000,"pasco_pct_acid"))))</f>
        <v/>
      </c>
      <c r="P703" s="26">
        <f>IF($A703="","",IF(OR(N703="",O703=""),"",O703-N703))</f>
        <v/>
      </c>
      <c r="Q703" s="24">
        <f>IF($A703="","",IF(P703="","",(O703+N703)/2))</f>
        <v/>
      </c>
      <c r="R703" s="27">
        <f>IF($A703="","",IF(P703="","",COUNT($P$2:P703)))</f>
        <v/>
      </c>
    </row>
    <row r="704">
      <c r="J704" s="24">
        <f>IF($A704="","",IF($C704&lt;&gt;"khp_titration_mL","",IF(COUNTIFS('1_原始數據'!$A$2:$A$1000,$A704,'1_原始數據'!$B$2:$B$1000,$B704,'1_原始數據'!$D$2:$D$1000,$D704,'1_原始數據'!$C$2:$C$1000,"khp_mass_g")=0,"",SUMIFS('1_原始數據'!$E$2:$E$1000,'1_原始數據'!$A$2:$A$1000,$A704,'1_原始數據'!$B$2:$B$1000,$B704,'1_原始數據'!$D$2:$D$1000,$D704,'1_原始數據'!$C$2:$C$1000,"khp_mass_g")/('2_NaOH標定'!$C$5*$E704/1000))))</f>
        <v/>
      </c>
      <c r="K704" s="24">
        <f>IF($A704="","",IF($C704&lt;&gt;"manual_titration_mL","",IF(COUNTIFS('1_原始數據'!$A$2:$A$1000,$A704,'1_原始數據'!$C$2:$C$1000,"khp_titration_mL")=0,"",AVERAGEIFS('1_原始數據'!$J$2:$J$1000,'1_原始數據'!$A$2:$A$1000,$A704,'1_原始數據'!$C$2:$C$1000,"khp_titration_mL"))))</f>
        <v/>
      </c>
      <c r="L704" s="25">
        <f>IF($A704="","",IF($C704&lt;&gt;"manual_titration_mL","",IFERROR(INDEX('3_可滴定酸度'!$E$6:$E$13,MATCH($I704,'3_可滴定酸度'!$B$6:$B$13,0)),"")))</f>
        <v/>
      </c>
      <c r="M704" s="25">
        <f>IF($A704="","",IF($C704&lt;&gt;"manual_titration_mL","",IFERROR(INDEX('3_可滴定酸度'!$F$6:$F$13,MATCH($I704,'3_可滴定酸度'!$B$6:$B$13,0)),"")))</f>
        <v/>
      </c>
      <c r="N704" s="24">
        <f>IF($A704="","",IF(OR(K704="",L704="",M704=""),"",K704*E704*L704/(M704*1000)*100))</f>
        <v/>
      </c>
      <c r="O704" s="24">
        <f>IF($A704="","",IF(N704="","",IF(COUNTIFS('1_原始數據'!$A$2:$A$1000,$A704,'1_原始數據'!$B$2:$B$1000,$B704,'1_原始數據'!$D$2:$D$1000,$D704,'1_原始數據'!$I$2:$I$1000,$I704,'1_原始數據'!$C$2:$C$1000,"pasco_pct_acid")=0,"",SUMIFS('1_原始數據'!$E$2:$E$1000,'1_原始數據'!$A$2:$A$1000,$A704,'1_原始數據'!$B$2:$B$1000,$B704,'1_原始數據'!$D$2:$D$1000,$D704,'1_原始數據'!$I$2:$I$1000,$I704,'1_原始數據'!$C$2:$C$1000,"pasco_pct_acid"))))</f>
        <v/>
      </c>
      <c r="P704" s="26">
        <f>IF($A704="","",IF(OR(N704="",O704=""),"",O704-N704))</f>
        <v/>
      </c>
      <c r="Q704" s="24">
        <f>IF($A704="","",IF(P704="","",(O704+N704)/2))</f>
        <v/>
      </c>
      <c r="R704" s="27">
        <f>IF($A704="","",IF(P704="","",COUNT($P$2:P704)))</f>
        <v/>
      </c>
    </row>
    <row r="705">
      <c r="J705" s="24">
        <f>IF($A705="","",IF($C705&lt;&gt;"khp_titration_mL","",IF(COUNTIFS('1_原始數據'!$A$2:$A$1000,$A705,'1_原始數據'!$B$2:$B$1000,$B705,'1_原始數據'!$D$2:$D$1000,$D705,'1_原始數據'!$C$2:$C$1000,"khp_mass_g")=0,"",SUMIFS('1_原始數據'!$E$2:$E$1000,'1_原始數據'!$A$2:$A$1000,$A705,'1_原始數據'!$B$2:$B$1000,$B705,'1_原始數據'!$D$2:$D$1000,$D705,'1_原始數據'!$C$2:$C$1000,"khp_mass_g")/('2_NaOH標定'!$C$5*$E705/1000))))</f>
        <v/>
      </c>
      <c r="K705" s="24">
        <f>IF($A705="","",IF($C705&lt;&gt;"manual_titration_mL","",IF(COUNTIFS('1_原始數據'!$A$2:$A$1000,$A705,'1_原始數據'!$C$2:$C$1000,"khp_titration_mL")=0,"",AVERAGEIFS('1_原始數據'!$J$2:$J$1000,'1_原始數據'!$A$2:$A$1000,$A705,'1_原始數據'!$C$2:$C$1000,"khp_titration_mL"))))</f>
        <v/>
      </c>
      <c r="L705" s="25">
        <f>IF($A705="","",IF($C705&lt;&gt;"manual_titration_mL","",IFERROR(INDEX('3_可滴定酸度'!$E$6:$E$13,MATCH($I705,'3_可滴定酸度'!$B$6:$B$13,0)),"")))</f>
        <v/>
      </c>
      <c r="M705" s="25">
        <f>IF($A705="","",IF($C705&lt;&gt;"manual_titration_mL","",IFERROR(INDEX('3_可滴定酸度'!$F$6:$F$13,MATCH($I705,'3_可滴定酸度'!$B$6:$B$13,0)),"")))</f>
        <v/>
      </c>
      <c r="N705" s="24">
        <f>IF($A705="","",IF(OR(K705="",L705="",M705=""),"",K705*E705*L705/(M705*1000)*100))</f>
        <v/>
      </c>
      <c r="O705" s="24">
        <f>IF($A705="","",IF(N705="","",IF(COUNTIFS('1_原始數據'!$A$2:$A$1000,$A705,'1_原始數據'!$B$2:$B$1000,$B705,'1_原始數據'!$D$2:$D$1000,$D705,'1_原始數據'!$I$2:$I$1000,$I705,'1_原始數據'!$C$2:$C$1000,"pasco_pct_acid")=0,"",SUMIFS('1_原始數據'!$E$2:$E$1000,'1_原始數據'!$A$2:$A$1000,$A705,'1_原始數據'!$B$2:$B$1000,$B705,'1_原始數據'!$D$2:$D$1000,$D705,'1_原始數據'!$I$2:$I$1000,$I705,'1_原始數據'!$C$2:$C$1000,"pasco_pct_acid"))))</f>
        <v/>
      </c>
      <c r="P705" s="26">
        <f>IF($A705="","",IF(OR(N705="",O705=""),"",O705-N705))</f>
        <v/>
      </c>
      <c r="Q705" s="24">
        <f>IF($A705="","",IF(P705="","",(O705+N705)/2))</f>
        <v/>
      </c>
      <c r="R705" s="27">
        <f>IF($A705="","",IF(P705="","",COUNT($P$2:P705)))</f>
        <v/>
      </c>
    </row>
    <row r="706">
      <c r="J706" s="24">
        <f>IF($A706="","",IF($C706&lt;&gt;"khp_titration_mL","",IF(COUNTIFS('1_原始數據'!$A$2:$A$1000,$A706,'1_原始數據'!$B$2:$B$1000,$B706,'1_原始數據'!$D$2:$D$1000,$D706,'1_原始數據'!$C$2:$C$1000,"khp_mass_g")=0,"",SUMIFS('1_原始數據'!$E$2:$E$1000,'1_原始數據'!$A$2:$A$1000,$A706,'1_原始數據'!$B$2:$B$1000,$B706,'1_原始數據'!$D$2:$D$1000,$D706,'1_原始數據'!$C$2:$C$1000,"khp_mass_g")/('2_NaOH標定'!$C$5*$E706/1000))))</f>
        <v/>
      </c>
      <c r="K706" s="24">
        <f>IF($A706="","",IF($C706&lt;&gt;"manual_titration_mL","",IF(COUNTIFS('1_原始數據'!$A$2:$A$1000,$A706,'1_原始數據'!$C$2:$C$1000,"khp_titration_mL")=0,"",AVERAGEIFS('1_原始數據'!$J$2:$J$1000,'1_原始數據'!$A$2:$A$1000,$A706,'1_原始數據'!$C$2:$C$1000,"khp_titration_mL"))))</f>
        <v/>
      </c>
      <c r="L706" s="25">
        <f>IF($A706="","",IF($C706&lt;&gt;"manual_titration_mL","",IFERROR(INDEX('3_可滴定酸度'!$E$6:$E$13,MATCH($I706,'3_可滴定酸度'!$B$6:$B$13,0)),"")))</f>
        <v/>
      </c>
      <c r="M706" s="25">
        <f>IF($A706="","",IF($C706&lt;&gt;"manual_titration_mL","",IFERROR(INDEX('3_可滴定酸度'!$F$6:$F$13,MATCH($I706,'3_可滴定酸度'!$B$6:$B$13,0)),"")))</f>
        <v/>
      </c>
      <c r="N706" s="24">
        <f>IF($A706="","",IF(OR(K706="",L706="",M706=""),"",K706*E706*L706/(M706*1000)*100))</f>
        <v/>
      </c>
      <c r="O706" s="24">
        <f>IF($A706="","",IF(N706="","",IF(COUNTIFS('1_原始數據'!$A$2:$A$1000,$A706,'1_原始數據'!$B$2:$B$1000,$B706,'1_原始數據'!$D$2:$D$1000,$D706,'1_原始數據'!$I$2:$I$1000,$I706,'1_原始數據'!$C$2:$C$1000,"pasco_pct_acid")=0,"",SUMIFS('1_原始數據'!$E$2:$E$1000,'1_原始數據'!$A$2:$A$1000,$A706,'1_原始數據'!$B$2:$B$1000,$B706,'1_原始數據'!$D$2:$D$1000,$D706,'1_原始數據'!$I$2:$I$1000,$I706,'1_原始數據'!$C$2:$C$1000,"pasco_pct_acid"))))</f>
        <v/>
      </c>
      <c r="P706" s="26">
        <f>IF($A706="","",IF(OR(N706="",O706=""),"",O706-N706))</f>
        <v/>
      </c>
      <c r="Q706" s="24">
        <f>IF($A706="","",IF(P706="","",(O706+N706)/2))</f>
        <v/>
      </c>
      <c r="R706" s="27">
        <f>IF($A706="","",IF(P706="","",COUNT($P$2:P706)))</f>
        <v/>
      </c>
    </row>
    <row r="707">
      <c r="J707" s="24">
        <f>IF($A707="","",IF($C707&lt;&gt;"khp_titration_mL","",IF(COUNTIFS('1_原始數據'!$A$2:$A$1000,$A707,'1_原始數據'!$B$2:$B$1000,$B707,'1_原始數據'!$D$2:$D$1000,$D707,'1_原始數據'!$C$2:$C$1000,"khp_mass_g")=0,"",SUMIFS('1_原始數據'!$E$2:$E$1000,'1_原始數據'!$A$2:$A$1000,$A707,'1_原始數據'!$B$2:$B$1000,$B707,'1_原始數據'!$D$2:$D$1000,$D707,'1_原始數據'!$C$2:$C$1000,"khp_mass_g")/('2_NaOH標定'!$C$5*$E707/1000))))</f>
        <v/>
      </c>
      <c r="K707" s="24">
        <f>IF($A707="","",IF($C707&lt;&gt;"manual_titration_mL","",IF(COUNTIFS('1_原始數據'!$A$2:$A$1000,$A707,'1_原始數據'!$C$2:$C$1000,"khp_titration_mL")=0,"",AVERAGEIFS('1_原始數據'!$J$2:$J$1000,'1_原始數據'!$A$2:$A$1000,$A707,'1_原始數據'!$C$2:$C$1000,"khp_titration_mL"))))</f>
        <v/>
      </c>
      <c r="L707" s="25">
        <f>IF($A707="","",IF($C707&lt;&gt;"manual_titration_mL","",IFERROR(INDEX('3_可滴定酸度'!$E$6:$E$13,MATCH($I707,'3_可滴定酸度'!$B$6:$B$13,0)),"")))</f>
        <v/>
      </c>
      <c r="M707" s="25">
        <f>IF($A707="","",IF($C707&lt;&gt;"manual_titration_mL","",IFERROR(INDEX('3_可滴定酸度'!$F$6:$F$13,MATCH($I707,'3_可滴定酸度'!$B$6:$B$13,0)),"")))</f>
        <v/>
      </c>
      <c r="N707" s="24">
        <f>IF($A707="","",IF(OR(K707="",L707="",M707=""),"",K707*E707*L707/(M707*1000)*100))</f>
        <v/>
      </c>
      <c r="O707" s="24">
        <f>IF($A707="","",IF(N707="","",IF(COUNTIFS('1_原始數據'!$A$2:$A$1000,$A707,'1_原始數據'!$B$2:$B$1000,$B707,'1_原始數據'!$D$2:$D$1000,$D707,'1_原始數據'!$I$2:$I$1000,$I707,'1_原始數據'!$C$2:$C$1000,"pasco_pct_acid")=0,"",SUMIFS('1_原始數據'!$E$2:$E$1000,'1_原始數據'!$A$2:$A$1000,$A707,'1_原始數據'!$B$2:$B$1000,$B707,'1_原始數據'!$D$2:$D$1000,$D707,'1_原始數據'!$I$2:$I$1000,$I707,'1_原始數據'!$C$2:$C$1000,"pasco_pct_acid"))))</f>
        <v/>
      </c>
      <c r="P707" s="26">
        <f>IF($A707="","",IF(OR(N707="",O707=""),"",O707-N707))</f>
        <v/>
      </c>
      <c r="Q707" s="24">
        <f>IF($A707="","",IF(P707="","",(O707+N707)/2))</f>
        <v/>
      </c>
      <c r="R707" s="27">
        <f>IF($A707="","",IF(P707="","",COUNT($P$2:P707)))</f>
        <v/>
      </c>
    </row>
    <row r="708">
      <c r="J708" s="24">
        <f>IF($A708="","",IF($C708&lt;&gt;"khp_titration_mL","",IF(COUNTIFS('1_原始數據'!$A$2:$A$1000,$A708,'1_原始數據'!$B$2:$B$1000,$B708,'1_原始數據'!$D$2:$D$1000,$D708,'1_原始數據'!$C$2:$C$1000,"khp_mass_g")=0,"",SUMIFS('1_原始數據'!$E$2:$E$1000,'1_原始數據'!$A$2:$A$1000,$A708,'1_原始數據'!$B$2:$B$1000,$B708,'1_原始數據'!$D$2:$D$1000,$D708,'1_原始數據'!$C$2:$C$1000,"khp_mass_g")/('2_NaOH標定'!$C$5*$E708/1000))))</f>
        <v/>
      </c>
      <c r="K708" s="24">
        <f>IF($A708="","",IF($C708&lt;&gt;"manual_titration_mL","",IF(COUNTIFS('1_原始數據'!$A$2:$A$1000,$A708,'1_原始數據'!$C$2:$C$1000,"khp_titration_mL")=0,"",AVERAGEIFS('1_原始數據'!$J$2:$J$1000,'1_原始數據'!$A$2:$A$1000,$A708,'1_原始數據'!$C$2:$C$1000,"khp_titration_mL"))))</f>
        <v/>
      </c>
      <c r="L708" s="25">
        <f>IF($A708="","",IF($C708&lt;&gt;"manual_titration_mL","",IFERROR(INDEX('3_可滴定酸度'!$E$6:$E$13,MATCH($I708,'3_可滴定酸度'!$B$6:$B$13,0)),"")))</f>
        <v/>
      </c>
      <c r="M708" s="25">
        <f>IF($A708="","",IF($C708&lt;&gt;"manual_titration_mL","",IFERROR(INDEX('3_可滴定酸度'!$F$6:$F$13,MATCH($I708,'3_可滴定酸度'!$B$6:$B$13,0)),"")))</f>
        <v/>
      </c>
      <c r="N708" s="24">
        <f>IF($A708="","",IF(OR(K708="",L708="",M708=""),"",K708*E708*L708/(M708*1000)*100))</f>
        <v/>
      </c>
      <c r="O708" s="24">
        <f>IF($A708="","",IF(N708="","",IF(COUNTIFS('1_原始數據'!$A$2:$A$1000,$A708,'1_原始數據'!$B$2:$B$1000,$B708,'1_原始數據'!$D$2:$D$1000,$D708,'1_原始數據'!$I$2:$I$1000,$I708,'1_原始數據'!$C$2:$C$1000,"pasco_pct_acid")=0,"",SUMIFS('1_原始數據'!$E$2:$E$1000,'1_原始數據'!$A$2:$A$1000,$A708,'1_原始數據'!$B$2:$B$1000,$B708,'1_原始數據'!$D$2:$D$1000,$D708,'1_原始數據'!$I$2:$I$1000,$I708,'1_原始數據'!$C$2:$C$1000,"pasco_pct_acid"))))</f>
        <v/>
      </c>
      <c r="P708" s="26">
        <f>IF($A708="","",IF(OR(N708="",O708=""),"",O708-N708))</f>
        <v/>
      </c>
      <c r="Q708" s="24">
        <f>IF($A708="","",IF(P708="","",(O708+N708)/2))</f>
        <v/>
      </c>
      <c r="R708" s="27">
        <f>IF($A708="","",IF(P708="","",COUNT($P$2:P708)))</f>
        <v/>
      </c>
    </row>
    <row r="709">
      <c r="J709" s="24">
        <f>IF($A709="","",IF($C709&lt;&gt;"khp_titration_mL","",IF(COUNTIFS('1_原始數據'!$A$2:$A$1000,$A709,'1_原始數據'!$B$2:$B$1000,$B709,'1_原始數據'!$D$2:$D$1000,$D709,'1_原始數據'!$C$2:$C$1000,"khp_mass_g")=0,"",SUMIFS('1_原始數據'!$E$2:$E$1000,'1_原始數據'!$A$2:$A$1000,$A709,'1_原始數據'!$B$2:$B$1000,$B709,'1_原始數據'!$D$2:$D$1000,$D709,'1_原始數據'!$C$2:$C$1000,"khp_mass_g")/('2_NaOH標定'!$C$5*$E709/1000))))</f>
        <v/>
      </c>
      <c r="K709" s="24">
        <f>IF($A709="","",IF($C709&lt;&gt;"manual_titration_mL","",IF(COUNTIFS('1_原始數據'!$A$2:$A$1000,$A709,'1_原始數據'!$C$2:$C$1000,"khp_titration_mL")=0,"",AVERAGEIFS('1_原始數據'!$J$2:$J$1000,'1_原始數據'!$A$2:$A$1000,$A709,'1_原始數據'!$C$2:$C$1000,"khp_titration_mL"))))</f>
        <v/>
      </c>
      <c r="L709" s="25">
        <f>IF($A709="","",IF($C709&lt;&gt;"manual_titration_mL","",IFERROR(INDEX('3_可滴定酸度'!$E$6:$E$13,MATCH($I709,'3_可滴定酸度'!$B$6:$B$13,0)),"")))</f>
        <v/>
      </c>
      <c r="M709" s="25">
        <f>IF($A709="","",IF($C709&lt;&gt;"manual_titration_mL","",IFERROR(INDEX('3_可滴定酸度'!$F$6:$F$13,MATCH($I709,'3_可滴定酸度'!$B$6:$B$13,0)),"")))</f>
        <v/>
      </c>
      <c r="N709" s="24">
        <f>IF($A709="","",IF(OR(K709="",L709="",M709=""),"",K709*E709*L709/(M709*1000)*100))</f>
        <v/>
      </c>
      <c r="O709" s="24">
        <f>IF($A709="","",IF(N709="","",IF(COUNTIFS('1_原始數據'!$A$2:$A$1000,$A709,'1_原始數據'!$B$2:$B$1000,$B709,'1_原始數據'!$D$2:$D$1000,$D709,'1_原始數據'!$I$2:$I$1000,$I709,'1_原始數據'!$C$2:$C$1000,"pasco_pct_acid")=0,"",SUMIFS('1_原始數據'!$E$2:$E$1000,'1_原始數據'!$A$2:$A$1000,$A709,'1_原始數據'!$B$2:$B$1000,$B709,'1_原始數據'!$D$2:$D$1000,$D709,'1_原始數據'!$I$2:$I$1000,$I709,'1_原始數據'!$C$2:$C$1000,"pasco_pct_acid"))))</f>
        <v/>
      </c>
      <c r="P709" s="26">
        <f>IF($A709="","",IF(OR(N709="",O709=""),"",O709-N709))</f>
        <v/>
      </c>
      <c r="Q709" s="24">
        <f>IF($A709="","",IF(P709="","",(O709+N709)/2))</f>
        <v/>
      </c>
      <c r="R709" s="27">
        <f>IF($A709="","",IF(P709="","",COUNT($P$2:P709)))</f>
        <v/>
      </c>
    </row>
    <row r="710">
      <c r="J710" s="24">
        <f>IF($A710="","",IF($C710&lt;&gt;"khp_titration_mL","",IF(COUNTIFS('1_原始數據'!$A$2:$A$1000,$A710,'1_原始數據'!$B$2:$B$1000,$B710,'1_原始數據'!$D$2:$D$1000,$D710,'1_原始數據'!$C$2:$C$1000,"khp_mass_g")=0,"",SUMIFS('1_原始數據'!$E$2:$E$1000,'1_原始數據'!$A$2:$A$1000,$A710,'1_原始數據'!$B$2:$B$1000,$B710,'1_原始數據'!$D$2:$D$1000,$D710,'1_原始數據'!$C$2:$C$1000,"khp_mass_g")/('2_NaOH標定'!$C$5*$E710/1000))))</f>
        <v/>
      </c>
      <c r="K710" s="24">
        <f>IF($A710="","",IF($C710&lt;&gt;"manual_titration_mL","",IF(COUNTIFS('1_原始數據'!$A$2:$A$1000,$A710,'1_原始數據'!$C$2:$C$1000,"khp_titration_mL")=0,"",AVERAGEIFS('1_原始數據'!$J$2:$J$1000,'1_原始數據'!$A$2:$A$1000,$A710,'1_原始數據'!$C$2:$C$1000,"khp_titration_mL"))))</f>
        <v/>
      </c>
      <c r="L710" s="25">
        <f>IF($A710="","",IF($C710&lt;&gt;"manual_titration_mL","",IFERROR(INDEX('3_可滴定酸度'!$E$6:$E$13,MATCH($I710,'3_可滴定酸度'!$B$6:$B$13,0)),"")))</f>
        <v/>
      </c>
      <c r="M710" s="25">
        <f>IF($A710="","",IF($C710&lt;&gt;"manual_titration_mL","",IFERROR(INDEX('3_可滴定酸度'!$F$6:$F$13,MATCH($I710,'3_可滴定酸度'!$B$6:$B$13,0)),"")))</f>
        <v/>
      </c>
      <c r="N710" s="24">
        <f>IF($A710="","",IF(OR(K710="",L710="",M710=""),"",K710*E710*L710/(M710*1000)*100))</f>
        <v/>
      </c>
      <c r="O710" s="24">
        <f>IF($A710="","",IF(N710="","",IF(COUNTIFS('1_原始數據'!$A$2:$A$1000,$A710,'1_原始數據'!$B$2:$B$1000,$B710,'1_原始數據'!$D$2:$D$1000,$D710,'1_原始數據'!$I$2:$I$1000,$I710,'1_原始數據'!$C$2:$C$1000,"pasco_pct_acid")=0,"",SUMIFS('1_原始數據'!$E$2:$E$1000,'1_原始數據'!$A$2:$A$1000,$A710,'1_原始數據'!$B$2:$B$1000,$B710,'1_原始數據'!$D$2:$D$1000,$D710,'1_原始數據'!$I$2:$I$1000,$I710,'1_原始數據'!$C$2:$C$1000,"pasco_pct_acid"))))</f>
        <v/>
      </c>
      <c r="P710" s="26">
        <f>IF($A710="","",IF(OR(N710="",O710=""),"",O710-N710))</f>
        <v/>
      </c>
      <c r="Q710" s="24">
        <f>IF($A710="","",IF(P710="","",(O710+N710)/2))</f>
        <v/>
      </c>
      <c r="R710" s="27">
        <f>IF($A710="","",IF(P710="","",COUNT($P$2:P710)))</f>
        <v/>
      </c>
    </row>
    <row r="711">
      <c r="J711" s="24">
        <f>IF($A711="","",IF($C711&lt;&gt;"khp_titration_mL","",IF(COUNTIFS('1_原始數據'!$A$2:$A$1000,$A711,'1_原始數據'!$B$2:$B$1000,$B711,'1_原始數據'!$D$2:$D$1000,$D711,'1_原始數據'!$C$2:$C$1000,"khp_mass_g")=0,"",SUMIFS('1_原始數據'!$E$2:$E$1000,'1_原始數據'!$A$2:$A$1000,$A711,'1_原始數據'!$B$2:$B$1000,$B711,'1_原始數據'!$D$2:$D$1000,$D711,'1_原始數據'!$C$2:$C$1000,"khp_mass_g")/('2_NaOH標定'!$C$5*$E711/1000))))</f>
        <v/>
      </c>
      <c r="K711" s="24">
        <f>IF($A711="","",IF($C711&lt;&gt;"manual_titration_mL","",IF(COUNTIFS('1_原始數據'!$A$2:$A$1000,$A711,'1_原始數據'!$C$2:$C$1000,"khp_titration_mL")=0,"",AVERAGEIFS('1_原始數據'!$J$2:$J$1000,'1_原始數據'!$A$2:$A$1000,$A711,'1_原始數據'!$C$2:$C$1000,"khp_titration_mL"))))</f>
        <v/>
      </c>
      <c r="L711" s="25">
        <f>IF($A711="","",IF($C711&lt;&gt;"manual_titration_mL","",IFERROR(INDEX('3_可滴定酸度'!$E$6:$E$13,MATCH($I711,'3_可滴定酸度'!$B$6:$B$13,0)),"")))</f>
        <v/>
      </c>
      <c r="M711" s="25">
        <f>IF($A711="","",IF($C711&lt;&gt;"manual_titration_mL","",IFERROR(INDEX('3_可滴定酸度'!$F$6:$F$13,MATCH($I711,'3_可滴定酸度'!$B$6:$B$13,0)),"")))</f>
        <v/>
      </c>
      <c r="N711" s="24">
        <f>IF($A711="","",IF(OR(K711="",L711="",M711=""),"",K711*E711*L711/(M711*1000)*100))</f>
        <v/>
      </c>
      <c r="O711" s="24">
        <f>IF($A711="","",IF(N711="","",IF(COUNTIFS('1_原始數據'!$A$2:$A$1000,$A711,'1_原始數據'!$B$2:$B$1000,$B711,'1_原始數據'!$D$2:$D$1000,$D711,'1_原始數據'!$I$2:$I$1000,$I711,'1_原始數據'!$C$2:$C$1000,"pasco_pct_acid")=0,"",SUMIFS('1_原始數據'!$E$2:$E$1000,'1_原始數據'!$A$2:$A$1000,$A711,'1_原始數據'!$B$2:$B$1000,$B711,'1_原始數據'!$D$2:$D$1000,$D711,'1_原始數據'!$I$2:$I$1000,$I711,'1_原始數據'!$C$2:$C$1000,"pasco_pct_acid"))))</f>
        <v/>
      </c>
      <c r="P711" s="26">
        <f>IF($A711="","",IF(OR(N711="",O711=""),"",O711-N711))</f>
        <v/>
      </c>
      <c r="Q711" s="24">
        <f>IF($A711="","",IF(P711="","",(O711+N711)/2))</f>
        <v/>
      </c>
      <c r="R711" s="27">
        <f>IF($A711="","",IF(P711="","",COUNT($P$2:P711)))</f>
        <v/>
      </c>
    </row>
    <row r="712">
      <c r="J712" s="24">
        <f>IF($A712="","",IF($C712&lt;&gt;"khp_titration_mL","",IF(COUNTIFS('1_原始數據'!$A$2:$A$1000,$A712,'1_原始數據'!$B$2:$B$1000,$B712,'1_原始數據'!$D$2:$D$1000,$D712,'1_原始數據'!$C$2:$C$1000,"khp_mass_g")=0,"",SUMIFS('1_原始數據'!$E$2:$E$1000,'1_原始數據'!$A$2:$A$1000,$A712,'1_原始數據'!$B$2:$B$1000,$B712,'1_原始數據'!$D$2:$D$1000,$D712,'1_原始數據'!$C$2:$C$1000,"khp_mass_g")/('2_NaOH標定'!$C$5*$E712/1000))))</f>
        <v/>
      </c>
      <c r="K712" s="24">
        <f>IF($A712="","",IF($C712&lt;&gt;"manual_titration_mL","",IF(COUNTIFS('1_原始數據'!$A$2:$A$1000,$A712,'1_原始數據'!$C$2:$C$1000,"khp_titration_mL")=0,"",AVERAGEIFS('1_原始數據'!$J$2:$J$1000,'1_原始數據'!$A$2:$A$1000,$A712,'1_原始數據'!$C$2:$C$1000,"khp_titration_mL"))))</f>
        <v/>
      </c>
      <c r="L712" s="25">
        <f>IF($A712="","",IF($C712&lt;&gt;"manual_titration_mL","",IFERROR(INDEX('3_可滴定酸度'!$E$6:$E$13,MATCH($I712,'3_可滴定酸度'!$B$6:$B$13,0)),"")))</f>
        <v/>
      </c>
      <c r="M712" s="25">
        <f>IF($A712="","",IF($C712&lt;&gt;"manual_titration_mL","",IFERROR(INDEX('3_可滴定酸度'!$F$6:$F$13,MATCH($I712,'3_可滴定酸度'!$B$6:$B$13,0)),"")))</f>
        <v/>
      </c>
      <c r="N712" s="24">
        <f>IF($A712="","",IF(OR(K712="",L712="",M712=""),"",K712*E712*L712/(M712*1000)*100))</f>
        <v/>
      </c>
      <c r="O712" s="24">
        <f>IF($A712="","",IF(N712="","",IF(COUNTIFS('1_原始數據'!$A$2:$A$1000,$A712,'1_原始數據'!$B$2:$B$1000,$B712,'1_原始數據'!$D$2:$D$1000,$D712,'1_原始數據'!$I$2:$I$1000,$I712,'1_原始數據'!$C$2:$C$1000,"pasco_pct_acid")=0,"",SUMIFS('1_原始數據'!$E$2:$E$1000,'1_原始數據'!$A$2:$A$1000,$A712,'1_原始數據'!$B$2:$B$1000,$B712,'1_原始數據'!$D$2:$D$1000,$D712,'1_原始數據'!$I$2:$I$1000,$I712,'1_原始數據'!$C$2:$C$1000,"pasco_pct_acid"))))</f>
        <v/>
      </c>
      <c r="P712" s="26">
        <f>IF($A712="","",IF(OR(N712="",O712=""),"",O712-N712))</f>
        <v/>
      </c>
      <c r="Q712" s="24">
        <f>IF($A712="","",IF(P712="","",(O712+N712)/2))</f>
        <v/>
      </c>
      <c r="R712" s="27">
        <f>IF($A712="","",IF(P712="","",COUNT($P$2:P712)))</f>
        <v/>
      </c>
    </row>
    <row r="713">
      <c r="J713" s="24">
        <f>IF($A713="","",IF($C713&lt;&gt;"khp_titration_mL","",IF(COUNTIFS('1_原始數據'!$A$2:$A$1000,$A713,'1_原始數據'!$B$2:$B$1000,$B713,'1_原始數據'!$D$2:$D$1000,$D713,'1_原始數據'!$C$2:$C$1000,"khp_mass_g")=0,"",SUMIFS('1_原始數據'!$E$2:$E$1000,'1_原始數據'!$A$2:$A$1000,$A713,'1_原始數據'!$B$2:$B$1000,$B713,'1_原始數據'!$D$2:$D$1000,$D713,'1_原始數據'!$C$2:$C$1000,"khp_mass_g")/('2_NaOH標定'!$C$5*$E713/1000))))</f>
        <v/>
      </c>
      <c r="K713" s="24">
        <f>IF($A713="","",IF($C713&lt;&gt;"manual_titration_mL","",IF(COUNTIFS('1_原始數據'!$A$2:$A$1000,$A713,'1_原始數據'!$C$2:$C$1000,"khp_titration_mL")=0,"",AVERAGEIFS('1_原始數據'!$J$2:$J$1000,'1_原始數據'!$A$2:$A$1000,$A713,'1_原始數據'!$C$2:$C$1000,"khp_titration_mL"))))</f>
        <v/>
      </c>
      <c r="L713" s="25">
        <f>IF($A713="","",IF($C713&lt;&gt;"manual_titration_mL","",IFERROR(INDEX('3_可滴定酸度'!$E$6:$E$13,MATCH($I713,'3_可滴定酸度'!$B$6:$B$13,0)),"")))</f>
        <v/>
      </c>
      <c r="M713" s="25">
        <f>IF($A713="","",IF($C713&lt;&gt;"manual_titration_mL","",IFERROR(INDEX('3_可滴定酸度'!$F$6:$F$13,MATCH($I713,'3_可滴定酸度'!$B$6:$B$13,0)),"")))</f>
        <v/>
      </c>
      <c r="N713" s="24">
        <f>IF($A713="","",IF(OR(K713="",L713="",M713=""),"",K713*E713*L713/(M713*1000)*100))</f>
        <v/>
      </c>
      <c r="O713" s="24">
        <f>IF($A713="","",IF(N713="","",IF(COUNTIFS('1_原始數據'!$A$2:$A$1000,$A713,'1_原始數據'!$B$2:$B$1000,$B713,'1_原始數據'!$D$2:$D$1000,$D713,'1_原始數據'!$I$2:$I$1000,$I713,'1_原始數據'!$C$2:$C$1000,"pasco_pct_acid")=0,"",SUMIFS('1_原始數據'!$E$2:$E$1000,'1_原始數據'!$A$2:$A$1000,$A713,'1_原始數據'!$B$2:$B$1000,$B713,'1_原始數據'!$D$2:$D$1000,$D713,'1_原始數據'!$I$2:$I$1000,$I713,'1_原始數據'!$C$2:$C$1000,"pasco_pct_acid"))))</f>
        <v/>
      </c>
      <c r="P713" s="26">
        <f>IF($A713="","",IF(OR(N713="",O713=""),"",O713-N713))</f>
        <v/>
      </c>
      <c r="Q713" s="24">
        <f>IF($A713="","",IF(P713="","",(O713+N713)/2))</f>
        <v/>
      </c>
      <c r="R713" s="27">
        <f>IF($A713="","",IF(P713="","",COUNT($P$2:P713)))</f>
        <v/>
      </c>
    </row>
    <row r="714">
      <c r="J714" s="24">
        <f>IF($A714="","",IF($C714&lt;&gt;"khp_titration_mL","",IF(COUNTIFS('1_原始數據'!$A$2:$A$1000,$A714,'1_原始數據'!$B$2:$B$1000,$B714,'1_原始數據'!$D$2:$D$1000,$D714,'1_原始數據'!$C$2:$C$1000,"khp_mass_g")=0,"",SUMIFS('1_原始數據'!$E$2:$E$1000,'1_原始數據'!$A$2:$A$1000,$A714,'1_原始數據'!$B$2:$B$1000,$B714,'1_原始數據'!$D$2:$D$1000,$D714,'1_原始數據'!$C$2:$C$1000,"khp_mass_g")/('2_NaOH標定'!$C$5*$E714/1000))))</f>
        <v/>
      </c>
      <c r="K714" s="24">
        <f>IF($A714="","",IF($C714&lt;&gt;"manual_titration_mL","",IF(COUNTIFS('1_原始數據'!$A$2:$A$1000,$A714,'1_原始數據'!$C$2:$C$1000,"khp_titration_mL")=0,"",AVERAGEIFS('1_原始數據'!$J$2:$J$1000,'1_原始數據'!$A$2:$A$1000,$A714,'1_原始數據'!$C$2:$C$1000,"khp_titration_mL"))))</f>
        <v/>
      </c>
      <c r="L714" s="25">
        <f>IF($A714="","",IF($C714&lt;&gt;"manual_titration_mL","",IFERROR(INDEX('3_可滴定酸度'!$E$6:$E$13,MATCH($I714,'3_可滴定酸度'!$B$6:$B$13,0)),"")))</f>
        <v/>
      </c>
      <c r="M714" s="25">
        <f>IF($A714="","",IF($C714&lt;&gt;"manual_titration_mL","",IFERROR(INDEX('3_可滴定酸度'!$F$6:$F$13,MATCH($I714,'3_可滴定酸度'!$B$6:$B$13,0)),"")))</f>
        <v/>
      </c>
      <c r="N714" s="24">
        <f>IF($A714="","",IF(OR(K714="",L714="",M714=""),"",K714*E714*L714/(M714*1000)*100))</f>
        <v/>
      </c>
      <c r="O714" s="24">
        <f>IF($A714="","",IF(N714="","",IF(COUNTIFS('1_原始數據'!$A$2:$A$1000,$A714,'1_原始數據'!$B$2:$B$1000,$B714,'1_原始數據'!$D$2:$D$1000,$D714,'1_原始數據'!$I$2:$I$1000,$I714,'1_原始數據'!$C$2:$C$1000,"pasco_pct_acid")=0,"",SUMIFS('1_原始數據'!$E$2:$E$1000,'1_原始數據'!$A$2:$A$1000,$A714,'1_原始數據'!$B$2:$B$1000,$B714,'1_原始數據'!$D$2:$D$1000,$D714,'1_原始數據'!$I$2:$I$1000,$I714,'1_原始數據'!$C$2:$C$1000,"pasco_pct_acid"))))</f>
        <v/>
      </c>
      <c r="P714" s="26">
        <f>IF($A714="","",IF(OR(N714="",O714=""),"",O714-N714))</f>
        <v/>
      </c>
      <c r="Q714" s="24">
        <f>IF($A714="","",IF(P714="","",(O714+N714)/2))</f>
        <v/>
      </c>
      <c r="R714" s="27">
        <f>IF($A714="","",IF(P714="","",COUNT($P$2:P714)))</f>
        <v/>
      </c>
    </row>
    <row r="715">
      <c r="J715" s="24">
        <f>IF($A715="","",IF($C715&lt;&gt;"khp_titration_mL","",IF(COUNTIFS('1_原始數據'!$A$2:$A$1000,$A715,'1_原始數據'!$B$2:$B$1000,$B715,'1_原始數據'!$D$2:$D$1000,$D715,'1_原始數據'!$C$2:$C$1000,"khp_mass_g")=0,"",SUMIFS('1_原始數據'!$E$2:$E$1000,'1_原始數據'!$A$2:$A$1000,$A715,'1_原始數據'!$B$2:$B$1000,$B715,'1_原始數據'!$D$2:$D$1000,$D715,'1_原始數據'!$C$2:$C$1000,"khp_mass_g")/('2_NaOH標定'!$C$5*$E715/1000))))</f>
        <v/>
      </c>
      <c r="K715" s="24">
        <f>IF($A715="","",IF($C715&lt;&gt;"manual_titration_mL","",IF(COUNTIFS('1_原始數據'!$A$2:$A$1000,$A715,'1_原始數據'!$C$2:$C$1000,"khp_titration_mL")=0,"",AVERAGEIFS('1_原始數據'!$J$2:$J$1000,'1_原始數據'!$A$2:$A$1000,$A715,'1_原始數據'!$C$2:$C$1000,"khp_titration_mL"))))</f>
        <v/>
      </c>
      <c r="L715" s="25">
        <f>IF($A715="","",IF($C715&lt;&gt;"manual_titration_mL","",IFERROR(INDEX('3_可滴定酸度'!$E$6:$E$13,MATCH($I715,'3_可滴定酸度'!$B$6:$B$13,0)),"")))</f>
        <v/>
      </c>
      <c r="M715" s="25">
        <f>IF($A715="","",IF($C715&lt;&gt;"manual_titration_mL","",IFERROR(INDEX('3_可滴定酸度'!$F$6:$F$13,MATCH($I715,'3_可滴定酸度'!$B$6:$B$13,0)),"")))</f>
        <v/>
      </c>
      <c r="N715" s="24">
        <f>IF($A715="","",IF(OR(K715="",L715="",M715=""),"",K715*E715*L715/(M715*1000)*100))</f>
        <v/>
      </c>
      <c r="O715" s="24">
        <f>IF($A715="","",IF(N715="","",IF(COUNTIFS('1_原始數據'!$A$2:$A$1000,$A715,'1_原始數據'!$B$2:$B$1000,$B715,'1_原始數據'!$D$2:$D$1000,$D715,'1_原始數據'!$I$2:$I$1000,$I715,'1_原始數據'!$C$2:$C$1000,"pasco_pct_acid")=0,"",SUMIFS('1_原始數據'!$E$2:$E$1000,'1_原始數據'!$A$2:$A$1000,$A715,'1_原始數據'!$B$2:$B$1000,$B715,'1_原始數據'!$D$2:$D$1000,$D715,'1_原始數據'!$I$2:$I$1000,$I715,'1_原始數據'!$C$2:$C$1000,"pasco_pct_acid"))))</f>
        <v/>
      </c>
      <c r="P715" s="26">
        <f>IF($A715="","",IF(OR(N715="",O715=""),"",O715-N715))</f>
        <v/>
      </c>
      <c r="Q715" s="24">
        <f>IF($A715="","",IF(P715="","",(O715+N715)/2))</f>
        <v/>
      </c>
      <c r="R715" s="27">
        <f>IF($A715="","",IF(P715="","",COUNT($P$2:P715)))</f>
        <v/>
      </c>
    </row>
    <row r="716">
      <c r="J716" s="24">
        <f>IF($A716="","",IF($C716&lt;&gt;"khp_titration_mL","",IF(COUNTIFS('1_原始數據'!$A$2:$A$1000,$A716,'1_原始數據'!$B$2:$B$1000,$B716,'1_原始數據'!$D$2:$D$1000,$D716,'1_原始數據'!$C$2:$C$1000,"khp_mass_g")=0,"",SUMIFS('1_原始數據'!$E$2:$E$1000,'1_原始數據'!$A$2:$A$1000,$A716,'1_原始數據'!$B$2:$B$1000,$B716,'1_原始數據'!$D$2:$D$1000,$D716,'1_原始數據'!$C$2:$C$1000,"khp_mass_g")/('2_NaOH標定'!$C$5*$E716/1000))))</f>
        <v/>
      </c>
      <c r="K716" s="24">
        <f>IF($A716="","",IF($C716&lt;&gt;"manual_titration_mL","",IF(COUNTIFS('1_原始數據'!$A$2:$A$1000,$A716,'1_原始數據'!$C$2:$C$1000,"khp_titration_mL")=0,"",AVERAGEIFS('1_原始數據'!$J$2:$J$1000,'1_原始數據'!$A$2:$A$1000,$A716,'1_原始數據'!$C$2:$C$1000,"khp_titration_mL"))))</f>
        <v/>
      </c>
      <c r="L716" s="25">
        <f>IF($A716="","",IF($C716&lt;&gt;"manual_titration_mL","",IFERROR(INDEX('3_可滴定酸度'!$E$6:$E$13,MATCH($I716,'3_可滴定酸度'!$B$6:$B$13,0)),"")))</f>
        <v/>
      </c>
      <c r="M716" s="25">
        <f>IF($A716="","",IF($C716&lt;&gt;"manual_titration_mL","",IFERROR(INDEX('3_可滴定酸度'!$F$6:$F$13,MATCH($I716,'3_可滴定酸度'!$B$6:$B$13,0)),"")))</f>
        <v/>
      </c>
      <c r="N716" s="24">
        <f>IF($A716="","",IF(OR(K716="",L716="",M716=""),"",K716*E716*L716/(M716*1000)*100))</f>
        <v/>
      </c>
      <c r="O716" s="24">
        <f>IF($A716="","",IF(N716="","",IF(COUNTIFS('1_原始數據'!$A$2:$A$1000,$A716,'1_原始數據'!$B$2:$B$1000,$B716,'1_原始數據'!$D$2:$D$1000,$D716,'1_原始數據'!$I$2:$I$1000,$I716,'1_原始數據'!$C$2:$C$1000,"pasco_pct_acid")=0,"",SUMIFS('1_原始數據'!$E$2:$E$1000,'1_原始數據'!$A$2:$A$1000,$A716,'1_原始數據'!$B$2:$B$1000,$B716,'1_原始數據'!$D$2:$D$1000,$D716,'1_原始數據'!$I$2:$I$1000,$I716,'1_原始數據'!$C$2:$C$1000,"pasco_pct_acid"))))</f>
        <v/>
      </c>
      <c r="P716" s="26">
        <f>IF($A716="","",IF(OR(N716="",O716=""),"",O716-N716))</f>
        <v/>
      </c>
      <c r="Q716" s="24">
        <f>IF($A716="","",IF(P716="","",(O716+N716)/2))</f>
        <v/>
      </c>
      <c r="R716" s="27">
        <f>IF($A716="","",IF(P716="","",COUNT($P$2:P716)))</f>
        <v/>
      </c>
    </row>
    <row r="717">
      <c r="J717" s="24">
        <f>IF($A717="","",IF($C717&lt;&gt;"khp_titration_mL","",IF(COUNTIFS('1_原始數據'!$A$2:$A$1000,$A717,'1_原始數據'!$B$2:$B$1000,$B717,'1_原始數據'!$D$2:$D$1000,$D717,'1_原始數據'!$C$2:$C$1000,"khp_mass_g")=0,"",SUMIFS('1_原始數據'!$E$2:$E$1000,'1_原始數據'!$A$2:$A$1000,$A717,'1_原始數據'!$B$2:$B$1000,$B717,'1_原始數據'!$D$2:$D$1000,$D717,'1_原始數據'!$C$2:$C$1000,"khp_mass_g")/('2_NaOH標定'!$C$5*$E717/1000))))</f>
        <v/>
      </c>
      <c r="K717" s="24">
        <f>IF($A717="","",IF($C717&lt;&gt;"manual_titration_mL","",IF(COUNTIFS('1_原始數據'!$A$2:$A$1000,$A717,'1_原始數據'!$C$2:$C$1000,"khp_titration_mL")=0,"",AVERAGEIFS('1_原始數據'!$J$2:$J$1000,'1_原始數據'!$A$2:$A$1000,$A717,'1_原始數據'!$C$2:$C$1000,"khp_titration_mL"))))</f>
        <v/>
      </c>
      <c r="L717" s="25">
        <f>IF($A717="","",IF($C717&lt;&gt;"manual_titration_mL","",IFERROR(INDEX('3_可滴定酸度'!$E$6:$E$13,MATCH($I717,'3_可滴定酸度'!$B$6:$B$13,0)),"")))</f>
        <v/>
      </c>
      <c r="M717" s="25">
        <f>IF($A717="","",IF($C717&lt;&gt;"manual_titration_mL","",IFERROR(INDEX('3_可滴定酸度'!$F$6:$F$13,MATCH($I717,'3_可滴定酸度'!$B$6:$B$13,0)),"")))</f>
        <v/>
      </c>
      <c r="N717" s="24">
        <f>IF($A717="","",IF(OR(K717="",L717="",M717=""),"",K717*E717*L717/(M717*1000)*100))</f>
        <v/>
      </c>
      <c r="O717" s="24">
        <f>IF($A717="","",IF(N717="","",IF(COUNTIFS('1_原始數據'!$A$2:$A$1000,$A717,'1_原始數據'!$B$2:$B$1000,$B717,'1_原始數據'!$D$2:$D$1000,$D717,'1_原始數據'!$I$2:$I$1000,$I717,'1_原始數據'!$C$2:$C$1000,"pasco_pct_acid")=0,"",SUMIFS('1_原始數據'!$E$2:$E$1000,'1_原始數據'!$A$2:$A$1000,$A717,'1_原始數據'!$B$2:$B$1000,$B717,'1_原始數據'!$D$2:$D$1000,$D717,'1_原始數據'!$I$2:$I$1000,$I717,'1_原始數據'!$C$2:$C$1000,"pasco_pct_acid"))))</f>
        <v/>
      </c>
      <c r="P717" s="26">
        <f>IF($A717="","",IF(OR(N717="",O717=""),"",O717-N717))</f>
        <v/>
      </c>
      <c r="Q717" s="24">
        <f>IF($A717="","",IF(P717="","",(O717+N717)/2))</f>
        <v/>
      </c>
      <c r="R717" s="27">
        <f>IF($A717="","",IF(P717="","",COUNT($P$2:P717)))</f>
        <v/>
      </c>
    </row>
    <row r="718">
      <c r="J718" s="24">
        <f>IF($A718="","",IF($C718&lt;&gt;"khp_titration_mL","",IF(COUNTIFS('1_原始數據'!$A$2:$A$1000,$A718,'1_原始數據'!$B$2:$B$1000,$B718,'1_原始數據'!$D$2:$D$1000,$D718,'1_原始數據'!$C$2:$C$1000,"khp_mass_g")=0,"",SUMIFS('1_原始數據'!$E$2:$E$1000,'1_原始數據'!$A$2:$A$1000,$A718,'1_原始數據'!$B$2:$B$1000,$B718,'1_原始數據'!$D$2:$D$1000,$D718,'1_原始數據'!$C$2:$C$1000,"khp_mass_g")/('2_NaOH標定'!$C$5*$E718/1000))))</f>
        <v/>
      </c>
      <c r="K718" s="24">
        <f>IF($A718="","",IF($C718&lt;&gt;"manual_titration_mL","",IF(COUNTIFS('1_原始數據'!$A$2:$A$1000,$A718,'1_原始數據'!$C$2:$C$1000,"khp_titration_mL")=0,"",AVERAGEIFS('1_原始數據'!$J$2:$J$1000,'1_原始數據'!$A$2:$A$1000,$A718,'1_原始數據'!$C$2:$C$1000,"khp_titration_mL"))))</f>
        <v/>
      </c>
      <c r="L718" s="25">
        <f>IF($A718="","",IF($C718&lt;&gt;"manual_titration_mL","",IFERROR(INDEX('3_可滴定酸度'!$E$6:$E$13,MATCH($I718,'3_可滴定酸度'!$B$6:$B$13,0)),"")))</f>
        <v/>
      </c>
      <c r="M718" s="25">
        <f>IF($A718="","",IF($C718&lt;&gt;"manual_titration_mL","",IFERROR(INDEX('3_可滴定酸度'!$F$6:$F$13,MATCH($I718,'3_可滴定酸度'!$B$6:$B$13,0)),"")))</f>
        <v/>
      </c>
      <c r="N718" s="24">
        <f>IF($A718="","",IF(OR(K718="",L718="",M718=""),"",K718*E718*L718/(M718*1000)*100))</f>
        <v/>
      </c>
      <c r="O718" s="24">
        <f>IF($A718="","",IF(N718="","",IF(COUNTIFS('1_原始數據'!$A$2:$A$1000,$A718,'1_原始數據'!$B$2:$B$1000,$B718,'1_原始數據'!$D$2:$D$1000,$D718,'1_原始數據'!$I$2:$I$1000,$I718,'1_原始數據'!$C$2:$C$1000,"pasco_pct_acid")=0,"",SUMIFS('1_原始數據'!$E$2:$E$1000,'1_原始數據'!$A$2:$A$1000,$A718,'1_原始數據'!$B$2:$B$1000,$B718,'1_原始數據'!$D$2:$D$1000,$D718,'1_原始數據'!$I$2:$I$1000,$I718,'1_原始數據'!$C$2:$C$1000,"pasco_pct_acid"))))</f>
        <v/>
      </c>
      <c r="P718" s="26">
        <f>IF($A718="","",IF(OR(N718="",O718=""),"",O718-N718))</f>
        <v/>
      </c>
      <c r="Q718" s="24">
        <f>IF($A718="","",IF(P718="","",(O718+N718)/2))</f>
        <v/>
      </c>
      <c r="R718" s="27">
        <f>IF($A718="","",IF(P718="","",COUNT($P$2:P718)))</f>
        <v/>
      </c>
    </row>
    <row r="719">
      <c r="J719" s="24">
        <f>IF($A719="","",IF($C719&lt;&gt;"khp_titration_mL","",IF(COUNTIFS('1_原始數據'!$A$2:$A$1000,$A719,'1_原始數據'!$B$2:$B$1000,$B719,'1_原始數據'!$D$2:$D$1000,$D719,'1_原始數據'!$C$2:$C$1000,"khp_mass_g")=0,"",SUMIFS('1_原始數據'!$E$2:$E$1000,'1_原始數據'!$A$2:$A$1000,$A719,'1_原始數據'!$B$2:$B$1000,$B719,'1_原始數據'!$D$2:$D$1000,$D719,'1_原始數據'!$C$2:$C$1000,"khp_mass_g")/('2_NaOH標定'!$C$5*$E719/1000))))</f>
        <v/>
      </c>
      <c r="K719" s="24">
        <f>IF($A719="","",IF($C719&lt;&gt;"manual_titration_mL","",IF(COUNTIFS('1_原始數據'!$A$2:$A$1000,$A719,'1_原始數據'!$C$2:$C$1000,"khp_titration_mL")=0,"",AVERAGEIFS('1_原始數據'!$J$2:$J$1000,'1_原始數據'!$A$2:$A$1000,$A719,'1_原始數據'!$C$2:$C$1000,"khp_titration_mL"))))</f>
        <v/>
      </c>
      <c r="L719" s="25">
        <f>IF($A719="","",IF($C719&lt;&gt;"manual_titration_mL","",IFERROR(INDEX('3_可滴定酸度'!$E$6:$E$13,MATCH($I719,'3_可滴定酸度'!$B$6:$B$13,0)),"")))</f>
        <v/>
      </c>
      <c r="M719" s="25">
        <f>IF($A719="","",IF($C719&lt;&gt;"manual_titration_mL","",IFERROR(INDEX('3_可滴定酸度'!$F$6:$F$13,MATCH($I719,'3_可滴定酸度'!$B$6:$B$13,0)),"")))</f>
        <v/>
      </c>
      <c r="N719" s="24">
        <f>IF($A719="","",IF(OR(K719="",L719="",M719=""),"",K719*E719*L719/(M719*1000)*100))</f>
        <v/>
      </c>
      <c r="O719" s="24">
        <f>IF($A719="","",IF(N719="","",IF(COUNTIFS('1_原始數據'!$A$2:$A$1000,$A719,'1_原始數據'!$B$2:$B$1000,$B719,'1_原始數據'!$D$2:$D$1000,$D719,'1_原始數據'!$I$2:$I$1000,$I719,'1_原始數據'!$C$2:$C$1000,"pasco_pct_acid")=0,"",SUMIFS('1_原始數據'!$E$2:$E$1000,'1_原始數據'!$A$2:$A$1000,$A719,'1_原始數據'!$B$2:$B$1000,$B719,'1_原始數據'!$D$2:$D$1000,$D719,'1_原始數據'!$I$2:$I$1000,$I719,'1_原始數據'!$C$2:$C$1000,"pasco_pct_acid"))))</f>
        <v/>
      </c>
      <c r="P719" s="26">
        <f>IF($A719="","",IF(OR(N719="",O719=""),"",O719-N719))</f>
        <v/>
      </c>
      <c r="Q719" s="24">
        <f>IF($A719="","",IF(P719="","",(O719+N719)/2))</f>
        <v/>
      </c>
      <c r="R719" s="27">
        <f>IF($A719="","",IF(P719="","",COUNT($P$2:P719)))</f>
        <v/>
      </c>
    </row>
    <row r="720">
      <c r="J720" s="24">
        <f>IF($A720="","",IF($C720&lt;&gt;"khp_titration_mL","",IF(COUNTIFS('1_原始數據'!$A$2:$A$1000,$A720,'1_原始數據'!$B$2:$B$1000,$B720,'1_原始數據'!$D$2:$D$1000,$D720,'1_原始數據'!$C$2:$C$1000,"khp_mass_g")=0,"",SUMIFS('1_原始數據'!$E$2:$E$1000,'1_原始數據'!$A$2:$A$1000,$A720,'1_原始數據'!$B$2:$B$1000,$B720,'1_原始數據'!$D$2:$D$1000,$D720,'1_原始數據'!$C$2:$C$1000,"khp_mass_g")/('2_NaOH標定'!$C$5*$E720/1000))))</f>
        <v/>
      </c>
      <c r="K720" s="24">
        <f>IF($A720="","",IF($C720&lt;&gt;"manual_titration_mL","",IF(COUNTIFS('1_原始數據'!$A$2:$A$1000,$A720,'1_原始數據'!$C$2:$C$1000,"khp_titration_mL")=0,"",AVERAGEIFS('1_原始數據'!$J$2:$J$1000,'1_原始數據'!$A$2:$A$1000,$A720,'1_原始數據'!$C$2:$C$1000,"khp_titration_mL"))))</f>
        <v/>
      </c>
      <c r="L720" s="25">
        <f>IF($A720="","",IF($C720&lt;&gt;"manual_titration_mL","",IFERROR(INDEX('3_可滴定酸度'!$E$6:$E$13,MATCH($I720,'3_可滴定酸度'!$B$6:$B$13,0)),"")))</f>
        <v/>
      </c>
      <c r="M720" s="25">
        <f>IF($A720="","",IF($C720&lt;&gt;"manual_titration_mL","",IFERROR(INDEX('3_可滴定酸度'!$F$6:$F$13,MATCH($I720,'3_可滴定酸度'!$B$6:$B$13,0)),"")))</f>
        <v/>
      </c>
      <c r="N720" s="24">
        <f>IF($A720="","",IF(OR(K720="",L720="",M720=""),"",K720*E720*L720/(M720*1000)*100))</f>
        <v/>
      </c>
      <c r="O720" s="24">
        <f>IF($A720="","",IF(N720="","",IF(COUNTIFS('1_原始數據'!$A$2:$A$1000,$A720,'1_原始數據'!$B$2:$B$1000,$B720,'1_原始數據'!$D$2:$D$1000,$D720,'1_原始數據'!$I$2:$I$1000,$I720,'1_原始數據'!$C$2:$C$1000,"pasco_pct_acid")=0,"",SUMIFS('1_原始數據'!$E$2:$E$1000,'1_原始數據'!$A$2:$A$1000,$A720,'1_原始數據'!$B$2:$B$1000,$B720,'1_原始數據'!$D$2:$D$1000,$D720,'1_原始數據'!$I$2:$I$1000,$I720,'1_原始數據'!$C$2:$C$1000,"pasco_pct_acid"))))</f>
        <v/>
      </c>
      <c r="P720" s="26">
        <f>IF($A720="","",IF(OR(N720="",O720=""),"",O720-N720))</f>
        <v/>
      </c>
      <c r="Q720" s="24">
        <f>IF($A720="","",IF(P720="","",(O720+N720)/2))</f>
        <v/>
      </c>
      <c r="R720" s="27">
        <f>IF($A720="","",IF(P720="","",COUNT($P$2:P720)))</f>
        <v/>
      </c>
    </row>
    <row r="721">
      <c r="J721" s="24">
        <f>IF($A721="","",IF($C721&lt;&gt;"khp_titration_mL","",IF(COUNTIFS('1_原始數據'!$A$2:$A$1000,$A721,'1_原始數據'!$B$2:$B$1000,$B721,'1_原始數據'!$D$2:$D$1000,$D721,'1_原始數據'!$C$2:$C$1000,"khp_mass_g")=0,"",SUMIFS('1_原始數據'!$E$2:$E$1000,'1_原始數據'!$A$2:$A$1000,$A721,'1_原始數據'!$B$2:$B$1000,$B721,'1_原始數據'!$D$2:$D$1000,$D721,'1_原始數據'!$C$2:$C$1000,"khp_mass_g")/('2_NaOH標定'!$C$5*$E721/1000))))</f>
        <v/>
      </c>
      <c r="K721" s="24">
        <f>IF($A721="","",IF($C721&lt;&gt;"manual_titration_mL","",IF(COUNTIFS('1_原始數據'!$A$2:$A$1000,$A721,'1_原始數據'!$C$2:$C$1000,"khp_titration_mL")=0,"",AVERAGEIFS('1_原始數據'!$J$2:$J$1000,'1_原始數據'!$A$2:$A$1000,$A721,'1_原始數據'!$C$2:$C$1000,"khp_titration_mL"))))</f>
        <v/>
      </c>
      <c r="L721" s="25">
        <f>IF($A721="","",IF($C721&lt;&gt;"manual_titration_mL","",IFERROR(INDEX('3_可滴定酸度'!$E$6:$E$13,MATCH($I721,'3_可滴定酸度'!$B$6:$B$13,0)),"")))</f>
        <v/>
      </c>
      <c r="M721" s="25">
        <f>IF($A721="","",IF($C721&lt;&gt;"manual_titration_mL","",IFERROR(INDEX('3_可滴定酸度'!$F$6:$F$13,MATCH($I721,'3_可滴定酸度'!$B$6:$B$13,0)),"")))</f>
        <v/>
      </c>
      <c r="N721" s="24">
        <f>IF($A721="","",IF(OR(K721="",L721="",M721=""),"",K721*E721*L721/(M721*1000)*100))</f>
        <v/>
      </c>
      <c r="O721" s="24">
        <f>IF($A721="","",IF(N721="","",IF(COUNTIFS('1_原始數據'!$A$2:$A$1000,$A721,'1_原始數據'!$B$2:$B$1000,$B721,'1_原始數據'!$D$2:$D$1000,$D721,'1_原始數據'!$I$2:$I$1000,$I721,'1_原始數據'!$C$2:$C$1000,"pasco_pct_acid")=0,"",SUMIFS('1_原始數據'!$E$2:$E$1000,'1_原始數據'!$A$2:$A$1000,$A721,'1_原始數據'!$B$2:$B$1000,$B721,'1_原始數據'!$D$2:$D$1000,$D721,'1_原始數據'!$I$2:$I$1000,$I721,'1_原始數據'!$C$2:$C$1000,"pasco_pct_acid"))))</f>
        <v/>
      </c>
      <c r="P721" s="26">
        <f>IF($A721="","",IF(OR(N721="",O721=""),"",O721-N721))</f>
        <v/>
      </c>
      <c r="Q721" s="24">
        <f>IF($A721="","",IF(P721="","",(O721+N721)/2))</f>
        <v/>
      </c>
      <c r="R721" s="27">
        <f>IF($A721="","",IF(P721="","",COUNT($P$2:P721)))</f>
        <v/>
      </c>
    </row>
    <row r="722">
      <c r="J722" s="24">
        <f>IF($A722="","",IF($C722&lt;&gt;"khp_titration_mL","",IF(COUNTIFS('1_原始數據'!$A$2:$A$1000,$A722,'1_原始數據'!$B$2:$B$1000,$B722,'1_原始數據'!$D$2:$D$1000,$D722,'1_原始數據'!$C$2:$C$1000,"khp_mass_g")=0,"",SUMIFS('1_原始數據'!$E$2:$E$1000,'1_原始數據'!$A$2:$A$1000,$A722,'1_原始數據'!$B$2:$B$1000,$B722,'1_原始數據'!$D$2:$D$1000,$D722,'1_原始數據'!$C$2:$C$1000,"khp_mass_g")/('2_NaOH標定'!$C$5*$E722/1000))))</f>
        <v/>
      </c>
      <c r="K722" s="24">
        <f>IF($A722="","",IF($C722&lt;&gt;"manual_titration_mL","",IF(COUNTIFS('1_原始數據'!$A$2:$A$1000,$A722,'1_原始數據'!$C$2:$C$1000,"khp_titration_mL")=0,"",AVERAGEIFS('1_原始數據'!$J$2:$J$1000,'1_原始數據'!$A$2:$A$1000,$A722,'1_原始數據'!$C$2:$C$1000,"khp_titration_mL"))))</f>
        <v/>
      </c>
      <c r="L722" s="25">
        <f>IF($A722="","",IF($C722&lt;&gt;"manual_titration_mL","",IFERROR(INDEX('3_可滴定酸度'!$E$6:$E$13,MATCH($I722,'3_可滴定酸度'!$B$6:$B$13,0)),"")))</f>
        <v/>
      </c>
      <c r="M722" s="25">
        <f>IF($A722="","",IF($C722&lt;&gt;"manual_titration_mL","",IFERROR(INDEX('3_可滴定酸度'!$F$6:$F$13,MATCH($I722,'3_可滴定酸度'!$B$6:$B$13,0)),"")))</f>
        <v/>
      </c>
      <c r="N722" s="24">
        <f>IF($A722="","",IF(OR(K722="",L722="",M722=""),"",K722*E722*L722/(M722*1000)*100))</f>
        <v/>
      </c>
      <c r="O722" s="24">
        <f>IF($A722="","",IF(N722="","",IF(COUNTIFS('1_原始數據'!$A$2:$A$1000,$A722,'1_原始數據'!$B$2:$B$1000,$B722,'1_原始數據'!$D$2:$D$1000,$D722,'1_原始數據'!$I$2:$I$1000,$I722,'1_原始數據'!$C$2:$C$1000,"pasco_pct_acid")=0,"",SUMIFS('1_原始數據'!$E$2:$E$1000,'1_原始數據'!$A$2:$A$1000,$A722,'1_原始數據'!$B$2:$B$1000,$B722,'1_原始數據'!$D$2:$D$1000,$D722,'1_原始數據'!$I$2:$I$1000,$I722,'1_原始數據'!$C$2:$C$1000,"pasco_pct_acid"))))</f>
        <v/>
      </c>
      <c r="P722" s="26">
        <f>IF($A722="","",IF(OR(N722="",O722=""),"",O722-N722))</f>
        <v/>
      </c>
      <c r="Q722" s="24">
        <f>IF($A722="","",IF(P722="","",(O722+N722)/2))</f>
        <v/>
      </c>
      <c r="R722" s="27">
        <f>IF($A722="","",IF(P722="","",COUNT($P$2:P722)))</f>
        <v/>
      </c>
    </row>
    <row r="723">
      <c r="J723" s="24">
        <f>IF($A723="","",IF($C723&lt;&gt;"khp_titration_mL","",IF(COUNTIFS('1_原始數據'!$A$2:$A$1000,$A723,'1_原始數據'!$B$2:$B$1000,$B723,'1_原始數據'!$D$2:$D$1000,$D723,'1_原始數據'!$C$2:$C$1000,"khp_mass_g")=0,"",SUMIFS('1_原始數據'!$E$2:$E$1000,'1_原始數據'!$A$2:$A$1000,$A723,'1_原始數據'!$B$2:$B$1000,$B723,'1_原始數據'!$D$2:$D$1000,$D723,'1_原始數據'!$C$2:$C$1000,"khp_mass_g")/('2_NaOH標定'!$C$5*$E723/1000))))</f>
        <v/>
      </c>
      <c r="K723" s="24">
        <f>IF($A723="","",IF($C723&lt;&gt;"manual_titration_mL","",IF(COUNTIFS('1_原始數據'!$A$2:$A$1000,$A723,'1_原始數據'!$C$2:$C$1000,"khp_titration_mL")=0,"",AVERAGEIFS('1_原始數據'!$J$2:$J$1000,'1_原始數據'!$A$2:$A$1000,$A723,'1_原始數據'!$C$2:$C$1000,"khp_titration_mL"))))</f>
        <v/>
      </c>
      <c r="L723" s="25">
        <f>IF($A723="","",IF($C723&lt;&gt;"manual_titration_mL","",IFERROR(INDEX('3_可滴定酸度'!$E$6:$E$13,MATCH($I723,'3_可滴定酸度'!$B$6:$B$13,0)),"")))</f>
        <v/>
      </c>
      <c r="M723" s="25">
        <f>IF($A723="","",IF($C723&lt;&gt;"manual_titration_mL","",IFERROR(INDEX('3_可滴定酸度'!$F$6:$F$13,MATCH($I723,'3_可滴定酸度'!$B$6:$B$13,0)),"")))</f>
        <v/>
      </c>
      <c r="N723" s="24">
        <f>IF($A723="","",IF(OR(K723="",L723="",M723=""),"",K723*E723*L723/(M723*1000)*100))</f>
        <v/>
      </c>
      <c r="O723" s="24">
        <f>IF($A723="","",IF(N723="","",IF(COUNTIFS('1_原始數據'!$A$2:$A$1000,$A723,'1_原始數據'!$B$2:$B$1000,$B723,'1_原始數據'!$D$2:$D$1000,$D723,'1_原始數據'!$I$2:$I$1000,$I723,'1_原始數據'!$C$2:$C$1000,"pasco_pct_acid")=0,"",SUMIFS('1_原始數據'!$E$2:$E$1000,'1_原始數據'!$A$2:$A$1000,$A723,'1_原始數據'!$B$2:$B$1000,$B723,'1_原始數據'!$D$2:$D$1000,$D723,'1_原始數據'!$I$2:$I$1000,$I723,'1_原始數據'!$C$2:$C$1000,"pasco_pct_acid"))))</f>
        <v/>
      </c>
      <c r="P723" s="26">
        <f>IF($A723="","",IF(OR(N723="",O723=""),"",O723-N723))</f>
        <v/>
      </c>
      <c r="Q723" s="24">
        <f>IF($A723="","",IF(P723="","",(O723+N723)/2))</f>
        <v/>
      </c>
      <c r="R723" s="27">
        <f>IF($A723="","",IF(P723="","",COUNT($P$2:P723)))</f>
        <v/>
      </c>
    </row>
    <row r="724">
      <c r="J724" s="24">
        <f>IF($A724="","",IF($C724&lt;&gt;"khp_titration_mL","",IF(COUNTIFS('1_原始數據'!$A$2:$A$1000,$A724,'1_原始數據'!$B$2:$B$1000,$B724,'1_原始數據'!$D$2:$D$1000,$D724,'1_原始數據'!$C$2:$C$1000,"khp_mass_g")=0,"",SUMIFS('1_原始數據'!$E$2:$E$1000,'1_原始數據'!$A$2:$A$1000,$A724,'1_原始數據'!$B$2:$B$1000,$B724,'1_原始數據'!$D$2:$D$1000,$D724,'1_原始數據'!$C$2:$C$1000,"khp_mass_g")/('2_NaOH標定'!$C$5*$E724/1000))))</f>
        <v/>
      </c>
      <c r="K724" s="24">
        <f>IF($A724="","",IF($C724&lt;&gt;"manual_titration_mL","",IF(COUNTIFS('1_原始數據'!$A$2:$A$1000,$A724,'1_原始數據'!$C$2:$C$1000,"khp_titration_mL")=0,"",AVERAGEIFS('1_原始數據'!$J$2:$J$1000,'1_原始數據'!$A$2:$A$1000,$A724,'1_原始數據'!$C$2:$C$1000,"khp_titration_mL"))))</f>
        <v/>
      </c>
      <c r="L724" s="25">
        <f>IF($A724="","",IF($C724&lt;&gt;"manual_titration_mL","",IFERROR(INDEX('3_可滴定酸度'!$E$6:$E$13,MATCH($I724,'3_可滴定酸度'!$B$6:$B$13,0)),"")))</f>
        <v/>
      </c>
      <c r="M724" s="25">
        <f>IF($A724="","",IF($C724&lt;&gt;"manual_titration_mL","",IFERROR(INDEX('3_可滴定酸度'!$F$6:$F$13,MATCH($I724,'3_可滴定酸度'!$B$6:$B$13,0)),"")))</f>
        <v/>
      </c>
      <c r="N724" s="24">
        <f>IF($A724="","",IF(OR(K724="",L724="",M724=""),"",K724*E724*L724/(M724*1000)*100))</f>
        <v/>
      </c>
      <c r="O724" s="24">
        <f>IF($A724="","",IF(N724="","",IF(COUNTIFS('1_原始數據'!$A$2:$A$1000,$A724,'1_原始數據'!$B$2:$B$1000,$B724,'1_原始數據'!$D$2:$D$1000,$D724,'1_原始數據'!$I$2:$I$1000,$I724,'1_原始數據'!$C$2:$C$1000,"pasco_pct_acid")=0,"",SUMIFS('1_原始數據'!$E$2:$E$1000,'1_原始數據'!$A$2:$A$1000,$A724,'1_原始數據'!$B$2:$B$1000,$B724,'1_原始數據'!$D$2:$D$1000,$D724,'1_原始數據'!$I$2:$I$1000,$I724,'1_原始數據'!$C$2:$C$1000,"pasco_pct_acid"))))</f>
        <v/>
      </c>
      <c r="P724" s="26">
        <f>IF($A724="","",IF(OR(N724="",O724=""),"",O724-N724))</f>
        <v/>
      </c>
      <c r="Q724" s="24">
        <f>IF($A724="","",IF(P724="","",(O724+N724)/2))</f>
        <v/>
      </c>
      <c r="R724" s="27">
        <f>IF($A724="","",IF(P724="","",COUNT($P$2:P724)))</f>
        <v/>
      </c>
    </row>
    <row r="725">
      <c r="J725" s="24">
        <f>IF($A725="","",IF($C725&lt;&gt;"khp_titration_mL","",IF(COUNTIFS('1_原始數據'!$A$2:$A$1000,$A725,'1_原始數據'!$B$2:$B$1000,$B725,'1_原始數據'!$D$2:$D$1000,$D725,'1_原始數據'!$C$2:$C$1000,"khp_mass_g")=0,"",SUMIFS('1_原始數據'!$E$2:$E$1000,'1_原始數據'!$A$2:$A$1000,$A725,'1_原始數據'!$B$2:$B$1000,$B725,'1_原始數據'!$D$2:$D$1000,$D725,'1_原始數據'!$C$2:$C$1000,"khp_mass_g")/('2_NaOH標定'!$C$5*$E725/1000))))</f>
        <v/>
      </c>
      <c r="K725" s="24">
        <f>IF($A725="","",IF($C725&lt;&gt;"manual_titration_mL","",IF(COUNTIFS('1_原始數據'!$A$2:$A$1000,$A725,'1_原始數據'!$C$2:$C$1000,"khp_titration_mL")=0,"",AVERAGEIFS('1_原始數據'!$J$2:$J$1000,'1_原始數據'!$A$2:$A$1000,$A725,'1_原始數據'!$C$2:$C$1000,"khp_titration_mL"))))</f>
        <v/>
      </c>
      <c r="L725" s="25">
        <f>IF($A725="","",IF($C725&lt;&gt;"manual_titration_mL","",IFERROR(INDEX('3_可滴定酸度'!$E$6:$E$13,MATCH($I725,'3_可滴定酸度'!$B$6:$B$13,0)),"")))</f>
        <v/>
      </c>
      <c r="M725" s="25">
        <f>IF($A725="","",IF($C725&lt;&gt;"manual_titration_mL","",IFERROR(INDEX('3_可滴定酸度'!$F$6:$F$13,MATCH($I725,'3_可滴定酸度'!$B$6:$B$13,0)),"")))</f>
        <v/>
      </c>
      <c r="N725" s="24">
        <f>IF($A725="","",IF(OR(K725="",L725="",M725=""),"",K725*E725*L725/(M725*1000)*100))</f>
        <v/>
      </c>
      <c r="O725" s="24">
        <f>IF($A725="","",IF(N725="","",IF(COUNTIFS('1_原始數據'!$A$2:$A$1000,$A725,'1_原始數據'!$B$2:$B$1000,$B725,'1_原始數據'!$D$2:$D$1000,$D725,'1_原始數據'!$I$2:$I$1000,$I725,'1_原始數據'!$C$2:$C$1000,"pasco_pct_acid")=0,"",SUMIFS('1_原始數據'!$E$2:$E$1000,'1_原始數據'!$A$2:$A$1000,$A725,'1_原始數據'!$B$2:$B$1000,$B725,'1_原始數據'!$D$2:$D$1000,$D725,'1_原始數據'!$I$2:$I$1000,$I725,'1_原始數據'!$C$2:$C$1000,"pasco_pct_acid"))))</f>
        <v/>
      </c>
      <c r="P725" s="26">
        <f>IF($A725="","",IF(OR(N725="",O725=""),"",O725-N725))</f>
        <v/>
      </c>
      <c r="Q725" s="24">
        <f>IF($A725="","",IF(P725="","",(O725+N725)/2))</f>
        <v/>
      </c>
      <c r="R725" s="27">
        <f>IF($A725="","",IF(P725="","",COUNT($P$2:P725)))</f>
        <v/>
      </c>
    </row>
    <row r="726">
      <c r="J726" s="24">
        <f>IF($A726="","",IF($C726&lt;&gt;"khp_titration_mL","",IF(COUNTIFS('1_原始數據'!$A$2:$A$1000,$A726,'1_原始數據'!$B$2:$B$1000,$B726,'1_原始數據'!$D$2:$D$1000,$D726,'1_原始數據'!$C$2:$C$1000,"khp_mass_g")=0,"",SUMIFS('1_原始數據'!$E$2:$E$1000,'1_原始數據'!$A$2:$A$1000,$A726,'1_原始數據'!$B$2:$B$1000,$B726,'1_原始數據'!$D$2:$D$1000,$D726,'1_原始數據'!$C$2:$C$1000,"khp_mass_g")/('2_NaOH標定'!$C$5*$E726/1000))))</f>
        <v/>
      </c>
      <c r="K726" s="24">
        <f>IF($A726="","",IF($C726&lt;&gt;"manual_titration_mL","",IF(COUNTIFS('1_原始數據'!$A$2:$A$1000,$A726,'1_原始數據'!$C$2:$C$1000,"khp_titration_mL")=0,"",AVERAGEIFS('1_原始數據'!$J$2:$J$1000,'1_原始數據'!$A$2:$A$1000,$A726,'1_原始數據'!$C$2:$C$1000,"khp_titration_mL"))))</f>
        <v/>
      </c>
      <c r="L726" s="25">
        <f>IF($A726="","",IF($C726&lt;&gt;"manual_titration_mL","",IFERROR(INDEX('3_可滴定酸度'!$E$6:$E$13,MATCH($I726,'3_可滴定酸度'!$B$6:$B$13,0)),"")))</f>
        <v/>
      </c>
      <c r="M726" s="25">
        <f>IF($A726="","",IF($C726&lt;&gt;"manual_titration_mL","",IFERROR(INDEX('3_可滴定酸度'!$F$6:$F$13,MATCH($I726,'3_可滴定酸度'!$B$6:$B$13,0)),"")))</f>
        <v/>
      </c>
      <c r="N726" s="24">
        <f>IF($A726="","",IF(OR(K726="",L726="",M726=""),"",K726*E726*L726/(M726*1000)*100))</f>
        <v/>
      </c>
      <c r="O726" s="24">
        <f>IF($A726="","",IF(N726="","",IF(COUNTIFS('1_原始數據'!$A$2:$A$1000,$A726,'1_原始數據'!$B$2:$B$1000,$B726,'1_原始數據'!$D$2:$D$1000,$D726,'1_原始數據'!$I$2:$I$1000,$I726,'1_原始數據'!$C$2:$C$1000,"pasco_pct_acid")=0,"",SUMIFS('1_原始數據'!$E$2:$E$1000,'1_原始數據'!$A$2:$A$1000,$A726,'1_原始數據'!$B$2:$B$1000,$B726,'1_原始數據'!$D$2:$D$1000,$D726,'1_原始數據'!$I$2:$I$1000,$I726,'1_原始數據'!$C$2:$C$1000,"pasco_pct_acid"))))</f>
        <v/>
      </c>
      <c r="P726" s="26">
        <f>IF($A726="","",IF(OR(N726="",O726=""),"",O726-N726))</f>
        <v/>
      </c>
      <c r="Q726" s="24">
        <f>IF($A726="","",IF(P726="","",(O726+N726)/2))</f>
        <v/>
      </c>
      <c r="R726" s="27">
        <f>IF($A726="","",IF(P726="","",COUNT($P$2:P726)))</f>
        <v/>
      </c>
    </row>
    <row r="727">
      <c r="J727" s="24">
        <f>IF($A727="","",IF($C727&lt;&gt;"khp_titration_mL","",IF(COUNTIFS('1_原始數據'!$A$2:$A$1000,$A727,'1_原始數據'!$B$2:$B$1000,$B727,'1_原始數據'!$D$2:$D$1000,$D727,'1_原始數據'!$C$2:$C$1000,"khp_mass_g")=0,"",SUMIFS('1_原始數據'!$E$2:$E$1000,'1_原始數據'!$A$2:$A$1000,$A727,'1_原始數據'!$B$2:$B$1000,$B727,'1_原始數據'!$D$2:$D$1000,$D727,'1_原始數據'!$C$2:$C$1000,"khp_mass_g")/('2_NaOH標定'!$C$5*$E727/1000))))</f>
        <v/>
      </c>
      <c r="K727" s="24">
        <f>IF($A727="","",IF($C727&lt;&gt;"manual_titration_mL","",IF(COUNTIFS('1_原始數據'!$A$2:$A$1000,$A727,'1_原始數據'!$C$2:$C$1000,"khp_titration_mL")=0,"",AVERAGEIFS('1_原始數據'!$J$2:$J$1000,'1_原始數據'!$A$2:$A$1000,$A727,'1_原始數據'!$C$2:$C$1000,"khp_titration_mL"))))</f>
        <v/>
      </c>
      <c r="L727" s="25">
        <f>IF($A727="","",IF($C727&lt;&gt;"manual_titration_mL","",IFERROR(INDEX('3_可滴定酸度'!$E$6:$E$13,MATCH($I727,'3_可滴定酸度'!$B$6:$B$13,0)),"")))</f>
        <v/>
      </c>
      <c r="M727" s="25">
        <f>IF($A727="","",IF($C727&lt;&gt;"manual_titration_mL","",IFERROR(INDEX('3_可滴定酸度'!$F$6:$F$13,MATCH($I727,'3_可滴定酸度'!$B$6:$B$13,0)),"")))</f>
        <v/>
      </c>
      <c r="N727" s="24">
        <f>IF($A727="","",IF(OR(K727="",L727="",M727=""),"",K727*E727*L727/(M727*1000)*100))</f>
        <v/>
      </c>
      <c r="O727" s="24">
        <f>IF($A727="","",IF(N727="","",IF(COUNTIFS('1_原始數據'!$A$2:$A$1000,$A727,'1_原始數據'!$B$2:$B$1000,$B727,'1_原始數據'!$D$2:$D$1000,$D727,'1_原始數據'!$I$2:$I$1000,$I727,'1_原始數據'!$C$2:$C$1000,"pasco_pct_acid")=0,"",SUMIFS('1_原始數據'!$E$2:$E$1000,'1_原始數據'!$A$2:$A$1000,$A727,'1_原始數據'!$B$2:$B$1000,$B727,'1_原始數據'!$D$2:$D$1000,$D727,'1_原始數據'!$I$2:$I$1000,$I727,'1_原始數據'!$C$2:$C$1000,"pasco_pct_acid"))))</f>
        <v/>
      </c>
      <c r="P727" s="26">
        <f>IF($A727="","",IF(OR(N727="",O727=""),"",O727-N727))</f>
        <v/>
      </c>
      <c r="Q727" s="24">
        <f>IF($A727="","",IF(P727="","",(O727+N727)/2))</f>
        <v/>
      </c>
      <c r="R727" s="27">
        <f>IF($A727="","",IF(P727="","",COUNT($P$2:P727)))</f>
        <v/>
      </c>
    </row>
    <row r="728">
      <c r="J728" s="24">
        <f>IF($A728="","",IF($C728&lt;&gt;"khp_titration_mL","",IF(COUNTIFS('1_原始數據'!$A$2:$A$1000,$A728,'1_原始數據'!$B$2:$B$1000,$B728,'1_原始數據'!$D$2:$D$1000,$D728,'1_原始數據'!$C$2:$C$1000,"khp_mass_g")=0,"",SUMIFS('1_原始數據'!$E$2:$E$1000,'1_原始數據'!$A$2:$A$1000,$A728,'1_原始數據'!$B$2:$B$1000,$B728,'1_原始數據'!$D$2:$D$1000,$D728,'1_原始數據'!$C$2:$C$1000,"khp_mass_g")/('2_NaOH標定'!$C$5*$E728/1000))))</f>
        <v/>
      </c>
      <c r="K728" s="24">
        <f>IF($A728="","",IF($C728&lt;&gt;"manual_titration_mL","",IF(COUNTIFS('1_原始數據'!$A$2:$A$1000,$A728,'1_原始數據'!$C$2:$C$1000,"khp_titration_mL")=0,"",AVERAGEIFS('1_原始數據'!$J$2:$J$1000,'1_原始數據'!$A$2:$A$1000,$A728,'1_原始數據'!$C$2:$C$1000,"khp_titration_mL"))))</f>
        <v/>
      </c>
      <c r="L728" s="25">
        <f>IF($A728="","",IF($C728&lt;&gt;"manual_titration_mL","",IFERROR(INDEX('3_可滴定酸度'!$E$6:$E$13,MATCH($I728,'3_可滴定酸度'!$B$6:$B$13,0)),"")))</f>
        <v/>
      </c>
      <c r="M728" s="25">
        <f>IF($A728="","",IF($C728&lt;&gt;"manual_titration_mL","",IFERROR(INDEX('3_可滴定酸度'!$F$6:$F$13,MATCH($I728,'3_可滴定酸度'!$B$6:$B$13,0)),"")))</f>
        <v/>
      </c>
      <c r="N728" s="24">
        <f>IF($A728="","",IF(OR(K728="",L728="",M728=""),"",K728*E728*L728/(M728*1000)*100))</f>
        <v/>
      </c>
      <c r="O728" s="24">
        <f>IF($A728="","",IF(N728="","",IF(COUNTIFS('1_原始數據'!$A$2:$A$1000,$A728,'1_原始數據'!$B$2:$B$1000,$B728,'1_原始數據'!$D$2:$D$1000,$D728,'1_原始數據'!$I$2:$I$1000,$I728,'1_原始數據'!$C$2:$C$1000,"pasco_pct_acid")=0,"",SUMIFS('1_原始數據'!$E$2:$E$1000,'1_原始數據'!$A$2:$A$1000,$A728,'1_原始數據'!$B$2:$B$1000,$B728,'1_原始數據'!$D$2:$D$1000,$D728,'1_原始數據'!$I$2:$I$1000,$I728,'1_原始數據'!$C$2:$C$1000,"pasco_pct_acid"))))</f>
        <v/>
      </c>
      <c r="P728" s="26">
        <f>IF($A728="","",IF(OR(N728="",O728=""),"",O728-N728))</f>
        <v/>
      </c>
      <c r="Q728" s="24">
        <f>IF($A728="","",IF(P728="","",(O728+N728)/2))</f>
        <v/>
      </c>
      <c r="R728" s="27">
        <f>IF($A728="","",IF(P728="","",COUNT($P$2:P728)))</f>
        <v/>
      </c>
    </row>
    <row r="729">
      <c r="J729" s="24">
        <f>IF($A729="","",IF($C729&lt;&gt;"khp_titration_mL","",IF(COUNTIFS('1_原始數據'!$A$2:$A$1000,$A729,'1_原始數據'!$B$2:$B$1000,$B729,'1_原始數據'!$D$2:$D$1000,$D729,'1_原始數據'!$C$2:$C$1000,"khp_mass_g")=0,"",SUMIFS('1_原始數據'!$E$2:$E$1000,'1_原始數據'!$A$2:$A$1000,$A729,'1_原始數據'!$B$2:$B$1000,$B729,'1_原始數據'!$D$2:$D$1000,$D729,'1_原始數據'!$C$2:$C$1000,"khp_mass_g")/('2_NaOH標定'!$C$5*$E729/1000))))</f>
        <v/>
      </c>
      <c r="K729" s="24">
        <f>IF($A729="","",IF($C729&lt;&gt;"manual_titration_mL","",IF(COUNTIFS('1_原始數據'!$A$2:$A$1000,$A729,'1_原始數據'!$C$2:$C$1000,"khp_titration_mL")=0,"",AVERAGEIFS('1_原始數據'!$J$2:$J$1000,'1_原始數據'!$A$2:$A$1000,$A729,'1_原始數據'!$C$2:$C$1000,"khp_titration_mL"))))</f>
        <v/>
      </c>
      <c r="L729" s="25">
        <f>IF($A729="","",IF($C729&lt;&gt;"manual_titration_mL","",IFERROR(INDEX('3_可滴定酸度'!$E$6:$E$13,MATCH($I729,'3_可滴定酸度'!$B$6:$B$13,0)),"")))</f>
        <v/>
      </c>
      <c r="M729" s="25">
        <f>IF($A729="","",IF($C729&lt;&gt;"manual_titration_mL","",IFERROR(INDEX('3_可滴定酸度'!$F$6:$F$13,MATCH($I729,'3_可滴定酸度'!$B$6:$B$13,0)),"")))</f>
        <v/>
      </c>
      <c r="N729" s="24">
        <f>IF($A729="","",IF(OR(K729="",L729="",M729=""),"",K729*E729*L729/(M729*1000)*100))</f>
        <v/>
      </c>
      <c r="O729" s="24">
        <f>IF($A729="","",IF(N729="","",IF(COUNTIFS('1_原始數據'!$A$2:$A$1000,$A729,'1_原始數據'!$B$2:$B$1000,$B729,'1_原始數據'!$D$2:$D$1000,$D729,'1_原始數據'!$I$2:$I$1000,$I729,'1_原始數據'!$C$2:$C$1000,"pasco_pct_acid")=0,"",SUMIFS('1_原始數據'!$E$2:$E$1000,'1_原始數據'!$A$2:$A$1000,$A729,'1_原始數據'!$B$2:$B$1000,$B729,'1_原始數據'!$D$2:$D$1000,$D729,'1_原始數據'!$I$2:$I$1000,$I729,'1_原始數據'!$C$2:$C$1000,"pasco_pct_acid"))))</f>
        <v/>
      </c>
      <c r="P729" s="26">
        <f>IF($A729="","",IF(OR(N729="",O729=""),"",O729-N729))</f>
        <v/>
      </c>
      <c r="Q729" s="24">
        <f>IF($A729="","",IF(P729="","",(O729+N729)/2))</f>
        <v/>
      </c>
      <c r="R729" s="27">
        <f>IF($A729="","",IF(P729="","",COUNT($P$2:P729)))</f>
        <v/>
      </c>
    </row>
    <row r="730">
      <c r="J730" s="24">
        <f>IF($A730="","",IF($C730&lt;&gt;"khp_titration_mL","",IF(COUNTIFS('1_原始數據'!$A$2:$A$1000,$A730,'1_原始數據'!$B$2:$B$1000,$B730,'1_原始數據'!$D$2:$D$1000,$D730,'1_原始數據'!$C$2:$C$1000,"khp_mass_g")=0,"",SUMIFS('1_原始數據'!$E$2:$E$1000,'1_原始數據'!$A$2:$A$1000,$A730,'1_原始數據'!$B$2:$B$1000,$B730,'1_原始數據'!$D$2:$D$1000,$D730,'1_原始數據'!$C$2:$C$1000,"khp_mass_g")/('2_NaOH標定'!$C$5*$E730/1000))))</f>
        <v/>
      </c>
      <c r="K730" s="24">
        <f>IF($A730="","",IF($C730&lt;&gt;"manual_titration_mL","",IF(COUNTIFS('1_原始數據'!$A$2:$A$1000,$A730,'1_原始數據'!$C$2:$C$1000,"khp_titration_mL")=0,"",AVERAGEIFS('1_原始數據'!$J$2:$J$1000,'1_原始數據'!$A$2:$A$1000,$A730,'1_原始數據'!$C$2:$C$1000,"khp_titration_mL"))))</f>
        <v/>
      </c>
      <c r="L730" s="25">
        <f>IF($A730="","",IF($C730&lt;&gt;"manual_titration_mL","",IFERROR(INDEX('3_可滴定酸度'!$E$6:$E$13,MATCH($I730,'3_可滴定酸度'!$B$6:$B$13,0)),"")))</f>
        <v/>
      </c>
      <c r="M730" s="25">
        <f>IF($A730="","",IF($C730&lt;&gt;"manual_titration_mL","",IFERROR(INDEX('3_可滴定酸度'!$F$6:$F$13,MATCH($I730,'3_可滴定酸度'!$B$6:$B$13,0)),"")))</f>
        <v/>
      </c>
      <c r="N730" s="24">
        <f>IF($A730="","",IF(OR(K730="",L730="",M730=""),"",K730*E730*L730/(M730*1000)*100))</f>
        <v/>
      </c>
      <c r="O730" s="24">
        <f>IF($A730="","",IF(N730="","",IF(COUNTIFS('1_原始數據'!$A$2:$A$1000,$A730,'1_原始數據'!$B$2:$B$1000,$B730,'1_原始數據'!$D$2:$D$1000,$D730,'1_原始數據'!$I$2:$I$1000,$I730,'1_原始數據'!$C$2:$C$1000,"pasco_pct_acid")=0,"",SUMIFS('1_原始數據'!$E$2:$E$1000,'1_原始數據'!$A$2:$A$1000,$A730,'1_原始數據'!$B$2:$B$1000,$B730,'1_原始數據'!$D$2:$D$1000,$D730,'1_原始數據'!$I$2:$I$1000,$I730,'1_原始數據'!$C$2:$C$1000,"pasco_pct_acid"))))</f>
        <v/>
      </c>
      <c r="P730" s="26">
        <f>IF($A730="","",IF(OR(N730="",O730=""),"",O730-N730))</f>
        <v/>
      </c>
      <c r="Q730" s="24">
        <f>IF($A730="","",IF(P730="","",(O730+N730)/2))</f>
        <v/>
      </c>
      <c r="R730" s="27">
        <f>IF($A730="","",IF(P730="","",COUNT($P$2:P730)))</f>
        <v/>
      </c>
    </row>
    <row r="731">
      <c r="J731" s="24">
        <f>IF($A731="","",IF($C731&lt;&gt;"khp_titration_mL","",IF(COUNTIFS('1_原始數據'!$A$2:$A$1000,$A731,'1_原始數據'!$B$2:$B$1000,$B731,'1_原始數據'!$D$2:$D$1000,$D731,'1_原始數據'!$C$2:$C$1000,"khp_mass_g")=0,"",SUMIFS('1_原始數據'!$E$2:$E$1000,'1_原始數據'!$A$2:$A$1000,$A731,'1_原始數據'!$B$2:$B$1000,$B731,'1_原始數據'!$D$2:$D$1000,$D731,'1_原始數據'!$C$2:$C$1000,"khp_mass_g")/('2_NaOH標定'!$C$5*$E731/1000))))</f>
        <v/>
      </c>
      <c r="K731" s="24">
        <f>IF($A731="","",IF($C731&lt;&gt;"manual_titration_mL","",IF(COUNTIFS('1_原始數據'!$A$2:$A$1000,$A731,'1_原始數據'!$C$2:$C$1000,"khp_titration_mL")=0,"",AVERAGEIFS('1_原始數據'!$J$2:$J$1000,'1_原始數據'!$A$2:$A$1000,$A731,'1_原始數據'!$C$2:$C$1000,"khp_titration_mL"))))</f>
        <v/>
      </c>
      <c r="L731" s="25">
        <f>IF($A731="","",IF($C731&lt;&gt;"manual_titration_mL","",IFERROR(INDEX('3_可滴定酸度'!$E$6:$E$13,MATCH($I731,'3_可滴定酸度'!$B$6:$B$13,0)),"")))</f>
        <v/>
      </c>
      <c r="M731" s="25">
        <f>IF($A731="","",IF($C731&lt;&gt;"manual_titration_mL","",IFERROR(INDEX('3_可滴定酸度'!$F$6:$F$13,MATCH($I731,'3_可滴定酸度'!$B$6:$B$13,0)),"")))</f>
        <v/>
      </c>
      <c r="N731" s="24">
        <f>IF($A731="","",IF(OR(K731="",L731="",M731=""),"",K731*E731*L731/(M731*1000)*100))</f>
        <v/>
      </c>
      <c r="O731" s="24">
        <f>IF($A731="","",IF(N731="","",IF(COUNTIFS('1_原始數據'!$A$2:$A$1000,$A731,'1_原始數據'!$B$2:$B$1000,$B731,'1_原始數據'!$D$2:$D$1000,$D731,'1_原始數據'!$I$2:$I$1000,$I731,'1_原始數據'!$C$2:$C$1000,"pasco_pct_acid")=0,"",SUMIFS('1_原始數據'!$E$2:$E$1000,'1_原始數據'!$A$2:$A$1000,$A731,'1_原始數據'!$B$2:$B$1000,$B731,'1_原始數據'!$D$2:$D$1000,$D731,'1_原始數據'!$I$2:$I$1000,$I731,'1_原始數據'!$C$2:$C$1000,"pasco_pct_acid"))))</f>
        <v/>
      </c>
      <c r="P731" s="26">
        <f>IF($A731="","",IF(OR(N731="",O731=""),"",O731-N731))</f>
        <v/>
      </c>
      <c r="Q731" s="24">
        <f>IF($A731="","",IF(P731="","",(O731+N731)/2))</f>
        <v/>
      </c>
      <c r="R731" s="27">
        <f>IF($A731="","",IF(P731="","",COUNT($P$2:P731)))</f>
        <v/>
      </c>
    </row>
    <row r="732">
      <c r="J732" s="24">
        <f>IF($A732="","",IF($C732&lt;&gt;"khp_titration_mL","",IF(COUNTIFS('1_原始數據'!$A$2:$A$1000,$A732,'1_原始數據'!$B$2:$B$1000,$B732,'1_原始數據'!$D$2:$D$1000,$D732,'1_原始數據'!$C$2:$C$1000,"khp_mass_g")=0,"",SUMIFS('1_原始數據'!$E$2:$E$1000,'1_原始數據'!$A$2:$A$1000,$A732,'1_原始數據'!$B$2:$B$1000,$B732,'1_原始數據'!$D$2:$D$1000,$D732,'1_原始數據'!$C$2:$C$1000,"khp_mass_g")/('2_NaOH標定'!$C$5*$E732/1000))))</f>
        <v/>
      </c>
      <c r="K732" s="24">
        <f>IF($A732="","",IF($C732&lt;&gt;"manual_titration_mL","",IF(COUNTIFS('1_原始數據'!$A$2:$A$1000,$A732,'1_原始數據'!$C$2:$C$1000,"khp_titration_mL")=0,"",AVERAGEIFS('1_原始數據'!$J$2:$J$1000,'1_原始數據'!$A$2:$A$1000,$A732,'1_原始數據'!$C$2:$C$1000,"khp_titration_mL"))))</f>
        <v/>
      </c>
      <c r="L732" s="25">
        <f>IF($A732="","",IF($C732&lt;&gt;"manual_titration_mL","",IFERROR(INDEX('3_可滴定酸度'!$E$6:$E$13,MATCH($I732,'3_可滴定酸度'!$B$6:$B$13,0)),"")))</f>
        <v/>
      </c>
      <c r="M732" s="25">
        <f>IF($A732="","",IF($C732&lt;&gt;"manual_titration_mL","",IFERROR(INDEX('3_可滴定酸度'!$F$6:$F$13,MATCH($I732,'3_可滴定酸度'!$B$6:$B$13,0)),"")))</f>
        <v/>
      </c>
      <c r="N732" s="24">
        <f>IF($A732="","",IF(OR(K732="",L732="",M732=""),"",K732*E732*L732/(M732*1000)*100))</f>
        <v/>
      </c>
      <c r="O732" s="24">
        <f>IF($A732="","",IF(N732="","",IF(COUNTIFS('1_原始數據'!$A$2:$A$1000,$A732,'1_原始數據'!$B$2:$B$1000,$B732,'1_原始數據'!$D$2:$D$1000,$D732,'1_原始數據'!$I$2:$I$1000,$I732,'1_原始數據'!$C$2:$C$1000,"pasco_pct_acid")=0,"",SUMIFS('1_原始數據'!$E$2:$E$1000,'1_原始數據'!$A$2:$A$1000,$A732,'1_原始數據'!$B$2:$B$1000,$B732,'1_原始數據'!$D$2:$D$1000,$D732,'1_原始數據'!$I$2:$I$1000,$I732,'1_原始數據'!$C$2:$C$1000,"pasco_pct_acid"))))</f>
        <v/>
      </c>
      <c r="P732" s="26">
        <f>IF($A732="","",IF(OR(N732="",O732=""),"",O732-N732))</f>
        <v/>
      </c>
      <c r="Q732" s="24">
        <f>IF($A732="","",IF(P732="","",(O732+N732)/2))</f>
        <v/>
      </c>
      <c r="R732" s="27">
        <f>IF($A732="","",IF(P732="","",COUNT($P$2:P732)))</f>
        <v/>
      </c>
    </row>
    <row r="733">
      <c r="J733" s="24">
        <f>IF($A733="","",IF($C733&lt;&gt;"khp_titration_mL","",IF(COUNTIFS('1_原始數據'!$A$2:$A$1000,$A733,'1_原始數據'!$B$2:$B$1000,$B733,'1_原始數據'!$D$2:$D$1000,$D733,'1_原始數據'!$C$2:$C$1000,"khp_mass_g")=0,"",SUMIFS('1_原始數據'!$E$2:$E$1000,'1_原始數據'!$A$2:$A$1000,$A733,'1_原始數據'!$B$2:$B$1000,$B733,'1_原始數據'!$D$2:$D$1000,$D733,'1_原始數據'!$C$2:$C$1000,"khp_mass_g")/('2_NaOH標定'!$C$5*$E733/1000))))</f>
        <v/>
      </c>
      <c r="K733" s="24">
        <f>IF($A733="","",IF($C733&lt;&gt;"manual_titration_mL","",IF(COUNTIFS('1_原始數據'!$A$2:$A$1000,$A733,'1_原始數據'!$C$2:$C$1000,"khp_titration_mL")=0,"",AVERAGEIFS('1_原始數據'!$J$2:$J$1000,'1_原始數據'!$A$2:$A$1000,$A733,'1_原始數據'!$C$2:$C$1000,"khp_titration_mL"))))</f>
        <v/>
      </c>
      <c r="L733" s="25">
        <f>IF($A733="","",IF($C733&lt;&gt;"manual_titration_mL","",IFERROR(INDEX('3_可滴定酸度'!$E$6:$E$13,MATCH($I733,'3_可滴定酸度'!$B$6:$B$13,0)),"")))</f>
        <v/>
      </c>
      <c r="M733" s="25">
        <f>IF($A733="","",IF($C733&lt;&gt;"manual_titration_mL","",IFERROR(INDEX('3_可滴定酸度'!$F$6:$F$13,MATCH($I733,'3_可滴定酸度'!$B$6:$B$13,0)),"")))</f>
        <v/>
      </c>
      <c r="N733" s="24">
        <f>IF($A733="","",IF(OR(K733="",L733="",M733=""),"",K733*E733*L733/(M733*1000)*100))</f>
        <v/>
      </c>
      <c r="O733" s="24">
        <f>IF($A733="","",IF(N733="","",IF(COUNTIFS('1_原始數據'!$A$2:$A$1000,$A733,'1_原始數據'!$B$2:$B$1000,$B733,'1_原始數據'!$D$2:$D$1000,$D733,'1_原始數據'!$I$2:$I$1000,$I733,'1_原始數據'!$C$2:$C$1000,"pasco_pct_acid")=0,"",SUMIFS('1_原始數據'!$E$2:$E$1000,'1_原始數據'!$A$2:$A$1000,$A733,'1_原始數據'!$B$2:$B$1000,$B733,'1_原始數據'!$D$2:$D$1000,$D733,'1_原始數據'!$I$2:$I$1000,$I733,'1_原始數據'!$C$2:$C$1000,"pasco_pct_acid"))))</f>
        <v/>
      </c>
      <c r="P733" s="26">
        <f>IF($A733="","",IF(OR(N733="",O733=""),"",O733-N733))</f>
        <v/>
      </c>
      <c r="Q733" s="24">
        <f>IF($A733="","",IF(P733="","",(O733+N733)/2))</f>
        <v/>
      </c>
      <c r="R733" s="27">
        <f>IF($A733="","",IF(P733="","",COUNT($P$2:P733)))</f>
        <v/>
      </c>
    </row>
    <row r="734">
      <c r="J734" s="24">
        <f>IF($A734="","",IF($C734&lt;&gt;"khp_titration_mL","",IF(COUNTIFS('1_原始數據'!$A$2:$A$1000,$A734,'1_原始數據'!$B$2:$B$1000,$B734,'1_原始數據'!$D$2:$D$1000,$D734,'1_原始數據'!$C$2:$C$1000,"khp_mass_g")=0,"",SUMIFS('1_原始數據'!$E$2:$E$1000,'1_原始數據'!$A$2:$A$1000,$A734,'1_原始數據'!$B$2:$B$1000,$B734,'1_原始數據'!$D$2:$D$1000,$D734,'1_原始數據'!$C$2:$C$1000,"khp_mass_g")/('2_NaOH標定'!$C$5*$E734/1000))))</f>
        <v/>
      </c>
      <c r="K734" s="24">
        <f>IF($A734="","",IF($C734&lt;&gt;"manual_titration_mL","",IF(COUNTIFS('1_原始數據'!$A$2:$A$1000,$A734,'1_原始數據'!$C$2:$C$1000,"khp_titration_mL")=0,"",AVERAGEIFS('1_原始數據'!$J$2:$J$1000,'1_原始數據'!$A$2:$A$1000,$A734,'1_原始數據'!$C$2:$C$1000,"khp_titration_mL"))))</f>
        <v/>
      </c>
      <c r="L734" s="25">
        <f>IF($A734="","",IF($C734&lt;&gt;"manual_titration_mL","",IFERROR(INDEX('3_可滴定酸度'!$E$6:$E$13,MATCH($I734,'3_可滴定酸度'!$B$6:$B$13,0)),"")))</f>
        <v/>
      </c>
      <c r="M734" s="25">
        <f>IF($A734="","",IF($C734&lt;&gt;"manual_titration_mL","",IFERROR(INDEX('3_可滴定酸度'!$F$6:$F$13,MATCH($I734,'3_可滴定酸度'!$B$6:$B$13,0)),"")))</f>
        <v/>
      </c>
      <c r="N734" s="24">
        <f>IF($A734="","",IF(OR(K734="",L734="",M734=""),"",K734*E734*L734/(M734*1000)*100))</f>
        <v/>
      </c>
      <c r="O734" s="24">
        <f>IF($A734="","",IF(N734="","",IF(COUNTIFS('1_原始數據'!$A$2:$A$1000,$A734,'1_原始數據'!$B$2:$B$1000,$B734,'1_原始數據'!$D$2:$D$1000,$D734,'1_原始數據'!$I$2:$I$1000,$I734,'1_原始數據'!$C$2:$C$1000,"pasco_pct_acid")=0,"",SUMIFS('1_原始數據'!$E$2:$E$1000,'1_原始數據'!$A$2:$A$1000,$A734,'1_原始數據'!$B$2:$B$1000,$B734,'1_原始數據'!$D$2:$D$1000,$D734,'1_原始數據'!$I$2:$I$1000,$I734,'1_原始數據'!$C$2:$C$1000,"pasco_pct_acid"))))</f>
        <v/>
      </c>
      <c r="P734" s="26">
        <f>IF($A734="","",IF(OR(N734="",O734=""),"",O734-N734))</f>
        <v/>
      </c>
      <c r="Q734" s="24">
        <f>IF($A734="","",IF(P734="","",(O734+N734)/2))</f>
        <v/>
      </c>
      <c r="R734" s="27">
        <f>IF($A734="","",IF(P734="","",COUNT($P$2:P734)))</f>
        <v/>
      </c>
    </row>
    <row r="735">
      <c r="J735" s="24">
        <f>IF($A735="","",IF($C735&lt;&gt;"khp_titration_mL","",IF(COUNTIFS('1_原始數據'!$A$2:$A$1000,$A735,'1_原始數據'!$B$2:$B$1000,$B735,'1_原始數據'!$D$2:$D$1000,$D735,'1_原始數據'!$C$2:$C$1000,"khp_mass_g")=0,"",SUMIFS('1_原始數據'!$E$2:$E$1000,'1_原始數據'!$A$2:$A$1000,$A735,'1_原始數據'!$B$2:$B$1000,$B735,'1_原始數據'!$D$2:$D$1000,$D735,'1_原始數據'!$C$2:$C$1000,"khp_mass_g")/('2_NaOH標定'!$C$5*$E735/1000))))</f>
        <v/>
      </c>
      <c r="K735" s="24">
        <f>IF($A735="","",IF($C735&lt;&gt;"manual_titration_mL","",IF(COUNTIFS('1_原始數據'!$A$2:$A$1000,$A735,'1_原始數據'!$C$2:$C$1000,"khp_titration_mL")=0,"",AVERAGEIFS('1_原始數據'!$J$2:$J$1000,'1_原始數據'!$A$2:$A$1000,$A735,'1_原始數據'!$C$2:$C$1000,"khp_titration_mL"))))</f>
        <v/>
      </c>
      <c r="L735" s="25">
        <f>IF($A735="","",IF($C735&lt;&gt;"manual_titration_mL","",IFERROR(INDEX('3_可滴定酸度'!$E$6:$E$13,MATCH($I735,'3_可滴定酸度'!$B$6:$B$13,0)),"")))</f>
        <v/>
      </c>
      <c r="M735" s="25">
        <f>IF($A735="","",IF($C735&lt;&gt;"manual_titration_mL","",IFERROR(INDEX('3_可滴定酸度'!$F$6:$F$13,MATCH($I735,'3_可滴定酸度'!$B$6:$B$13,0)),"")))</f>
        <v/>
      </c>
      <c r="N735" s="24">
        <f>IF($A735="","",IF(OR(K735="",L735="",M735=""),"",K735*E735*L735/(M735*1000)*100))</f>
        <v/>
      </c>
      <c r="O735" s="24">
        <f>IF($A735="","",IF(N735="","",IF(COUNTIFS('1_原始數據'!$A$2:$A$1000,$A735,'1_原始數據'!$B$2:$B$1000,$B735,'1_原始數據'!$D$2:$D$1000,$D735,'1_原始數據'!$I$2:$I$1000,$I735,'1_原始數據'!$C$2:$C$1000,"pasco_pct_acid")=0,"",SUMIFS('1_原始數據'!$E$2:$E$1000,'1_原始數據'!$A$2:$A$1000,$A735,'1_原始數據'!$B$2:$B$1000,$B735,'1_原始數據'!$D$2:$D$1000,$D735,'1_原始數據'!$I$2:$I$1000,$I735,'1_原始數據'!$C$2:$C$1000,"pasco_pct_acid"))))</f>
        <v/>
      </c>
      <c r="P735" s="26">
        <f>IF($A735="","",IF(OR(N735="",O735=""),"",O735-N735))</f>
        <v/>
      </c>
      <c r="Q735" s="24">
        <f>IF($A735="","",IF(P735="","",(O735+N735)/2))</f>
        <v/>
      </c>
      <c r="R735" s="27">
        <f>IF($A735="","",IF(P735="","",COUNT($P$2:P735)))</f>
        <v/>
      </c>
    </row>
    <row r="736">
      <c r="J736" s="24">
        <f>IF($A736="","",IF($C736&lt;&gt;"khp_titration_mL","",IF(COUNTIFS('1_原始數據'!$A$2:$A$1000,$A736,'1_原始數據'!$B$2:$B$1000,$B736,'1_原始數據'!$D$2:$D$1000,$D736,'1_原始數據'!$C$2:$C$1000,"khp_mass_g")=0,"",SUMIFS('1_原始數據'!$E$2:$E$1000,'1_原始數據'!$A$2:$A$1000,$A736,'1_原始數據'!$B$2:$B$1000,$B736,'1_原始數據'!$D$2:$D$1000,$D736,'1_原始數據'!$C$2:$C$1000,"khp_mass_g")/('2_NaOH標定'!$C$5*$E736/1000))))</f>
        <v/>
      </c>
      <c r="K736" s="24">
        <f>IF($A736="","",IF($C736&lt;&gt;"manual_titration_mL","",IF(COUNTIFS('1_原始數據'!$A$2:$A$1000,$A736,'1_原始數據'!$C$2:$C$1000,"khp_titration_mL")=0,"",AVERAGEIFS('1_原始數據'!$J$2:$J$1000,'1_原始數據'!$A$2:$A$1000,$A736,'1_原始數據'!$C$2:$C$1000,"khp_titration_mL"))))</f>
        <v/>
      </c>
      <c r="L736" s="25">
        <f>IF($A736="","",IF($C736&lt;&gt;"manual_titration_mL","",IFERROR(INDEX('3_可滴定酸度'!$E$6:$E$13,MATCH($I736,'3_可滴定酸度'!$B$6:$B$13,0)),"")))</f>
        <v/>
      </c>
      <c r="M736" s="25">
        <f>IF($A736="","",IF($C736&lt;&gt;"manual_titration_mL","",IFERROR(INDEX('3_可滴定酸度'!$F$6:$F$13,MATCH($I736,'3_可滴定酸度'!$B$6:$B$13,0)),"")))</f>
        <v/>
      </c>
      <c r="N736" s="24">
        <f>IF($A736="","",IF(OR(K736="",L736="",M736=""),"",K736*E736*L736/(M736*1000)*100))</f>
        <v/>
      </c>
      <c r="O736" s="24">
        <f>IF($A736="","",IF(N736="","",IF(COUNTIFS('1_原始數據'!$A$2:$A$1000,$A736,'1_原始數據'!$B$2:$B$1000,$B736,'1_原始數據'!$D$2:$D$1000,$D736,'1_原始數據'!$I$2:$I$1000,$I736,'1_原始數據'!$C$2:$C$1000,"pasco_pct_acid")=0,"",SUMIFS('1_原始數據'!$E$2:$E$1000,'1_原始數據'!$A$2:$A$1000,$A736,'1_原始數據'!$B$2:$B$1000,$B736,'1_原始數據'!$D$2:$D$1000,$D736,'1_原始數據'!$I$2:$I$1000,$I736,'1_原始數據'!$C$2:$C$1000,"pasco_pct_acid"))))</f>
        <v/>
      </c>
      <c r="P736" s="26">
        <f>IF($A736="","",IF(OR(N736="",O736=""),"",O736-N736))</f>
        <v/>
      </c>
      <c r="Q736" s="24">
        <f>IF($A736="","",IF(P736="","",(O736+N736)/2))</f>
        <v/>
      </c>
      <c r="R736" s="27">
        <f>IF($A736="","",IF(P736="","",COUNT($P$2:P736)))</f>
        <v/>
      </c>
    </row>
    <row r="737">
      <c r="J737" s="24">
        <f>IF($A737="","",IF($C737&lt;&gt;"khp_titration_mL","",IF(COUNTIFS('1_原始數據'!$A$2:$A$1000,$A737,'1_原始數據'!$B$2:$B$1000,$B737,'1_原始數據'!$D$2:$D$1000,$D737,'1_原始數據'!$C$2:$C$1000,"khp_mass_g")=0,"",SUMIFS('1_原始數據'!$E$2:$E$1000,'1_原始數據'!$A$2:$A$1000,$A737,'1_原始數據'!$B$2:$B$1000,$B737,'1_原始數據'!$D$2:$D$1000,$D737,'1_原始數據'!$C$2:$C$1000,"khp_mass_g")/('2_NaOH標定'!$C$5*$E737/1000))))</f>
        <v/>
      </c>
      <c r="K737" s="24">
        <f>IF($A737="","",IF($C737&lt;&gt;"manual_titration_mL","",IF(COUNTIFS('1_原始數據'!$A$2:$A$1000,$A737,'1_原始數據'!$C$2:$C$1000,"khp_titration_mL")=0,"",AVERAGEIFS('1_原始數據'!$J$2:$J$1000,'1_原始數據'!$A$2:$A$1000,$A737,'1_原始數據'!$C$2:$C$1000,"khp_titration_mL"))))</f>
        <v/>
      </c>
      <c r="L737" s="25">
        <f>IF($A737="","",IF($C737&lt;&gt;"manual_titration_mL","",IFERROR(INDEX('3_可滴定酸度'!$E$6:$E$13,MATCH($I737,'3_可滴定酸度'!$B$6:$B$13,0)),"")))</f>
        <v/>
      </c>
      <c r="M737" s="25">
        <f>IF($A737="","",IF($C737&lt;&gt;"manual_titration_mL","",IFERROR(INDEX('3_可滴定酸度'!$F$6:$F$13,MATCH($I737,'3_可滴定酸度'!$B$6:$B$13,0)),"")))</f>
        <v/>
      </c>
      <c r="N737" s="24">
        <f>IF($A737="","",IF(OR(K737="",L737="",M737=""),"",K737*E737*L737/(M737*1000)*100))</f>
        <v/>
      </c>
      <c r="O737" s="24">
        <f>IF($A737="","",IF(N737="","",IF(COUNTIFS('1_原始數據'!$A$2:$A$1000,$A737,'1_原始數據'!$B$2:$B$1000,$B737,'1_原始數據'!$D$2:$D$1000,$D737,'1_原始數據'!$I$2:$I$1000,$I737,'1_原始數據'!$C$2:$C$1000,"pasco_pct_acid")=0,"",SUMIFS('1_原始數據'!$E$2:$E$1000,'1_原始數據'!$A$2:$A$1000,$A737,'1_原始數據'!$B$2:$B$1000,$B737,'1_原始數據'!$D$2:$D$1000,$D737,'1_原始數據'!$I$2:$I$1000,$I737,'1_原始數據'!$C$2:$C$1000,"pasco_pct_acid"))))</f>
        <v/>
      </c>
      <c r="P737" s="26">
        <f>IF($A737="","",IF(OR(N737="",O737=""),"",O737-N737))</f>
        <v/>
      </c>
      <c r="Q737" s="24">
        <f>IF($A737="","",IF(P737="","",(O737+N737)/2))</f>
        <v/>
      </c>
      <c r="R737" s="27">
        <f>IF($A737="","",IF(P737="","",COUNT($P$2:P737)))</f>
        <v/>
      </c>
    </row>
    <row r="738">
      <c r="J738" s="24">
        <f>IF($A738="","",IF($C738&lt;&gt;"khp_titration_mL","",IF(COUNTIFS('1_原始數據'!$A$2:$A$1000,$A738,'1_原始數據'!$B$2:$B$1000,$B738,'1_原始數據'!$D$2:$D$1000,$D738,'1_原始數據'!$C$2:$C$1000,"khp_mass_g")=0,"",SUMIFS('1_原始數據'!$E$2:$E$1000,'1_原始數據'!$A$2:$A$1000,$A738,'1_原始數據'!$B$2:$B$1000,$B738,'1_原始數據'!$D$2:$D$1000,$D738,'1_原始數據'!$C$2:$C$1000,"khp_mass_g")/('2_NaOH標定'!$C$5*$E738/1000))))</f>
        <v/>
      </c>
      <c r="K738" s="24">
        <f>IF($A738="","",IF($C738&lt;&gt;"manual_titration_mL","",IF(COUNTIFS('1_原始數據'!$A$2:$A$1000,$A738,'1_原始數據'!$C$2:$C$1000,"khp_titration_mL")=0,"",AVERAGEIFS('1_原始數據'!$J$2:$J$1000,'1_原始數據'!$A$2:$A$1000,$A738,'1_原始數據'!$C$2:$C$1000,"khp_titration_mL"))))</f>
        <v/>
      </c>
      <c r="L738" s="25">
        <f>IF($A738="","",IF($C738&lt;&gt;"manual_titration_mL","",IFERROR(INDEX('3_可滴定酸度'!$E$6:$E$13,MATCH($I738,'3_可滴定酸度'!$B$6:$B$13,0)),"")))</f>
        <v/>
      </c>
      <c r="M738" s="25">
        <f>IF($A738="","",IF($C738&lt;&gt;"manual_titration_mL","",IFERROR(INDEX('3_可滴定酸度'!$F$6:$F$13,MATCH($I738,'3_可滴定酸度'!$B$6:$B$13,0)),"")))</f>
        <v/>
      </c>
      <c r="N738" s="24">
        <f>IF($A738="","",IF(OR(K738="",L738="",M738=""),"",K738*E738*L738/(M738*1000)*100))</f>
        <v/>
      </c>
      <c r="O738" s="24">
        <f>IF($A738="","",IF(N738="","",IF(COUNTIFS('1_原始數據'!$A$2:$A$1000,$A738,'1_原始數據'!$B$2:$B$1000,$B738,'1_原始數據'!$D$2:$D$1000,$D738,'1_原始數據'!$I$2:$I$1000,$I738,'1_原始數據'!$C$2:$C$1000,"pasco_pct_acid")=0,"",SUMIFS('1_原始數據'!$E$2:$E$1000,'1_原始數據'!$A$2:$A$1000,$A738,'1_原始數據'!$B$2:$B$1000,$B738,'1_原始數據'!$D$2:$D$1000,$D738,'1_原始數據'!$I$2:$I$1000,$I738,'1_原始數據'!$C$2:$C$1000,"pasco_pct_acid"))))</f>
        <v/>
      </c>
      <c r="P738" s="26">
        <f>IF($A738="","",IF(OR(N738="",O738=""),"",O738-N738))</f>
        <v/>
      </c>
      <c r="Q738" s="24">
        <f>IF($A738="","",IF(P738="","",(O738+N738)/2))</f>
        <v/>
      </c>
      <c r="R738" s="27">
        <f>IF($A738="","",IF(P738="","",COUNT($P$2:P738)))</f>
        <v/>
      </c>
    </row>
    <row r="739">
      <c r="J739" s="24">
        <f>IF($A739="","",IF($C739&lt;&gt;"khp_titration_mL","",IF(COUNTIFS('1_原始數據'!$A$2:$A$1000,$A739,'1_原始數據'!$B$2:$B$1000,$B739,'1_原始數據'!$D$2:$D$1000,$D739,'1_原始數據'!$C$2:$C$1000,"khp_mass_g")=0,"",SUMIFS('1_原始數據'!$E$2:$E$1000,'1_原始數據'!$A$2:$A$1000,$A739,'1_原始數據'!$B$2:$B$1000,$B739,'1_原始數據'!$D$2:$D$1000,$D739,'1_原始數據'!$C$2:$C$1000,"khp_mass_g")/('2_NaOH標定'!$C$5*$E739/1000))))</f>
        <v/>
      </c>
      <c r="K739" s="24">
        <f>IF($A739="","",IF($C739&lt;&gt;"manual_titration_mL","",IF(COUNTIFS('1_原始數據'!$A$2:$A$1000,$A739,'1_原始數據'!$C$2:$C$1000,"khp_titration_mL")=0,"",AVERAGEIFS('1_原始數據'!$J$2:$J$1000,'1_原始數據'!$A$2:$A$1000,$A739,'1_原始數據'!$C$2:$C$1000,"khp_titration_mL"))))</f>
        <v/>
      </c>
      <c r="L739" s="25">
        <f>IF($A739="","",IF($C739&lt;&gt;"manual_titration_mL","",IFERROR(INDEX('3_可滴定酸度'!$E$6:$E$13,MATCH($I739,'3_可滴定酸度'!$B$6:$B$13,0)),"")))</f>
        <v/>
      </c>
      <c r="M739" s="25">
        <f>IF($A739="","",IF($C739&lt;&gt;"manual_titration_mL","",IFERROR(INDEX('3_可滴定酸度'!$F$6:$F$13,MATCH($I739,'3_可滴定酸度'!$B$6:$B$13,0)),"")))</f>
        <v/>
      </c>
      <c r="N739" s="24">
        <f>IF($A739="","",IF(OR(K739="",L739="",M739=""),"",K739*E739*L739/(M739*1000)*100))</f>
        <v/>
      </c>
      <c r="O739" s="24">
        <f>IF($A739="","",IF(N739="","",IF(COUNTIFS('1_原始數據'!$A$2:$A$1000,$A739,'1_原始數據'!$B$2:$B$1000,$B739,'1_原始數據'!$D$2:$D$1000,$D739,'1_原始數據'!$I$2:$I$1000,$I739,'1_原始數據'!$C$2:$C$1000,"pasco_pct_acid")=0,"",SUMIFS('1_原始數據'!$E$2:$E$1000,'1_原始數據'!$A$2:$A$1000,$A739,'1_原始數據'!$B$2:$B$1000,$B739,'1_原始數據'!$D$2:$D$1000,$D739,'1_原始數據'!$I$2:$I$1000,$I739,'1_原始數據'!$C$2:$C$1000,"pasco_pct_acid"))))</f>
        <v/>
      </c>
      <c r="P739" s="26">
        <f>IF($A739="","",IF(OR(N739="",O739=""),"",O739-N739))</f>
        <v/>
      </c>
      <c r="Q739" s="24">
        <f>IF($A739="","",IF(P739="","",(O739+N739)/2))</f>
        <v/>
      </c>
      <c r="R739" s="27">
        <f>IF($A739="","",IF(P739="","",COUNT($P$2:P739)))</f>
        <v/>
      </c>
    </row>
    <row r="740">
      <c r="J740" s="24">
        <f>IF($A740="","",IF($C740&lt;&gt;"khp_titration_mL","",IF(COUNTIFS('1_原始數據'!$A$2:$A$1000,$A740,'1_原始數據'!$B$2:$B$1000,$B740,'1_原始數據'!$D$2:$D$1000,$D740,'1_原始數據'!$C$2:$C$1000,"khp_mass_g")=0,"",SUMIFS('1_原始數據'!$E$2:$E$1000,'1_原始數據'!$A$2:$A$1000,$A740,'1_原始數據'!$B$2:$B$1000,$B740,'1_原始數據'!$D$2:$D$1000,$D740,'1_原始數據'!$C$2:$C$1000,"khp_mass_g")/('2_NaOH標定'!$C$5*$E740/1000))))</f>
        <v/>
      </c>
      <c r="K740" s="24">
        <f>IF($A740="","",IF($C740&lt;&gt;"manual_titration_mL","",IF(COUNTIFS('1_原始數據'!$A$2:$A$1000,$A740,'1_原始數據'!$C$2:$C$1000,"khp_titration_mL")=0,"",AVERAGEIFS('1_原始數據'!$J$2:$J$1000,'1_原始數據'!$A$2:$A$1000,$A740,'1_原始數據'!$C$2:$C$1000,"khp_titration_mL"))))</f>
        <v/>
      </c>
      <c r="L740" s="25">
        <f>IF($A740="","",IF($C740&lt;&gt;"manual_titration_mL","",IFERROR(INDEX('3_可滴定酸度'!$E$6:$E$13,MATCH($I740,'3_可滴定酸度'!$B$6:$B$13,0)),"")))</f>
        <v/>
      </c>
      <c r="M740" s="25">
        <f>IF($A740="","",IF($C740&lt;&gt;"manual_titration_mL","",IFERROR(INDEX('3_可滴定酸度'!$F$6:$F$13,MATCH($I740,'3_可滴定酸度'!$B$6:$B$13,0)),"")))</f>
        <v/>
      </c>
      <c r="N740" s="24">
        <f>IF($A740="","",IF(OR(K740="",L740="",M740=""),"",K740*E740*L740/(M740*1000)*100))</f>
        <v/>
      </c>
      <c r="O740" s="24">
        <f>IF($A740="","",IF(N740="","",IF(COUNTIFS('1_原始數據'!$A$2:$A$1000,$A740,'1_原始數據'!$B$2:$B$1000,$B740,'1_原始數據'!$D$2:$D$1000,$D740,'1_原始數據'!$I$2:$I$1000,$I740,'1_原始數據'!$C$2:$C$1000,"pasco_pct_acid")=0,"",SUMIFS('1_原始數據'!$E$2:$E$1000,'1_原始數據'!$A$2:$A$1000,$A740,'1_原始數據'!$B$2:$B$1000,$B740,'1_原始數據'!$D$2:$D$1000,$D740,'1_原始數據'!$I$2:$I$1000,$I740,'1_原始數據'!$C$2:$C$1000,"pasco_pct_acid"))))</f>
        <v/>
      </c>
      <c r="P740" s="26">
        <f>IF($A740="","",IF(OR(N740="",O740=""),"",O740-N740))</f>
        <v/>
      </c>
      <c r="Q740" s="24">
        <f>IF($A740="","",IF(P740="","",(O740+N740)/2))</f>
        <v/>
      </c>
      <c r="R740" s="27">
        <f>IF($A740="","",IF(P740="","",COUNT($P$2:P740)))</f>
        <v/>
      </c>
    </row>
    <row r="741">
      <c r="J741" s="24">
        <f>IF($A741="","",IF($C741&lt;&gt;"khp_titration_mL","",IF(COUNTIFS('1_原始數據'!$A$2:$A$1000,$A741,'1_原始數據'!$B$2:$B$1000,$B741,'1_原始數據'!$D$2:$D$1000,$D741,'1_原始數據'!$C$2:$C$1000,"khp_mass_g")=0,"",SUMIFS('1_原始數據'!$E$2:$E$1000,'1_原始數據'!$A$2:$A$1000,$A741,'1_原始數據'!$B$2:$B$1000,$B741,'1_原始數據'!$D$2:$D$1000,$D741,'1_原始數據'!$C$2:$C$1000,"khp_mass_g")/('2_NaOH標定'!$C$5*$E741/1000))))</f>
        <v/>
      </c>
      <c r="K741" s="24">
        <f>IF($A741="","",IF($C741&lt;&gt;"manual_titration_mL","",IF(COUNTIFS('1_原始數據'!$A$2:$A$1000,$A741,'1_原始數據'!$C$2:$C$1000,"khp_titration_mL")=0,"",AVERAGEIFS('1_原始數據'!$J$2:$J$1000,'1_原始數據'!$A$2:$A$1000,$A741,'1_原始數據'!$C$2:$C$1000,"khp_titration_mL"))))</f>
        <v/>
      </c>
      <c r="L741" s="25">
        <f>IF($A741="","",IF($C741&lt;&gt;"manual_titration_mL","",IFERROR(INDEX('3_可滴定酸度'!$E$6:$E$13,MATCH($I741,'3_可滴定酸度'!$B$6:$B$13,0)),"")))</f>
        <v/>
      </c>
      <c r="M741" s="25">
        <f>IF($A741="","",IF($C741&lt;&gt;"manual_titration_mL","",IFERROR(INDEX('3_可滴定酸度'!$F$6:$F$13,MATCH($I741,'3_可滴定酸度'!$B$6:$B$13,0)),"")))</f>
        <v/>
      </c>
      <c r="N741" s="24">
        <f>IF($A741="","",IF(OR(K741="",L741="",M741=""),"",K741*E741*L741/(M741*1000)*100))</f>
        <v/>
      </c>
      <c r="O741" s="24">
        <f>IF($A741="","",IF(N741="","",IF(COUNTIFS('1_原始數據'!$A$2:$A$1000,$A741,'1_原始數據'!$B$2:$B$1000,$B741,'1_原始數據'!$D$2:$D$1000,$D741,'1_原始數據'!$I$2:$I$1000,$I741,'1_原始數據'!$C$2:$C$1000,"pasco_pct_acid")=0,"",SUMIFS('1_原始數據'!$E$2:$E$1000,'1_原始數據'!$A$2:$A$1000,$A741,'1_原始數據'!$B$2:$B$1000,$B741,'1_原始數據'!$D$2:$D$1000,$D741,'1_原始數據'!$I$2:$I$1000,$I741,'1_原始數據'!$C$2:$C$1000,"pasco_pct_acid"))))</f>
        <v/>
      </c>
      <c r="P741" s="26">
        <f>IF($A741="","",IF(OR(N741="",O741=""),"",O741-N741))</f>
        <v/>
      </c>
      <c r="Q741" s="24">
        <f>IF($A741="","",IF(P741="","",(O741+N741)/2))</f>
        <v/>
      </c>
      <c r="R741" s="27">
        <f>IF($A741="","",IF(P741="","",COUNT($P$2:P741)))</f>
        <v/>
      </c>
    </row>
    <row r="742">
      <c r="J742" s="24">
        <f>IF($A742="","",IF($C742&lt;&gt;"khp_titration_mL","",IF(COUNTIFS('1_原始數據'!$A$2:$A$1000,$A742,'1_原始數據'!$B$2:$B$1000,$B742,'1_原始數據'!$D$2:$D$1000,$D742,'1_原始數據'!$C$2:$C$1000,"khp_mass_g")=0,"",SUMIFS('1_原始數據'!$E$2:$E$1000,'1_原始數據'!$A$2:$A$1000,$A742,'1_原始數據'!$B$2:$B$1000,$B742,'1_原始數據'!$D$2:$D$1000,$D742,'1_原始數據'!$C$2:$C$1000,"khp_mass_g")/('2_NaOH標定'!$C$5*$E742/1000))))</f>
        <v/>
      </c>
      <c r="K742" s="24">
        <f>IF($A742="","",IF($C742&lt;&gt;"manual_titration_mL","",IF(COUNTIFS('1_原始數據'!$A$2:$A$1000,$A742,'1_原始數據'!$C$2:$C$1000,"khp_titration_mL")=0,"",AVERAGEIFS('1_原始數據'!$J$2:$J$1000,'1_原始數據'!$A$2:$A$1000,$A742,'1_原始數據'!$C$2:$C$1000,"khp_titration_mL"))))</f>
        <v/>
      </c>
      <c r="L742" s="25">
        <f>IF($A742="","",IF($C742&lt;&gt;"manual_titration_mL","",IFERROR(INDEX('3_可滴定酸度'!$E$6:$E$13,MATCH($I742,'3_可滴定酸度'!$B$6:$B$13,0)),"")))</f>
        <v/>
      </c>
      <c r="M742" s="25">
        <f>IF($A742="","",IF($C742&lt;&gt;"manual_titration_mL","",IFERROR(INDEX('3_可滴定酸度'!$F$6:$F$13,MATCH($I742,'3_可滴定酸度'!$B$6:$B$13,0)),"")))</f>
        <v/>
      </c>
      <c r="N742" s="24">
        <f>IF($A742="","",IF(OR(K742="",L742="",M742=""),"",K742*E742*L742/(M742*1000)*100))</f>
        <v/>
      </c>
      <c r="O742" s="24">
        <f>IF($A742="","",IF(N742="","",IF(COUNTIFS('1_原始數據'!$A$2:$A$1000,$A742,'1_原始數據'!$B$2:$B$1000,$B742,'1_原始數據'!$D$2:$D$1000,$D742,'1_原始數據'!$I$2:$I$1000,$I742,'1_原始數據'!$C$2:$C$1000,"pasco_pct_acid")=0,"",SUMIFS('1_原始數據'!$E$2:$E$1000,'1_原始數據'!$A$2:$A$1000,$A742,'1_原始數據'!$B$2:$B$1000,$B742,'1_原始數據'!$D$2:$D$1000,$D742,'1_原始數據'!$I$2:$I$1000,$I742,'1_原始數據'!$C$2:$C$1000,"pasco_pct_acid"))))</f>
        <v/>
      </c>
      <c r="P742" s="26">
        <f>IF($A742="","",IF(OR(N742="",O742=""),"",O742-N742))</f>
        <v/>
      </c>
      <c r="Q742" s="24">
        <f>IF($A742="","",IF(P742="","",(O742+N742)/2))</f>
        <v/>
      </c>
      <c r="R742" s="27">
        <f>IF($A742="","",IF(P742="","",COUNT($P$2:P742)))</f>
        <v/>
      </c>
    </row>
    <row r="743">
      <c r="J743" s="24">
        <f>IF($A743="","",IF($C743&lt;&gt;"khp_titration_mL","",IF(COUNTIFS('1_原始數據'!$A$2:$A$1000,$A743,'1_原始數據'!$B$2:$B$1000,$B743,'1_原始數據'!$D$2:$D$1000,$D743,'1_原始數據'!$C$2:$C$1000,"khp_mass_g")=0,"",SUMIFS('1_原始數據'!$E$2:$E$1000,'1_原始數據'!$A$2:$A$1000,$A743,'1_原始數據'!$B$2:$B$1000,$B743,'1_原始數據'!$D$2:$D$1000,$D743,'1_原始數據'!$C$2:$C$1000,"khp_mass_g")/('2_NaOH標定'!$C$5*$E743/1000))))</f>
        <v/>
      </c>
      <c r="K743" s="24">
        <f>IF($A743="","",IF($C743&lt;&gt;"manual_titration_mL","",IF(COUNTIFS('1_原始數據'!$A$2:$A$1000,$A743,'1_原始數據'!$C$2:$C$1000,"khp_titration_mL")=0,"",AVERAGEIFS('1_原始數據'!$J$2:$J$1000,'1_原始數據'!$A$2:$A$1000,$A743,'1_原始數據'!$C$2:$C$1000,"khp_titration_mL"))))</f>
        <v/>
      </c>
      <c r="L743" s="25">
        <f>IF($A743="","",IF($C743&lt;&gt;"manual_titration_mL","",IFERROR(INDEX('3_可滴定酸度'!$E$6:$E$13,MATCH($I743,'3_可滴定酸度'!$B$6:$B$13,0)),"")))</f>
        <v/>
      </c>
      <c r="M743" s="25">
        <f>IF($A743="","",IF($C743&lt;&gt;"manual_titration_mL","",IFERROR(INDEX('3_可滴定酸度'!$F$6:$F$13,MATCH($I743,'3_可滴定酸度'!$B$6:$B$13,0)),"")))</f>
        <v/>
      </c>
      <c r="N743" s="24">
        <f>IF($A743="","",IF(OR(K743="",L743="",M743=""),"",K743*E743*L743/(M743*1000)*100))</f>
        <v/>
      </c>
      <c r="O743" s="24">
        <f>IF($A743="","",IF(N743="","",IF(COUNTIFS('1_原始數據'!$A$2:$A$1000,$A743,'1_原始數據'!$B$2:$B$1000,$B743,'1_原始數據'!$D$2:$D$1000,$D743,'1_原始數據'!$I$2:$I$1000,$I743,'1_原始數據'!$C$2:$C$1000,"pasco_pct_acid")=0,"",SUMIFS('1_原始數據'!$E$2:$E$1000,'1_原始數據'!$A$2:$A$1000,$A743,'1_原始數據'!$B$2:$B$1000,$B743,'1_原始數據'!$D$2:$D$1000,$D743,'1_原始數據'!$I$2:$I$1000,$I743,'1_原始數據'!$C$2:$C$1000,"pasco_pct_acid"))))</f>
        <v/>
      </c>
      <c r="P743" s="26">
        <f>IF($A743="","",IF(OR(N743="",O743=""),"",O743-N743))</f>
        <v/>
      </c>
      <c r="Q743" s="24">
        <f>IF($A743="","",IF(P743="","",(O743+N743)/2))</f>
        <v/>
      </c>
      <c r="R743" s="27">
        <f>IF($A743="","",IF(P743="","",COUNT($P$2:P743)))</f>
        <v/>
      </c>
    </row>
    <row r="744">
      <c r="J744" s="24">
        <f>IF($A744="","",IF($C744&lt;&gt;"khp_titration_mL","",IF(COUNTIFS('1_原始數據'!$A$2:$A$1000,$A744,'1_原始數據'!$B$2:$B$1000,$B744,'1_原始數據'!$D$2:$D$1000,$D744,'1_原始數據'!$C$2:$C$1000,"khp_mass_g")=0,"",SUMIFS('1_原始數據'!$E$2:$E$1000,'1_原始數據'!$A$2:$A$1000,$A744,'1_原始數據'!$B$2:$B$1000,$B744,'1_原始數據'!$D$2:$D$1000,$D744,'1_原始數據'!$C$2:$C$1000,"khp_mass_g")/('2_NaOH標定'!$C$5*$E744/1000))))</f>
        <v/>
      </c>
      <c r="K744" s="24">
        <f>IF($A744="","",IF($C744&lt;&gt;"manual_titration_mL","",IF(COUNTIFS('1_原始數據'!$A$2:$A$1000,$A744,'1_原始數據'!$C$2:$C$1000,"khp_titration_mL")=0,"",AVERAGEIFS('1_原始數據'!$J$2:$J$1000,'1_原始數據'!$A$2:$A$1000,$A744,'1_原始數據'!$C$2:$C$1000,"khp_titration_mL"))))</f>
        <v/>
      </c>
      <c r="L744" s="25">
        <f>IF($A744="","",IF($C744&lt;&gt;"manual_titration_mL","",IFERROR(INDEX('3_可滴定酸度'!$E$6:$E$13,MATCH($I744,'3_可滴定酸度'!$B$6:$B$13,0)),"")))</f>
        <v/>
      </c>
      <c r="M744" s="25">
        <f>IF($A744="","",IF($C744&lt;&gt;"manual_titration_mL","",IFERROR(INDEX('3_可滴定酸度'!$F$6:$F$13,MATCH($I744,'3_可滴定酸度'!$B$6:$B$13,0)),"")))</f>
        <v/>
      </c>
      <c r="N744" s="24">
        <f>IF($A744="","",IF(OR(K744="",L744="",M744=""),"",K744*E744*L744/(M744*1000)*100))</f>
        <v/>
      </c>
      <c r="O744" s="24">
        <f>IF($A744="","",IF(N744="","",IF(COUNTIFS('1_原始數據'!$A$2:$A$1000,$A744,'1_原始數據'!$B$2:$B$1000,$B744,'1_原始數據'!$D$2:$D$1000,$D744,'1_原始數據'!$I$2:$I$1000,$I744,'1_原始數據'!$C$2:$C$1000,"pasco_pct_acid")=0,"",SUMIFS('1_原始數據'!$E$2:$E$1000,'1_原始數據'!$A$2:$A$1000,$A744,'1_原始數據'!$B$2:$B$1000,$B744,'1_原始數據'!$D$2:$D$1000,$D744,'1_原始數據'!$I$2:$I$1000,$I744,'1_原始數據'!$C$2:$C$1000,"pasco_pct_acid"))))</f>
        <v/>
      </c>
      <c r="P744" s="26">
        <f>IF($A744="","",IF(OR(N744="",O744=""),"",O744-N744))</f>
        <v/>
      </c>
      <c r="Q744" s="24">
        <f>IF($A744="","",IF(P744="","",(O744+N744)/2))</f>
        <v/>
      </c>
      <c r="R744" s="27">
        <f>IF($A744="","",IF(P744="","",COUNT($P$2:P744)))</f>
        <v/>
      </c>
    </row>
    <row r="745">
      <c r="J745" s="24">
        <f>IF($A745="","",IF($C745&lt;&gt;"khp_titration_mL","",IF(COUNTIFS('1_原始數據'!$A$2:$A$1000,$A745,'1_原始數據'!$B$2:$B$1000,$B745,'1_原始數據'!$D$2:$D$1000,$D745,'1_原始數據'!$C$2:$C$1000,"khp_mass_g")=0,"",SUMIFS('1_原始數據'!$E$2:$E$1000,'1_原始數據'!$A$2:$A$1000,$A745,'1_原始數據'!$B$2:$B$1000,$B745,'1_原始數據'!$D$2:$D$1000,$D745,'1_原始數據'!$C$2:$C$1000,"khp_mass_g")/('2_NaOH標定'!$C$5*$E745/1000))))</f>
        <v/>
      </c>
      <c r="K745" s="24">
        <f>IF($A745="","",IF($C745&lt;&gt;"manual_titration_mL","",IF(COUNTIFS('1_原始數據'!$A$2:$A$1000,$A745,'1_原始數據'!$C$2:$C$1000,"khp_titration_mL")=0,"",AVERAGEIFS('1_原始數據'!$J$2:$J$1000,'1_原始數據'!$A$2:$A$1000,$A745,'1_原始數據'!$C$2:$C$1000,"khp_titration_mL"))))</f>
        <v/>
      </c>
      <c r="L745" s="25">
        <f>IF($A745="","",IF($C745&lt;&gt;"manual_titration_mL","",IFERROR(INDEX('3_可滴定酸度'!$E$6:$E$13,MATCH($I745,'3_可滴定酸度'!$B$6:$B$13,0)),"")))</f>
        <v/>
      </c>
      <c r="M745" s="25">
        <f>IF($A745="","",IF($C745&lt;&gt;"manual_titration_mL","",IFERROR(INDEX('3_可滴定酸度'!$F$6:$F$13,MATCH($I745,'3_可滴定酸度'!$B$6:$B$13,0)),"")))</f>
        <v/>
      </c>
      <c r="N745" s="24">
        <f>IF($A745="","",IF(OR(K745="",L745="",M745=""),"",K745*E745*L745/(M745*1000)*100))</f>
        <v/>
      </c>
      <c r="O745" s="24">
        <f>IF($A745="","",IF(N745="","",IF(COUNTIFS('1_原始數據'!$A$2:$A$1000,$A745,'1_原始數據'!$B$2:$B$1000,$B745,'1_原始數據'!$D$2:$D$1000,$D745,'1_原始數據'!$I$2:$I$1000,$I745,'1_原始數據'!$C$2:$C$1000,"pasco_pct_acid")=0,"",SUMIFS('1_原始數據'!$E$2:$E$1000,'1_原始數據'!$A$2:$A$1000,$A745,'1_原始數據'!$B$2:$B$1000,$B745,'1_原始數據'!$D$2:$D$1000,$D745,'1_原始數據'!$I$2:$I$1000,$I745,'1_原始數據'!$C$2:$C$1000,"pasco_pct_acid"))))</f>
        <v/>
      </c>
      <c r="P745" s="26">
        <f>IF($A745="","",IF(OR(N745="",O745=""),"",O745-N745))</f>
        <v/>
      </c>
      <c r="Q745" s="24">
        <f>IF($A745="","",IF(P745="","",(O745+N745)/2))</f>
        <v/>
      </c>
      <c r="R745" s="27">
        <f>IF($A745="","",IF(P745="","",COUNT($P$2:P745)))</f>
        <v/>
      </c>
    </row>
    <row r="746">
      <c r="J746" s="24">
        <f>IF($A746="","",IF($C746&lt;&gt;"khp_titration_mL","",IF(COUNTIFS('1_原始數據'!$A$2:$A$1000,$A746,'1_原始數據'!$B$2:$B$1000,$B746,'1_原始數據'!$D$2:$D$1000,$D746,'1_原始數據'!$C$2:$C$1000,"khp_mass_g")=0,"",SUMIFS('1_原始數據'!$E$2:$E$1000,'1_原始數據'!$A$2:$A$1000,$A746,'1_原始數據'!$B$2:$B$1000,$B746,'1_原始數據'!$D$2:$D$1000,$D746,'1_原始數據'!$C$2:$C$1000,"khp_mass_g")/('2_NaOH標定'!$C$5*$E746/1000))))</f>
        <v/>
      </c>
      <c r="K746" s="24">
        <f>IF($A746="","",IF($C746&lt;&gt;"manual_titration_mL","",IF(COUNTIFS('1_原始數據'!$A$2:$A$1000,$A746,'1_原始數據'!$C$2:$C$1000,"khp_titration_mL")=0,"",AVERAGEIFS('1_原始數據'!$J$2:$J$1000,'1_原始數據'!$A$2:$A$1000,$A746,'1_原始數據'!$C$2:$C$1000,"khp_titration_mL"))))</f>
        <v/>
      </c>
      <c r="L746" s="25">
        <f>IF($A746="","",IF($C746&lt;&gt;"manual_titration_mL","",IFERROR(INDEX('3_可滴定酸度'!$E$6:$E$13,MATCH($I746,'3_可滴定酸度'!$B$6:$B$13,0)),"")))</f>
        <v/>
      </c>
      <c r="M746" s="25">
        <f>IF($A746="","",IF($C746&lt;&gt;"manual_titration_mL","",IFERROR(INDEX('3_可滴定酸度'!$F$6:$F$13,MATCH($I746,'3_可滴定酸度'!$B$6:$B$13,0)),"")))</f>
        <v/>
      </c>
      <c r="N746" s="24">
        <f>IF($A746="","",IF(OR(K746="",L746="",M746=""),"",K746*E746*L746/(M746*1000)*100))</f>
        <v/>
      </c>
      <c r="O746" s="24">
        <f>IF($A746="","",IF(N746="","",IF(COUNTIFS('1_原始數據'!$A$2:$A$1000,$A746,'1_原始數據'!$B$2:$B$1000,$B746,'1_原始數據'!$D$2:$D$1000,$D746,'1_原始數據'!$I$2:$I$1000,$I746,'1_原始數據'!$C$2:$C$1000,"pasco_pct_acid")=0,"",SUMIFS('1_原始數據'!$E$2:$E$1000,'1_原始數據'!$A$2:$A$1000,$A746,'1_原始數據'!$B$2:$B$1000,$B746,'1_原始數據'!$D$2:$D$1000,$D746,'1_原始數據'!$I$2:$I$1000,$I746,'1_原始數據'!$C$2:$C$1000,"pasco_pct_acid"))))</f>
        <v/>
      </c>
      <c r="P746" s="26">
        <f>IF($A746="","",IF(OR(N746="",O746=""),"",O746-N746))</f>
        <v/>
      </c>
      <c r="Q746" s="24">
        <f>IF($A746="","",IF(P746="","",(O746+N746)/2))</f>
        <v/>
      </c>
      <c r="R746" s="27">
        <f>IF($A746="","",IF(P746="","",COUNT($P$2:P746)))</f>
        <v/>
      </c>
    </row>
    <row r="747">
      <c r="J747" s="24">
        <f>IF($A747="","",IF($C747&lt;&gt;"khp_titration_mL","",IF(COUNTIFS('1_原始數據'!$A$2:$A$1000,$A747,'1_原始數據'!$B$2:$B$1000,$B747,'1_原始數據'!$D$2:$D$1000,$D747,'1_原始數據'!$C$2:$C$1000,"khp_mass_g")=0,"",SUMIFS('1_原始數據'!$E$2:$E$1000,'1_原始數據'!$A$2:$A$1000,$A747,'1_原始數據'!$B$2:$B$1000,$B747,'1_原始數據'!$D$2:$D$1000,$D747,'1_原始數據'!$C$2:$C$1000,"khp_mass_g")/('2_NaOH標定'!$C$5*$E747/1000))))</f>
        <v/>
      </c>
      <c r="K747" s="24">
        <f>IF($A747="","",IF($C747&lt;&gt;"manual_titration_mL","",IF(COUNTIFS('1_原始數據'!$A$2:$A$1000,$A747,'1_原始數據'!$C$2:$C$1000,"khp_titration_mL")=0,"",AVERAGEIFS('1_原始數據'!$J$2:$J$1000,'1_原始數據'!$A$2:$A$1000,$A747,'1_原始數據'!$C$2:$C$1000,"khp_titration_mL"))))</f>
        <v/>
      </c>
      <c r="L747" s="25">
        <f>IF($A747="","",IF($C747&lt;&gt;"manual_titration_mL","",IFERROR(INDEX('3_可滴定酸度'!$E$6:$E$13,MATCH($I747,'3_可滴定酸度'!$B$6:$B$13,0)),"")))</f>
        <v/>
      </c>
      <c r="M747" s="25">
        <f>IF($A747="","",IF($C747&lt;&gt;"manual_titration_mL","",IFERROR(INDEX('3_可滴定酸度'!$F$6:$F$13,MATCH($I747,'3_可滴定酸度'!$B$6:$B$13,0)),"")))</f>
        <v/>
      </c>
      <c r="N747" s="24">
        <f>IF($A747="","",IF(OR(K747="",L747="",M747=""),"",K747*E747*L747/(M747*1000)*100))</f>
        <v/>
      </c>
      <c r="O747" s="24">
        <f>IF($A747="","",IF(N747="","",IF(COUNTIFS('1_原始數據'!$A$2:$A$1000,$A747,'1_原始數據'!$B$2:$B$1000,$B747,'1_原始數據'!$D$2:$D$1000,$D747,'1_原始數據'!$I$2:$I$1000,$I747,'1_原始數據'!$C$2:$C$1000,"pasco_pct_acid")=0,"",SUMIFS('1_原始數據'!$E$2:$E$1000,'1_原始數據'!$A$2:$A$1000,$A747,'1_原始數據'!$B$2:$B$1000,$B747,'1_原始數據'!$D$2:$D$1000,$D747,'1_原始數據'!$I$2:$I$1000,$I747,'1_原始數據'!$C$2:$C$1000,"pasco_pct_acid"))))</f>
        <v/>
      </c>
      <c r="P747" s="26">
        <f>IF($A747="","",IF(OR(N747="",O747=""),"",O747-N747))</f>
        <v/>
      </c>
      <c r="Q747" s="24">
        <f>IF($A747="","",IF(P747="","",(O747+N747)/2))</f>
        <v/>
      </c>
      <c r="R747" s="27">
        <f>IF($A747="","",IF(P747="","",COUNT($P$2:P747)))</f>
        <v/>
      </c>
    </row>
    <row r="748">
      <c r="J748" s="24">
        <f>IF($A748="","",IF($C748&lt;&gt;"khp_titration_mL","",IF(COUNTIFS('1_原始數據'!$A$2:$A$1000,$A748,'1_原始數據'!$B$2:$B$1000,$B748,'1_原始數據'!$D$2:$D$1000,$D748,'1_原始數據'!$C$2:$C$1000,"khp_mass_g")=0,"",SUMIFS('1_原始數據'!$E$2:$E$1000,'1_原始數據'!$A$2:$A$1000,$A748,'1_原始數據'!$B$2:$B$1000,$B748,'1_原始數據'!$D$2:$D$1000,$D748,'1_原始數據'!$C$2:$C$1000,"khp_mass_g")/('2_NaOH標定'!$C$5*$E748/1000))))</f>
        <v/>
      </c>
      <c r="K748" s="24">
        <f>IF($A748="","",IF($C748&lt;&gt;"manual_titration_mL","",IF(COUNTIFS('1_原始數據'!$A$2:$A$1000,$A748,'1_原始數據'!$C$2:$C$1000,"khp_titration_mL")=0,"",AVERAGEIFS('1_原始數據'!$J$2:$J$1000,'1_原始數據'!$A$2:$A$1000,$A748,'1_原始數據'!$C$2:$C$1000,"khp_titration_mL"))))</f>
        <v/>
      </c>
      <c r="L748" s="25">
        <f>IF($A748="","",IF($C748&lt;&gt;"manual_titration_mL","",IFERROR(INDEX('3_可滴定酸度'!$E$6:$E$13,MATCH($I748,'3_可滴定酸度'!$B$6:$B$13,0)),"")))</f>
        <v/>
      </c>
      <c r="M748" s="25">
        <f>IF($A748="","",IF($C748&lt;&gt;"manual_titration_mL","",IFERROR(INDEX('3_可滴定酸度'!$F$6:$F$13,MATCH($I748,'3_可滴定酸度'!$B$6:$B$13,0)),"")))</f>
        <v/>
      </c>
      <c r="N748" s="24">
        <f>IF($A748="","",IF(OR(K748="",L748="",M748=""),"",K748*E748*L748/(M748*1000)*100))</f>
        <v/>
      </c>
      <c r="O748" s="24">
        <f>IF($A748="","",IF(N748="","",IF(COUNTIFS('1_原始數據'!$A$2:$A$1000,$A748,'1_原始數據'!$B$2:$B$1000,$B748,'1_原始數據'!$D$2:$D$1000,$D748,'1_原始數據'!$I$2:$I$1000,$I748,'1_原始數據'!$C$2:$C$1000,"pasco_pct_acid")=0,"",SUMIFS('1_原始數據'!$E$2:$E$1000,'1_原始數據'!$A$2:$A$1000,$A748,'1_原始數據'!$B$2:$B$1000,$B748,'1_原始數據'!$D$2:$D$1000,$D748,'1_原始數據'!$I$2:$I$1000,$I748,'1_原始數據'!$C$2:$C$1000,"pasco_pct_acid"))))</f>
        <v/>
      </c>
      <c r="P748" s="26">
        <f>IF($A748="","",IF(OR(N748="",O748=""),"",O748-N748))</f>
        <v/>
      </c>
      <c r="Q748" s="24">
        <f>IF($A748="","",IF(P748="","",(O748+N748)/2))</f>
        <v/>
      </c>
      <c r="R748" s="27">
        <f>IF($A748="","",IF(P748="","",COUNT($P$2:P748)))</f>
        <v/>
      </c>
    </row>
    <row r="749">
      <c r="J749" s="24">
        <f>IF($A749="","",IF($C749&lt;&gt;"khp_titration_mL","",IF(COUNTIFS('1_原始數據'!$A$2:$A$1000,$A749,'1_原始數據'!$B$2:$B$1000,$B749,'1_原始數據'!$D$2:$D$1000,$D749,'1_原始數據'!$C$2:$C$1000,"khp_mass_g")=0,"",SUMIFS('1_原始數據'!$E$2:$E$1000,'1_原始數據'!$A$2:$A$1000,$A749,'1_原始數據'!$B$2:$B$1000,$B749,'1_原始數據'!$D$2:$D$1000,$D749,'1_原始數據'!$C$2:$C$1000,"khp_mass_g")/('2_NaOH標定'!$C$5*$E749/1000))))</f>
        <v/>
      </c>
      <c r="K749" s="24">
        <f>IF($A749="","",IF($C749&lt;&gt;"manual_titration_mL","",IF(COUNTIFS('1_原始數據'!$A$2:$A$1000,$A749,'1_原始數據'!$C$2:$C$1000,"khp_titration_mL")=0,"",AVERAGEIFS('1_原始數據'!$J$2:$J$1000,'1_原始數據'!$A$2:$A$1000,$A749,'1_原始數據'!$C$2:$C$1000,"khp_titration_mL"))))</f>
        <v/>
      </c>
      <c r="L749" s="25">
        <f>IF($A749="","",IF($C749&lt;&gt;"manual_titration_mL","",IFERROR(INDEX('3_可滴定酸度'!$E$6:$E$13,MATCH($I749,'3_可滴定酸度'!$B$6:$B$13,0)),"")))</f>
        <v/>
      </c>
      <c r="M749" s="25">
        <f>IF($A749="","",IF($C749&lt;&gt;"manual_titration_mL","",IFERROR(INDEX('3_可滴定酸度'!$F$6:$F$13,MATCH($I749,'3_可滴定酸度'!$B$6:$B$13,0)),"")))</f>
        <v/>
      </c>
      <c r="N749" s="24">
        <f>IF($A749="","",IF(OR(K749="",L749="",M749=""),"",K749*E749*L749/(M749*1000)*100))</f>
        <v/>
      </c>
      <c r="O749" s="24">
        <f>IF($A749="","",IF(N749="","",IF(COUNTIFS('1_原始數據'!$A$2:$A$1000,$A749,'1_原始數據'!$B$2:$B$1000,$B749,'1_原始數據'!$D$2:$D$1000,$D749,'1_原始數據'!$I$2:$I$1000,$I749,'1_原始數據'!$C$2:$C$1000,"pasco_pct_acid")=0,"",SUMIFS('1_原始數據'!$E$2:$E$1000,'1_原始數據'!$A$2:$A$1000,$A749,'1_原始數據'!$B$2:$B$1000,$B749,'1_原始數據'!$D$2:$D$1000,$D749,'1_原始數據'!$I$2:$I$1000,$I749,'1_原始數據'!$C$2:$C$1000,"pasco_pct_acid"))))</f>
        <v/>
      </c>
      <c r="P749" s="26">
        <f>IF($A749="","",IF(OR(N749="",O749=""),"",O749-N749))</f>
        <v/>
      </c>
      <c r="Q749" s="24">
        <f>IF($A749="","",IF(P749="","",(O749+N749)/2))</f>
        <v/>
      </c>
      <c r="R749" s="27">
        <f>IF($A749="","",IF(P749="","",COUNT($P$2:P749)))</f>
        <v/>
      </c>
    </row>
    <row r="750">
      <c r="J750" s="24">
        <f>IF($A750="","",IF($C750&lt;&gt;"khp_titration_mL","",IF(COUNTIFS('1_原始數據'!$A$2:$A$1000,$A750,'1_原始數據'!$B$2:$B$1000,$B750,'1_原始數據'!$D$2:$D$1000,$D750,'1_原始數據'!$C$2:$C$1000,"khp_mass_g")=0,"",SUMIFS('1_原始數據'!$E$2:$E$1000,'1_原始數據'!$A$2:$A$1000,$A750,'1_原始數據'!$B$2:$B$1000,$B750,'1_原始數據'!$D$2:$D$1000,$D750,'1_原始數據'!$C$2:$C$1000,"khp_mass_g")/('2_NaOH標定'!$C$5*$E750/1000))))</f>
        <v/>
      </c>
      <c r="K750" s="24">
        <f>IF($A750="","",IF($C750&lt;&gt;"manual_titration_mL","",IF(COUNTIFS('1_原始數據'!$A$2:$A$1000,$A750,'1_原始數據'!$C$2:$C$1000,"khp_titration_mL")=0,"",AVERAGEIFS('1_原始數據'!$J$2:$J$1000,'1_原始數據'!$A$2:$A$1000,$A750,'1_原始數據'!$C$2:$C$1000,"khp_titration_mL"))))</f>
        <v/>
      </c>
      <c r="L750" s="25">
        <f>IF($A750="","",IF($C750&lt;&gt;"manual_titration_mL","",IFERROR(INDEX('3_可滴定酸度'!$E$6:$E$13,MATCH($I750,'3_可滴定酸度'!$B$6:$B$13,0)),"")))</f>
        <v/>
      </c>
      <c r="M750" s="25">
        <f>IF($A750="","",IF($C750&lt;&gt;"manual_titration_mL","",IFERROR(INDEX('3_可滴定酸度'!$F$6:$F$13,MATCH($I750,'3_可滴定酸度'!$B$6:$B$13,0)),"")))</f>
        <v/>
      </c>
      <c r="N750" s="24">
        <f>IF($A750="","",IF(OR(K750="",L750="",M750=""),"",K750*E750*L750/(M750*1000)*100))</f>
        <v/>
      </c>
      <c r="O750" s="24">
        <f>IF($A750="","",IF(N750="","",IF(COUNTIFS('1_原始數據'!$A$2:$A$1000,$A750,'1_原始數據'!$B$2:$B$1000,$B750,'1_原始數據'!$D$2:$D$1000,$D750,'1_原始數據'!$I$2:$I$1000,$I750,'1_原始數據'!$C$2:$C$1000,"pasco_pct_acid")=0,"",SUMIFS('1_原始數據'!$E$2:$E$1000,'1_原始數據'!$A$2:$A$1000,$A750,'1_原始數據'!$B$2:$B$1000,$B750,'1_原始數據'!$D$2:$D$1000,$D750,'1_原始數據'!$I$2:$I$1000,$I750,'1_原始數據'!$C$2:$C$1000,"pasco_pct_acid"))))</f>
        <v/>
      </c>
      <c r="P750" s="26">
        <f>IF($A750="","",IF(OR(N750="",O750=""),"",O750-N750))</f>
        <v/>
      </c>
      <c r="Q750" s="24">
        <f>IF($A750="","",IF(P750="","",(O750+N750)/2))</f>
        <v/>
      </c>
      <c r="R750" s="27">
        <f>IF($A750="","",IF(P750="","",COUNT($P$2:P750)))</f>
        <v/>
      </c>
    </row>
    <row r="751">
      <c r="J751" s="24">
        <f>IF($A751="","",IF($C751&lt;&gt;"khp_titration_mL","",IF(COUNTIFS('1_原始數據'!$A$2:$A$1000,$A751,'1_原始數據'!$B$2:$B$1000,$B751,'1_原始數據'!$D$2:$D$1000,$D751,'1_原始數據'!$C$2:$C$1000,"khp_mass_g")=0,"",SUMIFS('1_原始數據'!$E$2:$E$1000,'1_原始數據'!$A$2:$A$1000,$A751,'1_原始數據'!$B$2:$B$1000,$B751,'1_原始數據'!$D$2:$D$1000,$D751,'1_原始數據'!$C$2:$C$1000,"khp_mass_g")/('2_NaOH標定'!$C$5*$E751/1000))))</f>
        <v/>
      </c>
      <c r="K751" s="24">
        <f>IF($A751="","",IF($C751&lt;&gt;"manual_titration_mL","",IF(COUNTIFS('1_原始數據'!$A$2:$A$1000,$A751,'1_原始數據'!$C$2:$C$1000,"khp_titration_mL")=0,"",AVERAGEIFS('1_原始數據'!$J$2:$J$1000,'1_原始數據'!$A$2:$A$1000,$A751,'1_原始數據'!$C$2:$C$1000,"khp_titration_mL"))))</f>
        <v/>
      </c>
      <c r="L751" s="25">
        <f>IF($A751="","",IF($C751&lt;&gt;"manual_titration_mL","",IFERROR(INDEX('3_可滴定酸度'!$E$6:$E$13,MATCH($I751,'3_可滴定酸度'!$B$6:$B$13,0)),"")))</f>
        <v/>
      </c>
      <c r="M751" s="25">
        <f>IF($A751="","",IF($C751&lt;&gt;"manual_titration_mL","",IFERROR(INDEX('3_可滴定酸度'!$F$6:$F$13,MATCH($I751,'3_可滴定酸度'!$B$6:$B$13,0)),"")))</f>
        <v/>
      </c>
      <c r="N751" s="24">
        <f>IF($A751="","",IF(OR(K751="",L751="",M751=""),"",K751*E751*L751/(M751*1000)*100))</f>
        <v/>
      </c>
      <c r="O751" s="24">
        <f>IF($A751="","",IF(N751="","",IF(COUNTIFS('1_原始數據'!$A$2:$A$1000,$A751,'1_原始數據'!$B$2:$B$1000,$B751,'1_原始數據'!$D$2:$D$1000,$D751,'1_原始數據'!$I$2:$I$1000,$I751,'1_原始數據'!$C$2:$C$1000,"pasco_pct_acid")=0,"",SUMIFS('1_原始數據'!$E$2:$E$1000,'1_原始數據'!$A$2:$A$1000,$A751,'1_原始數據'!$B$2:$B$1000,$B751,'1_原始數據'!$D$2:$D$1000,$D751,'1_原始數據'!$I$2:$I$1000,$I751,'1_原始數據'!$C$2:$C$1000,"pasco_pct_acid"))))</f>
        <v/>
      </c>
      <c r="P751" s="26">
        <f>IF($A751="","",IF(OR(N751="",O751=""),"",O751-N751))</f>
        <v/>
      </c>
      <c r="Q751" s="24">
        <f>IF($A751="","",IF(P751="","",(O751+N751)/2))</f>
        <v/>
      </c>
      <c r="R751" s="27">
        <f>IF($A751="","",IF(P751="","",COUNT($P$2:P751)))</f>
        <v/>
      </c>
    </row>
    <row r="752">
      <c r="J752" s="24">
        <f>IF($A752="","",IF($C752&lt;&gt;"khp_titration_mL","",IF(COUNTIFS('1_原始數據'!$A$2:$A$1000,$A752,'1_原始數據'!$B$2:$B$1000,$B752,'1_原始數據'!$D$2:$D$1000,$D752,'1_原始數據'!$C$2:$C$1000,"khp_mass_g")=0,"",SUMIFS('1_原始數據'!$E$2:$E$1000,'1_原始數據'!$A$2:$A$1000,$A752,'1_原始數據'!$B$2:$B$1000,$B752,'1_原始數據'!$D$2:$D$1000,$D752,'1_原始數據'!$C$2:$C$1000,"khp_mass_g")/('2_NaOH標定'!$C$5*$E752/1000))))</f>
        <v/>
      </c>
      <c r="K752" s="24">
        <f>IF($A752="","",IF($C752&lt;&gt;"manual_titration_mL","",IF(COUNTIFS('1_原始數據'!$A$2:$A$1000,$A752,'1_原始數據'!$C$2:$C$1000,"khp_titration_mL")=0,"",AVERAGEIFS('1_原始數據'!$J$2:$J$1000,'1_原始數據'!$A$2:$A$1000,$A752,'1_原始數據'!$C$2:$C$1000,"khp_titration_mL"))))</f>
        <v/>
      </c>
      <c r="L752" s="25">
        <f>IF($A752="","",IF($C752&lt;&gt;"manual_titration_mL","",IFERROR(INDEX('3_可滴定酸度'!$E$6:$E$13,MATCH($I752,'3_可滴定酸度'!$B$6:$B$13,0)),"")))</f>
        <v/>
      </c>
      <c r="M752" s="25">
        <f>IF($A752="","",IF($C752&lt;&gt;"manual_titration_mL","",IFERROR(INDEX('3_可滴定酸度'!$F$6:$F$13,MATCH($I752,'3_可滴定酸度'!$B$6:$B$13,0)),"")))</f>
        <v/>
      </c>
      <c r="N752" s="24">
        <f>IF($A752="","",IF(OR(K752="",L752="",M752=""),"",K752*E752*L752/(M752*1000)*100))</f>
        <v/>
      </c>
      <c r="O752" s="24">
        <f>IF($A752="","",IF(N752="","",IF(COUNTIFS('1_原始數據'!$A$2:$A$1000,$A752,'1_原始數據'!$B$2:$B$1000,$B752,'1_原始數據'!$D$2:$D$1000,$D752,'1_原始數據'!$I$2:$I$1000,$I752,'1_原始數據'!$C$2:$C$1000,"pasco_pct_acid")=0,"",SUMIFS('1_原始數據'!$E$2:$E$1000,'1_原始數據'!$A$2:$A$1000,$A752,'1_原始數據'!$B$2:$B$1000,$B752,'1_原始數據'!$D$2:$D$1000,$D752,'1_原始數據'!$I$2:$I$1000,$I752,'1_原始數據'!$C$2:$C$1000,"pasco_pct_acid"))))</f>
        <v/>
      </c>
      <c r="P752" s="26">
        <f>IF($A752="","",IF(OR(N752="",O752=""),"",O752-N752))</f>
        <v/>
      </c>
      <c r="Q752" s="24">
        <f>IF($A752="","",IF(P752="","",(O752+N752)/2))</f>
        <v/>
      </c>
      <c r="R752" s="27">
        <f>IF($A752="","",IF(P752="","",COUNT($P$2:P752)))</f>
        <v/>
      </c>
    </row>
    <row r="753">
      <c r="J753" s="24">
        <f>IF($A753="","",IF($C753&lt;&gt;"khp_titration_mL","",IF(COUNTIFS('1_原始數據'!$A$2:$A$1000,$A753,'1_原始數據'!$B$2:$B$1000,$B753,'1_原始數據'!$D$2:$D$1000,$D753,'1_原始數據'!$C$2:$C$1000,"khp_mass_g")=0,"",SUMIFS('1_原始數據'!$E$2:$E$1000,'1_原始數據'!$A$2:$A$1000,$A753,'1_原始數據'!$B$2:$B$1000,$B753,'1_原始數據'!$D$2:$D$1000,$D753,'1_原始數據'!$C$2:$C$1000,"khp_mass_g")/('2_NaOH標定'!$C$5*$E753/1000))))</f>
        <v/>
      </c>
      <c r="K753" s="24">
        <f>IF($A753="","",IF($C753&lt;&gt;"manual_titration_mL","",IF(COUNTIFS('1_原始數據'!$A$2:$A$1000,$A753,'1_原始數據'!$C$2:$C$1000,"khp_titration_mL")=0,"",AVERAGEIFS('1_原始數據'!$J$2:$J$1000,'1_原始數據'!$A$2:$A$1000,$A753,'1_原始數據'!$C$2:$C$1000,"khp_titration_mL"))))</f>
        <v/>
      </c>
      <c r="L753" s="25">
        <f>IF($A753="","",IF($C753&lt;&gt;"manual_titration_mL","",IFERROR(INDEX('3_可滴定酸度'!$E$6:$E$13,MATCH($I753,'3_可滴定酸度'!$B$6:$B$13,0)),"")))</f>
        <v/>
      </c>
      <c r="M753" s="25">
        <f>IF($A753="","",IF($C753&lt;&gt;"manual_titration_mL","",IFERROR(INDEX('3_可滴定酸度'!$F$6:$F$13,MATCH($I753,'3_可滴定酸度'!$B$6:$B$13,0)),"")))</f>
        <v/>
      </c>
      <c r="N753" s="24">
        <f>IF($A753="","",IF(OR(K753="",L753="",M753=""),"",K753*E753*L753/(M753*1000)*100))</f>
        <v/>
      </c>
      <c r="O753" s="24">
        <f>IF($A753="","",IF(N753="","",IF(COUNTIFS('1_原始數據'!$A$2:$A$1000,$A753,'1_原始數據'!$B$2:$B$1000,$B753,'1_原始數據'!$D$2:$D$1000,$D753,'1_原始數據'!$I$2:$I$1000,$I753,'1_原始數據'!$C$2:$C$1000,"pasco_pct_acid")=0,"",SUMIFS('1_原始數據'!$E$2:$E$1000,'1_原始數據'!$A$2:$A$1000,$A753,'1_原始數據'!$B$2:$B$1000,$B753,'1_原始數據'!$D$2:$D$1000,$D753,'1_原始數據'!$I$2:$I$1000,$I753,'1_原始數據'!$C$2:$C$1000,"pasco_pct_acid"))))</f>
        <v/>
      </c>
      <c r="P753" s="26">
        <f>IF($A753="","",IF(OR(N753="",O753=""),"",O753-N753))</f>
        <v/>
      </c>
      <c r="Q753" s="24">
        <f>IF($A753="","",IF(P753="","",(O753+N753)/2))</f>
        <v/>
      </c>
      <c r="R753" s="27">
        <f>IF($A753="","",IF(P753="","",COUNT($P$2:P753)))</f>
        <v/>
      </c>
    </row>
    <row r="754">
      <c r="J754" s="24">
        <f>IF($A754="","",IF($C754&lt;&gt;"khp_titration_mL","",IF(COUNTIFS('1_原始數據'!$A$2:$A$1000,$A754,'1_原始數據'!$B$2:$B$1000,$B754,'1_原始數據'!$D$2:$D$1000,$D754,'1_原始數據'!$C$2:$C$1000,"khp_mass_g")=0,"",SUMIFS('1_原始數據'!$E$2:$E$1000,'1_原始數據'!$A$2:$A$1000,$A754,'1_原始數據'!$B$2:$B$1000,$B754,'1_原始數據'!$D$2:$D$1000,$D754,'1_原始數據'!$C$2:$C$1000,"khp_mass_g")/('2_NaOH標定'!$C$5*$E754/1000))))</f>
        <v/>
      </c>
      <c r="K754" s="24">
        <f>IF($A754="","",IF($C754&lt;&gt;"manual_titration_mL","",IF(COUNTIFS('1_原始數據'!$A$2:$A$1000,$A754,'1_原始數據'!$C$2:$C$1000,"khp_titration_mL")=0,"",AVERAGEIFS('1_原始數據'!$J$2:$J$1000,'1_原始數據'!$A$2:$A$1000,$A754,'1_原始數據'!$C$2:$C$1000,"khp_titration_mL"))))</f>
        <v/>
      </c>
      <c r="L754" s="25">
        <f>IF($A754="","",IF($C754&lt;&gt;"manual_titration_mL","",IFERROR(INDEX('3_可滴定酸度'!$E$6:$E$13,MATCH($I754,'3_可滴定酸度'!$B$6:$B$13,0)),"")))</f>
        <v/>
      </c>
      <c r="M754" s="25">
        <f>IF($A754="","",IF($C754&lt;&gt;"manual_titration_mL","",IFERROR(INDEX('3_可滴定酸度'!$F$6:$F$13,MATCH($I754,'3_可滴定酸度'!$B$6:$B$13,0)),"")))</f>
        <v/>
      </c>
      <c r="N754" s="24">
        <f>IF($A754="","",IF(OR(K754="",L754="",M754=""),"",K754*E754*L754/(M754*1000)*100))</f>
        <v/>
      </c>
      <c r="O754" s="24">
        <f>IF($A754="","",IF(N754="","",IF(COUNTIFS('1_原始數據'!$A$2:$A$1000,$A754,'1_原始數據'!$B$2:$B$1000,$B754,'1_原始數據'!$D$2:$D$1000,$D754,'1_原始數據'!$I$2:$I$1000,$I754,'1_原始數據'!$C$2:$C$1000,"pasco_pct_acid")=0,"",SUMIFS('1_原始數據'!$E$2:$E$1000,'1_原始數據'!$A$2:$A$1000,$A754,'1_原始數據'!$B$2:$B$1000,$B754,'1_原始數據'!$D$2:$D$1000,$D754,'1_原始數據'!$I$2:$I$1000,$I754,'1_原始數據'!$C$2:$C$1000,"pasco_pct_acid"))))</f>
        <v/>
      </c>
      <c r="P754" s="26">
        <f>IF($A754="","",IF(OR(N754="",O754=""),"",O754-N754))</f>
        <v/>
      </c>
      <c r="Q754" s="24">
        <f>IF($A754="","",IF(P754="","",(O754+N754)/2))</f>
        <v/>
      </c>
      <c r="R754" s="27">
        <f>IF($A754="","",IF(P754="","",COUNT($P$2:P754)))</f>
        <v/>
      </c>
    </row>
    <row r="755">
      <c r="J755" s="24">
        <f>IF($A755="","",IF($C755&lt;&gt;"khp_titration_mL","",IF(COUNTIFS('1_原始數據'!$A$2:$A$1000,$A755,'1_原始數據'!$B$2:$B$1000,$B755,'1_原始數據'!$D$2:$D$1000,$D755,'1_原始數據'!$C$2:$C$1000,"khp_mass_g")=0,"",SUMIFS('1_原始數據'!$E$2:$E$1000,'1_原始數據'!$A$2:$A$1000,$A755,'1_原始數據'!$B$2:$B$1000,$B755,'1_原始數據'!$D$2:$D$1000,$D755,'1_原始數據'!$C$2:$C$1000,"khp_mass_g")/('2_NaOH標定'!$C$5*$E755/1000))))</f>
        <v/>
      </c>
      <c r="K755" s="24">
        <f>IF($A755="","",IF($C755&lt;&gt;"manual_titration_mL","",IF(COUNTIFS('1_原始數據'!$A$2:$A$1000,$A755,'1_原始數據'!$C$2:$C$1000,"khp_titration_mL")=0,"",AVERAGEIFS('1_原始數據'!$J$2:$J$1000,'1_原始數據'!$A$2:$A$1000,$A755,'1_原始數據'!$C$2:$C$1000,"khp_titration_mL"))))</f>
        <v/>
      </c>
      <c r="L755" s="25">
        <f>IF($A755="","",IF($C755&lt;&gt;"manual_titration_mL","",IFERROR(INDEX('3_可滴定酸度'!$E$6:$E$13,MATCH($I755,'3_可滴定酸度'!$B$6:$B$13,0)),"")))</f>
        <v/>
      </c>
      <c r="M755" s="25">
        <f>IF($A755="","",IF($C755&lt;&gt;"manual_titration_mL","",IFERROR(INDEX('3_可滴定酸度'!$F$6:$F$13,MATCH($I755,'3_可滴定酸度'!$B$6:$B$13,0)),"")))</f>
        <v/>
      </c>
      <c r="N755" s="24">
        <f>IF($A755="","",IF(OR(K755="",L755="",M755=""),"",K755*E755*L755/(M755*1000)*100))</f>
        <v/>
      </c>
      <c r="O755" s="24">
        <f>IF($A755="","",IF(N755="","",IF(COUNTIFS('1_原始數據'!$A$2:$A$1000,$A755,'1_原始數據'!$B$2:$B$1000,$B755,'1_原始數據'!$D$2:$D$1000,$D755,'1_原始數據'!$I$2:$I$1000,$I755,'1_原始數據'!$C$2:$C$1000,"pasco_pct_acid")=0,"",SUMIFS('1_原始數據'!$E$2:$E$1000,'1_原始數據'!$A$2:$A$1000,$A755,'1_原始數據'!$B$2:$B$1000,$B755,'1_原始數據'!$D$2:$D$1000,$D755,'1_原始數據'!$I$2:$I$1000,$I755,'1_原始數據'!$C$2:$C$1000,"pasco_pct_acid"))))</f>
        <v/>
      </c>
      <c r="P755" s="26">
        <f>IF($A755="","",IF(OR(N755="",O755=""),"",O755-N755))</f>
        <v/>
      </c>
      <c r="Q755" s="24">
        <f>IF($A755="","",IF(P755="","",(O755+N755)/2))</f>
        <v/>
      </c>
      <c r="R755" s="27">
        <f>IF($A755="","",IF(P755="","",COUNT($P$2:P755)))</f>
        <v/>
      </c>
    </row>
    <row r="756">
      <c r="J756" s="24">
        <f>IF($A756="","",IF($C756&lt;&gt;"khp_titration_mL","",IF(COUNTIFS('1_原始數據'!$A$2:$A$1000,$A756,'1_原始數據'!$B$2:$B$1000,$B756,'1_原始數據'!$D$2:$D$1000,$D756,'1_原始數據'!$C$2:$C$1000,"khp_mass_g")=0,"",SUMIFS('1_原始數據'!$E$2:$E$1000,'1_原始數據'!$A$2:$A$1000,$A756,'1_原始數據'!$B$2:$B$1000,$B756,'1_原始數據'!$D$2:$D$1000,$D756,'1_原始數據'!$C$2:$C$1000,"khp_mass_g")/('2_NaOH標定'!$C$5*$E756/1000))))</f>
        <v/>
      </c>
      <c r="K756" s="24">
        <f>IF($A756="","",IF($C756&lt;&gt;"manual_titration_mL","",IF(COUNTIFS('1_原始數據'!$A$2:$A$1000,$A756,'1_原始數據'!$C$2:$C$1000,"khp_titration_mL")=0,"",AVERAGEIFS('1_原始數據'!$J$2:$J$1000,'1_原始數據'!$A$2:$A$1000,$A756,'1_原始數據'!$C$2:$C$1000,"khp_titration_mL"))))</f>
        <v/>
      </c>
      <c r="L756" s="25">
        <f>IF($A756="","",IF($C756&lt;&gt;"manual_titration_mL","",IFERROR(INDEX('3_可滴定酸度'!$E$6:$E$13,MATCH($I756,'3_可滴定酸度'!$B$6:$B$13,0)),"")))</f>
        <v/>
      </c>
      <c r="M756" s="25">
        <f>IF($A756="","",IF($C756&lt;&gt;"manual_titration_mL","",IFERROR(INDEX('3_可滴定酸度'!$F$6:$F$13,MATCH($I756,'3_可滴定酸度'!$B$6:$B$13,0)),"")))</f>
        <v/>
      </c>
      <c r="N756" s="24">
        <f>IF($A756="","",IF(OR(K756="",L756="",M756=""),"",K756*E756*L756/(M756*1000)*100))</f>
        <v/>
      </c>
      <c r="O756" s="24">
        <f>IF($A756="","",IF(N756="","",IF(COUNTIFS('1_原始數據'!$A$2:$A$1000,$A756,'1_原始數據'!$B$2:$B$1000,$B756,'1_原始數據'!$D$2:$D$1000,$D756,'1_原始數據'!$I$2:$I$1000,$I756,'1_原始數據'!$C$2:$C$1000,"pasco_pct_acid")=0,"",SUMIFS('1_原始數據'!$E$2:$E$1000,'1_原始數據'!$A$2:$A$1000,$A756,'1_原始數據'!$B$2:$B$1000,$B756,'1_原始數據'!$D$2:$D$1000,$D756,'1_原始數據'!$I$2:$I$1000,$I756,'1_原始數據'!$C$2:$C$1000,"pasco_pct_acid"))))</f>
        <v/>
      </c>
      <c r="P756" s="26">
        <f>IF($A756="","",IF(OR(N756="",O756=""),"",O756-N756))</f>
        <v/>
      </c>
      <c r="Q756" s="24">
        <f>IF($A756="","",IF(P756="","",(O756+N756)/2))</f>
        <v/>
      </c>
      <c r="R756" s="27">
        <f>IF($A756="","",IF(P756="","",COUNT($P$2:P756)))</f>
        <v/>
      </c>
    </row>
    <row r="757">
      <c r="J757" s="24">
        <f>IF($A757="","",IF($C757&lt;&gt;"khp_titration_mL","",IF(COUNTIFS('1_原始數據'!$A$2:$A$1000,$A757,'1_原始數據'!$B$2:$B$1000,$B757,'1_原始數據'!$D$2:$D$1000,$D757,'1_原始數據'!$C$2:$C$1000,"khp_mass_g")=0,"",SUMIFS('1_原始數據'!$E$2:$E$1000,'1_原始數據'!$A$2:$A$1000,$A757,'1_原始數據'!$B$2:$B$1000,$B757,'1_原始數據'!$D$2:$D$1000,$D757,'1_原始數據'!$C$2:$C$1000,"khp_mass_g")/('2_NaOH標定'!$C$5*$E757/1000))))</f>
        <v/>
      </c>
      <c r="K757" s="24">
        <f>IF($A757="","",IF($C757&lt;&gt;"manual_titration_mL","",IF(COUNTIFS('1_原始數據'!$A$2:$A$1000,$A757,'1_原始數據'!$C$2:$C$1000,"khp_titration_mL")=0,"",AVERAGEIFS('1_原始數據'!$J$2:$J$1000,'1_原始數據'!$A$2:$A$1000,$A757,'1_原始數據'!$C$2:$C$1000,"khp_titration_mL"))))</f>
        <v/>
      </c>
      <c r="L757" s="25">
        <f>IF($A757="","",IF($C757&lt;&gt;"manual_titration_mL","",IFERROR(INDEX('3_可滴定酸度'!$E$6:$E$13,MATCH($I757,'3_可滴定酸度'!$B$6:$B$13,0)),"")))</f>
        <v/>
      </c>
      <c r="M757" s="25">
        <f>IF($A757="","",IF($C757&lt;&gt;"manual_titration_mL","",IFERROR(INDEX('3_可滴定酸度'!$F$6:$F$13,MATCH($I757,'3_可滴定酸度'!$B$6:$B$13,0)),"")))</f>
        <v/>
      </c>
      <c r="N757" s="24">
        <f>IF($A757="","",IF(OR(K757="",L757="",M757=""),"",K757*E757*L757/(M757*1000)*100))</f>
        <v/>
      </c>
      <c r="O757" s="24">
        <f>IF($A757="","",IF(N757="","",IF(COUNTIFS('1_原始數據'!$A$2:$A$1000,$A757,'1_原始數據'!$B$2:$B$1000,$B757,'1_原始數據'!$D$2:$D$1000,$D757,'1_原始數據'!$I$2:$I$1000,$I757,'1_原始數據'!$C$2:$C$1000,"pasco_pct_acid")=0,"",SUMIFS('1_原始數據'!$E$2:$E$1000,'1_原始數據'!$A$2:$A$1000,$A757,'1_原始數據'!$B$2:$B$1000,$B757,'1_原始數據'!$D$2:$D$1000,$D757,'1_原始數據'!$I$2:$I$1000,$I757,'1_原始數據'!$C$2:$C$1000,"pasco_pct_acid"))))</f>
        <v/>
      </c>
      <c r="P757" s="26">
        <f>IF($A757="","",IF(OR(N757="",O757=""),"",O757-N757))</f>
        <v/>
      </c>
      <c r="Q757" s="24">
        <f>IF($A757="","",IF(P757="","",(O757+N757)/2))</f>
        <v/>
      </c>
      <c r="R757" s="27">
        <f>IF($A757="","",IF(P757="","",COUNT($P$2:P757)))</f>
        <v/>
      </c>
    </row>
    <row r="758">
      <c r="J758" s="24">
        <f>IF($A758="","",IF($C758&lt;&gt;"khp_titration_mL","",IF(COUNTIFS('1_原始數據'!$A$2:$A$1000,$A758,'1_原始數據'!$B$2:$B$1000,$B758,'1_原始數據'!$D$2:$D$1000,$D758,'1_原始數據'!$C$2:$C$1000,"khp_mass_g")=0,"",SUMIFS('1_原始數據'!$E$2:$E$1000,'1_原始數據'!$A$2:$A$1000,$A758,'1_原始數據'!$B$2:$B$1000,$B758,'1_原始數據'!$D$2:$D$1000,$D758,'1_原始數據'!$C$2:$C$1000,"khp_mass_g")/('2_NaOH標定'!$C$5*$E758/1000))))</f>
        <v/>
      </c>
      <c r="K758" s="24">
        <f>IF($A758="","",IF($C758&lt;&gt;"manual_titration_mL","",IF(COUNTIFS('1_原始數據'!$A$2:$A$1000,$A758,'1_原始數據'!$C$2:$C$1000,"khp_titration_mL")=0,"",AVERAGEIFS('1_原始數據'!$J$2:$J$1000,'1_原始數據'!$A$2:$A$1000,$A758,'1_原始數據'!$C$2:$C$1000,"khp_titration_mL"))))</f>
        <v/>
      </c>
      <c r="L758" s="25">
        <f>IF($A758="","",IF($C758&lt;&gt;"manual_titration_mL","",IFERROR(INDEX('3_可滴定酸度'!$E$6:$E$13,MATCH($I758,'3_可滴定酸度'!$B$6:$B$13,0)),"")))</f>
        <v/>
      </c>
      <c r="M758" s="25">
        <f>IF($A758="","",IF($C758&lt;&gt;"manual_titration_mL","",IFERROR(INDEX('3_可滴定酸度'!$F$6:$F$13,MATCH($I758,'3_可滴定酸度'!$B$6:$B$13,0)),"")))</f>
        <v/>
      </c>
      <c r="N758" s="24">
        <f>IF($A758="","",IF(OR(K758="",L758="",M758=""),"",K758*E758*L758/(M758*1000)*100))</f>
        <v/>
      </c>
      <c r="O758" s="24">
        <f>IF($A758="","",IF(N758="","",IF(COUNTIFS('1_原始數據'!$A$2:$A$1000,$A758,'1_原始數據'!$B$2:$B$1000,$B758,'1_原始數據'!$D$2:$D$1000,$D758,'1_原始數據'!$I$2:$I$1000,$I758,'1_原始數據'!$C$2:$C$1000,"pasco_pct_acid")=0,"",SUMIFS('1_原始數據'!$E$2:$E$1000,'1_原始數據'!$A$2:$A$1000,$A758,'1_原始數據'!$B$2:$B$1000,$B758,'1_原始數據'!$D$2:$D$1000,$D758,'1_原始數據'!$I$2:$I$1000,$I758,'1_原始數據'!$C$2:$C$1000,"pasco_pct_acid"))))</f>
        <v/>
      </c>
      <c r="P758" s="26">
        <f>IF($A758="","",IF(OR(N758="",O758=""),"",O758-N758))</f>
        <v/>
      </c>
      <c r="Q758" s="24">
        <f>IF($A758="","",IF(P758="","",(O758+N758)/2))</f>
        <v/>
      </c>
      <c r="R758" s="27">
        <f>IF($A758="","",IF(P758="","",COUNT($P$2:P758)))</f>
        <v/>
      </c>
    </row>
    <row r="759">
      <c r="J759" s="24">
        <f>IF($A759="","",IF($C759&lt;&gt;"khp_titration_mL","",IF(COUNTIFS('1_原始數據'!$A$2:$A$1000,$A759,'1_原始數據'!$B$2:$B$1000,$B759,'1_原始數據'!$D$2:$D$1000,$D759,'1_原始數據'!$C$2:$C$1000,"khp_mass_g")=0,"",SUMIFS('1_原始數據'!$E$2:$E$1000,'1_原始數據'!$A$2:$A$1000,$A759,'1_原始數據'!$B$2:$B$1000,$B759,'1_原始數據'!$D$2:$D$1000,$D759,'1_原始數據'!$C$2:$C$1000,"khp_mass_g")/('2_NaOH標定'!$C$5*$E759/1000))))</f>
        <v/>
      </c>
      <c r="K759" s="24">
        <f>IF($A759="","",IF($C759&lt;&gt;"manual_titration_mL","",IF(COUNTIFS('1_原始數據'!$A$2:$A$1000,$A759,'1_原始數據'!$C$2:$C$1000,"khp_titration_mL")=0,"",AVERAGEIFS('1_原始數據'!$J$2:$J$1000,'1_原始數據'!$A$2:$A$1000,$A759,'1_原始數據'!$C$2:$C$1000,"khp_titration_mL"))))</f>
        <v/>
      </c>
      <c r="L759" s="25">
        <f>IF($A759="","",IF($C759&lt;&gt;"manual_titration_mL","",IFERROR(INDEX('3_可滴定酸度'!$E$6:$E$13,MATCH($I759,'3_可滴定酸度'!$B$6:$B$13,0)),"")))</f>
        <v/>
      </c>
      <c r="M759" s="25">
        <f>IF($A759="","",IF($C759&lt;&gt;"manual_titration_mL","",IFERROR(INDEX('3_可滴定酸度'!$F$6:$F$13,MATCH($I759,'3_可滴定酸度'!$B$6:$B$13,0)),"")))</f>
        <v/>
      </c>
      <c r="N759" s="24">
        <f>IF($A759="","",IF(OR(K759="",L759="",M759=""),"",K759*E759*L759/(M759*1000)*100))</f>
        <v/>
      </c>
      <c r="O759" s="24">
        <f>IF($A759="","",IF(N759="","",IF(COUNTIFS('1_原始數據'!$A$2:$A$1000,$A759,'1_原始數據'!$B$2:$B$1000,$B759,'1_原始數據'!$D$2:$D$1000,$D759,'1_原始數據'!$I$2:$I$1000,$I759,'1_原始數據'!$C$2:$C$1000,"pasco_pct_acid")=0,"",SUMIFS('1_原始數據'!$E$2:$E$1000,'1_原始數據'!$A$2:$A$1000,$A759,'1_原始數據'!$B$2:$B$1000,$B759,'1_原始數據'!$D$2:$D$1000,$D759,'1_原始數據'!$I$2:$I$1000,$I759,'1_原始數據'!$C$2:$C$1000,"pasco_pct_acid"))))</f>
        <v/>
      </c>
      <c r="P759" s="26">
        <f>IF($A759="","",IF(OR(N759="",O759=""),"",O759-N759))</f>
        <v/>
      </c>
      <c r="Q759" s="24">
        <f>IF($A759="","",IF(P759="","",(O759+N759)/2))</f>
        <v/>
      </c>
      <c r="R759" s="27">
        <f>IF($A759="","",IF(P759="","",COUNT($P$2:P759)))</f>
        <v/>
      </c>
    </row>
    <row r="760">
      <c r="J760" s="24">
        <f>IF($A760="","",IF($C760&lt;&gt;"khp_titration_mL","",IF(COUNTIFS('1_原始數據'!$A$2:$A$1000,$A760,'1_原始數據'!$B$2:$B$1000,$B760,'1_原始數據'!$D$2:$D$1000,$D760,'1_原始數據'!$C$2:$C$1000,"khp_mass_g")=0,"",SUMIFS('1_原始數據'!$E$2:$E$1000,'1_原始數據'!$A$2:$A$1000,$A760,'1_原始數據'!$B$2:$B$1000,$B760,'1_原始數據'!$D$2:$D$1000,$D760,'1_原始數據'!$C$2:$C$1000,"khp_mass_g")/('2_NaOH標定'!$C$5*$E760/1000))))</f>
        <v/>
      </c>
      <c r="K760" s="24">
        <f>IF($A760="","",IF($C760&lt;&gt;"manual_titration_mL","",IF(COUNTIFS('1_原始數據'!$A$2:$A$1000,$A760,'1_原始數據'!$C$2:$C$1000,"khp_titration_mL")=0,"",AVERAGEIFS('1_原始數據'!$J$2:$J$1000,'1_原始數據'!$A$2:$A$1000,$A760,'1_原始數據'!$C$2:$C$1000,"khp_titration_mL"))))</f>
        <v/>
      </c>
      <c r="L760" s="25">
        <f>IF($A760="","",IF($C760&lt;&gt;"manual_titration_mL","",IFERROR(INDEX('3_可滴定酸度'!$E$6:$E$13,MATCH($I760,'3_可滴定酸度'!$B$6:$B$13,0)),"")))</f>
        <v/>
      </c>
      <c r="M760" s="25">
        <f>IF($A760="","",IF($C760&lt;&gt;"manual_titration_mL","",IFERROR(INDEX('3_可滴定酸度'!$F$6:$F$13,MATCH($I760,'3_可滴定酸度'!$B$6:$B$13,0)),"")))</f>
        <v/>
      </c>
      <c r="N760" s="24">
        <f>IF($A760="","",IF(OR(K760="",L760="",M760=""),"",K760*E760*L760/(M760*1000)*100))</f>
        <v/>
      </c>
      <c r="O760" s="24">
        <f>IF($A760="","",IF(N760="","",IF(COUNTIFS('1_原始數據'!$A$2:$A$1000,$A760,'1_原始數據'!$B$2:$B$1000,$B760,'1_原始數據'!$D$2:$D$1000,$D760,'1_原始數據'!$I$2:$I$1000,$I760,'1_原始數據'!$C$2:$C$1000,"pasco_pct_acid")=0,"",SUMIFS('1_原始數據'!$E$2:$E$1000,'1_原始數據'!$A$2:$A$1000,$A760,'1_原始數據'!$B$2:$B$1000,$B760,'1_原始數據'!$D$2:$D$1000,$D760,'1_原始數據'!$I$2:$I$1000,$I760,'1_原始數據'!$C$2:$C$1000,"pasco_pct_acid"))))</f>
        <v/>
      </c>
      <c r="P760" s="26">
        <f>IF($A760="","",IF(OR(N760="",O760=""),"",O760-N760))</f>
        <v/>
      </c>
      <c r="Q760" s="24">
        <f>IF($A760="","",IF(P760="","",(O760+N760)/2))</f>
        <v/>
      </c>
      <c r="R760" s="27">
        <f>IF($A760="","",IF(P760="","",COUNT($P$2:P760)))</f>
        <v/>
      </c>
    </row>
    <row r="761">
      <c r="J761" s="24">
        <f>IF($A761="","",IF($C761&lt;&gt;"khp_titration_mL","",IF(COUNTIFS('1_原始數據'!$A$2:$A$1000,$A761,'1_原始數據'!$B$2:$B$1000,$B761,'1_原始數據'!$D$2:$D$1000,$D761,'1_原始數據'!$C$2:$C$1000,"khp_mass_g")=0,"",SUMIFS('1_原始數據'!$E$2:$E$1000,'1_原始數據'!$A$2:$A$1000,$A761,'1_原始數據'!$B$2:$B$1000,$B761,'1_原始數據'!$D$2:$D$1000,$D761,'1_原始數據'!$C$2:$C$1000,"khp_mass_g")/('2_NaOH標定'!$C$5*$E761/1000))))</f>
        <v/>
      </c>
      <c r="K761" s="24">
        <f>IF($A761="","",IF($C761&lt;&gt;"manual_titration_mL","",IF(COUNTIFS('1_原始數據'!$A$2:$A$1000,$A761,'1_原始數據'!$C$2:$C$1000,"khp_titration_mL")=0,"",AVERAGEIFS('1_原始數據'!$J$2:$J$1000,'1_原始數據'!$A$2:$A$1000,$A761,'1_原始數據'!$C$2:$C$1000,"khp_titration_mL"))))</f>
        <v/>
      </c>
      <c r="L761" s="25">
        <f>IF($A761="","",IF($C761&lt;&gt;"manual_titration_mL","",IFERROR(INDEX('3_可滴定酸度'!$E$6:$E$13,MATCH($I761,'3_可滴定酸度'!$B$6:$B$13,0)),"")))</f>
        <v/>
      </c>
      <c r="M761" s="25">
        <f>IF($A761="","",IF($C761&lt;&gt;"manual_titration_mL","",IFERROR(INDEX('3_可滴定酸度'!$F$6:$F$13,MATCH($I761,'3_可滴定酸度'!$B$6:$B$13,0)),"")))</f>
        <v/>
      </c>
      <c r="N761" s="24">
        <f>IF($A761="","",IF(OR(K761="",L761="",M761=""),"",K761*E761*L761/(M761*1000)*100))</f>
        <v/>
      </c>
      <c r="O761" s="24">
        <f>IF($A761="","",IF(N761="","",IF(COUNTIFS('1_原始數據'!$A$2:$A$1000,$A761,'1_原始數據'!$B$2:$B$1000,$B761,'1_原始數據'!$D$2:$D$1000,$D761,'1_原始數據'!$I$2:$I$1000,$I761,'1_原始數據'!$C$2:$C$1000,"pasco_pct_acid")=0,"",SUMIFS('1_原始數據'!$E$2:$E$1000,'1_原始數據'!$A$2:$A$1000,$A761,'1_原始數據'!$B$2:$B$1000,$B761,'1_原始數據'!$D$2:$D$1000,$D761,'1_原始數據'!$I$2:$I$1000,$I761,'1_原始數據'!$C$2:$C$1000,"pasco_pct_acid"))))</f>
        <v/>
      </c>
      <c r="P761" s="26">
        <f>IF($A761="","",IF(OR(N761="",O761=""),"",O761-N761))</f>
        <v/>
      </c>
      <c r="Q761" s="24">
        <f>IF($A761="","",IF(P761="","",(O761+N761)/2))</f>
        <v/>
      </c>
      <c r="R761" s="27">
        <f>IF($A761="","",IF(P761="","",COUNT($P$2:P761)))</f>
        <v/>
      </c>
    </row>
    <row r="762">
      <c r="J762" s="24">
        <f>IF($A762="","",IF($C762&lt;&gt;"khp_titration_mL","",IF(COUNTIFS('1_原始數據'!$A$2:$A$1000,$A762,'1_原始數據'!$B$2:$B$1000,$B762,'1_原始數據'!$D$2:$D$1000,$D762,'1_原始數據'!$C$2:$C$1000,"khp_mass_g")=0,"",SUMIFS('1_原始數據'!$E$2:$E$1000,'1_原始數據'!$A$2:$A$1000,$A762,'1_原始數據'!$B$2:$B$1000,$B762,'1_原始數據'!$D$2:$D$1000,$D762,'1_原始數據'!$C$2:$C$1000,"khp_mass_g")/('2_NaOH標定'!$C$5*$E762/1000))))</f>
        <v/>
      </c>
      <c r="K762" s="24">
        <f>IF($A762="","",IF($C762&lt;&gt;"manual_titration_mL","",IF(COUNTIFS('1_原始數據'!$A$2:$A$1000,$A762,'1_原始數據'!$C$2:$C$1000,"khp_titration_mL")=0,"",AVERAGEIFS('1_原始數據'!$J$2:$J$1000,'1_原始數據'!$A$2:$A$1000,$A762,'1_原始數據'!$C$2:$C$1000,"khp_titration_mL"))))</f>
        <v/>
      </c>
      <c r="L762" s="25">
        <f>IF($A762="","",IF($C762&lt;&gt;"manual_titration_mL","",IFERROR(INDEX('3_可滴定酸度'!$E$6:$E$13,MATCH($I762,'3_可滴定酸度'!$B$6:$B$13,0)),"")))</f>
        <v/>
      </c>
      <c r="M762" s="25">
        <f>IF($A762="","",IF($C762&lt;&gt;"manual_titration_mL","",IFERROR(INDEX('3_可滴定酸度'!$F$6:$F$13,MATCH($I762,'3_可滴定酸度'!$B$6:$B$13,0)),"")))</f>
        <v/>
      </c>
      <c r="N762" s="24">
        <f>IF($A762="","",IF(OR(K762="",L762="",M762=""),"",K762*E762*L762/(M762*1000)*100))</f>
        <v/>
      </c>
      <c r="O762" s="24">
        <f>IF($A762="","",IF(N762="","",IF(COUNTIFS('1_原始數據'!$A$2:$A$1000,$A762,'1_原始數據'!$B$2:$B$1000,$B762,'1_原始數據'!$D$2:$D$1000,$D762,'1_原始數據'!$I$2:$I$1000,$I762,'1_原始數據'!$C$2:$C$1000,"pasco_pct_acid")=0,"",SUMIFS('1_原始數據'!$E$2:$E$1000,'1_原始數據'!$A$2:$A$1000,$A762,'1_原始數據'!$B$2:$B$1000,$B762,'1_原始數據'!$D$2:$D$1000,$D762,'1_原始數據'!$I$2:$I$1000,$I762,'1_原始數據'!$C$2:$C$1000,"pasco_pct_acid"))))</f>
        <v/>
      </c>
      <c r="P762" s="26">
        <f>IF($A762="","",IF(OR(N762="",O762=""),"",O762-N762))</f>
        <v/>
      </c>
      <c r="Q762" s="24">
        <f>IF($A762="","",IF(P762="","",(O762+N762)/2))</f>
        <v/>
      </c>
      <c r="R762" s="27">
        <f>IF($A762="","",IF(P762="","",COUNT($P$2:P762)))</f>
        <v/>
      </c>
    </row>
    <row r="763">
      <c r="J763" s="24">
        <f>IF($A763="","",IF($C763&lt;&gt;"khp_titration_mL","",IF(COUNTIFS('1_原始數據'!$A$2:$A$1000,$A763,'1_原始數據'!$B$2:$B$1000,$B763,'1_原始數據'!$D$2:$D$1000,$D763,'1_原始數據'!$C$2:$C$1000,"khp_mass_g")=0,"",SUMIFS('1_原始數據'!$E$2:$E$1000,'1_原始數據'!$A$2:$A$1000,$A763,'1_原始數據'!$B$2:$B$1000,$B763,'1_原始數據'!$D$2:$D$1000,$D763,'1_原始數據'!$C$2:$C$1000,"khp_mass_g")/('2_NaOH標定'!$C$5*$E763/1000))))</f>
        <v/>
      </c>
      <c r="K763" s="24">
        <f>IF($A763="","",IF($C763&lt;&gt;"manual_titration_mL","",IF(COUNTIFS('1_原始數據'!$A$2:$A$1000,$A763,'1_原始數據'!$C$2:$C$1000,"khp_titration_mL")=0,"",AVERAGEIFS('1_原始數據'!$J$2:$J$1000,'1_原始數據'!$A$2:$A$1000,$A763,'1_原始數據'!$C$2:$C$1000,"khp_titration_mL"))))</f>
        <v/>
      </c>
      <c r="L763" s="25">
        <f>IF($A763="","",IF($C763&lt;&gt;"manual_titration_mL","",IFERROR(INDEX('3_可滴定酸度'!$E$6:$E$13,MATCH($I763,'3_可滴定酸度'!$B$6:$B$13,0)),"")))</f>
        <v/>
      </c>
      <c r="M763" s="25">
        <f>IF($A763="","",IF($C763&lt;&gt;"manual_titration_mL","",IFERROR(INDEX('3_可滴定酸度'!$F$6:$F$13,MATCH($I763,'3_可滴定酸度'!$B$6:$B$13,0)),"")))</f>
        <v/>
      </c>
      <c r="N763" s="24">
        <f>IF($A763="","",IF(OR(K763="",L763="",M763=""),"",K763*E763*L763/(M763*1000)*100))</f>
        <v/>
      </c>
      <c r="O763" s="24">
        <f>IF($A763="","",IF(N763="","",IF(COUNTIFS('1_原始數據'!$A$2:$A$1000,$A763,'1_原始數據'!$B$2:$B$1000,$B763,'1_原始數據'!$D$2:$D$1000,$D763,'1_原始數據'!$I$2:$I$1000,$I763,'1_原始數據'!$C$2:$C$1000,"pasco_pct_acid")=0,"",SUMIFS('1_原始數據'!$E$2:$E$1000,'1_原始數據'!$A$2:$A$1000,$A763,'1_原始數據'!$B$2:$B$1000,$B763,'1_原始數據'!$D$2:$D$1000,$D763,'1_原始數據'!$I$2:$I$1000,$I763,'1_原始數據'!$C$2:$C$1000,"pasco_pct_acid"))))</f>
        <v/>
      </c>
      <c r="P763" s="26">
        <f>IF($A763="","",IF(OR(N763="",O763=""),"",O763-N763))</f>
        <v/>
      </c>
      <c r="Q763" s="24">
        <f>IF($A763="","",IF(P763="","",(O763+N763)/2))</f>
        <v/>
      </c>
      <c r="R763" s="27">
        <f>IF($A763="","",IF(P763="","",COUNT($P$2:P763)))</f>
        <v/>
      </c>
    </row>
    <row r="764">
      <c r="J764" s="24">
        <f>IF($A764="","",IF($C764&lt;&gt;"khp_titration_mL","",IF(COUNTIFS('1_原始數據'!$A$2:$A$1000,$A764,'1_原始數據'!$B$2:$B$1000,$B764,'1_原始數據'!$D$2:$D$1000,$D764,'1_原始數據'!$C$2:$C$1000,"khp_mass_g")=0,"",SUMIFS('1_原始數據'!$E$2:$E$1000,'1_原始數據'!$A$2:$A$1000,$A764,'1_原始數據'!$B$2:$B$1000,$B764,'1_原始數據'!$D$2:$D$1000,$D764,'1_原始數據'!$C$2:$C$1000,"khp_mass_g")/('2_NaOH標定'!$C$5*$E764/1000))))</f>
        <v/>
      </c>
      <c r="K764" s="24">
        <f>IF($A764="","",IF($C764&lt;&gt;"manual_titration_mL","",IF(COUNTIFS('1_原始數據'!$A$2:$A$1000,$A764,'1_原始數據'!$C$2:$C$1000,"khp_titration_mL")=0,"",AVERAGEIFS('1_原始數據'!$J$2:$J$1000,'1_原始數據'!$A$2:$A$1000,$A764,'1_原始數據'!$C$2:$C$1000,"khp_titration_mL"))))</f>
        <v/>
      </c>
      <c r="L764" s="25">
        <f>IF($A764="","",IF($C764&lt;&gt;"manual_titration_mL","",IFERROR(INDEX('3_可滴定酸度'!$E$6:$E$13,MATCH($I764,'3_可滴定酸度'!$B$6:$B$13,0)),"")))</f>
        <v/>
      </c>
      <c r="M764" s="25">
        <f>IF($A764="","",IF($C764&lt;&gt;"manual_titration_mL","",IFERROR(INDEX('3_可滴定酸度'!$F$6:$F$13,MATCH($I764,'3_可滴定酸度'!$B$6:$B$13,0)),"")))</f>
        <v/>
      </c>
      <c r="N764" s="24">
        <f>IF($A764="","",IF(OR(K764="",L764="",M764=""),"",K764*E764*L764/(M764*1000)*100))</f>
        <v/>
      </c>
      <c r="O764" s="24">
        <f>IF($A764="","",IF(N764="","",IF(COUNTIFS('1_原始數據'!$A$2:$A$1000,$A764,'1_原始數據'!$B$2:$B$1000,$B764,'1_原始數據'!$D$2:$D$1000,$D764,'1_原始數據'!$I$2:$I$1000,$I764,'1_原始數據'!$C$2:$C$1000,"pasco_pct_acid")=0,"",SUMIFS('1_原始數據'!$E$2:$E$1000,'1_原始數據'!$A$2:$A$1000,$A764,'1_原始數據'!$B$2:$B$1000,$B764,'1_原始數據'!$D$2:$D$1000,$D764,'1_原始數據'!$I$2:$I$1000,$I764,'1_原始數據'!$C$2:$C$1000,"pasco_pct_acid"))))</f>
        <v/>
      </c>
      <c r="P764" s="26">
        <f>IF($A764="","",IF(OR(N764="",O764=""),"",O764-N764))</f>
        <v/>
      </c>
      <c r="Q764" s="24">
        <f>IF($A764="","",IF(P764="","",(O764+N764)/2))</f>
        <v/>
      </c>
      <c r="R764" s="27">
        <f>IF($A764="","",IF(P764="","",COUNT($P$2:P764)))</f>
        <v/>
      </c>
    </row>
    <row r="765">
      <c r="J765" s="24">
        <f>IF($A765="","",IF($C765&lt;&gt;"khp_titration_mL","",IF(COUNTIFS('1_原始數據'!$A$2:$A$1000,$A765,'1_原始數據'!$B$2:$B$1000,$B765,'1_原始數據'!$D$2:$D$1000,$D765,'1_原始數據'!$C$2:$C$1000,"khp_mass_g")=0,"",SUMIFS('1_原始數據'!$E$2:$E$1000,'1_原始數據'!$A$2:$A$1000,$A765,'1_原始數據'!$B$2:$B$1000,$B765,'1_原始數據'!$D$2:$D$1000,$D765,'1_原始數據'!$C$2:$C$1000,"khp_mass_g")/('2_NaOH標定'!$C$5*$E765/1000))))</f>
        <v/>
      </c>
      <c r="K765" s="24">
        <f>IF($A765="","",IF($C765&lt;&gt;"manual_titration_mL","",IF(COUNTIFS('1_原始數據'!$A$2:$A$1000,$A765,'1_原始數據'!$C$2:$C$1000,"khp_titration_mL")=0,"",AVERAGEIFS('1_原始數據'!$J$2:$J$1000,'1_原始數據'!$A$2:$A$1000,$A765,'1_原始數據'!$C$2:$C$1000,"khp_titration_mL"))))</f>
        <v/>
      </c>
      <c r="L765" s="25">
        <f>IF($A765="","",IF($C765&lt;&gt;"manual_titration_mL","",IFERROR(INDEX('3_可滴定酸度'!$E$6:$E$13,MATCH($I765,'3_可滴定酸度'!$B$6:$B$13,0)),"")))</f>
        <v/>
      </c>
      <c r="M765" s="25">
        <f>IF($A765="","",IF($C765&lt;&gt;"manual_titration_mL","",IFERROR(INDEX('3_可滴定酸度'!$F$6:$F$13,MATCH($I765,'3_可滴定酸度'!$B$6:$B$13,0)),"")))</f>
        <v/>
      </c>
      <c r="N765" s="24">
        <f>IF($A765="","",IF(OR(K765="",L765="",M765=""),"",K765*E765*L765/(M765*1000)*100))</f>
        <v/>
      </c>
      <c r="O765" s="24">
        <f>IF($A765="","",IF(N765="","",IF(COUNTIFS('1_原始數據'!$A$2:$A$1000,$A765,'1_原始數據'!$B$2:$B$1000,$B765,'1_原始數據'!$D$2:$D$1000,$D765,'1_原始數據'!$I$2:$I$1000,$I765,'1_原始數據'!$C$2:$C$1000,"pasco_pct_acid")=0,"",SUMIFS('1_原始數據'!$E$2:$E$1000,'1_原始數據'!$A$2:$A$1000,$A765,'1_原始數據'!$B$2:$B$1000,$B765,'1_原始數據'!$D$2:$D$1000,$D765,'1_原始數據'!$I$2:$I$1000,$I765,'1_原始數據'!$C$2:$C$1000,"pasco_pct_acid"))))</f>
        <v/>
      </c>
      <c r="P765" s="26">
        <f>IF($A765="","",IF(OR(N765="",O765=""),"",O765-N765))</f>
        <v/>
      </c>
      <c r="Q765" s="24">
        <f>IF($A765="","",IF(P765="","",(O765+N765)/2))</f>
        <v/>
      </c>
      <c r="R765" s="27">
        <f>IF($A765="","",IF(P765="","",COUNT($P$2:P765)))</f>
        <v/>
      </c>
    </row>
    <row r="766">
      <c r="J766" s="24">
        <f>IF($A766="","",IF($C766&lt;&gt;"khp_titration_mL","",IF(COUNTIFS('1_原始數據'!$A$2:$A$1000,$A766,'1_原始數據'!$B$2:$B$1000,$B766,'1_原始數據'!$D$2:$D$1000,$D766,'1_原始數據'!$C$2:$C$1000,"khp_mass_g")=0,"",SUMIFS('1_原始數據'!$E$2:$E$1000,'1_原始數據'!$A$2:$A$1000,$A766,'1_原始數據'!$B$2:$B$1000,$B766,'1_原始數據'!$D$2:$D$1000,$D766,'1_原始數據'!$C$2:$C$1000,"khp_mass_g")/('2_NaOH標定'!$C$5*$E766/1000))))</f>
        <v/>
      </c>
      <c r="K766" s="24">
        <f>IF($A766="","",IF($C766&lt;&gt;"manual_titration_mL","",IF(COUNTIFS('1_原始數據'!$A$2:$A$1000,$A766,'1_原始數據'!$C$2:$C$1000,"khp_titration_mL")=0,"",AVERAGEIFS('1_原始數據'!$J$2:$J$1000,'1_原始數據'!$A$2:$A$1000,$A766,'1_原始數據'!$C$2:$C$1000,"khp_titration_mL"))))</f>
        <v/>
      </c>
      <c r="L766" s="25">
        <f>IF($A766="","",IF($C766&lt;&gt;"manual_titration_mL","",IFERROR(INDEX('3_可滴定酸度'!$E$6:$E$13,MATCH($I766,'3_可滴定酸度'!$B$6:$B$13,0)),"")))</f>
        <v/>
      </c>
      <c r="M766" s="25">
        <f>IF($A766="","",IF($C766&lt;&gt;"manual_titration_mL","",IFERROR(INDEX('3_可滴定酸度'!$F$6:$F$13,MATCH($I766,'3_可滴定酸度'!$B$6:$B$13,0)),"")))</f>
        <v/>
      </c>
      <c r="N766" s="24">
        <f>IF($A766="","",IF(OR(K766="",L766="",M766=""),"",K766*E766*L766/(M766*1000)*100))</f>
        <v/>
      </c>
      <c r="O766" s="24">
        <f>IF($A766="","",IF(N766="","",IF(COUNTIFS('1_原始數據'!$A$2:$A$1000,$A766,'1_原始數據'!$B$2:$B$1000,$B766,'1_原始數據'!$D$2:$D$1000,$D766,'1_原始數據'!$I$2:$I$1000,$I766,'1_原始數據'!$C$2:$C$1000,"pasco_pct_acid")=0,"",SUMIFS('1_原始數據'!$E$2:$E$1000,'1_原始數據'!$A$2:$A$1000,$A766,'1_原始數據'!$B$2:$B$1000,$B766,'1_原始數據'!$D$2:$D$1000,$D766,'1_原始數據'!$I$2:$I$1000,$I766,'1_原始數據'!$C$2:$C$1000,"pasco_pct_acid"))))</f>
        <v/>
      </c>
      <c r="P766" s="26">
        <f>IF($A766="","",IF(OR(N766="",O766=""),"",O766-N766))</f>
        <v/>
      </c>
      <c r="Q766" s="24">
        <f>IF($A766="","",IF(P766="","",(O766+N766)/2))</f>
        <v/>
      </c>
      <c r="R766" s="27">
        <f>IF($A766="","",IF(P766="","",COUNT($P$2:P766)))</f>
        <v/>
      </c>
    </row>
    <row r="767">
      <c r="J767" s="24">
        <f>IF($A767="","",IF($C767&lt;&gt;"khp_titration_mL","",IF(COUNTIFS('1_原始數據'!$A$2:$A$1000,$A767,'1_原始數據'!$B$2:$B$1000,$B767,'1_原始數據'!$D$2:$D$1000,$D767,'1_原始數據'!$C$2:$C$1000,"khp_mass_g")=0,"",SUMIFS('1_原始數據'!$E$2:$E$1000,'1_原始數據'!$A$2:$A$1000,$A767,'1_原始數據'!$B$2:$B$1000,$B767,'1_原始數據'!$D$2:$D$1000,$D767,'1_原始數據'!$C$2:$C$1000,"khp_mass_g")/('2_NaOH標定'!$C$5*$E767/1000))))</f>
        <v/>
      </c>
      <c r="K767" s="24">
        <f>IF($A767="","",IF($C767&lt;&gt;"manual_titration_mL","",IF(COUNTIFS('1_原始數據'!$A$2:$A$1000,$A767,'1_原始數據'!$C$2:$C$1000,"khp_titration_mL")=0,"",AVERAGEIFS('1_原始數據'!$J$2:$J$1000,'1_原始數據'!$A$2:$A$1000,$A767,'1_原始數據'!$C$2:$C$1000,"khp_titration_mL"))))</f>
        <v/>
      </c>
      <c r="L767" s="25">
        <f>IF($A767="","",IF($C767&lt;&gt;"manual_titration_mL","",IFERROR(INDEX('3_可滴定酸度'!$E$6:$E$13,MATCH($I767,'3_可滴定酸度'!$B$6:$B$13,0)),"")))</f>
        <v/>
      </c>
      <c r="M767" s="25">
        <f>IF($A767="","",IF($C767&lt;&gt;"manual_titration_mL","",IFERROR(INDEX('3_可滴定酸度'!$F$6:$F$13,MATCH($I767,'3_可滴定酸度'!$B$6:$B$13,0)),"")))</f>
        <v/>
      </c>
      <c r="N767" s="24">
        <f>IF($A767="","",IF(OR(K767="",L767="",M767=""),"",K767*E767*L767/(M767*1000)*100))</f>
        <v/>
      </c>
      <c r="O767" s="24">
        <f>IF($A767="","",IF(N767="","",IF(COUNTIFS('1_原始數據'!$A$2:$A$1000,$A767,'1_原始數據'!$B$2:$B$1000,$B767,'1_原始數據'!$D$2:$D$1000,$D767,'1_原始數據'!$I$2:$I$1000,$I767,'1_原始數據'!$C$2:$C$1000,"pasco_pct_acid")=0,"",SUMIFS('1_原始數據'!$E$2:$E$1000,'1_原始數據'!$A$2:$A$1000,$A767,'1_原始數據'!$B$2:$B$1000,$B767,'1_原始數據'!$D$2:$D$1000,$D767,'1_原始數據'!$I$2:$I$1000,$I767,'1_原始數據'!$C$2:$C$1000,"pasco_pct_acid"))))</f>
        <v/>
      </c>
      <c r="P767" s="26">
        <f>IF($A767="","",IF(OR(N767="",O767=""),"",O767-N767))</f>
        <v/>
      </c>
      <c r="Q767" s="24">
        <f>IF($A767="","",IF(P767="","",(O767+N767)/2))</f>
        <v/>
      </c>
      <c r="R767" s="27">
        <f>IF($A767="","",IF(P767="","",COUNT($P$2:P767)))</f>
        <v/>
      </c>
    </row>
    <row r="768">
      <c r="J768" s="24">
        <f>IF($A768="","",IF($C768&lt;&gt;"khp_titration_mL","",IF(COUNTIFS('1_原始數據'!$A$2:$A$1000,$A768,'1_原始數據'!$B$2:$B$1000,$B768,'1_原始數據'!$D$2:$D$1000,$D768,'1_原始數據'!$C$2:$C$1000,"khp_mass_g")=0,"",SUMIFS('1_原始數據'!$E$2:$E$1000,'1_原始數據'!$A$2:$A$1000,$A768,'1_原始數據'!$B$2:$B$1000,$B768,'1_原始數據'!$D$2:$D$1000,$D768,'1_原始數據'!$C$2:$C$1000,"khp_mass_g")/('2_NaOH標定'!$C$5*$E768/1000))))</f>
        <v/>
      </c>
      <c r="K768" s="24">
        <f>IF($A768="","",IF($C768&lt;&gt;"manual_titration_mL","",IF(COUNTIFS('1_原始數據'!$A$2:$A$1000,$A768,'1_原始數據'!$C$2:$C$1000,"khp_titration_mL")=0,"",AVERAGEIFS('1_原始數據'!$J$2:$J$1000,'1_原始數據'!$A$2:$A$1000,$A768,'1_原始數據'!$C$2:$C$1000,"khp_titration_mL"))))</f>
        <v/>
      </c>
      <c r="L768" s="25">
        <f>IF($A768="","",IF($C768&lt;&gt;"manual_titration_mL","",IFERROR(INDEX('3_可滴定酸度'!$E$6:$E$13,MATCH($I768,'3_可滴定酸度'!$B$6:$B$13,0)),"")))</f>
        <v/>
      </c>
      <c r="M768" s="25">
        <f>IF($A768="","",IF($C768&lt;&gt;"manual_titration_mL","",IFERROR(INDEX('3_可滴定酸度'!$F$6:$F$13,MATCH($I768,'3_可滴定酸度'!$B$6:$B$13,0)),"")))</f>
        <v/>
      </c>
      <c r="N768" s="24">
        <f>IF($A768="","",IF(OR(K768="",L768="",M768=""),"",K768*E768*L768/(M768*1000)*100))</f>
        <v/>
      </c>
      <c r="O768" s="24">
        <f>IF($A768="","",IF(N768="","",IF(COUNTIFS('1_原始數據'!$A$2:$A$1000,$A768,'1_原始數據'!$B$2:$B$1000,$B768,'1_原始數據'!$D$2:$D$1000,$D768,'1_原始數據'!$I$2:$I$1000,$I768,'1_原始數據'!$C$2:$C$1000,"pasco_pct_acid")=0,"",SUMIFS('1_原始數據'!$E$2:$E$1000,'1_原始數據'!$A$2:$A$1000,$A768,'1_原始數據'!$B$2:$B$1000,$B768,'1_原始數據'!$D$2:$D$1000,$D768,'1_原始數據'!$I$2:$I$1000,$I768,'1_原始數據'!$C$2:$C$1000,"pasco_pct_acid"))))</f>
        <v/>
      </c>
      <c r="P768" s="26">
        <f>IF($A768="","",IF(OR(N768="",O768=""),"",O768-N768))</f>
        <v/>
      </c>
      <c r="Q768" s="24">
        <f>IF($A768="","",IF(P768="","",(O768+N768)/2))</f>
        <v/>
      </c>
      <c r="R768" s="27">
        <f>IF($A768="","",IF(P768="","",COUNT($P$2:P768)))</f>
        <v/>
      </c>
    </row>
    <row r="769">
      <c r="J769" s="24">
        <f>IF($A769="","",IF($C769&lt;&gt;"khp_titration_mL","",IF(COUNTIFS('1_原始數據'!$A$2:$A$1000,$A769,'1_原始數據'!$B$2:$B$1000,$B769,'1_原始數據'!$D$2:$D$1000,$D769,'1_原始數據'!$C$2:$C$1000,"khp_mass_g")=0,"",SUMIFS('1_原始數據'!$E$2:$E$1000,'1_原始數據'!$A$2:$A$1000,$A769,'1_原始數據'!$B$2:$B$1000,$B769,'1_原始數據'!$D$2:$D$1000,$D769,'1_原始數據'!$C$2:$C$1000,"khp_mass_g")/('2_NaOH標定'!$C$5*$E769/1000))))</f>
        <v/>
      </c>
      <c r="K769" s="24">
        <f>IF($A769="","",IF($C769&lt;&gt;"manual_titration_mL","",IF(COUNTIFS('1_原始數據'!$A$2:$A$1000,$A769,'1_原始數據'!$C$2:$C$1000,"khp_titration_mL")=0,"",AVERAGEIFS('1_原始數據'!$J$2:$J$1000,'1_原始數據'!$A$2:$A$1000,$A769,'1_原始數據'!$C$2:$C$1000,"khp_titration_mL"))))</f>
        <v/>
      </c>
      <c r="L769" s="25">
        <f>IF($A769="","",IF($C769&lt;&gt;"manual_titration_mL","",IFERROR(INDEX('3_可滴定酸度'!$E$6:$E$13,MATCH($I769,'3_可滴定酸度'!$B$6:$B$13,0)),"")))</f>
        <v/>
      </c>
      <c r="M769" s="25">
        <f>IF($A769="","",IF($C769&lt;&gt;"manual_titration_mL","",IFERROR(INDEX('3_可滴定酸度'!$F$6:$F$13,MATCH($I769,'3_可滴定酸度'!$B$6:$B$13,0)),"")))</f>
        <v/>
      </c>
      <c r="N769" s="24">
        <f>IF($A769="","",IF(OR(K769="",L769="",M769=""),"",K769*E769*L769/(M769*1000)*100))</f>
        <v/>
      </c>
      <c r="O769" s="24">
        <f>IF($A769="","",IF(N769="","",IF(COUNTIFS('1_原始數據'!$A$2:$A$1000,$A769,'1_原始數據'!$B$2:$B$1000,$B769,'1_原始數據'!$D$2:$D$1000,$D769,'1_原始數據'!$I$2:$I$1000,$I769,'1_原始數據'!$C$2:$C$1000,"pasco_pct_acid")=0,"",SUMIFS('1_原始數據'!$E$2:$E$1000,'1_原始數據'!$A$2:$A$1000,$A769,'1_原始數據'!$B$2:$B$1000,$B769,'1_原始數據'!$D$2:$D$1000,$D769,'1_原始數據'!$I$2:$I$1000,$I769,'1_原始數據'!$C$2:$C$1000,"pasco_pct_acid"))))</f>
        <v/>
      </c>
      <c r="P769" s="26">
        <f>IF($A769="","",IF(OR(N769="",O769=""),"",O769-N769))</f>
        <v/>
      </c>
      <c r="Q769" s="24">
        <f>IF($A769="","",IF(P769="","",(O769+N769)/2))</f>
        <v/>
      </c>
      <c r="R769" s="27">
        <f>IF($A769="","",IF(P769="","",COUNT($P$2:P769)))</f>
        <v/>
      </c>
    </row>
    <row r="770">
      <c r="J770" s="24">
        <f>IF($A770="","",IF($C770&lt;&gt;"khp_titration_mL","",IF(COUNTIFS('1_原始數據'!$A$2:$A$1000,$A770,'1_原始數據'!$B$2:$B$1000,$B770,'1_原始數據'!$D$2:$D$1000,$D770,'1_原始數據'!$C$2:$C$1000,"khp_mass_g")=0,"",SUMIFS('1_原始數據'!$E$2:$E$1000,'1_原始數據'!$A$2:$A$1000,$A770,'1_原始數據'!$B$2:$B$1000,$B770,'1_原始數據'!$D$2:$D$1000,$D770,'1_原始數據'!$C$2:$C$1000,"khp_mass_g")/('2_NaOH標定'!$C$5*$E770/1000))))</f>
        <v/>
      </c>
      <c r="K770" s="24">
        <f>IF($A770="","",IF($C770&lt;&gt;"manual_titration_mL","",IF(COUNTIFS('1_原始數據'!$A$2:$A$1000,$A770,'1_原始數據'!$C$2:$C$1000,"khp_titration_mL")=0,"",AVERAGEIFS('1_原始數據'!$J$2:$J$1000,'1_原始數據'!$A$2:$A$1000,$A770,'1_原始數據'!$C$2:$C$1000,"khp_titration_mL"))))</f>
        <v/>
      </c>
      <c r="L770" s="25">
        <f>IF($A770="","",IF($C770&lt;&gt;"manual_titration_mL","",IFERROR(INDEX('3_可滴定酸度'!$E$6:$E$13,MATCH($I770,'3_可滴定酸度'!$B$6:$B$13,0)),"")))</f>
        <v/>
      </c>
      <c r="M770" s="25">
        <f>IF($A770="","",IF($C770&lt;&gt;"manual_titration_mL","",IFERROR(INDEX('3_可滴定酸度'!$F$6:$F$13,MATCH($I770,'3_可滴定酸度'!$B$6:$B$13,0)),"")))</f>
        <v/>
      </c>
      <c r="N770" s="24">
        <f>IF($A770="","",IF(OR(K770="",L770="",M770=""),"",K770*E770*L770/(M770*1000)*100))</f>
        <v/>
      </c>
      <c r="O770" s="24">
        <f>IF($A770="","",IF(N770="","",IF(COUNTIFS('1_原始數據'!$A$2:$A$1000,$A770,'1_原始數據'!$B$2:$B$1000,$B770,'1_原始數據'!$D$2:$D$1000,$D770,'1_原始數據'!$I$2:$I$1000,$I770,'1_原始數據'!$C$2:$C$1000,"pasco_pct_acid")=0,"",SUMIFS('1_原始數據'!$E$2:$E$1000,'1_原始數據'!$A$2:$A$1000,$A770,'1_原始數據'!$B$2:$B$1000,$B770,'1_原始數據'!$D$2:$D$1000,$D770,'1_原始數據'!$I$2:$I$1000,$I770,'1_原始數據'!$C$2:$C$1000,"pasco_pct_acid"))))</f>
        <v/>
      </c>
      <c r="P770" s="26">
        <f>IF($A770="","",IF(OR(N770="",O770=""),"",O770-N770))</f>
        <v/>
      </c>
      <c r="Q770" s="24">
        <f>IF($A770="","",IF(P770="","",(O770+N770)/2))</f>
        <v/>
      </c>
      <c r="R770" s="27">
        <f>IF($A770="","",IF(P770="","",COUNT($P$2:P770)))</f>
        <v/>
      </c>
    </row>
    <row r="771">
      <c r="J771" s="24">
        <f>IF($A771="","",IF($C771&lt;&gt;"khp_titration_mL","",IF(COUNTIFS('1_原始數據'!$A$2:$A$1000,$A771,'1_原始數據'!$B$2:$B$1000,$B771,'1_原始數據'!$D$2:$D$1000,$D771,'1_原始數據'!$C$2:$C$1000,"khp_mass_g")=0,"",SUMIFS('1_原始數據'!$E$2:$E$1000,'1_原始數據'!$A$2:$A$1000,$A771,'1_原始數據'!$B$2:$B$1000,$B771,'1_原始數據'!$D$2:$D$1000,$D771,'1_原始數據'!$C$2:$C$1000,"khp_mass_g")/('2_NaOH標定'!$C$5*$E771/1000))))</f>
        <v/>
      </c>
      <c r="K771" s="24">
        <f>IF($A771="","",IF($C771&lt;&gt;"manual_titration_mL","",IF(COUNTIFS('1_原始數據'!$A$2:$A$1000,$A771,'1_原始數據'!$C$2:$C$1000,"khp_titration_mL")=0,"",AVERAGEIFS('1_原始數據'!$J$2:$J$1000,'1_原始數據'!$A$2:$A$1000,$A771,'1_原始數據'!$C$2:$C$1000,"khp_titration_mL"))))</f>
        <v/>
      </c>
      <c r="L771" s="25">
        <f>IF($A771="","",IF($C771&lt;&gt;"manual_titration_mL","",IFERROR(INDEX('3_可滴定酸度'!$E$6:$E$13,MATCH($I771,'3_可滴定酸度'!$B$6:$B$13,0)),"")))</f>
        <v/>
      </c>
      <c r="M771" s="25">
        <f>IF($A771="","",IF($C771&lt;&gt;"manual_titration_mL","",IFERROR(INDEX('3_可滴定酸度'!$F$6:$F$13,MATCH($I771,'3_可滴定酸度'!$B$6:$B$13,0)),"")))</f>
        <v/>
      </c>
      <c r="N771" s="24">
        <f>IF($A771="","",IF(OR(K771="",L771="",M771=""),"",K771*E771*L771/(M771*1000)*100))</f>
        <v/>
      </c>
      <c r="O771" s="24">
        <f>IF($A771="","",IF(N771="","",IF(COUNTIFS('1_原始數據'!$A$2:$A$1000,$A771,'1_原始數據'!$B$2:$B$1000,$B771,'1_原始數據'!$D$2:$D$1000,$D771,'1_原始數據'!$I$2:$I$1000,$I771,'1_原始數據'!$C$2:$C$1000,"pasco_pct_acid")=0,"",SUMIFS('1_原始數據'!$E$2:$E$1000,'1_原始數據'!$A$2:$A$1000,$A771,'1_原始數據'!$B$2:$B$1000,$B771,'1_原始數據'!$D$2:$D$1000,$D771,'1_原始數據'!$I$2:$I$1000,$I771,'1_原始數據'!$C$2:$C$1000,"pasco_pct_acid"))))</f>
        <v/>
      </c>
      <c r="P771" s="26">
        <f>IF($A771="","",IF(OR(N771="",O771=""),"",O771-N771))</f>
        <v/>
      </c>
      <c r="Q771" s="24">
        <f>IF($A771="","",IF(P771="","",(O771+N771)/2))</f>
        <v/>
      </c>
      <c r="R771" s="27">
        <f>IF($A771="","",IF(P771="","",COUNT($P$2:P771)))</f>
        <v/>
      </c>
    </row>
    <row r="772">
      <c r="J772" s="24">
        <f>IF($A772="","",IF($C772&lt;&gt;"khp_titration_mL","",IF(COUNTIFS('1_原始數據'!$A$2:$A$1000,$A772,'1_原始數據'!$B$2:$B$1000,$B772,'1_原始數據'!$D$2:$D$1000,$D772,'1_原始數據'!$C$2:$C$1000,"khp_mass_g")=0,"",SUMIFS('1_原始數據'!$E$2:$E$1000,'1_原始數據'!$A$2:$A$1000,$A772,'1_原始數據'!$B$2:$B$1000,$B772,'1_原始數據'!$D$2:$D$1000,$D772,'1_原始數據'!$C$2:$C$1000,"khp_mass_g")/('2_NaOH標定'!$C$5*$E772/1000))))</f>
        <v/>
      </c>
      <c r="K772" s="24">
        <f>IF($A772="","",IF($C772&lt;&gt;"manual_titration_mL","",IF(COUNTIFS('1_原始數據'!$A$2:$A$1000,$A772,'1_原始數據'!$C$2:$C$1000,"khp_titration_mL")=0,"",AVERAGEIFS('1_原始數據'!$J$2:$J$1000,'1_原始數據'!$A$2:$A$1000,$A772,'1_原始數據'!$C$2:$C$1000,"khp_titration_mL"))))</f>
        <v/>
      </c>
      <c r="L772" s="25">
        <f>IF($A772="","",IF($C772&lt;&gt;"manual_titration_mL","",IFERROR(INDEX('3_可滴定酸度'!$E$6:$E$13,MATCH($I772,'3_可滴定酸度'!$B$6:$B$13,0)),"")))</f>
        <v/>
      </c>
      <c r="M772" s="25">
        <f>IF($A772="","",IF($C772&lt;&gt;"manual_titration_mL","",IFERROR(INDEX('3_可滴定酸度'!$F$6:$F$13,MATCH($I772,'3_可滴定酸度'!$B$6:$B$13,0)),"")))</f>
        <v/>
      </c>
      <c r="N772" s="24">
        <f>IF($A772="","",IF(OR(K772="",L772="",M772=""),"",K772*E772*L772/(M772*1000)*100))</f>
        <v/>
      </c>
      <c r="O772" s="24">
        <f>IF($A772="","",IF(N772="","",IF(COUNTIFS('1_原始數據'!$A$2:$A$1000,$A772,'1_原始數據'!$B$2:$B$1000,$B772,'1_原始數據'!$D$2:$D$1000,$D772,'1_原始數據'!$I$2:$I$1000,$I772,'1_原始數據'!$C$2:$C$1000,"pasco_pct_acid")=0,"",SUMIFS('1_原始數據'!$E$2:$E$1000,'1_原始數據'!$A$2:$A$1000,$A772,'1_原始數據'!$B$2:$B$1000,$B772,'1_原始數據'!$D$2:$D$1000,$D772,'1_原始數據'!$I$2:$I$1000,$I772,'1_原始數據'!$C$2:$C$1000,"pasco_pct_acid"))))</f>
        <v/>
      </c>
      <c r="P772" s="26">
        <f>IF($A772="","",IF(OR(N772="",O772=""),"",O772-N772))</f>
        <v/>
      </c>
      <c r="Q772" s="24">
        <f>IF($A772="","",IF(P772="","",(O772+N772)/2))</f>
        <v/>
      </c>
      <c r="R772" s="27">
        <f>IF($A772="","",IF(P772="","",COUNT($P$2:P772)))</f>
        <v/>
      </c>
    </row>
    <row r="773">
      <c r="J773" s="24">
        <f>IF($A773="","",IF($C773&lt;&gt;"khp_titration_mL","",IF(COUNTIFS('1_原始數據'!$A$2:$A$1000,$A773,'1_原始數據'!$B$2:$B$1000,$B773,'1_原始數據'!$D$2:$D$1000,$D773,'1_原始數據'!$C$2:$C$1000,"khp_mass_g")=0,"",SUMIFS('1_原始數據'!$E$2:$E$1000,'1_原始數據'!$A$2:$A$1000,$A773,'1_原始數據'!$B$2:$B$1000,$B773,'1_原始數據'!$D$2:$D$1000,$D773,'1_原始數據'!$C$2:$C$1000,"khp_mass_g")/('2_NaOH標定'!$C$5*$E773/1000))))</f>
        <v/>
      </c>
      <c r="K773" s="24">
        <f>IF($A773="","",IF($C773&lt;&gt;"manual_titration_mL","",IF(COUNTIFS('1_原始數據'!$A$2:$A$1000,$A773,'1_原始數據'!$C$2:$C$1000,"khp_titration_mL")=0,"",AVERAGEIFS('1_原始數據'!$J$2:$J$1000,'1_原始數據'!$A$2:$A$1000,$A773,'1_原始數據'!$C$2:$C$1000,"khp_titration_mL"))))</f>
        <v/>
      </c>
      <c r="L773" s="25">
        <f>IF($A773="","",IF($C773&lt;&gt;"manual_titration_mL","",IFERROR(INDEX('3_可滴定酸度'!$E$6:$E$13,MATCH($I773,'3_可滴定酸度'!$B$6:$B$13,0)),"")))</f>
        <v/>
      </c>
      <c r="M773" s="25">
        <f>IF($A773="","",IF($C773&lt;&gt;"manual_titration_mL","",IFERROR(INDEX('3_可滴定酸度'!$F$6:$F$13,MATCH($I773,'3_可滴定酸度'!$B$6:$B$13,0)),"")))</f>
        <v/>
      </c>
      <c r="N773" s="24">
        <f>IF($A773="","",IF(OR(K773="",L773="",M773=""),"",K773*E773*L773/(M773*1000)*100))</f>
        <v/>
      </c>
      <c r="O773" s="24">
        <f>IF($A773="","",IF(N773="","",IF(COUNTIFS('1_原始數據'!$A$2:$A$1000,$A773,'1_原始數據'!$B$2:$B$1000,$B773,'1_原始數據'!$D$2:$D$1000,$D773,'1_原始數據'!$I$2:$I$1000,$I773,'1_原始數據'!$C$2:$C$1000,"pasco_pct_acid")=0,"",SUMIFS('1_原始數據'!$E$2:$E$1000,'1_原始數據'!$A$2:$A$1000,$A773,'1_原始數據'!$B$2:$B$1000,$B773,'1_原始數據'!$D$2:$D$1000,$D773,'1_原始數據'!$I$2:$I$1000,$I773,'1_原始數據'!$C$2:$C$1000,"pasco_pct_acid"))))</f>
        <v/>
      </c>
      <c r="P773" s="26">
        <f>IF($A773="","",IF(OR(N773="",O773=""),"",O773-N773))</f>
        <v/>
      </c>
      <c r="Q773" s="24">
        <f>IF($A773="","",IF(P773="","",(O773+N773)/2))</f>
        <v/>
      </c>
      <c r="R773" s="27">
        <f>IF($A773="","",IF(P773="","",COUNT($P$2:P773)))</f>
        <v/>
      </c>
    </row>
    <row r="774">
      <c r="J774" s="24">
        <f>IF($A774="","",IF($C774&lt;&gt;"khp_titration_mL","",IF(COUNTIFS('1_原始數據'!$A$2:$A$1000,$A774,'1_原始數據'!$B$2:$B$1000,$B774,'1_原始數據'!$D$2:$D$1000,$D774,'1_原始數據'!$C$2:$C$1000,"khp_mass_g")=0,"",SUMIFS('1_原始數據'!$E$2:$E$1000,'1_原始數據'!$A$2:$A$1000,$A774,'1_原始數據'!$B$2:$B$1000,$B774,'1_原始數據'!$D$2:$D$1000,$D774,'1_原始數據'!$C$2:$C$1000,"khp_mass_g")/('2_NaOH標定'!$C$5*$E774/1000))))</f>
        <v/>
      </c>
      <c r="K774" s="24">
        <f>IF($A774="","",IF($C774&lt;&gt;"manual_titration_mL","",IF(COUNTIFS('1_原始數據'!$A$2:$A$1000,$A774,'1_原始數據'!$C$2:$C$1000,"khp_titration_mL")=0,"",AVERAGEIFS('1_原始數據'!$J$2:$J$1000,'1_原始數據'!$A$2:$A$1000,$A774,'1_原始數據'!$C$2:$C$1000,"khp_titration_mL"))))</f>
        <v/>
      </c>
      <c r="L774" s="25">
        <f>IF($A774="","",IF($C774&lt;&gt;"manual_titration_mL","",IFERROR(INDEX('3_可滴定酸度'!$E$6:$E$13,MATCH($I774,'3_可滴定酸度'!$B$6:$B$13,0)),"")))</f>
        <v/>
      </c>
      <c r="M774" s="25">
        <f>IF($A774="","",IF($C774&lt;&gt;"manual_titration_mL","",IFERROR(INDEX('3_可滴定酸度'!$F$6:$F$13,MATCH($I774,'3_可滴定酸度'!$B$6:$B$13,0)),"")))</f>
        <v/>
      </c>
      <c r="N774" s="24">
        <f>IF($A774="","",IF(OR(K774="",L774="",M774=""),"",K774*E774*L774/(M774*1000)*100))</f>
        <v/>
      </c>
      <c r="O774" s="24">
        <f>IF($A774="","",IF(N774="","",IF(COUNTIFS('1_原始數據'!$A$2:$A$1000,$A774,'1_原始數據'!$B$2:$B$1000,$B774,'1_原始數據'!$D$2:$D$1000,$D774,'1_原始數據'!$I$2:$I$1000,$I774,'1_原始數據'!$C$2:$C$1000,"pasco_pct_acid")=0,"",SUMIFS('1_原始數據'!$E$2:$E$1000,'1_原始數據'!$A$2:$A$1000,$A774,'1_原始數據'!$B$2:$B$1000,$B774,'1_原始數據'!$D$2:$D$1000,$D774,'1_原始數據'!$I$2:$I$1000,$I774,'1_原始數據'!$C$2:$C$1000,"pasco_pct_acid"))))</f>
        <v/>
      </c>
      <c r="P774" s="26">
        <f>IF($A774="","",IF(OR(N774="",O774=""),"",O774-N774))</f>
        <v/>
      </c>
      <c r="Q774" s="24">
        <f>IF($A774="","",IF(P774="","",(O774+N774)/2))</f>
        <v/>
      </c>
      <c r="R774" s="27">
        <f>IF($A774="","",IF(P774="","",COUNT($P$2:P774)))</f>
        <v/>
      </c>
    </row>
    <row r="775">
      <c r="J775" s="24">
        <f>IF($A775="","",IF($C775&lt;&gt;"khp_titration_mL","",IF(COUNTIFS('1_原始數據'!$A$2:$A$1000,$A775,'1_原始數據'!$B$2:$B$1000,$B775,'1_原始數據'!$D$2:$D$1000,$D775,'1_原始數據'!$C$2:$C$1000,"khp_mass_g")=0,"",SUMIFS('1_原始數據'!$E$2:$E$1000,'1_原始數據'!$A$2:$A$1000,$A775,'1_原始數據'!$B$2:$B$1000,$B775,'1_原始數據'!$D$2:$D$1000,$D775,'1_原始數據'!$C$2:$C$1000,"khp_mass_g")/('2_NaOH標定'!$C$5*$E775/1000))))</f>
        <v/>
      </c>
      <c r="K775" s="24">
        <f>IF($A775="","",IF($C775&lt;&gt;"manual_titration_mL","",IF(COUNTIFS('1_原始數據'!$A$2:$A$1000,$A775,'1_原始數據'!$C$2:$C$1000,"khp_titration_mL")=0,"",AVERAGEIFS('1_原始數據'!$J$2:$J$1000,'1_原始數據'!$A$2:$A$1000,$A775,'1_原始數據'!$C$2:$C$1000,"khp_titration_mL"))))</f>
        <v/>
      </c>
      <c r="L775" s="25">
        <f>IF($A775="","",IF($C775&lt;&gt;"manual_titration_mL","",IFERROR(INDEX('3_可滴定酸度'!$E$6:$E$13,MATCH($I775,'3_可滴定酸度'!$B$6:$B$13,0)),"")))</f>
        <v/>
      </c>
      <c r="M775" s="25">
        <f>IF($A775="","",IF($C775&lt;&gt;"manual_titration_mL","",IFERROR(INDEX('3_可滴定酸度'!$F$6:$F$13,MATCH($I775,'3_可滴定酸度'!$B$6:$B$13,0)),"")))</f>
        <v/>
      </c>
      <c r="N775" s="24">
        <f>IF($A775="","",IF(OR(K775="",L775="",M775=""),"",K775*E775*L775/(M775*1000)*100))</f>
        <v/>
      </c>
      <c r="O775" s="24">
        <f>IF($A775="","",IF(N775="","",IF(COUNTIFS('1_原始數據'!$A$2:$A$1000,$A775,'1_原始數據'!$B$2:$B$1000,$B775,'1_原始數據'!$D$2:$D$1000,$D775,'1_原始數據'!$I$2:$I$1000,$I775,'1_原始數據'!$C$2:$C$1000,"pasco_pct_acid")=0,"",SUMIFS('1_原始數據'!$E$2:$E$1000,'1_原始數據'!$A$2:$A$1000,$A775,'1_原始數據'!$B$2:$B$1000,$B775,'1_原始數據'!$D$2:$D$1000,$D775,'1_原始數據'!$I$2:$I$1000,$I775,'1_原始數據'!$C$2:$C$1000,"pasco_pct_acid"))))</f>
        <v/>
      </c>
      <c r="P775" s="26">
        <f>IF($A775="","",IF(OR(N775="",O775=""),"",O775-N775))</f>
        <v/>
      </c>
      <c r="Q775" s="24">
        <f>IF($A775="","",IF(P775="","",(O775+N775)/2))</f>
        <v/>
      </c>
      <c r="R775" s="27">
        <f>IF($A775="","",IF(P775="","",COUNT($P$2:P775)))</f>
        <v/>
      </c>
    </row>
    <row r="776">
      <c r="J776" s="24">
        <f>IF($A776="","",IF($C776&lt;&gt;"khp_titration_mL","",IF(COUNTIFS('1_原始數據'!$A$2:$A$1000,$A776,'1_原始數據'!$B$2:$B$1000,$B776,'1_原始數據'!$D$2:$D$1000,$D776,'1_原始數據'!$C$2:$C$1000,"khp_mass_g")=0,"",SUMIFS('1_原始數據'!$E$2:$E$1000,'1_原始數據'!$A$2:$A$1000,$A776,'1_原始數據'!$B$2:$B$1000,$B776,'1_原始數據'!$D$2:$D$1000,$D776,'1_原始數據'!$C$2:$C$1000,"khp_mass_g")/('2_NaOH標定'!$C$5*$E776/1000))))</f>
        <v/>
      </c>
      <c r="K776" s="24">
        <f>IF($A776="","",IF($C776&lt;&gt;"manual_titration_mL","",IF(COUNTIFS('1_原始數據'!$A$2:$A$1000,$A776,'1_原始數據'!$C$2:$C$1000,"khp_titration_mL")=0,"",AVERAGEIFS('1_原始數據'!$J$2:$J$1000,'1_原始數據'!$A$2:$A$1000,$A776,'1_原始數據'!$C$2:$C$1000,"khp_titration_mL"))))</f>
        <v/>
      </c>
      <c r="L776" s="25">
        <f>IF($A776="","",IF($C776&lt;&gt;"manual_titration_mL","",IFERROR(INDEX('3_可滴定酸度'!$E$6:$E$13,MATCH($I776,'3_可滴定酸度'!$B$6:$B$13,0)),"")))</f>
        <v/>
      </c>
      <c r="M776" s="25">
        <f>IF($A776="","",IF($C776&lt;&gt;"manual_titration_mL","",IFERROR(INDEX('3_可滴定酸度'!$F$6:$F$13,MATCH($I776,'3_可滴定酸度'!$B$6:$B$13,0)),"")))</f>
        <v/>
      </c>
      <c r="N776" s="24">
        <f>IF($A776="","",IF(OR(K776="",L776="",M776=""),"",K776*E776*L776/(M776*1000)*100))</f>
        <v/>
      </c>
      <c r="O776" s="24">
        <f>IF($A776="","",IF(N776="","",IF(COUNTIFS('1_原始數據'!$A$2:$A$1000,$A776,'1_原始數據'!$B$2:$B$1000,$B776,'1_原始數據'!$D$2:$D$1000,$D776,'1_原始數據'!$I$2:$I$1000,$I776,'1_原始數據'!$C$2:$C$1000,"pasco_pct_acid")=0,"",SUMIFS('1_原始數據'!$E$2:$E$1000,'1_原始數據'!$A$2:$A$1000,$A776,'1_原始數據'!$B$2:$B$1000,$B776,'1_原始數據'!$D$2:$D$1000,$D776,'1_原始數據'!$I$2:$I$1000,$I776,'1_原始數據'!$C$2:$C$1000,"pasco_pct_acid"))))</f>
        <v/>
      </c>
      <c r="P776" s="26">
        <f>IF($A776="","",IF(OR(N776="",O776=""),"",O776-N776))</f>
        <v/>
      </c>
      <c r="Q776" s="24">
        <f>IF($A776="","",IF(P776="","",(O776+N776)/2))</f>
        <v/>
      </c>
      <c r="R776" s="27">
        <f>IF($A776="","",IF(P776="","",COUNT($P$2:P776)))</f>
        <v/>
      </c>
    </row>
    <row r="777">
      <c r="J777" s="24">
        <f>IF($A777="","",IF($C777&lt;&gt;"khp_titration_mL","",IF(COUNTIFS('1_原始數據'!$A$2:$A$1000,$A777,'1_原始數據'!$B$2:$B$1000,$B777,'1_原始數據'!$D$2:$D$1000,$D777,'1_原始數據'!$C$2:$C$1000,"khp_mass_g")=0,"",SUMIFS('1_原始數據'!$E$2:$E$1000,'1_原始數據'!$A$2:$A$1000,$A777,'1_原始數據'!$B$2:$B$1000,$B777,'1_原始數據'!$D$2:$D$1000,$D777,'1_原始數據'!$C$2:$C$1000,"khp_mass_g")/('2_NaOH標定'!$C$5*$E777/1000))))</f>
        <v/>
      </c>
      <c r="K777" s="24">
        <f>IF($A777="","",IF($C777&lt;&gt;"manual_titration_mL","",IF(COUNTIFS('1_原始數據'!$A$2:$A$1000,$A777,'1_原始數據'!$C$2:$C$1000,"khp_titration_mL")=0,"",AVERAGEIFS('1_原始數據'!$J$2:$J$1000,'1_原始數據'!$A$2:$A$1000,$A777,'1_原始數據'!$C$2:$C$1000,"khp_titration_mL"))))</f>
        <v/>
      </c>
      <c r="L777" s="25">
        <f>IF($A777="","",IF($C777&lt;&gt;"manual_titration_mL","",IFERROR(INDEX('3_可滴定酸度'!$E$6:$E$13,MATCH($I777,'3_可滴定酸度'!$B$6:$B$13,0)),"")))</f>
        <v/>
      </c>
      <c r="M777" s="25">
        <f>IF($A777="","",IF($C777&lt;&gt;"manual_titration_mL","",IFERROR(INDEX('3_可滴定酸度'!$F$6:$F$13,MATCH($I777,'3_可滴定酸度'!$B$6:$B$13,0)),"")))</f>
        <v/>
      </c>
      <c r="N777" s="24">
        <f>IF($A777="","",IF(OR(K777="",L777="",M777=""),"",K777*E777*L777/(M777*1000)*100))</f>
        <v/>
      </c>
      <c r="O777" s="24">
        <f>IF($A777="","",IF(N777="","",IF(COUNTIFS('1_原始數據'!$A$2:$A$1000,$A777,'1_原始數據'!$B$2:$B$1000,$B777,'1_原始數據'!$D$2:$D$1000,$D777,'1_原始數據'!$I$2:$I$1000,$I777,'1_原始數據'!$C$2:$C$1000,"pasco_pct_acid")=0,"",SUMIFS('1_原始數據'!$E$2:$E$1000,'1_原始數據'!$A$2:$A$1000,$A777,'1_原始數據'!$B$2:$B$1000,$B777,'1_原始數據'!$D$2:$D$1000,$D777,'1_原始數據'!$I$2:$I$1000,$I777,'1_原始數據'!$C$2:$C$1000,"pasco_pct_acid"))))</f>
        <v/>
      </c>
      <c r="P777" s="26">
        <f>IF($A777="","",IF(OR(N777="",O777=""),"",O777-N777))</f>
        <v/>
      </c>
      <c r="Q777" s="24">
        <f>IF($A777="","",IF(P777="","",(O777+N777)/2))</f>
        <v/>
      </c>
      <c r="R777" s="27">
        <f>IF($A777="","",IF(P777="","",COUNT($P$2:P777)))</f>
        <v/>
      </c>
    </row>
    <row r="778">
      <c r="J778" s="24">
        <f>IF($A778="","",IF($C778&lt;&gt;"khp_titration_mL","",IF(COUNTIFS('1_原始數據'!$A$2:$A$1000,$A778,'1_原始數據'!$B$2:$B$1000,$B778,'1_原始數據'!$D$2:$D$1000,$D778,'1_原始數據'!$C$2:$C$1000,"khp_mass_g")=0,"",SUMIFS('1_原始數據'!$E$2:$E$1000,'1_原始數據'!$A$2:$A$1000,$A778,'1_原始數據'!$B$2:$B$1000,$B778,'1_原始數據'!$D$2:$D$1000,$D778,'1_原始數據'!$C$2:$C$1000,"khp_mass_g")/('2_NaOH標定'!$C$5*$E778/1000))))</f>
        <v/>
      </c>
      <c r="K778" s="24">
        <f>IF($A778="","",IF($C778&lt;&gt;"manual_titration_mL","",IF(COUNTIFS('1_原始數據'!$A$2:$A$1000,$A778,'1_原始數據'!$C$2:$C$1000,"khp_titration_mL")=0,"",AVERAGEIFS('1_原始數據'!$J$2:$J$1000,'1_原始數據'!$A$2:$A$1000,$A778,'1_原始數據'!$C$2:$C$1000,"khp_titration_mL"))))</f>
        <v/>
      </c>
      <c r="L778" s="25">
        <f>IF($A778="","",IF($C778&lt;&gt;"manual_titration_mL","",IFERROR(INDEX('3_可滴定酸度'!$E$6:$E$13,MATCH($I778,'3_可滴定酸度'!$B$6:$B$13,0)),"")))</f>
        <v/>
      </c>
      <c r="M778" s="25">
        <f>IF($A778="","",IF($C778&lt;&gt;"manual_titration_mL","",IFERROR(INDEX('3_可滴定酸度'!$F$6:$F$13,MATCH($I778,'3_可滴定酸度'!$B$6:$B$13,0)),"")))</f>
        <v/>
      </c>
      <c r="N778" s="24">
        <f>IF($A778="","",IF(OR(K778="",L778="",M778=""),"",K778*E778*L778/(M778*1000)*100))</f>
        <v/>
      </c>
      <c r="O778" s="24">
        <f>IF($A778="","",IF(N778="","",IF(COUNTIFS('1_原始數據'!$A$2:$A$1000,$A778,'1_原始數據'!$B$2:$B$1000,$B778,'1_原始數據'!$D$2:$D$1000,$D778,'1_原始數據'!$I$2:$I$1000,$I778,'1_原始數據'!$C$2:$C$1000,"pasco_pct_acid")=0,"",SUMIFS('1_原始數據'!$E$2:$E$1000,'1_原始數據'!$A$2:$A$1000,$A778,'1_原始數據'!$B$2:$B$1000,$B778,'1_原始數據'!$D$2:$D$1000,$D778,'1_原始數據'!$I$2:$I$1000,$I778,'1_原始數據'!$C$2:$C$1000,"pasco_pct_acid"))))</f>
        <v/>
      </c>
      <c r="P778" s="26">
        <f>IF($A778="","",IF(OR(N778="",O778=""),"",O778-N778))</f>
        <v/>
      </c>
      <c r="Q778" s="24">
        <f>IF($A778="","",IF(P778="","",(O778+N778)/2))</f>
        <v/>
      </c>
      <c r="R778" s="27">
        <f>IF($A778="","",IF(P778="","",COUNT($P$2:P778)))</f>
        <v/>
      </c>
    </row>
    <row r="779">
      <c r="J779" s="24">
        <f>IF($A779="","",IF($C779&lt;&gt;"khp_titration_mL","",IF(COUNTIFS('1_原始數據'!$A$2:$A$1000,$A779,'1_原始數據'!$B$2:$B$1000,$B779,'1_原始數據'!$D$2:$D$1000,$D779,'1_原始數據'!$C$2:$C$1000,"khp_mass_g")=0,"",SUMIFS('1_原始數據'!$E$2:$E$1000,'1_原始數據'!$A$2:$A$1000,$A779,'1_原始數據'!$B$2:$B$1000,$B779,'1_原始數據'!$D$2:$D$1000,$D779,'1_原始數據'!$C$2:$C$1000,"khp_mass_g")/('2_NaOH標定'!$C$5*$E779/1000))))</f>
        <v/>
      </c>
      <c r="K779" s="24">
        <f>IF($A779="","",IF($C779&lt;&gt;"manual_titration_mL","",IF(COUNTIFS('1_原始數據'!$A$2:$A$1000,$A779,'1_原始數據'!$C$2:$C$1000,"khp_titration_mL")=0,"",AVERAGEIFS('1_原始數據'!$J$2:$J$1000,'1_原始數據'!$A$2:$A$1000,$A779,'1_原始數據'!$C$2:$C$1000,"khp_titration_mL"))))</f>
        <v/>
      </c>
      <c r="L779" s="25">
        <f>IF($A779="","",IF($C779&lt;&gt;"manual_titration_mL","",IFERROR(INDEX('3_可滴定酸度'!$E$6:$E$13,MATCH($I779,'3_可滴定酸度'!$B$6:$B$13,0)),"")))</f>
        <v/>
      </c>
      <c r="M779" s="25">
        <f>IF($A779="","",IF($C779&lt;&gt;"manual_titration_mL","",IFERROR(INDEX('3_可滴定酸度'!$F$6:$F$13,MATCH($I779,'3_可滴定酸度'!$B$6:$B$13,0)),"")))</f>
        <v/>
      </c>
      <c r="N779" s="24">
        <f>IF($A779="","",IF(OR(K779="",L779="",M779=""),"",K779*E779*L779/(M779*1000)*100))</f>
        <v/>
      </c>
      <c r="O779" s="24">
        <f>IF($A779="","",IF(N779="","",IF(COUNTIFS('1_原始數據'!$A$2:$A$1000,$A779,'1_原始數據'!$B$2:$B$1000,$B779,'1_原始數據'!$D$2:$D$1000,$D779,'1_原始數據'!$I$2:$I$1000,$I779,'1_原始數據'!$C$2:$C$1000,"pasco_pct_acid")=0,"",SUMIFS('1_原始數據'!$E$2:$E$1000,'1_原始數據'!$A$2:$A$1000,$A779,'1_原始數據'!$B$2:$B$1000,$B779,'1_原始數據'!$D$2:$D$1000,$D779,'1_原始數據'!$I$2:$I$1000,$I779,'1_原始數據'!$C$2:$C$1000,"pasco_pct_acid"))))</f>
        <v/>
      </c>
      <c r="P779" s="26">
        <f>IF($A779="","",IF(OR(N779="",O779=""),"",O779-N779))</f>
        <v/>
      </c>
      <c r="Q779" s="24">
        <f>IF($A779="","",IF(P779="","",(O779+N779)/2))</f>
        <v/>
      </c>
      <c r="R779" s="27">
        <f>IF($A779="","",IF(P779="","",COUNT($P$2:P779)))</f>
        <v/>
      </c>
    </row>
    <row r="780">
      <c r="J780" s="24">
        <f>IF($A780="","",IF($C780&lt;&gt;"khp_titration_mL","",IF(COUNTIFS('1_原始數據'!$A$2:$A$1000,$A780,'1_原始數據'!$B$2:$B$1000,$B780,'1_原始數據'!$D$2:$D$1000,$D780,'1_原始數據'!$C$2:$C$1000,"khp_mass_g")=0,"",SUMIFS('1_原始數據'!$E$2:$E$1000,'1_原始數據'!$A$2:$A$1000,$A780,'1_原始數據'!$B$2:$B$1000,$B780,'1_原始數據'!$D$2:$D$1000,$D780,'1_原始數據'!$C$2:$C$1000,"khp_mass_g")/('2_NaOH標定'!$C$5*$E780/1000))))</f>
        <v/>
      </c>
      <c r="K780" s="24">
        <f>IF($A780="","",IF($C780&lt;&gt;"manual_titration_mL","",IF(COUNTIFS('1_原始數據'!$A$2:$A$1000,$A780,'1_原始數據'!$C$2:$C$1000,"khp_titration_mL")=0,"",AVERAGEIFS('1_原始數據'!$J$2:$J$1000,'1_原始數據'!$A$2:$A$1000,$A780,'1_原始數據'!$C$2:$C$1000,"khp_titration_mL"))))</f>
        <v/>
      </c>
      <c r="L780" s="25">
        <f>IF($A780="","",IF($C780&lt;&gt;"manual_titration_mL","",IFERROR(INDEX('3_可滴定酸度'!$E$6:$E$13,MATCH($I780,'3_可滴定酸度'!$B$6:$B$13,0)),"")))</f>
        <v/>
      </c>
      <c r="M780" s="25">
        <f>IF($A780="","",IF($C780&lt;&gt;"manual_titration_mL","",IFERROR(INDEX('3_可滴定酸度'!$F$6:$F$13,MATCH($I780,'3_可滴定酸度'!$B$6:$B$13,0)),"")))</f>
        <v/>
      </c>
      <c r="N780" s="24">
        <f>IF($A780="","",IF(OR(K780="",L780="",M780=""),"",K780*E780*L780/(M780*1000)*100))</f>
        <v/>
      </c>
      <c r="O780" s="24">
        <f>IF($A780="","",IF(N780="","",IF(COUNTIFS('1_原始數據'!$A$2:$A$1000,$A780,'1_原始數據'!$B$2:$B$1000,$B780,'1_原始數據'!$D$2:$D$1000,$D780,'1_原始數據'!$I$2:$I$1000,$I780,'1_原始數據'!$C$2:$C$1000,"pasco_pct_acid")=0,"",SUMIFS('1_原始數據'!$E$2:$E$1000,'1_原始數據'!$A$2:$A$1000,$A780,'1_原始數據'!$B$2:$B$1000,$B780,'1_原始數據'!$D$2:$D$1000,$D780,'1_原始數據'!$I$2:$I$1000,$I780,'1_原始數據'!$C$2:$C$1000,"pasco_pct_acid"))))</f>
        <v/>
      </c>
      <c r="P780" s="26">
        <f>IF($A780="","",IF(OR(N780="",O780=""),"",O780-N780))</f>
        <v/>
      </c>
      <c r="Q780" s="24">
        <f>IF($A780="","",IF(P780="","",(O780+N780)/2))</f>
        <v/>
      </c>
      <c r="R780" s="27">
        <f>IF($A780="","",IF(P780="","",COUNT($P$2:P780)))</f>
        <v/>
      </c>
    </row>
    <row r="781">
      <c r="J781" s="24">
        <f>IF($A781="","",IF($C781&lt;&gt;"khp_titration_mL","",IF(COUNTIFS('1_原始數據'!$A$2:$A$1000,$A781,'1_原始數據'!$B$2:$B$1000,$B781,'1_原始數據'!$D$2:$D$1000,$D781,'1_原始數據'!$C$2:$C$1000,"khp_mass_g")=0,"",SUMIFS('1_原始數據'!$E$2:$E$1000,'1_原始數據'!$A$2:$A$1000,$A781,'1_原始數據'!$B$2:$B$1000,$B781,'1_原始數據'!$D$2:$D$1000,$D781,'1_原始數據'!$C$2:$C$1000,"khp_mass_g")/('2_NaOH標定'!$C$5*$E781/1000))))</f>
        <v/>
      </c>
      <c r="K781" s="24">
        <f>IF($A781="","",IF($C781&lt;&gt;"manual_titration_mL","",IF(COUNTIFS('1_原始數據'!$A$2:$A$1000,$A781,'1_原始數據'!$C$2:$C$1000,"khp_titration_mL")=0,"",AVERAGEIFS('1_原始數據'!$J$2:$J$1000,'1_原始數據'!$A$2:$A$1000,$A781,'1_原始數據'!$C$2:$C$1000,"khp_titration_mL"))))</f>
        <v/>
      </c>
      <c r="L781" s="25">
        <f>IF($A781="","",IF($C781&lt;&gt;"manual_titration_mL","",IFERROR(INDEX('3_可滴定酸度'!$E$6:$E$13,MATCH($I781,'3_可滴定酸度'!$B$6:$B$13,0)),"")))</f>
        <v/>
      </c>
      <c r="M781" s="25">
        <f>IF($A781="","",IF($C781&lt;&gt;"manual_titration_mL","",IFERROR(INDEX('3_可滴定酸度'!$F$6:$F$13,MATCH($I781,'3_可滴定酸度'!$B$6:$B$13,0)),"")))</f>
        <v/>
      </c>
      <c r="N781" s="24">
        <f>IF($A781="","",IF(OR(K781="",L781="",M781=""),"",K781*E781*L781/(M781*1000)*100))</f>
        <v/>
      </c>
      <c r="O781" s="24">
        <f>IF($A781="","",IF(N781="","",IF(COUNTIFS('1_原始數據'!$A$2:$A$1000,$A781,'1_原始數據'!$B$2:$B$1000,$B781,'1_原始數據'!$D$2:$D$1000,$D781,'1_原始數據'!$I$2:$I$1000,$I781,'1_原始數據'!$C$2:$C$1000,"pasco_pct_acid")=0,"",SUMIFS('1_原始數據'!$E$2:$E$1000,'1_原始數據'!$A$2:$A$1000,$A781,'1_原始數據'!$B$2:$B$1000,$B781,'1_原始數據'!$D$2:$D$1000,$D781,'1_原始數據'!$I$2:$I$1000,$I781,'1_原始數據'!$C$2:$C$1000,"pasco_pct_acid"))))</f>
        <v/>
      </c>
      <c r="P781" s="26">
        <f>IF($A781="","",IF(OR(N781="",O781=""),"",O781-N781))</f>
        <v/>
      </c>
      <c r="Q781" s="24">
        <f>IF($A781="","",IF(P781="","",(O781+N781)/2))</f>
        <v/>
      </c>
      <c r="R781" s="27">
        <f>IF($A781="","",IF(P781="","",COUNT($P$2:P781)))</f>
        <v/>
      </c>
    </row>
    <row r="782">
      <c r="J782" s="24">
        <f>IF($A782="","",IF($C782&lt;&gt;"khp_titration_mL","",IF(COUNTIFS('1_原始數據'!$A$2:$A$1000,$A782,'1_原始數據'!$B$2:$B$1000,$B782,'1_原始數據'!$D$2:$D$1000,$D782,'1_原始數據'!$C$2:$C$1000,"khp_mass_g")=0,"",SUMIFS('1_原始數據'!$E$2:$E$1000,'1_原始數據'!$A$2:$A$1000,$A782,'1_原始數據'!$B$2:$B$1000,$B782,'1_原始數據'!$D$2:$D$1000,$D782,'1_原始數據'!$C$2:$C$1000,"khp_mass_g")/('2_NaOH標定'!$C$5*$E782/1000))))</f>
        <v/>
      </c>
      <c r="K782" s="24">
        <f>IF($A782="","",IF($C782&lt;&gt;"manual_titration_mL","",IF(COUNTIFS('1_原始數據'!$A$2:$A$1000,$A782,'1_原始數據'!$C$2:$C$1000,"khp_titration_mL")=0,"",AVERAGEIFS('1_原始數據'!$J$2:$J$1000,'1_原始數據'!$A$2:$A$1000,$A782,'1_原始數據'!$C$2:$C$1000,"khp_titration_mL"))))</f>
        <v/>
      </c>
      <c r="L782" s="25">
        <f>IF($A782="","",IF($C782&lt;&gt;"manual_titration_mL","",IFERROR(INDEX('3_可滴定酸度'!$E$6:$E$13,MATCH($I782,'3_可滴定酸度'!$B$6:$B$13,0)),"")))</f>
        <v/>
      </c>
      <c r="M782" s="25">
        <f>IF($A782="","",IF($C782&lt;&gt;"manual_titration_mL","",IFERROR(INDEX('3_可滴定酸度'!$F$6:$F$13,MATCH($I782,'3_可滴定酸度'!$B$6:$B$13,0)),"")))</f>
        <v/>
      </c>
      <c r="N782" s="24">
        <f>IF($A782="","",IF(OR(K782="",L782="",M782=""),"",K782*E782*L782/(M782*1000)*100))</f>
        <v/>
      </c>
      <c r="O782" s="24">
        <f>IF($A782="","",IF(N782="","",IF(COUNTIFS('1_原始數據'!$A$2:$A$1000,$A782,'1_原始數據'!$B$2:$B$1000,$B782,'1_原始數據'!$D$2:$D$1000,$D782,'1_原始數據'!$I$2:$I$1000,$I782,'1_原始數據'!$C$2:$C$1000,"pasco_pct_acid")=0,"",SUMIFS('1_原始數據'!$E$2:$E$1000,'1_原始數據'!$A$2:$A$1000,$A782,'1_原始數據'!$B$2:$B$1000,$B782,'1_原始數據'!$D$2:$D$1000,$D782,'1_原始數據'!$I$2:$I$1000,$I782,'1_原始數據'!$C$2:$C$1000,"pasco_pct_acid"))))</f>
        <v/>
      </c>
      <c r="P782" s="26">
        <f>IF($A782="","",IF(OR(N782="",O782=""),"",O782-N782))</f>
        <v/>
      </c>
      <c r="Q782" s="24">
        <f>IF($A782="","",IF(P782="","",(O782+N782)/2))</f>
        <v/>
      </c>
      <c r="R782" s="27">
        <f>IF($A782="","",IF(P782="","",COUNT($P$2:P782)))</f>
        <v/>
      </c>
    </row>
    <row r="783">
      <c r="J783" s="24">
        <f>IF($A783="","",IF($C783&lt;&gt;"khp_titration_mL","",IF(COUNTIFS('1_原始數據'!$A$2:$A$1000,$A783,'1_原始數據'!$B$2:$B$1000,$B783,'1_原始數據'!$D$2:$D$1000,$D783,'1_原始數據'!$C$2:$C$1000,"khp_mass_g")=0,"",SUMIFS('1_原始數據'!$E$2:$E$1000,'1_原始數據'!$A$2:$A$1000,$A783,'1_原始數據'!$B$2:$B$1000,$B783,'1_原始數據'!$D$2:$D$1000,$D783,'1_原始數據'!$C$2:$C$1000,"khp_mass_g")/('2_NaOH標定'!$C$5*$E783/1000))))</f>
        <v/>
      </c>
      <c r="K783" s="24">
        <f>IF($A783="","",IF($C783&lt;&gt;"manual_titration_mL","",IF(COUNTIFS('1_原始數據'!$A$2:$A$1000,$A783,'1_原始數據'!$C$2:$C$1000,"khp_titration_mL")=0,"",AVERAGEIFS('1_原始數據'!$J$2:$J$1000,'1_原始數據'!$A$2:$A$1000,$A783,'1_原始數據'!$C$2:$C$1000,"khp_titration_mL"))))</f>
        <v/>
      </c>
      <c r="L783" s="25">
        <f>IF($A783="","",IF($C783&lt;&gt;"manual_titration_mL","",IFERROR(INDEX('3_可滴定酸度'!$E$6:$E$13,MATCH($I783,'3_可滴定酸度'!$B$6:$B$13,0)),"")))</f>
        <v/>
      </c>
      <c r="M783" s="25">
        <f>IF($A783="","",IF($C783&lt;&gt;"manual_titration_mL","",IFERROR(INDEX('3_可滴定酸度'!$F$6:$F$13,MATCH($I783,'3_可滴定酸度'!$B$6:$B$13,0)),"")))</f>
        <v/>
      </c>
      <c r="N783" s="24">
        <f>IF($A783="","",IF(OR(K783="",L783="",M783=""),"",K783*E783*L783/(M783*1000)*100))</f>
        <v/>
      </c>
      <c r="O783" s="24">
        <f>IF($A783="","",IF(N783="","",IF(COUNTIFS('1_原始數據'!$A$2:$A$1000,$A783,'1_原始數據'!$B$2:$B$1000,$B783,'1_原始數據'!$D$2:$D$1000,$D783,'1_原始數據'!$I$2:$I$1000,$I783,'1_原始數據'!$C$2:$C$1000,"pasco_pct_acid")=0,"",SUMIFS('1_原始數據'!$E$2:$E$1000,'1_原始數據'!$A$2:$A$1000,$A783,'1_原始數據'!$B$2:$B$1000,$B783,'1_原始數據'!$D$2:$D$1000,$D783,'1_原始數據'!$I$2:$I$1000,$I783,'1_原始數據'!$C$2:$C$1000,"pasco_pct_acid"))))</f>
        <v/>
      </c>
      <c r="P783" s="26">
        <f>IF($A783="","",IF(OR(N783="",O783=""),"",O783-N783))</f>
        <v/>
      </c>
      <c r="Q783" s="24">
        <f>IF($A783="","",IF(P783="","",(O783+N783)/2))</f>
        <v/>
      </c>
      <c r="R783" s="27">
        <f>IF($A783="","",IF(P783="","",COUNT($P$2:P783)))</f>
        <v/>
      </c>
    </row>
    <row r="784">
      <c r="J784" s="24">
        <f>IF($A784="","",IF($C784&lt;&gt;"khp_titration_mL","",IF(COUNTIFS('1_原始數據'!$A$2:$A$1000,$A784,'1_原始數據'!$B$2:$B$1000,$B784,'1_原始數據'!$D$2:$D$1000,$D784,'1_原始數據'!$C$2:$C$1000,"khp_mass_g")=0,"",SUMIFS('1_原始數據'!$E$2:$E$1000,'1_原始數據'!$A$2:$A$1000,$A784,'1_原始數據'!$B$2:$B$1000,$B784,'1_原始數據'!$D$2:$D$1000,$D784,'1_原始數據'!$C$2:$C$1000,"khp_mass_g")/('2_NaOH標定'!$C$5*$E784/1000))))</f>
        <v/>
      </c>
      <c r="K784" s="24">
        <f>IF($A784="","",IF($C784&lt;&gt;"manual_titration_mL","",IF(COUNTIFS('1_原始數據'!$A$2:$A$1000,$A784,'1_原始數據'!$C$2:$C$1000,"khp_titration_mL")=0,"",AVERAGEIFS('1_原始數據'!$J$2:$J$1000,'1_原始數據'!$A$2:$A$1000,$A784,'1_原始數據'!$C$2:$C$1000,"khp_titration_mL"))))</f>
        <v/>
      </c>
      <c r="L784" s="25">
        <f>IF($A784="","",IF($C784&lt;&gt;"manual_titration_mL","",IFERROR(INDEX('3_可滴定酸度'!$E$6:$E$13,MATCH($I784,'3_可滴定酸度'!$B$6:$B$13,0)),"")))</f>
        <v/>
      </c>
      <c r="M784" s="25">
        <f>IF($A784="","",IF($C784&lt;&gt;"manual_titration_mL","",IFERROR(INDEX('3_可滴定酸度'!$F$6:$F$13,MATCH($I784,'3_可滴定酸度'!$B$6:$B$13,0)),"")))</f>
        <v/>
      </c>
      <c r="N784" s="24">
        <f>IF($A784="","",IF(OR(K784="",L784="",M784=""),"",K784*E784*L784/(M784*1000)*100))</f>
        <v/>
      </c>
      <c r="O784" s="24">
        <f>IF($A784="","",IF(N784="","",IF(COUNTIFS('1_原始數據'!$A$2:$A$1000,$A784,'1_原始數據'!$B$2:$B$1000,$B784,'1_原始數據'!$D$2:$D$1000,$D784,'1_原始數據'!$I$2:$I$1000,$I784,'1_原始數據'!$C$2:$C$1000,"pasco_pct_acid")=0,"",SUMIFS('1_原始數據'!$E$2:$E$1000,'1_原始數據'!$A$2:$A$1000,$A784,'1_原始數據'!$B$2:$B$1000,$B784,'1_原始數據'!$D$2:$D$1000,$D784,'1_原始數據'!$I$2:$I$1000,$I784,'1_原始數據'!$C$2:$C$1000,"pasco_pct_acid"))))</f>
        <v/>
      </c>
      <c r="P784" s="26">
        <f>IF($A784="","",IF(OR(N784="",O784=""),"",O784-N784))</f>
        <v/>
      </c>
      <c r="Q784" s="24">
        <f>IF($A784="","",IF(P784="","",(O784+N784)/2))</f>
        <v/>
      </c>
      <c r="R784" s="27">
        <f>IF($A784="","",IF(P784="","",COUNT($P$2:P784)))</f>
        <v/>
      </c>
    </row>
    <row r="785">
      <c r="J785" s="24">
        <f>IF($A785="","",IF($C785&lt;&gt;"khp_titration_mL","",IF(COUNTIFS('1_原始數據'!$A$2:$A$1000,$A785,'1_原始數據'!$B$2:$B$1000,$B785,'1_原始數據'!$D$2:$D$1000,$D785,'1_原始數據'!$C$2:$C$1000,"khp_mass_g")=0,"",SUMIFS('1_原始數據'!$E$2:$E$1000,'1_原始數據'!$A$2:$A$1000,$A785,'1_原始數據'!$B$2:$B$1000,$B785,'1_原始數據'!$D$2:$D$1000,$D785,'1_原始數據'!$C$2:$C$1000,"khp_mass_g")/('2_NaOH標定'!$C$5*$E785/1000))))</f>
        <v/>
      </c>
      <c r="K785" s="24">
        <f>IF($A785="","",IF($C785&lt;&gt;"manual_titration_mL","",IF(COUNTIFS('1_原始數據'!$A$2:$A$1000,$A785,'1_原始數據'!$C$2:$C$1000,"khp_titration_mL")=0,"",AVERAGEIFS('1_原始數據'!$J$2:$J$1000,'1_原始數據'!$A$2:$A$1000,$A785,'1_原始數據'!$C$2:$C$1000,"khp_titration_mL"))))</f>
        <v/>
      </c>
      <c r="L785" s="25">
        <f>IF($A785="","",IF($C785&lt;&gt;"manual_titration_mL","",IFERROR(INDEX('3_可滴定酸度'!$E$6:$E$13,MATCH($I785,'3_可滴定酸度'!$B$6:$B$13,0)),"")))</f>
        <v/>
      </c>
      <c r="M785" s="25">
        <f>IF($A785="","",IF($C785&lt;&gt;"manual_titration_mL","",IFERROR(INDEX('3_可滴定酸度'!$F$6:$F$13,MATCH($I785,'3_可滴定酸度'!$B$6:$B$13,0)),"")))</f>
        <v/>
      </c>
      <c r="N785" s="24">
        <f>IF($A785="","",IF(OR(K785="",L785="",M785=""),"",K785*E785*L785/(M785*1000)*100))</f>
        <v/>
      </c>
      <c r="O785" s="24">
        <f>IF($A785="","",IF(N785="","",IF(COUNTIFS('1_原始數據'!$A$2:$A$1000,$A785,'1_原始數據'!$B$2:$B$1000,$B785,'1_原始數據'!$D$2:$D$1000,$D785,'1_原始數據'!$I$2:$I$1000,$I785,'1_原始數據'!$C$2:$C$1000,"pasco_pct_acid")=0,"",SUMIFS('1_原始數據'!$E$2:$E$1000,'1_原始數據'!$A$2:$A$1000,$A785,'1_原始數據'!$B$2:$B$1000,$B785,'1_原始數據'!$D$2:$D$1000,$D785,'1_原始數據'!$I$2:$I$1000,$I785,'1_原始數據'!$C$2:$C$1000,"pasco_pct_acid"))))</f>
        <v/>
      </c>
      <c r="P785" s="26">
        <f>IF($A785="","",IF(OR(N785="",O785=""),"",O785-N785))</f>
        <v/>
      </c>
      <c r="Q785" s="24">
        <f>IF($A785="","",IF(P785="","",(O785+N785)/2))</f>
        <v/>
      </c>
      <c r="R785" s="27">
        <f>IF($A785="","",IF(P785="","",COUNT($P$2:P785)))</f>
        <v/>
      </c>
    </row>
    <row r="786">
      <c r="J786" s="24">
        <f>IF($A786="","",IF($C786&lt;&gt;"khp_titration_mL","",IF(COUNTIFS('1_原始數據'!$A$2:$A$1000,$A786,'1_原始數據'!$B$2:$B$1000,$B786,'1_原始數據'!$D$2:$D$1000,$D786,'1_原始數據'!$C$2:$C$1000,"khp_mass_g")=0,"",SUMIFS('1_原始數據'!$E$2:$E$1000,'1_原始數據'!$A$2:$A$1000,$A786,'1_原始數據'!$B$2:$B$1000,$B786,'1_原始數據'!$D$2:$D$1000,$D786,'1_原始數據'!$C$2:$C$1000,"khp_mass_g")/('2_NaOH標定'!$C$5*$E786/1000))))</f>
        <v/>
      </c>
      <c r="K786" s="24">
        <f>IF($A786="","",IF($C786&lt;&gt;"manual_titration_mL","",IF(COUNTIFS('1_原始數據'!$A$2:$A$1000,$A786,'1_原始數據'!$C$2:$C$1000,"khp_titration_mL")=0,"",AVERAGEIFS('1_原始數據'!$J$2:$J$1000,'1_原始數據'!$A$2:$A$1000,$A786,'1_原始數據'!$C$2:$C$1000,"khp_titration_mL"))))</f>
        <v/>
      </c>
      <c r="L786" s="25">
        <f>IF($A786="","",IF($C786&lt;&gt;"manual_titration_mL","",IFERROR(INDEX('3_可滴定酸度'!$E$6:$E$13,MATCH($I786,'3_可滴定酸度'!$B$6:$B$13,0)),"")))</f>
        <v/>
      </c>
      <c r="M786" s="25">
        <f>IF($A786="","",IF($C786&lt;&gt;"manual_titration_mL","",IFERROR(INDEX('3_可滴定酸度'!$F$6:$F$13,MATCH($I786,'3_可滴定酸度'!$B$6:$B$13,0)),"")))</f>
        <v/>
      </c>
      <c r="N786" s="24">
        <f>IF($A786="","",IF(OR(K786="",L786="",M786=""),"",K786*E786*L786/(M786*1000)*100))</f>
        <v/>
      </c>
      <c r="O786" s="24">
        <f>IF($A786="","",IF(N786="","",IF(COUNTIFS('1_原始數據'!$A$2:$A$1000,$A786,'1_原始數據'!$B$2:$B$1000,$B786,'1_原始數據'!$D$2:$D$1000,$D786,'1_原始數據'!$I$2:$I$1000,$I786,'1_原始數據'!$C$2:$C$1000,"pasco_pct_acid")=0,"",SUMIFS('1_原始數據'!$E$2:$E$1000,'1_原始數據'!$A$2:$A$1000,$A786,'1_原始數據'!$B$2:$B$1000,$B786,'1_原始數據'!$D$2:$D$1000,$D786,'1_原始數據'!$I$2:$I$1000,$I786,'1_原始數據'!$C$2:$C$1000,"pasco_pct_acid"))))</f>
        <v/>
      </c>
      <c r="P786" s="26">
        <f>IF($A786="","",IF(OR(N786="",O786=""),"",O786-N786))</f>
        <v/>
      </c>
      <c r="Q786" s="24">
        <f>IF($A786="","",IF(P786="","",(O786+N786)/2))</f>
        <v/>
      </c>
      <c r="R786" s="27">
        <f>IF($A786="","",IF(P786="","",COUNT($P$2:P786)))</f>
        <v/>
      </c>
    </row>
    <row r="787">
      <c r="J787" s="24">
        <f>IF($A787="","",IF($C787&lt;&gt;"khp_titration_mL","",IF(COUNTIFS('1_原始數據'!$A$2:$A$1000,$A787,'1_原始數據'!$B$2:$B$1000,$B787,'1_原始數據'!$D$2:$D$1000,$D787,'1_原始數據'!$C$2:$C$1000,"khp_mass_g")=0,"",SUMIFS('1_原始數據'!$E$2:$E$1000,'1_原始數據'!$A$2:$A$1000,$A787,'1_原始數據'!$B$2:$B$1000,$B787,'1_原始數據'!$D$2:$D$1000,$D787,'1_原始數據'!$C$2:$C$1000,"khp_mass_g")/('2_NaOH標定'!$C$5*$E787/1000))))</f>
        <v/>
      </c>
      <c r="K787" s="24">
        <f>IF($A787="","",IF($C787&lt;&gt;"manual_titration_mL","",IF(COUNTIFS('1_原始數據'!$A$2:$A$1000,$A787,'1_原始數據'!$C$2:$C$1000,"khp_titration_mL")=0,"",AVERAGEIFS('1_原始數據'!$J$2:$J$1000,'1_原始數據'!$A$2:$A$1000,$A787,'1_原始數據'!$C$2:$C$1000,"khp_titration_mL"))))</f>
        <v/>
      </c>
      <c r="L787" s="25">
        <f>IF($A787="","",IF($C787&lt;&gt;"manual_titration_mL","",IFERROR(INDEX('3_可滴定酸度'!$E$6:$E$13,MATCH($I787,'3_可滴定酸度'!$B$6:$B$13,0)),"")))</f>
        <v/>
      </c>
      <c r="M787" s="25">
        <f>IF($A787="","",IF($C787&lt;&gt;"manual_titration_mL","",IFERROR(INDEX('3_可滴定酸度'!$F$6:$F$13,MATCH($I787,'3_可滴定酸度'!$B$6:$B$13,0)),"")))</f>
        <v/>
      </c>
      <c r="N787" s="24">
        <f>IF($A787="","",IF(OR(K787="",L787="",M787=""),"",K787*E787*L787/(M787*1000)*100))</f>
        <v/>
      </c>
      <c r="O787" s="24">
        <f>IF($A787="","",IF(N787="","",IF(COUNTIFS('1_原始數據'!$A$2:$A$1000,$A787,'1_原始數據'!$B$2:$B$1000,$B787,'1_原始數據'!$D$2:$D$1000,$D787,'1_原始數據'!$I$2:$I$1000,$I787,'1_原始數據'!$C$2:$C$1000,"pasco_pct_acid")=0,"",SUMIFS('1_原始數據'!$E$2:$E$1000,'1_原始數據'!$A$2:$A$1000,$A787,'1_原始數據'!$B$2:$B$1000,$B787,'1_原始數據'!$D$2:$D$1000,$D787,'1_原始數據'!$I$2:$I$1000,$I787,'1_原始數據'!$C$2:$C$1000,"pasco_pct_acid"))))</f>
        <v/>
      </c>
      <c r="P787" s="26">
        <f>IF($A787="","",IF(OR(N787="",O787=""),"",O787-N787))</f>
        <v/>
      </c>
      <c r="Q787" s="24">
        <f>IF($A787="","",IF(P787="","",(O787+N787)/2))</f>
        <v/>
      </c>
      <c r="R787" s="27">
        <f>IF($A787="","",IF(P787="","",COUNT($P$2:P787)))</f>
        <v/>
      </c>
    </row>
    <row r="788">
      <c r="J788" s="24">
        <f>IF($A788="","",IF($C788&lt;&gt;"khp_titration_mL","",IF(COUNTIFS('1_原始數據'!$A$2:$A$1000,$A788,'1_原始數據'!$B$2:$B$1000,$B788,'1_原始數據'!$D$2:$D$1000,$D788,'1_原始數據'!$C$2:$C$1000,"khp_mass_g")=0,"",SUMIFS('1_原始數據'!$E$2:$E$1000,'1_原始數據'!$A$2:$A$1000,$A788,'1_原始數據'!$B$2:$B$1000,$B788,'1_原始數據'!$D$2:$D$1000,$D788,'1_原始數據'!$C$2:$C$1000,"khp_mass_g")/('2_NaOH標定'!$C$5*$E788/1000))))</f>
        <v/>
      </c>
      <c r="K788" s="24">
        <f>IF($A788="","",IF($C788&lt;&gt;"manual_titration_mL","",IF(COUNTIFS('1_原始數據'!$A$2:$A$1000,$A788,'1_原始數據'!$C$2:$C$1000,"khp_titration_mL")=0,"",AVERAGEIFS('1_原始數據'!$J$2:$J$1000,'1_原始數據'!$A$2:$A$1000,$A788,'1_原始數據'!$C$2:$C$1000,"khp_titration_mL"))))</f>
        <v/>
      </c>
      <c r="L788" s="25">
        <f>IF($A788="","",IF($C788&lt;&gt;"manual_titration_mL","",IFERROR(INDEX('3_可滴定酸度'!$E$6:$E$13,MATCH($I788,'3_可滴定酸度'!$B$6:$B$13,0)),"")))</f>
        <v/>
      </c>
      <c r="M788" s="25">
        <f>IF($A788="","",IF($C788&lt;&gt;"manual_titration_mL","",IFERROR(INDEX('3_可滴定酸度'!$F$6:$F$13,MATCH($I788,'3_可滴定酸度'!$B$6:$B$13,0)),"")))</f>
        <v/>
      </c>
      <c r="N788" s="24">
        <f>IF($A788="","",IF(OR(K788="",L788="",M788=""),"",K788*E788*L788/(M788*1000)*100))</f>
        <v/>
      </c>
      <c r="O788" s="24">
        <f>IF($A788="","",IF(N788="","",IF(COUNTIFS('1_原始數據'!$A$2:$A$1000,$A788,'1_原始數據'!$B$2:$B$1000,$B788,'1_原始數據'!$D$2:$D$1000,$D788,'1_原始數據'!$I$2:$I$1000,$I788,'1_原始數據'!$C$2:$C$1000,"pasco_pct_acid")=0,"",SUMIFS('1_原始數據'!$E$2:$E$1000,'1_原始數據'!$A$2:$A$1000,$A788,'1_原始數據'!$B$2:$B$1000,$B788,'1_原始數據'!$D$2:$D$1000,$D788,'1_原始數據'!$I$2:$I$1000,$I788,'1_原始數據'!$C$2:$C$1000,"pasco_pct_acid"))))</f>
        <v/>
      </c>
      <c r="P788" s="26">
        <f>IF($A788="","",IF(OR(N788="",O788=""),"",O788-N788))</f>
        <v/>
      </c>
      <c r="Q788" s="24">
        <f>IF($A788="","",IF(P788="","",(O788+N788)/2))</f>
        <v/>
      </c>
      <c r="R788" s="27">
        <f>IF($A788="","",IF(P788="","",COUNT($P$2:P788)))</f>
        <v/>
      </c>
    </row>
    <row r="789">
      <c r="J789" s="24">
        <f>IF($A789="","",IF($C789&lt;&gt;"khp_titration_mL","",IF(COUNTIFS('1_原始數據'!$A$2:$A$1000,$A789,'1_原始數據'!$B$2:$B$1000,$B789,'1_原始數據'!$D$2:$D$1000,$D789,'1_原始數據'!$C$2:$C$1000,"khp_mass_g")=0,"",SUMIFS('1_原始數據'!$E$2:$E$1000,'1_原始數據'!$A$2:$A$1000,$A789,'1_原始數據'!$B$2:$B$1000,$B789,'1_原始數據'!$D$2:$D$1000,$D789,'1_原始數據'!$C$2:$C$1000,"khp_mass_g")/('2_NaOH標定'!$C$5*$E789/1000))))</f>
        <v/>
      </c>
      <c r="K789" s="24">
        <f>IF($A789="","",IF($C789&lt;&gt;"manual_titration_mL","",IF(COUNTIFS('1_原始數據'!$A$2:$A$1000,$A789,'1_原始數據'!$C$2:$C$1000,"khp_titration_mL")=0,"",AVERAGEIFS('1_原始數據'!$J$2:$J$1000,'1_原始數據'!$A$2:$A$1000,$A789,'1_原始數據'!$C$2:$C$1000,"khp_titration_mL"))))</f>
        <v/>
      </c>
      <c r="L789" s="25">
        <f>IF($A789="","",IF($C789&lt;&gt;"manual_titration_mL","",IFERROR(INDEX('3_可滴定酸度'!$E$6:$E$13,MATCH($I789,'3_可滴定酸度'!$B$6:$B$13,0)),"")))</f>
        <v/>
      </c>
      <c r="M789" s="25">
        <f>IF($A789="","",IF($C789&lt;&gt;"manual_titration_mL","",IFERROR(INDEX('3_可滴定酸度'!$F$6:$F$13,MATCH($I789,'3_可滴定酸度'!$B$6:$B$13,0)),"")))</f>
        <v/>
      </c>
      <c r="N789" s="24">
        <f>IF($A789="","",IF(OR(K789="",L789="",M789=""),"",K789*E789*L789/(M789*1000)*100))</f>
        <v/>
      </c>
      <c r="O789" s="24">
        <f>IF($A789="","",IF(N789="","",IF(COUNTIFS('1_原始數據'!$A$2:$A$1000,$A789,'1_原始數據'!$B$2:$B$1000,$B789,'1_原始數據'!$D$2:$D$1000,$D789,'1_原始數據'!$I$2:$I$1000,$I789,'1_原始數據'!$C$2:$C$1000,"pasco_pct_acid")=0,"",SUMIFS('1_原始數據'!$E$2:$E$1000,'1_原始數據'!$A$2:$A$1000,$A789,'1_原始數據'!$B$2:$B$1000,$B789,'1_原始數據'!$D$2:$D$1000,$D789,'1_原始數據'!$I$2:$I$1000,$I789,'1_原始數據'!$C$2:$C$1000,"pasco_pct_acid"))))</f>
        <v/>
      </c>
      <c r="P789" s="26">
        <f>IF($A789="","",IF(OR(N789="",O789=""),"",O789-N789))</f>
        <v/>
      </c>
      <c r="Q789" s="24">
        <f>IF($A789="","",IF(P789="","",(O789+N789)/2))</f>
        <v/>
      </c>
      <c r="R789" s="27">
        <f>IF($A789="","",IF(P789="","",COUNT($P$2:P789)))</f>
        <v/>
      </c>
    </row>
    <row r="790">
      <c r="J790" s="24">
        <f>IF($A790="","",IF($C790&lt;&gt;"khp_titration_mL","",IF(COUNTIFS('1_原始數據'!$A$2:$A$1000,$A790,'1_原始數據'!$B$2:$B$1000,$B790,'1_原始數據'!$D$2:$D$1000,$D790,'1_原始數據'!$C$2:$C$1000,"khp_mass_g")=0,"",SUMIFS('1_原始數據'!$E$2:$E$1000,'1_原始數據'!$A$2:$A$1000,$A790,'1_原始數據'!$B$2:$B$1000,$B790,'1_原始數據'!$D$2:$D$1000,$D790,'1_原始數據'!$C$2:$C$1000,"khp_mass_g")/('2_NaOH標定'!$C$5*$E790/1000))))</f>
        <v/>
      </c>
      <c r="K790" s="24">
        <f>IF($A790="","",IF($C790&lt;&gt;"manual_titration_mL","",IF(COUNTIFS('1_原始數據'!$A$2:$A$1000,$A790,'1_原始數據'!$C$2:$C$1000,"khp_titration_mL")=0,"",AVERAGEIFS('1_原始數據'!$J$2:$J$1000,'1_原始數據'!$A$2:$A$1000,$A790,'1_原始數據'!$C$2:$C$1000,"khp_titration_mL"))))</f>
        <v/>
      </c>
      <c r="L790" s="25">
        <f>IF($A790="","",IF($C790&lt;&gt;"manual_titration_mL","",IFERROR(INDEX('3_可滴定酸度'!$E$6:$E$13,MATCH($I790,'3_可滴定酸度'!$B$6:$B$13,0)),"")))</f>
        <v/>
      </c>
      <c r="M790" s="25">
        <f>IF($A790="","",IF($C790&lt;&gt;"manual_titration_mL","",IFERROR(INDEX('3_可滴定酸度'!$F$6:$F$13,MATCH($I790,'3_可滴定酸度'!$B$6:$B$13,0)),"")))</f>
        <v/>
      </c>
      <c r="N790" s="24">
        <f>IF($A790="","",IF(OR(K790="",L790="",M790=""),"",K790*E790*L790/(M790*1000)*100))</f>
        <v/>
      </c>
      <c r="O790" s="24">
        <f>IF($A790="","",IF(N790="","",IF(COUNTIFS('1_原始數據'!$A$2:$A$1000,$A790,'1_原始數據'!$B$2:$B$1000,$B790,'1_原始數據'!$D$2:$D$1000,$D790,'1_原始數據'!$I$2:$I$1000,$I790,'1_原始數據'!$C$2:$C$1000,"pasco_pct_acid")=0,"",SUMIFS('1_原始數據'!$E$2:$E$1000,'1_原始數據'!$A$2:$A$1000,$A790,'1_原始數據'!$B$2:$B$1000,$B790,'1_原始數據'!$D$2:$D$1000,$D790,'1_原始數據'!$I$2:$I$1000,$I790,'1_原始數據'!$C$2:$C$1000,"pasco_pct_acid"))))</f>
        <v/>
      </c>
      <c r="P790" s="26">
        <f>IF($A790="","",IF(OR(N790="",O790=""),"",O790-N790))</f>
        <v/>
      </c>
      <c r="Q790" s="24">
        <f>IF($A790="","",IF(P790="","",(O790+N790)/2))</f>
        <v/>
      </c>
      <c r="R790" s="27">
        <f>IF($A790="","",IF(P790="","",COUNT($P$2:P790)))</f>
        <v/>
      </c>
    </row>
    <row r="791">
      <c r="J791" s="24">
        <f>IF($A791="","",IF($C791&lt;&gt;"khp_titration_mL","",IF(COUNTIFS('1_原始數據'!$A$2:$A$1000,$A791,'1_原始數據'!$B$2:$B$1000,$B791,'1_原始數據'!$D$2:$D$1000,$D791,'1_原始數據'!$C$2:$C$1000,"khp_mass_g")=0,"",SUMIFS('1_原始數據'!$E$2:$E$1000,'1_原始數據'!$A$2:$A$1000,$A791,'1_原始數據'!$B$2:$B$1000,$B791,'1_原始數據'!$D$2:$D$1000,$D791,'1_原始數據'!$C$2:$C$1000,"khp_mass_g")/('2_NaOH標定'!$C$5*$E791/1000))))</f>
        <v/>
      </c>
      <c r="K791" s="24">
        <f>IF($A791="","",IF($C791&lt;&gt;"manual_titration_mL","",IF(COUNTIFS('1_原始數據'!$A$2:$A$1000,$A791,'1_原始數據'!$C$2:$C$1000,"khp_titration_mL")=0,"",AVERAGEIFS('1_原始數據'!$J$2:$J$1000,'1_原始數據'!$A$2:$A$1000,$A791,'1_原始數據'!$C$2:$C$1000,"khp_titration_mL"))))</f>
        <v/>
      </c>
      <c r="L791" s="25">
        <f>IF($A791="","",IF($C791&lt;&gt;"manual_titration_mL","",IFERROR(INDEX('3_可滴定酸度'!$E$6:$E$13,MATCH($I791,'3_可滴定酸度'!$B$6:$B$13,0)),"")))</f>
        <v/>
      </c>
      <c r="M791" s="25">
        <f>IF($A791="","",IF($C791&lt;&gt;"manual_titration_mL","",IFERROR(INDEX('3_可滴定酸度'!$F$6:$F$13,MATCH($I791,'3_可滴定酸度'!$B$6:$B$13,0)),"")))</f>
        <v/>
      </c>
      <c r="N791" s="24">
        <f>IF($A791="","",IF(OR(K791="",L791="",M791=""),"",K791*E791*L791/(M791*1000)*100))</f>
        <v/>
      </c>
      <c r="O791" s="24">
        <f>IF($A791="","",IF(N791="","",IF(COUNTIFS('1_原始數據'!$A$2:$A$1000,$A791,'1_原始數據'!$B$2:$B$1000,$B791,'1_原始數據'!$D$2:$D$1000,$D791,'1_原始數據'!$I$2:$I$1000,$I791,'1_原始數據'!$C$2:$C$1000,"pasco_pct_acid")=0,"",SUMIFS('1_原始數據'!$E$2:$E$1000,'1_原始數據'!$A$2:$A$1000,$A791,'1_原始數據'!$B$2:$B$1000,$B791,'1_原始數據'!$D$2:$D$1000,$D791,'1_原始數據'!$I$2:$I$1000,$I791,'1_原始數據'!$C$2:$C$1000,"pasco_pct_acid"))))</f>
        <v/>
      </c>
      <c r="P791" s="26">
        <f>IF($A791="","",IF(OR(N791="",O791=""),"",O791-N791))</f>
        <v/>
      </c>
      <c r="Q791" s="24">
        <f>IF($A791="","",IF(P791="","",(O791+N791)/2))</f>
        <v/>
      </c>
      <c r="R791" s="27">
        <f>IF($A791="","",IF(P791="","",COUNT($P$2:P791)))</f>
        <v/>
      </c>
    </row>
    <row r="792">
      <c r="J792" s="24">
        <f>IF($A792="","",IF($C792&lt;&gt;"khp_titration_mL","",IF(COUNTIFS('1_原始數據'!$A$2:$A$1000,$A792,'1_原始數據'!$B$2:$B$1000,$B792,'1_原始數據'!$D$2:$D$1000,$D792,'1_原始數據'!$C$2:$C$1000,"khp_mass_g")=0,"",SUMIFS('1_原始數據'!$E$2:$E$1000,'1_原始數據'!$A$2:$A$1000,$A792,'1_原始數據'!$B$2:$B$1000,$B792,'1_原始數據'!$D$2:$D$1000,$D792,'1_原始數據'!$C$2:$C$1000,"khp_mass_g")/('2_NaOH標定'!$C$5*$E792/1000))))</f>
        <v/>
      </c>
      <c r="K792" s="24">
        <f>IF($A792="","",IF($C792&lt;&gt;"manual_titration_mL","",IF(COUNTIFS('1_原始數據'!$A$2:$A$1000,$A792,'1_原始數據'!$C$2:$C$1000,"khp_titration_mL")=0,"",AVERAGEIFS('1_原始數據'!$J$2:$J$1000,'1_原始數據'!$A$2:$A$1000,$A792,'1_原始數據'!$C$2:$C$1000,"khp_titration_mL"))))</f>
        <v/>
      </c>
      <c r="L792" s="25">
        <f>IF($A792="","",IF($C792&lt;&gt;"manual_titration_mL","",IFERROR(INDEX('3_可滴定酸度'!$E$6:$E$13,MATCH($I792,'3_可滴定酸度'!$B$6:$B$13,0)),"")))</f>
        <v/>
      </c>
      <c r="M792" s="25">
        <f>IF($A792="","",IF($C792&lt;&gt;"manual_titration_mL","",IFERROR(INDEX('3_可滴定酸度'!$F$6:$F$13,MATCH($I792,'3_可滴定酸度'!$B$6:$B$13,0)),"")))</f>
        <v/>
      </c>
      <c r="N792" s="24">
        <f>IF($A792="","",IF(OR(K792="",L792="",M792=""),"",K792*E792*L792/(M792*1000)*100))</f>
        <v/>
      </c>
      <c r="O792" s="24">
        <f>IF($A792="","",IF(N792="","",IF(COUNTIFS('1_原始數據'!$A$2:$A$1000,$A792,'1_原始數據'!$B$2:$B$1000,$B792,'1_原始數據'!$D$2:$D$1000,$D792,'1_原始數據'!$I$2:$I$1000,$I792,'1_原始數據'!$C$2:$C$1000,"pasco_pct_acid")=0,"",SUMIFS('1_原始數據'!$E$2:$E$1000,'1_原始數據'!$A$2:$A$1000,$A792,'1_原始數據'!$B$2:$B$1000,$B792,'1_原始數據'!$D$2:$D$1000,$D792,'1_原始數據'!$I$2:$I$1000,$I792,'1_原始數據'!$C$2:$C$1000,"pasco_pct_acid"))))</f>
        <v/>
      </c>
      <c r="P792" s="26">
        <f>IF($A792="","",IF(OR(N792="",O792=""),"",O792-N792))</f>
        <v/>
      </c>
      <c r="Q792" s="24">
        <f>IF($A792="","",IF(P792="","",(O792+N792)/2))</f>
        <v/>
      </c>
      <c r="R792" s="27">
        <f>IF($A792="","",IF(P792="","",COUNT($P$2:P792)))</f>
        <v/>
      </c>
    </row>
    <row r="793">
      <c r="J793" s="24">
        <f>IF($A793="","",IF($C793&lt;&gt;"khp_titration_mL","",IF(COUNTIFS('1_原始數據'!$A$2:$A$1000,$A793,'1_原始數據'!$B$2:$B$1000,$B793,'1_原始數據'!$D$2:$D$1000,$D793,'1_原始數據'!$C$2:$C$1000,"khp_mass_g")=0,"",SUMIFS('1_原始數據'!$E$2:$E$1000,'1_原始數據'!$A$2:$A$1000,$A793,'1_原始數據'!$B$2:$B$1000,$B793,'1_原始數據'!$D$2:$D$1000,$D793,'1_原始數據'!$C$2:$C$1000,"khp_mass_g")/('2_NaOH標定'!$C$5*$E793/1000))))</f>
        <v/>
      </c>
      <c r="K793" s="24">
        <f>IF($A793="","",IF($C793&lt;&gt;"manual_titration_mL","",IF(COUNTIFS('1_原始數據'!$A$2:$A$1000,$A793,'1_原始數據'!$C$2:$C$1000,"khp_titration_mL")=0,"",AVERAGEIFS('1_原始數據'!$J$2:$J$1000,'1_原始數據'!$A$2:$A$1000,$A793,'1_原始數據'!$C$2:$C$1000,"khp_titration_mL"))))</f>
        <v/>
      </c>
      <c r="L793" s="25">
        <f>IF($A793="","",IF($C793&lt;&gt;"manual_titration_mL","",IFERROR(INDEX('3_可滴定酸度'!$E$6:$E$13,MATCH($I793,'3_可滴定酸度'!$B$6:$B$13,0)),"")))</f>
        <v/>
      </c>
      <c r="M793" s="25">
        <f>IF($A793="","",IF($C793&lt;&gt;"manual_titration_mL","",IFERROR(INDEX('3_可滴定酸度'!$F$6:$F$13,MATCH($I793,'3_可滴定酸度'!$B$6:$B$13,0)),"")))</f>
        <v/>
      </c>
      <c r="N793" s="24">
        <f>IF($A793="","",IF(OR(K793="",L793="",M793=""),"",K793*E793*L793/(M793*1000)*100))</f>
        <v/>
      </c>
      <c r="O793" s="24">
        <f>IF($A793="","",IF(N793="","",IF(COUNTIFS('1_原始數據'!$A$2:$A$1000,$A793,'1_原始數據'!$B$2:$B$1000,$B793,'1_原始數據'!$D$2:$D$1000,$D793,'1_原始數據'!$I$2:$I$1000,$I793,'1_原始數據'!$C$2:$C$1000,"pasco_pct_acid")=0,"",SUMIFS('1_原始數據'!$E$2:$E$1000,'1_原始數據'!$A$2:$A$1000,$A793,'1_原始數據'!$B$2:$B$1000,$B793,'1_原始數據'!$D$2:$D$1000,$D793,'1_原始數據'!$I$2:$I$1000,$I793,'1_原始數據'!$C$2:$C$1000,"pasco_pct_acid"))))</f>
        <v/>
      </c>
      <c r="P793" s="26">
        <f>IF($A793="","",IF(OR(N793="",O793=""),"",O793-N793))</f>
        <v/>
      </c>
      <c r="Q793" s="24">
        <f>IF($A793="","",IF(P793="","",(O793+N793)/2))</f>
        <v/>
      </c>
      <c r="R793" s="27">
        <f>IF($A793="","",IF(P793="","",COUNT($P$2:P793)))</f>
        <v/>
      </c>
    </row>
    <row r="794">
      <c r="J794" s="24">
        <f>IF($A794="","",IF($C794&lt;&gt;"khp_titration_mL","",IF(COUNTIFS('1_原始數據'!$A$2:$A$1000,$A794,'1_原始數據'!$B$2:$B$1000,$B794,'1_原始數據'!$D$2:$D$1000,$D794,'1_原始數據'!$C$2:$C$1000,"khp_mass_g")=0,"",SUMIFS('1_原始數據'!$E$2:$E$1000,'1_原始數據'!$A$2:$A$1000,$A794,'1_原始數據'!$B$2:$B$1000,$B794,'1_原始數據'!$D$2:$D$1000,$D794,'1_原始數據'!$C$2:$C$1000,"khp_mass_g")/('2_NaOH標定'!$C$5*$E794/1000))))</f>
        <v/>
      </c>
      <c r="K794" s="24">
        <f>IF($A794="","",IF($C794&lt;&gt;"manual_titration_mL","",IF(COUNTIFS('1_原始數據'!$A$2:$A$1000,$A794,'1_原始數據'!$C$2:$C$1000,"khp_titration_mL")=0,"",AVERAGEIFS('1_原始數據'!$J$2:$J$1000,'1_原始數據'!$A$2:$A$1000,$A794,'1_原始數據'!$C$2:$C$1000,"khp_titration_mL"))))</f>
        <v/>
      </c>
      <c r="L794" s="25">
        <f>IF($A794="","",IF($C794&lt;&gt;"manual_titration_mL","",IFERROR(INDEX('3_可滴定酸度'!$E$6:$E$13,MATCH($I794,'3_可滴定酸度'!$B$6:$B$13,0)),"")))</f>
        <v/>
      </c>
      <c r="M794" s="25">
        <f>IF($A794="","",IF($C794&lt;&gt;"manual_titration_mL","",IFERROR(INDEX('3_可滴定酸度'!$F$6:$F$13,MATCH($I794,'3_可滴定酸度'!$B$6:$B$13,0)),"")))</f>
        <v/>
      </c>
      <c r="N794" s="24">
        <f>IF($A794="","",IF(OR(K794="",L794="",M794=""),"",K794*E794*L794/(M794*1000)*100))</f>
        <v/>
      </c>
      <c r="O794" s="24">
        <f>IF($A794="","",IF(N794="","",IF(COUNTIFS('1_原始數據'!$A$2:$A$1000,$A794,'1_原始數據'!$B$2:$B$1000,$B794,'1_原始數據'!$D$2:$D$1000,$D794,'1_原始數據'!$I$2:$I$1000,$I794,'1_原始數據'!$C$2:$C$1000,"pasco_pct_acid")=0,"",SUMIFS('1_原始數據'!$E$2:$E$1000,'1_原始數據'!$A$2:$A$1000,$A794,'1_原始數據'!$B$2:$B$1000,$B794,'1_原始數據'!$D$2:$D$1000,$D794,'1_原始數據'!$I$2:$I$1000,$I794,'1_原始數據'!$C$2:$C$1000,"pasco_pct_acid"))))</f>
        <v/>
      </c>
      <c r="P794" s="26">
        <f>IF($A794="","",IF(OR(N794="",O794=""),"",O794-N794))</f>
        <v/>
      </c>
      <c r="Q794" s="24">
        <f>IF($A794="","",IF(P794="","",(O794+N794)/2))</f>
        <v/>
      </c>
      <c r="R794" s="27">
        <f>IF($A794="","",IF(P794="","",COUNT($P$2:P794)))</f>
        <v/>
      </c>
    </row>
    <row r="795">
      <c r="J795" s="24">
        <f>IF($A795="","",IF($C795&lt;&gt;"khp_titration_mL","",IF(COUNTIFS('1_原始數據'!$A$2:$A$1000,$A795,'1_原始數據'!$B$2:$B$1000,$B795,'1_原始數據'!$D$2:$D$1000,$D795,'1_原始數據'!$C$2:$C$1000,"khp_mass_g")=0,"",SUMIFS('1_原始數據'!$E$2:$E$1000,'1_原始數據'!$A$2:$A$1000,$A795,'1_原始數據'!$B$2:$B$1000,$B795,'1_原始數據'!$D$2:$D$1000,$D795,'1_原始數據'!$C$2:$C$1000,"khp_mass_g")/('2_NaOH標定'!$C$5*$E795/1000))))</f>
        <v/>
      </c>
      <c r="K795" s="24">
        <f>IF($A795="","",IF($C795&lt;&gt;"manual_titration_mL","",IF(COUNTIFS('1_原始數據'!$A$2:$A$1000,$A795,'1_原始數據'!$C$2:$C$1000,"khp_titration_mL")=0,"",AVERAGEIFS('1_原始數據'!$J$2:$J$1000,'1_原始數據'!$A$2:$A$1000,$A795,'1_原始數據'!$C$2:$C$1000,"khp_titration_mL"))))</f>
        <v/>
      </c>
      <c r="L795" s="25">
        <f>IF($A795="","",IF($C795&lt;&gt;"manual_titration_mL","",IFERROR(INDEX('3_可滴定酸度'!$E$6:$E$13,MATCH($I795,'3_可滴定酸度'!$B$6:$B$13,0)),"")))</f>
        <v/>
      </c>
      <c r="M795" s="25">
        <f>IF($A795="","",IF($C795&lt;&gt;"manual_titration_mL","",IFERROR(INDEX('3_可滴定酸度'!$F$6:$F$13,MATCH($I795,'3_可滴定酸度'!$B$6:$B$13,0)),"")))</f>
        <v/>
      </c>
      <c r="N795" s="24">
        <f>IF($A795="","",IF(OR(K795="",L795="",M795=""),"",K795*E795*L795/(M795*1000)*100))</f>
        <v/>
      </c>
      <c r="O795" s="24">
        <f>IF($A795="","",IF(N795="","",IF(COUNTIFS('1_原始數據'!$A$2:$A$1000,$A795,'1_原始數據'!$B$2:$B$1000,$B795,'1_原始數據'!$D$2:$D$1000,$D795,'1_原始數據'!$I$2:$I$1000,$I795,'1_原始數據'!$C$2:$C$1000,"pasco_pct_acid")=0,"",SUMIFS('1_原始數據'!$E$2:$E$1000,'1_原始數據'!$A$2:$A$1000,$A795,'1_原始數據'!$B$2:$B$1000,$B795,'1_原始數據'!$D$2:$D$1000,$D795,'1_原始數據'!$I$2:$I$1000,$I795,'1_原始數據'!$C$2:$C$1000,"pasco_pct_acid"))))</f>
        <v/>
      </c>
      <c r="P795" s="26">
        <f>IF($A795="","",IF(OR(N795="",O795=""),"",O795-N795))</f>
        <v/>
      </c>
      <c r="Q795" s="24">
        <f>IF($A795="","",IF(P795="","",(O795+N795)/2))</f>
        <v/>
      </c>
      <c r="R795" s="27">
        <f>IF($A795="","",IF(P795="","",COUNT($P$2:P795)))</f>
        <v/>
      </c>
    </row>
    <row r="796">
      <c r="J796" s="24">
        <f>IF($A796="","",IF($C796&lt;&gt;"khp_titration_mL","",IF(COUNTIFS('1_原始數據'!$A$2:$A$1000,$A796,'1_原始數據'!$B$2:$B$1000,$B796,'1_原始數據'!$D$2:$D$1000,$D796,'1_原始數據'!$C$2:$C$1000,"khp_mass_g")=0,"",SUMIFS('1_原始數據'!$E$2:$E$1000,'1_原始數據'!$A$2:$A$1000,$A796,'1_原始數據'!$B$2:$B$1000,$B796,'1_原始數據'!$D$2:$D$1000,$D796,'1_原始數據'!$C$2:$C$1000,"khp_mass_g")/('2_NaOH標定'!$C$5*$E796/1000))))</f>
        <v/>
      </c>
      <c r="K796" s="24">
        <f>IF($A796="","",IF($C796&lt;&gt;"manual_titration_mL","",IF(COUNTIFS('1_原始數據'!$A$2:$A$1000,$A796,'1_原始數據'!$C$2:$C$1000,"khp_titration_mL")=0,"",AVERAGEIFS('1_原始數據'!$J$2:$J$1000,'1_原始數據'!$A$2:$A$1000,$A796,'1_原始數據'!$C$2:$C$1000,"khp_titration_mL"))))</f>
        <v/>
      </c>
      <c r="L796" s="25">
        <f>IF($A796="","",IF($C796&lt;&gt;"manual_titration_mL","",IFERROR(INDEX('3_可滴定酸度'!$E$6:$E$13,MATCH($I796,'3_可滴定酸度'!$B$6:$B$13,0)),"")))</f>
        <v/>
      </c>
      <c r="M796" s="25">
        <f>IF($A796="","",IF($C796&lt;&gt;"manual_titration_mL","",IFERROR(INDEX('3_可滴定酸度'!$F$6:$F$13,MATCH($I796,'3_可滴定酸度'!$B$6:$B$13,0)),"")))</f>
        <v/>
      </c>
      <c r="N796" s="24">
        <f>IF($A796="","",IF(OR(K796="",L796="",M796=""),"",K796*E796*L796/(M796*1000)*100))</f>
        <v/>
      </c>
      <c r="O796" s="24">
        <f>IF($A796="","",IF(N796="","",IF(COUNTIFS('1_原始數據'!$A$2:$A$1000,$A796,'1_原始數據'!$B$2:$B$1000,$B796,'1_原始數據'!$D$2:$D$1000,$D796,'1_原始數據'!$I$2:$I$1000,$I796,'1_原始數據'!$C$2:$C$1000,"pasco_pct_acid")=0,"",SUMIFS('1_原始數據'!$E$2:$E$1000,'1_原始數據'!$A$2:$A$1000,$A796,'1_原始數據'!$B$2:$B$1000,$B796,'1_原始數據'!$D$2:$D$1000,$D796,'1_原始數據'!$I$2:$I$1000,$I796,'1_原始數據'!$C$2:$C$1000,"pasco_pct_acid"))))</f>
        <v/>
      </c>
      <c r="P796" s="26">
        <f>IF($A796="","",IF(OR(N796="",O796=""),"",O796-N796))</f>
        <v/>
      </c>
      <c r="Q796" s="24">
        <f>IF($A796="","",IF(P796="","",(O796+N796)/2))</f>
        <v/>
      </c>
      <c r="R796" s="27">
        <f>IF($A796="","",IF(P796="","",COUNT($P$2:P796)))</f>
        <v/>
      </c>
    </row>
    <row r="797">
      <c r="J797" s="24">
        <f>IF($A797="","",IF($C797&lt;&gt;"khp_titration_mL","",IF(COUNTIFS('1_原始數據'!$A$2:$A$1000,$A797,'1_原始數據'!$B$2:$B$1000,$B797,'1_原始數據'!$D$2:$D$1000,$D797,'1_原始數據'!$C$2:$C$1000,"khp_mass_g")=0,"",SUMIFS('1_原始數據'!$E$2:$E$1000,'1_原始數據'!$A$2:$A$1000,$A797,'1_原始數據'!$B$2:$B$1000,$B797,'1_原始數據'!$D$2:$D$1000,$D797,'1_原始數據'!$C$2:$C$1000,"khp_mass_g")/('2_NaOH標定'!$C$5*$E797/1000))))</f>
        <v/>
      </c>
      <c r="K797" s="24">
        <f>IF($A797="","",IF($C797&lt;&gt;"manual_titration_mL","",IF(COUNTIFS('1_原始數據'!$A$2:$A$1000,$A797,'1_原始數據'!$C$2:$C$1000,"khp_titration_mL")=0,"",AVERAGEIFS('1_原始數據'!$J$2:$J$1000,'1_原始數據'!$A$2:$A$1000,$A797,'1_原始數據'!$C$2:$C$1000,"khp_titration_mL"))))</f>
        <v/>
      </c>
      <c r="L797" s="25">
        <f>IF($A797="","",IF($C797&lt;&gt;"manual_titration_mL","",IFERROR(INDEX('3_可滴定酸度'!$E$6:$E$13,MATCH($I797,'3_可滴定酸度'!$B$6:$B$13,0)),"")))</f>
        <v/>
      </c>
      <c r="M797" s="25">
        <f>IF($A797="","",IF($C797&lt;&gt;"manual_titration_mL","",IFERROR(INDEX('3_可滴定酸度'!$F$6:$F$13,MATCH($I797,'3_可滴定酸度'!$B$6:$B$13,0)),"")))</f>
        <v/>
      </c>
      <c r="N797" s="24">
        <f>IF($A797="","",IF(OR(K797="",L797="",M797=""),"",K797*E797*L797/(M797*1000)*100))</f>
        <v/>
      </c>
      <c r="O797" s="24">
        <f>IF($A797="","",IF(N797="","",IF(COUNTIFS('1_原始數據'!$A$2:$A$1000,$A797,'1_原始數據'!$B$2:$B$1000,$B797,'1_原始數據'!$D$2:$D$1000,$D797,'1_原始數據'!$I$2:$I$1000,$I797,'1_原始數據'!$C$2:$C$1000,"pasco_pct_acid")=0,"",SUMIFS('1_原始數據'!$E$2:$E$1000,'1_原始數據'!$A$2:$A$1000,$A797,'1_原始數據'!$B$2:$B$1000,$B797,'1_原始數據'!$D$2:$D$1000,$D797,'1_原始數據'!$I$2:$I$1000,$I797,'1_原始數據'!$C$2:$C$1000,"pasco_pct_acid"))))</f>
        <v/>
      </c>
      <c r="P797" s="26">
        <f>IF($A797="","",IF(OR(N797="",O797=""),"",O797-N797))</f>
        <v/>
      </c>
      <c r="Q797" s="24">
        <f>IF($A797="","",IF(P797="","",(O797+N797)/2))</f>
        <v/>
      </c>
      <c r="R797" s="27">
        <f>IF($A797="","",IF(P797="","",COUNT($P$2:P797)))</f>
        <v/>
      </c>
    </row>
    <row r="798">
      <c r="J798" s="24">
        <f>IF($A798="","",IF($C798&lt;&gt;"khp_titration_mL","",IF(COUNTIFS('1_原始數據'!$A$2:$A$1000,$A798,'1_原始數據'!$B$2:$B$1000,$B798,'1_原始數據'!$D$2:$D$1000,$D798,'1_原始數據'!$C$2:$C$1000,"khp_mass_g")=0,"",SUMIFS('1_原始數據'!$E$2:$E$1000,'1_原始數據'!$A$2:$A$1000,$A798,'1_原始數據'!$B$2:$B$1000,$B798,'1_原始數據'!$D$2:$D$1000,$D798,'1_原始數據'!$C$2:$C$1000,"khp_mass_g")/('2_NaOH標定'!$C$5*$E798/1000))))</f>
        <v/>
      </c>
      <c r="K798" s="24">
        <f>IF($A798="","",IF($C798&lt;&gt;"manual_titration_mL","",IF(COUNTIFS('1_原始數據'!$A$2:$A$1000,$A798,'1_原始數據'!$C$2:$C$1000,"khp_titration_mL")=0,"",AVERAGEIFS('1_原始數據'!$J$2:$J$1000,'1_原始數據'!$A$2:$A$1000,$A798,'1_原始數據'!$C$2:$C$1000,"khp_titration_mL"))))</f>
        <v/>
      </c>
      <c r="L798" s="25">
        <f>IF($A798="","",IF($C798&lt;&gt;"manual_titration_mL","",IFERROR(INDEX('3_可滴定酸度'!$E$6:$E$13,MATCH($I798,'3_可滴定酸度'!$B$6:$B$13,0)),"")))</f>
        <v/>
      </c>
      <c r="M798" s="25">
        <f>IF($A798="","",IF($C798&lt;&gt;"manual_titration_mL","",IFERROR(INDEX('3_可滴定酸度'!$F$6:$F$13,MATCH($I798,'3_可滴定酸度'!$B$6:$B$13,0)),"")))</f>
        <v/>
      </c>
      <c r="N798" s="24">
        <f>IF($A798="","",IF(OR(K798="",L798="",M798=""),"",K798*E798*L798/(M798*1000)*100))</f>
        <v/>
      </c>
      <c r="O798" s="24">
        <f>IF($A798="","",IF(N798="","",IF(COUNTIFS('1_原始數據'!$A$2:$A$1000,$A798,'1_原始數據'!$B$2:$B$1000,$B798,'1_原始數據'!$D$2:$D$1000,$D798,'1_原始數據'!$I$2:$I$1000,$I798,'1_原始數據'!$C$2:$C$1000,"pasco_pct_acid")=0,"",SUMIFS('1_原始數據'!$E$2:$E$1000,'1_原始數據'!$A$2:$A$1000,$A798,'1_原始數據'!$B$2:$B$1000,$B798,'1_原始數據'!$D$2:$D$1000,$D798,'1_原始數據'!$I$2:$I$1000,$I798,'1_原始數據'!$C$2:$C$1000,"pasco_pct_acid"))))</f>
        <v/>
      </c>
      <c r="P798" s="26">
        <f>IF($A798="","",IF(OR(N798="",O798=""),"",O798-N798))</f>
        <v/>
      </c>
      <c r="Q798" s="24">
        <f>IF($A798="","",IF(P798="","",(O798+N798)/2))</f>
        <v/>
      </c>
      <c r="R798" s="27">
        <f>IF($A798="","",IF(P798="","",COUNT($P$2:P798)))</f>
        <v/>
      </c>
    </row>
    <row r="799">
      <c r="J799" s="24">
        <f>IF($A799="","",IF($C799&lt;&gt;"khp_titration_mL","",IF(COUNTIFS('1_原始數據'!$A$2:$A$1000,$A799,'1_原始數據'!$B$2:$B$1000,$B799,'1_原始數據'!$D$2:$D$1000,$D799,'1_原始數據'!$C$2:$C$1000,"khp_mass_g")=0,"",SUMIFS('1_原始數據'!$E$2:$E$1000,'1_原始數據'!$A$2:$A$1000,$A799,'1_原始數據'!$B$2:$B$1000,$B799,'1_原始數據'!$D$2:$D$1000,$D799,'1_原始數據'!$C$2:$C$1000,"khp_mass_g")/('2_NaOH標定'!$C$5*$E799/1000))))</f>
        <v/>
      </c>
      <c r="K799" s="24">
        <f>IF($A799="","",IF($C799&lt;&gt;"manual_titration_mL","",IF(COUNTIFS('1_原始數據'!$A$2:$A$1000,$A799,'1_原始數據'!$C$2:$C$1000,"khp_titration_mL")=0,"",AVERAGEIFS('1_原始數據'!$J$2:$J$1000,'1_原始數據'!$A$2:$A$1000,$A799,'1_原始數據'!$C$2:$C$1000,"khp_titration_mL"))))</f>
        <v/>
      </c>
      <c r="L799" s="25">
        <f>IF($A799="","",IF($C799&lt;&gt;"manual_titration_mL","",IFERROR(INDEX('3_可滴定酸度'!$E$6:$E$13,MATCH($I799,'3_可滴定酸度'!$B$6:$B$13,0)),"")))</f>
        <v/>
      </c>
      <c r="M799" s="25">
        <f>IF($A799="","",IF($C799&lt;&gt;"manual_titration_mL","",IFERROR(INDEX('3_可滴定酸度'!$F$6:$F$13,MATCH($I799,'3_可滴定酸度'!$B$6:$B$13,0)),"")))</f>
        <v/>
      </c>
      <c r="N799" s="24">
        <f>IF($A799="","",IF(OR(K799="",L799="",M799=""),"",K799*E799*L799/(M799*1000)*100))</f>
        <v/>
      </c>
      <c r="O799" s="24">
        <f>IF($A799="","",IF(N799="","",IF(COUNTIFS('1_原始數據'!$A$2:$A$1000,$A799,'1_原始數據'!$B$2:$B$1000,$B799,'1_原始數據'!$D$2:$D$1000,$D799,'1_原始數據'!$I$2:$I$1000,$I799,'1_原始數據'!$C$2:$C$1000,"pasco_pct_acid")=0,"",SUMIFS('1_原始數據'!$E$2:$E$1000,'1_原始數據'!$A$2:$A$1000,$A799,'1_原始數據'!$B$2:$B$1000,$B799,'1_原始數據'!$D$2:$D$1000,$D799,'1_原始數據'!$I$2:$I$1000,$I799,'1_原始數據'!$C$2:$C$1000,"pasco_pct_acid"))))</f>
        <v/>
      </c>
      <c r="P799" s="26">
        <f>IF($A799="","",IF(OR(N799="",O799=""),"",O799-N799))</f>
        <v/>
      </c>
      <c r="Q799" s="24">
        <f>IF($A799="","",IF(P799="","",(O799+N799)/2))</f>
        <v/>
      </c>
      <c r="R799" s="27">
        <f>IF($A799="","",IF(P799="","",COUNT($P$2:P799)))</f>
        <v/>
      </c>
    </row>
    <row r="800">
      <c r="J800" s="24">
        <f>IF($A800="","",IF($C800&lt;&gt;"khp_titration_mL","",IF(COUNTIFS('1_原始數據'!$A$2:$A$1000,$A800,'1_原始數據'!$B$2:$B$1000,$B800,'1_原始數據'!$D$2:$D$1000,$D800,'1_原始數據'!$C$2:$C$1000,"khp_mass_g")=0,"",SUMIFS('1_原始數據'!$E$2:$E$1000,'1_原始數據'!$A$2:$A$1000,$A800,'1_原始數據'!$B$2:$B$1000,$B800,'1_原始數據'!$D$2:$D$1000,$D800,'1_原始數據'!$C$2:$C$1000,"khp_mass_g")/('2_NaOH標定'!$C$5*$E800/1000))))</f>
        <v/>
      </c>
      <c r="K800" s="24">
        <f>IF($A800="","",IF($C800&lt;&gt;"manual_titration_mL","",IF(COUNTIFS('1_原始數據'!$A$2:$A$1000,$A800,'1_原始數據'!$C$2:$C$1000,"khp_titration_mL")=0,"",AVERAGEIFS('1_原始數據'!$J$2:$J$1000,'1_原始數據'!$A$2:$A$1000,$A800,'1_原始數據'!$C$2:$C$1000,"khp_titration_mL"))))</f>
        <v/>
      </c>
      <c r="L800" s="25">
        <f>IF($A800="","",IF($C800&lt;&gt;"manual_titration_mL","",IFERROR(INDEX('3_可滴定酸度'!$E$6:$E$13,MATCH($I800,'3_可滴定酸度'!$B$6:$B$13,0)),"")))</f>
        <v/>
      </c>
      <c r="M800" s="25">
        <f>IF($A800="","",IF($C800&lt;&gt;"manual_titration_mL","",IFERROR(INDEX('3_可滴定酸度'!$F$6:$F$13,MATCH($I800,'3_可滴定酸度'!$B$6:$B$13,0)),"")))</f>
        <v/>
      </c>
      <c r="N800" s="24">
        <f>IF($A800="","",IF(OR(K800="",L800="",M800=""),"",K800*E800*L800/(M800*1000)*100))</f>
        <v/>
      </c>
      <c r="O800" s="24">
        <f>IF($A800="","",IF(N800="","",IF(COUNTIFS('1_原始數據'!$A$2:$A$1000,$A800,'1_原始數據'!$B$2:$B$1000,$B800,'1_原始數據'!$D$2:$D$1000,$D800,'1_原始數據'!$I$2:$I$1000,$I800,'1_原始數據'!$C$2:$C$1000,"pasco_pct_acid")=0,"",SUMIFS('1_原始數據'!$E$2:$E$1000,'1_原始數據'!$A$2:$A$1000,$A800,'1_原始數據'!$B$2:$B$1000,$B800,'1_原始數據'!$D$2:$D$1000,$D800,'1_原始數據'!$I$2:$I$1000,$I800,'1_原始數據'!$C$2:$C$1000,"pasco_pct_acid"))))</f>
        <v/>
      </c>
      <c r="P800" s="26">
        <f>IF($A800="","",IF(OR(N800="",O800=""),"",O800-N800))</f>
        <v/>
      </c>
      <c r="Q800" s="24">
        <f>IF($A800="","",IF(P800="","",(O800+N800)/2))</f>
        <v/>
      </c>
      <c r="R800" s="27">
        <f>IF($A800="","",IF(P800="","",COUNT($P$2:P800)))</f>
        <v/>
      </c>
    </row>
    <row r="801">
      <c r="J801" s="24">
        <f>IF($A801="","",IF($C801&lt;&gt;"khp_titration_mL","",IF(COUNTIFS('1_原始數據'!$A$2:$A$1000,$A801,'1_原始數據'!$B$2:$B$1000,$B801,'1_原始數據'!$D$2:$D$1000,$D801,'1_原始數據'!$C$2:$C$1000,"khp_mass_g")=0,"",SUMIFS('1_原始數據'!$E$2:$E$1000,'1_原始數據'!$A$2:$A$1000,$A801,'1_原始數據'!$B$2:$B$1000,$B801,'1_原始數據'!$D$2:$D$1000,$D801,'1_原始數據'!$C$2:$C$1000,"khp_mass_g")/('2_NaOH標定'!$C$5*$E801/1000))))</f>
        <v/>
      </c>
      <c r="K801" s="24">
        <f>IF($A801="","",IF($C801&lt;&gt;"manual_titration_mL","",IF(COUNTIFS('1_原始數據'!$A$2:$A$1000,$A801,'1_原始數據'!$C$2:$C$1000,"khp_titration_mL")=0,"",AVERAGEIFS('1_原始數據'!$J$2:$J$1000,'1_原始數據'!$A$2:$A$1000,$A801,'1_原始數據'!$C$2:$C$1000,"khp_titration_mL"))))</f>
        <v/>
      </c>
      <c r="L801" s="25">
        <f>IF($A801="","",IF($C801&lt;&gt;"manual_titration_mL","",IFERROR(INDEX('3_可滴定酸度'!$E$6:$E$13,MATCH($I801,'3_可滴定酸度'!$B$6:$B$13,0)),"")))</f>
        <v/>
      </c>
      <c r="M801" s="25">
        <f>IF($A801="","",IF($C801&lt;&gt;"manual_titration_mL","",IFERROR(INDEX('3_可滴定酸度'!$F$6:$F$13,MATCH($I801,'3_可滴定酸度'!$B$6:$B$13,0)),"")))</f>
        <v/>
      </c>
      <c r="N801" s="24">
        <f>IF($A801="","",IF(OR(K801="",L801="",M801=""),"",K801*E801*L801/(M801*1000)*100))</f>
        <v/>
      </c>
      <c r="O801" s="24">
        <f>IF($A801="","",IF(N801="","",IF(COUNTIFS('1_原始數據'!$A$2:$A$1000,$A801,'1_原始數據'!$B$2:$B$1000,$B801,'1_原始數據'!$D$2:$D$1000,$D801,'1_原始數據'!$I$2:$I$1000,$I801,'1_原始數據'!$C$2:$C$1000,"pasco_pct_acid")=0,"",SUMIFS('1_原始數據'!$E$2:$E$1000,'1_原始數據'!$A$2:$A$1000,$A801,'1_原始數據'!$B$2:$B$1000,$B801,'1_原始數據'!$D$2:$D$1000,$D801,'1_原始數據'!$I$2:$I$1000,$I801,'1_原始數據'!$C$2:$C$1000,"pasco_pct_acid"))))</f>
        <v/>
      </c>
      <c r="P801" s="26">
        <f>IF($A801="","",IF(OR(N801="",O801=""),"",O801-N801))</f>
        <v/>
      </c>
      <c r="Q801" s="24">
        <f>IF($A801="","",IF(P801="","",(O801+N801)/2))</f>
        <v/>
      </c>
      <c r="R801" s="27">
        <f>IF($A801="","",IF(P801="","",COUNT($P$2:P801)))</f>
        <v/>
      </c>
    </row>
    <row r="802">
      <c r="J802" s="24">
        <f>IF($A802="","",IF($C802&lt;&gt;"khp_titration_mL","",IF(COUNTIFS('1_原始數據'!$A$2:$A$1000,$A802,'1_原始數據'!$B$2:$B$1000,$B802,'1_原始數據'!$D$2:$D$1000,$D802,'1_原始數據'!$C$2:$C$1000,"khp_mass_g")=0,"",SUMIFS('1_原始數據'!$E$2:$E$1000,'1_原始數據'!$A$2:$A$1000,$A802,'1_原始數據'!$B$2:$B$1000,$B802,'1_原始數據'!$D$2:$D$1000,$D802,'1_原始數據'!$C$2:$C$1000,"khp_mass_g")/('2_NaOH標定'!$C$5*$E802/1000))))</f>
        <v/>
      </c>
      <c r="K802" s="24">
        <f>IF($A802="","",IF($C802&lt;&gt;"manual_titration_mL","",IF(COUNTIFS('1_原始數據'!$A$2:$A$1000,$A802,'1_原始數據'!$C$2:$C$1000,"khp_titration_mL")=0,"",AVERAGEIFS('1_原始數據'!$J$2:$J$1000,'1_原始數據'!$A$2:$A$1000,$A802,'1_原始數據'!$C$2:$C$1000,"khp_titration_mL"))))</f>
        <v/>
      </c>
      <c r="L802" s="25">
        <f>IF($A802="","",IF($C802&lt;&gt;"manual_titration_mL","",IFERROR(INDEX('3_可滴定酸度'!$E$6:$E$13,MATCH($I802,'3_可滴定酸度'!$B$6:$B$13,0)),"")))</f>
        <v/>
      </c>
      <c r="M802" s="25">
        <f>IF($A802="","",IF($C802&lt;&gt;"manual_titration_mL","",IFERROR(INDEX('3_可滴定酸度'!$F$6:$F$13,MATCH($I802,'3_可滴定酸度'!$B$6:$B$13,0)),"")))</f>
        <v/>
      </c>
      <c r="N802" s="24">
        <f>IF($A802="","",IF(OR(K802="",L802="",M802=""),"",K802*E802*L802/(M802*1000)*100))</f>
        <v/>
      </c>
      <c r="O802" s="24">
        <f>IF($A802="","",IF(N802="","",IF(COUNTIFS('1_原始數據'!$A$2:$A$1000,$A802,'1_原始數據'!$B$2:$B$1000,$B802,'1_原始數據'!$D$2:$D$1000,$D802,'1_原始數據'!$I$2:$I$1000,$I802,'1_原始數據'!$C$2:$C$1000,"pasco_pct_acid")=0,"",SUMIFS('1_原始數據'!$E$2:$E$1000,'1_原始數據'!$A$2:$A$1000,$A802,'1_原始數據'!$B$2:$B$1000,$B802,'1_原始數據'!$D$2:$D$1000,$D802,'1_原始數據'!$I$2:$I$1000,$I802,'1_原始數據'!$C$2:$C$1000,"pasco_pct_acid"))))</f>
        <v/>
      </c>
      <c r="P802" s="26">
        <f>IF($A802="","",IF(OR(N802="",O802=""),"",O802-N802))</f>
        <v/>
      </c>
      <c r="Q802" s="24">
        <f>IF($A802="","",IF(P802="","",(O802+N802)/2))</f>
        <v/>
      </c>
      <c r="R802" s="27">
        <f>IF($A802="","",IF(P802="","",COUNT($P$2:P802)))</f>
        <v/>
      </c>
    </row>
    <row r="803">
      <c r="J803" s="24">
        <f>IF($A803="","",IF($C803&lt;&gt;"khp_titration_mL","",IF(COUNTIFS('1_原始數據'!$A$2:$A$1000,$A803,'1_原始數據'!$B$2:$B$1000,$B803,'1_原始數據'!$D$2:$D$1000,$D803,'1_原始數據'!$C$2:$C$1000,"khp_mass_g")=0,"",SUMIFS('1_原始數據'!$E$2:$E$1000,'1_原始數據'!$A$2:$A$1000,$A803,'1_原始數據'!$B$2:$B$1000,$B803,'1_原始數據'!$D$2:$D$1000,$D803,'1_原始數據'!$C$2:$C$1000,"khp_mass_g")/('2_NaOH標定'!$C$5*$E803/1000))))</f>
        <v/>
      </c>
      <c r="K803" s="24">
        <f>IF($A803="","",IF($C803&lt;&gt;"manual_titration_mL","",IF(COUNTIFS('1_原始數據'!$A$2:$A$1000,$A803,'1_原始數據'!$C$2:$C$1000,"khp_titration_mL")=0,"",AVERAGEIFS('1_原始數據'!$J$2:$J$1000,'1_原始數據'!$A$2:$A$1000,$A803,'1_原始數據'!$C$2:$C$1000,"khp_titration_mL"))))</f>
        <v/>
      </c>
      <c r="L803" s="25">
        <f>IF($A803="","",IF($C803&lt;&gt;"manual_titration_mL","",IFERROR(INDEX('3_可滴定酸度'!$E$6:$E$13,MATCH($I803,'3_可滴定酸度'!$B$6:$B$13,0)),"")))</f>
        <v/>
      </c>
      <c r="M803" s="25">
        <f>IF($A803="","",IF($C803&lt;&gt;"manual_titration_mL","",IFERROR(INDEX('3_可滴定酸度'!$F$6:$F$13,MATCH($I803,'3_可滴定酸度'!$B$6:$B$13,0)),"")))</f>
        <v/>
      </c>
      <c r="N803" s="24">
        <f>IF($A803="","",IF(OR(K803="",L803="",M803=""),"",K803*E803*L803/(M803*1000)*100))</f>
        <v/>
      </c>
      <c r="O803" s="24">
        <f>IF($A803="","",IF(N803="","",IF(COUNTIFS('1_原始數據'!$A$2:$A$1000,$A803,'1_原始數據'!$B$2:$B$1000,$B803,'1_原始數據'!$D$2:$D$1000,$D803,'1_原始數據'!$I$2:$I$1000,$I803,'1_原始數據'!$C$2:$C$1000,"pasco_pct_acid")=0,"",SUMIFS('1_原始數據'!$E$2:$E$1000,'1_原始數據'!$A$2:$A$1000,$A803,'1_原始數據'!$B$2:$B$1000,$B803,'1_原始數據'!$D$2:$D$1000,$D803,'1_原始數據'!$I$2:$I$1000,$I803,'1_原始數據'!$C$2:$C$1000,"pasco_pct_acid"))))</f>
        <v/>
      </c>
      <c r="P803" s="26">
        <f>IF($A803="","",IF(OR(N803="",O803=""),"",O803-N803))</f>
        <v/>
      </c>
      <c r="Q803" s="24">
        <f>IF($A803="","",IF(P803="","",(O803+N803)/2))</f>
        <v/>
      </c>
      <c r="R803" s="27">
        <f>IF($A803="","",IF(P803="","",COUNT($P$2:P803)))</f>
        <v/>
      </c>
    </row>
    <row r="804">
      <c r="J804" s="24">
        <f>IF($A804="","",IF($C804&lt;&gt;"khp_titration_mL","",IF(COUNTIFS('1_原始數據'!$A$2:$A$1000,$A804,'1_原始數據'!$B$2:$B$1000,$B804,'1_原始數據'!$D$2:$D$1000,$D804,'1_原始數據'!$C$2:$C$1000,"khp_mass_g")=0,"",SUMIFS('1_原始數據'!$E$2:$E$1000,'1_原始數據'!$A$2:$A$1000,$A804,'1_原始數據'!$B$2:$B$1000,$B804,'1_原始數據'!$D$2:$D$1000,$D804,'1_原始數據'!$C$2:$C$1000,"khp_mass_g")/('2_NaOH標定'!$C$5*$E804/1000))))</f>
        <v/>
      </c>
      <c r="K804" s="24">
        <f>IF($A804="","",IF($C804&lt;&gt;"manual_titration_mL","",IF(COUNTIFS('1_原始數據'!$A$2:$A$1000,$A804,'1_原始數據'!$C$2:$C$1000,"khp_titration_mL")=0,"",AVERAGEIFS('1_原始數據'!$J$2:$J$1000,'1_原始數據'!$A$2:$A$1000,$A804,'1_原始數據'!$C$2:$C$1000,"khp_titration_mL"))))</f>
        <v/>
      </c>
      <c r="L804" s="25">
        <f>IF($A804="","",IF($C804&lt;&gt;"manual_titration_mL","",IFERROR(INDEX('3_可滴定酸度'!$E$6:$E$13,MATCH($I804,'3_可滴定酸度'!$B$6:$B$13,0)),"")))</f>
        <v/>
      </c>
      <c r="M804" s="25">
        <f>IF($A804="","",IF($C804&lt;&gt;"manual_titration_mL","",IFERROR(INDEX('3_可滴定酸度'!$F$6:$F$13,MATCH($I804,'3_可滴定酸度'!$B$6:$B$13,0)),"")))</f>
        <v/>
      </c>
      <c r="N804" s="24">
        <f>IF($A804="","",IF(OR(K804="",L804="",M804=""),"",K804*E804*L804/(M804*1000)*100))</f>
        <v/>
      </c>
      <c r="O804" s="24">
        <f>IF($A804="","",IF(N804="","",IF(COUNTIFS('1_原始數據'!$A$2:$A$1000,$A804,'1_原始數據'!$B$2:$B$1000,$B804,'1_原始數據'!$D$2:$D$1000,$D804,'1_原始數據'!$I$2:$I$1000,$I804,'1_原始數據'!$C$2:$C$1000,"pasco_pct_acid")=0,"",SUMIFS('1_原始數據'!$E$2:$E$1000,'1_原始數據'!$A$2:$A$1000,$A804,'1_原始數據'!$B$2:$B$1000,$B804,'1_原始數據'!$D$2:$D$1000,$D804,'1_原始數據'!$I$2:$I$1000,$I804,'1_原始數據'!$C$2:$C$1000,"pasco_pct_acid"))))</f>
        <v/>
      </c>
      <c r="P804" s="26">
        <f>IF($A804="","",IF(OR(N804="",O804=""),"",O804-N804))</f>
        <v/>
      </c>
      <c r="Q804" s="24">
        <f>IF($A804="","",IF(P804="","",(O804+N804)/2))</f>
        <v/>
      </c>
      <c r="R804" s="27">
        <f>IF($A804="","",IF(P804="","",COUNT($P$2:P804)))</f>
        <v/>
      </c>
    </row>
    <row r="805">
      <c r="J805" s="24">
        <f>IF($A805="","",IF($C805&lt;&gt;"khp_titration_mL","",IF(COUNTIFS('1_原始數據'!$A$2:$A$1000,$A805,'1_原始數據'!$B$2:$B$1000,$B805,'1_原始數據'!$D$2:$D$1000,$D805,'1_原始數據'!$C$2:$C$1000,"khp_mass_g")=0,"",SUMIFS('1_原始數據'!$E$2:$E$1000,'1_原始數據'!$A$2:$A$1000,$A805,'1_原始數據'!$B$2:$B$1000,$B805,'1_原始數據'!$D$2:$D$1000,$D805,'1_原始數據'!$C$2:$C$1000,"khp_mass_g")/('2_NaOH標定'!$C$5*$E805/1000))))</f>
        <v/>
      </c>
      <c r="K805" s="24">
        <f>IF($A805="","",IF($C805&lt;&gt;"manual_titration_mL","",IF(COUNTIFS('1_原始數據'!$A$2:$A$1000,$A805,'1_原始數據'!$C$2:$C$1000,"khp_titration_mL")=0,"",AVERAGEIFS('1_原始數據'!$J$2:$J$1000,'1_原始數據'!$A$2:$A$1000,$A805,'1_原始數據'!$C$2:$C$1000,"khp_titration_mL"))))</f>
        <v/>
      </c>
      <c r="L805" s="25">
        <f>IF($A805="","",IF($C805&lt;&gt;"manual_titration_mL","",IFERROR(INDEX('3_可滴定酸度'!$E$6:$E$13,MATCH($I805,'3_可滴定酸度'!$B$6:$B$13,0)),"")))</f>
        <v/>
      </c>
      <c r="M805" s="25">
        <f>IF($A805="","",IF($C805&lt;&gt;"manual_titration_mL","",IFERROR(INDEX('3_可滴定酸度'!$F$6:$F$13,MATCH($I805,'3_可滴定酸度'!$B$6:$B$13,0)),"")))</f>
        <v/>
      </c>
      <c r="N805" s="24">
        <f>IF($A805="","",IF(OR(K805="",L805="",M805=""),"",K805*E805*L805/(M805*1000)*100))</f>
        <v/>
      </c>
      <c r="O805" s="24">
        <f>IF($A805="","",IF(N805="","",IF(COUNTIFS('1_原始數據'!$A$2:$A$1000,$A805,'1_原始數據'!$B$2:$B$1000,$B805,'1_原始數據'!$D$2:$D$1000,$D805,'1_原始數據'!$I$2:$I$1000,$I805,'1_原始數據'!$C$2:$C$1000,"pasco_pct_acid")=0,"",SUMIFS('1_原始數據'!$E$2:$E$1000,'1_原始數據'!$A$2:$A$1000,$A805,'1_原始數據'!$B$2:$B$1000,$B805,'1_原始數據'!$D$2:$D$1000,$D805,'1_原始數據'!$I$2:$I$1000,$I805,'1_原始數據'!$C$2:$C$1000,"pasco_pct_acid"))))</f>
        <v/>
      </c>
      <c r="P805" s="26">
        <f>IF($A805="","",IF(OR(N805="",O805=""),"",O805-N805))</f>
        <v/>
      </c>
      <c r="Q805" s="24">
        <f>IF($A805="","",IF(P805="","",(O805+N805)/2))</f>
        <v/>
      </c>
      <c r="R805" s="27">
        <f>IF($A805="","",IF(P805="","",COUNT($P$2:P805)))</f>
        <v/>
      </c>
    </row>
    <row r="806">
      <c r="J806" s="24">
        <f>IF($A806="","",IF($C806&lt;&gt;"khp_titration_mL","",IF(COUNTIFS('1_原始數據'!$A$2:$A$1000,$A806,'1_原始數據'!$B$2:$B$1000,$B806,'1_原始數據'!$D$2:$D$1000,$D806,'1_原始數據'!$C$2:$C$1000,"khp_mass_g")=0,"",SUMIFS('1_原始數據'!$E$2:$E$1000,'1_原始數據'!$A$2:$A$1000,$A806,'1_原始數據'!$B$2:$B$1000,$B806,'1_原始數據'!$D$2:$D$1000,$D806,'1_原始數據'!$C$2:$C$1000,"khp_mass_g")/('2_NaOH標定'!$C$5*$E806/1000))))</f>
        <v/>
      </c>
      <c r="K806" s="24">
        <f>IF($A806="","",IF($C806&lt;&gt;"manual_titration_mL","",IF(COUNTIFS('1_原始數據'!$A$2:$A$1000,$A806,'1_原始數據'!$C$2:$C$1000,"khp_titration_mL")=0,"",AVERAGEIFS('1_原始數據'!$J$2:$J$1000,'1_原始數據'!$A$2:$A$1000,$A806,'1_原始數據'!$C$2:$C$1000,"khp_titration_mL"))))</f>
        <v/>
      </c>
      <c r="L806" s="25">
        <f>IF($A806="","",IF($C806&lt;&gt;"manual_titration_mL","",IFERROR(INDEX('3_可滴定酸度'!$E$6:$E$13,MATCH($I806,'3_可滴定酸度'!$B$6:$B$13,0)),"")))</f>
        <v/>
      </c>
      <c r="M806" s="25">
        <f>IF($A806="","",IF($C806&lt;&gt;"manual_titration_mL","",IFERROR(INDEX('3_可滴定酸度'!$F$6:$F$13,MATCH($I806,'3_可滴定酸度'!$B$6:$B$13,0)),"")))</f>
        <v/>
      </c>
      <c r="N806" s="24">
        <f>IF($A806="","",IF(OR(K806="",L806="",M806=""),"",K806*E806*L806/(M806*1000)*100))</f>
        <v/>
      </c>
      <c r="O806" s="24">
        <f>IF($A806="","",IF(N806="","",IF(COUNTIFS('1_原始數據'!$A$2:$A$1000,$A806,'1_原始數據'!$B$2:$B$1000,$B806,'1_原始數據'!$D$2:$D$1000,$D806,'1_原始數據'!$I$2:$I$1000,$I806,'1_原始數據'!$C$2:$C$1000,"pasco_pct_acid")=0,"",SUMIFS('1_原始數據'!$E$2:$E$1000,'1_原始數據'!$A$2:$A$1000,$A806,'1_原始數據'!$B$2:$B$1000,$B806,'1_原始數據'!$D$2:$D$1000,$D806,'1_原始數據'!$I$2:$I$1000,$I806,'1_原始數據'!$C$2:$C$1000,"pasco_pct_acid"))))</f>
        <v/>
      </c>
      <c r="P806" s="26">
        <f>IF($A806="","",IF(OR(N806="",O806=""),"",O806-N806))</f>
        <v/>
      </c>
      <c r="Q806" s="24">
        <f>IF($A806="","",IF(P806="","",(O806+N806)/2))</f>
        <v/>
      </c>
      <c r="R806" s="27">
        <f>IF($A806="","",IF(P806="","",COUNT($P$2:P806)))</f>
        <v/>
      </c>
    </row>
    <row r="807">
      <c r="J807" s="24">
        <f>IF($A807="","",IF($C807&lt;&gt;"khp_titration_mL","",IF(COUNTIFS('1_原始數據'!$A$2:$A$1000,$A807,'1_原始數據'!$B$2:$B$1000,$B807,'1_原始數據'!$D$2:$D$1000,$D807,'1_原始數據'!$C$2:$C$1000,"khp_mass_g")=0,"",SUMIFS('1_原始數據'!$E$2:$E$1000,'1_原始數據'!$A$2:$A$1000,$A807,'1_原始數據'!$B$2:$B$1000,$B807,'1_原始數據'!$D$2:$D$1000,$D807,'1_原始數據'!$C$2:$C$1000,"khp_mass_g")/('2_NaOH標定'!$C$5*$E807/1000))))</f>
        <v/>
      </c>
      <c r="K807" s="24">
        <f>IF($A807="","",IF($C807&lt;&gt;"manual_titration_mL","",IF(COUNTIFS('1_原始數據'!$A$2:$A$1000,$A807,'1_原始數據'!$C$2:$C$1000,"khp_titration_mL")=0,"",AVERAGEIFS('1_原始數據'!$J$2:$J$1000,'1_原始數據'!$A$2:$A$1000,$A807,'1_原始數據'!$C$2:$C$1000,"khp_titration_mL"))))</f>
        <v/>
      </c>
      <c r="L807" s="25">
        <f>IF($A807="","",IF($C807&lt;&gt;"manual_titration_mL","",IFERROR(INDEX('3_可滴定酸度'!$E$6:$E$13,MATCH($I807,'3_可滴定酸度'!$B$6:$B$13,0)),"")))</f>
        <v/>
      </c>
      <c r="M807" s="25">
        <f>IF($A807="","",IF($C807&lt;&gt;"manual_titration_mL","",IFERROR(INDEX('3_可滴定酸度'!$F$6:$F$13,MATCH($I807,'3_可滴定酸度'!$B$6:$B$13,0)),"")))</f>
        <v/>
      </c>
      <c r="N807" s="24">
        <f>IF($A807="","",IF(OR(K807="",L807="",M807=""),"",K807*E807*L807/(M807*1000)*100))</f>
        <v/>
      </c>
      <c r="O807" s="24">
        <f>IF($A807="","",IF(N807="","",IF(COUNTIFS('1_原始數據'!$A$2:$A$1000,$A807,'1_原始數據'!$B$2:$B$1000,$B807,'1_原始數據'!$D$2:$D$1000,$D807,'1_原始數據'!$I$2:$I$1000,$I807,'1_原始數據'!$C$2:$C$1000,"pasco_pct_acid")=0,"",SUMIFS('1_原始數據'!$E$2:$E$1000,'1_原始數據'!$A$2:$A$1000,$A807,'1_原始數據'!$B$2:$B$1000,$B807,'1_原始數據'!$D$2:$D$1000,$D807,'1_原始數據'!$I$2:$I$1000,$I807,'1_原始數據'!$C$2:$C$1000,"pasco_pct_acid"))))</f>
        <v/>
      </c>
      <c r="P807" s="26">
        <f>IF($A807="","",IF(OR(N807="",O807=""),"",O807-N807))</f>
        <v/>
      </c>
      <c r="Q807" s="24">
        <f>IF($A807="","",IF(P807="","",(O807+N807)/2))</f>
        <v/>
      </c>
      <c r="R807" s="27">
        <f>IF($A807="","",IF(P807="","",COUNT($P$2:P807)))</f>
        <v/>
      </c>
    </row>
    <row r="808">
      <c r="J808" s="24">
        <f>IF($A808="","",IF($C808&lt;&gt;"khp_titration_mL","",IF(COUNTIFS('1_原始數據'!$A$2:$A$1000,$A808,'1_原始數據'!$B$2:$B$1000,$B808,'1_原始數據'!$D$2:$D$1000,$D808,'1_原始數據'!$C$2:$C$1000,"khp_mass_g")=0,"",SUMIFS('1_原始數據'!$E$2:$E$1000,'1_原始數據'!$A$2:$A$1000,$A808,'1_原始數據'!$B$2:$B$1000,$B808,'1_原始數據'!$D$2:$D$1000,$D808,'1_原始數據'!$C$2:$C$1000,"khp_mass_g")/('2_NaOH標定'!$C$5*$E808/1000))))</f>
        <v/>
      </c>
      <c r="K808" s="24">
        <f>IF($A808="","",IF($C808&lt;&gt;"manual_titration_mL","",IF(COUNTIFS('1_原始數據'!$A$2:$A$1000,$A808,'1_原始數據'!$C$2:$C$1000,"khp_titration_mL")=0,"",AVERAGEIFS('1_原始數據'!$J$2:$J$1000,'1_原始數據'!$A$2:$A$1000,$A808,'1_原始數據'!$C$2:$C$1000,"khp_titration_mL"))))</f>
        <v/>
      </c>
      <c r="L808" s="25">
        <f>IF($A808="","",IF($C808&lt;&gt;"manual_titration_mL","",IFERROR(INDEX('3_可滴定酸度'!$E$6:$E$13,MATCH($I808,'3_可滴定酸度'!$B$6:$B$13,0)),"")))</f>
        <v/>
      </c>
      <c r="M808" s="25">
        <f>IF($A808="","",IF($C808&lt;&gt;"manual_titration_mL","",IFERROR(INDEX('3_可滴定酸度'!$F$6:$F$13,MATCH($I808,'3_可滴定酸度'!$B$6:$B$13,0)),"")))</f>
        <v/>
      </c>
      <c r="N808" s="24">
        <f>IF($A808="","",IF(OR(K808="",L808="",M808=""),"",K808*E808*L808/(M808*1000)*100))</f>
        <v/>
      </c>
      <c r="O808" s="24">
        <f>IF($A808="","",IF(N808="","",IF(COUNTIFS('1_原始數據'!$A$2:$A$1000,$A808,'1_原始數據'!$B$2:$B$1000,$B808,'1_原始數據'!$D$2:$D$1000,$D808,'1_原始數據'!$I$2:$I$1000,$I808,'1_原始數據'!$C$2:$C$1000,"pasco_pct_acid")=0,"",SUMIFS('1_原始數據'!$E$2:$E$1000,'1_原始數據'!$A$2:$A$1000,$A808,'1_原始數據'!$B$2:$B$1000,$B808,'1_原始數據'!$D$2:$D$1000,$D808,'1_原始數據'!$I$2:$I$1000,$I808,'1_原始數據'!$C$2:$C$1000,"pasco_pct_acid"))))</f>
        <v/>
      </c>
      <c r="P808" s="26">
        <f>IF($A808="","",IF(OR(N808="",O808=""),"",O808-N808))</f>
        <v/>
      </c>
      <c r="Q808" s="24">
        <f>IF($A808="","",IF(P808="","",(O808+N808)/2))</f>
        <v/>
      </c>
      <c r="R808" s="27">
        <f>IF($A808="","",IF(P808="","",COUNT($P$2:P808)))</f>
        <v/>
      </c>
    </row>
    <row r="809">
      <c r="J809" s="24">
        <f>IF($A809="","",IF($C809&lt;&gt;"khp_titration_mL","",IF(COUNTIFS('1_原始數據'!$A$2:$A$1000,$A809,'1_原始數據'!$B$2:$B$1000,$B809,'1_原始數據'!$D$2:$D$1000,$D809,'1_原始數據'!$C$2:$C$1000,"khp_mass_g")=0,"",SUMIFS('1_原始數據'!$E$2:$E$1000,'1_原始數據'!$A$2:$A$1000,$A809,'1_原始數據'!$B$2:$B$1000,$B809,'1_原始數據'!$D$2:$D$1000,$D809,'1_原始數據'!$C$2:$C$1000,"khp_mass_g")/('2_NaOH標定'!$C$5*$E809/1000))))</f>
        <v/>
      </c>
      <c r="K809" s="24">
        <f>IF($A809="","",IF($C809&lt;&gt;"manual_titration_mL","",IF(COUNTIFS('1_原始數據'!$A$2:$A$1000,$A809,'1_原始數據'!$C$2:$C$1000,"khp_titration_mL")=0,"",AVERAGEIFS('1_原始數據'!$J$2:$J$1000,'1_原始數據'!$A$2:$A$1000,$A809,'1_原始數據'!$C$2:$C$1000,"khp_titration_mL"))))</f>
        <v/>
      </c>
      <c r="L809" s="25">
        <f>IF($A809="","",IF($C809&lt;&gt;"manual_titration_mL","",IFERROR(INDEX('3_可滴定酸度'!$E$6:$E$13,MATCH($I809,'3_可滴定酸度'!$B$6:$B$13,0)),"")))</f>
        <v/>
      </c>
      <c r="M809" s="25">
        <f>IF($A809="","",IF($C809&lt;&gt;"manual_titration_mL","",IFERROR(INDEX('3_可滴定酸度'!$F$6:$F$13,MATCH($I809,'3_可滴定酸度'!$B$6:$B$13,0)),"")))</f>
        <v/>
      </c>
      <c r="N809" s="24">
        <f>IF($A809="","",IF(OR(K809="",L809="",M809=""),"",K809*E809*L809/(M809*1000)*100))</f>
        <v/>
      </c>
      <c r="O809" s="24">
        <f>IF($A809="","",IF(N809="","",IF(COUNTIFS('1_原始數據'!$A$2:$A$1000,$A809,'1_原始數據'!$B$2:$B$1000,$B809,'1_原始數據'!$D$2:$D$1000,$D809,'1_原始數據'!$I$2:$I$1000,$I809,'1_原始數據'!$C$2:$C$1000,"pasco_pct_acid")=0,"",SUMIFS('1_原始數據'!$E$2:$E$1000,'1_原始數據'!$A$2:$A$1000,$A809,'1_原始數據'!$B$2:$B$1000,$B809,'1_原始數據'!$D$2:$D$1000,$D809,'1_原始數據'!$I$2:$I$1000,$I809,'1_原始數據'!$C$2:$C$1000,"pasco_pct_acid"))))</f>
        <v/>
      </c>
      <c r="P809" s="26">
        <f>IF($A809="","",IF(OR(N809="",O809=""),"",O809-N809))</f>
        <v/>
      </c>
      <c r="Q809" s="24">
        <f>IF($A809="","",IF(P809="","",(O809+N809)/2))</f>
        <v/>
      </c>
      <c r="R809" s="27">
        <f>IF($A809="","",IF(P809="","",COUNT($P$2:P809)))</f>
        <v/>
      </c>
    </row>
    <row r="810">
      <c r="J810" s="24">
        <f>IF($A810="","",IF($C810&lt;&gt;"khp_titration_mL","",IF(COUNTIFS('1_原始數據'!$A$2:$A$1000,$A810,'1_原始數據'!$B$2:$B$1000,$B810,'1_原始數據'!$D$2:$D$1000,$D810,'1_原始數據'!$C$2:$C$1000,"khp_mass_g")=0,"",SUMIFS('1_原始數據'!$E$2:$E$1000,'1_原始數據'!$A$2:$A$1000,$A810,'1_原始數據'!$B$2:$B$1000,$B810,'1_原始數據'!$D$2:$D$1000,$D810,'1_原始數據'!$C$2:$C$1000,"khp_mass_g")/('2_NaOH標定'!$C$5*$E810/1000))))</f>
        <v/>
      </c>
      <c r="K810" s="24">
        <f>IF($A810="","",IF($C810&lt;&gt;"manual_titration_mL","",IF(COUNTIFS('1_原始數據'!$A$2:$A$1000,$A810,'1_原始數據'!$C$2:$C$1000,"khp_titration_mL")=0,"",AVERAGEIFS('1_原始數據'!$J$2:$J$1000,'1_原始數據'!$A$2:$A$1000,$A810,'1_原始數據'!$C$2:$C$1000,"khp_titration_mL"))))</f>
        <v/>
      </c>
      <c r="L810" s="25">
        <f>IF($A810="","",IF($C810&lt;&gt;"manual_titration_mL","",IFERROR(INDEX('3_可滴定酸度'!$E$6:$E$13,MATCH($I810,'3_可滴定酸度'!$B$6:$B$13,0)),"")))</f>
        <v/>
      </c>
      <c r="M810" s="25">
        <f>IF($A810="","",IF($C810&lt;&gt;"manual_titration_mL","",IFERROR(INDEX('3_可滴定酸度'!$F$6:$F$13,MATCH($I810,'3_可滴定酸度'!$B$6:$B$13,0)),"")))</f>
        <v/>
      </c>
      <c r="N810" s="24">
        <f>IF($A810="","",IF(OR(K810="",L810="",M810=""),"",K810*E810*L810/(M810*1000)*100))</f>
        <v/>
      </c>
      <c r="O810" s="24">
        <f>IF($A810="","",IF(N810="","",IF(COUNTIFS('1_原始數據'!$A$2:$A$1000,$A810,'1_原始數據'!$B$2:$B$1000,$B810,'1_原始數據'!$D$2:$D$1000,$D810,'1_原始數據'!$I$2:$I$1000,$I810,'1_原始數據'!$C$2:$C$1000,"pasco_pct_acid")=0,"",SUMIFS('1_原始數據'!$E$2:$E$1000,'1_原始數據'!$A$2:$A$1000,$A810,'1_原始數據'!$B$2:$B$1000,$B810,'1_原始數據'!$D$2:$D$1000,$D810,'1_原始數據'!$I$2:$I$1000,$I810,'1_原始數據'!$C$2:$C$1000,"pasco_pct_acid"))))</f>
        <v/>
      </c>
      <c r="P810" s="26">
        <f>IF($A810="","",IF(OR(N810="",O810=""),"",O810-N810))</f>
        <v/>
      </c>
      <c r="Q810" s="24">
        <f>IF($A810="","",IF(P810="","",(O810+N810)/2))</f>
        <v/>
      </c>
      <c r="R810" s="27">
        <f>IF($A810="","",IF(P810="","",COUNT($P$2:P810)))</f>
        <v/>
      </c>
    </row>
    <row r="811">
      <c r="J811" s="24">
        <f>IF($A811="","",IF($C811&lt;&gt;"khp_titration_mL","",IF(COUNTIFS('1_原始數據'!$A$2:$A$1000,$A811,'1_原始數據'!$B$2:$B$1000,$B811,'1_原始數據'!$D$2:$D$1000,$D811,'1_原始數據'!$C$2:$C$1000,"khp_mass_g")=0,"",SUMIFS('1_原始數據'!$E$2:$E$1000,'1_原始數據'!$A$2:$A$1000,$A811,'1_原始數據'!$B$2:$B$1000,$B811,'1_原始數據'!$D$2:$D$1000,$D811,'1_原始數據'!$C$2:$C$1000,"khp_mass_g")/('2_NaOH標定'!$C$5*$E811/1000))))</f>
        <v/>
      </c>
      <c r="K811" s="24">
        <f>IF($A811="","",IF($C811&lt;&gt;"manual_titration_mL","",IF(COUNTIFS('1_原始數據'!$A$2:$A$1000,$A811,'1_原始數據'!$C$2:$C$1000,"khp_titration_mL")=0,"",AVERAGEIFS('1_原始數據'!$J$2:$J$1000,'1_原始數據'!$A$2:$A$1000,$A811,'1_原始數據'!$C$2:$C$1000,"khp_titration_mL"))))</f>
        <v/>
      </c>
      <c r="L811" s="25">
        <f>IF($A811="","",IF($C811&lt;&gt;"manual_titration_mL","",IFERROR(INDEX('3_可滴定酸度'!$E$6:$E$13,MATCH($I811,'3_可滴定酸度'!$B$6:$B$13,0)),"")))</f>
        <v/>
      </c>
      <c r="M811" s="25">
        <f>IF($A811="","",IF($C811&lt;&gt;"manual_titration_mL","",IFERROR(INDEX('3_可滴定酸度'!$F$6:$F$13,MATCH($I811,'3_可滴定酸度'!$B$6:$B$13,0)),"")))</f>
        <v/>
      </c>
      <c r="N811" s="24">
        <f>IF($A811="","",IF(OR(K811="",L811="",M811=""),"",K811*E811*L811/(M811*1000)*100))</f>
        <v/>
      </c>
      <c r="O811" s="24">
        <f>IF($A811="","",IF(N811="","",IF(COUNTIFS('1_原始數據'!$A$2:$A$1000,$A811,'1_原始數據'!$B$2:$B$1000,$B811,'1_原始數據'!$D$2:$D$1000,$D811,'1_原始數據'!$I$2:$I$1000,$I811,'1_原始數據'!$C$2:$C$1000,"pasco_pct_acid")=0,"",SUMIFS('1_原始數據'!$E$2:$E$1000,'1_原始數據'!$A$2:$A$1000,$A811,'1_原始數據'!$B$2:$B$1000,$B811,'1_原始數據'!$D$2:$D$1000,$D811,'1_原始數據'!$I$2:$I$1000,$I811,'1_原始數據'!$C$2:$C$1000,"pasco_pct_acid"))))</f>
        <v/>
      </c>
      <c r="P811" s="26">
        <f>IF($A811="","",IF(OR(N811="",O811=""),"",O811-N811))</f>
        <v/>
      </c>
      <c r="Q811" s="24">
        <f>IF($A811="","",IF(P811="","",(O811+N811)/2))</f>
        <v/>
      </c>
      <c r="R811" s="27">
        <f>IF($A811="","",IF(P811="","",COUNT($P$2:P811)))</f>
        <v/>
      </c>
    </row>
    <row r="812">
      <c r="J812" s="24">
        <f>IF($A812="","",IF($C812&lt;&gt;"khp_titration_mL","",IF(COUNTIFS('1_原始數據'!$A$2:$A$1000,$A812,'1_原始數據'!$B$2:$B$1000,$B812,'1_原始數據'!$D$2:$D$1000,$D812,'1_原始數據'!$C$2:$C$1000,"khp_mass_g")=0,"",SUMIFS('1_原始數據'!$E$2:$E$1000,'1_原始數據'!$A$2:$A$1000,$A812,'1_原始數據'!$B$2:$B$1000,$B812,'1_原始數據'!$D$2:$D$1000,$D812,'1_原始數據'!$C$2:$C$1000,"khp_mass_g")/('2_NaOH標定'!$C$5*$E812/1000))))</f>
        <v/>
      </c>
      <c r="K812" s="24">
        <f>IF($A812="","",IF($C812&lt;&gt;"manual_titration_mL","",IF(COUNTIFS('1_原始數據'!$A$2:$A$1000,$A812,'1_原始數據'!$C$2:$C$1000,"khp_titration_mL")=0,"",AVERAGEIFS('1_原始數據'!$J$2:$J$1000,'1_原始數據'!$A$2:$A$1000,$A812,'1_原始數據'!$C$2:$C$1000,"khp_titration_mL"))))</f>
        <v/>
      </c>
      <c r="L812" s="25">
        <f>IF($A812="","",IF($C812&lt;&gt;"manual_titration_mL","",IFERROR(INDEX('3_可滴定酸度'!$E$6:$E$13,MATCH($I812,'3_可滴定酸度'!$B$6:$B$13,0)),"")))</f>
        <v/>
      </c>
      <c r="M812" s="25">
        <f>IF($A812="","",IF($C812&lt;&gt;"manual_titration_mL","",IFERROR(INDEX('3_可滴定酸度'!$F$6:$F$13,MATCH($I812,'3_可滴定酸度'!$B$6:$B$13,0)),"")))</f>
        <v/>
      </c>
      <c r="N812" s="24">
        <f>IF($A812="","",IF(OR(K812="",L812="",M812=""),"",K812*E812*L812/(M812*1000)*100))</f>
        <v/>
      </c>
      <c r="O812" s="24">
        <f>IF($A812="","",IF(N812="","",IF(COUNTIFS('1_原始數據'!$A$2:$A$1000,$A812,'1_原始數據'!$B$2:$B$1000,$B812,'1_原始數據'!$D$2:$D$1000,$D812,'1_原始數據'!$I$2:$I$1000,$I812,'1_原始數據'!$C$2:$C$1000,"pasco_pct_acid")=0,"",SUMIFS('1_原始數據'!$E$2:$E$1000,'1_原始數據'!$A$2:$A$1000,$A812,'1_原始數據'!$B$2:$B$1000,$B812,'1_原始數據'!$D$2:$D$1000,$D812,'1_原始數據'!$I$2:$I$1000,$I812,'1_原始數據'!$C$2:$C$1000,"pasco_pct_acid"))))</f>
        <v/>
      </c>
      <c r="P812" s="26">
        <f>IF($A812="","",IF(OR(N812="",O812=""),"",O812-N812))</f>
        <v/>
      </c>
      <c r="Q812" s="24">
        <f>IF($A812="","",IF(P812="","",(O812+N812)/2))</f>
        <v/>
      </c>
      <c r="R812" s="27">
        <f>IF($A812="","",IF(P812="","",COUNT($P$2:P812)))</f>
        <v/>
      </c>
    </row>
    <row r="813">
      <c r="J813" s="24">
        <f>IF($A813="","",IF($C813&lt;&gt;"khp_titration_mL","",IF(COUNTIFS('1_原始數據'!$A$2:$A$1000,$A813,'1_原始數據'!$B$2:$B$1000,$B813,'1_原始數據'!$D$2:$D$1000,$D813,'1_原始數據'!$C$2:$C$1000,"khp_mass_g")=0,"",SUMIFS('1_原始數據'!$E$2:$E$1000,'1_原始數據'!$A$2:$A$1000,$A813,'1_原始數據'!$B$2:$B$1000,$B813,'1_原始數據'!$D$2:$D$1000,$D813,'1_原始數據'!$C$2:$C$1000,"khp_mass_g")/('2_NaOH標定'!$C$5*$E813/1000))))</f>
        <v/>
      </c>
      <c r="K813" s="24">
        <f>IF($A813="","",IF($C813&lt;&gt;"manual_titration_mL","",IF(COUNTIFS('1_原始數據'!$A$2:$A$1000,$A813,'1_原始數據'!$C$2:$C$1000,"khp_titration_mL")=0,"",AVERAGEIFS('1_原始數據'!$J$2:$J$1000,'1_原始數據'!$A$2:$A$1000,$A813,'1_原始數據'!$C$2:$C$1000,"khp_titration_mL"))))</f>
        <v/>
      </c>
      <c r="L813" s="25">
        <f>IF($A813="","",IF($C813&lt;&gt;"manual_titration_mL","",IFERROR(INDEX('3_可滴定酸度'!$E$6:$E$13,MATCH($I813,'3_可滴定酸度'!$B$6:$B$13,0)),"")))</f>
        <v/>
      </c>
      <c r="M813" s="25">
        <f>IF($A813="","",IF($C813&lt;&gt;"manual_titration_mL","",IFERROR(INDEX('3_可滴定酸度'!$F$6:$F$13,MATCH($I813,'3_可滴定酸度'!$B$6:$B$13,0)),"")))</f>
        <v/>
      </c>
      <c r="N813" s="24">
        <f>IF($A813="","",IF(OR(K813="",L813="",M813=""),"",K813*E813*L813/(M813*1000)*100))</f>
        <v/>
      </c>
      <c r="O813" s="24">
        <f>IF($A813="","",IF(N813="","",IF(COUNTIFS('1_原始數據'!$A$2:$A$1000,$A813,'1_原始數據'!$B$2:$B$1000,$B813,'1_原始數據'!$D$2:$D$1000,$D813,'1_原始數據'!$I$2:$I$1000,$I813,'1_原始數據'!$C$2:$C$1000,"pasco_pct_acid")=0,"",SUMIFS('1_原始數據'!$E$2:$E$1000,'1_原始數據'!$A$2:$A$1000,$A813,'1_原始數據'!$B$2:$B$1000,$B813,'1_原始數據'!$D$2:$D$1000,$D813,'1_原始數據'!$I$2:$I$1000,$I813,'1_原始數據'!$C$2:$C$1000,"pasco_pct_acid"))))</f>
        <v/>
      </c>
      <c r="P813" s="26">
        <f>IF($A813="","",IF(OR(N813="",O813=""),"",O813-N813))</f>
        <v/>
      </c>
      <c r="Q813" s="24">
        <f>IF($A813="","",IF(P813="","",(O813+N813)/2))</f>
        <v/>
      </c>
      <c r="R813" s="27">
        <f>IF($A813="","",IF(P813="","",COUNT($P$2:P813)))</f>
        <v/>
      </c>
    </row>
    <row r="814">
      <c r="J814" s="24">
        <f>IF($A814="","",IF($C814&lt;&gt;"khp_titration_mL","",IF(COUNTIFS('1_原始數據'!$A$2:$A$1000,$A814,'1_原始數據'!$B$2:$B$1000,$B814,'1_原始數據'!$D$2:$D$1000,$D814,'1_原始數據'!$C$2:$C$1000,"khp_mass_g")=0,"",SUMIFS('1_原始數據'!$E$2:$E$1000,'1_原始數據'!$A$2:$A$1000,$A814,'1_原始數據'!$B$2:$B$1000,$B814,'1_原始數據'!$D$2:$D$1000,$D814,'1_原始數據'!$C$2:$C$1000,"khp_mass_g")/('2_NaOH標定'!$C$5*$E814/1000))))</f>
        <v/>
      </c>
      <c r="K814" s="24">
        <f>IF($A814="","",IF($C814&lt;&gt;"manual_titration_mL","",IF(COUNTIFS('1_原始數據'!$A$2:$A$1000,$A814,'1_原始數據'!$C$2:$C$1000,"khp_titration_mL")=0,"",AVERAGEIFS('1_原始數據'!$J$2:$J$1000,'1_原始數據'!$A$2:$A$1000,$A814,'1_原始數據'!$C$2:$C$1000,"khp_titration_mL"))))</f>
        <v/>
      </c>
      <c r="L814" s="25">
        <f>IF($A814="","",IF($C814&lt;&gt;"manual_titration_mL","",IFERROR(INDEX('3_可滴定酸度'!$E$6:$E$13,MATCH($I814,'3_可滴定酸度'!$B$6:$B$13,0)),"")))</f>
        <v/>
      </c>
      <c r="M814" s="25">
        <f>IF($A814="","",IF($C814&lt;&gt;"manual_titration_mL","",IFERROR(INDEX('3_可滴定酸度'!$F$6:$F$13,MATCH($I814,'3_可滴定酸度'!$B$6:$B$13,0)),"")))</f>
        <v/>
      </c>
      <c r="N814" s="24">
        <f>IF($A814="","",IF(OR(K814="",L814="",M814=""),"",K814*E814*L814/(M814*1000)*100))</f>
        <v/>
      </c>
      <c r="O814" s="24">
        <f>IF($A814="","",IF(N814="","",IF(COUNTIFS('1_原始數據'!$A$2:$A$1000,$A814,'1_原始數據'!$B$2:$B$1000,$B814,'1_原始數據'!$D$2:$D$1000,$D814,'1_原始數據'!$I$2:$I$1000,$I814,'1_原始數據'!$C$2:$C$1000,"pasco_pct_acid")=0,"",SUMIFS('1_原始數據'!$E$2:$E$1000,'1_原始數據'!$A$2:$A$1000,$A814,'1_原始數據'!$B$2:$B$1000,$B814,'1_原始數據'!$D$2:$D$1000,$D814,'1_原始數據'!$I$2:$I$1000,$I814,'1_原始數據'!$C$2:$C$1000,"pasco_pct_acid"))))</f>
        <v/>
      </c>
      <c r="P814" s="26">
        <f>IF($A814="","",IF(OR(N814="",O814=""),"",O814-N814))</f>
        <v/>
      </c>
      <c r="Q814" s="24">
        <f>IF($A814="","",IF(P814="","",(O814+N814)/2))</f>
        <v/>
      </c>
      <c r="R814" s="27">
        <f>IF($A814="","",IF(P814="","",COUNT($P$2:P814)))</f>
        <v/>
      </c>
    </row>
    <row r="815">
      <c r="J815" s="24">
        <f>IF($A815="","",IF($C815&lt;&gt;"khp_titration_mL","",IF(COUNTIFS('1_原始數據'!$A$2:$A$1000,$A815,'1_原始數據'!$B$2:$B$1000,$B815,'1_原始數據'!$D$2:$D$1000,$D815,'1_原始數據'!$C$2:$C$1000,"khp_mass_g")=0,"",SUMIFS('1_原始數據'!$E$2:$E$1000,'1_原始數據'!$A$2:$A$1000,$A815,'1_原始數據'!$B$2:$B$1000,$B815,'1_原始數據'!$D$2:$D$1000,$D815,'1_原始數據'!$C$2:$C$1000,"khp_mass_g")/('2_NaOH標定'!$C$5*$E815/1000))))</f>
        <v/>
      </c>
      <c r="K815" s="24">
        <f>IF($A815="","",IF($C815&lt;&gt;"manual_titration_mL","",IF(COUNTIFS('1_原始數據'!$A$2:$A$1000,$A815,'1_原始數據'!$C$2:$C$1000,"khp_titration_mL")=0,"",AVERAGEIFS('1_原始數據'!$J$2:$J$1000,'1_原始數據'!$A$2:$A$1000,$A815,'1_原始數據'!$C$2:$C$1000,"khp_titration_mL"))))</f>
        <v/>
      </c>
      <c r="L815" s="25">
        <f>IF($A815="","",IF($C815&lt;&gt;"manual_titration_mL","",IFERROR(INDEX('3_可滴定酸度'!$E$6:$E$13,MATCH($I815,'3_可滴定酸度'!$B$6:$B$13,0)),"")))</f>
        <v/>
      </c>
      <c r="M815" s="25">
        <f>IF($A815="","",IF($C815&lt;&gt;"manual_titration_mL","",IFERROR(INDEX('3_可滴定酸度'!$F$6:$F$13,MATCH($I815,'3_可滴定酸度'!$B$6:$B$13,0)),"")))</f>
        <v/>
      </c>
      <c r="N815" s="24">
        <f>IF($A815="","",IF(OR(K815="",L815="",M815=""),"",K815*E815*L815/(M815*1000)*100))</f>
        <v/>
      </c>
      <c r="O815" s="24">
        <f>IF($A815="","",IF(N815="","",IF(COUNTIFS('1_原始數據'!$A$2:$A$1000,$A815,'1_原始數據'!$B$2:$B$1000,$B815,'1_原始數據'!$D$2:$D$1000,$D815,'1_原始數據'!$I$2:$I$1000,$I815,'1_原始數據'!$C$2:$C$1000,"pasco_pct_acid")=0,"",SUMIFS('1_原始數據'!$E$2:$E$1000,'1_原始數據'!$A$2:$A$1000,$A815,'1_原始數據'!$B$2:$B$1000,$B815,'1_原始數據'!$D$2:$D$1000,$D815,'1_原始數據'!$I$2:$I$1000,$I815,'1_原始數據'!$C$2:$C$1000,"pasco_pct_acid"))))</f>
        <v/>
      </c>
      <c r="P815" s="26">
        <f>IF($A815="","",IF(OR(N815="",O815=""),"",O815-N815))</f>
        <v/>
      </c>
      <c r="Q815" s="24">
        <f>IF($A815="","",IF(P815="","",(O815+N815)/2))</f>
        <v/>
      </c>
      <c r="R815" s="27">
        <f>IF($A815="","",IF(P815="","",COUNT($P$2:P815)))</f>
        <v/>
      </c>
    </row>
    <row r="816">
      <c r="J816" s="24">
        <f>IF($A816="","",IF($C816&lt;&gt;"khp_titration_mL","",IF(COUNTIFS('1_原始數據'!$A$2:$A$1000,$A816,'1_原始數據'!$B$2:$B$1000,$B816,'1_原始數據'!$D$2:$D$1000,$D816,'1_原始數據'!$C$2:$C$1000,"khp_mass_g")=0,"",SUMIFS('1_原始數據'!$E$2:$E$1000,'1_原始數據'!$A$2:$A$1000,$A816,'1_原始數據'!$B$2:$B$1000,$B816,'1_原始數據'!$D$2:$D$1000,$D816,'1_原始數據'!$C$2:$C$1000,"khp_mass_g")/('2_NaOH標定'!$C$5*$E816/1000))))</f>
        <v/>
      </c>
      <c r="K816" s="24">
        <f>IF($A816="","",IF($C816&lt;&gt;"manual_titration_mL","",IF(COUNTIFS('1_原始數據'!$A$2:$A$1000,$A816,'1_原始數據'!$C$2:$C$1000,"khp_titration_mL")=0,"",AVERAGEIFS('1_原始數據'!$J$2:$J$1000,'1_原始數據'!$A$2:$A$1000,$A816,'1_原始數據'!$C$2:$C$1000,"khp_titration_mL"))))</f>
        <v/>
      </c>
      <c r="L816" s="25">
        <f>IF($A816="","",IF($C816&lt;&gt;"manual_titration_mL","",IFERROR(INDEX('3_可滴定酸度'!$E$6:$E$13,MATCH($I816,'3_可滴定酸度'!$B$6:$B$13,0)),"")))</f>
        <v/>
      </c>
      <c r="M816" s="25">
        <f>IF($A816="","",IF($C816&lt;&gt;"manual_titration_mL","",IFERROR(INDEX('3_可滴定酸度'!$F$6:$F$13,MATCH($I816,'3_可滴定酸度'!$B$6:$B$13,0)),"")))</f>
        <v/>
      </c>
      <c r="N816" s="24">
        <f>IF($A816="","",IF(OR(K816="",L816="",M816=""),"",K816*E816*L816/(M816*1000)*100))</f>
        <v/>
      </c>
      <c r="O816" s="24">
        <f>IF($A816="","",IF(N816="","",IF(COUNTIFS('1_原始數據'!$A$2:$A$1000,$A816,'1_原始數據'!$B$2:$B$1000,$B816,'1_原始數據'!$D$2:$D$1000,$D816,'1_原始數據'!$I$2:$I$1000,$I816,'1_原始數據'!$C$2:$C$1000,"pasco_pct_acid")=0,"",SUMIFS('1_原始數據'!$E$2:$E$1000,'1_原始數據'!$A$2:$A$1000,$A816,'1_原始數據'!$B$2:$B$1000,$B816,'1_原始數據'!$D$2:$D$1000,$D816,'1_原始數據'!$I$2:$I$1000,$I816,'1_原始數據'!$C$2:$C$1000,"pasco_pct_acid"))))</f>
        <v/>
      </c>
      <c r="P816" s="26">
        <f>IF($A816="","",IF(OR(N816="",O816=""),"",O816-N816))</f>
        <v/>
      </c>
      <c r="Q816" s="24">
        <f>IF($A816="","",IF(P816="","",(O816+N816)/2))</f>
        <v/>
      </c>
      <c r="R816" s="27">
        <f>IF($A816="","",IF(P816="","",COUNT($P$2:P816)))</f>
        <v/>
      </c>
    </row>
    <row r="817">
      <c r="J817" s="24">
        <f>IF($A817="","",IF($C817&lt;&gt;"khp_titration_mL","",IF(COUNTIFS('1_原始數據'!$A$2:$A$1000,$A817,'1_原始數據'!$B$2:$B$1000,$B817,'1_原始數據'!$D$2:$D$1000,$D817,'1_原始數據'!$C$2:$C$1000,"khp_mass_g")=0,"",SUMIFS('1_原始數據'!$E$2:$E$1000,'1_原始數據'!$A$2:$A$1000,$A817,'1_原始數據'!$B$2:$B$1000,$B817,'1_原始數據'!$D$2:$D$1000,$D817,'1_原始數據'!$C$2:$C$1000,"khp_mass_g")/('2_NaOH標定'!$C$5*$E817/1000))))</f>
        <v/>
      </c>
      <c r="K817" s="24">
        <f>IF($A817="","",IF($C817&lt;&gt;"manual_titration_mL","",IF(COUNTIFS('1_原始數據'!$A$2:$A$1000,$A817,'1_原始數據'!$C$2:$C$1000,"khp_titration_mL")=0,"",AVERAGEIFS('1_原始數據'!$J$2:$J$1000,'1_原始數據'!$A$2:$A$1000,$A817,'1_原始數據'!$C$2:$C$1000,"khp_titration_mL"))))</f>
        <v/>
      </c>
      <c r="L817" s="25">
        <f>IF($A817="","",IF($C817&lt;&gt;"manual_titration_mL","",IFERROR(INDEX('3_可滴定酸度'!$E$6:$E$13,MATCH($I817,'3_可滴定酸度'!$B$6:$B$13,0)),"")))</f>
        <v/>
      </c>
      <c r="M817" s="25">
        <f>IF($A817="","",IF($C817&lt;&gt;"manual_titration_mL","",IFERROR(INDEX('3_可滴定酸度'!$F$6:$F$13,MATCH($I817,'3_可滴定酸度'!$B$6:$B$13,0)),"")))</f>
        <v/>
      </c>
      <c r="N817" s="24">
        <f>IF($A817="","",IF(OR(K817="",L817="",M817=""),"",K817*E817*L817/(M817*1000)*100))</f>
        <v/>
      </c>
      <c r="O817" s="24">
        <f>IF($A817="","",IF(N817="","",IF(COUNTIFS('1_原始數據'!$A$2:$A$1000,$A817,'1_原始數據'!$B$2:$B$1000,$B817,'1_原始數據'!$D$2:$D$1000,$D817,'1_原始數據'!$I$2:$I$1000,$I817,'1_原始數據'!$C$2:$C$1000,"pasco_pct_acid")=0,"",SUMIFS('1_原始數據'!$E$2:$E$1000,'1_原始數據'!$A$2:$A$1000,$A817,'1_原始數據'!$B$2:$B$1000,$B817,'1_原始數據'!$D$2:$D$1000,$D817,'1_原始數據'!$I$2:$I$1000,$I817,'1_原始數據'!$C$2:$C$1000,"pasco_pct_acid"))))</f>
        <v/>
      </c>
      <c r="P817" s="26">
        <f>IF($A817="","",IF(OR(N817="",O817=""),"",O817-N817))</f>
        <v/>
      </c>
      <c r="Q817" s="24">
        <f>IF($A817="","",IF(P817="","",(O817+N817)/2))</f>
        <v/>
      </c>
      <c r="R817" s="27">
        <f>IF($A817="","",IF(P817="","",COUNT($P$2:P817)))</f>
        <v/>
      </c>
    </row>
    <row r="818">
      <c r="J818" s="24">
        <f>IF($A818="","",IF($C818&lt;&gt;"khp_titration_mL","",IF(COUNTIFS('1_原始數據'!$A$2:$A$1000,$A818,'1_原始數據'!$B$2:$B$1000,$B818,'1_原始數據'!$D$2:$D$1000,$D818,'1_原始數據'!$C$2:$C$1000,"khp_mass_g")=0,"",SUMIFS('1_原始數據'!$E$2:$E$1000,'1_原始數據'!$A$2:$A$1000,$A818,'1_原始數據'!$B$2:$B$1000,$B818,'1_原始數據'!$D$2:$D$1000,$D818,'1_原始數據'!$C$2:$C$1000,"khp_mass_g")/('2_NaOH標定'!$C$5*$E818/1000))))</f>
        <v/>
      </c>
      <c r="K818" s="24">
        <f>IF($A818="","",IF($C818&lt;&gt;"manual_titration_mL","",IF(COUNTIFS('1_原始數據'!$A$2:$A$1000,$A818,'1_原始數據'!$C$2:$C$1000,"khp_titration_mL")=0,"",AVERAGEIFS('1_原始數據'!$J$2:$J$1000,'1_原始數據'!$A$2:$A$1000,$A818,'1_原始數據'!$C$2:$C$1000,"khp_titration_mL"))))</f>
        <v/>
      </c>
      <c r="L818" s="25">
        <f>IF($A818="","",IF($C818&lt;&gt;"manual_titration_mL","",IFERROR(INDEX('3_可滴定酸度'!$E$6:$E$13,MATCH($I818,'3_可滴定酸度'!$B$6:$B$13,0)),"")))</f>
        <v/>
      </c>
      <c r="M818" s="25">
        <f>IF($A818="","",IF($C818&lt;&gt;"manual_titration_mL","",IFERROR(INDEX('3_可滴定酸度'!$F$6:$F$13,MATCH($I818,'3_可滴定酸度'!$B$6:$B$13,0)),"")))</f>
        <v/>
      </c>
      <c r="N818" s="24">
        <f>IF($A818="","",IF(OR(K818="",L818="",M818=""),"",K818*E818*L818/(M818*1000)*100))</f>
        <v/>
      </c>
      <c r="O818" s="24">
        <f>IF($A818="","",IF(N818="","",IF(COUNTIFS('1_原始數據'!$A$2:$A$1000,$A818,'1_原始數據'!$B$2:$B$1000,$B818,'1_原始數據'!$D$2:$D$1000,$D818,'1_原始數據'!$I$2:$I$1000,$I818,'1_原始數據'!$C$2:$C$1000,"pasco_pct_acid")=0,"",SUMIFS('1_原始數據'!$E$2:$E$1000,'1_原始數據'!$A$2:$A$1000,$A818,'1_原始數據'!$B$2:$B$1000,$B818,'1_原始數據'!$D$2:$D$1000,$D818,'1_原始數據'!$I$2:$I$1000,$I818,'1_原始數據'!$C$2:$C$1000,"pasco_pct_acid"))))</f>
        <v/>
      </c>
      <c r="P818" s="26">
        <f>IF($A818="","",IF(OR(N818="",O818=""),"",O818-N818))</f>
        <v/>
      </c>
      <c r="Q818" s="24">
        <f>IF($A818="","",IF(P818="","",(O818+N818)/2))</f>
        <v/>
      </c>
      <c r="R818" s="27">
        <f>IF($A818="","",IF(P818="","",COUNT($P$2:P818)))</f>
        <v/>
      </c>
    </row>
    <row r="819">
      <c r="J819" s="24">
        <f>IF($A819="","",IF($C819&lt;&gt;"khp_titration_mL","",IF(COUNTIFS('1_原始數據'!$A$2:$A$1000,$A819,'1_原始數據'!$B$2:$B$1000,$B819,'1_原始數據'!$D$2:$D$1000,$D819,'1_原始數據'!$C$2:$C$1000,"khp_mass_g")=0,"",SUMIFS('1_原始數據'!$E$2:$E$1000,'1_原始數據'!$A$2:$A$1000,$A819,'1_原始數據'!$B$2:$B$1000,$B819,'1_原始數據'!$D$2:$D$1000,$D819,'1_原始數據'!$C$2:$C$1000,"khp_mass_g")/('2_NaOH標定'!$C$5*$E819/1000))))</f>
        <v/>
      </c>
      <c r="K819" s="24">
        <f>IF($A819="","",IF($C819&lt;&gt;"manual_titration_mL","",IF(COUNTIFS('1_原始數據'!$A$2:$A$1000,$A819,'1_原始數據'!$C$2:$C$1000,"khp_titration_mL")=0,"",AVERAGEIFS('1_原始數據'!$J$2:$J$1000,'1_原始數據'!$A$2:$A$1000,$A819,'1_原始數據'!$C$2:$C$1000,"khp_titration_mL"))))</f>
        <v/>
      </c>
      <c r="L819" s="25">
        <f>IF($A819="","",IF($C819&lt;&gt;"manual_titration_mL","",IFERROR(INDEX('3_可滴定酸度'!$E$6:$E$13,MATCH($I819,'3_可滴定酸度'!$B$6:$B$13,0)),"")))</f>
        <v/>
      </c>
      <c r="M819" s="25">
        <f>IF($A819="","",IF($C819&lt;&gt;"manual_titration_mL","",IFERROR(INDEX('3_可滴定酸度'!$F$6:$F$13,MATCH($I819,'3_可滴定酸度'!$B$6:$B$13,0)),"")))</f>
        <v/>
      </c>
      <c r="N819" s="24">
        <f>IF($A819="","",IF(OR(K819="",L819="",M819=""),"",K819*E819*L819/(M819*1000)*100))</f>
        <v/>
      </c>
      <c r="O819" s="24">
        <f>IF($A819="","",IF(N819="","",IF(COUNTIFS('1_原始數據'!$A$2:$A$1000,$A819,'1_原始數據'!$B$2:$B$1000,$B819,'1_原始數據'!$D$2:$D$1000,$D819,'1_原始數據'!$I$2:$I$1000,$I819,'1_原始數據'!$C$2:$C$1000,"pasco_pct_acid")=0,"",SUMIFS('1_原始數據'!$E$2:$E$1000,'1_原始數據'!$A$2:$A$1000,$A819,'1_原始數據'!$B$2:$B$1000,$B819,'1_原始數據'!$D$2:$D$1000,$D819,'1_原始數據'!$I$2:$I$1000,$I819,'1_原始數據'!$C$2:$C$1000,"pasco_pct_acid"))))</f>
        <v/>
      </c>
      <c r="P819" s="26">
        <f>IF($A819="","",IF(OR(N819="",O819=""),"",O819-N819))</f>
        <v/>
      </c>
      <c r="Q819" s="24">
        <f>IF($A819="","",IF(P819="","",(O819+N819)/2))</f>
        <v/>
      </c>
      <c r="R819" s="27">
        <f>IF($A819="","",IF(P819="","",COUNT($P$2:P819)))</f>
        <v/>
      </c>
    </row>
    <row r="820">
      <c r="J820" s="24">
        <f>IF($A820="","",IF($C820&lt;&gt;"khp_titration_mL","",IF(COUNTIFS('1_原始數據'!$A$2:$A$1000,$A820,'1_原始數據'!$B$2:$B$1000,$B820,'1_原始數據'!$D$2:$D$1000,$D820,'1_原始數據'!$C$2:$C$1000,"khp_mass_g")=0,"",SUMIFS('1_原始數據'!$E$2:$E$1000,'1_原始數據'!$A$2:$A$1000,$A820,'1_原始數據'!$B$2:$B$1000,$B820,'1_原始數據'!$D$2:$D$1000,$D820,'1_原始數據'!$C$2:$C$1000,"khp_mass_g")/('2_NaOH標定'!$C$5*$E820/1000))))</f>
        <v/>
      </c>
      <c r="K820" s="24">
        <f>IF($A820="","",IF($C820&lt;&gt;"manual_titration_mL","",IF(COUNTIFS('1_原始數據'!$A$2:$A$1000,$A820,'1_原始數據'!$C$2:$C$1000,"khp_titration_mL")=0,"",AVERAGEIFS('1_原始數據'!$J$2:$J$1000,'1_原始數據'!$A$2:$A$1000,$A820,'1_原始數據'!$C$2:$C$1000,"khp_titration_mL"))))</f>
        <v/>
      </c>
      <c r="L820" s="25">
        <f>IF($A820="","",IF($C820&lt;&gt;"manual_titration_mL","",IFERROR(INDEX('3_可滴定酸度'!$E$6:$E$13,MATCH($I820,'3_可滴定酸度'!$B$6:$B$13,0)),"")))</f>
        <v/>
      </c>
      <c r="M820" s="25">
        <f>IF($A820="","",IF($C820&lt;&gt;"manual_titration_mL","",IFERROR(INDEX('3_可滴定酸度'!$F$6:$F$13,MATCH($I820,'3_可滴定酸度'!$B$6:$B$13,0)),"")))</f>
        <v/>
      </c>
      <c r="N820" s="24">
        <f>IF($A820="","",IF(OR(K820="",L820="",M820=""),"",K820*E820*L820/(M820*1000)*100))</f>
        <v/>
      </c>
      <c r="O820" s="24">
        <f>IF($A820="","",IF(N820="","",IF(COUNTIFS('1_原始數據'!$A$2:$A$1000,$A820,'1_原始數據'!$B$2:$B$1000,$B820,'1_原始數據'!$D$2:$D$1000,$D820,'1_原始數據'!$I$2:$I$1000,$I820,'1_原始數據'!$C$2:$C$1000,"pasco_pct_acid")=0,"",SUMIFS('1_原始數據'!$E$2:$E$1000,'1_原始數據'!$A$2:$A$1000,$A820,'1_原始數據'!$B$2:$B$1000,$B820,'1_原始數據'!$D$2:$D$1000,$D820,'1_原始數據'!$I$2:$I$1000,$I820,'1_原始數據'!$C$2:$C$1000,"pasco_pct_acid"))))</f>
        <v/>
      </c>
      <c r="P820" s="26">
        <f>IF($A820="","",IF(OR(N820="",O820=""),"",O820-N820))</f>
        <v/>
      </c>
      <c r="Q820" s="24">
        <f>IF($A820="","",IF(P820="","",(O820+N820)/2))</f>
        <v/>
      </c>
      <c r="R820" s="27">
        <f>IF($A820="","",IF(P820="","",COUNT($P$2:P820)))</f>
        <v/>
      </c>
    </row>
    <row r="821">
      <c r="J821" s="24">
        <f>IF($A821="","",IF($C821&lt;&gt;"khp_titration_mL","",IF(COUNTIFS('1_原始數據'!$A$2:$A$1000,$A821,'1_原始數據'!$B$2:$B$1000,$B821,'1_原始數據'!$D$2:$D$1000,$D821,'1_原始數據'!$C$2:$C$1000,"khp_mass_g")=0,"",SUMIFS('1_原始數據'!$E$2:$E$1000,'1_原始數據'!$A$2:$A$1000,$A821,'1_原始數據'!$B$2:$B$1000,$B821,'1_原始數據'!$D$2:$D$1000,$D821,'1_原始數據'!$C$2:$C$1000,"khp_mass_g")/('2_NaOH標定'!$C$5*$E821/1000))))</f>
        <v/>
      </c>
      <c r="K821" s="24">
        <f>IF($A821="","",IF($C821&lt;&gt;"manual_titration_mL","",IF(COUNTIFS('1_原始數據'!$A$2:$A$1000,$A821,'1_原始數據'!$C$2:$C$1000,"khp_titration_mL")=0,"",AVERAGEIFS('1_原始數據'!$J$2:$J$1000,'1_原始數據'!$A$2:$A$1000,$A821,'1_原始數據'!$C$2:$C$1000,"khp_titration_mL"))))</f>
        <v/>
      </c>
      <c r="L821" s="25">
        <f>IF($A821="","",IF($C821&lt;&gt;"manual_titration_mL","",IFERROR(INDEX('3_可滴定酸度'!$E$6:$E$13,MATCH($I821,'3_可滴定酸度'!$B$6:$B$13,0)),"")))</f>
        <v/>
      </c>
      <c r="M821" s="25">
        <f>IF($A821="","",IF($C821&lt;&gt;"manual_titration_mL","",IFERROR(INDEX('3_可滴定酸度'!$F$6:$F$13,MATCH($I821,'3_可滴定酸度'!$B$6:$B$13,0)),"")))</f>
        <v/>
      </c>
      <c r="N821" s="24">
        <f>IF($A821="","",IF(OR(K821="",L821="",M821=""),"",K821*E821*L821/(M821*1000)*100))</f>
        <v/>
      </c>
      <c r="O821" s="24">
        <f>IF($A821="","",IF(N821="","",IF(COUNTIFS('1_原始數據'!$A$2:$A$1000,$A821,'1_原始數據'!$B$2:$B$1000,$B821,'1_原始數據'!$D$2:$D$1000,$D821,'1_原始數據'!$I$2:$I$1000,$I821,'1_原始數據'!$C$2:$C$1000,"pasco_pct_acid")=0,"",SUMIFS('1_原始數據'!$E$2:$E$1000,'1_原始數據'!$A$2:$A$1000,$A821,'1_原始數據'!$B$2:$B$1000,$B821,'1_原始數據'!$D$2:$D$1000,$D821,'1_原始數據'!$I$2:$I$1000,$I821,'1_原始數據'!$C$2:$C$1000,"pasco_pct_acid"))))</f>
        <v/>
      </c>
      <c r="P821" s="26">
        <f>IF($A821="","",IF(OR(N821="",O821=""),"",O821-N821))</f>
        <v/>
      </c>
      <c r="Q821" s="24">
        <f>IF($A821="","",IF(P821="","",(O821+N821)/2))</f>
        <v/>
      </c>
      <c r="R821" s="27">
        <f>IF($A821="","",IF(P821="","",COUNT($P$2:P821)))</f>
        <v/>
      </c>
    </row>
    <row r="822">
      <c r="J822" s="24">
        <f>IF($A822="","",IF($C822&lt;&gt;"khp_titration_mL","",IF(COUNTIFS('1_原始數據'!$A$2:$A$1000,$A822,'1_原始數據'!$B$2:$B$1000,$B822,'1_原始數據'!$D$2:$D$1000,$D822,'1_原始數據'!$C$2:$C$1000,"khp_mass_g")=0,"",SUMIFS('1_原始數據'!$E$2:$E$1000,'1_原始數據'!$A$2:$A$1000,$A822,'1_原始數據'!$B$2:$B$1000,$B822,'1_原始數據'!$D$2:$D$1000,$D822,'1_原始數據'!$C$2:$C$1000,"khp_mass_g")/('2_NaOH標定'!$C$5*$E822/1000))))</f>
        <v/>
      </c>
      <c r="K822" s="24">
        <f>IF($A822="","",IF($C822&lt;&gt;"manual_titration_mL","",IF(COUNTIFS('1_原始數據'!$A$2:$A$1000,$A822,'1_原始數據'!$C$2:$C$1000,"khp_titration_mL")=0,"",AVERAGEIFS('1_原始數據'!$J$2:$J$1000,'1_原始數據'!$A$2:$A$1000,$A822,'1_原始數據'!$C$2:$C$1000,"khp_titration_mL"))))</f>
        <v/>
      </c>
      <c r="L822" s="25">
        <f>IF($A822="","",IF($C822&lt;&gt;"manual_titration_mL","",IFERROR(INDEX('3_可滴定酸度'!$E$6:$E$13,MATCH($I822,'3_可滴定酸度'!$B$6:$B$13,0)),"")))</f>
        <v/>
      </c>
      <c r="M822" s="25">
        <f>IF($A822="","",IF($C822&lt;&gt;"manual_titration_mL","",IFERROR(INDEX('3_可滴定酸度'!$F$6:$F$13,MATCH($I822,'3_可滴定酸度'!$B$6:$B$13,0)),"")))</f>
        <v/>
      </c>
      <c r="N822" s="24">
        <f>IF($A822="","",IF(OR(K822="",L822="",M822=""),"",K822*E822*L822/(M822*1000)*100))</f>
        <v/>
      </c>
      <c r="O822" s="24">
        <f>IF($A822="","",IF(N822="","",IF(COUNTIFS('1_原始數據'!$A$2:$A$1000,$A822,'1_原始數據'!$B$2:$B$1000,$B822,'1_原始數據'!$D$2:$D$1000,$D822,'1_原始數據'!$I$2:$I$1000,$I822,'1_原始數據'!$C$2:$C$1000,"pasco_pct_acid")=0,"",SUMIFS('1_原始數據'!$E$2:$E$1000,'1_原始數據'!$A$2:$A$1000,$A822,'1_原始數據'!$B$2:$B$1000,$B822,'1_原始數據'!$D$2:$D$1000,$D822,'1_原始數據'!$I$2:$I$1000,$I822,'1_原始數據'!$C$2:$C$1000,"pasco_pct_acid"))))</f>
        <v/>
      </c>
      <c r="P822" s="26">
        <f>IF($A822="","",IF(OR(N822="",O822=""),"",O822-N822))</f>
        <v/>
      </c>
      <c r="Q822" s="24">
        <f>IF($A822="","",IF(P822="","",(O822+N822)/2))</f>
        <v/>
      </c>
      <c r="R822" s="27">
        <f>IF($A822="","",IF(P822="","",COUNT($P$2:P822)))</f>
        <v/>
      </c>
    </row>
    <row r="823">
      <c r="J823" s="24">
        <f>IF($A823="","",IF($C823&lt;&gt;"khp_titration_mL","",IF(COUNTIFS('1_原始數據'!$A$2:$A$1000,$A823,'1_原始數據'!$B$2:$B$1000,$B823,'1_原始數據'!$D$2:$D$1000,$D823,'1_原始數據'!$C$2:$C$1000,"khp_mass_g")=0,"",SUMIFS('1_原始數據'!$E$2:$E$1000,'1_原始數據'!$A$2:$A$1000,$A823,'1_原始數據'!$B$2:$B$1000,$B823,'1_原始數據'!$D$2:$D$1000,$D823,'1_原始數據'!$C$2:$C$1000,"khp_mass_g")/('2_NaOH標定'!$C$5*$E823/1000))))</f>
        <v/>
      </c>
      <c r="K823" s="24">
        <f>IF($A823="","",IF($C823&lt;&gt;"manual_titration_mL","",IF(COUNTIFS('1_原始數據'!$A$2:$A$1000,$A823,'1_原始數據'!$C$2:$C$1000,"khp_titration_mL")=0,"",AVERAGEIFS('1_原始數據'!$J$2:$J$1000,'1_原始數據'!$A$2:$A$1000,$A823,'1_原始數據'!$C$2:$C$1000,"khp_titration_mL"))))</f>
        <v/>
      </c>
      <c r="L823" s="25">
        <f>IF($A823="","",IF($C823&lt;&gt;"manual_titration_mL","",IFERROR(INDEX('3_可滴定酸度'!$E$6:$E$13,MATCH($I823,'3_可滴定酸度'!$B$6:$B$13,0)),"")))</f>
        <v/>
      </c>
      <c r="M823" s="25">
        <f>IF($A823="","",IF($C823&lt;&gt;"manual_titration_mL","",IFERROR(INDEX('3_可滴定酸度'!$F$6:$F$13,MATCH($I823,'3_可滴定酸度'!$B$6:$B$13,0)),"")))</f>
        <v/>
      </c>
      <c r="N823" s="24">
        <f>IF($A823="","",IF(OR(K823="",L823="",M823=""),"",K823*E823*L823/(M823*1000)*100))</f>
        <v/>
      </c>
      <c r="O823" s="24">
        <f>IF($A823="","",IF(N823="","",IF(COUNTIFS('1_原始數據'!$A$2:$A$1000,$A823,'1_原始數據'!$B$2:$B$1000,$B823,'1_原始數據'!$D$2:$D$1000,$D823,'1_原始數據'!$I$2:$I$1000,$I823,'1_原始數據'!$C$2:$C$1000,"pasco_pct_acid")=0,"",SUMIFS('1_原始數據'!$E$2:$E$1000,'1_原始數據'!$A$2:$A$1000,$A823,'1_原始數據'!$B$2:$B$1000,$B823,'1_原始數據'!$D$2:$D$1000,$D823,'1_原始數據'!$I$2:$I$1000,$I823,'1_原始數據'!$C$2:$C$1000,"pasco_pct_acid"))))</f>
        <v/>
      </c>
      <c r="P823" s="26">
        <f>IF($A823="","",IF(OR(N823="",O823=""),"",O823-N823))</f>
        <v/>
      </c>
      <c r="Q823" s="24">
        <f>IF($A823="","",IF(P823="","",(O823+N823)/2))</f>
        <v/>
      </c>
      <c r="R823" s="27">
        <f>IF($A823="","",IF(P823="","",COUNT($P$2:P823)))</f>
        <v/>
      </c>
    </row>
    <row r="824">
      <c r="J824" s="24">
        <f>IF($A824="","",IF($C824&lt;&gt;"khp_titration_mL","",IF(COUNTIFS('1_原始數據'!$A$2:$A$1000,$A824,'1_原始數據'!$B$2:$B$1000,$B824,'1_原始數據'!$D$2:$D$1000,$D824,'1_原始數據'!$C$2:$C$1000,"khp_mass_g")=0,"",SUMIFS('1_原始數據'!$E$2:$E$1000,'1_原始數據'!$A$2:$A$1000,$A824,'1_原始數據'!$B$2:$B$1000,$B824,'1_原始數據'!$D$2:$D$1000,$D824,'1_原始數據'!$C$2:$C$1000,"khp_mass_g")/('2_NaOH標定'!$C$5*$E824/1000))))</f>
        <v/>
      </c>
      <c r="K824" s="24">
        <f>IF($A824="","",IF($C824&lt;&gt;"manual_titration_mL","",IF(COUNTIFS('1_原始數據'!$A$2:$A$1000,$A824,'1_原始數據'!$C$2:$C$1000,"khp_titration_mL")=0,"",AVERAGEIFS('1_原始數據'!$J$2:$J$1000,'1_原始數據'!$A$2:$A$1000,$A824,'1_原始數據'!$C$2:$C$1000,"khp_titration_mL"))))</f>
        <v/>
      </c>
      <c r="L824" s="25">
        <f>IF($A824="","",IF($C824&lt;&gt;"manual_titration_mL","",IFERROR(INDEX('3_可滴定酸度'!$E$6:$E$13,MATCH($I824,'3_可滴定酸度'!$B$6:$B$13,0)),"")))</f>
        <v/>
      </c>
      <c r="M824" s="25">
        <f>IF($A824="","",IF($C824&lt;&gt;"manual_titration_mL","",IFERROR(INDEX('3_可滴定酸度'!$F$6:$F$13,MATCH($I824,'3_可滴定酸度'!$B$6:$B$13,0)),"")))</f>
        <v/>
      </c>
      <c r="N824" s="24">
        <f>IF($A824="","",IF(OR(K824="",L824="",M824=""),"",K824*E824*L824/(M824*1000)*100))</f>
        <v/>
      </c>
      <c r="O824" s="24">
        <f>IF($A824="","",IF(N824="","",IF(COUNTIFS('1_原始數據'!$A$2:$A$1000,$A824,'1_原始數據'!$B$2:$B$1000,$B824,'1_原始數據'!$D$2:$D$1000,$D824,'1_原始數據'!$I$2:$I$1000,$I824,'1_原始數據'!$C$2:$C$1000,"pasco_pct_acid")=0,"",SUMIFS('1_原始數據'!$E$2:$E$1000,'1_原始數據'!$A$2:$A$1000,$A824,'1_原始數據'!$B$2:$B$1000,$B824,'1_原始數據'!$D$2:$D$1000,$D824,'1_原始數據'!$I$2:$I$1000,$I824,'1_原始數據'!$C$2:$C$1000,"pasco_pct_acid"))))</f>
        <v/>
      </c>
      <c r="P824" s="26">
        <f>IF($A824="","",IF(OR(N824="",O824=""),"",O824-N824))</f>
        <v/>
      </c>
      <c r="Q824" s="24">
        <f>IF($A824="","",IF(P824="","",(O824+N824)/2))</f>
        <v/>
      </c>
      <c r="R824" s="27">
        <f>IF($A824="","",IF(P824="","",COUNT($P$2:P824)))</f>
        <v/>
      </c>
    </row>
    <row r="825">
      <c r="J825" s="24">
        <f>IF($A825="","",IF($C825&lt;&gt;"khp_titration_mL","",IF(COUNTIFS('1_原始數據'!$A$2:$A$1000,$A825,'1_原始數據'!$B$2:$B$1000,$B825,'1_原始數據'!$D$2:$D$1000,$D825,'1_原始數據'!$C$2:$C$1000,"khp_mass_g")=0,"",SUMIFS('1_原始數據'!$E$2:$E$1000,'1_原始數據'!$A$2:$A$1000,$A825,'1_原始數據'!$B$2:$B$1000,$B825,'1_原始數據'!$D$2:$D$1000,$D825,'1_原始數據'!$C$2:$C$1000,"khp_mass_g")/('2_NaOH標定'!$C$5*$E825/1000))))</f>
        <v/>
      </c>
      <c r="K825" s="24">
        <f>IF($A825="","",IF($C825&lt;&gt;"manual_titration_mL","",IF(COUNTIFS('1_原始數據'!$A$2:$A$1000,$A825,'1_原始數據'!$C$2:$C$1000,"khp_titration_mL")=0,"",AVERAGEIFS('1_原始數據'!$J$2:$J$1000,'1_原始數據'!$A$2:$A$1000,$A825,'1_原始數據'!$C$2:$C$1000,"khp_titration_mL"))))</f>
        <v/>
      </c>
      <c r="L825" s="25">
        <f>IF($A825="","",IF($C825&lt;&gt;"manual_titration_mL","",IFERROR(INDEX('3_可滴定酸度'!$E$6:$E$13,MATCH($I825,'3_可滴定酸度'!$B$6:$B$13,0)),"")))</f>
        <v/>
      </c>
      <c r="M825" s="25">
        <f>IF($A825="","",IF($C825&lt;&gt;"manual_titration_mL","",IFERROR(INDEX('3_可滴定酸度'!$F$6:$F$13,MATCH($I825,'3_可滴定酸度'!$B$6:$B$13,0)),"")))</f>
        <v/>
      </c>
      <c r="N825" s="24">
        <f>IF($A825="","",IF(OR(K825="",L825="",M825=""),"",K825*E825*L825/(M825*1000)*100))</f>
        <v/>
      </c>
      <c r="O825" s="24">
        <f>IF($A825="","",IF(N825="","",IF(COUNTIFS('1_原始數據'!$A$2:$A$1000,$A825,'1_原始數據'!$B$2:$B$1000,$B825,'1_原始數據'!$D$2:$D$1000,$D825,'1_原始數據'!$I$2:$I$1000,$I825,'1_原始數據'!$C$2:$C$1000,"pasco_pct_acid")=0,"",SUMIFS('1_原始數據'!$E$2:$E$1000,'1_原始數據'!$A$2:$A$1000,$A825,'1_原始數據'!$B$2:$B$1000,$B825,'1_原始數據'!$D$2:$D$1000,$D825,'1_原始數據'!$I$2:$I$1000,$I825,'1_原始數據'!$C$2:$C$1000,"pasco_pct_acid"))))</f>
        <v/>
      </c>
      <c r="P825" s="26">
        <f>IF($A825="","",IF(OR(N825="",O825=""),"",O825-N825))</f>
        <v/>
      </c>
      <c r="Q825" s="24">
        <f>IF($A825="","",IF(P825="","",(O825+N825)/2))</f>
        <v/>
      </c>
      <c r="R825" s="27">
        <f>IF($A825="","",IF(P825="","",COUNT($P$2:P825)))</f>
        <v/>
      </c>
    </row>
    <row r="826">
      <c r="J826" s="24">
        <f>IF($A826="","",IF($C826&lt;&gt;"khp_titration_mL","",IF(COUNTIFS('1_原始數據'!$A$2:$A$1000,$A826,'1_原始數據'!$B$2:$B$1000,$B826,'1_原始數據'!$D$2:$D$1000,$D826,'1_原始數據'!$C$2:$C$1000,"khp_mass_g")=0,"",SUMIFS('1_原始數據'!$E$2:$E$1000,'1_原始數據'!$A$2:$A$1000,$A826,'1_原始數據'!$B$2:$B$1000,$B826,'1_原始數據'!$D$2:$D$1000,$D826,'1_原始數據'!$C$2:$C$1000,"khp_mass_g")/('2_NaOH標定'!$C$5*$E826/1000))))</f>
        <v/>
      </c>
      <c r="K826" s="24">
        <f>IF($A826="","",IF($C826&lt;&gt;"manual_titration_mL","",IF(COUNTIFS('1_原始數據'!$A$2:$A$1000,$A826,'1_原始數據'!$C$2:$C$1000,"khp_titration_mL")=0,"",AVERAGEIFS('1_原始數據'!$J$2:$J$1000,'1_原始數據'!$A$2:$A$1000,$A826,'1_原始數據'!$C$2:$C$1000,"khp_titration_mL"))))</f>
        <v/>
      </c>
      <c r="L826" s="25">
        <f>IF($A826="","",IF($C826&lt;&gt;"manual_titration_mL","",IFERROR(INDEX('3_可滴定酸度'!$E$6:$E$13,MATCH($I826,'3_可滴定酸度'!$B$6:$B$13,0)),"")))</f>
        <v/>
      </c>
      <c r="M826" s="25">
        <f>IF($A826="","",IF($C826&lt;&gt;"manual_titration_mL","",IFERROR(INDEX('3_可滴定酸度'!$F$6:$F$13,MATCH($I826,'3_可滴定酸度'!$B$6:$B$13,0)),"")))</f>
        <v/>
      </c>
      <c r="N826" s="24">
        <f>IF($A826="","",IF(OR(K826="",L826="",M826=""),"",K826*E826*L826/(M826*1000)*100))</f>
        <v/>
      </c>
      <c r="O826" s="24">
        <f>IF($A826="","",IF(N826="","",IF(COUNTIFS('1_原始數據'!$A$2:$A$1000,$A826,'1_原始數據'!$B$2:$B$1000,$B826,'1_原始數據'!$D$2:$D$1000,$D826,'1_原始數據'!$I$2:$I$1000,$I826,'1_原始數據'!$C$2:$C$1000,"pasco_pct_acid")=0,"",SUMIFS('1_原始數據'!$E$2:$E$1000,'1_原始數據'!$A$2:$A$1000,$A826,'1_原始數據'!$B$2:$B$1000,$B826,'1_原始數據'!$D$2:$D$1000,$D826,'1_原始數據'!$I$2:$I$1000,$I826,'1_原始數據'!$C$2:$C$1000,"pasco_pct_acid"))))</f>
        <v/>
      </c>
      <c r="P826" s="26">
        <f>IF($A826="","",IF(OR(N826="",O826=""),"",O826-N826))</f>
        <v/>
      </c>
      <c r="Q826" s="24">
        <f>IF($A826="","",IF(P826="","",(O826+N826)/2))</f>
        <v/>
      </c>
      <c r="R826" s="27">
        <f>IF($A826="","",IF(P826="","",COUNT($P$2:P826)))</f>
        <v/>
      </c>
    </row>
    <row r="827">
      <c r="J827" s="24">
        <f>IF($A827="","",IF($C827&lt;&gt;"khp_titration_mL","",IF(COUNTIFS('1_原始數據'!$A$2:$A$1000,$A827,'1_原始數據'!$B$2:$B$1000,$B827,'1_原始數據'!$D$2:$D$1000,$D827,'1_原始數據'!$C$2:$C$1000,"khp_mass_g")=0,"",SUMIFS('1_原始數據'!$E$2:$E$1000,'1_原始數據'!$A$2:$A$1000,$A827,'1_原始數據'!$B$2:$B$1000,$B827,'1_原始數據'!$D$2:$D$1000,$D827,'1_原始數據'!$C$2:$C$1000,"khp_mass_g")/('2_NaOH標定'!$C$5*$E827/1000))))</f>
        <v/>
      </c>
      <c r="K827" s="24">
        <f>IF($A827="","",IF($C827&lt;&gt;"manual_titration_mL","",IF(COUNTIFS('1_原始數據'!$A$2:$A$1000,$A827,'1_原始數據'!$C$2:$C$1000,"khp_titration_mL")=0,"",AVERAGEIFS('1_原始數據'!$J$2:$J$1000,'1_原始數據'!$A$2:$A$1000,$A827,'1_原始數據'!$C$2:$C$1000,"khp_titration_mL"))))</f>
        <v/>
      </c>
      <c r="L827" s="25">
        <f>IF($A827="","",IF($C827&lt;&gt;"manual_titration_mL","",IFERROR(INDEX('3_可滴定酸度'!$E$6:$E$13,MATCH($I827,'3_可滴定酸度'!$B$6:$B$13,0)),"")))</f>
        <v/>
      </c>
      <c r="M827" s="25">
        <f>IF($A827="","",IF($C827&lt;&gt;"manual_titration_mL","",IFERROR(INDEX('3_可滴定酸度'!$F$6:$F$13,MATCH($I827,'3_可滴定酸度'!$B$6:$B$13,0)),"")))</f>
        <v/>
      </c>
      <c r="N827" s="24">
        <f>IF($A827="","",IF(OR(K827="",L827="",M827=""),"",K827*E827*L827/(M827*1000)*100))</f>
        <v/>
      </c>
      <c r="O827" s="24">
        <f>IF($A827="","",IF(N827="","",IF(COUNTIFS('1_原始數據'!$A$2:$A$1000,$A827,'1_原始數據'!$B$2:$B$1000,$B827,'1_原始數據'!$D$2:$D$1000,$D827,'1_原始數據'!$I$2:$I$1000,$I827,'1_原始數據'!$C$2:$C$1000,"pasco_pct_acid")=0,"",SUMIFS('1_原始數據'!$E$2:$E$1000,'1_原始數據'!$A$2:$A$1000,$A827,'1_原始數據'!$B$2:$B$1000,$B827,'1_原始數據'!$D$2:$D$1000,$D827,'1_原始數據'!$I$2:$I$1000,$I827,'1_原始數據'!$C$2:$C$1000,"pasco_pct_acid"))))</f>
        <v/>
      </c>
      <c r="P827" s="26">
        <f>IF($A827="","",IF(OR(N827="",O827=""),"",O827-N827))</f>
        <v/>
      </c>
      <c r="Q827" s="24">
        <f>IF($A827="","",IF(P827="","",(O827+N827)/2))</f>
        <v/>
      </c>
      <c r="R827" s="27">
        <f>IF($A827="","",IF(P827="","",COUNT($P$2:P827)))</f>
        <v/>
      </c>
    </row>
    <row r="828">
      <c r="J828" s="24">
        <f>IF($A828="","",IF($C828&lt;&gt;"khp_titration_mL","",IF(COUNTIFS('1_原始數據'!$A$2:$A$1000,$A828,'1_原始數據'!$B$2:$B$1000,$B828,'1_原始數據'!$D$2:$D$1000,$D828,'1_原始數據'!$C$2:$C$1000,"khp_mass_g")=0,"",SUMIFS('1_原始數據'!$E$2:$E$1000,'1_原始數據'!$A$2:$A$1000,$A828,'1_原始數據'!$B$2:$B$1000,$B828,'1_原始數據'!$D$2:$D$1000,$D828,'1_原始數據'!$C$2:$C$1000,"khp_mass_g")/('2_NaOH標定'!$C$5*$E828/1000))))</f>
        <v/>
      </c>
      <c r="K828" s="24">
        <f>IF($A828="","",IF($C828&lt;&gt;"manual_titration_mL","",IF(COUNTIFS('1_原始數據'!$A$2:$A$1000,$A828,'1_原始數據'!$C$2:$C$1000,"khp_titration_mL")=0,"",AVERAGEIFS('1_原始數據'!$J$2:$J$1000,'1_原始數據'!$A$2:$A$1000,$A828,'1_原始數據'!$C$2:$C$1000,"khp_titration_mL"))))</f>
        <v/>
      </c>
      <c r="L828" s="25">
        <f>IF($A828="","",IF($C828&lt;&gt;"manual_titration_mL","",IFERROR(INDEX('3_可滴定酸度'!$E$6:$E$13,MATCH($I828,'3_可滴定酸度'!$B$6:$B$13,0)),"")))</f>
        <v/>
      </c>
      <c r="M828" s="25">
        <f>IF($A828="","",IF($C828&lt;&gt;"manual_titration_mL","",IFERROR(INDEX('3_可滴定酸度'!$F$6:$F$13,MATCH($I828,'3_可滴定酸度'!$B$6:$B$13,0)),"")))</f>
        <v/>
      </c>
      <c r="N828" s="24">
        <f>IF($A828="","",IF(OR(K828="",L828="",M828=""),"",K828*E828*L828/(M828*1000)*100))</f>
        <v/>
      </c>
      <c r="O828" s="24">
        <f>IF($A828="","",IF(N828="","",IF(COUNTIFS('1_原始數據'!$A$2:$A$1000,$A828,'1_原始數據'!$B$2:$B$1000,$B828,'1_原始數據'!$D$2:$D$1000,$D828,'1_原始數據'!$I$2:$I$1000,$I828,'1_原始數據'!$C$2:$C$1000,"pasco_pct_acid")=0,"",SUMIFS('1_原始數據'!$E$2:$E$1000,'1_原始數據'!$A$2:$A$1000,$A828,'1_原始數據'!$B$2:$B$1000,$B828,'1_原始數據'!$D$2:$D$1000,$D828,'1_原始數據'!$I$2:$I$1000,$I828,'1_原始數據'!$C$2:$C$1000,"pasco_pct_acid"))))</f>
        <v/>
      </c>
      <c r="P828" s="26">
        <f>IF($A828="","",IF(OR(N828="",O828=""),"",O828-N828))</f>
        <v/>
      </c>
      <c r="Q828" s="24">
        <f>IF($A828="","",IF(P828="","",(O828+N828)/2))</f>
        <v/>
      </c>
      <c r="R828" s="27">
        <f>IF($A828="","",IF(P828="","",COUNT($P$2:P828)))</f>
        <v/>
      </c>
    </row>
    <row r="829">
      <c r="J829" s="24">
        <f>IF($A829="","",IF($C829&lt;&gt;"khp_titration_mL","",IF(COUNTIFS('1_原始數據'!$A$2:$A$1000,$A829,'1_原始數據'!$B$2:$B$1000,$B829,'1_原始數據'!$D$2:$D$1000,$D829,'1_原始數據'!$C$2:$C$1000,"khp_mass_g")=0,"",SUMIFS('1_原始數據'!$E$2:$E$1000,'1_原始數據'!$A$2:$A$1000,$A829,'1_原始數據'!$B$2:$B$1000,$B829,'1_原始數據'!$D$2:$D$1000,$D829,'1_原始數據'!$C$2:$C$1000,"khp_mass_g")/('2_NaOH標定'!$C$5*$E829/1000))))</f>
        <v/>
      </c>
      <c r="K829" s="24">
        <f>IF($A829="","",IF($C829&lt;&gt;"manual_titration_mL","",IF(COUNTIFS('1_原始數據'!$A$2:$A$1000,$A829,'1_原始數據'!$C$2:$C$1000,"khp_titration_mL")=0,"",AVERAGEIFS('1_原始數據'!$J$2:$J$1000,'1_原始數據'!$A$2:$A$1000,$A829,'1_原始數據'!$C$2:$C$1000,"khp_titration_mL"))))</f>
        <v/>
      </c>
      <c r="L829" s="25">
        <f>IF($A829="","",IF($C829&lt;&gt;"manual_titration_mL","",IFERROR(INDEX('3_可滴定酸度'!$E$6:$E$13,MATCH($I829,'3_可滴定酸度'!$B$6:$B$13,0)),"")))</f>
        <v/>
      </c>
      <c r="M829" s="25">
        <f>IF($A829="","",IF($C829&lt;&gt;"manual_titration_mL","",IFERROR(INDEX('3_可滴定酸度'!$F$6:$F$13,MATCH($I829,'3_可滴定酸度'!$B$6:$B$13,0)),"")))</f>
        <v/>
      </c>
      <c r="N829" s="24">
        <f>IF($A829="","",IF(OR(K829="",L829="",M829=""),"",K829*E829*L829/(M829*1000)*100))</f>
        <v/>
      </c>
      <c r="O829" s="24">
        <f>IF($A829="","",IF(N829="","",IF(COUNTIFS('1_原始數據'!$A$2:$A$1000,$A829,'1_原始數據'!$B$2:$B$1000,$B829,'1_原始數據'!$D$2:$D$1000,$D829,'1_原始數據'!$I$2:$I$1000,$I829,'1_原始數據'!$C$2:$C$1000,"pasco_pct_acid")=0,"",SUMIFS('1_原始數據'!$E$2:$E$1000,'1_原始數據'!$A$2:$A$1000,$A829,'1_原始數據'!$B$2:$B$1000,$B829,'1_原始數據'!$D$2:$D$1000,$D829,'1_原始數據'!$I$2:$I$1000,$I829,'1_原始數據'!$C$2:$C$1000,"pasco_pct_acid"))))</f>
        <v/>
      </c>
      <c r="P829" s="26">
        <f>IF($A829="","",IF(OR(N829="",O829=""),"",O829-N829))</f>
        <v/>
      </c>
      <c r="Q829" s="24">
        <f>IF($A829="","",IF(P829="","",(O829+N829)/2))</f>
        <v/>
      </c>
      <c r="R829" s="27">
        <f>IF($A829="","",IF(P829="","",COUNT($P$2:P829)))</f>
        <v/>
      </c>
    </row>
    <row r="830">
      <c r="J830" s="24">
        <f>IF($A830="","",IF($C830&lt;&gt;"khp_titration_mL","",IF(COUNTIFS('1_原始數據'!$A$2:$A$1000,$A830,'1_原始數據'!$B$2:$B$1000,$B830,'1_原始數據'!$D$2:$D$1000,$D830,'1_原始數據'!$C$2:$C$1000,"khp_mass_g")=0,"",SUMIFS('1_原始數據'!$E$2:$E$1000,'1_原始數據'!$A$2:$A$1000,$A830,'1_原始數據'!$B$2:$B$1000,$B830,'1_原始數據'!$D$2:$D$1000,$D830,'1_原始數據'!$C$2:$C$1000,"khp_mass_g")/('2_NaOH標定'!$C$5*$E830/1000))))</f>
        <v/>
      </c>
      <c r="K830" s="24">
        <f>IF($A830="","",IF($C830&lt;&gt;"manual_titration_mL","",IF(COUNTIFS('1_原始數據'!$A$2:$A$1000,$A830,'1_原始數據'!$C$2:$C$1000,"khp_titration_mL")=0,"",AVERAGEIFS('1_原始數據'!$J$2:$J$1000,'1_原始數據'!$A$2:$A$1000,$A830,'1_原始數據'!$C$2:$C$1000,"khp_titration_mL"))))</f>
        <v/>
      </c>
      <c r="L830" s="25">
        <f>IF($A830="","",IF($C830&lt;&gt;"manual_titration_mL","",IFERROR(INDEX('3_可滴定酸度'!$E$6:$E$13,MATCH($I830,'3_可滴定酸度'!$B$6:$B$13,0)),"")))</f>
        <v/>
      </c>
      <c r="M830" s="25">
        <f>IF($A830="","",IF($C830&lt;&gt;"manual_titration_mL","",IFERROR(INDEX('3_可滴定酸度'!$F$6:$F$13,MATCH($I830,'3_可滴定酸度'!$B$6:$B$13,0)),"")))</f>
        <v/>
      </c>
      <c r="N830" s="24">
        <f>IF($A830="","",IF(OR(K830="",L830="",M830=""),"",K830*E830*L830/(M830*1000)*100))</f>
        <v/>
      </c>
      <c r="O830" s="24">
        <f>IF($A830="","",IF(N830="","",IF(COUNTIFS('1_原始數據'!$A$2:$A$1000,$A830,'1_原始數據'!$B$2:$B$1000,$B830,'1_原始數據'!$D$2:$D$1000,$D830,'1_原始數據'!$I$2:$I$1000,$I830,'1_原始數據'!$C$2:$C$1000,"pasco_pct_acid")=0,"",SUMIFS('1_原始數據'!$E$2:$E$1000,'1_原始數據'!$A$2:$A$1000,$A830,'1_原始數據'!$B$2:$B$1000,$B830,'1_原始數據'!$D$2:$D$1000,$D830,'1_原始數據'!$I$2:$I$1000,$I830,'1_原始數據'!$C$2:$C$1000,"pasco_pct_acid"))))</f>
        <v/>
      </c>
      <c r="P830" s="26">
        <f>IF($A830="","",IF(OR(N830="",O830=""),"",O830-N830))</f>
        <v/>
      </c>
      <c r="Q830" s="24">
        <f>IF($A830="","",IF(P830="","",(O830+N830)/2))</f>
        <v/>
      </c>
      <c r="R830" s="27">
        <f>IF($A830="","",IF(P830="","",COUNT($P$2:P830)))</f>
        <v/>
      </c>
    </row>
    <row r="831">
      <c r="J831" s="24">
        <f>IF($A831="","",IF($C831&lt;&gt;"khp_titration_mL","",IF(COUNTIFS('1_原始數據'!$A$2:$A$1000,$A831,'1_原始數據'!$B$2:$B$1000,$B831,'1_原始數據'!$D$2:$D$1000,$D831,'1_原始數據'!$C$2:$C$1000,"khp_mass_g")=0,"",SUMIFS('1_原始數據'!$E$2:$E$1000,'1_原始數據'!$A$2:$A$1000,$A831,'1_原始數據'!$B$2:$B$1000,$B831,'1_原始數據'!$D$2:$D$1000,$D831,'1_原始數據'!$C$2:$C$1000,"khp_mass_g")/('2_NaOH標定'!$C$5*$E831/1000))))</f>
        <v/>
      </c>
      <c r="K831" s="24">
        <f>IF($A831="","",IF($C831&lt;&gt;"manual_titration_mL","",IF(COUNTIFS('1_原始數據'!$A$2:$A$1000,$A831,'1_原始數據'!$C$2:$C$1000,"khp_titration_mL")=0,"",AVERAGEIFS('1_原始數據'!$J$2:$J$1000,'1_原始數據'!$A$2:$A$1000,$A831,'1_原始數據'!$C$2:$C$1000,"khp_titration_mL"))))</f>
        <v/>
      </c>
      <c r="L831" s="25">
        <f>IF($A831="","",IF($C831&lt;&gt;"manual_titration_mL","",IFERROR(INDEX('3_可滴定酸度'!$E$6:$E$13,MATCH($I831,'3_可滴定酸度'!$B$6:$B$13,0)),"")))</f>
        <v/>
      </c>
      <c r="M831" s="25">
        <f>IF($A831="","",IF($C831&lt;&gt;"manual_titration_mL","",IFERROR(INDEX('3_可滴定酸度'!$F$6:$F$13,MATCH($I831,'3_可滴定酸度'!$B$6:$B$13,0)),"")))</f>
        <v/>
      </c>
      <c r="N831" s="24">
        <f>IF($A831="","",IF(OR(K831="",L831="",M831=""),"",K831*E831*L831/(M831*1000)*100))</f>
        <v/>
      </c>
      <c r="O831" s="24">
        <f>IF($A831="","",IF(N831="","",IF(COUNTIFS('1_原始數據'!$A$2:$A$1000,$A831,'1_原始數據'!$B$2:$B$1000,$B831,'1_原始數據'!$D$2:$D$1000,$D831,'1_原始數據'!$I$2:$I$1000,$I831,'1_原始數據'!$C$2:$C$1000,"pasco_pct_acid")=0,"",SUMIFS('1_原始數據'!$E$2:$E$1000,'1_原始數據'!$A$2:$A$1000,$A831,'1_原始數據'!$B$2:$B$1000,$B831,'1_原始數據'!$D$2:$D$1000,$D831,'1_原始數據'!$I$2:$I$1000,$I831,'1_原始數據'!$C$2:$C$1000,"pasco_pct_acid"))))</f>
        <v/>
      </c>
      <c r="P831" s="26">
        <f>IF($A831="","",IF(OR(N831="",O831=""),"",O831-N831))</f>
        <v/>
      </c>
      <c r="Q831" s="24">
        <f>IF($A831="","",IF(P831="","",(O831+N831)/2))</f>
        <v/>
      </c>
      <c r="R831" s="27">
        <f>IF($A831="","",IF(P831="","",COUNT($P$2:P831)))</f>
        <v/>
      </c>
    </row>
    <row r="832">
      <c r="J832" s="24">
        <f>IF($A832="","",IF($C832&lt;&gt;"khp_titration_mL","",IF(COUNTIFS('1_原始數據'!$A$2:$A$1000,$A832,'1_原始數據'!$B$2:$B$1000,$B832,'1_原始數據'!$D$2:$D$1000,$D832,'1_原始數據'!$C$2:$C$1000,"khp_mass_g")=0,"",SUMIFS('1_原始數據'!$E$2:$E$1000,'1_原始數據'!$A$2:$A$1000,$A832,'1_原始數據'!$B$2:$B$1000,$B832,'1_原始數據'!$D$2:$D$1000,$D832,'1_原始數據'!$C$2:$C$1000,"khp_mass_g")/('2_NaOH標定'!$C$5*$E832/1000))))</f>
        <v/>
      </c>
      <c r="K832" s="24">
        <f>IF($A832="","",IF($C832&lt;&gt;"manual_titration_mL","",IF(COUNTIFS('1_原始數據'!$A$2:$A$1000,$A832,'1_原始數據'!$C$2:$C$1000,"khp_titration_mL")=0,"",AVERAGEIFS('1_原始數據'!$J$2:$J$1000,'1_原始數據'!$A$2:$A$1000,$A832,'1_原始數據'!$C$2:$C$1000,"khp_titration_mL"))))</f>
        <v/>
      </c>
      <c r="L832" s="25">
        <f>IF($A832="","",IF($C832&lt;&gt;"manual_titration_mL","",IFERROR(INDEX('3_可滴定酸度'!$E$6:$E$13,MATCH($I832,'3_可滴定酸度'!$B$6:$B$13,0)),"")))</f>
        <v/>
      </c>
      <c r="M832" s="25">
        <f>IF($A832="","",IF($C832&lt;&gt;"manual_titration_mL","",IFERROR(INDEX('3_可滴定酸度'!$F$6:$F$13,MATCH($I832,'3_可滴定酸度'!$B$6:$B$13,0)),"")))</f>
        <v/>
      </c>
      <c r="N832" s="24">
        <f>IF($A832="","",IF(OR(K832="",L832="",M832=""),"",K832*E832*L832/(M832*1000)*100))</f>
        <v/>
      </c>
      <c r="O832" s="24">
        <f>IF($A832="","",IF(N832="","",IF(COUNTIFS('1_原始數據'!$A$2:$A$1000,$A832,'1_原始數據'!$B$2:$B$1000,$B832,'1_原始數據'!$D$2:$D$1000,$D832,'1_原始數據'!$I$2:$I$1000,$I832,'1_原始數據'!$C$2:$C$1000,"pasco_pct_acid")=0,"",SUMIFS('1_原始數據'!$E$2:$E$1000,'1_原始數據'!$A$2:$A$1000,$A832,'1_原始數據'!$B$2:$B$1000,$B832,'1_原始數據'!$D$2:$D$1000,$D832,'1_原始數據'!$I$2:$I$1000,$I832,'1_原始數據'!$C$2:$C$1000,"pasco_pct_acid"))))</f>
        <v/>
      </c>
      <c r="P832" s="26">
        <f>IF($A832="","",IF(OR(N832="",O832=""),"",O832-N832))</f>
        <v/>
      </c>
      <c r="Q832" s="24">
        <f>IF($A832="","",IF(P832="","",(O832+N832)/2))</f>
        <v/>
      </c>
      <c r="R832" s="27">
        <f>IF($A832="","",IF(P832="","",COUNT($P$2:P832)))</f>
        <v/>
      </c>
    </row>
    <row r="833">
      <c r="J833" s="24">
        <f>IF($A833="","",IF($C833&lt;&gt;"khp_titration_mL","",IF(COUNTIFS('1_原始數據'!$A$2:$A$1000,$A833,'1_原始數據'!$B$2:$B$1000,$B833,'1_原始數據'!$D$2:$D$1000,$D833,'1_原始數據'!$C$2:$C$1000,"khp_mass_g")=0,"",SUMIFS('1_原始數據'!$E$2:$E$1000,'1_原始數據'!$A$2:$A$1000,$A833,'1_原始數據'!$B$2:$B$1000,$B833,'1_原始數據'!$D$2:$D$1000,$D833,'1_原始數據'!$C$2:$C$1000,"khp_mass_g")/('2_NaOH標定'!$C$5*$E833/1000))))</f>
        <v/>
      </c>
      <c r="K833" s="24">
        <f>IF($A833="","",IF($C833&lt;&gt;"manual_titration_mL","",IF(COUNTIFS('1_原始數據'!$A$2:$A$1000,$A833,'1_原始數據'!$C$2:$C$1000,"khp_titration_mL")=0,"",AVERAGEIFS('1_原始數據'!$J$2:$J$1000,'1_原始數據'!$A$2:$A$1000,$A833,'1_原始數據'!$C$2:$C$1000,"khp_titration_mL"))))</f>
        <v/>
      </c>
      <c r="L833" s="25">
        <f>IF($A833="","",IF($C833&lt;&gt;"manual_titration_mL","",IFERROR(INDEX('3_可滴定酸度'!$E$6:$E$13,MATCH($I833,'3_可滴定酸度'!$B$6:$B$13,0)),"")))</f>
        <v/>
      </c>
      <c r="M833" s="25">
        <f>IF($A833="","",IF($C833&lt;&gt;"manual_titration_mL","",IFERROR(INDEX('3_可滴定酸度'!$F$6:$F$13,MATCH($I833,'3_可滴定酸度'!$B$6:$B$13,0)),"")))</f>
        <v/>
      </c>
      <c r="N833" s="24">
        <f>IF($A833="","",IF(OR(K833="",L833="",M833=""),"",K833*E833*L833/(M833*1000)*100))</f>
        <v/>
      </c>
      <c r="O833" s="24">
        <f>IF($A833="","",IF(N833="","",IF(COUNTIFS('1_原始數據'!$A$2:$A$1000,$A833,'1_原始數據'!$B$2:$B$1000,$B833,'1_原始數據'!$D$2:$D$1000,$D833,'1_原始數據'!$I$2:$I$1000,$I833,'1_原始數據'!$C$2:$C$1000,"pasco_pct_acid")=0,"",SUMIFS('1_原始數據'!$E$2:$E$1000,'1_原始數據'!$A$2:$A$1000,$A833,'1_原始數據'!$B$2:$B$1000,$B833,'1_原始數據'!$D$2:$D$1000,$D833,'1_原始數據'!$I$2:$I$1000,$I833,'1_原始數據'!$C$2:$C$1000,"pasco_pct_acid"))))</f>
        <v/>
      </c>
      <c r="P833" s="26">
        <f>IF($A833="","",IF(OR(N833="",O833=""),"",O833-N833))</f>
        <v/>
      </c>
      <c r="Q833" s="24">
        <f>IF($A833="","",IF(P833="","",(O833+N833)/2))</f>
        <v/>
      </c>
      <c r="R833" s="27">
        <f>IF($A833="","",IF(P833="","",COUNT($P$2:P833)))</f>
        <v/>
      </c>
    </row>
    <row r="834">
      <c r="J834" s="24">
        <f>IF($A834="","",IF($C834&lt;&gt;"khp_titration_mL","",IF(COUNTIFS('1_原始數據'!$A$2:$A$1000,$A834,'1_原始數據'!$B$2:$B$1000,$B834,'1_原始數據'!$D$2:$D$1000,$D834,'1_原始數據'!$C$2:$C$1000,"khp_mass_g")=0,"",SUMIFS('1_原始數據'!$E$2:$E$1000,'1_原始數據'!$A$2:$A$1000,$A834,'1_原始數據'!$B$2:$B$1000,$B834,'1_原始數據'!$D$2:$D$1000,$D834,'1_原始數據'!$C$2:$C$1000,"khp_mass_g")/('2_NaOH標定'!$C$5*$E834/1000))))</f>
        <v/>
      </c>
      <c r="K834" s="24">
        <f>IF($A834="","",IF($C834&lt;&gt;"manual_titration_mL","",IF(COUNTIFS('1_原始數據'!$A$2:$A$1000,$A834,'1_原始數據'!$C$2:$C$1000,"khp_titration_mL")=0,"",AVERAGEIFS('1_原始數據'!$J$2:$J$1000,'1_原始數據'!$A$2:$A$1000,$A834,'1_原始數據'!$C$2:$C$1000,"khp_titration_mL"))))</f>
        <v/>
      </c>
      <c r="L834" s="25">
        <f>IF($A834="","",IF($C834&lt;&gt;"manual_titration_mL","",IFERROR(INDEX('3_可滴定酸度'!$E$6:$E$13,MATCH($I834,'3_可滴定酸度'!$B$6:$B$13,0)),"")))</f>
        <v/>
      </c>
      <c r="M834" s="25">
        <f>IF($A834="","",IF($C834&lt;&gt;"manual_titration_mL","",IFERROR(INDEX('3_可滴定酸度'!$F$6:$F$13,MATCH($I834,'3_可滴定酸度'!$B$6:$B$13,0)),"")))</f>
        <v/>
      </c>
      <c r="N834" s="24">
        <f>IF($A834="","",IF(OR(K834="",L834="",M834=""),"",K834*E834*L834/(M834*1000)*100))</f>
        <v/>
      </c>
      <c r="O834" s="24">
        <f>IF($A834="","",IF(N834="","",IF(COUNTIFS('1_原始數據'!$A$2:$A$1000,$A834,'1_原始數據'!$B$2:$B$1000,$B834,'1_原始數據'!$D$2:$D$1000,$D834,'1_原始數據'!$I$2:$I$1000,$I834,'1_原始數據'!$C$2:$C$1000,"pasco_pct_acid")=0,"",SUMIFS('1_原始數據'!$E$2:$E$1000,'1_原始數據'!$A$2:$A$1000,$A834,'1_原始數據'!$B$2:$B$1000,$B834,'1_原始數據'!$D$2:$D$1000,$D834,'1_原始數據'!$I$2:$I$1000,$I834,'1_原始數據'!$C$2:$C$1000,"pasco_pct_acid"))))</f>
        <v/>
      </c>
      <c r="P834" s="26">
        <f>IF($A834="","",IF(OR(N834="",O834=""),"",O834-N834))</f>
        <v/>
      </c>
      <c r="Q834" s="24">
        <f>IF($A834="","",IF(P834="","",(O834+N834)/2))</f>
        <v/>
      </c>
      <c r="R834" s="27">
        <f>IF($A834="","",IF(P834="","",COUNT($P$2:P834)))</f>
        <v/>
      </c>
    </row>
    <row r="835">
      <c r="J835" s="24">
        <f>IF($A835="","",IF($C835&lt;&gt;"khp_titration_mL","",IF(COUNTIFS('1_原始數據'!$A$2:$A$1000,$A835,'1_原始數據'!$B$2:$B$1000,$B835,'1_原始數據'!$D$2:$D$1000,$D835,'1_原始數據'!$C$2:$C$1000,"khp_mass_g")=0,"",SUMIFS('1_原始數據'!$E$2:$E$1000,'1_原始數據'!$A$2:$A$1000,$A835,'1_原始數據'!$B$2:$B$1000,$B835,'1_原始數據'!$D$2:$D$1000,$D835,'1_原始數據'!$C$2:$C$1000,"khp_mass_g")/('2_NaOH標定'!$C$5*$E835/1000))))</f>
        <v/>
      </c>
      <c r="K835" s="24">
        <f>IF($A835="","",IF($C835&lt;&gt;"manual_titration_mL","",IF(COUNTIFS('1_原始數據'!$A$2:$A$1000,$A835,'1_原始數據'!$C$2:$C$1000,"khp_titration_mL")=0,"",AVERAGEIFS('1_原始數據'!$J$2:$J$1000,'1_原始數據'!$A$2:$A$1000,$A835,'1_原始數據'!$C$2:$C$1000,"khp_titration_mL"))))</f>
        <v/>
      </c>
      <c r="L835" s="25">
        <f>IF($A835="","",IF($C835&lt;&gt;"manual_titration_mL","",IFERROR(INDEX('3_可滴定酸度'!$E$6:$E$13,MATCH($I835,'3_可滴定酸度'!$B$6:$B$13,0)),"")))</f>
        <v/>
      </c>
      <c r="M835" s="25">
        <f>IF($A835="","",IF($C835&lt;&gt;"manual_titration_mL","",IFERROR(INDEX('3_可滴定酸度'!$F$6:$F$13,MATCH($I835,'3_可滴定酸度'!$B$6:$B$13,0)),"")))</f>
        <v/>
      </c>
      <c r="N835" s="24">
        <f>IF($A835="","",IF(OR(K835="",L835="",M835=""),"",K835*E835*L835/(M835*1000)*100))</f>
        <v/>
      </c>
      <c r="O835" s="24">
        <f>IF($A835="","",IF(N835="","",IF(COUNTIFS('1_原始數據'!$A$2:$A$1000,$A835,'1_原始數據'!$B$2:$B$1000,$B835,'1_原始數據'!$D$2:$D$1000,$D835,'1_原始數據'!$I$2:$I$1000,$I835,'1_原始數據'!$C$2:$C$1000,"pasco_pct_acid")=0,"",SUMIFS('1_原始數據'!$E$2:$E$1000,'1_原始數據'!$A$2:$A$1000,$A835,'1_原始數據'!$B$2:$B$1000,$B835,'1_原始數據'!$D$2:$D$1000,$D835,'1_原始數據'!$I$2:$I$1000,$I835,'1_原始數據'!$C$2:$C$1000,"pasco_pct_acid"))))</f>
        <v/>
      </c>
      <c r="P835" s="26">
        <f>IF($A835="","",IF(OR(N835="",O835=""),"",O835-N835))</f>
        <v/>
      </c>
      <c r="Q835" s="24">
        <f>IF($A835="","",IF(P835="","",(O835+N835)/2))</f>
        <v/>
      </c>
      <c r="R835" s="27">
        <f>IF($A835="","",IF(P835="","",COUNT($P$2:P835)))</f>
        <v/>
      </c>
    </row>
    <row r="836">
      <c r="J836" s="24">
        <f>IF($A836="","",IF($C836&lt;&gt;"khp_titration_mL","",IF(COUNTIFS('1_原始數據'!$A$2:$A$1000,$A836,'1_原始數據'!$B$2:$B$1000,$B836,'1_原始數據'!$D$2:$D$1000,$D836,'1_原始數據'!$C$2:$C$1000,"khp_mass_g")=0,"",SUMIFS('1_原始數據'!$E$2:$E$1000,'1_原始數據'!$A$2:$A$1000,$A836,'1_原始數據'!$B$2:$B$1000,$B836,'1_原始數據'!$D$2:$D$1000,$D836,'1_原始數據'!$C$2:$C$1000,"khp_mass_g")/('2_NaOH標定'!$C$5*$E836/1000))))</f>
        <v/>
      </c>
      <c r="K836" s="24">
        <f>IF($A836="","",IF($C836&lt;&gt;"manual_titration_mL","",IF(COUNTIFS('1_原始數據'!$A$2:$A$1000,$A836,'1_原始數據'!$C$2:$C$1000,"khp_titration_mL")=0,"",AVERAGEIFS('1_原始數據'!$J$2:$J$1000,'1_原始數據'!$A$2:$A$1000,$A836,'1_原始數據'!$C$2:$C$1000,"khp_titration_mL"))))</f>
        <v/>
      </c>
      <c r="L836" s="25">
        <f>IF($A836="","",IF($C836&lt;&gt;"manual_titration_mL","",IFERROR(INDEX('3_可滴定酸度'!$E$6:$E$13,MATCH($I836,'3_可滴定酸度'!$B$6:$B$13,0)),"")))</f>
        <v/>
      </c>
      <c r="M836" s="25">
        <f>IF($A836="","",IF($C836&lt;&gt;"manual_titration_mL","",IFERROR(INDEX('3_可滴定酸度'!$F$6:$F$13,MATCH($I836,'3_可滴定酸度'!$B$6:$B$13,0)),"")))</f>
        <v/>
      </c>
      <c r="N836" s="24">
        <f>IF($A836="","",IF(OR(K836="",L836="",M836=""),"",K836*E836*L836/(M836*1000)*100))</f>
        <v/>
      </c>
      <c r="O836" s="24">
        <f>IF($A836="","",IF(N836="","",IF(COUNTIFS('1_原始數據'!$A$2:$A$1000,$A836,'1_原始數據'!$B$2:$B$1000,$B836,'1_原始數據'!$D$2:$D$1000,$D836,'1_原始數據'!$I$2:$I$1000,$I836,'1_原始數據'!$C$2:$C$1000,"pasco_pct_acid")=0,"",SUMIFS('1_原始數據'!$E$2:$E$1000,'1_原始數據'!$A$2:$A$1000,$A836,'1_原始數據'!$B$2:$B$1000,$B836,'1_原始數據'!$D$2:$D$1000,$D836,'1_原始數據'!$I$2:$I$1000,$I836,'1_原始數據'!$C$2:$C$1000,"pasco_pct_acid"))))</f>
        <v/>
      </c>
      <c r="P836" s="26">
        <f>IF($A836="","",IF(OR(N836="",O836=""),"",O836-N836))</f>
        <v/>
      </c>
      <c r="Q836" s="24">
        <f>IF($A836="","",IF(P836="","",(O836+N836)/2))</f>
        <v/>
      </c>
      <c r="R836" s="27">
        <f>IF($A836="","",IF(P836="","",COUNT($P$2:P836)))</f>
        <v/>
      </c>
    </row>
    <row r="837">
      <c r="J837" s="24">
        <f>IF($A837="","",IF($C837&lt;&gt;"khp_titration_mL","",IF(COUNTIFS('1_原始數據'!$A$2:$A$1000,$A837,'1_原始數據'!$B$2:$B$1000,$B837,'1_原始數據'!$D$2:$D$1000,$D837,'1_原始數據'!$C$2:$C$1000,"khp_mass_g")=0,"",SUMIFS('1_原始數據'!$E$2:$E$1000,'1_原始數據'!$A$2:$A$1000,$A837,'1_原始數據'!$B$2:$B$1000,$B837,'1_原始數據'!$D$2:$D$1000,$D837,'1_原始數據'!$C$2:$C$1000,"khp_mass_g")/('2_NaOH標定'!$C$5*$E837/1000))))</f>
        <v/>
      </c>
      <c r="K837" s="24">
        <f>IF($A837="","",IF($C837&lt;&gt;"manual_titration_mL","",IF(COUNTIFS('1_原始數據'!$A$2:$A$1000,$A837,'1_原始數據'!$C$2:$C$1000,"khp_titration_mL")=0,"",AVERAGEIFS('1_原始數據'!$J$2:$J$1000,'1_原始數據'!$A$2:$A$1000,$A837,'1_原始數據'!$C$2:$C$1000,"khp_titration_mL"))))</f>
        <v/>
      </c>
      <c r="L837" s="25">
        <f>IF($A837="","",IF($C837&lt;&gt;"manual_titration_mL","",IFERROR(INDEX('3_可滴定酸度'!$E$6:$E$13,MATCH($I837,'3_可滴定酸度'!$B$6:$B$13,0)),"")))</f>
        <v/>
      </c>
      <c r="M837" s="25">
        <f>IF($A837="","",IF($C837&lt;&gt;"manual_titration_mL","",IFERROR(INDEX('3_可滴定酸度'!$F$6:$F$13,MATCH($I837,'3_可滴定酸度'!$B$6:$B$13,0)),"")))</f>
        <v/>
      </c>
      <c r="N837" s="24">
        <f>IF($A837="","",IF(OR(K837="",L837="",M837=""),"",K837*E837*L837/(M837*1000)*100))</f>
        <v/>
      </c>
      <c r="O837" s="24">
        <f>IF($A837="","",IF(N837="","",IF(COUNTIFS('1_原始數據'!$A$2:$A$1000,$A837,'1_原始數據'!$B$2:$B$1000,$B837,'1_原始數據'!$D$2:$D$1000,$D837,'1_原始數據'!$I$2:$I$1000,$I837,'1_原始數據'!$C$2:$C$1000,"pasco_pct_acid")=0,"",SUMIFS('1_原始數據'!$E$2:$E$1000,'1_原始數據'!$A$2:$A$1000,$A837,'1_原始數據'!$B$2:$B$1000,$B837,'1_原始數據'!$D$2:$D$1000,$D837,'1_原始數據'!$I$2:$I$1000,$I837,'1_原始數據'!$C$2:$C$1000,"pasco_pct_acid"))))</f>
        <v/>
      </c>
      <c r="P837" s="26">
        <f>IF($A837="","",IF(OR(N837="",O837=""),"",O837-N837))</f>
        <v/>
      </c>
      <c r="Q837" s="24">
        <f>IF($A837="","",IF(P837="","",(O837+N837)/2))</f>
        <v/>
      </c>
      <c r="R837" s="27">
        <f>IF($A837="","",IF(P837="","",COUNT($P$2:P837)))</f>
        <v/>
      </c>
    </row>
    <row r="838">
      <c r="J838" s="24">
        <f>IF($A838="","",IF($C838&lt;&gt;"khp_titration_mL","",IF(COUNTIFS('1_原始數據'!$A$2:$A$1000,$A838,'1_原始數據'!$B$2:$B$1000,$B838,'1_原始數據'!$D$2:$D$1000,$D838,'1_原始數據'!$C$2:$C$1000,"khp_mass_g")=0,"",SUMIFS('1_原始數據'!$E$2:$E$1000,'1_原始數據'!$A$2:$A$1000,$A838,'1_原始數據'!$B$2:$B$1000,$B838,'1_原始數據'!$D$2:$D$1000,$D838,'1_原始數據'!$C$2:$C$1000,"khp_mass_g")/('2_NaOH標定'!$C$5*$E838/1000))))</f>
        <v/>
      </c>
      <c r="K838" s="24">
        <f>IF($A838="","",IF($C838&lt;&gt;"manual_titration_mL","",IF(COUNTIFS('1_原始數據'!$A$2:$A$1000,$A838,'1_原始數據'!$C$2:$C$1000,"khp_titration_mL")=0,"",AVERAGEIFS('1_原始數據'!$J$2:$J$1000,'1_原始數據'!$A$2:$A$1000,$A838,'1_原始數據'!$C$2:$C$1000,"khp_titration_mL"))))</f>
        <v/>
      </c>
      <c r="L838" s="25">
        <f>IF($A838="","",IF($C838&lt;&gt;"manual_titration_mL","",IFERROR(INDEX('3_可滴定酸度'!$E$6:$E$13,MATCH($I838,'3_可滴定酸度'!$B$6:$B$13,0)),"")))</f>
        <v/>
      </c>
      <c r="M838" s="25">
        <f>IF($A838="","",IF($C838&lt;&gt;"manual_titration_mL","",IFERROR(INDEX('3_可滴定酸度'!$F$6:$F$13,MATCH($I838,'3_可滴定酸度'!$B$6:$B$13,0)),"")))</f>
        <v/>
      </c>
      <c r="N838" s="24">
        <f>IF($A838="","",IF(OR(K838="",L838="",M838=""),"",K838*E838*L838/(M838*1000)*100))</f>
        <v/>
      </c>
      <c r="O838" s="24">
        <f>IF($A838="","",IF(N838="","",IF(COUNTIFS('1_原始數據'!$A$2:$A$1000,$A838,'1_原始數據'!$B$2:$B$1000,$B838,'1_原始數據'!$D$2:$D$1000,$D838,'1_原始數據'!$I$2:$I$1000,$I838,'1_原始數據'!$C$2:$C$1000,"pasco_pct_acid")=0,"",SUMIFS('1_原始數據'!$E$2:$E$1000,'1_原始數據'!$A$2:$A$1000,$A838,'1_原始數據'!$B$2:$B$1000,$B838,'1_原始數據'!$D$2:$D$1000,$D838,'1_原始數據'!$I$2:$I$1000,$I838,'1_原始數據'!$C$2:$C$1000,"pasco_pct_acid"))))</f>
        <v/>
      </c>
      <c r="P838" s="26">
        <f>IF($A838="","",IF(OR(N838="",O838=""),"",O838-N838))</f>
        <v/>
      </c>
      <c r="Q838" s="24">
        <f>IF($A838="","",IF(P838="","",(O838+N838)/2))</f>
        <v/>
      </c>
      <c r="R838" s="27">
        <f>IF($A838="","",IF(P838="","",COUNT($P$2:P838)))</f>
        <v/>
      </c>
    </row>
    <row r="839">
      <c r="J839" s="24">
        <f>IF($A839="","",IF($C839&lt;&gt;"khp_titration_mL","",IF(COUNTIFS('1_原始數據'!$A$2:$A$1000,$A839,'1_原始數據'!$B$2:$B$1000,$B839,'1_原始數據'!$D$2:$D$1000,$D839,'1_原始數據'!$C$2:$C$1000,"khp_mass_g")=0,"",SUMIFS('1_原始數據'!$E$2:$E$1000,'1_原始數據'!$A$2:$A$1000,$A839,'1_原始數據'!$B$2:$B$1000,$B839,'1_原始數據'!$D$2:$D$1000,$D839,'1_原始數據'!$C$2:$C$1000,"khp_mass_g")/('2_NaOH標定'!$C$5*$E839/1000))))</f>
        <v/>
      </c>
      <c r="K839" s="24">
        <f>IF($A839="","",IF($C839&lt;&gt;"manual_titration_mL","",IF(COUNTIFS('1_原始數據'!$A$2:$A$1000,$A839,'1_原始數據'!$C$2:$C$1000,"khp_titration_mL")=0,"",AVERAGEIFS('1_原始數據'!$J$2:$J$1000,'1_原始數據'!$A$2:$A$1000,$A839,'1_原始數據'!$C$2:$C$1000,"khp_titration_mL"))))</f>
        <v/>
      </c>
      <c r="L839" s="25">
        <f>IF($A839="","",IF($C839&lt;&gt;"manual_titration_mL","",IFERROR(INDEX('3_可滴定酸度'!$E$6:$E$13,MATCH($I839,'3_可滴定酸度'!$B$6:$B$13,0)),"")))</f>
        <v/>
      </c>
      <c r="M839" s="25">
        <f>IF($A839="","",IF($C839&lt;&gt;"manual_titration_mL","",IFERROR(INDEX('3_可滴定酸度'!$F$6:$F$13,MATCH($I839,'3_可滴定酸度'!$B$6:$B$13,0)),"")))</f>
        <v/>
      </c>
      <c r="N839" s="24">
        <f>IF($A839="","",IF(OR(K839="",L839="",M839=""),"",K839*E839*L839/(M839*1000)*100))</f>
        <v/>
      </c>
      <c r="O839" s="24">
        <f>IF($A839="","",IF(N839="","",IF(COUNTIFS('1_原始數據'!$A$2:$A$1000,$A839,'1_原始數據'!$B$2:$B$1000,$B839,'1_原始數據'!$D$2:$D$1000,$D839,'1_原始數據'!$I$2:$I$1000,$I839,'1_原始數據'!$C$2:$C$1000,"pasco_pct_acid")=0,"",SUMIFS('1_原始數據'!$E$2:$E$1000,'1_原始數據'!$A$2:$A$1000,$A839,'1_原始數據'!$B$2:$B$1000,$B839,'1_原始數據'!$D$2:$D$1000,$D839,'1_原始數據'!$I$2:$I$1000,$I839,'1_原始數據'!$C$2:$C$1000,"pasco_pct_acid"))))</f>
        <v/>
      </c>
      <c r="P839" s="26">
        <f>IF($A839="","",IF(OR(N839="",O839=""),"",O839-N839))</f>
        <v/>
      </c>
      <c r="Q839" s="24">
        <f>IF($A839="","",IF(P839="","",(O839+N839)/2))</f>
        <v/>
      </c>
      <c r="R839" s="27">
        <f>IF($A839="","",IF(P839="","",COUNT($P$2:P839)))</f>
        <v/>
      </c>
    </row>
    <row r="840">
      <c r="J840" s="24">
        <f>IF($A840="","",IF($C840&lt;&gt;"khp_titration_mL","",IF(COUNTIFS('1_原始數據'!$A$2:$A$1000,$A840,'1_原始數據'!$B$2:$B$1000,$B840,'1_原始數據'!$D$2:$D$1000,$D840,'1_原始數據'!$C$2:$C$1000,"khp_mass_g")=0,"",SUMIFS('1_原始數據'!$E$2:$E$1000,'1_原始數據'!$A$2:$A$1000,$A840,'1_原始數據'!$B$2:$B$1000,$B840,'1_原始數據'!$D$2:$D$1000,$D840,'1_原始數據'!$C$2:$C$1000,"khp_mass_g")/('2_NaOH標定'!$C$5*$E840/1000))))</f>
        <v/>
      </c>
      <c r="K840" s="24">
        <f>IF($A840="","",IF($C840&lt;&gt;"manual_titration_mL","",IF(COUNTIFS('1_原始數據'!$A$2:$A$1000,$A840,'1_原始數據'!$C$2:$C$1000,"khp_titration_mL")=0,"",AVERAGEIFS('1_原始數據'!$J$2:$J$1000,'1_原始數據'!$A$2:$A$1000,$A840,'1_原始數據'!$C$2:$C$1000,"khp_titration_mL"))))</f>
        <v/>
      </c>
      <c r="L840" s="25">
        <f>IF($A840="","",IF($C840&lt;&gt;"manual_titration_mL","",IFERROR(INDEX('3_可滴定酸度'!$E$6:$E$13,MATCH($I840,'3_可滴定酸度'!$B$6:$B$13,0)),"")))</f>
        <v/>
      </c>
      <c r="M840" s="25">
        <f>IF($A840="","",IF($C840&lt;&gt;"manual_titration_mL","",IFERROR(INDEX('3_可滴定酸度'!$F$6:$F$13,MATCH($I840,'3_可滴定酸度'!$B$6:$B$13,0)),"")))</f>
        <v/>
      </c>
      <c r="N840" s="24">
        <f>IF($A840="","",IF(OR(K840="",L840="",M840=""),"",K840*E840*L840/(M840*1000)*100))</f>
        <v/>
      </c>
      <c r="O840" s="24">
        <f>IF($A840="","",IF(N840="","",IF(COUNTIFS('1_原始數據'!$A$2:$A$1000,$A840,'1_原始數據'!$B$2:$B$1000,$B840,'1_原始數據'!$D$2:$D$1000,$D840,'1_原始數據'!$I$2:$I$1000,$I840,'1_原始數據'!$C$2:$C$1000,"pasco_pct_acid")=0,"",SUMIFS('1_原始數據'!$E$2:$E$1000,'1_原始數據'!$A$2:$A$1000,$A840,'1_原始數據'!$B$2:$B$1000,$B840,'1_原始數據'!$D$2:$D$1000,$D840,'1_原始數據'!$I$2:$I$1000,$I840,'1_原始數據'!$C$2:$C$1000,"pasco_pct_acid"))))</f>
        <v/>
      </c>
      <c r="P840" s="26">
        <f>IF($A840="","",IF(OR(N840="",O840=""),"",O840-N840))</f>
        <v/>
      </c>
      <c r="Q840" s="24">
        <f>IF($A840="","",IF(P840="","",(O840+N840)/2))</f>
        <v/>
      </c>
      <c r="R840" s="27">
        <f>IF($A840="","",IF(P840="","",COUNT($P$2:P840)))</f>
        <v/>
      </c>
    </row>
    <row r="841">
      <c r="J841" s="24">
        <f>IF($A841="","",IF($C841&lt;&gt;"khp_titration_mL","",IF(COUNTIFS('1_原始數據'!$A$2:$A$1000,$A841,'1_原始數據'!$B$2:$B$1000,$B841,'1_原始數據'!$D$2:$D$1000,$D841,'1_原始數據'!$C$2:$C$1000,"khp_mass_g")=0,"",SUMIFS('1_原始數據'!$E$2:$E$1000,'1_原始數據'!$A$2:$A$1000,$A841,'1_原始數據'!$B$2:$B$1000,$B841,'1_原始數據'!$D$2:$D$1000,$D841,'1_原始數據'!$C$2:$C$1000,"khp_mass_g")/('2_NaOH標定'!$C$5*$E841/1000))))</f>
        <v/>
      </c>
      <c r="K841" s="24">
        <f>IF($A841="","",IF($C841&lt;&gt;"manual_titration_mL","",IF(COUNTIFS('1_原始數據'!$A$2:$A$1000,$A841,'1_原始數據'!$C$2:$C$1000,"khp_titration_mL")=0,"",AVERAGEIFS('1_原始數據'!$J$2:$J$1000,'1_原始數據'!$A$2:$A$1000,$A841,'1_原始數據'!$C$2:$C$1000,"khp_titration_mL"))))</f>
        <v/>
      </c>
      <c r="L841" s="25">
        <f>IF($A841="","",IF($C841&lt;&gt;"manual_titration_mL","",IFERROR(INDEX('3_可滴定酸度'!$E$6:$E$13,MATCH($I841,'3_可滴定酸度'!$B$6:$B$13,0)),"")))</f>
        <v/>
      </c>
      <c r="M841" s="25">
        <f>IF($A841="","",IF($C841&lt;&gt;"manual_titration_mL","",IFERROR(INDEX('3_可滴定酸度'!$F$6:$F$13,MATCH($I841,'3_可滴定酸度'!$B$6:$B$13,0)),"")))</f>
        <v/>
      </c>
      <c r="N841" s="24">
        <f>IF($A841="","",IF(OR(K841="",L841="",M841=""),"",K841*E841*L841/(M841*1000)*100))</f>
        <v/>
      </c>
      <c r="O841" s="24">
        <f>IF($A841="","",IF(N841="","",IF(COUNTIFS('1_原始數據'!$A$2:$A$1000,$A841,'1_原始數據'!$B$2:$B$1000,$B841,'1_原始數據'!$D$2:$D$1000,$D841,'1_原始數據'!$I$2:$I$1000,$I841,'1_原始數據'!$C$2:$C$1000,"pasco_pct_acid")=0,"",SUMIFS('1_原始數據'!$E$2:$E$1000,'1_原始數據'!$A$2:$A$1000,$A841,'1_原始數據'!$B$2:$B$1000,$B841,'1_原始數據'!$D$2:$D$1000,$D841,'1_原始數據'!$I$2:$I$1000,$I841,'1_原始數據'!$C$2:$C$1000,"pasco_pct_acid"))))</f>
        <v/>
      </c>
      <c r="P841" s="26">
        <f>IF($A841="","",IF(OR(N841="",O841=""),"",O841-N841))</f>
        <v/>
      </c>
      <c r="Q841" s="24">
        <f>IF($A841="","",IF(P841="","",(O841+N841)/2))</f>
        <v/>
      </c>
      <c r="R841" s="27">
        <f>IF($A841="","",IF(P841="","",COUNT($P$2:P841)))</f>
        <v/>
      </c>
    </row>
    <row r="842">
      <c r="J842" s="24">
        <f>IF($A842="","",IF($C842&lt;&gt;"khp_titration_mL","",IF(COUNTIFS('1_原始數據'!$A$2:$A$1000,$A842,'1_原始數據'!$B$2:$B$1000,$B842,'1_原始數據'!$D$2:$D$1000,$D842,'1_原始數據'!$C$2:$C$1000,"khp_mass_g")=0,"",SUMIFS('1_原始數據'!$E$2:$E$1000,'1_原始數據'!$A$2:$A$1000,$A842,'1_原始數據'!$B$2:$B$1000,$B842,'1_原始數據'!$D$2:$D$1000,$D842,'1_原始數據'!$C$2:$C$1000,"khp_mass_g")/('2_NaOH標定'!$C$5*$E842/1000))))</f>
        <v/>
      </c>
      <c r="K842" s="24">
        <f>IF($A842="","",IF($C842&lt;&gt;"manual_titration_mL","",IF(COUNTIFS('1_原始數據'!$A$2:$A$1000,$A842,'1_原始數據'!$C$2:$C$1000,"khp_titration_mL")=0,"",AVERAGEIFS('1_原始數據'!$J$2:$J$1000,'1_原始數據'!$A$2:$A$1000,$A842,'1_原始數據'!$C$2:$C$1000,"khp_titration_mL"))))</f>
        <v/>
      </c>
      <c r="L842" s="25">
        <f>IF($A842="","",IF($C842&lt;&gt;"manual_titration_mL","",IFERROR(INDEX('3_可滴定酸度'!$E$6:$E$13,MATCH($I842,'3_可滴定酸度'!$B$6:$B$13,0)),"")))</f>
        <v/>
      </c>
      <c r="M842" s="25">
        <f>IF($A842="","",IF($C842&lt;&gt;"manual_titration_mL","",IFERROR(INDEX('3_可滴定酸度'!$F$6:$F$13,MATCH($I842,'3_可滴定酸度'!$B$6:$B$13,0)),"")))</f>
        <v/>
      </c>
      <c r="N842" s="24">
        <f>IF($A842="","",IF(OR(K842="",L842="",M842=""),"",K842*E842*L842/(M842*1000)*100))</f>
        <v/>
      </c>
      <c r="O842" s="24">
        <f>IF($A842="","",IF(N842="","",IF(COUNTIFS('1_原始數據'!$A$2:$A$1000,$A842,'1_原始數據'!$B$2:$B$1000,$B842,'1_原始數據'!$D$2:$D$1000,$D842,'1_原始數據'!$I$2:$I$1000,$I842,'1_原始數據'!$C$2:$C$1000,"pasco_pct_acid")=0,"",SUMIFS('1_原始數據'!$E$2:$E$1000,'1_原始數據'!$A$2:$A$1000,$A842,'1_原始數據'!$B$2:$B$1000,$B842,'1_原始數據'!$D$2:$D$1000,$D842,'1_原始數據'!$I$2:$I$1000,$I842,'1_原始數據'!$C$2:$C$1000,"pasco_pct_acid"))))</f>
        <v/>
      </c>
      <c r="P842" s="26">
        <f>IF($A842="","",IF(OR(N842="",O842=""),"",O842-N842))</f>
        <v/>
      </c>
      <c r="Q842" s="24">
        <f>IF($A842="","",IF(P842="","",(O842+N842)/2))</f>
        <v/>
      </c>
      <c r="R842" s="27">
        <f>IF($A842="","",IF(P842="","",COUNT($P$2:P842)))</f>
        <v/>
      </c>
    </row>
    <row r="843">
      <c r="J843" s="24">
        <f>IF($A843="","",IF($C843&lt;&gt;"khp_titration_mL","",IF(COUNTIFS('1_原始數據'!$A$2:$A$1000,$A843,'1_原始數據'!$B$2:$B$1000,$B843,'1_原始數據'!$D$2:$D$1000,$D843,'1_原始數據'!$C$2:$C$1000,"khp_mass_g")=0,"",SUMIFS('1_原始數據'!$E$2:$E$1000,'1_原始數據'!$A$2:$A$1000,$A843,'1_原始數據'!$B$2:$B$1000,$B843,'1_原始數據'!$D$2:$D$1000,$D843,'1_原始數據'!$C$2:$C$1000,"khp_mass_g")/('2_NaOH標定'!$C$5*$E843/1000))))</f>
        <v/>
      </c>
      <c r="K843" s="24">
        <f>IF($A843="","",IF($C843&lt;&gt;"manual_titration_mL","",IF(COUNTIFS('1_原始數據'!$A$2:$A$1000,$A843,'1_原始數據'!$C$2:$C$1000,"khp_titration_mL")=0,"",AVERAGEIFS('1_原始數據'!$J$2:$J$1000,'1_原始數據'!$A$2:$A$1000,$A843,'1_原始數據'!$C$2:$C$1000,"khp_titration_mL"))))</f>
        <v/>
      </c>
      <c r="L843" s="25">
        <f>IF($A843="","",IF($C843&lt;&gt;"manual_titration_mL","",IFERROR(INDEX('3_可滴定酸度'!$E$6:$E$13,MATCH($I843,'3_可滴定酸度'!$B$6:$B$13,0)),"")))</f>
        <v/>
      </c>
      <c r="M843" s="25">
        <f>IF($A843="","",IF($C843&lt;&gt;"manual_titration_mL","",IFERROR(INDEX('3_可滴定酸度'!$F$6:$F$13,MATCH($I843,'3_可滴定酸度'!$B$6:$B$13,0)),"")))</f>
        <v/>
      </c>
      <c r="N843" s="24">
        <f>IF($A843="","",IF(OR(K843="",L843="",M843=""),"",K843*E843*L843/(M843*1000)*100))</f>
        <v/>
      </c>
      <c r="O843" s="24">
        <f>IF($A843="","",IF(N843="","",IF(COUNTIFS('1_原始數據'!$A$2:$A$1000,$A843,'1_原始數據'!$B$2:$B$1000,$B843,'1_原始數據'!$D$2:$D$1000,$D843,'1_原始數據'!$I$2:$I$1000,$I843,'1_原始數據'!$C$2:$C$1000,"pasco_pct_acid")=0,"",SUMIFS('1_原始數據'!$E$2:$E$1000,'1_原始數據'!$A$2:$A$1000,$A843,'1_原始數據'!$B$2:$B$1000,$B843,'1_原始數據'!$D$2:$D$1000,$D843,'1_原始數據'!$I$2:$I$1000,$I843,'1_原始數據'!$C$2:$C$1000,"pasco_pct_acid"))))</f>
        <v/>
      </c>
      <c r="P843" s="26">
        <f>IF($A843="","",IF(OR(N843="",O843=""),"",O843-N843))</f>
        <v/>
      </c>
      <c r="Q843" s="24">
        <f>IF($A843="","",IF(P843="","",(O843+N843)/2))</f>
        <v/>
      </c>
      <c r="R843" s="27">
        <f>IF($A843="","",IF(P843="","",COUNT($P$2:P843)))</f>
        <v/>
      </c>
    </row>
    <row r="844">
      <c r="J844" s="24">
        <f>IF($A844="","",IF($C844&lt;&gt;"khp_titration_mL","",IF(COUNTIFS('1_原始數據'!$A$2:$A$1000,$A844,'1_原始數據'!$B$2:$B$1000,$B844,'1_原始數據'!$D$2:$D$1000,$D844,'1_原始數據'!$C$2:$C$1000,"khp_mass_g")=0,"",SUMIFS('1_原始數據'!$E$2:$E$1000,'1_原始數據'!$A$2:$A$1000,$A844,'1_原始數據'!$B$2:$B$1000,$B844,'1_原始數據'!$D$2:$D$1000,$D844,'1_原始數據'!$C$2:$C$1000,"khp_mass_g")/('2_NaOH標定'!$C$5*$E844/1000))))</f>
        <v/>
      </c>
      <c r="K844" s="24">
        <f>IF($A844="","",IF($C844&lt;&gt;"manual_titration_mL","",IF(COUNTIFS('1_原始數據'!$A$2:$A$1000,$A844,'1_原始數據'!$C$2:$C$1000,"khp_titration_mL")=0,"",AVERAGEIFS('1_原始數據'!$J$2:$J$1000,'1_原始數據'!$A$2:$A$1000,$A844,'1_原始數據'!$C$2:$C$1000,"khp_titration_mL"))))</f>
        <v/>
      </c>
      <c r="L844" s="25">
        <f>IF($A844="","",IF($C844&lt;&gt;"manual_titration_mL","",IFERROR(INDEX('3_可滴定酸度'!$E$6:$E$13,MATCH($I844,'3_可滴定酸度'!$B$6:$B$13,0)),"")))</f>
        <v/>
      </c>
      <c r="M844" s="25">
        <f>IF($A844="","",IF($C844&lt;&gt;"manual_titration_mL","",IFERROR(INDEX('3_可滴定酸度'!$F$6:$F$13,MATCH($I844,'3_可滴定酸度'!$B$6:$B$13,0)),"")))</f>
        <v/>
      </c>
      <c r="N844" s="24">
        <f>IF($A844="","",IF(OR(K844="",L844="",M844=""),"",K844*E844*L844/(M844*1000)*100))</f>
        <v/>
      </c>
      <c r="O844" s="24">
        <f>IF($A844="","",IF(N844="","",IF(COUNTIFS('1_原始數據'!$A$2:$A$1000,$A844,'1_原始數據'!$B$2:$B$1000,$B844,'1_原始數據'!$D$2:$D$1000,$D844,'1_原始數據'!$I$2:$I$1000,$I844,'1_原始數據'!$C$2:$C$1000,"pasco_pct_acid")=0,"",SUMIFS('1_原始數據'!$E$2:$E$1000,'1_原始數據'!$A$2:$A$1000,$A844,'1_原始數據'!$B$2:$B$1000,$B844,'1_原始數據'!$D$2:$D$1000,$D844,'1_原始數據'!$I$2:$I$1000,$I844,'1_原始數據'!$C$2:$C$1000,"pasco_pct_acid"))))</f>
        <v/>
      </c>
      <c r="P844" s="26">
        <f>IF($A844="","",IF(OR(N844="",O844=""),"",O844-N844))</f>
        <v/>
      </c>
      <c r="Q844" s="24">
        <f>IF($A844="","",IF(P844="","",(O844+N844)/2))</f>
        <v/>
      </c>
      <c r="R844" s="27">
        <f>IF($A844="","",IF(P844="","",COUNT($P$2:P844)))</f>
        <v/>
      </c>
    </row>
    <row r="845">
      <c r="J845" s="24">
        <f>IF($A845="","",IF($C845&lt;&gt;"khp_titration_mL","",IF(COUNTIFS('1_原始數據'!$A$2:$A$1000,$A845,'1_原始數據'!$B$2:$B$1000,$B845,'1_原始數據'!$D$2:$D$1000,$D845,'1_原始數據'!$C$2:$C$1000,"khp_mass_g")=0,"",SUMIFS('1_原始數據'!$E$2:$E$1000,'1_原始數據'!$A$2:$A$1000,$A845,'1_原始數據'!$B$2:$B$1000,$B845,'1_原始數據'!$D$2:$D$1000,$D845,'1_原始數據'!$C$2:$C$1000,"khp_mass_g")/('2_NaOH標定'!$C$5*$E845/1000))))</f>
        <v/>
      </c>
      <c r="K845" s="24">
        <f>IF($A845="","",IF($C845&lt;&gt;"manual_titration_mL","",IF(COUNTIFS('1_原始數據'!$A$2:$A$1000,$A845,'1_原始數據'!$C$2:$C$1000,"khp_titration_mL")=0,"",AVERAGEIFS('1_原始數據'!$J$2:$J$1000,'1_原始數據'!$A$2:$A$1000,$A845,'1_原始數據'!$C$2:$C$1000,"khp_titration_mL"))))</f>
        <v/>
      </c>
      <c r="L845" s="25">
        <f>IF($A845="","",IF($C845&lt;&gt;"manual_titration_mL","",IFERROR(INDEX('3_可滴定酸度'!$E$6:$E$13,MATCH($I845,'3_可滴定酸度'!$B$6:$B$13,0)),"")))</f>
        <v/>
      </c>
      <c r="M845" s="25">
        <f>IF($A845="","",IF($C845&lt;&gt;"manual_titration_mL","",IFERROR(INDEX('3_可滴定酸度'!$F$6:$F$13,MATCH($I845,'3_可滴定酸度'!$B$6:$B$13,0)),"")))</f>
        <v/>
      </c>
      <c r="N845" s="24">
        <f>IF($A845="","",IF(OR(K845="",L845="",M845=""),"",K845*E845*L845/(M845*1000)*100))</f>
        <v/>
      </c>
      <c r="O845" s="24">
        <f>IF($A845="","",IF(N845="","",IF(COUNTIFS('1_原始數據'!$A$2:$A$1000,$A845,'1_原始數據'!$B$2:$B$1000,$B845,'1_原始數據'!$D$2:$D$1000,$D845,'1_原始數據'!$I$2:$I$1000,$I845,'1_原始數據'!$C$2:$C$1000,"pasco_pct_acid")=0,"",SUMIFS('1_原始數據'!$E$2:$E$1000,'1_原始數據'!$A$2:$A$1000,$A845,'1_原始數據'!$B$2:$B$1000,$B845,'1_原始數據'!$D$2:$D$1000,$D845,'1_原始數據'!$I$2:$I$1000,$I845,'1_原始數據'!$C$2:$C$1000,"pasco_pct_acid"))))</f>
        <v/>
      </c>
      <c r="P845" s="26">
        <f>IF($A845="","",IF(OR(N845="",O845=""),"",O845-N845))</f>
        <v/>
      </c>
      <c r="Q845" s="24">
        <f>IF($A845="","",IF(P845="","",(O845+N845)/2))</f>
        <v/>
      </c>
      <c r="R845" s="27">
        <f>IF($A845="","",IF(P845="","",COUNT($P$2:P845)))</f>
        <v/>
      </c>
    </row>
    <row r="846">
      <c r="J846" s="24">
        <f>IF($A846="","",IF($C846&lt;&gt;"khp_titration_mL","",IF(COUNTIFS('1_原始數據'!$A$2:$A$1000,$A846,'1_原始數據'!$B$2:$B$1000,$B846,'1_原始數據'!$D$2:$D$1000,$D846,'1_原始數據'!$C$2:$C$1000,"khp_mass_g")=0,"",SUMIFS('1_原始數據'!$E$2:$E$1000,'1_原始數據'!$A$2:$A$1000,$A846,'1_原始數據'!$B$2:$B$1000,$B846,'1_原始數據'!$D$2:$D$1000,$D846,'1_原始數據'!$C$2:$C$1000,"khp_mass_g")/('2_NaOH標定'!$C$5*$E846/1000))))</f>
        <v/>
      </c>
      <c r="K846" s="24">
        <f>IF($A846="","",IF($C846&lt;&gt;"manual_titration_mL","",IF(COUNTIFS('1_原始數據'!$A$2:$A$1000,$A846,'1_原始數據'!$C$2:$C$1000,"khp_titration_mL")=0,"",AVERAGEIFS('1_原始數據'!$J$2:$J$1000,'1_原始數據'!$A$2:$A$1000,$A846,'1_原始數據'!$C$2:$C$1000,"khp_titration_mL"))))</f>
        <v/>
      </c>
      <c r="L846" s="25">
        <f>IF($A846="","",IF($C846&lt;&gt;"manual_titration_mL","",IFERROR(INDEX('3_可滴定酸度'!$E$6:$E$13,MATCH($I846,'3_可滴定酸度'!$B$6:$B$13,0)),"")))</f>
        <v/>
      </c>
      <c r="M846" s="25">
        <f>IF($A846="","",IF($C846&lt;&gt;"manual_titration_mL","",IFERROR(INDEX('3_可滴定酸度'!$F$6:$F$13,MATCH($I846,'3_可滴定酸度'!$B$6:$B$13,0)),"")))</f>
        <v/>
      </c>
      <c r="N846" s="24">
        <f>IF($A846="","",IF(OR(K846="",L846="",M846=""),"",K846*E846*L846/(M846*1000)*100))</f>
        <v/>
      </c>
      <c r="O846" s="24">
        <f>IF($A846="","",IF(N846="","",IF(COUNTIFS('1_原始數據'!$A$2:$A$1000,$A846,'1_原始數據'!$B$2:$B$1000,$B846,'1_原始數據'!$D$2:$D$1000,$D846,'1_原始數據'!$I$2:$I$1000,$I846,'1_原始數據'!$C$2:$C$1000,"pasco_pct_acid")=0,"",SUMIFS('1_原始數據'!$E$2:$E$1000,'1_原始數據'!$A$2:$A$1000,$A846,'1_原始數據'!$B$2:$B$1000,$B846,'1_原始數據'!$D$2:$D$1000,$D846,'1_原始數據'!$I$2:$I$1000,$I846,'1_原始數據'!$C$2:$C$1000,"pasco_pct_acid"))))</f>
        <v/>
      </c>
      <c r="P846" s="26">
        <f>IF($A846="","",IF(OR(N846="",O846=""),"",O846-N846))</f>
        <v/>
      </c>
      <c r="Q846" s="24">
        <f>IF($A846="","",IF(P846="","",(O846+N846)/2))</f>
        <v/>
      </c>
      <c r="R846" s="27">
        <f>IF($A846="","",IF(P846="","",COUNT($P$2:P846)))</f>
        <v/>
      </c>
    </row>
    <row r="847">
      <c r="J847" s="24">
        <f>IF($A847="","",IF($C847&lt;&gt;"khp_titration_mL","",IF(COUNTIFS('1_原始數據'!$A$2:$A$1000,$A847,'1_原始數據'!$B$2:$B$1000,$B847,'1_原始數據'!$D$2:$D$1000,$D847,'1_原始數據'!$C$2:$C$1000,"khp_mass_g")=0,"",SUMIFS('1_原始數據'!$E$2:$E$1000,'1_原始數據'!$A$2:$A$1000,$A847,'1_原始數據'!$B$2:$B$1000,$B847,'1_原始數據'!$D$2:$D$1000,$D847,'1_原始數據'!$C$2:$C$1000,"khp_mass_g")/('2_NaOH標定'!$C$5*$E847/1000))))</f>
        <v/>
      </c>
      <c r="K847" s="24">
        <f>IF($A847="","",IF($C847&lt;&gt;"manual_titration_mL","",IF(COUNTIFS('1_原始數據'!$A$2:$A$1000,$A847,'1_原始數據'!$C$2:$C$1000,"khp_titration_mL")=0,"",AVERAGEIFS('1_原始數據'!$J$2:$J$1000,'1_原始數據'!$A$2:$A$1000,$A847,'1_原始數據'!$C$2:$C$1000,"khp_titration_mL"))))</f>
        <v/>
      </c>
      <c r="L847" s="25">
        <f>IF($A847="","",IF($C847&lt;&gt;"manual_titration_mL","",IFERROR(INDEX('3_可滴定酸度'!$E$6:$E$13,MATCH($I847,'3_可滴定酸度'!$B$6:$B$13,0)),"")))</f>
        <v/>
      </c>
      <c r="M847" s="25">
        <f>IF($A847="","",IF($C847&lt;&gt;"manual_titration_mL","",IFERROR(INDEX('3_可滴定酸度'!$F$6:$F$13,MATCH($I847,'3_可滴定酸度'!$B$6:$B$13,0)),"")))</f>
        <v/>
      </c>
      <c r="N847" s="24">
        <f>IF($A847="","",IF(OR(K847="",L847="",M847=""),"",K847*E847*L847/(M847*1000)*100))</f>
        <v/>
      </c>
      <c r="O847" s="24">
        <f>IF($A847="","",IF(N847="","",IF(COUNTIFS('1_原始數據'!$A$2:$A$1000,$A847,'1_原始數據'!$B$2:$B$1000,$B847,'1_原始數據'!$D$2:$D$1000,$D847,'1_原始數據'!$I$2:$I$1000,$I847,'1_原始數據'!$C$2:$C$1000,"pasco_pct_acid")=0,"",SUMIFS('1_原始數據'!$E$2:$E$1000,'1_原始數據'!$A$2:$A$1000,$A847,'1_原始數據'!$B$2:$B$1000,$B847,'1_原始數據'!$D$2:$D$1000,$D847,'1_原始數據'!$I$2:$I$1000,$I847,'1_原始數據'!$C$2:$C$1000,"pasco_pct_acid"))))</f>
        <v/>
      </c>
      <c r="P847" s="26">
        <f>IF($A847="","",IF(OR(N847="",O847=""),"",O847-N847))</f>
        <v/>
      </c>
      <c r="Q847" s="24">
        <f>IF($A847="","",IF(P847="","",(O847+N847)/2))</f>
        <v/>
      </c>
      <c r="R847" s="27">
        <f>IF($A847="","",IF(P847="","",COUNT($P$2:P847)))</f>
        <v/>
      </c>
    </row>
    <row r="848">
      <c r="J848" s="24">
        <f>IF($A848="","",IF($C848&lt;&gt;"khp_titration_mL","",IF(COUNTIFS('1_原始數據'!$A$2:$A$1000,$A848,'1_原始數據'!$B$2:$B$1000,$B848,'1_原始數據'!$D$2:$D$1000,$D848,'1_原始數據'!$C$2:$C$1000,"khp_mass_g")=0,"",SUMIFS('1_原始數據'!$E$2:$E$1000,'1_原始數據'!$A$2:$A$1000,$A848,'1_原始數據'!$B$2:$B$1000,$B848,'1_原始數據'!$D$2:$D$1000,$D848,'1_原始數據'!$C$2:$C$1000,"khp_mass_g")/('2_NaOH標定'!$C$5*$E848/1000))))</f>
        <v/>
      </c>
      <c r="K848" s="24">
        <f>IF($A848="","",IF($C848&lt;&gt;"manual_titration_mL","",IF(COUNTIFS('1_原始數據'!$A$2:$A$1000,$A848,'1_原始數據'!$C$2:$C$1000,"khp_titration_mL")=0,"",AVERAGEIFS('1_原始數據'!$J$2:$J$1000,'1_原始數據'!$A$2:$A$1000,$A848,'1_原始數據'!$C$2:$C$1000,"khp_titration_mL"))))</f>
        <v/>
      </c>
      <c r="L848" s="25">
        <f>IF($A848="","",IF($C848&lt;&gt;"manual_titration_mL","",IFERROR(INDEX('3_可滴定酸度'!$E$6:$E$13,MATCH($I848,'3_可滴定酸度'!$B$6:$B$13,0)),"")))</f>
        <v/>
      </c>
      <c r="M848" s="25">
        <f>IF($A848="","",IF($C848&lt;&gt;"manual_titration_mL","",IFERROR(INDEX('3_可滴定酸度'!$F$6:$F$13,MATCH($I848,'3_可滴定酸度'!$B$6:$B$13,0)),"")))</f>
        <v/>
      </c>
      <c r="N848" s="24">
        <f>IF($A848="","",IF(OR(K848="",L848="",M848=""),"",K848*E848*L848/(M848*1000)*100))</f>
        <v/>
      </c>
      <c r="O848" s="24">
        <f>IF($A848="","",IF(N848="","",IF(COUNTIFS('1_原始數據'!$A$2:$A$1000,$A848,'1_原始數據'!$B$2:$B$1000,$B848,'1_原始數據'!$D$2:$D$1000,$D848,'1_原始數據'!$I$2:$I$1000,$I848,'1_原始數據'!$C$2:$C$1000,"pasco_pct_acid")=0,"",SUMIFS('1_原始數據'!$E$2:$E$1000,'1_原始數據'!$A$2:$A$1000,$A848,'1_原始數據'!$B$2:$B$1000,$B848,'1_原始數據'!$D$2:$D$1000,$D848,'1_原始數據'!$I$2:$I$1000,$I848,'1_原始數據'!$C$2:$C$1000,"pasco_pct_acid"))))</f>
        <v/>
      </c>
      <c r="P848" s="26">
        <f>IF($A848="","",IF(OR(N848="",O848=""),"",O848-N848))</f>
        <v/>
      </c>
      <c r="Q848" s="24">
        <f>IF($A848="","",IF(P848="","",(O848+N848)/2))</f>
        <v/>
      </c>
      <c r="R848" s="27">
        <f>IF($A848="","",IF(P848="","",COUNT($P$2:P848)))</f>
        <v/>
      </c>
    </row>
    <row r="849">
      <c r="J849" s="24">
        <f>IF($A849="","",IF($C849&lt;&gt;"khp_titration_mL","",IF(COUNTIFS('1_原始數據'!$A$2:$A$1000,$A849,'1_原始數據'!$B$2:$B$1000,$B849,'1_原始數據'!$D$2:$D$1000,$D849,'1_原始數據'!$C$2:$C$1000,"khp_mass_g")=0,"",SUMIFS('1_原始數據'!$E$2:$E$1000,'1_原始數據'!$A$2:$A$1000,$A849,'1_原始數據'!$B$2:$B$1000,$B849,'1_原始數據'!$D$2:$D$1000,$D849,'1_原始數據'!$C$2:$C$1000,"khp_mass_g")/('2_NaOH標定'!$C$5*$E849/1000))))</f>
        <v/>
      </c>
      <c r="K849" s="24">
        <f>IF($A849="","",IF($C849&lt;&gt;"manual_titration_mL","",IF(COUNTIFS('1_原始數據'!$A$2:$A$1000,$A849,'1_原始數據'!$C$2:$C$1000,"khp_titration_mL")=0,"",AVERAGEIFS('1_原始數據'!$J$2:$J$1000,'1_原始數據'!$A$2:$A$1000,$A849,'1_原始數據'!$C$2:$C$1000,"khp_titration_mL"))))</f>
        <v/>
      </c>
      <c r="L849" s="25">
        <f>IF($A849="","",IF($C849&lt;&gt;"manual_titration_mL","",IFERROR(INDEX('3_可滴定酸度'!$E$6:$E$13,MATCH($I849,'3_可滴定酸度'!$B$6:$B$13,0)),"")))</f>
        <v/>
      </c>
      <c r="M849" s="25">
        <f>IF($A849="","",IF($C849&lt;&gt;"manual_titration_mL","",IFERROR(INDEX('3_可滴定酸度'!$F$6:$F$13,MATCH($I849,'3_可滴定酸度'!$B$6:$B$13,0)),"")))</f>
        <v/>
      </c>
      <c r="N849" s="24">
        <f>IF($A849="","",IF(OR(K849="",L849="",M849=""),"",K849*E849*L849/(M849*1000)*100))</f>
        <v/>
      </c>
      <c r="O849" s="24">
        <f>IF($A849="","",IF(N849="","",IF(COUNTIFS('1_原始數據'!$A$2:$A$1000,$A849,'1_原始數據'!$B$2:$B$1000,$B849,'1_原始數據'!$D$2:$D$1000,$D849,'1_原始數據'!$I$2:$I$1000,$I849,'1_原始數據'!$C$2:$C$1000,"pasco_pct_acid")=0,"",SUMIFS('1_原始數據'!$E$2:$E$1000,'1_原始數據'!$A$2:$A$1000,$A849,'1_原始數據'!$B$2:$B$1000,$B849,'1_原始數據'!$D$2:$D$1000,$D849,'1_原始數據'!$I$2:$I$1000,$I849,'1_原始數據'!$C$2:$C$1000,"pasco_pct_acid"))))</f>
        <v/>
      </c>
      <c r="P849" s="26">
        <f>IF($A849="","",IF(OR(N849="",O849=""),"",O849-N849))</f>
        <v/>
      </c>
      <c r="Q849" s="24">
        <f>IF($A849="","",IF(P849="","",(O849+N849)/2))</f>
        <v/>
      </c>
      <c r="R849" s="27">
        <f>IF($A849="","",IF(P849="","",COUNT($P$2:P849)))</f>
        <v/>
      </c>
    </row>
    <row r="850">
      <c r="J850" s="24">
        <f>IF($A850="","",IF($C850&lt;&gt;"khp_titration_mL","",IF(COUNTIFS('1_原始數據'!$A$2:$A$1000,$A850,'1_原始數據'!$B$2:$B$1000,$B850,'1_原始數據'!$D$2:$D$1000,$D850,'1_原始數據'!$C$2:$C$1000,"khp_mass_g")=0,"",SUMIFS('1_原始數據'!$E$2:$E$1000,'1_原始數據'!$A$2:$A$1000,$A850,'1_原始數據'!$B$2:$B$1000,$B850,'1_原始數據'!$D$2:$D$1000,$D850,'1_原始數據'!$C$2:$C$1000,"khp_mass_g")/('2_NaOH標定'!$C$5*$E850/1000))))</f>
        <v/>
      </c>
      <c r="K850" s="24">
        <f>IF($A850="","",IF($C850&lt;&gt;"manual_titration_mL","",IF(COUNTIFS('1_原始數據'!$A$2:$A$1000,$A850,'1_原始數據'!$C$2:$C$1000,"khp_titration_mL")=0,"",AVERAGEIFS('1_原始數據'!$J$2:$J$1000,'1_原始數據'!$A$2:$A$1000,$A850,'1_原始數據'!$C$2:$C$1000,"khp_titration_mL"))))</f>
        <v/>
      </c>
      <c r="L850" s="25">
        <f>IF($A850="","",IF($C850&lt;&gt;"manual_titration_mL","",IFERROR(INDEX('3_可滴定酸度'!$E$6:$E$13,MATCH($I850,'3_可滴定酸度'!$B$6:$B$13,0)),"")))</f>
        <v/>
      </c>
      <c r="M850" s="25">
        <f>IF($A850="","",IF($C850&lt;&gt;"manual_titration_mL","",IFERROR(INDEX('3_可滴定酸度'!$F$6:$F$13,MATCH($I850,'3_可滴定酸度'!$B$6:$B$13,0)),"")))</f>
        <v/>
      </c>
      <c r="N850" s="24">
        <f>IF($A850="","",IF(OR(K850="",L850="",M850=""),"",K850*E850*L850/(M850*1000)*100))</f>
        <v/>
      </c>
      <c r="O850" s="24">
        <f>IF($A850="","",IF(N850="","",IF(COUNTIFS('1_原始數據'!$A$2:$A$1000,$A850,'1_原始數據'!$B$2:$B$1000,$B850,'1_原始數據'!$D$2:$D$1000,$D850,'1_原始數據'!$I$2:$I$1000,$I850,'1_原始數據'!$C$2:$C$1000,"pasco_pct_acid")=0,"",SUMIFS('1_原始數據'!$E$2:$E$1000,'1_原始數據'!$A$2:$A$1000,$A850,'1_原始數據'!$B$2:$B$1000,$B850,'1_原始數據'!$D$2:$D$1000,$D850,'1_原始數據'!$I$2:$I$1000,$I850,'1_原始數據'!$C$2:$C$1000,"pasco_pct_acid"))))</f>
        <v/>
      </c>
      <c r="P850" s="26">
        <f>IF($A850="","",IF(OR(N850="",O850=""),"",O850-N850))</f>
        <v/>
      </c>
      <c r="Q850" s="24">
        <f>IF($A850="","",IF(P850="","",(O850+N850)/2))</f>
        <v/>
      </c>
      <c r="R850" s="27">
        <f>IF($A850="","",IF(P850="","",COUNT($P$2:P850)))</f>
        <v/>
      </c>
    </row>
    <row r="851">
      <c r="J851" s="24">
        <f>IF($A851="","",IF($C851&lt;&gt;"khp_titration_mL","",IF(COUNTIFS('1_原始數據'!$A$2:$A$1000,$A851,'1_原始數據'!$B$2:$B$1000,$B851,'1_原始數據'!$D$2:$D$1000,$D851,'1_原始數據'!$C$2:$C$1000,"khp_mass_g")=0,"",SUMIFS('1_原始數據'!$E$2:$E$1000,'1_原始數據'!$A$2:$A$1000,$A851,'1_原始數據'!$B$2:$B$1000,$B851,'1_原始數據'!$D$2:$D$1000,$D851,'1_原始數據'!$C$2:$C$1000,"khp_mass_g")/('2_NaOH標定'!$C$5*$E851/1000))))</f>
        <v/>
      </c>
      <c r="K851" s="24">
        <f>IF($A851="","",IF($C851&lt;&gt;"manual_titration_mL","",IF(COUNTIFS('1_原始數據'!$A$2:$A$1000,$A851,'1_原始數據'!$C$2:$C$1000,"khp_titration_mL")=0,"",AVERAGEIFS('1_原始數據'!$J$2:$J$1000,'1_原始數據'!$A$2:$A$1000,$A851,'1_原始數據'!$C$2:$C$1000,"khp_titration_mL"))))</f>
        <v/>
      </c>
      <c r="L851" s="25">
        <f>IF($A851="","",IF($C851&lt;&gt;"manual_titration_mL","",IFERROR(INDEX('3_可滴定酸度'!$E$6:$E$13,MATCH($I851,'3_可滴定酸度'!$B$6:$B$13,0)),"")))</f>
        <v/>
      </c>
      <c r="M851" s="25">
        <f>IF($A851="","",IF($C851&lt;&gt;"manual_titration_mL","",IFERROR(INDEX('3_可滴定酸度'!$F$6:$F$13,MATCH($I851,'3_可滴定酸度'!$B$6:$B$13,0)),"")))</f>
        <v/>
      </c>
      <c r="N851" s="24">
        <f>IF($A851="","",IF(OR(K851="",L851="",M851=""),"",K851*E851*L851/(M851*1000)*100))</f>
        <v/>
      </c>
      <c r="O851" s="24">
        <f>IF($A851="","",IF(N851="","",IF(COUNTIFS('1_原始數據'!$A$2:$A$1000,$A851,'1_原始數據'!$B$2:$B$1000,$B851,'1_原始數據'!$D$2:$D$1000,$D851,'1_原始數據'!$I$2:$I$1000,$I851,'1_原始數據'!$C$2:$C$1000,"pasco_pct_acid")=0,"",SUMIFS('1_原始數據'!$E$2:$E$1000,'1_原始數據'!$A$2:$A$1000,$A851,'1_原始數據'!$B$2:$B$1000,$B851,'1_原始數據'!$D$2:$D$1000,$D851,'1_原始數據'!$I$2:$I$1000,$I851,'1_原始數據'!$C$2:$C$1000,"pasco_pct_acid"))))</f>
        <v/>
      </c>
      <c r="P851" s="26">
        <f>IF($A851="","",IF(OR(N851="",O851=""),"",O851-N851))</f>
        <v/>
      </c>
      <c r="Q851" s="24">
        <f>IF($A851="","",IF(P851="","",(O851+N851)/2))</f>
        <v/>
      </c>
      <c r="R851" s="27">
        <f>IF($A851="","",IF(P851="","",COUNT($P$2:P851)))</f>
        <v/>
      </c>
    </row>
    <row r="852">
      <c r="J852" s="24">
        <f>IF($A852="","",IF($C852&lt;&gt;"khp_titration_mL","",IF(COUNTIFS('1_原始數據'!$A$2:$A$1000,$A852,'1_原始數據'!$B$2:$B$1000,$B852,'1_原始數據'!$D$2:$D$1000,$D852,'1_原始數據'!$C$2:$C$1000,"khp_mass_g")=0,"",SUMIFS('1_原始數據'!$E$2:$E$1000,'1_原始數據'!$A$2:$A$1000,$A852,'1_原始數據'!$B$2:$B$1000,$B852,'1_原始數據'!$D$2:$D$1000,$D852,'1_原始數據'!$C$2:$C$1000,"khp_mass_g")/('2_NaOH標定'!$C$5*$E852/1000))))</f>
        <v/>
      </c>
      <c r="K852" s="24">
        <f>IF($A852="","",IF($C852&lt;&gt;"manual_titration_mL","",IF(COUNTIFS('1_原始數據'!$A$2:$A$1000,$A852,'1_原始數據'!$C$2:$C$1000,"khp_titration_mL")=0,"",AVERAGEIFS('1_原始數據'!$J$2:$J$1000,'1_原始數據'!$A$2:$A$1000,$A852,'1_原始數據'!$C$2:$C$1000,"khp_titration_mL"))))</f>
        <v/>
      </c>
      <c r="L852" s="25">
        <f>IF($A852="","",IF($C852&lt;&gt;"manual_titration_mL","",IFERROR(INDEX('3_可滴定酸度'!$E$6:$E$13,MATCH($I852,'3_可滴定酸度'!$B$6:$B$13,0)),"")))</f>
        <v/>
      </c>
      <c r="M852" s="25">
        <f>IF($A852="","",IF($C852&lt;&gt;"manual_titration_mL","",IFERROR(INDEX('3_可滴定酸度'!$F$6:$F$13,MATCH($I852,'3_可滴定酸度'!$B$6:$B$13,0)),"")))</f>
        <v/>
      </c>
      <c r="N852" s="24">
        <f>IF($A852="","",IF(OR(K852="",L852="",M852=""),"",K852*E852*L852/(M852*1000)*100))</f>
        <v/>
      </c>
      <c r="O852" s="24">
        <f>IF($A852="","",IF(N852="","",IF(COUNTIFS('1_原始數據'!$A$2:$A$1000,$A852,'1_原始數據'!$B$2:$B$1000,$B852,'1_原始數據'!$D$2:$D$1000,$D852,'1_原始數據'!$I$2:$I$1000,$I852,'1_原始數據'!$C$2:$C$1000,"pasco_pct_acid")=0,"",SUMIFS('1_原始數據'!$E$2:$E$1000,'1_原始數據'!$A$2:$A$1000,$A852,'1_原始數據'!$B$2:$B$1000,$B852,'1_原始數據'!$D$2:$D$1000,$D852,'1_原始數據'!$I$2:$I$1000,$I852,'1_原始數據'!$C$2:$C$1000,"pasco_pct_acid"))))</f>
        <v/>
      </c>
      <c r="P852" s="26">
        <f>IF($A852="","",IF(OR(N852="",O852=""),"",O852-N852))</f>
        <v/>
      </c>
      <c r="Q852" s="24">
        <f>IF($A852="","",IF(P852="","",(O852+N852)/2))</f>
        <v/>
      </c>
      <c r="R852" s="27">
        <f>IF($A852="","",IF(P852="","",COUNT($P$2:P852)))</f>
        <v/>
      </c>
    </row>
    <row r="853">
      <c r="J853" s="24">
        <f>IF($A853="","",IF($C853&lt;&gt;"khp_titration_mL","",IF(COUNTIFS('1_原始數據'!$A$2:$A$1000,$A853,'1_原始數據'!$B$2:$B$1000,$B853,'1_原始數據'!$D$2:$D$1000,$D853,'1_原始數據'!$C$2:$C$1000,"khp_mass_g")=0,"",SUMIFS('1_原始數據'!$E$2:$E$1000,'1_原始數據'!$A$2:$A$1000,$A853,'1_原始數據'!$B$2:$B$1000,$B853,'1_原始數據'!$D$2:$D$1000,$D853,'1_原始數據'!$C$2:$C$1000,"khp_mass_g")/('2_NaOH標定'!$C$5*$E853/1000))))</f>
        <v/>
      </c>
      <c r="K853" s="24">
        <f>IF($A853="","",IF($C853&lt;&gt;"manual_titration_mL","",IF(COUNTIFS('1_原始數據'!$A$2:$A$1000,$A853,'1_原始數據'!$C$2:$C$1000,"khp_titration_mL")=0,"",AVERAGEIFS('1_原始數據'!$J$2:$J$1000,'1_原始數據'!$A$2:$A$1000,$A853,'1_原始數據'!$C$2:$C$1000,"khp_titration_mL"))))</f>
        <v/>
      </c>
      <c r="L853" s="25">
        <f>IF($A853="","",IF($C853&lt;&gt;"manual_titration_mL","",IFERROR(INDEX('3_可滴定酸度'!$E$6:$E$13,MATCH($I853,'3_可滴定酸度'!$B$6:$B$13,0)),"")))</f>
        <v/>
      </c>
      <c r="M853" s="25">
        <f>IF($A853="","",IF($C853&lt;&gt;"manual_titration_mL","",IFERROR(INDEX('3_可滴定酸度'!$F$6:$F$13,MATCH($I853,'3_可滴定酸度'!$B$6:$B$13,0)),"")))</f>
        <v/>
      </c>
      <c r="N853" s="24">
        <f>IF($A853="","",IF(OR(K853="",L853="",M853=""),"",K853*E853*L853/(M853*1000)*100))</f>
        <v/>
      </c>
      <c r="O853" s="24">
        <f>IF($A853="","",IF(N853="","",IF(COUNTIFS('1_原始數據'!$A$2:$A$1000,$A853,'1_原始數據'!$B$2:$B$1000,$B853,'1_原始數據'!$D$2:$D$1000,$D853,'1_原始數據'!$I$2:$I$1000,$I853,'1_原始數據'!$C$2:$C$1000,"pasco_pct_acid")=0,"",SUMIFS('1_原始數據'!$E$2:$E$1000,'1_原始數據'!$A$2:$A$1000,$A853,'1_原始數據'!$B$2:$B$1000,$B853,'1_原始數據'!$D$2:$D$1000,$D853,'1_原始數據'!$I$2:$I$1000,$I853,'1_原始數據'!$C$2:$C$1000,"pasco_pct_acid"))))</f>
        <v/>
      </c>
      <c r="P853" s="26">
        <f>IF($A853="","",IF(OR(N853="",O853=""),"",O853-N853))</f>
        <v/>
      </c>
      <c r="Q853" s="24">
        <f>IF($A853="","",IF(P853="","",(O853+N853)/2))</f>
        <v/>
      </c>
      <c r="R853" s="27">
        <f>IF($A853="","",IF(P853="","",COUNT($P$2:P853)))</f>
        <v/>
      </c>
    </row>
    <row r="854">
      <c r="J854" s="24">
        <f>IF($A854="","",IF($C854&lt;&gt;"khp_titration_mL","",IF(COUNTIFS('1_原始數據'!$A$2:$A$1000,$A854,'1_原始數據'!$B$2:$B$1000,$B854,'1_原始數據'!$D$2:$D$1000,$D854,'1_原始數據'!$C$2:$C$1000,"khp_mass_g")=0,"",SUMIFS('1_原始數據'!$E$2:$E$1000,'1_原始數據'!$A$2:$A$1000,$A854,'1_原始數據'!$B$2:$B$1000,$B854,'1_原始數據'!$D$2:$D$1000,$D854,'1_原始數據'!$C$2:$C$1000,"khp_mass_g")/('2_NaOH標定'!$C$5*$E854/1000))))</f>
        <v/>
      </c>
      <c r="K854" s="24">
        <f>IF($A854="","",IF($C854&lt;&gt;"manual_titration_mL","",IF(COUNTIFS('1_原始數據'!$A$2:$A$1000,$A854,'1_原始數據'!$C$2:$C$1000,"khp_titration_mL")=0,"",AVERAGEIFS('1_原始數據'!$J$2:$J$1000,'1_原始數據'!$A$2:$A$1000,$A854,'1_原始數據'!$C$2:$C$1000,"khp_titration_mL"))))</f>
        <v/>
      </c>
      <c r="L854" s="25">
        <f>IF($A854="","",IF($C854&lt;&gt;"manual_titration_mL","",IFERROR(INDEX('3_可滴定酸度'!$E$6:$E$13,MATCH($I854,'3_可滴定酸度'!$B$6:$B$13,0)),"")))</f>
        <v/>
      </c>
      <c r="M854" s="25">
        <f>IF($A854="","",IF($C854&lt;&gt;"manual_titration_mL","",IFERROR(INDEX('3_可滴定酸度'!$F$6:$F$13,MATCH($I854,'3_可滴定酸度'!$B$6:$B$13,0)),"")))</f>
        <v/>
      </c>
      <c r="N854" s="24">
        <f>IF($A854="","",IF(OR(K854="",L854="",M854=""),"",K854*E854*L854/(M854*1000)*100))</f>
        <v/>
      </c>
      <c r="O854" s="24">
        <f>IF($A854="","",IF(N854="","",IF(COUNTIFS('1_原始數據'!$A$2:$A$1000,$A854,'1_原始數據'!$B$2:$B$1000,$B854,'1_原始數據'!$D$2:$D$1000,$D854,'1_原始數據'!$I$2:$I$1000,$I854,'1_原始數據'!$C$2:$C$1000,"pasco_pct_acid")=0,"",SUMIFS('1_原始數據'!$E$2:$E$1000,'1_原始數據'!$A$2:$A$1000,$A854,'1_原始數據'!$B$2:$B$1000,$B854,'1_原始數據'!$D$2:$D$1000,$D854,'1_原始數據'!$I$2:$I$1000,$I854,'1_原始數據'!$C$2:$C$1000,"pasco_pct_acid"))))</f>
        <v/>
      </c>
      <c r="P854" s="26">
        <f>IF($A854="","",IF(OR(N854="",O854=""),"",O854-N854))</f>
        <v/>
      </c>
      <c r="Q854" s="24">
        <f>IF($A854="","",IF(P854="","",(O854+N854)/2))</f>
        <v/>
      </c>
      <c r="R854" s="27">
        <f>IF($A854="","",IF(P854="","",COUNT($P$2:P854)))</f>
        <v/>
      </c>
    </row>
    <row r="855">
      <c r="J855" s="24">
        <f>IF($A855="","",IF($C855&lt;&gt;"khp_titration_mL","",IF(COUNTIFS('1_原始數據'!$A$2:$A$1000,$A855,'1_原始數據'!$B$2:$B$1000,$B855,'1_原始數據'!$D$2:$D$1000,$D855,'1_原始數據'!$C$2:$C$1000,"khp_mass_g")=0,"",SUMIFS('1_原始數據'!$E$2:$E$1000,'1_原始數據'!$A$2:$A$1000,$A855,'1_原始數據'!$B$2:$B$1000,$B855,'1_原始數據'!$D$2:$D$1000,$D855,'1_原始數據'!$C$2:$C$1000,"khp_mass_g")/('2_NaOH標定'!$C$5*$E855/1000))))</f>
        <v/>
      </c>
      <c r="K855" s="24">
        <f>IF($A855="","",IF($C855&lt;&gt;"manual_titration_mL","",IF(COUNTIFS('1_原始數據'!$A$2:$A$1000,$A855,'1_原始數據'!$C$2:$C$1000,"khp_titration_mL")=0,"",AVERAGEIFS('1_原始數據'!$J$2:$J$1000,'1_原始數據'!$A$2:$A$1000,$A855,'1_原始數據'!$C$2:$C$1000,"khp_titration_mL"))))</f>
        <v/>
      </c>
      <c r="L855" s="25">
        <f>IF($A855="","",IF($C855&lt;&gt;"manual_titration_mL","",IFERROR(INDEX('3_可滴定酸度'!$E$6:$E$13,MATCH($I855,'3_可滴定酸度'!$B$6:$B$13,0)),"")))</f>
        <v/>
      </c>
      <c r="M855" s="25">
        <f>IF($A855="","",IF($C855&lt;&gt;"manual_titration_mL","",IFERROR(INDEX('3_可滴定酸度'!$F$6:$F$13,MATCH($I855,'3_可滴定酸度'!$B$6:$B$13,0)),"")))</f>
        <v/>
      </c>
      <c r="N855" s="24">
        <f>IF($A855="","",IF(OR(K855="",L855="",M855=""),"",K855*E855*L855/(M855*1000)*100))</f>
        <v/>
      </c>
      <c r="O855" s="24">
        <f>IF($A855="","",IF(N855="","",IF(COUNTIFS('1_原始數據'!$A$2:$A$1000,$A855,'1_原始數據'!$B$2:$B$1000,$B855,'1_原始數據'!$D$2:$D$1000,$D855,'1_原始數據'!$I$2:$I$1000,$I855,'1_原始數據'!$C$2:$C$1000,"pasco_pct_acid")=0,"",SUMIFS('1_原始數據'!$E$2:$E$1000,'1_原始數據'!$A$2:$A$1000,$A855,'1_原始數據'!$B$2:$B$1000,$B855,'1_原始數據'!$D$2:$D$1000,$D855,'1_原始數據'!$I$2:$I$1000,$I855,'1_原始數據'!$C$2:$C$1000,"pasco_pct_acid"))))</f>
        <v/>
      </c>
      <c r="P855" s="26">
        <f>IF($A855="","",IF(OR(N855="",O855=""),"",O855-N855))</f>
        <v/>
      </c>
      <c r="Q855" s="24">
        <f>IF($A855="","",IF(P855="","",(O855+N855)/2))</f>
        <v/>
      </c>
      <c r="R855" s="27">
        <f>IF($A855="","",IF(P855="","",COUNT($P$2:P855)))</f>
        <v/>
      </c>
    </row>
    <row r="856">
      <c r="J856" s="24">
        <f>IF($A856="","",IF($C856&lt;&gt;"khp_titration_mL","",IF(COUNTIFS('1_原始數據'!$A$2:$A$1000,$A856,'1_原始數據'!$B$2:$B$1000,$B856,'1_原始數據'!$D$2:$D$1000,$D856,'1_原始數據'!$C$2:$C$1000,"khp_mass_g")=0,"",SUMIFS('1_原始數據'!$E$2:$E$1000,'1_原始數據'!$A$2:$A$1000,$A856,'1_原始數據'!$B$2:$B$1000,$B856,'1_原始數據'!$D$2:$D$1000,$D856,'1_原始數據'!$C$2:$C$1000,"khp_mass_g")/('2_NaOH標定'!$C$5*$E856/1000))))</f>
        <v/>
      </c>
      <c r="K856" s="24">
        <f>IF($A856="","",IF($C856&lt;&gt;"manual_titration_mL","",IF(COUNTIFS('1_原始數據'!$A$2:$A$1000,$A856,'1_原始數據'!$C$2:$C$1000,"khp_titration_mL")=0,"",AVERAGEIFS('1_原始數據'!$J$2:$J$1000,'1_原始數據'!$A$2:$A$1000,$A856,'1_原始數據'!$C$2:$C$1000,"khp_titration_mL"))))</f>
        <v/>
      </c>
      <c r="L856" s="25">
        <f>IF($A856="","",IF($C856&lt;&gt;"manual_titration_mL","",IFERROR(INDEX('3_可滴定酸度'!$E$6:$E$13,MATCH($I856,'3_可滴定酸度'!$B$6:$B$13,0)),"")))</f>
        <v/>
      </c>
      <c r="M856" s="25">
        <f>IF($A856="","",IF($C856&lt;&gt;"manual_titration_mL","",IFERROR(INDEX('3_可滴定酸度'!$F$6:$F$13,MATCH($I856,'3_可滴定酸度'!$B$6:$B$13,0)),"")))</f>
        <v/>
      </c>
      <c r="N856" s="24">
        <f>IF($A856="","",IF(OR(K856="",L856="",M856=""),"",K856*E856*L856/(M856*1000)*100))</f>
        <v/>
      </c>
      <c r="O856" s="24">
        <f>IF($A856="","",IF(N856="","",IF(COUNTIFS('1_原始數據'!$A$2:$A$1000,$A856,'1_原始數據'!$B$2:$B$1000,$B856,'1_原始數據'!$D$2:$D$1000,$D856,'1_原始數據'!$I$2:$I$1000,$I856,'1_原始數據'!$C$2:$C$1000,"pasco_pct_acid")=0,"",SUMIFS('1_原始數據'!$E$2:$E$1000,'1_原始數據'!$A$2:$A$1000,$A856,'1_原始數據'!$B$2:$B$1000,$B856,'1_原始數據'!$D$2:$D$1000,$D856,'1_原始數據'!$I$2:$I$1000,$I856,'1_原始數據'!$C$2:$C$1000,"pasco_pct_acid"))))</f>
        <v/>
      </c>
      <c r="P856" s="26">
        <f>IF($A856="","",IF(OR(N856="",O856=""),"",O856-N856))</f>
        <v/>
      </c>
      <c r="Q856" s="24">
        <f>IF($A856="","",IF(P856="","",(O856+N856)/2))</f>
        <v/>
      </c>
      <c r="R856" s="27">
        <f>IF($A856="","",IF(P856="","",COUNT($P$2:P856)))</f>
        <v/>
      </c>
    </row>
    <row r="857">
      <c r="J857" s="24">
        <f>IF($A857="","",IF($C857&lt;&gt;"khp_titration_mL","",IF(COUNTIFS('1_原始數據'!$A$2:$A$1000,$A857,'1_原始數據'!$B$2:$B$1000,$B857,'1_原始數據'!$D$2:$D$1000,$D857,'1_原始數據'!$C$2:$C$1000,"khp_mass_g")=0,"",SUMIFS('1_原始數據'!$E$2:$E$1000,'1_原始數據'!$A$2:$A$1000,$A857,'1_原始數據'!$B$2:$B$1000,$B857,'1_原始數據'!$D$2:$D$1000,$D857,'1_原始數據'!$C$2:$C$1000,"khp_mass_g")/('2_NaOH標定'!$C$5*$E857/1000))))</f>
        <v/>
      </c>
      <c r="K857" s="24">
        <f>IF($A857="","",IF($C857&lt;&gt;"manual_titration_mL","",IF(COUNTIFS('1_原始數據'!$A$2:$A$1000,$A857,'1_原始數據'!$C$2:$C$1000,"khp_titration_mL")=0,"",AVERAGEIFS('1_原始數據'!$J$2:$J$1000,'1_原始數據'!$A$2:$A$1000,$A857,'1_原始數據'!$C$2:$C$1000,"khp_titration_mL"))))</f>
        <v/>
      </c>
      <c r="L857" s="25">
        <f>IF($A857="","",IF($C857&lt;&gt;"manual_titration_mL","",IFERROR(INDEX('3_可滴定酸度'!$E$6:$E$13,MATCH($I857,'3_可滴定酸度'!$B$6:$B$13,0)),"")))</f>
        <v/>
      </c>
      <c r="M857" s="25">
        <f>IF($A857="","",IF($C857&lt;&gt;"manual_titration_mL","",IFERROR(INDEX('3_可滴定酸度'!$F$6:$F$13,MATCH($I857,'3_可滴定酸度'!$B$6:$B$13,0)),"")))</f>
        <v/>
      </c>
      <c r="N857" s="24">
        <f>IF($A857="","",IF(OR(K857="",L857="",M857=""),"",K857*E857*L857/(M857*1000)*100))</f>
        <v/>
      </c>
      <c r="O857" s="24">
        <f>IF($A857="","",IF(N857="","",IF(COUNTIFS('1_原始數據'!$A$2:$A$1000,$A857,'1_原始數據'!$B$2:$B$1000,$B857,'1_原始數據'!$D$2:$D$1000,$D857,'1_原始數據'!$I$2:$I$1000,$I857,'1_原始數據'!$C$2:$C$1000,"pasco_pct_acid")=0,"",SUMIFS('1_原始數據'!$E$2:$E$1000,'1_原始數據'!$A$2:$A$1000,$A857,'1_原始數據'!$B$2:$B$1000,$B857,'1_原始數據'!$D$2:$D$1000,$D857,'1_原始數據'!$I$2:$I$1000,$I857,'1_原始數據'!$C$2:$C$1000,"pasco_pct_acid"))))</f>
        <v/>
      </c>
      <c r="P857" s="26">
        <f>IF($A857="","",IF(OR(N857="",O857=""),"",O857-N857))</f>
        <v/>
      </c>
      <c r="Q857" s="24">
        <f>IF($A857="","",IF(P857="","",(O857+N857)/2))</f>
        <v/>
      </c>
      <c r="R857" s="27">
        <f>IF($A857="","",IF(P857="","",COUNT($P$2:P857)))</f>
        <v/>
      </c>
    </row>
    <row r="858">
      <c r="J858" s="24">
        <f>IF($A858="","",IF($C858&lt;&gt;"khp_titration_mL","",IF(COUNTIFS('1_原始數據'!$A$2:$A$1000,$A858,'1_原始數據'!$B$2:$B$1000,$B858,'1_原始數據'!$D$2:$D$1000,$D858,'1_原始數據'!$C$2:$C$1000,"khp_mass_g")=0,"",SUMIFS('1_原始數據'!$E$2:$E$1000,'1_原始數據'!$A$2:$A$1000,$A858,'1_原始數據'!$B$2:$B$1000,$B858,'1_原始數據'!$D$2:$D$1000,$D858,'1_原始數據'!$C$2:$C$1000,"khp_mass_g")/('2_NaOH標定'!$C$5*$E858/1000))))</f>
        <v/>
      </c>
      <c r="K858" s="24">
        <f>IF($A858="","",IF($C858&lt;&gt;"manual_titration_mL","",IF(COUNTIFS('1_原始數據'!$A$2:$A$1000,$A858,'1_原始數據'!$C$2:$C$1000,"khp_titration_mL")=0,"",AVERAGEIFS('1_原始數據'!$J$2:$J$1000,'1_原始數據'!$A$2:$A$1000,$A858,'1_原始數據'!$C$2:$C$1000,"khp_titration_mL"))))</f>
        <v/>
      </c>
      <c r="L858" s="25">
        <f>IF($A858="","",IF($C858&lt;&gt;"manual_titration_mL","",IFERROR(INDEX('3_可滴定酸度'!$E$6:$E$13,MATCH($I858,'3_可滴定酸度'!$B$6:$B$13,0)),"")))</f>
        <v/>
      </c>
      <c r="M858" s="25">
        <f>IF($A858="","",IF($C858&lt;&gt;"manual_titration_mL","",IFERROR(INDEX('3_可滴定酸度'!$F$6:$F$13,MATCH($I858,'3_可滴定酸度'!$B$6:$B$13,0)),"")))</f>
        <v/>
      </c>
      <c r="N858" s="24">
        <f>IF($A858="","",IF(OR(K858="",L858="",M858=""),"",K858*E858*L858/(M858*1000)*100))</f>
        <v/>
      </c>
      <c r="O858" s="24">
        <f>IF($A858="","",IF(N858="","",IF(COUNTIFS('1_原始數據'!$A$2:$A$1000,$A858,'1_原始數據'!$B$2:$B$1000,$B858,'1_原始數據'!$D$2:$D$1000,$D858,'1_原始數據'!$I$2:$I$1000,$I858,'1_原始數據'!$C$2:$C$1000,"pasco_pct_acid")=0,"",SUMIFS('1_原始數據'!$E$2:$E$1000,'1_原始數據'!$A$2:$A$1000,$A858,'1_原始數據'!$B$2:$B$1000,$B858,'1_原始數據'!$D$2:$D$1000,$D858,'1_原始數據'!$I$2:$I$1000,$I858,'1_原始數據'!$C$2:$C$1000,"pasco_pct_acid"))))</f>
        <v/>
      </c>
      <c r="P858" s="26">
        <f>IF($A858="","",IF(OR(N858="",O858=""),"",O858-N858))</f>
        <v/>
      </c>
      <c r="Q858" s="24">
        <f>IF($A858="","",IF(P858="","",(O858+N858)/2))</f>
        <v/>
      </c>
      <c r="R858" s="27">
        <f>IF($A858="","",IF(P858="","",COUNT($P$2:P858)))</f>
        <v/>
      </c>
    </row>
    <row r="859">
      <c r="J859" s="24">
        <f>IF($A859="","",IF($C859&lt;&gt;"khp_titration_mL","",IF(COUNTIFS('1_原始數據'!$A$2:$A$1000,$A859,'1_原始數據'!$B$2:$B$1000,$B859,'1_原始數據'!$D$2:$D$1000,$D859,'1_原始數據'!$C$2:$C$1000,"khp_mass_g")=0,"",SUMIFS('1_原始數據'!$E$2:$E$1000,'1_原始數據'!$A$2:$A$1000,$A859,'1_原始數據'!$B$2:$B$1000,$B859,'1_原始數據'!$D$2:$D$1000,$D859,'1_原始數據'!$C$2:$C$1000,"khp_mass_g")/('2_NaOH標定'!$C$5*$E859/1000))))</f>
        <v/>
      </c>
      <c r="K859" s="24">
        <f>IF($A859="","",IF($C859&lt;&gt;"manual_titration_mL","",IF(COUNTIFS('1_原始數據'!$A$2:$A$1000,$A859,'1_原始數據'!$C$2:$C$1000,"khp_titration_mL")=0,"",AVERAGEIFS('1_原始數據'!$J$2:$J$1000,'1_原始數據'!$A$2:$A$1000,$A859,'1_原始數據'!$C$2:$C$1000,"khp_titration_mL"))))</f>
        <v/>
      </c>
      <c r="L859" s="25">
        <f>IF($A859="","",IF($C859&lt;&gt;"manual_titration_mL","",IFERROR(INDEX('3_可滴定酸度'!$E$6:$E$13,MATCH($I859,'3_可滴定酸度'!$B$6:$B$13,0)),"")))</f>
        <v/>
      </c>
      <c r="M859" s="25">
        <f>IF($A859="","",IF($C859&lt;&gt;"manual_titration_mL","",IFERROR(INDEX('3_可滴定酸度'!$F$6:$F$13,MATCH($I859,'3_可滴定酸度'!$B$6:$B$13,0)),"")))</f>
        <v/>
      </c>
      <c r="N859" s="24">
        <f>IF($A859="","",IF(OR(K859="",L859="",M859=""),"",K859*E859*L859/(M859*1000)*100))</f>
        <v/>
      </c>
      <c r="O859" s="24">
        <f>IF($A859="","",IF(N859="","",IF(COUNTIFS('1_原始數據'!$A$2:$A$1000,$A859,'1_原始數據'!$B$2:$B$1000,$B859,'1_原始數據'!$D$2:$D$1000,$D859,'1_原始數據'!$I$2:$I$1000,$I859,'1_原始數據'!$C$2:$C$1000,"pasco_pct_acid")=0,"",SUMIFS('1_原始數據'!$E$2:$E$1000,'1_原始數據'!$A$2:$A$1000,$A859,'1_原始數據'!$B$2:$B$1000,$B859,'1_原始數據'!$D$2:$D$1000,$D859,'1_原始數據'!$I$2:$I$1000,$I859,'1_原始數據'!$C$2:$C$1000,"pasco_pct_acid"))))</f>
        <v/>
      </c>
      <c r="P859" s="26">
        <f>IF($A859="","",IF(OR(N859="",O859=""),"",O859-N859))</f>
        <v/>
      </c>
      <c r="Q859" s="24">
        <f>IF($A859="","",IF(P859="","",(O859+N859)/2))</f>
        <v/>
      </c>
      <c r="R859" s="27">
        <f>IF($A859="","",IF(P859="","",COUNT($P$2:P859)))</f>
        <v/>
      </c>
    </row>
    <row r="860">
      <c r="J860" s="24">
        <f>IF($A860="","",IF($C860&lt;&gt;"khp_titration_mL","",IF(COUNTIFS('1_原始數據'!$A$2:$A$1000,$A860,'1_原始數據'!$B$2:$B$1000,$B860,'1_原始數據'!$D$2:$D$1000,$D860,'1_原始數據'!$C$2:$C$1000,"khp_mass_g")=0,"",SUMIFS('1_原始數據'!$E$2:$E$1000,'1_原始數據'!$A$2:$A$1000,$A860,'1_原始數據'!$B$2:$B$1000,$B860,'1_原始數據'!$D$2:$D$1000,$D860,'1_原始數據'!$C$2:$C$1000,"khp_mass_g")/('2_NaOH標定'!$C$5*$E860/1000))))</f>
        <v/>
      </c>
      <c r="K860" s="24">
        <f>IF($A860="","",IF($C860&lt;&gt;"manual_titration_mL","",IF(COUNTIFS('1_原始數據'!$A$2:$A$1000,$A860,'1_原始數據'!$C$2:$C$1000,"khp_titration_mL")=0,"",AVERAGEIFS('1_原始數據'!$J$2:$J$1000,'1_原始數據'!$A$2:$A$1000,$A860,'1_原始數據'!$C$2:$C$1000,"khp_titration_mL"))))</f>
        <v/>
      </c>
      <c r="L860" s="25">
        <f>IF($A860="","",IF($C860&lt;&gt;"manual_titration_mL","",IFERROR(INDEX('3_可滴定酸度'!$E$6:$E$13,MATCH($I860,'3_可滴定酸度'!$B$6:$B$13,0)),"")))</f>
        <v/>
      </c>
      <c r="M860" s="25">
        <f>IF($A860="","",IF($C860&lt;&gt;"manual_titration_mL","",IFERROR(INDEX('3_可滴定酸度'!$F$6:$F$13,MATCH($I860,'3_可滴定酸度'!$B$6:$B$13,0)),"")))</f>
        <v/>
      </c>
      <c r="N860" s="24">
        <f>IF($A860="","",IF(OR(K860="",L860="",M860=""),"",K860*E860*L860/(M860*1000)*100))</f>
        <v/>
      </c>
      <c r="O860" s="24">
        <f>IF($A860="","",IF(N860="","",IF(COUNTIFS('1_原始數據'!$A$2:$A$1000,$A860,'1_原始數據'!$B$2:$B$1000,$B860,'1_原始數據'!$D$2:$D$1000,$D860,'1_原始數據'!$I$2:$I$1000,$I860,'1_原始數據'!$C$2:$C$1000,"pasco_pct_acid")=0,"",SUMIFS('1_原始數據'!$E$2:$E$1000,'1_原始數據'!$A$2:$A$1000,$A860,'1_原始數據'!$B$2:$B$1000,$B860,'1_原始數據'!$D$2:$D$1000,$D860,'1_原始數據'!$I$2:$I$1000,$I860,'1_原始數據'!$C$2:$C$1000,"pasco_pct_acid"))))</f>
        <v/>
      </c>
      <c r="P860" s="26">
        <f>IF($A860="","",IF(OR(N860="",O860=""),"",O860-N860))</f>
        <v/>
      </c>
      <c r="Q860" s="24">
        <f>IF($A860="","",IF(P860="","",(O860+N860)/2))</f>
        <v/>
      </c>
      <c r="R860" s="27">
        <f>IF($A860="","",IF(P860="","",COUNT($P$2:P860)))</f>
        <v/>
      </c>
    </row>
    <row r="861">
      <c r="J861" s="24">
        <f>IF($A861="","",IF($C861&lt;&gt;"khp_titration_mL","",IF(COUNTIFS('1_原始數據'!$A$2:$A$1000,$A861,'1_原始數據'!$B$2:$B$1000,$B861,'1_原始數據'!$D$2:$D$1000,$D861,'1_原始數據'!$C$2:$C$1000,"khp_mass_g")=0,"",SUMIFS('1_原始數據'!$E$2:$E$1000,'1_原始數據'!$A$2:$A$1000,$A861,'1_原始數據'!$B$2:$B$1000,$B861,'1_原始數據'!$D$2:$D$1000,$D861,'1_原始數據'!$C$2:$C$1000,"khp_mass_g")/('2_NaOH標定'!$C$5*$E861/1000))))</f>
        <v/>
      </c>
      <c r="K861" s="24">
        <f>IF($A861="","",IF($C861&lt;&gt;"manual_titration_mL","",IF(COUNTIFS('1_原始數據'!$A$2:$A$1000,$A861,'1_原始數據'!$C$2:$C$1000,"khp_titration_mL")=0,"",AVERAGEIFS('1_原始數據'!$J$2:$J$1000,'1_原始數據'!$A$2:$A$1000,$A861,'1_原始數據'!$C$2:$C$1000,"khp_titration_mL"))))</f>
        <v/>
      </c>
      <c r="L861" s="25">
        <f>IF($A861="","",IF($C861&lt;&gt;"manual_titration_mL","",IFERROR(INDEX('3_可滴定酸度'!$E$6:$E$13,MATCH($I861,'3_可滴定酸度'!$B$6:$B$13,0)),"")))</f>
        <v/>
      </c>
      <c r="M861" s="25">
        <f>IF($A861="","",IF($C861&lt;&gt;"manual_titration_mL","",IFERROR(INDEX('3_可滴定酸度'!$F$6:$F$13,MATCH($I861,'3_可滴定酸度'!$B$6:$B$13,0)),"")))</f>
        <v/>
      </c>
      <c r="N861" s="24">
        <f>IF($A861="","",IF(OR(K861="",L861="",M861=""),"",K861*E861*L861/(M861*1000)*100))</f>
        <v/>
      </c>
      <c r="O861" s="24">
        <f>IF($A861="","",IF(N861="","",IF(COUNTIFS('1_原始數據'!$A$2:$A$1000,$A861,'1_原始數據'!$B$2:$B$1000,$B861,'1_原始數據'!$D$2:$D$1000,$D861,'1_原始數據'!$I$2:$I$1000,$I861,'1_原始數據'!$C$2:$C$1000,"pasco_pct_acid")=0,"",SUMIFS('1_原始數據'!$E$2:$E$1000,'1_原始數據'!$A$2:$A$1000,$A861,'1_原始數據'!$B$2:$B$1000,$B861,'1_原始數據'!$D$2:$D$1000,$D861,'1_原始數據'!$I$2:$I$1000,$I861,'1_原始數據'!$C$2:$C$1000,"pasco_pct_acid"))))</f>
        <v/>
      </c>
      <c r="P861" s="26">
        <f>IF($A861="","",IF(OR(N861="",O861=""),"",O861-N861))</f>
        <v/>
      </c>
      <c r="Q861" s="24">
        <f>IF($A861="","",IF(P861="","",(O861+N861)/2))</f>
        <v/>
      </c>
      <c r="R861" s="27">
        <f>IF($A861="","",IF(P861="","",COUNT($P$2:P861)))</f>
        <v/>
      </c>
    </row>
    <row r="862">
      <c r="J862" s="24">
        <f>IF($A862="","",IF($C862&lt;&gt;"khp_titration_mL","",IF(COUNTIFS('1_原始數據'!$A$2:$A$1000,$A862,'1_原始數據'!$B$2:$B$1000,$B862,'1_原始數據'!$D$2:$D$1000,$D862,'1_原始數據'!$C$2:$C$1000,"khp_mass_g")=0,"",SUMIFS('1_原始數據'!$E$2:$E$1000,'1_原始數據'!$A$2:$A$1000,$A862,'1_原始數據'!$B$2:$B$1000,$B862,'1_原始數據'!$D$2:$D$1000,$D862,'1_原始數據'!$C$2:$C$1000,"khp_mass_g")/('2_NaOH標定'!$C$5*$E862/1000))))</f>
        <v/>
      </c>
      <c r="K862" s="24">
        <f>IF($A862="","",IF($C862&lt;&gt;"manual_titration_mL","",IF(COUNTIFS('1_原始數據'!$A$2:$A$1000,$A862,'1_原始數據'!$C$2:$C$1000,"khp_titration_mL")=0,"",AVERAGEIFS('1_原始數據'!$J$2:$J$1000,'1_原始數據'!$A$2:$A$1000,$A862,'1_原始數據'!$C$2:$C$1000,"khp_titration_mL"))))</f>
        <v/>
      </c>
      <c r="L862" s="25">
        <f>IF($A862="","",IF($C862&lt;&gt;"manual_titration_mL","",IFERROR(INDEX('3_可滴定酸度'!$E$6:$E$13,MATCH($I862,'3_可滴定酸度'!$B$6:$B$13,0)),"")))</f>
        <v/>
      </c>
      <c r="M862" s="25">
        <f>IF($A862="","",IF($C862&lt;&gt;"manual_titration_mL","",IFERROR(INDEX('3_可滴定酸度'!$F$6:$F$13,MATCH($I862,'3_可滴定酸度'!$B$6:$B$13,0)),"")))</f>
        <v/>
      </c>
      <c r="N862" s="24">
        <f>IF($A862="","",IF(OR(K862="",L862="",M862=""),"",K862*E862*L862/(M862*1000)*100))</f>
        <v/>
      </c>
      <c r="O862" s="24">
        <f>IF($A862="","",IF(N862="","",IF(COUNTIFS('1_原始數據'!$A$2:$A$1000,$A862,'1_原始數據'!$B$2:$B$1000,$B862,'1_原始數據'!$D$2:$D$1000,$D862,'1_原始數據'!$I$2:$I$1000,$I862,'1_原始數據'!$C$2:$C$1000,"pasco_pct_acid")=0,"",SUMIFS('1_原始數據'!$E$2:$E$1000,'1_原始數據'!$A$2:$A$1000,$A862,'1_原始數據'!$B$2:$B$1000,$B862,'1_原始數據'!$D$2:$D$1000,$D862,'1_原始數據'!$I$2:$I$1000,$I862,'1_原始數據'!$C$2:$C$1000,"pasco_pct_acid"))))</f>
        <v/>
      </c>
      <c r="P862" s="26">
        <f>IF($A862="","",IF(OR(N862="",O862=""),"",O862-N862))</f>
        <v/>
      </c>
      <c r="Q862" s="24">
        <f>IF($A862="","",IF(P862="","",(O862+N862)/2))</f>
        <v/>
      </c>
      <c r="R862" s="27">
        <f>IF($A862="","",IF(P862="","",COUNT($P$2:P862)))</f>
        <v/>
      </c>
    </row>
    <row r="863">
      <c r="J863" s="24">
        <f>IF($A863="","",IF($C863&lt;&gt;"khp_titration_mL","",IF(COUNTIFS('1_原始數據'!$A$2:$A$1000,$A863,'1_原始數據'!$B$2:$B$1000,$B863,'1_原始數據'!$D$2:$D$1000,$D863,'1_原始數據'!$C$2:$C$1000,"khp_mass_g")=0,"",SUMIFS('1_原始數據'!$E$2:$E$1000,'1_原始數據'!$A$2:$A$1000,$A863,'1_原始數據'!$B$2:$B$1000,$B863,'1_原始數據'!$D$2:$D$1000,$D863,'1_原始數據'!$C$2:$C$1000,"khp_mass_g")/('2_NaOH標定'!$C$5*$E863/1000))))</f>
        <v/>
      </c>
      <c r="K863" s="24">
        <f>IF($A863="","",IF($C863&lt;&gt;"manual_titration_mL","",IF(COUNTIFS('1_原始數據'!$A$2:$A$1000,$A863,'1_原始數據'!$C$2:$C$1000,"khp_titration_mL")=0,"",AVERAGEIFS('1_原始數據'!$J$2:$J$1000,'1_原始數據'!$A$2:$A$1000,$A863,'1_原始數據'!$C$2:$C$1000,"khp_titration_mL"))))</f>
        <v/>
      </c>
      <c r="L863" s="25">
        <f>IF($A863="","",IF($C863&lt;&gt;"manual_titration_mL","",IFERROR(INDEX('3_可滴定酸度'!$E$6:$E$13,MATCH($I863,'3_可滴定酸度'!$B$6:$B$13,0)),"")))</f>
        <v/>
      </c>
      <c r="M863" s="25">
        <f>IF($A863="","",IF($C863&lt;&gt;"manual_titration_mL","",IFERROR(INDEX('3_可滴定酸度'!$F$6:$F$13,MATCH($I863,'3_可滴定酸度'!$B$6:$B$13,0)),"")))</f>
        <v/>
      </c>
      <c r="N863" s="24">
        <f>IF($A863="","",IF(OR(K863="",L863="",M863=""),"",K863*E863*L863/(M863*1000)*100))</f>
        <v/>
      </c>
      <c r="O863" s="24">
        <f>IF($A863="","",IF(N863="","",IF(COUNTIFS('1_原始數據'!$A$2:$A$1000,$A863,'1_原始數據'!$B$2:$B$1000,$B863,'1_原始數據'!$D$2:$D$1000,$D863,'1_原始數據'!$I$2:$I$1000,$I863,'1_原始數據'!$C$2:$C$1000,"pasco_pct_acid")=0,"",SUMIFS('1_原始數據'!$E$2:$E$1000,'1_原始數據'!$A$2:$A$1000,$A863,'1_原始數據'!$B$2:$B$1000,$B863,'1_原始數據'!$D$2:$D$1000,$D863,'1_原始數據'!$I$2:$I$1000,$I863,'1_原始數據'!$C$2:$C$1000,"pasco_pct_acid"))))</f>
        <v/>
      </c>
      <c r="P863" s="26">
        <f>IF($A863="","",IF(OR(N863="",O863=""),"",O863-N863))</f>
        <v/>
      </c>
      <c r="Q863" s="24">
        <f>IF($A863="","",IF(P863="","",(O863+N863)/2))</f>
        <v/>
      </c>
      <c r="R863" s="27">
        <f>IF($A863="","",IF(P863="","",COUNT($P$2:P863)))</f>
        <v/>
      </c>
    </row>
    <row r="864">
      <c r="J864" s="24">
        <f>IF($A864="","",IF($C864&lt;&gt;"khp_titration_mL","",IF(COUNTIFS('1_原始數據'!$A$2:$A$1000,$A864,'1_原始數據'!$B$2:$B$1000,$B864,'1_原始數據'!$D$2:$D$1000,$D864,'1_原始數據'!$C$2:$C$1000,"khp_mass_g")=0,"",SUMIFS('1_原始數據'!$E$2:$E$1000,'1_原始數據'!$A$2:$A$1000,$A864,'1_原始數據'!$B$2:$B$1000,$B864,'1_原始數據'!$D$2:$D$1000,$D864,'1_原始數據'!$C$2:$C$1000,"khp_mass_g")/('2_NaOH標定'!$C$5*$E864/1000))))</f>
        <v/>
      </c>
      <c r="K864" s="24">
        <f>IF($A864="","",IF($C864&lt;&gt;"manual_titration_mL","",IF(COUNTIFS('1_原始數據'!$A$2:$A$1000,$A864,'1_原始數據'!$C$2:$C$1000,"khp_titration_mL")=0,"",AVERAGEIFS('1_原始數據'!$J$2:$J$1000,'1_原始數據'!$A$2:$A$1000,$A864,'1_原始數據'!$C$2:$C$1000,"khp_titration_mL"))))</f>
        <v/>
      </c>
      <c r="L864" s="25">
        <f>IF($A864="","",IF($C864&lt;&gt;"manual_titration_mL","",IFERROR(INDEX('3_可滴定酸度'!$E$6:$E$13,MATCH($I864,'3_可滴定酸度'!$B$6:$B$13,0)),"")))</f>
        <v/>
      </c>
      <c r="M864" s="25">
        <f>IF($A864="","",IF($C864&lt;&gt;"manual_titration_mL","",IFERROR(INDEX('3_可滴定酸度'!$F$6:$F$13,MATCH($I864,'3_可滴定酸度'!$B$6:$B$13,0)),"")))</f>
        <v/>
      </c>
      <c r="N864" s="24">
        <f>IF($A864="","",IF(OR(K864="",L864="",M864=""),"",K864*E864*L864/(M864*1000)*100))</f>
        <v/>
      </c>
      <c r="O864" s="24">
        <f>IF($A864="","",IF(N864="","",IF(COUNTIFS('1_原始數據'!$A$2:$A$1000,$A864,'1_原始數據'!$B$2:$B$1000,$B864,'1_原始數據'!$D$2:$D$1000,$D864,'1_原始數據'!$I$2:$I$1000,$I864,'1_原始數據'!$C$2:$C$1000,"pasco_pct_acid")=0,"",SUMIFS('1_原始數據'!$E$2:$E$1000,'1_原始數據'!$A$2:$A$1000,$A864,'1_原始數據'!$B$2:$B$1000,$B864,'1_原始數據'!$D$2:$D$1000,$D864,'1_原始數據'!$I$2:$I$1000,$I864,'1_原始數據'!$C$2:$C$1000,"pasco_pct_acid"))))</f>
        <v/>
      </c>
      <c r="P864" s="26">
        <f>IF($A864="","",IF(OR(N864="",O864=""),"",O864-N864))</f>
        <v/>
      </c>
      <c r="Q864" s="24">
        <f>IF($A864="","",IF(P864="","",(O864+N864)/2))</f>
        <v/>
      </c>
      <c r="R864" s="27">
        <f>IF($A864="","",IF(P864="","",COUNT($P$2:P864)))</f>
        <v/>
      </c>
    </row>
    <row r="865">
      <c r="J865" s="24">
        <f>IF($A865="","",IF($C865&lt;&gt;"khp_titration_mL","",IF(COUNTIFS('1_原始數據'!$A$2:$A$1000,$A865,'1_原始數據'!$B$2:$B$1000,$B865,'1_原始數據'!$D$2:$D$1000,$D865,'1_原始數據'!$C$2:$C$1000,"khp_mass_g")=0,"",SUMIFS('1_原始數據'!$E$2:$E$1000,'1_原始數據'!$A$2:$A$1000,$A865,'1_原始數據'!$B$2:$B$1000,$B865,'1_原始數據'!$D$2:$D$1000,$D865,'1_原始數據'!$C$2:$C$1000,"khp_mass_g")/('2_NaOH標定'!$C$5*$E865/1000))))</f>
        <v/>
      </c>
      <c r="K865" s="24">
        <f>IF($A865="","",IF($C865&lt;&gt;"manual_titration_mL","",IF(COUNTIFS('1_原始數據'!$A$2:$A$1000,$A865,'1_原始數據'!$C$2:$C$1000,"khp_titration_mL")=0,"",AVERAGEIFS('1_原始數據'!$J$2:$J$1000,'1_原始數據'!$A$2:$A$1000,$A865,'1_原始數據'!$C$2:$C$1000,"khp_titration_mL"))))</f>
        <v/>
      </c>
      <c r="L865" s="25">
        <f>IF($A865="","",IF($C865&lt;&gt;"manual_titration_mL","",IFERROR(INDEX('3_可滴定酸度'!$E$6:$E$13,MATCH($I865,'3_可滴定酸度'!$B$6:$B$13,0)),"")))</f>
        <v/>
      </c>
      <c r="M865" s="25">
        <f>IF($A865="","",IF($C865&lt;&gt;"manual_titration_mL","",IFERROR(INDEX('3_可滴定酸度'!$F$6:$F$13,MATCH($I865,'3_可滴定酸度'!$B$6:$B$13,0)),"")))</f>
        <v/>
      </c>
      <c r="N865" s="24">
        <f>IF($A865="","",IF(OR(K865="",L865="",M865=""),"",K865*E865*L865/(M865*1000)*100))</f>
        <v/>
      </c>
      <c r="O865" s="24">
        <f>IF($A865="","",IF(N865="","",IF(COUNTIFS('1_原始數據'!$A$2:$A$1000,$A865,'1_原始數據'!$B$2:$B$1000,$B865,'1_原始數據'!$D$2:$D$1000,$D865,'1_原始數據'!$I$2:$I$1000,$I865,'1_原始數據'!$C$2:$C$1000,"pasco_pct_acid")=0,"",SUMIFS('1_原始數據'!$E$2:$E$1000,'1_原始數據'!$A$2:$A$1000,$A865,'1_原始數據'!$B$2:$B$1000,$B865,'1_原始數據'!$D$2:$D$1000,$D865,'1_原始數據'!$I$2:$I$1000,$I865,'1_原始數據'!$C$2:$C$1000,"pasco_pct_acid"))))</f>
        <v/>
      </c>
      <c r="P865" s="26">
        <f>IF($A865="","",IF(OR(N865="",O865=""),"",O865-N865))</f>
        <v/>
      </c>
      <c r="Q865" s="24">
        <f>IF($A865="","",IF(P865="","",(O865+N865)/2))</f>
        <v/>
      </c>
      <c r="R865" s="27">
        <f>IF($A865="","",IF(P865="","",COUNT($P$2:P865)))</f>
        <v/>
      </c>
    </row>
    <row r="866">
      <c r="J866" s="24">
        <f>IF($A866="","",IF($C866&lt;&gt;"khp_titration_mL","",IF(COUNTIFS('1_原始數據'!$A$2:$A$1000,$A866,'1_原始數據'!$B$2:$B$1000,$B866,'1_原始數據'!$D$2:$D$1000,$D866,'1_原始數據'!$C$2:$C$1000,"khp_mass_g")=0,"",SUMIFS('1_原始數據'!$E$2:$E$1000,'1_原始數據'!$A$2:$A$1000,$A866,'1_原始數據'!$B$2:$B$1000,$B866,'1_原始數據'!$D$2:$D$1000,$D866,'1_原始數據'!$C$2:$C$1000,"khp_mass_g")/('2_NaOH標定'!$C$5*$E866/1000))))</f>
        <v/>
      </c>
      <c r="K866" s="24">
        <f>IF($A866="","",IF($C866&lt;&gt;"manual_titration_mL","",IF(COUNTIFS('1_原始數據'!$A$2:$A$1000,$A866,'1_原始數據'!$C$2:$C$1000,"khp_titration_mL")=0,"",AVERAGEIFS('1_原始數據'!$J$2:$J$1000,'1_原始數據'!$A$2:$A$1000,$A866,'1_原始數據'!$C$2:$C$1000,"khp_titration_mL"))))</f>
        <v/>
      </c>
      <c r="L866" s="25">
        <f>IF($A866="","",IF($C866&lt;&gt;"manual_titration_mL","",IFERROR(INDEX('3_可滴定酸度'!$E$6:$E$13,MATCH($I866,'3_可滴定酸度'!$B$6:$B$13,0)),"")))</f>
        <v/>
      </c>
      <c r="M866" s="25">
        <f>IF($A866="","",IF($C866&lt;&gt;"manual_titration_mL","",IFERROR(INDEX('3_可滴定酸度'!$F$6:$F$13,MATCH($I866,'3_可滴定酸度'!$B$6:$B$13,0)),"")))</f>
        <v/>
      </c>
      <c r="N866" s="24">
        <f>IF($A866="","",IF(OR(K866="",L866="",M866=""),"",K866*E866*L866/(M866*1000)*100))</f>
        <v/>
      </c>
      <c r="O866" s="24">
        <f>IF($A866="","",IF(N866="","",IF(COUNTIFS('1_原始數據'!$A$2:$A$1000,$A866,'1_原始數據'!$B$2:$B$1000,$B866,'1_原始數據'!$D$2:$D$1000,$D866,'1_原始數據'!$I$2:$I$1000,$I866,'1_原始數據'!$C$2:$C$1000,"pasco_pct_acid")=0,"",SUMIFS('1_原始數據'!$E$2:$E$1000,'1_原始數據'!$A$2:$A$1000,$A866,'1_原始數據'!$B$2:$B$1000,$B866,'1_原始數據'!$D$2:$D$1000,$D866,'1_原始數據'!$I$2:$I$1000,$I866,'1_原始數據'!$C$2:$C$1000,"pasco_pct_acid"))))</f>
        <v/>
      </c>
      <c r="P866" s="26">
        <f>IF($A866="","",IF(OR(N866="",O866=""),"",O866-N866))</f>
        <v/>
      </c>
      <c r="Q866" s="24">
        <f>IF($A866="","",IF(P866="","",(O866+N866)/2))</f>
        <v/>
      </c>
      <c r="R866" s="27">
        <f>IF($A866="","",IF(P866="","",COUNT($P$2:P866)))</f>
        <v/>
      </c>
    </row>
    <row r="867">
      <c r="J867" s="24">
        <f>IF($A867="","",IF($C867&lt;&gt;"khp_titration_mL","",IF(COUNTIFS('1_原始數據'!$A$2:$A$1000,$A867,'1_原始數據'!$B$2:$B$1000,$B867,'1_原始數據'!$D$2:$D$1000,$D867,'1_原始數據'!$C$2:$C$1000,"khp_mass_g")=0,"",SUMIFS('1_原始數據'!$E$2:$E$1000,'1_原始數據'!$A$2:$A$1000,$A867,'1_原始數據'!$B$2:$B$1000,$B867,'1_原始數據'!$D$2:$D$1000,$D867,'1_原始數據'!$C$2:$C$1000,"khp_mass_g")/('2_NaOH標定'!$C$5*$E867/1000))))</f>
        <v/>
      </c>
      <c r="K867" s="24">
        <f>IF($A867="","",IF($C867&lt;&gt;"manual_titration_mL","",IF(COUNTIFS('1_原始數據'!$A$2:$A$1000,$A867,'1_原始數據'!$C$2:$C$1000,"khp_titration_mL")=0,"",AVERAGEIFS('1_原始數據'!$J$2:$J$1000,'1_原始數據'!$A$2:$A$1000,$A867,'1_原始數據'!$C$2:$C$1000,"khp_titration_mL"))))</f>
        <v/>
      </c>
      <c r="L867" s="25">
        <f>IF($A867="","",IF($C867&lt;&gt;"manual_titration_mL","",IFERROR(INDEX('3_可滴定酸度'!$E$6:$E$13,MATCH($I867,'3_可滴定酸度'!$B$6:$B$13,0)),"")))</f>
        <v/>
      </c>
      <c r="M867" s="25">
        <f>IF($A867="","",IF($C867&lt;&gt;"manual_titration_mL","",IFERROR(INDEX('3_可滴定酸度'!$F$6:$F$13,MATCH($I867,'3_可滴定酸度'!$B$6:$B$13,0)),"")))</f>
        <v/>
      </c>
      <c r="N867" s="24">
        <f>IF($A867="","",IF(OR(K867="",L867="",M867=""),"",K867*E867*L867/(M867*1000)*100))</f>
        <v/>
      </c>
      <c r="O867" s="24">
        <f>IF($A867="","",IF(N867="","",IF(COUNTIFS('1_原始數據'!$A$2:$A$1000,$A867,'1_原始數據'!$B$2:$B$1000,$B867,'1_原始數據'!$D$2:$D$1000,$D867,'1_原始數據'!$I$2:$I$1000,$I867,'1_原始數據'!$C$2:$C$1000,"pasco_pct_acid")=0,"",SUMIFS('1_原始數據'!$E$2:$E$1000,'1_原始數據'!$A$2:$A$1000,$A867,'1_原始數據'!$B$2:$B$1000,$B867,'1_原始數據'!$D$2:$D$1000,$D867,'1_原始數據'!$I$2:$I$1000,$I867,'1_原始數據'!$C$2:$C$1000,"pasco_pct_acid"))))</f>
        <v/>
      </c>
      <c r="P867" s="26">
        <f>IF($A867="","",IF(OR(N867="",O867=""),"",O867-N867))</f>
        <v/>
      </c>
      <c r="Q867" s="24">
        <f>IF($A867="","",IF(P867="","",(O867+N867)/2))</f>
        <v/>
      </c>
      <c r="R867" s="27">
        <f>IF($A867="","",IF(P867="","",COUNT($P$2:P867)))</f>
        <v/>
      </c>
    </row>
    <row r="868">
      <c r="J868" s="24">
        <f>IF($A868="","",IF($C868&lt;&gt;"khp_titration_mL","",IF(COUNTIFS('1_原始數據'!$A$2:$A$1000,$A868,'1_原始數據'!$B$2:$B$1000,$B868,'1_原始數據'!$D$2:$D$1000,$D868,'1_原始數據'!$C$2:$C$1000,"khp_mass_g")=0,"",SUMIFS('1_原始數據'!$E$2:$E$1000,'1_原始數據'!$A$2:$A$1000,$A868,'1_原始數據'!$B$2:$B$1000,$B868,'1_原始數據'!$D$2:$D$1000,$D868,'1_原始數據'!$C$2:$C$1000,"khp_mass_g")/('2_NaOH標定'!$C$5*$E868/1000))))</f>
        <v/>
      </c>
      <c r="K868" s="24">
        <f>IF($A868="","",IF($C868&lt;&gt;"manual_titration_mL","",IF(COUNTIFS('1_原始數據'!$A$2:$A$1000,$A868,'1_原始數據'!$C$2:$C$1000,"khp_titration_mL")=0,"",AVERAGEIFS('1_原始數據'!$J$2:$J$1000,'1_原始數據'!$A$2:$A$1000,$A868,'1_原始數據'!$C$2:$C$1000,"khp_titration_mL"))))</f>
        <v/>
      </c>
      <c r="L868" s="25">
        <f>IF($A868="","",IF($C868&lt;&gt;"manual_titration_mL","",IFERROR(INDEX('3_可滴定酸度'!$E$6:$E$13,MATCH($I868,'3_可滴定酸度'!$B$6:$B$13,0)),"")))</f>
        <v/>
      </c>
      <c r="M868" s="25">
        <f>IF($A868="","",IF($C868&lt;&gt;"manual_titration_mL","",IFERROR(INDEX('3_可滴定酸度'!$F$6:$F$13,MATCH($I868,'3_可滴定酸度'!$B$6:$B$13,0)),"")))</f>
        <v/>
      </c>
      <c r="N868" s="24">
        <f>IF($A868="","",IF(OR(K868="",L868="",M868=""),"",K868*E868*L868/(M868*1000)*100))</f>
        <v/>
      </c>
      <c r="O868" s="24">
        <f>IF($A868="","",IF(N868="","",IF(COUNTIFS('1_原始數據'!$A$2:$A$1000,$A868,'1_原始數據'!$B$2:$B$1000,$B868,'1_原始數據'!$D$2:$D$1000,$D868,'1_原始數據'!$I$2:$I$1000,$I868,'1_原始數據'!$C$2:$C$1000,"pasco_pct_acid")=0,"",SUMIFS('1_原始數據'!$E$2:$E$1000,'1_原始數據'!$A$2:$A$1000,$A868,'1_原始數據'!$B$2:$B$1000,$B868,'1_原始數據'!$D$2:$D$1000,$D868,'1_原始數據'!$I$2:$I$1000,$I868,'1_原始數據'!$C$2:$C$1000,"pasco_pct_acid"))))</f>
        <v/>
      </c>
      <c r="P868" s="26">
        <f>IF($A868="","",IF(OR(N868="",O868=""),"",O868-N868))</f>
        <v/>
      </c>
      <c r="Q868" s="24">
        <f>IF($A868="","",IF(P868="","",(O868+N868)/2))</f>
        <v/>
      </c>
      <c r="R868" s="27">
        <f>IF($A868="","",IF(P868="","",COUNT($P$2:P868)))</f>
        <v/>
      </c>
    </row>
    <row r="869">
      <c r="J869" s="24">
        <f>IF($A869="","",IF($C869&lt;&gt;"khp_titration_mL","",IF(COUNTIFS('1_原始數據'!$A$2:$A$1000,$A869,'1_原始數據'!$B$2:$B$1000,$B869,'1_原始數據'!$D$2:$D$1000,$D869,'1_原始數據'!$C$2:$C$1000,"khp_mass_g")=0,"",SUMIFS('1_原始數據'!$E$2:$E$1000,'1_原始數據'!$A$2:$A$1000,$A869,'1_原始數據'!$B$2:$B$1000,$B869,'1_原始數據'!$D$2:$D$1000,$D869,'1_原始數據'!$C$2:$C$1000,"khp_mass_g")/('2_NaOH標定'!$C$5*$E869/1000))))</f>
        <v/>
      </c>
      <c r="K869" s="24">
        <f>IF($A869="","",IF($C869&lt;&gt;"manual_titration_mL","",IF(COUNTIFS('1_原始數據'!$A$2:$A$1000,$A869,'1_原始數據'!$C$2:$C$1000,"khp_titration_mL")=0,"",AVERAGEIFS('1_原始數據'!$J$2:$J$1000,'1_原始數據'!$A$2:$A$1000,$A869,'1_原始數據'!$C$2:$C$1000,"khp_titration_mL"))))</f>
        <v/>
      </c>
      <c r="L869" s="25">
        <f>IF($A869="","",IF($C869&lt;&gt;"manual_titration_mL","",IFERROR(INDEX('3_可滴定酸度'!$E$6:$E$13,MATCH($I869,'3_可滴定酸度'!$B$6:$B$13,0)),"")))</f>
        <v/>
      </c>
      <c r="M869" s="25">
        <f>IF($A869="","",IF($C869&lt;&gt;"manual_titration_mL","",IFERROR(INDEX('3_可滴定酸度'!$F$6:$F$13,MATCH($I869,'3_可滴定酸度'!$B$6:$B$13,0)),"")))</f>
        <v/>
      </c>
      <c r="N869" s="24">
        <f>IF($A869="","",IF(OR(K869="",L869="",M869=""),"",K869*E869*L869/(M869*1000)*100))</f>
        <v/>
      </c>
      <c r="O869" s="24">
        <f>IF($A869="","",IF(N869="","",IF(COUNTIFS('1_原始數據'!$A$2:$A$1000,$A869,'1_原始數據'!$B$2:$B$1000,$B869,'1_原始數據'!$D$2:$D$1000,$D869,'1_原始數據'!$I$2:$I$1000,$I869,'1_原始數據'!$C$2:$C$1000,"pasco_pct_acid")=0,"",SUMIFS('1_原始數據'!$E$2:$E$1000,'1_原始數據'!$A$2:$A$1000,$A869,'1_原始數據'!$B$2:$B$1000,$B869,'1_原始數據'!$D$2:$D$1000,$D869,'1_原始數據'!$I$2:$I$1000,$I869,'1_原始數據'!$C$2:$C$1000,"pasco_pct_acid"))))</f>
        <v/>
      </c>
      <c r="P869" s="26">
        <f>IF($A869="","",IF(OR(N869="",O869=""),"",O869-N869))</f>
        <v/>
      </c>
      <c r="Q869" s="24">
        <f>IF($A869="","",IF(P869="","",(O869+N869)/2))</f>
        <v/>
      </c>
      <c r="R869" s="27">
        <f>IF($A869="","",IF(P869="","",COUNT($P$2:P869)))</f>
        <v/>
      </c>
    </row>
    <row r="870">
      <c r="J870" s="24">
        <f>IF($A870="","",IF($C870&lt;&gt;"khp_titration_mL","",IF(COUNTIFS('1_原始數據'!$A$2:$A$1000,$A870,'1_原始數據'!$B$2:$B$1000,$B870,'1_原始數據'!$D$2:$D$1000,$D870,'1_原始數據'!$C$2:$C$1000,"khp_mass_g")=0,"",SUMIFS('1_原始數據'!$E$2:$E$1000,'1_原始數據'!$A$2:$A$1000,$A870,'1_原始數據'!$B$2:$B$1000,$B870,'1_原始數據'!$D$2:$D$1000,$D870,'1_原始數據'!$C$2:$C$1000,"khp_mass_g")/('2_NaOH標定'!$C$5*$E870/1000))))</f>
        <v/>
      </c>
      <c r="K870" s="24">
        <f>IF($A870="","",IF($C870&lt;&gt;"manual_titration_mL","",IF(COUNTIFS('1_原始數據'!$A$2:$A$1000,$A870,'1_原始數據'!$C$2:$C$1000,"khp_titration_mL")=0,"",AVERAGEIFS('1_原始數據'!$J$2:$J$1000,'1_原始數據'!$A$2:$A$1000,$A870,'1_原始數據'!$C$2:$C$1000,"khp_titration_mL"))))</f>
        <v/>
      </c>
      <c r="L870" s="25">
        <f>IF($A870="","",IF($C870&lt;&gt;"manual_titration_mL","",IFERROR(INDEX('3_可滴定酸度'!$E$6:$E$13,MATCH($I870,'3_可滴定酸度'!$B$6:$B$13,0)),"")))</f>
        <v/>
      </c>
      <c r="M870" s="25">
        <f>IF($A870="","",IF($C870&lt;&gt;"manual_titration_mL","",IFERROR(INDEX('3_可滴定酸度'!$F$6:$F$13,MATCH($I870,'3_可滴定酸度'!$B$6:$B$13,0)),"")))</f>
        <v/>
      </c>
      <c r="N870" s="24">
        <f>IF($A870="","",IF(OR(K870="",L870="",M870=""),"",K870*E870*L870/(M870*1000)*100))</f>
        <v/>
      </c>
      <c r="O870" s="24">
        <f>IF($A870="","",IF(N870="","",IF(COUNTIFS('1_原始數據'!$A$2:$A$1000,$A870,'1_原始數據'!$B$2:$B$1000,$B870,'1_原始數據'!$D$2:$D$1000,$D870,'1_原始數據'!$I$2:$I$1000,$I870,'1_原始數據'!$C$2:$C$1000,"pasco_pct_acid")=0,"",SUMIFS('1_原始數據'!$E$2:$E$1000,'1_原始數據'!$A$2:$A$1000,$A870,'1_原始數據'!$B$2:$B$1000,$B870,'1_原始數據'!$D$2:$D$1000,$D870,'1_原始數據'!$I$2:$I$1000,$I870,'1_原始數據'!$C$2:$C$1000,"pasco_pct_acid"))))</f>
        <v/>
      </c>
      <c r="P870" s="26">
        <f>IF($A870="","",IF(OR(N870="",O870=""),"",O870-N870))</f>
        <v/>
      </c>
      <c r="Q870" s="24">
        <f>IF($A870="","",IF(P870="","",(O870+N870)/2))</f>
        <v/>
      </c>
      <c r="R870" s="27">
        <f>IF($A870="","",IF(P870="","",COUNT($P$2:P870)))</f>
        <v/>
      </c>
    </row>
    <row r="871">
      <c r="J871" s="24">
        <f>IF($A871="","",IF($C871&lt;&gt;"khp_titration_mL","",IF(COUNTIFS('1_原始數據'!$A$2:$A$1000,$A871,'1_原始數據'!$B$2:$B$1000,$B871,'1_原始數據'!$D$2:$D$1000,$D871,'1_原始數據'!$C$2:$C$1000,"khp_mass_g")=0,"",SUMIFS('1_原始數據'!$E$2:$E$1000,'1_原始數據'!$A$2:$A$1000,$A871,'1_原始數據'!$B$2:$B$1000,$B871,'1_原始數據'!$D$2:$D$1000,$D871,'1_原始數據'!$C$2:$C$1000,"khp_mass_g")/('2_NaOH標定'!$C$5*$E871/1000))))</f>
        <v/>
      </c>
      <c r="K871" s="24">
        <f>IF($A871="","",IF($C871&lt;&gt;"manual_titration_mL","",IF(COUNTIFS('1_原始數據'!$A$2:$A$1000,$A871,'1_原始數據'!$C$2:$C$1000,"khp_titration_mL")=0,"",AVERAGEIFS('1_原始數據'!$J$2:$J$1000,'1_原始數據'!$A$2:$A$1000,$A871,'1_原始數據'!$C$2:$C$1000,"khp_titration_mL"))))</f>
        <v/>
      </c>
      <c r="L871" s="25">
        <f>IF($A871="","",IF($C871&lt;&gt;"manual_titration_mL","",IFERROR(INDEX('3_可滴定酸度'!$E$6:$E$13,MATCH($I871,'3_可滴定酸度'!$B$6:$B$13,0)),"")))</f>
        <v/>
      </c>
      <c r="M871" s="25">
        <f>IF($A871="","",IF($C871&lt;&gt;"manual_titration_mL","",IFERROR(INDEX('3_可滴定酸度'!$F$6:$F$13,MATCH($I871,'3_可滴定酸度'!$B$6:$B$13,0)),"")))</f>
        <v/>
      </c>
      <c r="N871" s="24">
        <f>IF($A871="","",IF(OR(K871="",L871="",M871=""),"",K871*E871*L871/(M871*1000)*100))</f>
        <v/>
      </c>
      <c r="O871" s="24">
        <f>IF($A871="","",IF(N871="","",IF(COUNTIFS('1_原始數據'!$A$2:$A$1000,$A871,'1_原始數據'!$B$2:$B$1000,$B871,'1_原始數據'!$D$2:$D$1000,$D871,'1_原始數據'!$I$2:$I$1000,$I871,'1_原始數據'!$C$2:$C$1000,"pasco_pct_acid")=0,"",SUMIFS('1_原始數據'!$E$2:$E$1000,'1_原始數據'!$A$2:$A$1000,$A871,'1_原始數據'!$B$2:$B$1000,$B871,'1_原始數據'!$D$2:$D$1000,$D871,'1_原始數據'!$I$2:$I$1000,$I871,'1_原始數據'!$C$2:$C$1000,"pasco_pct_acid"))))</f>
        <v/>
      </c>
      <c r="P871" s="26">
        <f>IF($A871="","",IF(OR(N871="",O871=""),"",O871-N871))</f>
        <v/>
      </c>
      <c r="Q871" s="24">
        <f>IF($A871="","",IF(P871="","",(O871+N871)/2))</f>
        <v/>
      </c>
      <c r="R871" s="27">
        <f>IF($A871="","",IF(P871="","",COUNT($P$2:P871)))</f>
        <v/>
      </c>
    </row>
    <row r="872">
      <c r="J872" s="24">
        <f>IF($A872="","",IF($C872&lt;&gt;"khp_titration_mL","",IF(COUNTIFS('1_原始數據'!$A$2:$A$1000,$A872,'1_原始數據'!$B$2:$B$1000,$B872,'1_原始數據'!$D$2:$D$1000,$D872,'1_原始數據'!$C$2:$C$1000,"khp_mass_g")=0,"",SUMIFS('1_原始數據'!$E$2:$E$1000,'1_原始數據'!$A$2:$A$1000,$A872,'1_原始數據'!$B$2:$B$1000,$B872,'1_原始數據'!$D$2:$D$1000,$D872,'1_原始數據'!$C$2:$C$1000,"khp_mass_g")/('2_NaOH標定'!$C$5*$E872/1000))))</f>
        <v/>
      </c>
      <c r="K872" s="24">
        <f>IF($A872="","",IF($C872&lt;&gt;"manual_titration_mL","",IF(COUNTIFS('1_原始數據'!$A$2:$A$1000,$A872,'1_原始數據'!$C$2:$C$1000,"khp_titration_mL")=0,"",AVERAGEIFS('1_原始數據'!$J$2:$J$1000,'1_原始數據'!$A$2:$A$1000,$A872,'1_原始數據'!$C$2:$C$1000,"khp_titration_mL"))))</f>
        <v/>
      </c>
      <c r="L872" s="25">
        <f>IF($A872="","",IF($C872&lt;&gt;"manual_titration_mL","",IFERROR(INDEX('3_可滴定酸度'!$E$6:$E$13,MATCH($I872,'3_可滴定酸度'!$B$6:$B$13,0)),"")))</f>
        <v/>
      </c>
      <c r="M872" s="25">
        <f>IF($A872="","",IF($C872&lt;&gt;"manual_titration_mL","",IFERROR(INDEX('3_可滴定酸度'!$F$6:$F$13,MATCH($I872,'3_可滴定酸度'!$B$6:$B$13,0)),"")))</f>
        <v/>
      </c>
      <c r="N872" s="24">
        <f>IF($A872="","",IF(OR(K872="",L872="",M872=""),"",K872*E872*L872/(M872*1000)*100))</f>
        <v/>
      </c>
      <c r="O872" s="24">
        <f>IF($A872="","",IF(N872="","",IF(COUNTIFS('1_原始數據'!$A$2:$A$1000,$A872,'1_原始數據'!$B$2:$B$1000,$B872,'1_原始數據'!$D$2:$D$1000,$D872,'1_原始數據'!$I$2:$I$1000,$I872,'1_原始數據'!$C$2:$C$1000,"pasco_pct_acid")=0,"",SUMIFS('1_原始數據'!$E$2:$E$1000,'1_原始數據'!$A$2:$A$1000,$A872,'1_原始數據'!$B$2:$B$1000,$B872,'1_原始數據'!$D$2:$D$1000,$D872,'1_原始數據'!$I$2:$I$1000,$I872,'1_原始數據'!$C$2:$C$1000,"pasco_pct_acid"))))</f>
        <v/>
      </c>
      <c r="P872" s="26">
        <f>IF($A872="","",IF(OR(N872="",O872=""),"",O872-N872))</f>
        <v/>
      </c>
      <c r="Q872" s="24">
        <f>IF($A872="","",IF(P872="","",(O872+N872)/2))</f>
        <v/>
      </c>
      <c r="R872" s="27">
        <f>IF($A872="","",IF(P872="","",COUNT($P$2:P872)))</f>
        <v/>
      </c>
    </row>
    <row r="873">
      <c r="J873" s="24">
        <f>IF($A873="","",IF($C873&lt;&gt;"khp_titration_mL","",IF(COUNTIFS('1_原始數據'!$A$2:$A$1000,$A873,'1_原始數據'!$B$2:$B$1000,$B873,'1_原始數據'!$D$2:$D$1000,$D873,'1_原始數據'!$C$2:$C$1000,"khp_mass_g")=0,"",SUMIFS('1_原始數據'!$E$2:$E$1000,'1_原始數據'!$A$2:$A$1000,$A873,'1_原始數據'!$B$2:$B$1000,$B873,'1_原始數據'!$D$2:$D$1000,$D873,'1_原始數據'!$C$2:$C$1000,"khp_mass_g")/('2_NaOH標定'!$C$5*$E873/1000))))</f>
        <v/>
      </c>
      <c r="K873" s="24">
        <f>IF($A873="","",IF($C873&lt;&gt;"manual_titration_mL","",IF(COUNTIFS('1_原始數據'!$A$2:$A$1000,$A873,'1_原始數據'!$C$2:$C$1000,"khp_titration_mL")=0,"",AVERAGEIFS('1_原始數據'!$J$2:$J$1000,'1_原始數據'!$A$2:$A$1000,$A873,'1_原始數據'!$C$2:$C$1000,"khp_titration_mL"))))</f>
        <v/>
      </c>
      <c r="L873" s="25">
        <f>IF($A873="","",IF($C873&lt;&gt;"manual_titration_mL","",IFERROR(INDEX('3_可滴定酸度'!$E$6:$E$13,MATCH($I873,'3_可滴定酸度'!$B$6:$B$13,0)),"")))</f>
        <v/>
      </c>
      <c r="M873" s="25">
        <f>IF($A873="","",IF($C873&lt;&gt;"manual_titration_mL","",IFERROR(INDEX('3_可滴定酸度'!$F$6:$F$13,MATCH($I873,'3_可滴定酸度'!$B$6:$B$13,0)),"")))</f>
        <v/>
      </c>
      <c r="N873" s="24">
        <f>IF($A873="","",IF(OR(K873="",L873="",M873=""),"",K873*E873*L873/(M873*1000)*100))</f>
        <v/>
      </c>
      <c r="O873" s="24">
        <f>IF($A873="","",IF(N873="","",IF(COUNTIFS('1_原始數據'!$A$2:$A$1000,$A873,'1_原始數據'!$B$2:$B$1000,$B873,'1_原始數據'!$D$2:$D$1000,$D873,'1_原始數據'!$I$2:$I$1000,$I873,'1_原始數據'!$C$2:$C$1000,"pasco_pct_acid")=0,"",SUMIFS('1_原始數據'!$E$2:$E$1000,'1_原始數據'!$A$2:$A$1000,$A873,'1_原始數據'!$B$2:$B$1000,$B873,'1_原始數據'!$D$2:$D$1000,$D873,'1_原始數據'!$I$2:$I$1000,$I873,'1_原始數據'!$C$2:$C$1000,"pasco_pct_acid"))))</f>
        <v/>
      </c>
      <c r="P873" s="26">
        <f>IF($A873="","",IF(OR(N873="",O873=""),"",O873-N873))</f>
        <v/>
      </c>
      <c r="Q873" s="24">
        <f>IF($A873="","",IF(P873="","",(O873+N873)/2))</f>
        <v/>
      </c>
      <c r="R873" s="27">
        <f>IF($A873="","",IF(P873="","",COUNT($P$2:P873)))</f>
        <v/>
      </c>
    </row>
    <row r="874">
      <c r="J874" s="24">
        <f>IF($A874="","",IF($C874&lt;&gt;"khp_titration_mL","",IF(COUNTIFS('1_原始數據'!$A$2:$A$1000,$A874,'1_原始數據'!$B$2:$B$1000,$B874,'1_原始數據'!$D$2:$D$1000,$D874,'1_原始數據'!$C$2:$C$1000,"khp_mass_g")=0,"",SUMIFS('1_原始數據'!$E$2:$E$1000,'1_原始數據'!$A$2:$A$1000,$A874,'1_原始數據'!$B$2:$B$1000,$B874,'1_原始數據'!$D$2:$D$1000,$D874,'1_原始數據'!$C$2:$C$1000,"khp_mass_g")/('2_NaOH標定'!$C$5*$E874/1000))))</f>
        <v/>
      </c>
      <c r="K874" s="24">
        <f>IF($A874="","",IF($C874&lt;&gt;"manual_titration_mL","",IF(COUNTIFS('1_原始數據'!$A$2:$A$1000,$A874,'1_原始數據'!$C$2:$C$1000,"khp_titration_mL")=0,"",AVERAGEIFS('1_原始數據'!$J$2:$J$1000,'1_原始數據'!$A$2:$A$1000,$A874,'1_原始數據'!$C$2:$C$1000,"khp_titration_mL"))))</f>
        <v/>
      </c>
      <c r="L874" s="25">
        <f>IF($A874="","",IF($C874&lt;&gt;"manual_titration_mL","",IFERROR(INDEX('3_可滴定酸度'!$E$6:$E$13,MATCH($I874,'3_可滴定酸度'!$B$6:$B$13,0)),"")))</f>
        <v/>
      </c>
      <c r="M874" s="25">
        <f>IF($A874="","",IF($C874&lt;&gt;"manual_titration_mL","",IFERROR(INDEX('3_可滴定酸度'!$F$6:$F$13,MATCH($I874,'3_可滴定酸度'!$B$6:$B$13,0)),"")))</f>
        <v/>
      </c>
      <c r="N874" s="24">
        <f>IF($A874="","",IF(OR(K874="",L874="",M874=""),"",K874*E874*L874/(M874*1000)*100))</f>
        <v/>
      </c>
      <c r="O874" s="24">
        <f>IF($A874="","",IF(N874="","",IF(COUNTIFS('1_原始數據'!$A$2:$A$1000,$A874,'1_原始數據'!$B$2:$B$1000,$B874,'1_原始數據'!$D$2:$D$1000,$D874,'1_原始數據'!$I$2:$I$1000,$I874,'1_原始數據'!$C$2:$C$1000,"pasco_pct_acid")=0,"",SUMIFS('1_原始數據'!$E$2:$E$1000,'1_原始數據'!$A$2:$A$1000,$A874,'1_原始數據'!$B$2:$B$1000,$B874,'1_原始數據'!$D$2:$D$1000,$D874,'1_原始數據'!$I$2:$I$1000,$I874,'1_原始數據'!$C$2:$C$1000,"pasco_pct_acid"))))</f>
        <v/>
      </c>
      <c r="P874" s="26">
        <f>IF($A874="","",IF(OR(N874="",O874=""),"",O874-N874))</f>
        <v/>
      </c>
      <c r="Q874" s="24">
        <f>IF($A874="","",IF(P874="","",(O874+N874)/2))</f>
        <v/>
      </c>
      <c r="R874" s="27">
        <f>IF($A874="","",IF(P874="","",COUNT($P$2:P874)))</f>
        <v/>
      </c>
    </row>
    <row r="875">
      <c r="J875" s="24">
        <f>IF($A875="","",IF($C875&lt;&gt;"khp_titration_mL","",IF(COUNTIFS('1_原始數據'!$A$2:$A$1000,$A875,'1_原始數據'!$B$2:$B$1000,$B875,'1_原始數據'!$D$2:$D$1000,$D875,'1_原始數據'!$C$2:$C$1000,"khp_mass_g")=0,"",SUMIFS('1_原始數據'!$E$2:$E$1000,'1_原始數據'!$A$2:$A$1000,$A875,'1_原始數據'!$B$2:$B$1000,$B875,'1_原始數據'!$D$2:$D$1000,$D875,'1_原始數據'!$C$2:$C$1000,"khp_mass_g")/('2_NaOH標定'!$C$5*$E875/1000))))</f>
        <v/>
      </c>
      <c r="K875" s="24">
        <f>IF($A875="","",IF($C875&lt;&gt;"manual_titration_mL","",IF(COUNTIFS('1_原始數據'!$A$2:$A$1000,$A875,'1_原始數據'!$C$2:$C$1000,"khp_titration_mL")=0,"",AVERAGEIFS('1_原始數據'!$J$2:$J$1000,'1_原始數據'!$A$2:$A$1000,$A875,'1_原始數據'!$C$2:$C$1000,"khp_titration_mL"))))</f>
        <v/>
      </c>
      <c r="L875" s="25">
        <f>IF($A875="","",IF($C875&lt;&gt;"manual_titration_mL","",IFERROR(INDEX('3_可滴定酸度'!$E$6:$E$13,MATCH($I875,'3_可滴定酸度'!$B$6:$B$13,0)),"")))</f>
        <v/>
      </c>
      <c r="M875" s="25">
        <f>IF($A875="","",IF($C875&lt;&gt;"manual_titration_mL","",IFERROR(INDEX('3_可滴定酸度'!$F$6:$F$13,MATCH($I875,'3_可滴定酸度'!$B$6:$B$13,0)),"")))</f>
        <v/>
      </c>
      <c r="N875" s="24">
        <f>IF($A875="","",IF(OR(K875="",L875="",M875=""),"",K875*E875*L875/(M875*1000)*100))</f>
        <v/>
      </c>
      <c r="O875" s="24">
        <f>IF($A875="","",IF(N875="","",IF(COUNTIFS('1_原始數據'!$A$2:$A$1000,$A875,'1_原始數據'!$B$2:$B$1000,$B875,'1_原始數據'!$D$2:$D$1000,$D875,'1_原始數據'!$I$2:$I$1000,$I875,'1_原始數據'!$C$2:$C$1000,"pasco_pct_acid")=0,"",SUMIFS('1_原始數據'!$E$2:$E$1000,'1_原始數據'!$A$2:$A$1000,$A875,'1_原始數據'!$B$2:$B$1000,$B875,'1_原始數據'!$D$2:$D$1000,$D875,'1_原始數據'!$I$2:$I$1000,$I875,'1_原始數據'!$C$2:$C$1000,"pasco_pct_acid"))))</f>
        <v/>
      </c>
      <c r="P875" s="26">
        <f>IF($A875="","",IF(OR(N875="",O875=""),"",O875-N875))</f>
        <v/>
      </c>
      <c r="Q875" s="24">
        <f>IF($A875="","",IF(P875="","",(O875+N875)/2))</f>
        <v/>
      </c>
      <c r="R875" s="27">
        <f>IF($A875="","",IF(P875="","",COUNT($P$2:P875)))</f>
        <v/>
      </c>
    </row>
    <row r="876">
      <c r="J876" s="24">
        <f>IF($A876="","",IF($C876&lt;&gt;"khp_titration_mL","",IF(COUNTIFS('1_原始數據'!$A$2:$A$1000,$A876,'1_原始數據'!$B$2:$B$1000,$B876,'1_原始數據'!$D$2:$D$1000,$D876,'1_原始數據'!$C$2:$C$1000,"khp_mass_g")=0,"",SUMIFS('1_原始數據'!$E$2:$E$1000,'1_原始數據'!$A$2:$A$1000,$A876,'1_原始數據'!$B$2:$B$1000,$B876,'1_原始數據'!$D$2:$D$1000,$D876,'1_原始數據'!$C$2:$C$1000,"khp_mass_g")/('2_NaOH標定'!$C$5*$E876/1000))))</f>
        <v/>
      </c>
      <c r="K876" s="24">
        <f>IF($A876="","",IF($C876&lt;&gt;"manual_titration_mL","",IF(COUNTIFS('1_原始數據'!$A$2:$A$1000,$A876,'1_原始數據'!$C$2:$C$1000,"khp_titration_mL")=0,"",AVERAGEIFS('1_原始數據'!$J$2:$J$1000,'1_原始數據'!$A$2:$A$1000,$A876,'1_原始數據'!$C$2:$C$1000,"khp_titration_mL"))))</f>
        <v/>
      </c>
      <c r="L876" s="25">
        <f>IF($A876="","",IF($C876&lt;&gt;"manual_titration_mL","",IFERROR(INDEX('3_可滴定酸度'!$E$6:$E$13,MATCH($I876,'3_可滴定酸度'!$B$6:$B$13,0)),"")))</f>
        <v/>
      </c>
      <c r="M876" s="25">
        <f>IF($A876="","",IF($C876&lt;&gt;"manual_titration_mL","",IFERROR(INDEX('3_可滴定酸度'!$F$6:$F$13,MATCH($I876,'3_可滴定酸度'!$B$6:$B$13,0)),"")))</f>
        <v/>
      </c>
      <c r="N876" s="24">
        <f>IF($A876="","",IF(OR(K876="",L876="",M876=""),"",K876*E876*L876/(M876*1000)*100))</f>
        <v/>
      </c>
      <c r="O876" s="24">
        <f>IF($A876="","",IF(N876="","",IF(COUNTIFS('1_原始數據'!$A$2:$A$1000,$A876,'1_原始數據'!$B$2:$B$1000,$B876,'1_原始數據'!$D$2:$D$1000,$D876,'1_原始數據'!$I$2:$I$1000,$I876,'1_原始數據'!$C$2:$C$1000,"pasco_pct_acid")=0,"",SUMIFS('1_原始數據'!$E$2:$E$1000,'1_原始數據'!$A$2:$A$1000,$A876,'1_原始數據'!$B$2:$B$1000,$B876,'1_原始數據'!$D$2:$D$1000,$D876,'1_原始數據'!$I$2:$I$1000,$I876,'1_原始數據'!$C$2:$C$1000,"pasco_pct_acid"))))</f>
        <v/>
      </c>
      <c r="P876" s="26">
        <f>IF($A876="","",IF(OR(N876="",O876=""),"",O876-N876))</f>
        <v/>
      </c>
      <c r="Q876" s="24">
        <f>IF($A876="","",IF(P876="","",(O876+N876)/2))</f>
        <v/>
      </c>
      <c r="R876" s="27">
        <f>IF($A876="","",IF(P876="","",COUNT($P$2:P876)))</f>
        <v/>
      </c>
    </row>
    <row r="877">
      <c r="J877" s="24">
        <f>IF($A877="","",IF($C877&lt;&gt;"khp_titration_mL","",IF(COUNTIFS('1_原始數據'!$A$2:$A$1000,$A877,'1_原始數據'!$B$2:$B$1000,$B877,'1_原始數據'!$D$2:$D$1000,$D877,'1_原始數據'!$C$2:$C$1000,"khp_mass_g")=0,"",SUMIFS('1_原始數據'!$E$2:$E$1000,'1_原始數據'!$A$2:$A$1000,$A877,'1_原始數據'!$B$2:$B$1000,$B877,'1_原始數據'!$D$2:$D$1000,$D877,'1_原始數據'!$C$2:$C$1000,"khp_mass_g")/('2_NaOH標定'!$C$5*$E877/1000))))</f>
        <v/>
      </c>
      <c r="K877" s="24">
        <f>IF($A877="","",IF($C877&lt;&gt;"manual_titration_mL","",IF(COUNTIFS('1_原始數據'!$A$2:$A$1000,$A877,'1_原始數據'!$C$2:$C$1000,"khp_titration_mL")=0,"",AVERAGEIFS('1_原始數據'!$J$2:$J$1000,'1_原始數據'!$A$2:$A$1000,$A877,'1_原始數據'!$C$2:$C$1000,"khp_titration_mL"))))</f>
        <v/>
      </c>
      <c r="L877" s="25">
        <f>IF($A877="","",IF($C877&lt;&gt;"manual_titration_mL","",IFERROR(INDEX('3_可滴定酸度'!$E$6:$E$13,MATCH($I877,'3_可滴定酸度'!$B$6:$B$13,0)),"")))</f>
        <v/>
      </c>
      <c r="M877" s="25">
        <f>IF($A877="","",IF($C877&lt;&gt;"manual_titration_mL","",IFERROR(INDEX('3_可滴定酸度'!$F$6:$F$13,MATCH($I877,'3_可滴定酸度'!$B$6:$B$13,0)),"")))</f>
        <v/>
      </c>
      <c r="N877" s="24">
        <f>IF($A877="","",IF(OR(K877="",L877="",M877=""),"",K877*E877*L877/(M877*1000)*100))</f>
        <v/>
      </c>
      <c r="O877" s="24">
        <f>IF($A877="","",IF(N877="","",IF(COUNTIFS('1_原始數據'!$A$2:$A$1000,$A877,'1_原始數據'!$B$2:$B$1000,$B877,'1_原始數據'!$D$2:$D$1000,$D877,'1_原始數據'!$I$2:$I$1000,$I877,'1_原始數據'!$C$2:$C$1000,"pasco_pct_acid")=0,"",SUMIFS('1_原始數據'!$E$2:$E$1000,'1_原始數據'!$A$2:$A$1000,$A877,'1_原始數據'!$B$2:$B$1000,$B877,'1_原始數據'!$D$2:$D$1000,$D877,'1_原始數據'!$I$2:$I$1000,$I877,'1_原始數據'!$C$2:$C$1000,"pasco_pct_acid"))))</f>
        <v/>
      </c>
      <c r="P877" s="26">
        <f>IF($A877="","",IF(OR(N877="",O877=""),"",O877-N877))</f>
        <v/>
      </c>
      <c r="Q877" s="24">
        <f>IF($A877="","",IF(P877="","",(O877+N877)/2))</f>
        <v/>
      </c>
      <c r="R877" s="27">
        <f>IF($A877="","",IF(P877="","",COUNT($P$2:P877)))</f>
        <v/>
      </c>
    </row>
    <row r="878">
      <c r="J878" s="24">
        <f>IF($A878="","",IF($C878&lt;&gt;"khp_titration_mL","",IF(COUNTIFS('1_原始數據'!$A$2:$A$1000,$A878,'1_原始數據'!$B$2:$B$1000,$B878,'1_原始數據'!$D$2:$D$1000,$D878,'1_原始數據'!$C$2:$C$1000,"khp_mass_g")=0,"",SUMIFS('1_原始數據'!$E$2:$E$1000,'1_原始數據'!$A$2:$A$1000,$A878,'1_原始數據'!$B$2:$B$1000,$B878,'1_原始數據'!$D$2:$D$1000,$D878,'1_原始數據'!$C$2:$C$1000,"khp_mass_g")/('2_NaOH標定'!$C$5*$E878/1000))))</f>
        <v/>
      </c>
      <c r="K878" s="24">
        <f>IF($A878="","",IF($C878&lt;&gt;"manual_titration_mL","",IF(COUNTIFS('1_原始數據'!$A$2:$A$1000,$A878,'1_原始數據'!$C$2:$C$1000,"khp_titration_mL")=0,"",AVERAGEIFS('1_原始數據'!$J$2:$J$1000,'1_原始數據'!$A$2:$A$1000,$A878,'1_原始數據'!$C$2:$C$1000,"khp_titration_mL"))))</f>
        <v/>
      </c>
      <c r="L878" s="25">
        <f>IF($A878="","",IF($C878&lt;&gt;"manual_titration_mL","",IFERROR(INDEX('3_可滴定酸度'!$E$6:$E$13,MATCH($I878,'3_可滴定酸度'!$B$6:$B$13,0)),"")))</f>
        <v/>
      </c>
      <c r="M878" s="25">
        <f>IF($A878="","",IF($C878&lt;&gt;"manual_titration_mL","",IFERROR(INDEX('3_可滴定酸度'!$F$6:$F$13,MATCH($I878,'3_可滴定酸度'!$B$6:$B$13,0)),"")))</f>
        <v/>
      </c>
      <c r="N878" s="24">
        <f>IF($A878="","",IF(OR(K878="",L878="",M878=""),"",K878*E878*L878/(M878*1000)*100))</f>
        <v/>
      </c>
      <c r="O878" s="24">
        <f>IF($A878="","",IF(N878="","",IF(COUNTIFS('1_原始數據'!$A$2:$A$1000,$A878,'1_原始數據'!$B$2:$B$1000,$B878,'1_原始數據'!$D$2:$D$1000,$D878,'1_原始數據'!$I$2:$I$1000,$I878,'1_原始數據'!$C$2:$C$1000,"pasco_pct_acid")=0,"",SUMIFS('1_原始數據'!$E$2:$E$1000,'1_原始數據'!$A$2:$A$1000,$A878,'1_原始數據'!$B$2:$B$1000,$B878,'1_原始數據'!$D$2:$D$1000,$D878,'1_原始數據'!$I$2:$I$1000,$I878,'1_原始數據'!$C$2:$C$1000,"pasco_pct_acid"))))</f>
        <v/>
      </c>
      <c r="P878" s="26">
        <f>IF($A878="","",IF(OR(N878="",O878=""),"",O878-N878))</f>
        <v/>
      </c>
      <c r="Q878" s="24">
        <f>IF($A878="","",IF(P878="","",(O878+N878)/2))</f>
        <v/>
      </c>
      <c r="R878" s="27">
        <f>IF($A878="","",IF(P878="","",COUNT($P$2:P878)))</f>
        <v/>
      </c>
    </row>
    <row r="879">
      <c r="J879" s="24">
        <f>IF($A879="","",IF($C879&lt;&gt;"khp_titration_mL","",IF(COUNTIFS('1_原始數據'!$A$2:$A$1000,$A879,'1_原始數據'!$B$2:$B$1000,$B879,'1_原始數據'!$D$2:$D$1000,$D879,'1_原始數據'!$C$2:$C$1000,"khp_mass_g")=0,"",SUMIFS('1_原始數據'!$E$2:$E$1000,'1_原始數據'!$A$2:$A$1000,$A879,'1_原始數據'!$B$2:$B$1000,$B879,'1_原始數據'!$D$2:$D$1000,$D879,'1_原始數據'!$C$2:$C$1000,"khp_mass_g")/('2_NaOH標定'!$C$5*$E879/1000))))</f>
        <v/>
      </c>
      <c r="K879" s="24">
        <f>IF($A879="","",IF($C879&lt;&gt;"manual_titration_mL","",IF(COUNTIFS('1_原始數據'!$A$2:$A$1000,$A879,'1_原始數據'!$C$2:$C$1000,"khp_titration_mL")=0,"",AVERAGEIFS('1_原始數據'!$J$2:$J$1000,'1_原始數據'!$A$2:$A$1000,$A879,'1_原始數據'!$C$2:$C$1000,"khp_titration_mL"))))</f>
        <v/>
      </c>
      <c r="L879" s="25">
        <f>IF($A879="","",IF($C879&lt;&gt;"manual_titration_mL","",IFERROR(INDEX('3_可滴定酸度'!$E$6:$E$13,MATCH($I879,'3_可滴定酸度'!$B$6:$B$13,0)),"")))</f>
        <v/>
      </c>
      <c r="M879" s="25">
        <f>IF($A879="","",IF($C879&lt;&gt;"manual_titration_mL","",IFERROR(INDEX('3_可滴定酸度'!$F$6:$F$13,MATCH($I879,'3_可滴定酸度'!$B$6:$B$13,0)),"")))</f>
        <v/>
      </c>
      <c r="N879" s="24">
        <f>IF($A879="","",IF(OR(K879="",L879="",M879=""),"",K879*E879*L879/(M879*1000)*100))</f>
        <v/>
      </c>
      <c r="O879" s="24">
        <f>IF($A879="","",IF(N879="","",IF(COUNTIFS('1_原始數據'!$A$2:$A$1000,$A879,'1_原始數據'!$B$2:$B$1000,$B879,'1_原始數據'!$D$2:$D$1000,$D879,'1_原始數據'!$I$2:$I$1000,$I879,'1_原始數據'!$C$2:$C$1000,"pasco_pct_acid")=0,"",SUMIFS('1_原始數據'!$E$2:$E$1000,'1_原始數據'!$A$2:$A$1000,$A879,'1_原始數據'!$B$2:$B$1000,$B879,'1_原始數據'!$D$2:$D$1000,$D879,'1_原始數據'!$I$2:$I$1000,$I879,'1_原始數據'!$C$2:$C$1000,"pasco_pct_acid"))))</f>
        <v/>
      </c>
      <c r="P879" s="26">
        <f>IF($A879="","",IF(OR(N879="",O879=""),"",O879-N879))</f>
        <v/>
      </c>
      <c r="Q879" s="24">
        <f>IF($A879="","",IF(P879="","",(O879+N879)/2))</f>
        <v/>
      </c>
      <c r="R879" s="27">
        <f>IF($A879="","",IF(P879="","",COUNT($P$2:P879)))</f>
        <v/>
      </c>
    </row>
    <row r="880">
      <c r="J880" s="24">
        <f>IF($A880="","",IF($C880&lt;&gt;"khp_titration_mL","",IF(COUNTIFS('1_原始數據'!$A$2:$A$1000,$A880,'1_原始數據'!$B$2:$B$1000,$B880,'1_原始數據'!$D$2:$D$1000,$D880,'1_原始數據'!$C$2:$C$1000,"khp_mass_g")=0,"",SUMIFS('1_原始數據'!$E$2:$E$1000,'1_原始數據'!$A$2:$A$1000,$A880,'1_原始數據'!$B$2:$B$1000,$B880,'1_原始數據'!$D$2:$D$1000,$D880,'1_原始數據'!$C$2:$C$1000,"khp_mass_g")/('2_NaOH標定'!$C$5*$E880/1000))))</f>
        <v/>
      </c>
      <c r="K880" s="24">
        <f>IF($A880="","",IF($C880&lt;&gt;"manual_titration_mL","",IF(COUNTIFS('1_原始數據'!$A$2:$A$1000,$A880,'1_原始數據'!$C$2:$C$1000,"khp_titration_mL")=0,"",AVERAGEIFS('1_原始數據'!$J$2:$J$1000,'1_原始數據'!$A$2:$A$1000,$A880,'1_原始數據'!$C$2:$C$1000,"khp_titration_mL"))))</f>
        <v/>
      </c>
      <c r="L880" s="25">
        <f>IF($A880="","",IF($C880&lt;&gt;"manual_titration_mL","",IFERROR(INDEX('3_可滴定酸度'!$E$6:$E$13,MATCH($I880,'3_可滴定酸度'!$B$6:$B$13,0)),"")))</f>
        <v/>
      </c>
      <c r="M880" s="25">
        <f>IF($A880="","",IF($C880&lt;&gt;"manual_titration_mL","",IFERROR(INDEX('3_可滴定酸度'!$F$6:$F$13,MATCH($I880,'3_可滴定酸度'!$B$6:$B$13,0)),"")))</f>
        <v/>
      </c>
      <c r="N880" s="24">
        <f>IF($A880="","",IF(OR(K880="",L880="",M880=""),"",K880*E880*L880/(M880*1000)*100))</f>
        <v/>
      </c>
      <c r="O880" s="24">
        <f>IF($A880="","",IF(N880="","",IF(COUNTIFS('1_原始數據'!$A$2:$A$1000,$A880,'1_原始數據'!$B$2:$B$1000,$B880,'1_原始數據'!$D$2:$D$1000,$D880,'1_原始數據'!$I$2:$I$1000,$I880,'1_原始數據'!$C$2:$C$1000,"pasco_pct_acid")=0,"",SUMIFS('1_原始數據'!$E$2:$E$1000,'1_原始數據'!$A$2:$A$1000,$A880,'1_原始數據'!$B$2:$B$1000,$B880,'1_原始數據'!$D$2:$D$1000,$D880,'1_原始數據'!$I$2:$I$1000,$I880,'1_原始數據'!$C$2:$C$1000,"pasco_pct_acid"))))</f>
        <v/>
      </c>
      <c r="P880" s="26">
        <f>IF($A880="","",IF(OR(N880="",O880=""),"",O880-N880))</f>
        <v/>
      </c>
      <c r="Q880" s="24">
        <f>IF($A880="","",IF(P880="","",(O880+N880)/2))</f>
        <v/>
      </c>
      <c r="R880" s="27">
        <f>IF($A880="","",IF(P880="","",COUNT($P$2:P880)))</f>
        <v/>
      </c>
    </row>
    <row r="881">
      <c r="J881" s="24">
        <f>IF($A881="","",IF($C881&lt;&gt;"khp_titration_mL","",IF(COUNTIFS('1_原始數據'!$A$2:$A$1000,$A881,'1_原始數據'!$B$2:$B$1000,$B881,'1_原始數據'!$D$2:$D$1000,$D881,'1_原始數據'!$C$2:$C$1000,"khp_mass_g")=0,"",SUMIFS('1_原始數據'!$E$2:$E$1000,'1_原始數據'!$A$2:$A$1000,$A881,'1_原始數據'!$B$2:$B$1000,$B881,'1_原始數據'!$D$2:$D$1000,$D881,'1_原始數據'!$C$2:$C$1000,"khp_mass_g")/('2_NaOH標定'!$C$5*$E881/1000))))</f>
        <v/>
      </c>
      <c r="K881" s="24">
        <f>IF($A881="","",IF($C881&lt;&gt;"manual_titration_mL","",IF(COUNTIFS('1_原始數據'!$A$2:$A$1000,$A881,'1_原始數據'!$C$2:$C$1000,"khp_titration_mL")=0,"",AVERAGEIFS('1_原始數據'!$J$2:$J$1000,'1_原始數據'!$A$2:$A$1000,$A881,'1_原始數據'!$C$2:$C$1000,"khp_titration_mL"))))</f>
        <v/>
      </c>
      <c r="L881" s="25">
        <f>IF($A881="","",IF($C881&lt;&gt;"manual_titration_mL","",IFERROR(INDEX('3_可滴定酸度'!$E$6:$E$13,MATCH($I881,'3_可滴定酸度'!$B$6:$B$13,0)),"")))</f>
        <v/>
      </c>
      <c r="M881" s="25">
        <f>IF($A881="","",IF($C881&lt;&gt;"manual_titration_mL","",IFERROR(INDEX('3_可滴定酸度'!$F$6:$F$13,MATCH($I881,'3_可滴定酸度'!$B$6:$B$13,0)),"")))</f>
        <v/>
      </c>
      <c r="N881" s="24">
        <f>IF($A881="","",IF(OR(K881="",L881="",M881=""),"",K881*E881*L881/(M881*1000)*100))</f>
        <v/>
      </c>
      <c r="O881" s="24">
        <f>IF($A881="","",IF(N881="","",IF(COUNTIFS('1_原始數據'!$A$2:$A$1000,$A881,'1_原始數據'!$B$2:$B$1000,$B881,'1_原始數據'!$D$2:$D$1000,$D881,'1_原始數據'!$I$2:$I$1000,$I881,'1_原始數據'!$C$2:$C$1000,"pasco_pct_acid")=0,"",SUMIFS('1_原始數據'!$E$2:$E$1000,'1_原始數據'!$A$2:$A$1000,$A881,'1_原始數據'!$B$2:$B$1000,$B881,'1_原始數據'!$D$2:$D$1000,$D881,'1_原始數據'!$I$2:$I$1000,$I881,'1_原始數據'!$C$2:$C$1000,"pasco_pct_acid"))))</f>
        <v/>
      </c>
      <c r="P881" s="26">
        <f>IF($A881="","",IF(OR(N881="",O881=""),"",O881-N881))</f>
        <v/>
      </c>
      <c r="Q881" s="24">
        <f>IF($A881="","",IF(P881="","",(O881+N881)/2))</f>
        <v/>
      </c>
      <c r="R881" s="27">
        <f>IF($A881="","",IF(P881="","",COUNT($P$2:P881)))</f>
        <v/>
      </c>
    </row>
    <row r="882">
      <c r="J882" s="24">
        <f>IF($A882="","",IF($C882&lt;&gt;"khp_titration_mL","",IF(COUNTIFS('1_原始數據'!$A$2:$A$1000,$A882,'1_原始數據'!$B$2:$B$1000,$B882,'1_原始數據'!$D$2:$D$1000,$D882,'1_原始數據'!$C$2:$C$1000,"khp_mass_g")=0,"",SUMIFS('1_原始數據'!$E$2:$E$1000,'1_原始數據'!$A$2:$A$1000,$A882,'1_原始數據'!$B$2:$B$1000,$B882,'1_原始數據'!$D$2:$D$1000,$D882,'1_原始數據'!$C$2:$C$1000,"khp_mass_g")/('2_NaOH標定'!$C$5*$E882/1000))))</f>
        <v/>
      </c>
      <c r="K882" s="24">
        <f>IF($A882="","",IF($C882&lt;&gt;"manual_titration_mL","",IF(COUNTIFS('1_原始數據'!$A$2:$A$1000,$A882,'1_原始數據'!$C$2:$C$1000,"khp_titration_mL")=0,"",AVERAGEIFS('1_原始數據'!$J$2:$J$1000,'1_原始數據'!$A$2:$A$1000,$A882,'1_原始數據'!$C$2:$C$1000,"khp_titration_mL"))))</f>
        <v/>
      </c>
      <c r="L882" s="25">
        <f>IF($A882="","",IF($C882&lt;&gt;"manual_titration_mL","",IFERROR(INDEX('3_可滴定酸度'!$E$6:$E$13,MATCH($I882,'3_可滴定酸度'!$B$6:$B$13,0)),"")))</f>
        <v/>
      </c>
      <c r="M882" s="25">
        <f>IF($A882="","",IF($C882&lt;&gt;"manual_titration_mL","",IFERROR(INDEX('3_可滴定酸度'!$F$6:$F$13,MATCH($I882,'3_可滴定酸度'!$B$6:$B$13,0)),"")))</f>
        <v/>
      </c>
      <c r="N882" s="24">
        <f>IF($A882="","",IF(OR(K882="",L882="",M882=""),"",K882*E882*L882/(M882*1000)*100))</f>
        <v/>
      </c>
      <c r="O882" s="24">
        <f>IF($A882="","",IF(N882="","",IF(COUNTIFS('1_原始數據'!$A$2:$A$1000,$A882,'1_原始數據'!$B$2:$B$1000,$B882,'1_原始數據'!$D$2:$D$1000,$D882,'1_原始數據'!$I$2:$I$1000,$I882,'1_原始數據'!$C$2:$C$1000,"pasco_pct_acid")=0,"",SUMIFS('1_原始數據'!$E$2:$E$1000,'1_原始數據'!$A$2:$A$1000,$A882,'1_原始數據'!$B$2:$B$1000,$B882,'1_原始數據'!$D$2:$D$1000,$D882,'1_原始數據'!$I$2:$I$1000,$I882,'1_原始數據'!$C$2:$C$1000,"pasco_pct_acid"))))</f>
        <v/>
      </c>
      <c r="P882" s="26">
        <f>IF($A882="","",IF(OR(N882="",O882=""),"",O882-N882))</f>
        <v/>
      </c>
      <c r="Q882" s="24">
        <f>IF($A882="","",IF(P882="","",(O882+N882)/2))</f>
        <v/>
      </c>
      <c r="R882" s="27">
        <f>IF($A882="","",IF(P882="","",COUNT($P$2:P882)))</f>
        <v/>
      </c>
    </row>
    <row r="883">
      <c r="J883" s="24">
        <f>IF($A883="","",IF($C883&lt;&gt;"khp_titration_mL","",IF(COUNTIFS('1_原始數據'!$A$2:$A$1000,$A883,'1_原始數據'!$B$2:$B$1000,$B883,'1_原始數據'!$D$2:$D$1000,$D883,'1_原始數據'!$C$2:$C$1000,"khp_mass_g")=0,"",SUMIFS('1_原始數據'!$E$2:$E$1000,'1_原始數據'!$A$2:$A$1000,$A883,'1_原始數據'!$B$2:$B$1000,$B883,'1_原始數據'!$D$2:$D$1000,$D883,'1_原始數據'!$C$2:$C$1000,"khp_mass_g")/('2_NaOH標定'!$C$5*$E883/1000))))</f>
        <v/>
      </c>
      <c r="K883" s="24">
        <f>IF($A883="","",IF($C883&lt;&gt;"manual_titration_mL","",IF(COUNTIFS('1_原始數據'!$A$2:$A$1000,$A883,'1_原始數據'!$C$2:$C$1000,"khp_titration_mL")=0,"",AVERAGEIFS('1_原始數據'!$J$2:$J$1000,'1_原始數據'!$A$2:$A$1000,$A883,'1_原始數據'!$C$2:$C$1000,"khp_titration_mL"))))</f>
        <v/>
      </c>
      <c r="L883" s="25">
        <f>IF($A883="","",IF($C883&lt;&gt;"manual_titration_mL","",IFERROR(INDEX('3_可滴定酸度'!$E$6:$E$13,MATCH($I883,'3_可滴定酸度'!$B$6:$B$13,0)),"")))</f>
        <v/>
      </c>
      <c r="M883" s="25">
        <f>IF($A883="","",IF($C883&lt;&gt;"manual_titration_mL","",IFERROR(INDEX('3_可滴定酸度'!$F$6:$F$13,MATCH($I883,'3_可滴定酸度'!$B$6:$B$13,0)),"")))</f>
        <v/>
      </c>
      <c r="N883" s="24">
        <f>IF($A883="","",IF(OR(K883="",L883="",M883=""),"",K883*E883*L883/(M883*1000)*100))</f>
        <v/>
      </c>
      <c r="O883" s="24">
        <f>IF($A883="","",IF(N883="","",IF(COUNTIFS('1_原始數據'!$A$2:$A$1000,$A883,'1_原始數據'!$B$2:$B$1000,$B883,'1_原始數據'!$D$2:$D$1000,$D883,'1_原始數據'!$I$2:$I$1000,$I883,'1_原始數據'!$C$2:$C$1000,"pasco_pct_acid")=0,"",SUMIFS('1_原始數據'!$E$2:$E$1000,'1_原始數據'!$A$2:$A$1000,$A883,'1_原始數據'!$B$2:$B$1000,$B883,'1_原始數據'!$D$2:$D$1000,$D883,'1_原始數據'!$I$2:$I$1000,$I883,'1_原始數據'!$C$2:$C$1000,"pasco_pct_acid"))))</f>
        <v/>
      </c>
      <c r="P883" s="26">
        <f>IF($A883="","",IF(OR(N883="",O883=""),"",O883-N883))</f>
        <v/>
      </c>
      <c r="Q883" s="24">
        <f>IF($A883="","",IF(P883="","",(O883+N883)/2))</f>
        <v/>
      </c>
      <c r="R883" s="27">
        <f>IF($A883="","",IF(P883="","",COUNT($P$2:P883)))</f>
        <v/>
      </c>
    </row>
    <row r="884">
      <c r="J884" s="24">
        <f>IF($A884="","",IF($C884&lt;&gt;"khp_titration_mL","",IF(COUNTIFS('1_原始數據'!$A$2:$A$1000,$A884,'1_原始數據'!$B$2:$B$1000,$B884,'1_原始數據'!$D$2:$D$1000,$D884,'1_原始數據'!$C$2:$C$1000,"khp_mass_g")=0,"",SUMIFS('1_原始數據'!$E$2:$E$1000,'1_原始數據'!$A$2:$A$1000,$A884,'1_原始數據'!$B$2:$B$1000,$B884,'1_原始數據'!$D$2:$D$1000,$D884,'1_原始數據'!$C$2:$C$1000,"khp_mass_g")/('2_NaOH標定'!$C$5*$E884/1000))))</f>
        <v/>
      </c>
      <c r="K884" s="24">
        <f>IF($A884="","",IF($C884&lt;&gt;"manual_titration_mL","",IF(COUNTIFS('1_原始數據'!$A$2:$A$1000,$A884,'1_原始數據'!$C$2:$C$1000,"khp_titration_mL")=0,"",AVERAGEIFS('1_原始數據'!$J$2:$J$1000,'1_原始數據'!$A$2:$A$1000,$A884,'1_原始數據'!$C$2:$C$1000,"khp_titration_mL"))))</f>
        <v/>
      </c>
      <c r="L884" s="25">
        <f>IF($A884="","",IF($C884&lt;&gt;"manual_titration_mL","",IFERROR(INDEX('3_可滴定酸度'!$E$6:$E$13,MATCH($I884,'3_可滴定酸度'!$B$6:$B$13,0)),"")))</f>
        <v/>
      </c>
      <c r="M884" s="25">
        <f>IF($A884="","",IF($C884&lt;&gt;"manual_titration_mL","",IFERROR(INDEX('3_可滴定酸度'!$F$6:$F$13,MATCH($I884,'3_可滴定酸度'!$B$6:$B$13,0)),"")))</f>
        <v/>
      </c>
      <c r="N884" s="24">
        <f>IF($A884="","",IF(OR(K884="",L884="",M884=""),"",K884*E884*L884/(M884*1000)*100))</f>
        <v/>
      </c>
      <c r="O884" s="24">
        <f>IF($A884="","",IF(N884="","",IF(COUNTIFS('1_原始數據'!$A$2:$A$1000,$A884,'1_原始數據'!$B$2:$B$1000,$B884,'1_原始數據'!$D$2:$D$1000,$D884,'1_原始數據'!$I$2:$I$1000,$I884,'1_原始數據'!$C$2:$C$1000,"pasco_pct_acid")=0,"",SUMIFS('1_原始數據'!$E$2:$E$1000,'1_原始數據'!$A$2:$A$1000,$A884,'1_原始數據'!$B$2:$B$1000,$B884,'1_原始數據'!$D$2:$D$1000,$D884,'1_原始數據'!$I$2:$I$1000,$I884,'1_原始數據'!$C$2:$C$1000,"pasco_pct_acid"))))</f>
        <v/>
      </c>
      <c r="P884" s="26">
        <f>IF($A884="","",IF(OR(N884="",O884=""),"",O884-N884))</f>
        <v/>
      </c>
      <c r="Q884" s="24">
        <f>IF($A884="","",IF(P884="","",(O884+N884)/2))</f>
        <v/>
      </c>
      <c r="R884" s="27">
        <f>IF($A884="","",IF(P884="","",COUNT($P$2:P884)))</f>
        <v/>
      </c>
    </row>
    <row r="885">
      <c r="J885" s="24">
        <f>IF($A885="","",IF($C885&lt;&gt;"khp_titration_mL","",IF(COUNTIFS('1_原始數據'!$A$2:$A$1000,$A885,'1_原始數據'!$B$2:$B$1000,$B885,'1_原始數據'!$D$2:$D$1000,$D885,'1_原始數據'!$C$2:$C$1000,"khp_mass_g")=0,"",SUMIFS('1_原始數據'!$E$2:$E$1000,'1_原始數據'!$A$2:$A$1000,$A885,'1_原始數據'!$B$2:$B$1000,$B885,'1_原始數據'!$D$2:$D$1000,$D885,'1_原始數據'!$C$2:$C$1000,"khp_mass_g")/('2_NaOH標定'!$C$5*$E885/1000))))</f>
        <v/>
      </c>
      <c r="K885" s="24">
        <f>IF($A885="","",IF($C885&lt;&gt;"manual_titration_mL","",IF(COUNTIFS('1_原始數據'!$A$2:$A$1000,$A885,'1_原始數據'!$C$2:$C$1000,"khp_titration_mL")=0,"",AVERAGEIFS('1_原始數據'!$J$2:$J$1000,'1_原始數據'!$A$2:$A$1000,$A885,'1_原始數據'!$C$2:$C$1000,"khp_titration_mL"))))</f>
        <v/>
      </c>
      <c r="L885" s="25">
        <f>IF($A885="","",IF($C885&lt;&gt;"manual_titration_mL","",IFERROR(INDEX('3_可滴定酸度'!$E$6:$E$13,MATCH($I885,'3_可滴定酸度'!$B$6:$B$13,0)),"")))</f>
        <v/>
      </c>
      <c r="M885" s="25">
        <f>IF($A885="","",IF($C885&lt;&gt;"manual_titration_mL","",IFERROR(INDEX('3_可滴定酸度'!$F$6:$F$13,MATCH($I885,'3_可滴定酸度'!$B$6:$B$13,0)),"")))</f>
        <v/>
      </c>
      <c r="N885" s="24">
        <f>IF($A885="","",IF(OR(K885="",L885="",M885=""),"",K885*E885*L885/(M885*1000)*100))</f>
        <v/>
      </c>
      <c r="O885" s="24">
        <f>IF($A885="","",IF(N885="","",IF(COUNTIFS('1_原始數據'!$A$2:$A$1000,$A885,'1_原始數據'!$B$2:$B$1000,$B885,'1_原始數據'!$D$2:$D$1000,$D885,'1_原始數據'!$I$2:$I$1000,$I885,'1_原始數據'!$C$2:$C$1000,"pasco_pct_acid")=0,"",SUMIFS('1_原始數據'!$E$2:$E$1000,'1_原始數據'!$A$2:$A$1000,$A885,'1_原始數據'!$B$2:$B$1000,$B885,'1_原始數據'!$D$2:$D$1000,$D885,'1_原始數據'!$I$2:$I$1000,$I885,'1_原始數據'!$C$2:$C$1000,"pasco_pct_acid"))))</f>
        <v/>
      </c>
      <c r="P885" s="26">
        <f>IF($A885="","",IF(OR(N885="",O885=""),"",O885-N885))</f>
        <v/>
      </c>
      <c r="Q885" s="24">
        <f>IF($A885="","",IF(P885="","",(O885+N885)/2))</f>
        <v/>
      </c>
      <c r="R885" s="27">
        <f>IF($A885="","",IF(P885="","",COUNT($P$2:P885)))</f>
        <v/>
      </c>
    </row>
    <row r="886">
      <c r="J886" s="24">
        <f>IF($A886="","",IF($C886&lt;&gt;"khp_titration_mL","",IF(COUNTIFS('1_原始數據'!$A$2:$A$1000,$A886,'1_原始數據'!$B$2:$B$1000,$B886,'1_原始數據'!$D$2:$D$1000,$D886,'1_原始數據'!$C$2:$C$1000,"khp_mass_g")=0,"",SUMIFS('1_原始數據'!$E$2:$E$1000,'1_原始數據'!$A$2:$A$1000,$A886,'1_原始數據'!$B$2:$B$1000,$B886,'1_原始數據'!$D$2:$D$1000,$D886,'1_原始數據'!$C$2:$C$1000,"khp_mass_g")/('2_NaOH標定'!$C$5*$E886/1000))))</f>
        <v/>
      </c>
      <c r="K886" s="24">
        <f>IF($A886="","",IF($C886&lt;&gt;"manual_titration_mL","",IF(COUNTIFS('1_原始數據'!$A$2:$A$1000,$A886,'1_原始數據'!$C$2:$C$1000,"khp_titration_mL")=0,"",AVERAGEIFS('1_原始數據'!$J$2:$J$1000,'1_原始數據'!$A$2:$A$1000,$A886,'1_原始數據'!$C$2:$C$1000,"khp_titration_mL"))))</f>
        <v/>
      </c>
      <c r="L886" s="25">
        <f>IF($A886="","",IF($C886&lt;&gt;"manual_titration_mL","",IFERROR(INDEX('3_可滴定酸度'!$E$6:$E$13,MATCH($I886,'3_可滴定酸度'!$B$6:$B$13,0)),"")))</f>
        <v/>
      </c>
      <c r="M886" s="25">
        <f>IF($A886="","",IF($C886&lt;&gt;"manual_titration_mL","",IFERROR(INDEX('3_可滴定酸度'!$F$6:$F$13,MATCH($I886,'3_可滴定酸度'!$B$6:$B$13,0)),"")))</f>
        <v/>
      </c>
      <c r="N886" s="24">
        <f>IF($A886="","",IF(OR(K886="",L886="",M886=""),"",K886*E886*L886/(M886*1000)*100))</f>
        <v/>
      </c>
      <c r="O886" s="24">
        <f>IF($A886="","",IF(N886="","",IF(COUNTIFS('1_原始數據'!$A$2:$A$1000,$A886,'1_原始數據'!$B$2:$B$1000,$B886,'1_原始數據'!$D$2:$D$1000,$D886,'1_原始數據'!$I$2:$I$1000,$I886,'1_原始數據'!$C$2:$C$1000,"pasco_pct_acid")=0,"",SUMIFS('1_原始數據'!$E$2:$E$1000,'1_原始數據'!$A$2:$A$1000,$A886,'1_原始數據'!$B$2:$B$1000,$B886,'1_原始數據'!$D$2:$D$1000,$D886,'1_原始數據'!$I$2:$I$1000,$I886,'1_原始數據'!$C$2:$C$1000,"pasco_pct_acid"))))</f>
        <v/>
      </c>
      <c r="P886" s="26">
        <f>IF($A886="","",IF(OR(N886="",O886=""),"",O886-N886))</f>
        <v/>
      </c>
      <c r="Q886" s="24">
        <f>IF($A886="","",IF(P886="","",(O886+N886)/2))</f>
        <v/>
      </c>
      <c r="R886" s="27">
        <f>IF($A886="","",IF(P886="","",COUNT($P$2:P886)))</f>
        <v/>
      </c>
    </row>
    <row r="887">
      <c r="J887" s="24">
        <f>IF($A887="","",IF($C887&lt;&gt;"khp_titration_mL","",IF(COUNTIFS('1_原始數據'!$A$2:$A$1000,$A887,'1_原始數據'!$B$2:$B$1000,$B887,'1_原始數據'!$D$2:$D$1000,$D887,'1_原始數據'!$C$2:$C$1000,"khp_mass_g")=0,"",SUMIFS('1_原始數據'!$E$2:$E$1000,'1_原始數據'!$A$2:$A$1000,$A887,'1_原始數據'!$B$2:$B$1000,$B887,'1_原始數據'!$D$2:$D$1000,$D887,'1_原始數據'!$C$2:$C$1000,"khp_mass_g")/('2_NaOH標定'!$C$5*$E887/1000))))</f>
        <v/>
      </c>
      <c r="K887" s="24">
        <f>IF($A887="","",IF($C887&lt;&gt;"manual_titration_mL","",IF(COUNTIFS('1_原始數據'!$A$2:$A$1000,$A887,'1_原始數據'!$C$2:$C$1000,"khp_titration_mL")=0,"",AVERAGEIFS('1_原始數據'!$J$2:$J$1000,'1_原始數據'!$A$2:$A$1000,$A887,'1_原始數據'!$C$2:$C$1000,"khp_titration_mL"))))</f>
        <v/>
      </c>
      <c r="L887" s="25">
        <f>IF($A887="","",IF($C887&lt;&gt;"manual_titration_mL","",IFERROR(INDEX('3_可滴定酸度'!$E$6:$E$13,MATCH($I887,'3_可滴定酸度'!$B$6:$B$13,0)),"")))</f>
        <v/>
      </c>
      <c r="M887" s="25">
        <f>IF($A887="","",IF($C887&lt;&gt;"manual_titration_mL","",IFERROR(INDEX('3_可滴定酸度'!$F$6:$F$13,MATCH($I887,'3_可滴定酸度'!$B$6:$B$13,0)),"")))</f>
        <v/>
      </c>
      <c r="N887" s="24">
        <f>IF($A887="","",IF(OR(K887="",L887="",M887=""),"",K887*E887*L887/(M887*1000)*100))</f>
        <v/>
      </c>
      <c r="O887" s="24">
        <f>IF($A887="","",IF(N887="","",IF(COUNTIFS('1_原始數據'!$A$2:$A$1000,$A887,'1_原始數據'!$B$2:$B$1000,$B887,'1_原始數據'!$D$2:$D$1000,$D887,'1_原始數據'!$I$2:$I$1000,$I887,'1_原始數據'!$C$2:$C$1000,"pasco_pct_acid")=0,"",SUMIFS('1_原始數據'!$E$2:$E$1000,'1_原始數據'!$A$2:$A$1000,$A887,'1_原始數據'!$B$2:$B$1000,$B887,'1_原始數據'!$D$2:$D$1000,$D887,'1_原始數據'!$I$2:$I$1000,$I887,'1_原始數據'!$C$2:$C$1000,"pasco_pct_acid"))))</f>
        <v/>
      </c>
      <c r="P887" s="26">
        <f>IF($A887="","",IF(OR(N887="",O887=""),"",O887-N887))</f>
        <v/>
      </c>
      <c r="Q887" s="24">
        <f>IF($A887="","",IF(P887="","",(O887+N887)/2))</f>
        <v/>
      </c>
      <c r="R887" s="27">
        <f>IF($A887="","",IF(P887="","",COUNT($P$2:P887)))</f>
        <v/>
      </c>
    </row>
    <row r="888">
      <c r="J888" s="24">
        <f>IF($A888="","",IF($C888&lt;&gt;"khp_titration_mL","",IF(COUNTIFS('1_原始數據'!$A$2:$A$1000,$A888,'1_原始數據'!$B$2:$B$1000,$B888,'1_原始數據'!$D$2:$D$1000,$D888,'1_原始數據'!$C$2:$C$1000,"khp_mass_g")=0,"",SUMIFS('1_原始數據'!$E$2:$E$1000,'1_原始數據'!$A$2:$A$1000,$A888,'1_原始數據'!$B$2:$B$1000,$B888,'1_原始數據'!$D$2:$D$1000,$D888,'1_原始數據'!$C$2:$C$1000,"khp_mass_g")/('2_NaOH標定'!$C$5*$E888/1000))))</f>
        <v/>
      </c>
      <c r="K888" s="24">
        <f>IF($A888="","",IF($C888&lt;&gt;"manual_titration_mL","",IF(COUNTIFS('1_原始數據'!$A$2:$A$1000,$A888,'1_原始數據'!$C$2:$C$1000,"khp_titration_mL")=0,"",AVERAGEIFS('1_原始數據'!$J$2:$J$1000,'1_原始數據'!$A$2:$A$1000,$A888,'1_原始數據'!$C$2:$C$1000,"khp_titration_mL"))))</f>
        <v/>
      </c>
      <c r="L888" s="25">
        <f>IF($A888="","",IF($C888&lt;&gt;"manual_titration_mL","",IFERROR(INDEX('3_可滴定酸度'!$E$6:$E$13,MATCH($I888,'3_可滴定酸度'!$B$6:$B$13,0)),"")))</f>
        <v/>
      </c>
      <c r="M888" s="25">
        <f>IF($A888="","",IF($C888&lt;&gt;"manual_titration_mL","",IFERROR(INDEX('3_可滴定酸度'!$F$6:$F$13,MATCH($I888,'3_可滴定酸度'!$B$6:$B$13,0)),"")))</f>
        <v/>
      </c>
      <c r="N888" s="24">
        <f>IF($A888="","",IF(OR(K888="",L888="",M888=""),"",K888*E888*L888/(M888*1000)*100))</f>
        <v/>
      </c>
      <c r="O888" s="24">
        <f>IF($A888="","",IF(N888="","",IF(COUNTIFS('1_原始數據'!$A$2:$A$1000,$A888,'1_原始數據'!$B$2:$B$1000,$B888,'1_原始數據'!$D$2:$D$1000,$D888,'1_原始數據'!$I$2:$I$1000,$I888,'1_原始數據'!$C$2:$C$1000,"pasco_pct_acid")=0,"",SUMIFS('1_原始數據'!$E$2:$E$1000,'1_原始數據'!$A$2:$A$1000,$A888,'1_原始數據'!$B$2:$B$1000,$B888,'1_原始數據'!$D$2:$D$1000,$D888,'1_原始數據'!$I$2:$I$1000,$I888,'1_原始數據'!$C$2:$C$1000,"pasco_pct_acid"))))</f>
        <v/>
      </c>
      <c r="P888" s="26">
        <f>IF($A888="","",IF(OR(N888="",O888=""),"",O888-N888))</f>
        <v/>
      </c>
      <c r="Q888" s="24">
        <f>IF($A888="","",IF(P888="","",(O888+N888)/2))</f>
        <v/>
      </c>
      <c r="R888" s="27">
        <f>IF($A888="","",IF(P888="","",COUNT($P$2:P888)))</f>
        <v/>
      </c>
    </row>
    <row r="889">
      <c r="J889" s="24">
        <f>IF($A889="","",IF($C889&lt;&gt;"khp_titration_mL","",IF(COUNTIFS('1_原始數據'!$A$2:$A$1000,$A889,'1_原始數據'!$B$2:$B$1000,$B889,'1_原始數據'!$D$2:$D$1000,$D889,'1_原始數據'!$C$2:$C$1000,"khp_mass_g")=0,"",SUMIFS('1_原始數據'!$E$2:$E$1000,'1_原始數據'!$A$2:$A$1000,$A889,'1_原始數據'!$B$2:$B$1000,$B889,'1_原始數據'!$D$2:$D$1000,$D889,'1_原始數據'!$C$2:$C$1000,"khp_mass_g")/('2_NaOH標定'!$C$5*$E889/1000))))</f>
        <v/>
      </c>
      <c r="K889" s="24">
        <f>IF($A889="","",IF($C889&lt;&gt;"manual_titration_mL","",IF(COUNTIFS('1_原始數據'!$A$2:$A$1000,$A889,'1_原始數據'!$C$2:$C$1000,"khp_titration_mL")=0,"",AVERAGEIFS('1_原始數據'!$J$2:$J$1000,'1_原始數據'!$A$2:$A$1000,$A889,'1_原始數據'!$C$2:$C$1000,"khp_titration_mL"))))</f>
        <v/>
      </c>
      <c r="L889" s="25">
        <f>IF($A889="","",IF($C889&lt;&gt;"manual_titration_mL","",IFERROR(INDEX('3_可滴定酸度'!$E$6:$E$13,MATCH($I889,'3_可滴定酸度'!$B$6:$B$13,0)),"")))</f>
        <v/>
      </c>
      <c r="M889" s="25">
        <f>IF($A889="","",IF($C889&lt;&gt;"manual_titration_mL","",IFERROR(INDEX('3_可滴定酸度'!$F$6:$F$13,MATCH($I889,'3_可滴定酸度'!$B$6:$B$13,0)),"")))</f>
        <v/>
      </c>
      <c r="N889" s="24">
        <f>IF($A889="","",IF(OR(K889="",L889="",M889=""),"",K889*E889*L889/(M889*1000)*100))</f>
        <v/>
      </c>
      <c r="O889" s="24">
        <f>IF($A889="","",IF(N889="","",IF(COUNTIFS('1_原始數據'!$A$2:$A$1000,$A889,'1_原始數據'!$B$2:$B$1000,$B889,'1_原始數據'!$D$2:$D$1000,$D889,'1_原始數據'!$I$2:$I$1000,$I889,'1_原始數據'!$C$2:$C$1000,"pasco_pct_acid")=0,"",SUMIFS('1_原始數據'!$E$2:$E$1000,'1_原始數據'!$A$2:$A$1000,$A889,'1_原始數據'!$B$2:$B$1000,$B889,'1_原始數據'!$D$2:$D$1000,$D889,'1_原始數據'!$I$2:$I$1000,$I889,'1_原始數據'!$C$2:$C$1000,"pasco_pct_acid"))))</f>
        <v/>
      </c>
      <c r="P889" s="26">
        <f>IF($A889="","",IF(OR(N889="",O889=""),"",O889-N889))</f>
        <v/>
      </c>
      <c r="Q889" s="24">
        <f>IF($A889="","",IF(P889="","",(O889+N889)/2))</f>
        <v/>
      </c>
      <c r="R889" s="27">
        <f>IF($A889="","",IF(P889="","",COUNT($P$2:P889)))</f>
        <v/>
      </c>
    </row>
    <row r="890">
      <c r="J890" s="24">
        <f>IF($A890="","",IF($C890&lt;&gt;"khp_titration_mL","",IF(COUNTIFS('1_原始數據'!$A$2:$A$1000,$A890,'1_原始數據'!$B$2:$B$1000,$B890,'1_原始數據'!$D$2:$D$1000,$D890,'1_原始數據'!$C$2:$C$1000,"khp_mass_g")=0,"",SUMIFS('1_原始數據'!$E$2:$E$1000,'1_原始數據'!$A$2:$A$1000,$A890,'1_原始數據'!$B$2:$B$1000,$B890,'1_原始數據'!$D$2:$D$1000,$D890,'1_原始數據'!$C$2:$C$1000,"khp_mass_g")/('2_NaOH標定'!$C$5*$E890/1000))))</f>
        <v/>
      </c>
      <c r="K890" s="24">
        <f>IF($A890="","",IF($C890&lt;&gt;"manual_titration_mL","",IF(COUNTIFS('1_原始數據'!$A$2:$A$1000,$A890,'1_原始數據'!$C$2:$C$1000,"khp_titration_mL")=0,"",AVERAGEIFS('1_原始數據'!$J$2:$J$1000,'1_原始數據'!$A$2:$A$1000,$A890,'1_原始數據'!$C$2:$C$1000,"khp_titration_mL"))))</f>
        <v/>
      </c>
      <c r="L890" s="25">
        <f>IF($A890="","",IF($C890&lt;&gt;"manual_titration_mL","",IFERROR(INDEX('3_可滴定酸度'!$E$6:$E$13,MATCH($I890,'3_可滴定酸度'!$B$6:$B$13,0)),"")))</f>
        <v/>
      </c>
      <c r="M890" s="25">
        <f>IF($A890="","",IF($C890&lt;&gt;"manual_titration_mL","",IFERROR(INDEX('3_可滴定酸度'!$F$6:$F$13,MATCH($I890,'3_可滴定酸度'!$B$6:$B$13,0)),"")))</f>
        <v/>
      </c>
      <c r="N890" s="24">
        <f>IF($A890="","",IF(OR(K890="",L890="",M890=""),"",K890*E890*L890/(M890*1000)*100))</f>
        <v/>
      </c>
      <c r="O890" s="24">
        <f>IF($A890="","",IF(N890="","",IF(COUNTIFS('1_原始數據'!$A$2:$A$1000,$A890,'1_原始數據'!$B$2:$B$1000,$B890,'1_原始數據'!$D$2:$D$1000,$D890,'1_原始數據'!$I$2:$I$1000,$I890,'1_原始數據'!$C$2:$C$1000,"pasco_pct_acid")=0,"",SUMIFS('1_原始數據'!$E$2:$E$1000,'1_原始數據'!$A$2:$A$1000,$A890,'1_原始數據'!$B$2:$B$1000,$B890,'1_原始數據'!$D$2:$D$1000,$D890,'1_原始數據'!$I$2:$I$1000,$I890,'1_原始數據'!$C$2:$C$1000,"pasco_pct_acid"))))</f>
        <v/>
      </c>
      <c r="P890" s="26">
        <f>IF($A890="","",IF(OR(N890="",O890=""),"",O890-N890))</f>
        <v/>
      </c>
      <c r="Q890" s="24">
        <f>IF($A890="","",IF(P890="","",(O890+N890)/2))</f>
        <v/>
      </c>
      <c r="R890" s="27">
        <f>IF($A890="","",IF(P890="","",COUNT($P$2:P890)))</f>
        <v/>
      </c>
    </row>
    <row r="891">
      <c r="J891" s="24">
        <f>IF($A891="","",IF($C891&lt;&gt;"khp_titration_mL","",IF(COUNTIFS('1_原始數據'!$A$2:$A$1000,$A891,'1_原始數據'!$B$2:$B$1000,$B891,'1_原始數據'!$D$2:$D$1000,$D891,'1_原始數據'!$C$2:$C$1000,"khp_mass_g")=0,"",SUMIFS('1_原始數據'!$E$2:$E$1000,'1_原始數據'!$A$2:$A$1000,$A891,'1_原始數據'!$B$2:$B$1000,$B891,'1_原始數據'!$D$2:$D$1000,$D891,'1_原始數據'!$C$2:$C$1000,"khp_mass_g")/('2_NaOH標定'!$C$5*$E891/1000))))</f>
        <v/>
      </c>
      <c r="K891" s="24">
        <f>IF($A891="","",IF($C891&lt;&gt;"manual_titration_mL","",IF(COUNTIFS('1_原始數據'!$A$2:$A$1000,$A891,'1_原始數據'!$C$2:$C$1000,"khp_titration_mL")=0,"",AVERAGEIFS('1_原始數據'!$J$2:$J$1000,'1_原始數據'!$A$2:$A$1000,$A891,'1_原始數據'!$C$2:$C$1000,"khp_titration_mL"))))</f>
        <v/>
      </c>
      <c r="L891" s="25">
        <f>IF($A891="","",IF($C891&lt;&gt;"manual_titration_mL","",IFERROR(INDEX('3_可滴定酸度'!$E$6:$E$13,MATCH($I891,'3_可滴定酸度'!$B$6:$B$13,0)),"")))</f>
        <v/>
      </c>
      <c r="M891" s="25">
        <f>IF($A891="","",IF($C891&lt;&gt;"manual_titration_mL","",IFERROR(INDEX('3_可滴定酸度'!$F$6:$F$13,MATCH($I891,'3_可滴定酸度'!$B$6:$B$13,0)),"")))</f>
        <v/>
      </c>
      <c r="N891" s="24">
        <f>IF($A891="","",IF(OR(K891="",L891="",M891=""),"",K891*E891*L891/(M891*1000)*100))</f>
        <v/>
      </c>
      <c r="O891" s="24">
        <f>IF($A891="","",IF(N891="","",IF(COUNTIFS('1_原始數據'!$A$2:$A$1000,$A891,'1_原始數據'!$B$2:$B$1000,$B891,'1_原始數據'!$D$2:$D$1000,$D891,'1_原始數據'!$I$2:$I$1000,$I891,'1_原始數據'!$C$2:$C$1000,"pasco_pct_acid")=0,"",SUMIFS('1_原始數據'!$E$2:$E$1000,'1_原始數據'!$A$2:$A$1000,$A891,'1_原始數據'!$B$2:$B$1000,$B891,'1_原始數據'!$D$2:$D$1000,$D891,'1_原始數據'!$I$2:$I$1000,$I891,'1_原始數據'!$C$2:$C$1000,"pasco_pct_acid"))))</f>
        <v/>
      </c>
      <c r="P891" s="26">
        <f>IF($A891="","",IF(OR(N891="",O891=""),"",O891-N891))</f>
        <v/>
      </c>
      <c r="Q891" s="24">
        <f>IF($A891="","",IF(P891="","",(O891+N891)/2))</f>
        <v/>
      </c>
      <c r="R891" s="27">
        <f>IF($A891="","",IF(P891="","",COUNT($P$2:P891)))</f>
        <v/>
      </c>
    </row>
    <row r="892">
      <c r="J892" s="24">
        <f>IF($A892="","",IF($C892&lt;&gt;"khp_titration_mL","",IF(COUNTIFS('1_原始數據'!$A$2:$A$1000,$A892,'1_原始數據'!$B$2:$B$1000,$B892,'1_原始數據'!$D$2:$D$1000,$D892,'1_原始數據'!$C$2:$C$1000,"khp_mass_g")=0,"",SUMIFS('1_原始數據'!$E$2:$E$1000,'1_原始數據'!$A$2:$A$1000,$A892,'1_原始數據'!$B$2:$B$1000,$B892,'1_原始數據'!$D$2:$D$1000,$D892,'1_原始數據'!$C$2:$C$1000,"khp_mass_g")/('2_NaOH標定'!$C$5*$E892/1000))))</f>
        <v/>
      </c>
      <c r="K892" s="24">
        <f>IF($A892="","",IF($C892&lt;&gt;"manual_titration_mL","",IF(COUNTIFS('1_原始數據'!$A$2:$A$1000,$A892,'1_原始數據'!$C$2:$C$1000,"khp_titration_mL")=0,"",AVERAGEIFS('1_原始數據'!$J$2:$J$1000,'1_原始數據'!$A$2:$A$1000,$A892,'1_原始數據'!$C$2:$C$1000,"khp_titration_mL"))))</f>
        <v/>
      </c>
      <c r="L892" s="25">
        <f>IF($A892="","",IF($C892&lt;&gt;"manual_titration_mL","",IFERROR(INDEX('3_可滴定酸度'!$E$6:$E$13,MATCH($I892,'3_可滴定酸度'!$B$6:$B$13,0)),"")))</f>
        <v/>
      </c>
      <c r="M892" s="25">
        <f>IF($A892="","",IF($C892&lt;&gt;"manual_titration_mL","",IFERROR(INDEX('3_可滴定酸度'!$F$6:$F$13,MATCH($I892,'3_可滴定酸度'!$B$6:$B$13,0)),"")))</f>
        <v/>
      </c>
      <c r="N892" s="24">
        <f>IF($A892="","",IF(OR(K892="",L892="",M892=""),"",K892*E892*L892/(M892*1000)*100))</f>
        <v/>
      </c>
      <c r="O892" s="24">
        <f>IF($A892="","",IF(N892="","",IF(COUNTIFS('1_原始數據'!$A$2:$A$1000,$A892,'1_原始數據'!$B$2:$B$1000,$B892,'1_原始數據'!$D$2:$D$1000,$D892,'1_原始數據'!$I$2:$I$1000,$I892,'1_原始數據'!$C$2:$C$1000,"pasco_pct_acid")=0,"",SUMIFS('1_原始數據'!$E$2:$E$1000,'1_原始數據'!$A$2:$A$1000,$A892,'1_原始數據'!$B$2:$B$1000,$B892,'1_原始數據'!$D$2:$D$1000,$D892,'1_原始數據'!$I$2:$I$1000,$I892,'1_原始數據'!$C$2:$C$1000,"pasco_pct_acid"))))</f>
        <v/>
      </c>
      <c r="P892" s="26">
        <f>IF($A892="","",IF(OR(N892="",O892=""),"",O892-N892))</f>
        <v/>
      </c>
      <c r="Q892" s="24">
        <f>IF($A892="","",IF(P892="","",(O892+N892)/2))</f>
        <v/>
      </c>
      <c r="R892" s="27">
        <f>IF($A892="","",IF(P892="","",COUNT($P$2:P892)))</f>
        <v/>
      </c>
    </row>
    <row r="893">
      <c r="J893" s="24">
        <f>IF($A893="","",IF($C893&lt;&gt;"khp_titration_mL","",IF(COUNTIFS('1_原始數據'!$A$2:$A$1000,$A893,'1_原始數據'!$B$2:$B$1000,$B893,'1_原始數據'!$D$2:$D$1000,$D893,'1_原始數據'!$C$2:$C$1000,"khp_mass_g")=0,"",SUMIFS('1_原始數據'!$E$2:$E$1000,'1_原始數據'!$A$2:$A$1000,$A893,'1_原始數據'!$B$2:$B$1000,$B893,'1_原始數據'!$D$2:$D$1000,$D893,'1_原始數據'!$C$2:$C$1000,"khp_mass_g")/('2_NaOH標定'!$C$5*$E893/1000))))</f>
        <v/>
      </c>
      <c r="K893" s="24">
        <f>IF($A893="","",IF($C893&lt;&gt;"manual_titration_mL","",IF(COUNTIFS('1_原始數據'!$A$2:$A$1000,$A893,'1_原始數據'!$C$2:$C$1000,"khp_titration_mL")=0,"",AVERAGEIFS('1_原始數據'!$J$2:$J$1000,'1_原始數據'!$A$2:$A$1000,$A893,'1_原始數據'!$C$2:$C$1000,"khp_titration_mL"))))</f>
        <v/>
      </c>
      <c r="L893" s="25">
        <f>IF($A893="","",IF($C893&lt;&gt;"manual_titration_mL","",IFERROR(INDEX('3_可滴定酸度'!$E$6:$E$13,MATCH($I893,'3_可滴定酸度'!$B$6:$B$13,0)),"")))</f>
        <v/>
      </c>
      <c r="M893" s="25">
        <f>IF($A893="","",IF($C893&lt;&gt;"manual_titration_mL","",IFERROR(INDEX('3_可滴定酸度'!$F$6:$F$13,MATCH($I893,'3_可滴定酸度'!$B$6:$B$13,0)),"")))</f>
        <v/>
      </c>
      <c r="N893" s="24">
        <f>IF($A893="","",IF(OR(K893="",L893="",M893=""),"",K893*E893*L893/(M893*1000)*100))</f>
        <v/>
      </c>
      <c r="O893" s="24">
        <f>IF($A893="","",IF(N893="","",IF(COUNTIFS('1_原始數據'!$A$2:$A$1000,$A893,'1_原始數據'!$B$2:$B$1000,$B893,'1_原始數據'!$D$2:$D$1000,$D893,'1_原始數據'!$I$2:$I$1000,$I893,'1_原始數據'!$C$2:$C$1000,"pasco_pct_acid")=0,"",SUMIFS('1_原始數據'!$E$2:$E$1000,'1_原始數據'!$A$2:$A$1000,$A893,'1_原始數據'!$B$2:$B$1000,$B893,'1_原始數據'!$D$2:$D$1000,$D893,'1_原始數據'!$I$2:$I$1000,$I893,'1_原始數據'!$C$2:$C$1000,"pasco_pct_acid"))))</f>
        <v/>
      </c>
      <c r="P893" s="26">
        <f>IF($A893="","",IF(OR(N893="",O893=""),"",O893-N893))</f>
        <v/>
      </c>
      <c r="Q893" s="24">
        <f>IF($A893="","",IF(P893="","",(O893+N893)/2))</f>
        <v/>
      </c>
      <c r="R893" s="27">
        <f>IF($A893="","",IF(P893="","",COUNT($P$2:P893)))</f>
        <v/>
      </c>
    </row>
    <row r="894">
      <c r="J894" s="24">
        <f>IF($A894="","",IF($C894&lt;&gt;"khp_titration_mL","",IF(COUNTIFS('1_原始數據'!$A$2:$A$1000,$A894,'1_原始數據'!$B$2:$B$1000,$B894,'1_原始數據'!$D$2:$D$1000,$D894,'1_原始數據'!$C$2:$C$1000,"khp_mass_g")=0,"",SUMIFS('1_原始數據'!$E$2:$E$1000,'1_原始數據'!$A$2:$A$1000,$A894,'1_原始數據'!$B$2:$B$1000,$B894,'1_原始數據'!$D$2:$D$1000,$D894,'1_原始數據'!$C$2:$C$1000,"khp_mass_g")/('2_NaOH標定'!$C$5*$E894/1000))))</f>
        <v/>
      </c>
      <c r="K894" s="24">
        <f>IF($A894="","",IF($C894&lt;&gt;"manual_titration_mL","",IF(COUNTIFS('1_原始數據'!$A$2:$A$1000,$A894,'1_原始數據'!$C$2:$C$1000,"khp_titration_mL")=0,"",AVERAGEIFS('1_原始數據'!$J$2:$J$1000,'1_原始數據'!$A$2:$A$1000,$A894,'1_原始數據'!$C$2:$C$1000,"khp_titration_mL"))))</f>
        <v/>
      </c>
      <c r="L894" s="25">
        <f>IF($A894="","",IF($C894&lt;&gt;"manual_titration_mL","",IFERROR(INDEX('3_可滴定酸度'!$E$6:$E$13,MATCH($I894,'3_可滴定酸度'!$B$6:$B$13,0)),"")))</f>
        <v/>
      </c>
      <c r="M894" s="25">
        <f>IF($A894="","",IF($C894&lt;&gt;"manual_titration_mL","",IFERROR(INDEX('3_可滴定酸度'!$F$6:$F$13,MATCH($I894,'3_可滴定酸度'!$B$6:$B$13,0)),"")))</f>
        <v/>
      </c>
      <c r="N894" s="24">
        <f>IF($A894="","",IF(OR(K894="",L894="",M894=""),"",K894*E894*L894/(M894*1000)*100))</f>
        <v/>
      </c>
      <c r="O894" s="24">
        <f>IF($A894="","",IF(N894="","",IF(COUNTIFS('1_原始數據'!$A$2:$A$1000,$A894,'1_原始數據'!$B$2:$B$1000,$B894,'1_原始數據'!$D$2:$D$1000,$D894,'1_原始數據'!$I$2:$I$1000,$I894,'1_原始數據'!$C$2:$C$1000,"pasco_pct_acid")=0,"",SUMIFS('1_原始數據'!$E$2:$E$1000,'1_原始數據'!$A$2:$A$1000,$A894,'1_原始數據'!$B$2:$B$1000,$B894,'1_原始數據'!$D$2:$D$1000,$D894,'1_原始數據'!$I$2:$I$1000,$I894,'1_原始數據'!$C$2:$C$1000,"pasco_pct_acid"))))</f>
        <v/>
      </c>
      <c r="P894" s="26">
        <f>IF($A894="","",IF(OR(N894="",O894=""),"",O894-N894))</f>
        <v/>
      </c>
      <c r="Q894" s="24">
        <f>IF($A894="","",IF(P894="","",(O894+N894)/2))</f>
        <v/>
      </c>
      <c r="R894" s="27">
        <f>IF($A894="","",IF(P894="","",COUNT($P$2:P894)))</f>
        <v/>
      </c>
    </row>
    <row r="895">
      <c r="J895" s="24">
        <f>IF($A895="","",IF($C895&lt;&gt;"khp_titration_mL","",IF(COUNTIFS('1_原始數據'!$A$2:$A$1000,$A895,'1_原始數據'!$B$2:$B$1000,$B895,'1_原始數據'!$D$2:$D$1000,$D895,'1_原始數據'!$C$2:$C$1000,"khp_mass_g")=0,"",SUMIFS('1_原始數據'!$E$2:$E$1000,'1_原始數據'!$A$2:$A$1000,$A895,'1_原始數據'!$B$2:$B$1000,$B895,'1_原始數據'!$D$2:$D$1000,$D895,'1_原始數據'!$C$2:$C$1000,"khp_mass_g")/('2_NaOH標定'!$C$5*$E895/1000))))</f>
        <v/>
      </c>
      <c r="K895" s="24">
        <f>IF($A895="","",IF($C895&lt;&gt;"manual_titration_mL","",IF(COUNTIFS('1_原始數據'!$A$2:$A$1000,$A895,'1_原始數據'!$C$2:$C$1000,"khp_titration_mL")=0,"",AVERAGEIFS('1_原始數據'!$J$2:$J$1000,'1_原始數據'!$A$2:$A$1000,$A895,'1_原始數據'!$C$2:$C$1000,"khp_titration_mL"))))</f>
        <v/>
      </c>
      <c r="L895" s="25">
        <f>IF($A895="","",IF($C895&lt;&gt;"manual_titration_mL","",IFERROR(INDEX('3_可滴定酸度'!$E$6:$E$13,MATCH($I895,'3_可滴定酸度'!$B$6:$B$13,0)),"")))</f>
        <v/>
      </c>
      <c r="M895" s="25">
        <f>IF($A895="","",IF($C895&lt;&gt;"manual_titration_mL","",IFERROR(INDEX('3_可滴定酸度'!$F$6:$F$13,MATCH($I895,'3_可滴定酸度'!$B$6:$B$13,0)),"")))</f>
        <v/>
      </c>
      <c r="N895" s="24">
        <f>IF($A895="","",IF(OR(K895="",L895="",M895=""),"",K895*E895*L895/(M895*1000)*100))</f>
        <v/>
      </c>
      <c r="O895" s="24">
        <f>IF($A895="","",IF(N895="","",IF(COUNTIFS('1_原始數據'!$A$2:$A$1000,$A895,'1_原始數據'!$B$2:$B$1000,$B895,'1_原始數據'!$D$2:$D$1000,$D895,'1_原始數據'!$I$2:$I$1000,$I895,'1_原始數據'!$C$2:$C$1000,"pasco_pct_acid")=0,"",SUMIFS('1_原始數據'!$E$2:$E$1000,'1_原始數據'!$A$2:$A$1000,$A895,'1_原始數據'!$B$2:$B$1000,$B895,'1_原始數據'!$D$2:$D$1000,$D895,'1_原始數據'!$I$2:$I$1000,$I895,'1_原始數據'!$C$2:$C$1000,"pasco_pct_acid"))))</f>
        <v/>
      </c>
      <c r="P895" s="26">
        <f>IF($A895="","",IF(OR(N895="",O895=""),"",O895-N895))</f>
        <v/>
      </c>
      <c r="Q895" s="24">
        <f>IF($A895="","",IF(P895="","",(O895+N895)/2))</f>
        <v/>
      </c>
      <c r="R895" s="27">
        <f>IF($A895="","",IF(P895="","",COUNT($P$2:P895)))</f>
        <v/>
      </c>
    </row>
    <row r="896">
      <c r="J896" s="24">
        <f>IF($A896="","",IF($C896&lt;&gt;"khp_titration_mL","",IF(COUNTIFS('1_原始數據'!$A$2:$A$1000,$A896,'1_原始數據'!$B$2:$B$1000,$B896,'1_原始數據'!$D$2:$D$1000,$D896,'1_原始數據'!$C$2:$C$1000,"khp_mass_g")=0,"",SUMIFS('1_原始數據'!$E$2:$E$1000,'1_原始數據'!$A$2:$A$1000,$A896,'1_原始數據'!$B$2:$B$1000,$B896,'1_原始數據'!$D$2:$D$1000,$D896,'1_原始數據'!$C$2:$C$1000,"khp_mass_g")/('2_NaOH標定'!$C$5*$E896/1000))))</f>
        <v/>
      </c>
      <c r="K896" s="24">
        <f>IF($A896="","",IF($C896&lt;&gt;"manual_titration_mL","",IF(COUNTIFS('1_原始數據'!$A$2:$A$1000,$A896,'1_原始數據'!$C$2:$C$1000,"khp_titration_mL")=0,"",AVERAGEIFS('1_原始數據'!$J$2:$J$1000,'1_原始數據'!$A$2:$A$1000,$A896,'1_原始數據'!$C$2:$C$1000,"khp_titration_mL"))))</f>
        <v/>
      </c>
      <c r="L896" s="25">
        <f>IF($A896="","",IF($C896&lt;&gt;"manual_titration_mL","",IFERROR(INDEX('3_可滴定酸度'!$E$6:$E$13,MATCH($I896,'3_可滴定酸度'!$B$6:$B$13,0)),"")))</f>
        <v/>
      </c>
      <c r="M896" s="25">
        <f>IF($A896="","",IF($C896&lt;&gt;"manual_titration_mL","",IFERROR(INDEX('3_可滴定酸度'!$F$6:$F$13,MATCH($I896,'3_可滴定酸度'!$B$6:$B$13,0)),"")))</f>
        <v/>
      </c>
      <c r="N896" s="24">
        <f>IF($A896="","",IF(OR(K896="",L896="",M896=""),"",K896*E896*L896/(M896*1000)*100))</f>
        <v/>
      </c>
      <c r="O896" s="24">
        <f>IF($A896="","",IF(N896="","",IF(COUNTIFS('1_原始數據'!$A$2:$A$1000,$A896,'1_原始數據'!$B$2:$B$1000,$B896,'1_原始數據'!$D$2:$D$1000,$D896,'1_原始數據'!$I$2:$I$1000,$I896,'1_原始數據'!$C$2:$C$1000,"pasco_pct_acid")=0,"",SUMIFS('1_原始數據'!$E$2:$E$1000,'1_原始數據'!$A$2:$A$1000,$A896,'1_原始數據'!$B$2:$B$1000,$B896,'1_原始數據'!$D$2:$D$1000,$D896,'1_原始數據'!$I$2:$I$1000,$I896,'1_原始數據'!$C$2:$C$1000,"pasco_pct_acid"))))</f>
        <v/>
      </c>
      <c r="P896" s="26">
        <f>IF($A896="","",IF(OR(N896="",O896=""),"",O896-N896))</f>
        <v/>
      </c>
      <c r="Q896" s="24">
        <f>IF($A896="","",IF(P896="","",(O896+N896)/2))</f>
        <v/>
      </c>
      <c r="R896" s="27">
        <f>IF($A896="","",IF(P896="","",COUNT($P$2:P896)))</f>
        <v/>
      </c>
    </row>
    <row r="897">
      <c r="J897" s="24">
        <f>IF($A897="","",IF($C897&lt;&gt;"khp_titration_mL","",IF(COUNTIFS('1_原始數據'!$A$2:$A$1000,$A897,'1_原始數據'!$B$2:$B$1000,$B897,'1_原始數據'!$D$2:$D$1000,$D897,'1_原始數據'!$C$2:$C$1000,"khp_mass_g")=0,"",SUMIFS('1_原始數據'!$E$2:$E$1000,'1_原始數據'!$A$2:$A$1000,$A897,'1_原始數據'!$B$2:$B$1000,$B897,'1_原始數據'!$D$2:$D$1000,$D897,'1_原始數據'!$C$2:$C$1000,"khp_mass_g")/('2_NaOH標定'!$C$5*$E897/1000))))</f>
        <v/>
      </c>
      <c r="K897" s="24">
        <f>IF($A897="","",IF($C897&lt;&gt;"manual_titration_mL","",IF(COUNTIFS('1_原始數據'!$A$2:$A$1000,$A897,'1_原始數據'!$C$2:$C$1000,"khp_titration_mL")=0,"",AVERAGEIFS('1_原始數據'!$J$2:$J$1000,'1_原始數據'!$A$2:$A$1000,$A897,'1_原始數據'!$C$2:$C$1000,"khp_titration_mL"))))</f>
        <v/>
      </c>
      <c r="L897" s="25">
        <f>IF($A897="","",IF($C897&lt;&gt;"manual_titration_mL","",IFERROR(INDEX('3_可滴定酸度'!$E$6:$E$13,MATCH($I897,'3_可滴定酸度'!$B$6:$B$13,0)),"")))</f>
        <v/>
      </c>
      <c r="M897" s="25">
        <f>IF($A897="","",IF($C897&lt;&gt;"manual_titration_mL","",IFERROR(INDEX('3_可滴定酸度'!$F$6:$F$13,MATCH($I897,'3_可滴定酸度'!$B$6:$B$13,0)),"")))</f>
        <v/>
      </c>
      <c r="N897" s="24">
        <f>IF($A897="","",IF(OR(K897="",L897="",M897=""),"",K897*E897*L897/(M897*1000)*100))</f>
        <v/>
      </c>
      <c r="O897" s="24">
        <f>IF($A897="","",IF(N897="","",IF(COUNTIFS('1_原始數據'!$A$2:$A$1000,$A897,'1_原始數據'!$B$2:$B$1000,$B897,'1_原始數據'!$D$2:$D$1000,$D897,'1_原始數據'!$I$2:$I$1000,$I897,'1_原始數據'!$C$2:$C$1000,"pasco_pct_acid")=0,"",SUMIFS('1_原始數據'!$E$2:$E$1000,'1_原始數據'!$A$2:$A$1000,$A897,'1_原始數據'!$B$2:$B$1000,$B897,'1_原始數據'!$D$2:$D$1000,$D897,'1_原始數據'!$I$2:$I$1000,$I897,'1_原始數據'!$C$2:$C$1000,"pasco_pct_acid"))))</f>
        <v/>
      </c>
      <c r="P897" s="26">
        <f>IF($A897="","",IF(OR(N897="",O897=""),"",O897-N897))</f>
        <v/>
      </c>
      <c r="Q897" s="24">
        <f>IF($A897="","",IF(P897="","",(O897+N897)/2))</f>
        <v/>
      </c>
      <c r="R897" s="27">
        <f>IF($A897="","",IF(P897="","",COUNT($P$2:P897)))</f>
        <v/>
      </c>
    </row>
    <row r="898">
      <c r="J898" s="24">
        <f>IF($A898="","",IF($C898&lt;&gt;"khp_titration_mL","",IF(COUNTIFS('1_原始數據'!$A$2:$A$1000,$A898,'1_原始數據'!$B$2:$B$1000,$B898,'1_原始數據'!$D$2:$D$1000,$D898,'1_原始數據'!$C$2:$C$1000,"khp_mass_g")=0,"",SUMIFS('1_原始數據'!$E$2:$E$1000,'1_原始數據'!$A$2:$A$1000,$A898,'1_原始數據'!$B$2:$B$1000,$B898,'1_原始數據'!$D$2:$D$1000,$D898,'1_原始數據'!$C$2:$C$1000,"khp_mass_g")/('2_NaOH標定'!$C$5*$E898/1000))))</f>
        <v/>
      </c>
      <c r="K898" s="24">
        <f>IF($A898="","",IF($C898&lt;&gt;"manual_titration_mL","",IF(COUNTIFS('1_原始數據'!$A$2:$A$1000,$A898,'1_原始數據'!$C$2:$C$1000,"khp_titration_mL")=0,"",AVERAGEIFS('1_原始數據'!$J$2:$J$1000,'1_原始數據'!$A$2:$A$1000,$A898,'1_原始數據'!$C$2:$C$1000,"khp_titration_mL"))))</f>
        <v/>
      </c>
      <c r="L898" s="25">
        <f>IF($A898="","",IF($C898&lt;&gt;"manual_titration_mL","",IFERROR(INDEX('3_可滴定酸度'!$E$6:$E$13,MATCH($I898,'3_可滴定酸度'!$B$6:$B$13,0)),"")))</f>
        <v/>
      </c>
      <c r="M898" s="25">
        <f>IF($A898="","",IF($C898&lt;&gt;"manual_titration_mL","",IFERROR(INDEX('3_可滴定酸度'!$F$6:$F$13,MATCH($I898,'3_可滴定酸度'!$B$6:$B$13,0)),"")))</f>
        <v/>
      </c>
      <c r="N898" s="24">
        <f>IF($A898="","",IF(OR(K898="",L898="",M898=""),"",K898*E898*L898/(M898*1000)*100))</f>
        <v/>
      </c>
      <c r="O898" s="24">
        <f>IF($A898="","",IF(N898="","",IF(COUNTIFS('1_原始數據'!$A$2:$A$1000,$A898,'1_原始數據'!$B$2:$B$1000,$B898,'1_原始數據'!$D$2:$D$1000,$D898,'1_原始數據'!$I$2:$I$1000,$I898,'1_原始數據'!$C$2:$C$1000,"pasco_pct_acid")=0,"",SUMIFS('1_原始數據'!$E$2:$E$1000,'1_原始數據'!$A$2:$A$1000,$A898,'1_原始數據'!$B$2:$B$1000,$B898,'1_原始數據'!$D$2:$D$1000,$D898,'1_原始數據'!$I$2:$I$1000,$I898,'1_原始數據'!$C$2:$C$1000,"pasco_pct_acid"))))</f>
        <v/>
      </c>
      <c r="P898" s="26">
        <f>IF($A898="","",IF(OR(N898="",O898=""),"",O898-N898))</f>
        <v/>
      </c>
      <c r="Q898" s="24">
        <f>IF($A898="","",IF(P898="","",(O898+N898)/2))</f>
        <v/>
      </c>
      <c r="R898" s="27">
        <f>IF($A898="","",IF(P898="","",COUNT($P$2:P898)))</f>
        <v/>
      </c>
    </row>
    <row r="899">
      <c r="J899" s="24">
        <f>IF($A899="","",IF($C899&lt;&gt;"khp_titration_mL","",IF(COUNTIFS('1_原始數據'!$A$2:$A$1000,$A899,'1_原始數據'!$B$2:$B$1000,$B899,'1_原始數據'!$D$2:$D$1000,$D899,'1_原始數據'!$C$2:$C$1000,"khp_mass_g")=0,"",SUMIFS('1_原始數據'!$E$2:$E$1000,'1_原始數據'!$A$2:$A$1000,$A899,'1_原始數據'!$B$2:$B$1000,$B899,'1_原始數據'!$D$2:$D$1000,$D899,'1_原始數據'!$C$2:$C$1000,"khp_mass_g")/('2_NaOH標定'!$C$5*$E899/1000))))</f>
        <v/>
      </c>
      <c r="K899" s="24">
        <f>IF($A899="","",IF($C899&lt;&gt;"manual_titration_mL","",IF(COUNTIFS('1_原始數據'!$A$2:$A$1000,$A899,'1_原始數據'!$C$2:$C$1000,"khp_titration_mL")=0,"",AVERAGEIFS('1_原始數據'!$J$2:$J$1000,'1_原始數據'!$A$2:$A$1000,$A899,'1_原始數據'!$C$2:$C$1000,"khp_titration_mL"))))</f>
        <v/>
      </c>
      <c r="L899" s="25">
        <f>IF($A899="","",IF($C899&lt;&gt;"manual_titration_mL","",IFERROR(INDEX('3_可滴定酸度'!$E$6:$E$13,MATCH($I899,'3_可滴定酸度'!$B$6:$B$13,0)),"")))</f>
        <v/>
      </c>
      <c r="M899" s="25">
        <f>IF($A899="","",IF($C899&lt;&gt;"manual_titration_mL","",IFERROR(INDEX('3_可滴定酸度'!$F$6:$F$13,MATCH($I899,'3_可滴定酸度'!$B$6:$B$13,0)),"")))</f>
        <v/>
      </c>
      <c r="N899" s="24">
        <f>IF($A899="","",IF(OR(K899="",L899="",M899=""),"",K899*E899*L899/(M899*1000)*100))</f>
        <v/>
      </c>
      <c r="O899" s="24">
        <f>IF($A899="","",IF(N899="","",IF(COUNTIFS('1_原始數據'!$A$2:$A$1000,$A899,'1_原始數據'!$B$2:$B$1000,$B899,'1_原始數據'!$D$2:$D$1000,$D899,'1_原始數據'!$I$2:$I$1000,$I899,'1_原始數據'!$C$2:$C$1000,"pasco_pct_acid")=0,"",SUMIFS('1_原始數據'!$E$2:$E$1000,'1_原始數據'!$A$2:$A$1000,$A899,'1_原始數據'!$B$2:$B$1000,$B899,'1_原始數據'!$D$2:$D$1000,$D899,'1_原始數據'!$I$2:$I$1000,$I899,'1_原始數據'!$C$2:$C$1000,"pasco_pct_acid"))))</f>
        <v/>
      </c>
      <c r="P899" s="26">
        <f>IF($A899="","",IF(OR(N899="",O899=""),"",O899-N899))</f>
        <v/>
      </c>
      <c r="Q899" s="24">
        <f>IF($A899="","",IF(P899="","",(O899+N899)/2))</f>
        <v/>
      </c>
      <c r="R899" s="27">
        <f>IF($A899="","",IF(P899="","",COUNT($P$2:P899)))</f>
        <v/>
      </c>
    </row>
    <row r="900">
      <c r="J900" s="24">
        <f>IF($A900="","",IF($C900&lt;&gt;"khp_titration_mL","",IF(COUNTIFS('1_原始數據'!$A$2:$A$1000,$A900,'1_原始數據'!$B$2:$B$1000,$B900,'1_原始數據'!$D$2:$D$1000,$D900,'1_原始數據'!$C$2:$C$1000,"khp_mass_g")=0,"",SUMIFS('1_原始數據'!$E$2:$E$1000,'1_原始數據'!$A$2:$A$1000,$A900,'1_原始數據'!$B$2:$B$1000,$B900,'1_原始數據'!$D$2:$D$1000,$D900,'1_原始數據'!$C$2:$C$1000,"khp_mass_g")/('2_NaOH標定'!$C$5*$E900/1000))))</f>
        <v/>
      </c>
      <c r="K900" s="24">
        <f>IF($A900="","",IF($C900&lt;&gt;"manual_titration_mL","",IF(COUNTIFS('1_原始數據'!$A$2:$A$1000,$A900,'1_原始數據'!$C$2:$C$1000,"khp_titration_mL")=0,"",AVERAGEIFS('1_原始數據'!$J$2:$J$1000,'1_原始數據'!$A$2:$A$1000,$A900,'1_原始數據'!$C$2:$C$1000,"khp_titration_mL"))))</f>
        <v/>
      </c>
      <c r="L900" s="25">
        <f>IF($A900="","",IF($C900&lt;&gt;"manual_titration_mL","",IFERROR(INDEX('3_可滴定酸度'!$E$6:$E$13,MATCH($I900,'3_可滴定酸度'!$B$6:$B$13,0)),"")))</f>
        <v/>
      </c>
      <c r="M900" s="25">
        <f>IF($A900="","",IF($C900&lt;&gt;"manual_titration_mL","",IFERROR(INDEX('3_可滴定酸度'!$F$6:$F$13,MATCH($I900,'3_可滴定酸度'!$B$6:$B$13,0)),"")))</f>
        <v/>
      </c>
      <c r="N900" s="24">
        <f>IF($A900="","",IF(OR(K900="",L900="",M900=""),"",K900*E900*L900/(M900*1000)*100))</f>
        <v/>
      </c>
      <c r="O900" s="24">
        <f>IF($A900="","",IF(N900="","",IF(COUNTIFS('1_原始數據'!$A$2:$A$1000,$A900,'1_原始數據'!$B$2:$B$1000,$B900,'1_原始數據'!$D$2:$D$1000,$D900,'1_原始數據'!$I$2:$I$1000,$I900,'1_原始數據'!$C$2:$C$1000,"pasco_pct_acid")=0,"",SUMIFS('1_原始數據'!$E$2:$E$1000,'1_原始數據'!$A$2:$A$1000,$A900,'1_原始數據'!$B$2:$B$1000,$B900,'1_原始數據'!$D$2:$D$1000,$D900,'1_原始數據'!$I$2:$I$1000,$I900,'1_原始數據'!$C$2:$C$1000,"pasco_pct_acid"))))</f>
        <v/>
      </c>
      <c r="P900" s="26">
        <f>IF($A900="","",IF(OR(N900="",O900=""),"",O900-N900))</f>
        <v/>
      </c>
      <c r="Q900" s="24">
        <f>IF($A900="","",IF(P900="","",(O900+N900)/2))</f>
        <v/>
      </c>
      <c r="R900" s="27">
        <f>IF($A900="","",IF(P900="","",COUNT($P$2:P900)))</f>
        <v/>
      </c>
    </row>
    <row r="901">
      <c r="J901" s="24">
        <f>IF($A901="","",IF($C901&lt;&gt;"khp_titration_mL","",IF(COUNTIFS('1_原始數據'!$A$2:$A$1000,$A901,'1_原始數據'!$B$2:$B$1000,$B901,'1_原始數據'!$D$2:$D$1000,$D901,'1_原始數據'!$C$2:$C$1000,"khp_mass_g")=0,"",SUMIFS('1_原始數據'!$E$2:$E$1000,'1_原始數據'!$A$2:$A$1000,$A901,'1_原始數據'!$B$2:$B$1000,$B901,'1_原始數據'!$D$2:$D$1000,$D901,'1_原始數據'!$C$2:$C$1000,"khp_mass_g")/('2_NaOH標定'!$C$5*$E901/1000))))</f>
        <v/>
      </c>
      <c r="K901" s="24">
        <f>IF($A901="","",IF($C901&lt;&gt;"manual_titration_mL","",IF(COUNTIFS('1_原始數據'!$A$2:$A$1000,$A901,'1_原始數據'!$C$2:$C$1000,"khp_titration_mL")=0,"",AVERAGEIFS('1_原始數據'!$J$2:$J$1000,'1_原始數據'!$A$2:$A$1000,$A901,'1_原始數據'!$C$2:$C$1000,"khp_titration_mL"))))</f>
        <v/>
      </c>
      <c r="L901" s="25">
        <f>IF($A901="","",IF($C901&lt;&gt;"manual_titration_mL","",IFERROR(INDEX('3_可滴定酸度'!$E$6:$E$13,MATCH($I901,'3_可滴定酸度'!$B$6:$B$13,0)),"")))</f>
        <v/>
      </c>
      <c r="M901" s="25">
        <f>IF($A901="","",IF($C901&lt;&gt;"manual_titration_mL","",IFERROR(INDEX('3_可滴定酸度'!$F$6:$F$13,MATCH($I901,'3_可滴定酸度'!$B$6:$B$13,0)),"")))</f>
        <v/>
      </c>
      <c r="N901" s="24">
        <f>IF($A901="","",IF(OR(K901="",L901="",M901=""),"",K901*E901*L901/(M901*1000)*100))</f>
        <v/>
      </c>
      <c r="O901" s="24">
        <f>IF($A901="","",IF(N901="","",IF(COUNTIFS('1_原始數據'!$A$2:$A$1000,$A901,'1_原始數據'!$B$2:$B$1000,$B901,'1_原始數據'!$D$2:$D$1000,$D901,'1_原始數據'!$I$2:$I$1000,$I901,'1_原始數據'!$C$2:$C$1000,"pasco_pct_acid")=0,"",SUMIFS('1_原始數據'!$E$2:$E$1000,'1_原始數據'!$A$2:$A$1000,$A901,'1_原始數據'!$B$2:$B$1000,$B901,'1_原始數據'!$D$2:$D$1000,$D901,'1_原始數據'!$I$2:$I$1000,$I901,'1_原始數據'!$C$2:$C$1000,"pasco_pct_acid"))))</f>
        <v/>
      </c>
      <c r="P901" s="26">
        <f>IF($A901="","",IF(OR(N901="",O901=""),"",O901-N901))</f>
        <v/>
      </c>
      <c r="Q901" s="24">
        <f>IF($A901="","",IF(P901="","",(O901+N901)/2))</f>
        <v/>
      </c>
      <c r="R901" s="27">
        <f>IF($A901="","",IF(P901="","",COUNT($P$2:P901)))</f>
        <v/>
      </c>
    </row>
    <row r="902">
      <c r="J902" s="24">
        <f>IF($A902="","",IF($C902&lt;&gt;"khp_titration_mL","",IF(COUNTIFS('1_原始數據'!$A$2:$A$1000,$A902,'1_原始數據'!$B$2:$B$1000,$B902,'1_原始數據'!$D$2:$D$1000,$D902,'1_原始數據'!$C$2:$C$1000,"khp_mass_g")=0,"",SUMIFS('1_原始數據'!$E$2:$E$1000,'1_原始數據'!$A$2:$A$1000,$A902,'1_原始數據'!$B$2:$B$1000,$B902,'1_原始數據'!$D$2:$D$1000,$D902,'1_原始數據'!$C$2:$C$1000,"khp_mass_g")/('2_NaOH標定'!$C$5*$E902/1000))))</f>
        <v/>
      </c>
      <c r="K902" s="24">
        <f>IF($A902="","",IF($C902&lt;&gt;"manual_titration_mL","",IF(COUNTIFS('1_原始數據'!$A$2:$A$1000,$A902,'1_原始數據'!$C$2:$C$1000,"khp_titration_mL")=0,"",AVERAGEIFS('1_原始數據'!$J$2:$J$1000,'1_原始數據'!$A$2:$A$1000,$A902,'1_原始數據'!$C$2:$C$1000,"khp_titration_mL"))))</f>
        <v/>
      </c>
      <c r="L902" s="25">
        <f>IF($A902="","",IF($C902&lt;&gt;"manual_titration_mL","",IFERROR(INDEX('3_可滴定酸度'!$E$6:$E$13,MATCH($I902,'3_可滴定酸度'!$B$6:$B$13,0)),"")))</f>
        <v/>
      </c>
      <c r="M902" s="25">
        <f>IF($A902="","",IF($C902&lt;&gt;"manual_titration_mL","",IFERROR(INDEX('3_可滴定酸度'!$F$6:$F$13,MATCH($I902,'3_可滴定酸度'!$B$6:$B$13,0)),"")))</f>
        <v/>
      </c>
      <c r="N902" s="24">
        <f>IF($A902="","",IF(OR(K902="",L902="",M902=""),"",K902*E902*L902/(M902*1000)*100))</f>
        <v/>
      </c>
      <c r="O902" s="24">
        <f>IF($A902="","",IF(N902="","",IF(COUNTIFS('1_原始數據'!$A$2:$A$1000,$A902,'1_原始數據'!$B$2:$B$1000,$B902,'1_原始數據'!$D$2:$D$1000,$D902,'1_原始數據'!$I$2:$I$1000,$I902,'1_原始數據'!$C$2:$C$1000,"pasco_pct_acid")=0,"",SUMIFS('1_原始數據'!$E$2:$E$1000,'1_原始數據'!$A$2:$A$1000,$A902,'1_原始數據'!$B$2:$B$1000,$B902,'1_原始數據'!$D$2:$D$1000,$D902,'1_原始數據'!$I$2:$I$1000,$I902,'1_原始數據'!$C$2:$C$1000,"pasco_pct_acid"))))</f>
        <v/>
      </c>
      <c r="P902" s="26">
        <f>IF($A902="","",IF(OR(N902="",O902=""),"",O902-N902))</f>
        <v/>
      </c>
      <c r="Q902" s="24">
        <f>IF($A902="","",IF(P902="","",(O902+N902)/2))</f>
        <v/>
      </c>
      <c r="R902" s="27">
        <f>IF($A902="","",IF(P902="","",COUNT($P$2:P902)))</f>
        <v/>
      </c>
    </row>
    <row r="903">
      <c r="J903" s="24">
        <f>IF($A903="","",IF($C903&lt;&gt;"khp_titration_mL","",IF(COUNTIFS('1_原始數據'!$A$2:$A$1000,$A903,'1_原始數據'!$B$2:$B$1000,$B903,'1_原始數據'!$D$2:$D$1000,$D903,'1_原始數據'!$C$2:$C$1000,"khp_mass_g")=0,"",SUMIFS('1_原始數據'!$E$2:$E$1000,'1_原始數據'!$A$2:$A$1000,$A903,'1_原始數據'!$B$2:$B$1000,$B903,'1_原始數據'!$D$2:$D$1000,$D903,'1_原始數據'!$C$2:$C$1000,"khp_mass_g")/('2_NaOH標定'!$C$5*$E903/1000))))</f>
        <v/>
      </c>
      <c r="K903" s="24">
        <f>IF($A903="","",IF($C903&lt;&gt;"manual_titration_mL","",IF(COUNTIFS('1_原始數據'!$A$2:$A$1000,$A903,'1_原始數據'!$C$2:$C$1000,"khp_titration_mL")=0,"",AVERAGEIFS('1_原始數據'!$J$2:$J$1000,'1_原始數據'!$A$2:$A$1000,$A903,'1_原始數據'!$C$2:$C$1000,"khp_titration_mL"))))</f>
        <v/>
      </c>
      <c r="L903" s="25">
        <f>IF($A903="","",IF($C903&lt;&gt;"manual_titration_mL","",IFERROR(INDEX('3_可滴定酸度'!$E$6:$E$13,MATCH($I903,'3_可滴定酸度'!$B$6:$B$13,0)),"")))</f>
        <v/>
      </c>
      <c r="M903" s="25">
        <f>IF($A903="","",IF($C903&lt;&gt;"manual_titration_mL","",IFERROR(INDEX('3_可滴定酸度'!$F$6:$F$13,MATCH($I903,'3_可滴定酸度'!$B$6:$B$13,0)),"")))</f>
        <v/>
      </c>
      <c r="N903" s="24">
        <f>IF($A903="","",IF(OR(K903="",L903="",M903=""),"",K903*E903*L903/(M903*1000)*100))</f>
        <v/>
      </c>
      <c r="O903" s="24">
        <f>IF($A903="","",IF(N903="","",IF(COUNTIFS('1_原始數據'!$A$2:$A$1000,$A903,'1_原始數據'!$B$2:$B$1000,$B903,'1_原始數據'!$D$2:$D$1000,$D903,'1_原始數據'!$I$2:$I$1000,$I903,'1_原始數據'!$C$2:$C$1000,"pasco_pct_acid")=0,"",SUMIFS('1_原始數據'!$E$2:$E$1000,'1_原始數據'!$A$2:$A$1000,$A903,'1_原始數據'!$B$2:$B$1000,$B903,'1_原始數據'!$D$2:$D$1000,$D903,'1_原始數據'!$I$2:$I$1000,$I903,'1_原始數據'!$C$2:$C$1000,"pasco_pct_acid"))))</f>
        <v/>
      </c>
      <c r="P903" s="26">
        <f>IF($A903="","",IF(OR(N903="",O903=""),"",O903-N903))</f>
        <v/>
      </c>
      <c r="Q903" s="24">
        <f>IF($A903="","",IF(P903="","",(O903+N903)/2))</f>
        <v/>
      </c>
      <c r="R903" s="27">
        <f>IF($A903="","",IF(P903="","",COUNT($P$2:P903)))</f>
        <v/>
      </c>
    </row>
    <row r="904">
      <c r="J904" s="24">
        <f>IF($A904="","",IF($C904&lt;&gt;"khp_titration_mL","",IF(COUNTIFS('1_原始數據'!$A$2:$A$1000,$A904,'1_原始數據'!$B$2:$B$1000,$B904,'1_原始數據'!$D$2:$D$1000,$D904,'1_原始數據'!$C$2:$C$1000,"khp_mass_g")=0,"",SUMIFS('1_原始數據'!$E$2:$E$1000,'1_原始數據'!$A$2:$A$1000,$A904,'1_原始數據'!$B$2:$B$1000,$B904,'1_原始數據'!$D$2:$D$1000,$D904,'1_原始數據'!$C$2:$C$1000,"khp_mass_g")/('2_NaOH標定'!$C$5*$E904/1000))))</f>
        <v/>
      </c>
      <c r="K904" s="24">
        <f>IF($A904="","",IF($C904&lt;&gt;"manual_titration_mL","",IF(COUNTIFS('1_原始數據'!$A$2:$A$1000,$A904,'1_原始數據'!$C$2:$C$1000,"khp_titration_mL")=0,"",AVERAGEIFS('1_原始數據'!$J$2:$J$1000,'1_原始數據'!$A$2:$A$1000,$A904,'1_原始數據'!$C$2:$C$1000,"khp_titration_mL"))))</f>
        <v/>
      </c>
      <c r="L904" s="25">
        <f>IF($A904="","",IF($C904&lt;&gt;"manual_titration_mL","",IFERROR(INDEX('3_可滴定酸度'!$E$6:$E$13,MATCH($I904,'3_可滴定酸度'!$B$6:$B$13,0)),"")))</f>
        <v/>
      </c>
      <c r="M904" s="25">
        <f>IF($A904="","",IF($C904&lt;&gt;"manual_titration_mL","",IFERROR(INDEX('3_可滴定酸度'!$F$6:$F$13,MATCH($I904,'3_可滴定酸度'!$B$6:$B$13,0)),"")))</f>
        <v/>
      </c>
      <c r="N904" s="24">
        <f>IF($A904="","",IF(OR(K904="",L904="",M904=""),"",K904*E904*L904/(M904*1000)*100))</f>
        <v/>
      </c>
      <c r="O904" s="24">
        <f>IF($A904="","",IF(N904="","",IF(COUNTIFS('1_原始數據'!$A$2:$A$1000,$A904,'1_原始數據'!$B$2:$B$1000,$B904,'1_原始數據'!$D$2:$D$1000,$D904,'1_原始數據'!$I$2:$I$1000,$I904,'1_原始數據'!$C$2:$C$1000,"pasco_pct_acid")=0,"",SUMIFS('1_原始數據'!$E$2:$E$1000,'1_原始數據'!$A$2:$A$1000,$A904,'1_原始數據'!$B$2:$B$1000,$B904,'1_原始數據'!$D$2:$D$1000,$D904,'1_原始數據'!$I$2:$I$1000,$I904,'1_原始數據'!$C$2:$C$1000,"pasco_pct_acid"))))</f>
        <v/>
      </c>
      <c r="P904" s="26">
        <f>IF($A904="","",IF(OR(N904="",O904=""),"",O904-N904))</f>
        <v/>
      </c>
      <c r="Q904" s="24">
        <f>IF($A904="","",IF(P904="","",(O904+N904)/2))</f>
        <v/>
      </c>
      <c r="R904" s="27">
        <f>IF($A904="","",IF(P904="","",COUNT($P$2:P904)))</f>
        <v/>
      </c>
    </row>
    <row r="905">
      <c r="J905" s="24">
        <f>IF($A905="","",IF($C905&lt;&gt;"khp_titration_mL","",IF(COUNTIFS('1_原始數據'!$A$2:$A$1000,$A905,'1_原始數據'!$B$2:$B$1000,$B905,'1_原始數據'!$D$2:$D$1000,$D905,'1_原始數據'!$C$2:$C$1000,"khp_mass_g")=0,"",SUMIFS('1_原始數據'!$E$2:$E$1000,'1_原始數據'!$A$2:$A$1000,$A905,'1_原始數據'!$B$2:$B$1000,$B905,'1_原始數據'!$D$2:$D$1000,$D905,'1_原始數據'!$C$2:$C$1000,"khp_mass_g")/('2_NaOH標定'!$C$5*$E905/1000))))</f>
        <v/>
      </c>
      <c r="K905" s="24">
        <f>IF($A905="","",IF($C905&lt;&gt;"manual_titration_mL","",IF(COUNTIFS('1_原始數據'!$A$2:$A$1000,$A905,'1_原始數據'!$C$2:$C$1000,"khp_titration_mL")=0,"",AVERAGEIFS('1_原始數據'!$J$2:$J$1000,'1_原始數據'!$A$2:$A$1000,$A905,'1_原始數據'!$C$2:$C$1000,"khp_titration_mL"))))</f>
        <v/>
      </c>
      <c r="L905" s="25">
        <f>IF($A905="","",IF($C905&lt;&gt;"manual_titration_mL","",IFERROR(INDEX('3_可滴定酸度'!$E$6:$E$13,MATCH($I905,'3_可滴定酸度'!$B$6:$B$13,0)),"")))</f>
        <v/>
      </c>
      <c r="M905" s="25">
        <f>IF($A905="","",IF($C905&lt;&gt;"manual_titration_mL","",IFERROR(INDEX('3_可滴定酸度'!$F$6:$F$13,MATCH($I905,'3_可滴定酸度'!$B$6:$B$13,0)),"")))</f>
        <v/>
      </c>
      <c r="N905" s="24">
        <f>IF($A905="","",IF(OR(K905="",L905="",M905=""),"",K905*E905*L905/(M905*1000)*100))</f>
        <v/>
      </c>
      <c r="O905" s="24">
        <f>IF($A905="","",IF(N905="","",IF(COUNTIFS('1_原始數據'!$A$2:$A$1000,$A905,'1_原始數據'!$B$2:$B$1000,$B905,'1_原始數據'!$D$2:$D$1000,$D905,'1_原始數據'!$I$2:$I$1000,$I905,'1_原始數據'!$C$2:$C$1000,"pasco_pct_acid")=0,"",SUMIFS('1_原始數據'!$E$2:$E$1000,'1_原始數據'!$A$2:$A$1000,$A905,'1_原始數據'!$B$2:$B$1000,$B905,'1_原始數據'!$D$2:$D$1000,$D905,'1_原始數據'!$I$2:$I$1000,$I905,'1_原始數據'!$C$2:$C$1000,"pasco_pct_acid"))))</f>
        <v/>
      </c>
      <c r="P905" s="26">
        <f>IF($A905="","",IF(OR(N905="",O905=""),"",O905-N905))</f>
        <v/>
      </c>
      <c r="Q905" s="24">
        <f>IF($A905="","",IF(P905="","",(O905+N905)/2))</f>
        <v/>
      </c>
      <c r="R905" s="27">
        <f>IF($A905="","",IF(P905="","",COUNT($P$2:P905)))</f>
        <v/>
      </c>
    </row>
    <row r="906">
      <c r="J906" s="24">
        <f>IF($A906="","",IF($C906&lt;&gt;"khp_titration_mL","",IF(COUNTIFS('1_原始數據'!$A$2:$A$1000,$A906,'1_原始數據'!$B$2:$B$1000,$B906,'1_原始數據'!$D$2:$D$1000,$D906,'1_原始數據'!$C$2:$C$1000,"khp_mass_g")=0,"",SUMIFS('1_原始數據'!$E$2:$E$1000,'1_原始數據'!$A$2:$A$1000,$A906,'1_原始數據'!$B$2:$B$1000,$B906,'1_原始數據'!$D$2:$D$1000,$D906,'1_原始數據'!$C$2:$C$1000,"khp_mass_g")/('2_NaOH標定'!$C$5*$E906/1000))))</f>
        <v/>
      </c>
      <c r="K906" s="24">
        <f>IF($A906="","",IF($C906&lt;&gt;"manual_titration_mL","",IF(COUNTIFS('1_原始數據'!$A$2:$A$1000,$A906,'1_原始數據'!$C$2:$C$1000,"khp_titration_mL")=0,"",AVERAGEIFS('1_原始數據'!$J$2:$J$1000,'1_原始數據'!$A$2:$A$1000,$A906,'1_原始數據'!$C$2:$C$1000,"khp_titration_mL"))))</f>
        <v/>
      </c>
      <c r="L906" s="25">
        <f>IF($A906="","",IF($C906&lt;&gt;"manual_titration_mL","",IFERROR(INDEX('3_可滴定酸度'!$E$6:$E$13,MATCH($I906,'3_可滴定酸度'!$B$6:$B$13,0)),"")))</f>
        <v/>
      </c>
      <c r="M906" s="25">
        <f>IF($A906="","",IF($C906&lt;&gt;"manual_titration_mL","",IFERROR(INDEX('3_可滴定酸度'!$F$6:$F$13,MATCH($I906,'3_可滴定酸度'!$B$6:$B$13,0)),"")))</f>
        <v/>
      </c>
      <c r="N906" s="24">
        <f>IF($A906="","",IF(OR(K906="",L906="",M906=""),"",K906*E906*L906/(M906*1000)*100))</f>
        <v/>
      </c>
      <c r="O906" s="24">
        <f>IF($A906="","",IF(N906="","",IF(COUNTIFS('1_原始數據'!$A$2:$A$1000,$A906,'1_原始數據'!$B$2:$B$1000,$B906,'1_原始數據'!$D$2:$D$1000,$D906,'1_原始數據'!$I$2:$I$1000,$I906,'1_原始數據'!$C$2:$C$1000,"pasco_pct_acid")=0,"",SUMIFS('1_原始數據'!$E$2:$E$1000,'1_原始數據'!$A$2:$A$1000,$A906,'1_原始數據'!$B$2:$B$1000,$B906,'1_原始數據'!$D$2:$D$1000,$D906,'1_原始數據'!$I$2:$I$1000,$I906,'1_原始數據'!$C$2:$C$1000,"pasco_pct_acid"))))</f>
        <v/>
      </c>
      <c r="P906" s="26">
        <f>IF($A906="","",IF(OR(N906="",O906=""),"",O906-N906))</f>
        <v/>
      </c>
      <c r="Q906" s="24">
        <f>IF($A906="","",IF(P906="","",(O906+N906)/2))</f>
        <v/>
      </c>
      <c r="R906" s="27">
        <f>IF($A906="","",IF(P906="","",COUNT($P$2:P906)))</f>
        <v/>
      </c>
    </row>
    <row r="907">
      <c r="J907" s="24">
        <f>IF($A907="","",IF($C907&lt;&gt;"khp_titration_mL","",IF(COUNTIFS('1_原始數據'!$A$2:$A$1000,$A907,'1_原始數據'!$B$2:$B$1000,$B907,'1_原始數據'!$D$2:$D$1000,$D907,'1_原始數據'!$C$2:$C$1000,"khp_mass_g")=0,"",SUMIFS('1_原始數據'!$E$2:$E$1000,'1_原始數據'!$A$2:$A$1000,$A907,'1_原始數據'!$B$2:$B$1000,$B907,'1_原始數據'!$D$2:$D$1000,$D907,'1_原始數據'!$C$2:$C$1000,"khp_mass_g")/('2_NaOH標定'!$C$5*$E907/1000))))</f>
        <v/>
      </c>
      <c r="K907" s="24">
        <f>IF($A907="","",IF($C907&lt;&gt;"manual_titration_mL","",IF(COUNTIFS('1_原始數據'!$A$2:$A$1000,$A907,'1_原始數據'!$C$2:$C$1000,"khp_titration_mL")=0,"",AVERAGEIFS('1_原始數據'!$J$2:$J$1000,'1_原始數據'!$A$2:$A$1000,$A907,'1_原始數據'!$C$2:$C$1000,"khp_titration_mL"))))</f>
        <v/>
      </c>
      <c r="L907" s="25">
        <f>IF($A907="","",IF($C907&lt;&gt;"manual_titration_mL","",IFERROR(INDEX('3_可滴定酸度'!$E$6:$E$13,MATCH($I907,'3_可滴定酸度'!$B$6:$B$13,0)),"")))</f>
        <v/>
      </c>
      <c r="M907" s="25">
        <f>IF($A907="","",IF($C907&lt;&gt;"manual_titration_mL","",IFERROR(INDEX('3_可滴定酸度'!$F$6:$F$13,MATCH($I907,'3_可滴定酸度'!$B$6:$B$13,0)),"")))</f>
        <v/>
      </c>
      <c r="N907" s="24">
        <f>IF($A907="","",IF(OR(K907="",L907="",M907=""),"",K907*E907*L907/(M907*1000)*100))</f>
        <v/>
      </c>
      <c r="O907" s="24">
        <f>IF($A907="","",IF(N907="","",IF(COUNTIFS('1_原始數據'!$A$2:$A$1000,$A907,'1_原始數據'!$B$2:$B$1000,$B907,'1_原始數據'!$D$2:$D$1000,$D907,'1_原始數據'!$I$2:$I$1000,$I907,'1_原始數據'!$C$2:$C$1000,"pasco_pct_acid")=0,"",SUMIFS('1_原始數據'!$E$2:$E$1000,'1_原始數據'!$A$2:$A$1000,$A907,'1_原始數據'!$B$2:$B$1000,$B907,'1_原始數據'!$D$2:$D$1000,$D907,'1_原始數據'!$I$2:$I$1000,$I907,'1_原始數據'!$C$2:$C$1000,"pasco_pct_acid"))))</f>
        <v/>
      </c>
      <c r="P907" s="26">
        <f>IF($A907="","",IF(OR(N907="",O907=""),"",O907-N907))</f>
        <v/>
      </c>
      <c r="Q907" s="24">
        <f>IF($A907="","",IF(P907="","",(O907+N907)/2))</f>
        <v/>
      </c>
      <c r="R907" s="27">
        <f>IF($A907="","",IF(P907="","",COUNT($P$2:P907)))</f>
        <v/>
      </c>
    </row>
    <row r="908">
      <c r="J908" s="24">
        <f>IF($A908="","",IF($C908&lt;&gt;"khp_titration_mL","",IF(COUNTIFS('1_原始數據'!$A$2:$A$1000,$A908,'1_原始數據'!$B$2:$B$1000,$B908,'1_原始數據'!$D$2:$D$1000,$D908,'1_原始數據'!$C$2:$C$1000,"khp_mass_g")=0,"",SUMIFS('1_原始數據'!$E$2:$E$1000,'1_原始數據'!$A$2:$A$1000,$A908,'1_原始數據'!$B$2:$B$1000,$B908,'1_原始數據'!$D$2:$D$1000,$D908,'1_原始數據'!$C$2:$C$1000,"khp_mass_g")/('2_NaOH標定'!$C$5*$E908/1000))))</f>
        <v/>
      </c>
      <c r="K908" s="24">
        <f>IF($A908="","",IF($C908&lt;&gt;"manual_titration_mL","",IF(COUNTIFS('1_原始數據'!$A$2:$A$1000,$A908,'1_原始數據'!$C$2:$C$1000,"khp_titration_mL")=0,"",AVERAGEIFS('1_原始數據'!$J$2:$J$1000,'1_原始數據'!$A$2:$A$1000,$A908,'1_原始數據'!$C$2:$C$1000,"khp_titration_mL"))))</f>
        <v/>
      </c>
      <c r="L908" s="25">
        <f>IF($A908="","",IF($C908&lt;&gt;"manual_titration_mL","",IFERROR(INDEX('3_可滴定酸度'!$E$6:$E$13,MATCH($I908,'3_可滴定酸度'!$B$6:$B$13,0)),"")))</f>
        <v/>
      </c>
      <c r="M908" s="25">
        <f>IF($A908="","",IF($C908&lt;&gt;"manual_titration_mL","",IFERROR(INDEX('3_可滴定酸度'!$F$6:$F$13,MATCH($I908,'3_可滴定酸度'!$B$6:$B$13,0)),"")))</f>
        <v/>
      </c>
      <c r="N908" s="24">
        <f>IF($A908="","",IF(OR(K908="",L908="",M908=""),"",K908*E908*L908/(M908*1000)*100))</f>
        <v/>
      </c>
      <c r="O908" s="24">
        <f>IF($A908="","",IF(N908="","",IF(COUNTIFS('1_原始數據'!$A$2:$A$1000,$A908,'1_原始數據'!$B$2:$B$1000,$B908,'1_原始數據'!$D$2:$D$1000,$D908,'1_原始數據'!$I$2:$I$1000,$I908,'1_原始數據'!$C$2:$C$1000,"pasco_pct_acid")=0,"",SUMIFS('1_原始數據'!$E$2:$E$1000,'1_原始數據'!$A$2:$A$1000,$A908,'1_原始數據'!$B$2:$B$1000,$B908,'1_原始數據'!$D$2:$D$1000,$D908,'1_原始數據'!$I$2:$I$1000,$I908,'1_原始數據'!$C$2:$C$1000,"pasco_pct_acid"))))</f>
        <v/>
      </c>
      <c r="P908" s="26">
        <f>IF($A908="","",IF(OR(N908="",O908=""),"",O908-N908))</f>
        <v/>
      </c>
      <c r="Q908" s="24">
        <f>IF($A908="","",IF(P908="","",(O908+N908)/2))</f>
        <v/>
      </c>
      <c r="R908" s="27">
        <f>IF($A908="","",IF(P908="","",COUNT($P$2:P908)))</f>
        <v/>
      </c>
    </row>
    <row r="909">
      <c r="J909" s="24">
        <f>IF($A909="","",IF($C909&lt;&gt;"khp_titration_mL","",IF(COUNTIFS('1_原始數據'!$A$2:$A$1000,$A909,'1_原始數據'!$B$2:$B$1000,$B909,'1_原始數據'!$D$2:$D$1000,$D909,'1_原始數據'!$C$2:$C$1000,"khp_mass_g")=0,"",SUMIFS('1_原始數據'!$E$2:$E$1000,'1_原始數據'!$A$2:$A$1000,$A909,'1_原始數據'!$B$2:$B$1000,$B909,'1_原始數據'!$D$2:$D$1000,$D909,'1_原始數據'!$C$2:$C$1000,"khp_mass_g")/('2_NaOH標定'!$C$5*$E909/1000))))</f>
        <v/>
      </c>
      <c r="K909" s="24">
        <f>IF($A909="","",IF($C909&lt;&gt;"manual_titration_mL","",IF(COUNTIFS('1_原始數據'!$A$2:$A$1000,$A909,'1_原始數據'!$C$2:$C$1000,"khp_titration_mL")=0,"",AVERAGEIFS('1_原始數據'!$J$2:$J$1000,'1_原始數據'!$A$2:$A$1000,$A909,'1_原始數據'!$C$2:$C$1000,"khp_titration_mL"))))</f>
        <v/>
      </c>
      <c r="L909" s="25">
        <f>IF($A909="","",IF($C909&lt;&gt;"manual_titration_mL","",IFERROR(INDEX('3_可滴定酸度'!$E$6:$E$13,MATCH($I909,'3_可滴定酸度'!$B$6:$B$13,0)),"")))</f>
        <v/>
      </c>
      <c r="M909" s="25">
        <f>IF($A909="","",IF($C909&lt;&gt;"manual_titration_mL","",IFERROR(INDEX('3_可滴定酸度'!$F$6:$F$13,MATCH($I909,'3_可滴定酸度'!$B$6:$B$13,0)),"")))</f>
        <v/>
      </c>
      <c r="N909" s="24">
        <f>IF($A909="","",IF(OR(K909="",L909="",M909=""),"",K909*E909*L909/(M909*1000)*100))</f>
        <v/>
      </c>
      <c r="O909" s="24">
        <f>IF($A909="","",IF(N909="","",IF(COUNTIFS('1_原始數據'!$A$2:$A$1000,$A909,'1_原始數據'!$B$2:$B$1000,$B909,'1_原始數據'!$D$2:$D$1000,$D909,'1_原始數據'!$I$2:$I$1000,$I909,'1_原始數據'!$C$2:$C$1000,"pasco_pct_acid")=0,"",SUMIFS('1_原始數據'!$E$2:$E$1000,'1_原始數據'!$A$2:$A$1000,$A909,'1_原始數據'!$B$2:$B$1000,$B909,'1_原始數據'!$D$2:$D$1000,$D909,'1_原始數據'!$I$2:$I$1000,$I909,'1_原始數據'!$C$2:$C$1000,"pasco_pct_acid"))))</f>
        <v/>
      </c>
      <c r="P909" s="26">
        <f>IF($A909="","",IF(OR(N909="",O909=""),"",O909-N909))</f>
        <v/>
      </c>
      <c r="Q909" s="24">
        <f>IF($A909="","",IF(P909="","",(O909+N909)/2))</f>
        <v/>
      </c>
      <c r="R909" s="27">
        <f>IF($A909="","",IF(P909="","",COUNT($P$2:P909)))</f>
        <v/>
      </c>
    </row>
    <row r="910">
      <c r="J910" s="24">
        <f>IF($A910="","",IF($C910&lt;&gt;"khp_titration_mL","",IF(COUNTIFS('1_原始數據'!$A$2:$A$1000,$A910,'1_原始數據'!$B$2:$B$1000,$B910,'1_原始數據'!$D$2:$D$1000,$D910,'1_原始數據'!$C$2:$C$1000,"khp_mass_g")=0,"",SUMIFS('1_原始數據'!$E$2:$E$1000,'1_原始數據'!$A$2:$A$1000,$A910,'1_原始數據'!$B$2:$B$1000,$B910,'1_原始數據'!$D$2:$D$1000,$D910,'1_原始數據'!$C$2:$C$1000,"khp_mass_g")/('2_NaOH標定'!$C$5*$E910/1000))))</f>
        <v/>
      </c>
      <c r="K910" s="24">
        <f>IF($A910="","",IF($C910&lt;&gt;"manual_titration_mL","",IF(COUNTIFS('1_原始數據'!$A$2:$A$1000,$A910,'1_原始數據'!$C$2:$C$1000,"khp_titration_mL")=0,"",AVERAGEIFS('1_原始數據'!$J$2:$J$1000,'1_原始數據'!$A$2:$A$1000,$A910,'1_原始數據'!$C$2:$C$1000,"khp_titration_mL"))))</f>
        <v/>
      </c>
      <c r="L910" s="25">
        <f>IF($A910="","",IF($C910&lt;&gt;"manual_titration_mL","",IFERROR(INDEX('3_可滴定酸度'!$E$6:$E$13,MATCH($I910,'3_可滴定酸度'!$B$6:$B$13,0)),"")))</f>
        <v/>
      </c>
      <c r="M910" s="25">
        <f>IF($A910="","",IF($C910&lt;&gt;"manual_titration_mL","",IFERROR(INDEX('3_可滴定酸度'!$F$6:$F$13,MATCH($I910,'3_可滴定酸度'!$B$6:$B$13,0)),"")))</f>
        <v/>
      </c>
      <c r="N910" s="24">
        <f>IF($A910="","",IF(OR(K910="",L910="",M910=""),"",K910*E910*L910/(M910*1000)*100))</f>
        <v/>
      </c>
      <c r="O910" s="24">
        <f>IF($A910="","",IF(N910="","",IF(COUNTIFS('1_原始數據'!$A$2:$A$1000,$A910,'1_原始數據'!$B$2:$B$1000,$B910,'1_原始數據'!$D$2:$D$1000,$D910,'1_原始數據'!$I$2:$I$1000,$I910,'1_原始數據'!$C$2:$C$1000,"pasco_pct_acid")=0,"",SUMIFS('1_原始數據'!$E$2:$E$1000,'1_原始數據'!$A$2:$A$1000,$A910,'1_原始數據'!$B$2:$B$1000,$B910,'1_原始數據'!$D$2:$D$1000,$D910,'1_原始數據'!$I$2:$I$1000,$I910,'1_原始數據'!$C$2:$C$1000,"pasco_pct_acid"))))</f>
        <v/>
      </c>
      <c r="P910" s="26">
        <f>IF($A910="","",IF(OR(N910="",O910=""),"",O910-N910))</f>
        <v/>
      </c>
      <c r="Q910" s="24">
        <f>IF($A910="","",IF(P910="","",(O910+N910)/2))</f>
        <v/>
      </c>
      <c r="R910" s="27">
        <f>IF($A910="","",IF(P910="","",COUNT($P$2:P910)))</f>
        <v/>
      </c>
    </row>
    <row r="911">
      <c r="J911" s="24">
        <f>IF($A911="","",IF($C911&lt;&gt;"khp_titration_mL","",IF(COUNTIFS('1_原始數據'!$A$2:$A$1000,$A911,'1_原始數據'!$B$2:$B$1000,$B911,'1_原始數據'!$D$2:$D$1000,$D911,'1_原始數據'!$C$2:$C$1000,"khp_mass_g")=0,"",SUMIFS('1_原始數據'!$E$2:$E$1000,'1_原始數據'!$A$2:$A$1000,$A911,'1_原始數據'!$B$2:$B$1000,$B911,'1_原始數據'!$D$2:$D$1000,$D911,'1_原始數據'!$C$2:$C$1000,"khp_mass_g")/('2_NaOH標定'!$C$5*$E911/1000))))</f>
        <v/>
      </c>
      <c r="K911" s="24">
        <f>IF($A911="","",IF($C911&lt;&gt;"manual_titration_mL","",IF(COUNTIFS('1_原始數據'!$A$2:$A$1000,$A911,'1_原始數據'!$C$2:$C$1000,"khp_titration_mL")=0,"",AVERAGEIFS('1_原始數據'!$J$2:$J$1000,'1_原始數據'!$A$2:$A$1000,$A911,'1_原始數據'!$C$2:$C$1000,"khp_titration_mL"))))</f>
        <v/>
      </c>
      <c r="L911" s="25">
        <f>IF($A911="","",IF($C911&lt;&gt;"manual_titration_mL","",IFERROR(INDEX('3_可滴定酸度'!$E$6:$E$13,MATCH($I911,'3_可滴定酸度'!$B$6:$B$13,0)),"")))</f>
        <v/>
      </c>
      <c r="M911" s="25">
        <f>IF($A911="","",IF($C911&lt;&gt;"manual_titration_mL","",IFERROR(INDEX('3_可滴定酸度'!$F$6:$F$13,MATCH($I911,'3_可滴定酸度'!$B$6:$B$13,0)),"")))</f>
        <v/>
      </c>
      <c r="N911" s="24">
        <f>IF($A911="","",IF(OR(K911="",L911="",M911=""),"",K911*E911*L911/(M911*1000)*100))</f>
        <v/>
      </c>
      <c r="O911" s="24">
        <f>IF($A911="","",IF(N911="","",IF(COUNTIFS('1_原始數據'!$A$2:$A$1000,$A911,'1_原始數據'!$B$2:$B$1000,$B911,'1_原始數據'!$D$2:$D$1000,$D911,'1_原始數據'!$I$2:$I$1000,$I911,'1_原始數據'!$C$2:$C$1000,"pasco_pct_acid")=0,"",SUMIFS('1_原始數據'!$E$2:$E$1000,'1_原始數據'!$A$2:$A$1000,$A911,'1_原始數據'!$B$2:$B$1000,$B911,'1_原始數據'!$D$2:$D$1000,$D911,'1_原始數據'!$I$2:$I$1000,$I911,'1_原始數據'!$C$2:$C$1000,"pasco_pct_acid"))))</f>
        <v/>
      </c>
      <c r="P911" s="26">
        <f>IF($A911="","",IF(OR(N911="",O911=""),"",O911-N911))</f>
        <v/>
      </c>
      <c r="Q911" s="24">
        <f>IF($A911="","",IF(P911="","",(O911+N911)/2))</f>
        <v/>
      </c>
      <c r="R911" s="27">
        <f>IF($A911="","",IF(P911="","",COUNT($P$2:P911)))</f>
        <v/>
      </c>
    </row>
    <row r="912">
      <c r="J912" s="24">
        <f>IF($A912="","",IF($C912&lt;&gt;"khp_titration_mL","",IF(COUNTIFS('1_原始數據'!$A$2:$A$1000,$A912,'1_原始數據'!$B$2:$B$1000,$B912,'1_原始數據'!$D$2:$D$1000,$D912,'1_原始數據'!$C$2:$C$1000,"khp_mass_g")=0,"",SUMIFS('1_原始數據'!$E$2:$E$1000,'1_原始數據'!$A$2:$A$1000,$A912,'1_原始數據'!$B$2:$B$1000,$B912,'1_原始數據'!$D$2:$D$1000,$D912,'1_原始數據'!$C$2:$C$1000,"khp_mass_g")/('2_NaOH標定'!$C$5*$E912/1000))))</f>
        <v/>
      </c>
      <c r="K912" s="24">
        <f>IF($A912="","",IF($C912&lt;&gt;"manual_titration_mL","",IF(COUNTIFS('1_原始數據'!$A$2:$A$1000,$A912,'1_原始數據'!$C$2:$C$1000,"khp_titration_mL")=0,"",AVERAGEIFS('1_原始數據'!$J$2:$J$1000,'1_原始數據'!$A$2:$A$1000,$A912,'1_原始數據'!$C$2:$C$1000,"khp_titration_mL"))))</f>
        <v/>
      </c>
      <c r="L912" s="25">
        <f>IF($A912="","",IF($C912&lt;&gt;"manual_titration_mL","",IFERROR(INDEX('3_可滴定酸度'!$E$6:$E$13,MATCH($I912,'3_可滴定酸度'!$B$6:$B$13,0)),"")))</f>
        <v/>
      </c>
      <c r="M912" s="25">
        <f>IF($A912="","",IF($C912&lt;&gt;"manual_titration_mL","",IFERROR(INDEX('3_可滴定酸度'!$F$6:$F$13,MATCH($I912,'3_可滴定酸度'!$B$6:$B$13,0)),"")))</f>
        <v/>
      </c>
      <c r="N912" s="24">
        <f>IF($A912="","",IF(OR(K912="",L912="",M912=""),"",K912*E912*L912/(M912*1000)*100))</f>
        <v/>
      </c>
      <c r="O912" s="24">
        <f>IF($A912="","",IF(N912="","",IF(COUNTIFS('1_原始數據'!$A$2:$A$1000,$A912,'1_原始數據'!$B$2:$B$1000,$B912,'1_原始數據'!$D$2:$D$1000,$D912,'1_原始數據'!$I$2:$I$1000,$I912,'1_原始數據'!$C$2:$C$1000,"pasco_pct_acid")=0,"",SUMIFS('1_原始數據'!$E$2:$E$1000,'1_原始數據'!$A$2:$A$1000,$A912,'1_原始數據'!$B$2:$B$1000,$B912,'1_原始數據'!$D$2:$D$1000,$D912,'1_原始數據'!$I$2:$I$1000,$I912,'1_原始數據'!$C$2:$C$1000,"pasco_pct_acid"))))</f>
        <v/>
      </c>
      <c r="P912" s="26">
        <f>IF($A912="","",IF(OR(N912="",O912=""),"",O912-N912))</f>
        <v/>
      </c>
      <c r="Q912" s="24">
        <f>IF($A912="","",IF(P912="","",(O912+N912)/2))</f>
        <v/>
      </c>
      <c r="R912" s="27">
        <f>IF($A912="","",IF(P912="","",COUNT($P$2:P912)))</f>
        <v/>
      </c>
    </row>
    <row r="913">
      <c r="J913" s="24">
        <f>IF($A913="","",IF($C913&lt;&gt;"khp_titration_mL","",IF(COUNTIFS('1_原始數據'!$A$2:$A$1000,$A913,'1_原始數據'!$B$2:$B$1000,$B913,'1_原始數據'!$D$2:$D$1000,$D913,'1_原始數據'!$C$2:$C$1000,"khp_mass_g")=0,"",SUMIFS('1_原始數據'!$E$2:$E$1000,'1_原始數據'!$A$2:$A$1000,$A913,'1_原始數據'!$B$2:$B$1000,$B913,'1_原始數據'!$D$2:$D$1000,$D913,'1_原始數據'!$C$2:$C$1000,"khp_mass_g")/('2_NaOH標定'!$C$5*$E913/1000))))</f>
        <v/>
      </c>
      <c r="K913" s="24">
        <f>IF($A913="","",IF($C913&lt;&gt;"manual_titration_mL","",IF(COUNTIFS('1_原始數據'!$A$2:$A$1000,$A913,'1_原始數據'!$C$2:$C$1000,"khp_titration_mL")=0,"",AVERAGEIFS('1_原始數據'!$J$2:$J$1000,'1_原始數據'!$A$2:$A$1000,$A913,'1_原始數據'!$C$2:$C$1000,"khp_titration_mL"))))</f>
        <v/>
      </c>
      <c r="L913" s="25">
        <f>IF($A913="","",IF($C913&lt;&gt;"manual_titration_mL","",IFERROR(INDEX('3_可滴定酸度'!$E$6:$E$13,MATCH($I913,'3_可滴定酸度'!$B$6:$B$13,0)),"")))</f>
        <v/>
      </c>
      <c r="M913" s="25">
        <f>IF($A913="","",IF($C913&lt;&gt;"manual_titration_mL","",IFERROR(INDEX('3_可滴定酸度'!$F$6:$F$13,MATCH($I913,'3_可滴定酸度'!$B$6:$B$13,0)),"")))</f>
        <v/>
      </c>
      <c r="N913" s="24">
        <f>IF($A913="","",IF(OR(K913="",L913="",M913=""),"",K913*E913*L913/(M913*1000)*100))</f>
        <v/>
      </c>
      <c r="O913" s="24">
        <f>IF($A913="","",IF(N913="","",IF(COUNTIFS('1_原始數據'!$A$2:$A$1000,$A913,'1_原始數據'!$B$2:$B$1000,$B913,'1_原始數據'!$D$2:$D$1000,$D913,'1_原始數據'!$I$2:$I$1000,$I913,'1_原始數據'!$C$2:$C$1000,"pasco_pct_acid")=0,"",SUMIFS('1_原始數據'!$E$2:$E$1000,'1_原始數據'!$A$2:$A$1000,$A913,'1_原始數據'!$B$2:$B$1000,$B913,'1_原始數據'!$D$2:$D$1000,$D913,'1_原始數據'!$I$2:$I$1000,$I913,'1_原始數據'!$C$2:$C$1000,"pasco_pct_acid"))))</f>
        <v/>
      </c>
      <c r="P913" s="26">
        <f>IF($A913="","",IF(OR(N913="",O913=""),"",O913-N913))</f>
        <v/>
      </c>
      <c r="Q913" s="24">
        <f>IF($A913="","",IF(P913="","",(O913+N913)/2))</f>
        <v/>
      </c>
      <c r="R913" s="27">
        <f>IF($A913="","",IF(P913="","",COUNT($P$2:P913)))</f>
        <v/>
      </c>
    </row>
    <row r="914">
      <c r="J914" s="24">
        <f>IF($A914="","",IF($C914&lt;&gt;"khp_titration_mL","",IF(COUNTIFS('1_原始數據'!$A$2:$A$1000,$A914,'1_原始數據'!$B$2:$B$1000,$B914,'1_原始數據'!$D$2:$D$1000,$D914,'1_原始數據'!$C$2:$C$1000,"khp_mass_g")=0,"",SUMIFS('1_原始數據'!$E$2:$E$1000,'1_原始數據'!$A$2:$A$1000,$A914,'1_原始數據'!$B$2:$B$1000,$B914,'1_原始數據'!$D$2:$D$1000,$D914,'1_原始數據'!$C$2:$C$1000,"khp_mass_g")/('2_NaOH標定'!$C$5*$E914/1000))))</f>
        <v/>
      </c>
      <c r="K914" s="24">
        <f>IF($A914="","",IF($C914&lt;&gt;"manual_titration_mL","",IF(COUNTIFS('1_原始數據'!$A$2:$A$1000,$A914,'1_原始數據'!$C$2:$C$1000,"khp_titration_mL")=0,"",AVERAGEIFS('1_原始數據'!$J$2:$J$1000,'1_原始數據'!$A$2:$A$1000,$A914,'1_原始數據'!$C$2:$C$1000,"khp_titration_mL"))))</f>
        <v/>
      </c>
      <c r="L914" s="25">
        <f>IF($A914="","",IF($C914&lt;&gt;"manual_titration_mL","",IFERROR(INDEX('3_可滴定酸度'!$E$6:$E$13,MATCH($I914,'3_可滴定酸度'!$B$6:$B$13,0)),"")))</f>
        <v/>
      </c>
      <c r="M914" s="25">
        <f>IF($A914="","",IF($C914&lt;&gt;"manual_titration_mL","",IFERROR(INDEX('3_可滴定酸度'!$F$6:$F$13,MATCH($I914,'3_可滴定酸度'!$B$6:$B$13,0)),"")))</f>
        <v/>
      </c>
      <c r="N914" s="24">
        <f>IF($A914="","",IF(OR(K914="",L914="",M914=""),"",K914*E914*L914/(M914*1000)*100))</f>
        <v/>
      </c>
      <c r="O914" s="24">
        <f>IF($A914="","",IF(N914="","",IF(COUNTIFS('1_原始數據'!$A$2:$A$1000,$A914,'1_原始數據'!$B$2:$B$1000,$B914,'1_原始數據'!$D$2:$D$1000,$D914,'1_原始數據'!$I$2:$I$1000,$I914,'1_原始數據'!$C$2:$C$1000,"pasco_pct_acid")=0,"",SUMIFS('1_原始數據'!$E$2:$E$1000,'1_原始數據'!$A$2:$A$1000,$A914,'1_原始數據'!$B$2:$B$1000,$B914,'1_原始數據'!$D$2:$D$1000,$D914,'1_原始數據'!$I$2:$I$1000,$I914,'1_原始數據'!$C$2:$C$1000,"pasco_pct_acid"))))</f>
        <v/>
      </c>
      <c r="P914" s="26">
        <f>IF($A914="","",IF(OR(N914="",O914=""),"",O914-N914))</f>
        <v/>
      </c>
      <c r="Q914" s="24">
        <f>IF($A914="","",IF(P914="","",(O914+N914)/2))</f>
        <v/>
      </c>
      <c r="R914" s="27">
        <f>IF($A914="","",IF(P914="","",COUNT($P$2:P914)))</f>
        <v/>
      </c>
    </row>
    <row r="915">
      <c r="J915" s="24">
        <f>IF($A915="","",IF($C915&lt;&gt;"khp_titration_mL","",IF(COUNTIFS('1_原始數據'!$A$2:$A$1000,$A915,'1_原始數據'!$B$2:$B$1000,$B915,'1_原始數據'!$D$2:$D$1000,$D915,'1_原始數據'!$C$2:$C$1000,"khp_mass_g")=0,"",SUMIFS('1_原始數據'!$E$2:$E$1000,'1_原始數據'!$A$2:$A$1000,$A915,'1_原始數據'!$B$2:$B$1000,$B915,'1_原始數據'!$D$2:$D$1000,$D915,'1_原始數據'!$C$2:$C$1000,"khp_mass_g")/('2_NaOH標定'!$C$5*$E915/1000))))</f>
        <v/>
      </c>
      <c r="K915" s="24">
        <f>IF($A915="","",IF($C915&lt;&gt;"manual_titration_mL","",IF(COUNTIFS('1_原始數據'!$A$2:$A$1000,$A915,'1_原始數據'!$C$2:$C$1000,"khp_titration_mL")=0,"",AVERAGEIFS('1_原始數據'!$J$2:$J$1000,'1_原始數據'!$A$2:$A$1000,$A915,'1_原始數據'!$C$2:$C$1000,"khp_titration_mL"))))</f>
        <v/>
      </c>
      <c r="L915" s="25">
        <f>IF($A915="","",IF($C915&lt;&gt;"manual_titration_mL","",IFERROR(INDEX('3_可滴定酸度'!$E$6:$E$13,MATCH($I915,'3_可滴定酸度'!$B$6:$B$13,0)),"")))</f>
        <v/>
      </c>
      <c r="M915" s="25">
        <f>IF($A915="","",IF($C915&lt;&gt;"manual_titration_mL","",IFERROR(INDEX('3_可滴定酸度'!$F$6:$F$13,MATCH($I915,'3_可滴定酸度'!$B$6:$B$13,0)),"")))</f>
        <v/>
      </c>
      <c r="N915" s="24">
        <f>IF($A915="","",IF(OR(K915="",L915="",M915=""),"",K915*E915*L915/(M915*1000)*100))</f>
        <v/>
      </c>
      <c r="O915" s="24">
        <f>IF($A915="","",IF(N915="","",IF(COUNTIFS('1_原始數據'!$A$2:$A$1000,$A915,'1_原始數據'!$B$2:$B$1000,$B915,'1_原始數據'!$D$2:$D$1000,$D915,'1_原始數據'!$I$2:$I$1000,$I915,'1_原始數據'!$C$2:$C$1000,"pasco_pct_acid")=0,"",SUMIFS('1_原始數據'!$E$2:$E$1000,'1_原始數據'!$A$2:$A$1000,$A915,'1_原始數據'!$B$2:$B$1000,$B915,'1_原始數據'!$D$2:$D$1000,$D915,'1_原始數據'!$I$2:$I$1000,$I915,'1_原始數據'!$C$2:$C$1000,"pasco_pct_acid"))))</f>
        <v/>
      </c>
      <c r="P915" s="26">
        <f>IF($A915="","",IF(OR(N915="",O915=""),"",O915-N915))</f>
        <v/>
      </c>
      <c r="Q915" s="24">
        <f>IF($A915="","",IF(P915="","",(O915+N915)/2))</f>
        <v/>
      </c>
      <c r="R915" s="27">
        <f>IF($A915="","",IF(P915="","",COUNT($P$2:P915)))</f>
        <v/>
      </c>
    </row>
    <row r="916">
      <c r="J916" s="24">
        <f>IF($A916="","",IF($C916&lt;&gt;"khp_titration_mL","",IF(COUNTIFS('1_原始數據'!$A$2:$A$1000,$A916,'1_原始數據'!$B$2:$B$1000,$B916,'1_原始數據'!$D$2:$D$1000,$D916,'1_原始數據'!$C$2:$C$1000,"khp_mass_g")=0,"",SUMIFS('1_原始數據'!$E$2:$E$1000,'1_原始數據'!$A$2:$A$1000,$A916,'1_原始數據'!$B$2:$B$1000,$B916,'1_原始數據'!$D$2:$D$1000,$D916,'1_原始數據'!$C$2:$C$1000,"khp_mass_g")/('2_NaOH標定'!$C$5*$E916/1000))))</f>
        <v/>
      </c>
      <c r="K916" s="24">
        <f>IF($A916="","",IF($C916&lt;&gt;"manual_titration_mL","",IF(COUNTIFS('1_原始數據'!$A$2:$A$1000,$A916,'1_原始數據'!$C$2:$C$1000,"khp_titration_mL")=0,"",AVERAGEIFS('1_原始數據'!$J$2:$J$1000,'1_原始數據'!$A$2:$A$1000,$A916,'1_原始數據'!$C$2:$C$1000,"khp_titration_mL"))))</f>
        <v/>
      </c>
      <c r="L916" s="25">
        <f>IF($A916="","",IF($C916&lt;&gt;"manual_titration_mL","",IFERROR(INDEX('3_可滴定酸度'!$E$6:$E$13,MATCH($I916,'3_可滴定酸度'!$B$6:$B$13,0)),"")))</f>
        <v/>
      </c>
      <c r="M916" s="25">
        <f>IF($A916="","",IF($C916&lt;&gt;"manual_titration_mL","",IFERROR(INDEX('3_可滴定酸度'!$F$6:$F$13,MATCH($I916,'3_可滴定酸度'!$B$6:$B$13,0)),"")))</f>
        <v/>
      </c>
      <c r="N916" s="24">
        <f>IF($A916="","",IF(OR(K916="",L916="",M916=""),"",K916*E916*L916/(M916*1000)*100))</f>
        <v/>
      </c>
      <c r="O916" s="24">
        <f>IF($A916="","",IF(N916="","",IF(COUNTIFS('1_原始數據'!$A$2:$A$1000,$A916,'1_原始數據'!$B$2:$B$1000,$B916,'1_原始數據'!$D$2:$D$1000,$D916,'1_原始數據'!$I$2:$I$1000,$I916,'1_原始數據'!$C$2:$C$1000,"pasco_pct_acid")=0,"",SUMIFS('1_原始數據'!$E$2:$E$1000,'1_原始數據'!$A$2:$A$1000,$A916,'1_原始數據'!$B$2:$B$1000,$B916,'1_原始數據'!$D$2:$D$1000,$D916,'1_原始數據'!$I$2:$I$1000,$I916,'1_原始數據'!$C$2:$C$1000,"pasco_pct_acid"))))</f>
        <v/>
      </c>
      <c r="P916" s="26">
        <f>IF($A916="","",IF(OR(N916="",O916=""),"",O916-N916))</f>
        <v/>
      </c>
      <c r="Q916" s="24">
        <f>IF($A916="","",IF(P916="","",(O916+N916)/2))</f>
        <v/>
      </c>
      <c r="R916" s="27">
        <f>IF($A916="","",IF(P916="","",COUNT($P$2:P916)))</f>
        <v/>
      </c>
    </row>
    <row r="917">
      <c r="J917" s="24">
        <f>IF($A917="","",IF($C917&lt;&gt;"khp_titration_mL","",IF(COUNTIFS('1_原始數據'!$A$2:$A$1000,$A917,'1_原始數據'!$B$2:$B$1000,$B917,'1_原始數據'!$D$2:$D$1000,$D917,'1_原始數據'!$C$2:$C$1000,"khp_mass_g")=0,"",SUMIFS('1_原始數據'!$E$2:$E$1000,'1_原始數據'!$A$2:$A$1000,$A917,'1_原始數據'!$B$2:$B$1000,$B917,'1_原始數據'!$D$2:$D$1000,$D917,'1_原始數據'!$C$2:$C$1000,"khp_mass_g")/('2_NaOH標定'!$C$5*$E917/1000))))</f>
        <v/>
      </c>
      <c r="K917" s="24">
        <f>IF($A917="","",IF($C917&lt;&gt;"manual_titration_mL","",IF(COUNTIFS('1_原始數據'!$A$2:$A$1000,$A917,'1_原始數據'!$C$2:$C$1000,"khp_titration_mL")=0,"",AVERAGEIFS('1_原始數據'!$J$2:$J$1000,'1_原始數據'!$A$2:$A$1000,$A917,'1_原始數據'!$C$2:$C$1000,"khp_titration_mL"))))</f>
        <v/>
      </c>
      <c r="L917" s="25">
        <f>IF($A917="","",IF($C917&lt;&gt;"manual_titration_mL","",IFERROR(INDEX('3_可滴定酸度'!$E$6:$E$13,MATCH($I917,'3_可滴定酸度'!$B$6:$B$13,0)),"")))</f>
        <v/>
      </c>
      <c r="M917" s="25">
        <f>IF($A917="","",IF($C917&lt;&gt;"manual_titration_mL","",IFERROR(INDEX('3_可滴定酸度'!$F$6:$F$13,MATCH($I917,'3_可滴定酸度'!$B$6:$B$13,0)),"")))</f>
        <v/>
      </c>
      <c r="N917" s="24">
        <f>IF($A917="","",IF(OR(K917="",L917="",M917=""),"",K917*E917*L917/(M917*1000)*100))</f>
        <v/>
      </c>
      <c r="O917" s="24">
        <f>IF($A917="","",IF(N917="","",IF(COUNTIFS('1_原始數據'!$A$2:$A$1000,$A917,'1_原始數據'!$B$2:$B$1000,$B917,'1_原始數據'!$D$2:$D$1000,$D917,'1_原始數據'!$I$2:$I$1000,$I917,'1_原始數據'!$C$2:$C$1000,"pasco_pct_acid")=0,"",SUMIFS('1_原始數據'!$E$2:$E$1000,'1_原始數據'!$A$2:$A$1000,$A917,'1_原始數據'!$B$2:$B$1000,$B917,'1_原始數據'!$D$2:$D$1000,$D917,'1_原始數據'!$I$2:$I$1000,$I917,'1_原始數據'!$C$2:$C$1000,"pasco_pct_acid"))))</f>
        <v/>
      </c>
      <c r="P917" s="26">
        <f>IF($A917="","",IF(OR(N917="",O917=""),"",O917-N917))</f>
        <v/>
      </c>
      <c r="Q917" s="24">
        <f>IF($A917="","",IF(P917="","",(O917+N917)/2))</f>
        <v/>
      </c>
      <c r="R917" s="27">
        <f>IF($A917="","",IF(P917="","",COUNT($P$2:P917)))</f>
        <v/>
      </c>
    </row>
    <row r="918">
      <c r="J918" s="24">
        <f>IF($A918="","",IF($C918&lt;&gt;"khp_titration_mL","",IF(COUNTIFS('1_原始數據'!$A$2:$A$1000,$A918,'1_原始數據'!$B$2:$B$1000,$B918,'1_原始數據'!$D$2:$D$1000,$D918,'1_原始數據'!$C$2:$C$1000,"khp_mass_g")=0,"",SUMIFS('1_原始數據'!$E$2:$E$1000,'1_原始數據'!$A$2:$A$1000,$A918,'1_原始數據'!$B$2:$B$1000,$B918,'1_原始數據'!$D$2:$D$1000,$D918,'1_原始數據'!$C$2:$C$1000,"khp_mass_g")/('2_NaOH標定'!$C$5*$E918/1000))))</f>
        <v/>
      </c>
      <c r="K918" s="24">
        <f>IF($A918="","",IF($C918&lt;&gt;"manual_titration_mL","",IF(COUNTIFS('1_原始數據'!$A$2:$A$1000,$A918,'1_原始數據'!$C$2:$C$1000,"khp_titration_mL")=0,"",AVERAGEIFS('1_原始數據'!$J$2:$J$1000,'1_原始數據'!$A$2:$A$1000,$A918,'1_原始數據'!$C$2:$C$1000,"khp_titration_mL"))))</f>
        <v/>
      </c>
      <c r="L918" s="25">
        <f>IF($A918="","",IF($C918&lt;&gt;"manual_titration_mL","",IFERROR(INDEX('3_可滴定酸度'!$E$6:$E$13,MATCH($I918,'3_可滴定酸度'!$B$6:$B$13,0)),"")))</f>
        <v/>
      </c>
      <c r="M918" s="25">
        <f>IF($A918="","",IF($C918&lt;&gt;"manual_titration_mL","",IFERROR(INDEX('3_可滴定酸度'!$F$6:$F$13,MATCH($I918,'3_可滴定酸度'!$B$6:$B$13,0)),"")))</f>
        <v/>
      </c>
      <c r="N918" s="24">
        <f>IF($A918="","",IF(OR(K918="",L918="",M918=""),"",K918*E918*L918/(M918*1000)*100))</f>
        <v/>
      </c>
      <c r="O918" s="24">
        <f>IF($A918="","",IF(N918="","",IF(COUNTIFS('1_原始數據'!$A$2:$A$1000,$A918,'1_原始數據'!$B$2:$B$1000,$B918,'1_原始數據'!$D$2:$D$1000,$D918,'1_原始數據'!$I$2:$I$1000,$I918,'1_原始數據'!$C$2:$C$1000,"pasco_pct_acid")=0,"",SUMIFS('1_原始數據'!$E$2:$E$1000,'1_原始數據'!$A$2:$A$1000,$A918,'1_原始數據'!$B$2:$B$1000,$B918,'1_原始數據'!$D$2:$D$1000,$D918,'1_原始數據'!$I$2:$I$1000,$I918,'1_原始數據'!$C$2:$C$1000,"pasco_pct_acid"))))</f>
        <v/>
      </c>
      <c r="P918" s="26">
        <f>IF($A918="","",IF(OR(N918="",O918=""),"",O918-N918))</f>
        <v/>
      </c>
      <c r="Q918" s="24">
        <f>IF($A918="","",IF(P918="","",(O918+N918)/2))</f>
        <v/>
      </c>
      <c r="R918" s="27">
        <f>IF($A918="","",IF(P918="","",COUNT($P$2:P918)))</f>
        <v/>
      </c>
    </row>
    <row r="919">
      <c r="J919" s="24">
        <f>IF($A919="","",IF($C919&lt;&gt;"khp_titration_mL","",IF(COUNTIFS('1_原始數據'!$A$2:$A$1000,$A919,'1_原始數據'!$B$2:$B$1000,$B919,'1_原始數據'!$D$2:$D$1000,$D919,'1_原始數據'!$C$2:$C$1000,"khp_mass_g")=0,"",SUMIFS('1_原始數據'!$E$2:$E$1000,'1_原始數據'!$A$2:$A$1000,$A919,'1_原始數據'!$B$2:$B$1000,$B919,'1_原始數據'!$D$2:$D$1000,$D919,'1_原始數據'!$C$2:$C$1000,"khp_mass_g")/('2_NaOH標定'!$C$5*$E919/1000))))</f>
        <v/>
      </c>
      <c r="K919" s="24">
        <f>IF($A919="","",IF($C919&lt;&gt;"manual_titration_mL","",IF(COUNTIFS('1_原始數據'!$A$2:$A$1000,$A919,'1_原始數據'!$C$2:$C$1000,"khp_titration_mL")=0,"",AVERAGEIFS('1_原始數據'!$J$2:$J$1000,'1_原始數據'!$A$2:$A$1000,$A919,'1_原始數據'!$C$2:$C$1000,"khp_titration_mL"))))</f>
        <v/>
      </c>
      <c r="L919" s="25">
        <f>IF($A919="","",IF($C919&lt;&gt;"manual_titration_mL","",IFERROR(INDEX('3_可滴定酸度'!$E$6:$E$13,MATCH($I919,'3_可滴定酸度'!$B$6:$B$13,0)),"")))</f>
        <v/>
      </c>
      <c r="M919" s="25">
        <f>IF($A919="","",IF($C919&lt;&gt;"manual_titration_mL","",IFERROR(INDEX('3_可滴定酸度'!$F$6:$F$13,MATCH($I919,'3_可滴定酸度'!$B$6:$B$13,0)),"")))</f>
        <v/>
      </c>
      <c r="N919" s="24">
        <f>IF($A919="","",IF(OR(K919="",L919="",M919=""),"",K919*E919*L919/(M919*1000)*100))</f>
        <v/>
      </c>
      <c r="O919" s="24">
        <f>IF($A919="","",IF(N919="","",IF(COUNTIFS('1_原始數據'!$A$2:$A$1000,$A919,'1_原始數據'!$B$2:$B$1000,$B919,'1_原始數據'!$D$2:$D$1000,$D919,'1_原始數據'!$I$2:$I$1000,$I919,'1_原始數據'!$C$2:$C$1000,"pasco_pct_acid")=0,"",SUMIFS('1_原始數據'!$E$2:$E$1000,'1_原始數據'!$A$2:$A$1000,$A919,'1_原始數據'!$B$2:$B$1000,$B919,'1_原始數據'!$D$2:$D$1000,$D919,'1_原始數據'!$I$2:$I$1000,$I919,'1_原始數據'!$C$2:$C$1000,"pasco_pct_acid"))))</f>
        <v/>
      </c>
      <c r="P919" s="26">
        <f>IF($A919="","",IF(OR(N919="",O919=""),"",O919-N919))</f>
        <v/>
      </c>
      <c r="Q919" s="24">
        <f>IF($A919="","",IF(P919="","",(O919+N919)/2))</f>
        <v/>
      </c>
      <c r="R919" s="27">
        <f>IF($A919="","",IF(P919="","",COUNT($P$2:P919)))</f>
        <v/>
      </c>
    </row>
    <row r="920">
      <c r="J920" s="24">
        <f>IF($A920="","",IF($C920&lt;&gt;"khp_titration_mL","",IF(COUNTIFS('1_原始數據'!$A$2:$A$1000,$A920,'1_原始數據'!$B$2:$B$1000,$B920,'1_原始數據'!$D$2:$D$1000,$D920,'1_原始數據'!$C$2:$C$1000,"khp_mass_g")=0,"",SUMIFS('1_原始數據'!$E$2:$E$1000,'1_原始數據'!$A$2:$A$1000,$A920,'1_原始數據'!$B$2:$B$1000,$B920,'1_原始數據'!$D$2:$D$1000,$D920,'1_原始數據'!$C$2:$C$1000,"khp_mass_g")/('2_NaOH標定'!$C$5*$E920/1000))))</f>
        <v/>
      </c>
      <c r="K920" s="24">
        <f>IF($A920="","",IF($C920&lt;&gt;"manual_titration_mL","",IF(COUNTIFS('1_原始數據'!$A$2:$A$1000,$A920,'1_原始數據'!$C$2:$C$1000,"khp_titration_mL")=0,"",AVERAGEIFS('1_原始數據'!$J$2:$J$1000,'1_原始數據'!$A$2:$A$1000,$A920,'1_原始數據'!$C$2:$C$1000,"khp_titration_mL"))))</f>
        <v/>
      </c>
      <c r="L920" s="25">
        <f>IF($A920="","",IF($C920&lt;&gt;"manual_titration_mL","",IFERROR(INDEX('3_可滴定酸度'!$E$6:$E$13,MATCH($I920,'3_可滴定酸度'!$B$6:$B$13,0)),"")))</f>
        <v/>
      </c>
      <c r="M920" s="25">
        <f>IF($A920="","",IF($C920&lt;&gt;"manual_titration_mL","",IFERROR(INDEX('3_可滴定酸度'!$F$6:$F$13,MATCH($I920,'3_可滴定酸度'!$B$6:$B$13,0)),"")))</f>
        <v/>
      </c>
      <c r="N920" s="24">
        <f>IF($A920="","",IF(OR(K920="",L920="",M920=""),"",K920*E920*L920/(M920*1000)*100))</f>
        <v/>
      </c>
      <c r="O920" s="24">
        <f>IF($A920="","",IF(N920="","",IF(COUNTIFS('1_原始數據'!$A$2:$A$1000,$A920,'1_原始數據'!$B$2:$B$1000,$B920,'1_原始數據'!$D$2:$D$1000,$D920,'1_原始數據'!$I$2:$I$1000,$I920,'1_原始數據'!$C$2:$C$1000,"pasco_pct_acid")=0,"",SUMIFS('1_原始數據'!$E$2:$E$1000,'1_原始數據'!$A$2:$A$1000,$A920,'1_原始數據'!$B$2:$B$1000,$B920,'1_原始數據'!$D$2:$D$1000,$D920,'1_原始數據'!$I$2:$I$1000,$I920,'1_原始數據'!$C$2:$C$1000,"pasco_pct_acid"))))</f>
        <v/>
      </c>
      <c r="P920" s="26">
        <f>IF($A920="","",IF(OR(N920="",O920=""),"",O920-N920))</f>
        <v/>
      </c>
      <c r="Q920" s="24">
        <f>IF($A920="","",IF(P920="","",(O920+N920)/2))</f>
        <v/>
      </c>
      <c r="R920" s="27">
        <f>IF($A920="","",IF(P920="","",COUNT($P$2:P920)))</f>
        <v/>
      </c>
    </row>
    <row r="921">
      <c r="J921" s="24">
        <f>IF($A921="","",IF($C921&lt;&gt;"khp_titration_mL","",IF(COUNTIFS('1_原始數據'!$A$2:$A$1000,$A921,'1_原始數據'!$B$2:$B$1000,$B921,'1_原始數據'!$D$2:$D$1000,$D921,'1_原始數據'!$C$2:$C$1000,"khp_mass_g")=0,"",SUMIFS('1_原始數據'!$E$2:$E$1000,'1_原始數據'!$A$2:$A$1000,$A921,'1_原始數據'!$B$2:$B$1000,$B921,'1_原始數據'!$D$2:$D$1000,$D921,'1_原始數據'!$C$2:$C$1000,"khp_mass_g")/('2_NaOH標定'!$C$5*$E921/1000))))</f>
        <v/>
      </c>
      <c r="K921" s="24">
        <f>IF($A921="","",IF($C921&lt;&gt;"manual_titration_mL","",IF(COUNTIFS('1_原始數據'!$A$2:$A$1000,$A921,'1_原始數據'!$C$2:$C$1000,"khp_titration_mL")=0,"",AVERAGEIFS('1_原始數據'!$J$2:$J$1000,'1_原始數據'!$A$2:$A$1000,$A921,'1_原始數據'!$C$2:$C$1000,"khp_titration_mL"))))</f>
        <v/>
      </c>
      <c r="L921" s="25">
        <f>IF($A921="","",IF($C921&lt;&gt;"manual_titration_mL","",IFERROR(INDEX('3_可滴定酸度'!$E$6:$E$13,MATCH($I921,'3_可滴定酸度'!$B$6:$B$13,0)),"")))</f>
        <v/>
      </c>
      <c r="M921" s="25">
        <f>IF($A921="","",IF($C921&lt;&gt;"manual_titration_mL","",IFERROR(INDEX('3_可滴定酸度'!$F$6:$F$13,MATCH($I921,'3_可滴定酸度'!$B$6:$B$13,0)),"")))</f>
        <v/>
      </c>
      <c r="N921" s="24">
        <f>IF($A921="","",IF(OR(K921="",L921="",M921=""),"",K921*E921*L921/(M921*1000)*100))</f>
        <v/>
      </c>
      <c r="O921" s="24">
        <f>IF($A921="","",IF(N921="","",IF(COUNTIFS('1_原始數據'!$A$2:$A$1000,$A921,'1_原始數據'!$B$2:$B$1000,$B921,'1_原始數據'!$D$2:$D$1000,$D921,'1_原始數據'!$I$2:$I$1000,$I921,'1_原始數據'!$C$2:$C$1000,"pasco_pct_acid")=0,"",SUMIFS('1_原始數據'!$E$2:$E$1000,'1_原始數據'!$A$2:$A$1000,$A921,'1_原始數據'!$B$2:$B$1000,$B921,'1_原始數據'!$D$2:$D$1000,$D921,'1_原始數據'!$I$2:$I$1000,$I921,'1_原始數據'!$C$2:$C$1000,"pasco_pct_acid"))))</f>
        <v/>
      </c>
      <c r="P921" s="26">
        <f>IF($A921="","",IF(OR(N921="",O921=""),"",O921-N921))</f>
        <v/>
      </c>
      <c r="Q921" s="24">
        <f>IF($A921="","",IF(P921="","",(O921+N921)/2))</f>
        <v/>
      </c>
      <c r="R921" s="27">
        <f>IF($A921="","",IF(P921="","",COUNT($P$2:P921)))</f>
        <v/>
      </c>
    </row>
    <row r="922">
      <c r="J922" s="24">
        <f>IF($A922="","",IF($C922&lt;&gt;"khp_titration_mL","",IF(COUNTIFS('1_原始數據'!$A$2:$A$1000,$A922,'1_原始數據'!$B$2:$B$1000,$B922,'1_原始數據'!$D$2:$D$1000,$D922,'1_原始數據'!$C$2:$C$1000,"khp_mass_g")=0,"",SUMIFS('1_原始數據'!$E$2:$E$1000,'1_原始數據'!$A$2:$A$1000,$A922,'1_原始數據'!$B$2:$B$1000,$B922,'1_原始數據'!$D$2:$D$1000,$D922,'1_原始數據'!$C$2:$C$1000,"khp_mass_g")/('2_NaOH標定'!$C$5*$E922/1000))))</f>
        <v/>
      </c>
      <c r="K922" s="24">
        <f>IF($A922="","",IF($C922&lt;&gt;"manual_titration_mL","",IF(COUNTIFS('1_原始數據'!$A$2:$A$1000,$A922,'1_原始數據'!$C$2:$C$1000,"khp_titration_mL")=0,"",AVERAGEIFS('1_原始數據'!$J$2:$J$1000,'1_原始數據'!$A$2:$A$1000,$A922,'1_原始數據'!$C$2:$C$1000,"khp_titration_mL"))))</f>
        <v/>
      </c>
      <c r="L922" s="25">
        <f>IF($A922="","",IF($C922&lt;&gt;"manual_titration_mL","",IFERROR(INDEX('3_可滴定酸度'!$E$6:$E$13,MATCH($I922,'3_可滴定酸度'!$B$6:$B$13,0)),"")))</f>
        <v/>
      </c>
      <c r="M922" s="25">
        <f>IF($A922="","",IF($C922&lt;&gt;"manual_titration_mL","",IFERROR(INDEX('3_可滴定酸度'!$F$6:$F$13,MATCH($I922,'3_可滴定酸度'!$B$6:$B$13,0)),"")))</f>
        <v/>
      </c>
      <c r="N922" s="24">
        <f>IF($A922="","",IF(OR(K922="",L922="",M922=""),"",K922*E922*L922/(M922*1000)*100))</f>
        <v/>
      </c>
      <c r="O922" s="24">
        <f>IF($A922="","",IF(N922="","",IF(COUNTIFS('1_原始數據'!$A$2:$A$1000,$A922,'1_原始數據'!$B$2:$B$1000,$B922,'1_原始數據'!$D$2:$D$1000,$D922,'1_原始數據'!$I$2:$I$1000,$I922,'1_原始數據'!$C$2:$C$1000,"pasco_pct_acid")=0,"",SUMIFS('1_原始數據'!$E$2:$E$1000,'1_原始數據'!$A$2:$A$1000,$A922,'1_原始數據'!$B$2:$B$1000,$B922,'1_原始數據'!$D$2:$D$1000,$D922,'1_原始數據'!$I$2:$I$1000,$I922,'1_原始數據'!$C$2:$C$1000,"pasco_pct_acid"))))</f>
        <v/>
      </c>
      <c r="P922" s="26">
        <f>IF($A922="","",IF(OR(N922="",O922=""),"",O922-N922))</f>
        <v/>
      </c>
      <c r="Q922" s="24">
        <f>IF($A922="","",IF(P922="","",(O922+N922)/2))</f>
        <v/>
      </c>
      <c r="R922" s="27">
        <f>IF($A922="","",IF(P922="","",COUNT($P$2:P922)))</f>
        <v/>
      </c>
    </row>
    <row r="923">
      <c r="J923" s="24">
        <f>IF($A923="","",IF($C923&lt;&gt;"khp_titration_mL","",IF(COUNTIFS('1_原始數據'!$A$2:$A$1000,$A923,'1_原始數據'!$B$2:$B$1000,$B923,'1_原始數據'!$D$2:$D$1000,$D923,'1_原始數據'!$C$2:$C$1000,"khp_mass_g")=0,"",SUMIFS('1_原始數據'!$E$2:$E$1000,'1_原始數據'!$A$2:$A$1000,$A923,'1_原始數據'!$B$2:$B$1000,$B923,'1_原始數據'!$D$2:$D$1000,$D923,'1_原始數據'!$C$2:$C$1000,"khp_mass_g")/('2_NaOH標定'!$C$5*$E923/1000))))</f>
        <v/>
      </c>
      <c r="K923" s="24">
        <f>IF($A923="","",IF($C923&lt;&gt;"manual_titration_mL","",IF(COUNTIFS('1_原始數據'!$A$2:$A$1000,$A923,'1_原始數據'!$C$2:$C$1000,"khp_titration_mL")=0,"",AVERAGEIFS('1_原始數據'!$J$2:$J$1000,'1_原始數據'!$A$2:$A$1000,$A923,'1_原始數據'!$C$2:$C$1000,"khp_titration_mL"))))</f>
        <v/>
      </c>
      <c r="L923" s="25">
        <f>IF($A923="","",IF($C923&lt;&gt;"manual_titration_mL","",IFERROR(INDEX('3_可滴定酸度'!$E$6:$E$13,MATCH($I923,'3_可滴定酸度'!$B$6:$B$13,0)),"")))</f>
        <v/>
      </c>
      <c r="M923" s="25">
        <f>IF($A923="","",IF($C923&lt;&gt;"manual_titration_mL","",IFERROR(INDEX('3_可滴定酸度'!$F$6:$F$13,MATCH($I923,'3_可滴定酸度'!$B$6:$B$13,0)),"")))</f>
        <v/>
      </c>
      <c r="N923" s="24">
        <f>IF($A923="","",IF(OR(K923="",L923="",M923=""),"",K923*E923*L923/(M923*1000)*100))</f>
        <v/>
      </c>
      <c r="O923" s="24">
        <f>IF($A923="","",IF(N923="","",IF(COUNTIFS('1_原始數據'!$A$2:$A$1000,$A923,'1_原始數據'!$B$2:$B$1000,$B923,'1_原始數據'!$D$2:$D$1000,$D923,'1_原始數據'!$I$2:$I$1000,$I923,'1_原始數據'!$C$2:$C$1000,"pasco_pct_acid")=0,"",SUMIFS('1_原始數據'!$E$2:$E$1000,'1_原始數據'!$A$2:$A$1000,$A923,'1_原始數據'!$B$2:$B$1000,$B923,'1_原始數據'!$D$2:$D$1000,$D923,'1_原始數據'!$I$2:$I$1000,$I923,'1_原始數據'!$C$2:$C$1000,"pasco_pct_acid"))))</f>
        <v/>
      </c>
      <c r="P923" s="26">
        <f>IF($A923="","",IF(OR(N923="",O923=""),"",O923-N923))</f>
        <v/>
      </c>
      <c r="Q923" s="24">
        <f>IF($A923="","",IF(P923="","",(O923+N923)/2))</f>
        <v/>
      </c>
      <c r="R923" s="27">
        <f>IF($A923="","",IF(P923="","",COUNT($P$2:P923)))</f>
        <v/>
      </c>
    </row>
    <row r="924">
      <c r="J924" s="24">
        <f>IF($A924="","",IF($C924&lt;&gt;"khp_titration_mL","",IF(COUNTIFS('1_原始數據'!$A$2:$A$1000,$A924,'1_原始數據'!$B$2:$B$1000,$B924,'1_原始數據'!$D$2:$D$1000,$D924,'1_原始數據'!$C$2:$C$1000,"khp_mass_g")=0,"",SUMIFS('1_原始數據'!$E$2:$E$1000,'1_原始數據'!$A$2:$A$1000,$A924,'1_原始數據'!$B$2:$B$1000,$B924,'1_原始數據'!$D$2:$D$1000,$D924,'1_原始數據'!$C$2:$C$1000,"khp_mass_g")/('2_NaOH標定'!$C$5*$E924/1000))))</f>
        <v/>
      </c>
      <c r="K924" s="24">
        <f>IF($A924="","",IF($C924&lt;&gt;"manual_titration_mL","",IF(COUNTIFS('1_原始數據'!$A$2:$A$1000,$A924,'1_原始數據'!$C$2:$C$1000,"khp_titration_mL")=0,"",AVERAGEIFS('1_原始數據'!$J$2:$J$1000,'1_原始數據'!$A$2:$A$1000,$A924,'1_原始數據'!$C$2:$C$1000,"khp_titration_mL"))))</f>
        <v/>
      </c>
      <c r="L924" s="25">
        <f>IF($A924="","",IF($C924&lt;&gt;"manual_titration_mL","",IFERROR(INDEX('3_可滴定酸度'!$E$6:$E$13,MATCH($I924,'3_可滴定酸度'!$B$6:$B$13,0)),"")))</f>
        <v/>
      </c>
      <c r="M924" s="25">
        <f>IF($A924="","",IF($C924&lt;&gt;"manual_titration_mL","",IFERROR(INDEX('3_可滴定酸度'!$F$6:$F$13,MATCH($I924,'3_可滴定酸度'!$B$6:$B$13,0)),"")))</f>
        <v/>
      </c>
      <c r="N924" s="24">
        <f>IF($A924="","",IF(OR(K924="",L924="",M924=""),"",K924*E924*L924/(M924*1000)*100))</f>
        <v/>
      </c>
      <c r="O924" s="24">
        <f>IF($A924="","",IF(N924="","",IF(COUNTIFS('1_原始數據'!$A$2:$A$1000,$A924,'1_原始數據'!$B$2:$B$1000,$B924,'1_原始數據'!$D$2:$D$1000,$D924,'1_原始數據'!$I$2:$I$1000,$I924,'1_原始數據'!$C$2:$C$1000,"pasco_pct_acid")=0,"",SUMIFS('1_原始數據'!$E$2:$E$1000,'1_原始數據'!$A$2:$A$1000,$A924,'1_原始數據'!$B$2:$B$1000,$B924,'1_原始數據'!$D$2:$D$1000,$D924,'1_原始數據'!$I$2:$I$1000,$I924,'1_原始數據'!$C$2:$C$1000,"pasco_pct_acid"))))</f>
        <v/>
      </c>
      <c r="P924" s="26">
        <f>IF($A924="","",IF(OR(N924="",O924=""),"",O924-N924))</f>
        <v/>
      </c>
      <c r="Q924" s="24">
        <f>IF($A924="","",IF(P924="","",(O924+N924)/2))</f>
        <v/>
      </c>
      <c r="R924" s="27">
        <f>IF($A924="","",IF(P924="","",COUNT($P$2:P924)))</f>
        <v/>
      </c>
    </row>
    <row r="925">
      <c r="J925" s="24">
        <f>IF($A925="","",IF($C925&lt;&gt;"khp_titration_mL","",IF(COUNTIFS('1_原始數據'!$A$2:$A$1000,$A925,'1_原始數據'!$B$2:$B$1000,$B925,'1_原始數據'!$D$2:$D$1000,$D925,'1_原始數據'!$C$2:$C$1000,"khp_mass_g")=0,"",SUMIFS('1_原始數據'!$E$2:$E$1000,'1_原始數據'!$A$2:$A$1000,$A925,'1_原始數據'!$B$2:$B$1000,$B925,'1_原始數據'!$D$2:$D$1000,$D925,'1_原始數據'!$C$2:$C$1000,"khp_mass_g")/('2_NaOH標定'!$C$5*$E925/1000))))</f>
        <v/>
      </c>
      <c r="K925" s="24">
        <f>IF($A925="","",IF($C925&lt;&gt;"manual_titration_mL","",IF(COUNTIFS('1_原始數據'!$A$2:$A$1000,$A925,'1_原始數據'!$C$2:$C$1000,"khp_titration_mL")=0,"",AVERAGEIFS('1_原始數據'!$J$2:$J$1000,'1_原始數據'!$A$2:$A$1000,$A925,'1_原始數據'!$C$2:$C$1000,"khp_titration_mL"))))</f>
        <v/>
      </c>
      <c r="L925" s="25">
        <f>IF($A925="","",IF($C925&lt;&gt;"manual_titration_mL","",IFERROR(INDEX('3_可滴定酸度'!$E$6:$E$13,MATCH($I925,'3_可滴定酸度'!$B$6:$B$13,0)),"")))</f>
        <v/>
      </c>
      <c r="M925" s="25">
        <f>IF($A925="","",IF($C925&lt;&gt;"manual_titration_mL","",IFERROR(INDEX('3_可滴定酸度'!$F$6:$F$13,MATCH($I925,'3_可滴定酸度'!$B$6:$B$13,0)),"")))</f>
        <v/>
      </c>
      <c r="N925" s="24">
        <f>IF($A925="","",IF(OR(K925="",L925="",M925=""),"",K925*E925*L925/(M925*1000)*100))</f>
        <v/>
      </c>
      <c r="O925" s="24">
        <f>IF($A925="","",IF(N925="","",IF(COUNTIFS('1_原始數據'!$A$2:$A$1000,$A925,'1_原始數據'!$B$2:$B$1000,$B925,'1_原始數據'!$D$2:$D$1000,$D925,'1_原始數據'!$I$2:$I$1000,$I925,'1_原始數據'!$C$2:$C$1000,"pasco_pct_acid")=0,"",SUMIFS('1_原始數據'!$E$2:$E$1000,'1_原始數據'!$A$2:$A$1000,$A925,'1_原始數據'!$B$2:$B$1000,$B925,'1_原始數據'!$D$2:$D$1000,$D925,'1_原始數據'!$I$2:$I$1000,$I925,'1_原始數據'!$C$2:$C$1000,"pasco_pct_acid"))))</f>
        <v/>
      </c>
      <c r="P925" s="26">
        <f>IF($A925="","",IF(OR(N925="",O925=""),"",O925-N925))</f>
        <v/>
      </c>
      <c r="Q925" s="24">
        <f>IF($A925="","",IF(P925="","",(O925+N925)/2))</f>
        <v/>
      </c>
      <c r="R925" s="27">
        <f>IF($A925="","",IF(P925="","",COUNT($P$2:P925)))</f>
        <v/>
      </c>
    </row>
    <row r="926">
      <c r="J926" s="24">
        <f>IF($A926="","",IF($C926&lt;&gt;"khp_titration_mL","",IF(COUNTIFS('1_原始數據'!$A$2:$A$1000,$A926,'1_原始數據'!$B$2:$B$1000,$B926,'1_原始數據'!$D$2:$D$1000,$D926,'1_原始數據'!$C$2:$C$1000,"khp_mass_g")=0,"",SUMIFS('1_原始數據'!$E$2:$E$1000,'1_原始數據'!$A$2:$A$1000,$A926,'1_原始數據'!$B$2:$B$1000,$B926,'1_原始數據'!$D$2:$D$1000,$D926,'1_原始數據'!$C$2:$C$1000,"khp_mass_g")/('2_NaOH標定'!$C$5*$E926/1000))))</f>
        <v/>
      </c>
      <c r="K926" s="24">
        <f>IF($A926="","",IF($C926&lt;&gt;"manual_titration_mL","",IF(COUNTIFS('1_原始數據'!$A$2:$A$1000,$A926,'1_原始數據'!$C$2:$C$1000,"khp_titration_mL")=0,"",AVERAGEIFS('1_原始數據'!$J$2:$J$1000,'1_原始數據'!$A$2:$A$1000,$A926,'1_原始數據'!$C$2:$C$1000,"khp_titration_mL"))))</f>
        <v/>
      </c>
      <c r="L926" s="25">
        <f>IF($A926="","",IF($C926&lt;&gt;"manual_titration_mL","",IFERROR(INDEX('3_可滴定酸度'!$E$6:$E$13,MATCH($I926,'3_可滴定酸度'!$B$6:$B$13,0)),"")))</f>
        <v/>
      </c>
      <c r="M926" s="25">
        <f>IF($A926="","",IF($C926&lt;&gt;"manual_titration_mL","",IFERROR(INDEX('3_可滴定酸度'!$F$6:$F$13,MATCH($I926,'3_可滴定酸度'!$B$6:$B$13,0)),"")))</f>
        <v/>
      </c>
      <c r="N926" s="24">
        <f>IF($A926="","",IF(OR(K926="",L926="",M926=""),"",K926*E926*L926/(M926*1000)*100))</f>
        <v/>
      </c>
      <c r="O926" s="24">
        <f>IF($A926="","",IF(N926="","",IF(COUNTIFS('1_原始數據'!$A$2:$A$1000,$A926,'1_原始數據'!$B$2:$B$1000,$B926,'1_原始數據'!$D$2:$D$1000,$D926,'1_原始數據'!$I$2:$I$1000,$I926,'1_原始數據'!$C$2:$C$1000,"pasco_pct_acid")=0,"",SUMIFS('1_原始數據'!$E$2:$E$1000,'1_原始數據'!$A$2:$A$1000,$A926,'1_原始數據'!$B$2:$B$1000,$B926,'1_原始數據'!$D$2:$D$1000,$D926,'1_原始數據'!$I$2:$I$1000,$I926,'1_原始數據'!$C$2:$C$1000,"pasco_pct_acid"))))</f>
        <v/>
      </c>
      <c r="P926" s="26">
        <f>IF($A926="","",IF(OR(N926="",O926=""),"",O926-N926))</f>
        <v/>
      </c>
      <c r="Q926" s="24">
        <f>IF($A926="","",IF(P926="","",(O926+N926)/2))</f>
        <v/>
      </c>
      <c r="R926" s="27">
        <f>IF($A926="","",IF(P926="","",COUNT($P$2:P926)))</f>
        <v/>
      </c>
    </row>
    <row r="927">
      <c r="J927" s="24">
        <f>IF($A927="","",IF($C927&lt;&gt;"khp_titration_mL","",IF(COUNTIFS('1_原始數據'!$A$2:$A$1000,$A927,'1_原始數據'!$B$2:$B$1000,$B927,'1_原始數據'!$D$2:$D$1000,$D927,'1_原始數據'!$C$2:$C$1000,"khp_mass_g")=0,"",SUMIFS('1_原始數據'!$E$2:$E$1000,'1_原始數據'!$A$2:$A$1000,$A927,'1_原始數據'!$B$2:$B$1000,$B927,'1_原始數據'!$D$2:$D$1000,$D927,'1_原始數據'!$C$2:$C$1000,"khp_mass_g")/('2_NaOH標定'!$C$5*$E927/1000))))</f>
        <v/>
      </c>
      <c r="K927" s="24">
        <f>IF($A927="","",IF($C927&lt;&gt;"manual_titration_mL","",IF(COUNTIFS('1_原始數據'!$A$2:$A$1000,$A927,'1_原始數據'!$C$2:$C$1000,"khp_titration_mL")=0,"",AVERAGEIFS('1_原始數據'!$J$2:$J$1000,'1_原始數據'!$A$2:$A$1000,$A927,'1_原始數據'!$C$2:$C$1000,"khp_titration_mL"))))</f>
        <v/>
      </c>
      <c r="L927" s="25">
        <f>IF($A927="","",IF($C927&lt;&gt;"manual_titration_mL","",IFERROR(INDEX('3_可滴定酸度'!$E$6:$E$13,MATCH($I927,'3_可滴定酸度'!$B$6:$B$13,0)),"")))</f>
        <v/>
      </c>
      <c r="M927" s="25">
        <f>IF($A927="","",IF($C927&lt;&gt;"manual_titration_mL","",IFERROR(INDEX('3_可滴定酸度'!$F$6:$F$13,MATCH($I927,'3_可滴定酸度'!$B$6:$B$13,0)),"")))</f>
        <v/>
      </c>
      <c r="N927" s="24">
        <f>IF($A927="","",IF(OR(K927="",L927="",M927=""),"",K927*E927*L927/(M927*1000)*100))</f>
        <v/>
      </c>
      <c r="O927" s="24">
        <f>IF($A927="","",IF(N927="","",IF(COUNTIFS('1_原始數據'!$A$2:$A$1000,$A927,'1_原始數據'!$B$2:$B$1000,$B927,'1_原始數據'!$D$2:$D$1000,$D927,'1_原始數據'!$I$2:$I$1000,$I927,'1_原始數據'!$C$2:$C$1000,"pasco_pct_acid")=0,"",SUMIFS('1_原始數據'!$E$2:$E$1000,'1_原始數據'!$A$2:$A$1000,$A927,'1_原始數據'!$B$2:$B$1000,$B927,'1_原始數據'!$D$2:$D$1000,$D927,'1_原始數據'!$I$2:$I$1000,$I927,'1_原始數據'!$C$2:$C$1000,"pasco_pct_acid"))))</f>
        <v/>
      </c>
      <c r="P927" s="26">
        <f>IF($A927="","",IF(OR(N927="",O927=""),"",O927-N927))</f>
        <v/>
      </c>
      <c r="Q927" s="24">
        <f>IF($A927="","",IF(P927="","",(O927+N927)/2))</f>
        <v/>
      </c>
      <c r="R927" s="27">
        <f>IF($A927="","",IF(P927="","",COUNT($P$2:P927)))</f>
        <v/>
      </c>
    </row>
    <row r="928">
      <c r="J928" s="24">
        <f>IF($A928="","",IF($C928&lt;&gt;"khp_titration_mL","",IF(COUNTIFS('1_原始數據'!$A$2:$A$1000,$A928,'1_原始數據'!$B$2:$B$1000,$B928,'1_原始數據'!$D$2:$D$1000,$D928,'1_原始數據'!$C$2:$C$1000,"khp_mass_g")=0,"",SUMIFS('1_原始數據'!$E$2:$E$1000,'1_原始數據'!$A$2:$A$1000,$A928,'1_原始數據'!$B$2:$B$1000,$B928,'1_原始數據'!$D$2:$D$1000,$D928,'1_原始數據'!$C$2:$C$1000,"khp_mass_g")/('2_NaOH標定'!$C$5*$E928/1000))))</f>
        <v/>
      </c>
      <c r="K928" s="24">
        <f>IF($A928="","",IF($C928&lt;&gt;"manual_titration_mL","",IF(COUNTIFS('1_原始數據'!$A$2:$A$1000,$A928,'1_原始數據'!$C$2:$C$1000,"khp_titration_mL")=0,"",AVERAGEIFS('1_原始數據'!$J$2:$J$1000,'1_原始數據'!$A$2:$A$1000,$A928,'1_原始數據'!$C$2:$C$1000,"khp_titration_mL"))))</f>
        <v/>
      </c>
      <c r="L928" s="25">
        <f>IF($A928="","",IF($C928&lt;&gt;"manual_titration_mL","",IFERROR(INDEX('3_可滴定酸度'!$E$6:$E$13,MATCH($I928,'3_可滴定酸度'!$B$6:$B$13,0)),"")))</f>
        <v/>
      </c>
      <c r="M928" s="25">
        <f>IF($A928="","",IF($C928&lt;&gt;"manual_titration_mL","",IFERROR(INDEX('3_可滴定酸度'!$F$6:$F$13,MATCH($I928,'3_可滴定酸度'!$B$6:$B$13,0)),"")))</f>
        <v/>
      </c>
      <c r="N928" s="24">
        <f>IF($A928="","",IF(OR(K928="",L928="",M928=""),"",K928*E928*L928/(M928*1000)*100))</f>
        <v/>
      </c>
      <c r="O928" s="24">
        <f>IF($A928="","",IF(N928="","",IF(COUNTIFS('1_原始數據'!$A$2:$A$1000,$A928,'1_原始數據'!$B$2:$B$1000,$B928,'1_原始數據'!$D$2:$D$1000,$D928,'1_原始數據'!$I$2:$I$1000,$I928,'1_原始數據'!$C$2:$C$1000,"pasco_pct_acid")=0,"",SUMIFS('1_原始數據'!$E$2:$E$1000,'1_原始數據'!$A$2:$A$1000,$A928,'1_原始數據'!$B$2:$B$1000,$B928,'1_原始數據'!$D$2:$D$1000,$D928,'1_原始數據'!$I$2:$I$1000,$I928,'1_原始數據'!$C$2:$C$1000,"pasco_pct_acid"))))</f>
        <v/>
      </c>
      <c r="P928" s="26">
        <f>IF($A928="","",IF(OR(N928="",O928=""),"",O928-N928))</f>
        <v/>
      </c>
      <c r="Q928" s="24">
        <f>IF($A928="","",IF(P928="","",(O928+N928)/2))</f>
        <v/>
      </c>
      <c r="R928" s="27">
        <f>IF($A928="","",IF(P928="","",COUNT($P$2:P928)))</f>
        <v/>
      </c>
    </row>
    <row r="929">
      <c r="J929" s="24">
        <f>IF($A929="","",IF($C929&lt;&gt;"khp_titration_mL","",IF(COUNTIFS('1_原始數據'!$A$2:$A$1000,$A929,'1_原始數據'!$B$2:$B$1000,$B929,'1_原始數據'!$D$2:$D$1000,$D929,'1_原始數據'!$C$2:$C$1000,"khp_mass_g")=0,"",SUMIFS('1_原始數據'!$E$2:$E$1000,'1_原始數據'!$A$2:$A$1000,$A929,'1_原始數據'!$B$2:$B$1000,$B929,'1_原始數據'!$D$2:$D$1000,$D929,'1_原始數據'!$C$2:$C$1000,"khp_mass_g")/('2_NaOH標定'!$C$5*$E929/1000))))</f>
        <v/>
      </c>
      <c r="K929" s="24">
        <f>IF($A929="","",IF($C929&lt;&gt;"manual_titration_mL","",IF(COUNTIFS('1_原始數據'!$A$2:$A$1000,$A929,'1_原始數據'!$C$2:$C$1000,"khp_titration_mL")=0,"",AVERAGEIFS('1_原始數據'!$J$2:$J$1000,'1_原始數據'!$A$2:$A$1000,$A929,'1_原始數據'!$C$2:$C$1000,"khp_titration_mL"))))</f>
        <v/>
      </c>
      <c r="L929" s="25">
        <f>IF($A929="","",IF($C929&lt;&gt;"manual_titration_mL","",IFERROR(INDEX('3_可滴定酸度'!$E$6:$E$13,MATCH($I929,'3_可滴定酸度'!$B$6:$B$13,0)),"")))</f>
        <v/>
      </c>
      <c r="M929" s="25">
        <f>IF($A929="","",IF($C929&lt;&gt;"manual_titration_mL","",IFERROR(INDEX('3_可滴定酸度'!$F$6:$F$13,MATCH($I929,'3_可滴定酸度'!$B$6:$B$13,0)),"")))</f>
        <v/>
      </c>
      <c r="N929" s="24">
        <f>IF($A929="","",IF(OR(K929="",L929="",M929=""),"",K929*E929*L929/(M929*1000)*100))</f>
        <v/>
      </c>
      <c r="O929" s="24">
        <f>IF($A929="","",IF(N929="","",IF(COUNTIFS('1_原始數據'!$A$2:$A$1000,$A929,'1_原始數據'!$B$2:$B$1000,$B929,'1_原始數據'!$D$2:$D$1000,$D929,'1_原始數據'!$I$2:$I$1000,$I929,'1_原始數據'!$C$2:$C$1000,"pasco_pct_acid")=0,"",SUMIFS('1_原始數據'!$E$2:$E$1000,'1_原始數據'!$A$2:$A$1000,$A929,'1_原始數據'!$B$2:$B$1000,$B929,'1_原始數據'!$D$2:$D$1000,$D929,'1_原始數據'!$I$2:$I$1000,$I929,'1_原始數據'!$C$2:$C$1000,"pasco_pct_acid"))))</f>
        <v/>
      </c>
      <c r="P929" s="26">
        <f>IF($A929="","",IF(OR(N929="",O929=""),"",O929-N929))</f>
        <v/>
      </c>
      <c r="Q929" s="24">
        <f>IF($A929="","",IF(P929="","",(O929+N929)/2))</f>
        <v/>
      </c>
      <c r="R929" s="27">
        <f>IF($A929="","",IF(P929="","",COUNT($P$2:P929)))</f>
        <v/>
      </c>
    </row>
    <row r="930">
      <c r="J930" s="24">
        <f>IF($A930="","",IF($C930&lt;&gt;"khp_titration_mL","",IF(COUNTIFS('1_原始數據'!$A$2:$A$1000,$A930,'1_原始數據'!$B$2:$B$1000,$B930,'1_原始數據'!$D$2:$D$1000,$D930,'1_原始數據'!$C$2:$C$1000,"khp_mass_g")=0,"",SUMIFS('1_原始數據'!$E$2:$E$1000,'1_原始數據'!$A$2:$A$1000,$A930,'1_原始數據'!$B$2:$B$1000,$B930,'1_原始數據'!$D$2:$D$1000,$D930,'1_原始數據'!$C$2:$C$1000,"khp_mass_g")/('2_NaOH標定'!$C$5*$E930/1000))))</f>
        <v/>
      </c>
      <c r="K930" s="24">
        <f>IF($A930="","",IF($C930&lt;&gt;"manual_titration_mL","",IF(COUNTIFS('1_原始數據'!$A$2:$A$1000,$A930,'1_原始數據'!$C$2:$C$1000,"khp_titration_mL")=0,"",AVERAGEIFS('1_原始數據'!$J$2:$J$1000,'1_原始數據'!$A$2:$A$1000,$A930,'1_原始數據'!$C$2:$C$1000,"khp_titration_mL"))))</f>
        <v/>
      </c>
      <c r="L930" s="25">
        <f>IF($A930="","",IF($C930&lt;&gt;"manual_titration_mL","",IFERROR(INDEX('3_可滴定酸度'!$E$6:$E$13,MATCH($I930,'3_可滴定酸度'!$B$6:$B$13,0)),"")))</f>
        <v/>
      </c>
      <c r="M930" s="25">
        <f>IF($A930="","",IF($C930&lt;&gt;"manual_titration_mL","",IFERROR(INDEX('3_可滴定酸度'!$F$6:$F$13,MATCH($I930,'3_可滴定酸度'!$B$6:$B$13,0)),"")))</f>
        <v/>
      </c>
      <c r="N930" s="24">
        <f>IF($A930="","",IF(OR(K930="",L930="",M930=""),"",K930*E930*L930/(M930*1000)*100))</f>
        <v/>
      </c>
      <c r="O930" s="24">
        <f>IF($A930="","",IF(N930="","",IF(COUNTIFS('1_原始數據'!$A$2:$A$1000,$A930,'1_原始數據'!$B$2:$B$1000,$B930,'1_原始數據'!$D$2:$D$1000,$D930,'1_原始數據'!$I$2:$I$1000,$I930,'1_原始數據'!$C$2:$C$1000,"pasco_pct_acid")=0,"",SUMIFS('1_原始數據'!$E$2:$E$1000,'1_原始數據'!$A$2:$A$1000,$A930,'1_原始數據'!$B$2:$B$1000,$B930,'1_原始數據'!$D$2:$D$1000,$D930,'1_原始數據'!$I$2:$I$1000,$I930,'1_原始數據'!$C$2:$C$1000,"pasco_pct_acid"))))</f>
        <v/>
      </c>
      <c r="P930" s="26">
        <f>IF($A930="","",IF(OR(N930="",O930=""),"",O930-N930))</f>
        <v/>
      </c>
      <c r="Q930" s="24">
        <f>IF($A930="","",IF(P930="","",(O930+N930)/2))</f>
        <v/>
      </c>
      <c r="R930" s="27">
        <f>IF($A930="","",IF(P930="","",COUNT($P$2:P930)))</f>
        <v/>
      </c>
    </row>
    <row r="931">
      <c r="J931" s="24">
        <f>IF($A931="","",IF($C931&lt;&gt;"khp_titration_mL","",IF(COUNTIFS('1_原始數據'!$A$2:$A$1000,$A931,'1_原始數據'!$B$2:$B$1000,$B931,'1_原始數據'!$D$2:$D$1000,$D931,'1_原始數據'!$C$2:$C$1000,"khp_mass_g")=0,"",SUMIFS('1_原始數據'!$E$2:$E$1000,'1_原始數據'!$A$2:$A$1000,$A931,'1_原始數據'!$B$2:$B$1000,$B931,'1_原始數據'!$D$2:$D$1000,$D931,'1_原始數據'!$C$2:$C$1000,"khp_mass_g")/('2_NaOH標定'!$C$5*$E931/1000))))</f>
        <v/>
      </c>
      <c r="K931" s="24">
        <f>IF($A931="","",IF($C931&lt;&gt;"manual_titration_mL","",IF(COUNTIFS('1_原始數據'!$A$2:$A$1000,$A931,'1_原始數據'!$C$2:$C$1000,"khp_titration_mL")=0,"",AVERAGEIFS('1_原始數據'!$J$2:$J$1000,'1_原始數據'!$A$2:$A$1000,$A931,'1_原始數據'!$C$2:$C$1000,"khp_titration_mL"))))</f>
        <v/>
      </c>
      <c r="L931" s="25">
        <f>IF($A931="","",IF($C931&lt;&gt;"manual_titration_mL","",IFERROR(INDEX('3_可滴定酸度'!$E$6:$E$13,MATCH($I931,'3_可滴定酸度'!$B$6:$B$13,0)),"")))</f>
        <v/>
      </c>
      <c r="M931" s="25">
        <f>IF($A931="","",IF($C931&lt;&gt;"manual_titration_mL","",IFERROR(INDEX('3_可滴定酸度'!$F$6:$F$13,MATCH($I931,'3_可滴定酸度'!$B$6:$B$13,0)),"")))</f>
        <v/>
      </c>
      <c r="N931" s="24">
        <f>IF($A931="","",IF(OR(K931="",L931="",M931=""),"",K931*E931*L931/(M931*1000)*100))</f>
        <v/>
      </c>
      <c r="O931" s="24">
        <f>IF($A931="","",IF(N931="","",IF(COUNTIFS('1_原始數據'!$A$2:$A$1000,$A931,'1_原始數據'!$B$2:$B$1000,$B931,'1_原始數據'!$D$2:$D$1000,$D931,'1_原始數據'!$I$2:$I$1000,$I931,'1_原始數據'!$C$2:$C$1000,"pasco_pct_acid")=0,"",SUMIFS('1_原始數據'!$E$2:$E$1000,'1_原始數據'!$A$2:$A$1000,$A931,'1_原始數據'!$B$2:$B$1000,$B931,'1_原始數據'!$D$2:$D$1000,$D931,'1_原始數據'!$I$2:$I$1000,$I931,'1_原始數據'!$C$2:$C$1000,"pasco_pct_acid"))))</f>
        <v/>
      </c>
      <c r="P931" s="26">
        <f>IF($A931="","",IF(OR(N931="",O931=""),"",O931-N931))</f>
        <v/>
      </c>
      <c r="Q931" s="24">
        <f>IF($A931="","",IF(P931="","",(O931+N931)/2))</f>
        <v/>
      </c>
      <c r="R931" s="27">
        <f>IF($A931="","",IF(P931="","",COUNT($P$2:P931)))</f>
        <v/>
      </c>
    </row>
    <row r="932">
      <c r="J932" s="24">
        <f>IF($A932="","",IF($C932&lt;&gt;"khp_titration_mL","",IF(COUNTIFS('1_原始數據'!$A$2:$A$1000,$A932,'1_原始數據'!$B$2:$B$1000,$B932,'1_原始數據'!$D$2:$D$1000,$D932,'1_原始數據'!$C$2:$C$1000,"khp_mass_g")=0,"",SUMIFS('1_原始數據'!$E$2:$E$1000,'1_原始數據'!$A$2:$A$1000,$A932,'1_原始數據'!$B$2:$B$1000,$B932,'1_原始數據'!$D$2:$D$1000,$D932,'1_原始數據'!$C$2:$C$1000,"khp_mass_g")/('2_NaOH標定'!$C$5*$E932/1000))))</f>
        <v/>
      </c>
      <c r="K932" s="24">
        <f>IF($A932="","",IF($C932&lt;&gt;"manual_titration_mL","",IF(COUNTIFS('1_原始數據'!$A$2:$A$1000,$A932,'1_原始數據'!$C$2:$C$1000,"khp_titration_mL")=0,"",AVERAGEIFS('1_原始數據'!$J$2:$J$1000,'1_原始數據'!$A$2:$A$1000,$A932,'1_原始數據'!$C$2:$C$1000,"khp_titration_mL"))))</f>
        <v/>
      </c>
      <c r="L932" s="25">
        <f>IF($A932="","",IF($C932&lt;&gt;"manual_titration_mL","",IFERROR(INDEX('3_可滴定酸度'!$E$6:$E$13,MATCH($I932,'3_可滴定酸度'!$B$6:$B$13,0)),"")))</f>
        <v/>
      </c>
      <c r="M932" s="25">
        <f>IF($A932="","",IF($C932&lt;&gt;"manual_titration_mL","",IFERROR(INDEX('3_可滴定酸度'!$F$6:$F$13,MATCH($I932,'3_可滴定酸度'!$B$6:$B$13,0)),"")))</f>
        <v/>
      </c>
      <c r="N932" s="24">
        <f>IF($A932="","",IF(OR(K932="",L932="",M932=""),"",K932*E932*L932/(M932*1000)*100))</f>
        <v/>
      </c>
      <c r="O932" s="24">
        <f>IF($A932="","",IF(N932="","",IF(COUNTIFS('1_原始數據'!$A$2:$A$1000,$A932,'1_原始數據'!$B$2:$B$1000,$B932,'1_原始數據'!$D$2:$D$1000,$D932,'1_原始數據'!$I$2:$I$1000,$I932,'1_原始數據'!$C$2:$C$1000,"pasco_pct_acid")=0,"",SUMIFS('1_原始數據'!$E$2:$E$1000,'1_原始數據'!$A$2:$A$1000,$A932,'1_原始數據'!$B$2:$B$1000,$B932,'1_原始數據'!$D$2:$D$1000,$D932,'1_原始數據'!$I$2:$I$1000,$I932,'1_原始數據'!$C$2:$C$1000,"pasco_pct_acid"))))</f>
        <v/>
      </c>
      <c r="P932" s="26">
        <f>IF($A932="","",IF(OR(N932="",O932=""),"",O932-N932))</f>
        <v/>
      </c>
      <c r="Q932" s="24">
        <f>IF($A932="","",IF(P932="","",(O932+N932)/2))</f>
        <v/>
      </c>
      <c r="R932" s="27">
        <f>IF($A932="","",IF(P932="","",COUNT($P$2:P932)))</f>
        <v/>
      </c>
    </row>
    <row r="933">
      <c r="J933" s="24">
        <f>IF($A933="","",IF($C933&lt;&gt;"khp_titration_mL","",IF(COUNTIFS('1_原始數據'!$A$2:$A$1000,$A933,'1_原始數據'!$B$2:$B$1000,$B933,'1_原始數據'!$D$2:$D$1000,$D933,'1_原始數據'!$C$2:$C$1000,"khp_mass_g")=0,"",SUMIFS('1_原始數據'!$E$2:$E$1000,'1_原始數據'!$A$2:$A$1000,$A933,'1_原始數據'!$B$2:$B$1000,$B933,'1_原始數據'!$D$2:$D$1000,$D933,'1_原始數據'!$C$2:$C$1000,"khp_mass_g")/('2_NaOH標定'!$C$5*$E933/1000))))</f>
        <v/>
      </c>
      <c r="K933" s="24">
        <f>IF($A933="","",IF($C933&lt;&gt;"manual_titration_mL","",IF(COUNTIFS('1_原始數據'!$A$2:$A$1000,$A933,'1_原始數據'!$C$2:$C$1000,"khp_titration_mL")=0,"",AVERAGEIFS('1_原始數據'!$J$2:$J$1000,'1_原始數據'!$A$2:$A$1000,$A933,'1_原始數據'!$C$2:$C$1000,"khp_titration_mL"))))</f>
        <v/>
      </c>
      <c r="L933" s="25">
        <f>IF($A933="","",IF($C933&lt;&gt;"manual_titration_mL","",IFERROR(INDEX('3_可滴定酸度'!$E$6:$E$13,MATCH($I933,'3_可滴定酸度'!$B$6:$B$13,0)),"")))</f>
        <v/>
      </c>
      <c r="M933" s="25">
        <f>IF($A933="","",IF($C933&lt;&gt;"manual_titration_mL","",IFERROR(INDEX('3_可滴定酸度'!$F$6:$F$13,MATCH($I933,'3_可滴定酸度'!$B$6:$B$13,0)),"")))</f>
        <v/>
      </c>
      <c r="N933" s="24">
        <f>IF($A933="","",IF(OR(K933="",L933="",M933=""),"",K933*E933*L933/(M933*1000)*100))</f>
        <v/>
      </c>
      <c r="O933" s="24">
        <f>IF($A933="","",IF(N933="","",IF(COUNTIFS('1_原始數據'!$A$2:$A$1000,$A933,'1_原始數據'!$B$2:$B$1000,$B933,'1_原始數據'!$D$2:$D$1000,$D933,'1_原始數據'!$I$2:$I$1000,$I933,'1_原始數據'!$C$2:$C$1000,"pasco_pct_acid")=0,"",SUMIFS('1_原始數據'!$E$2:$E$1000,'1_原始數據'!$A$2:$A$1000,$A933,'1_原始數據'!$B$2:$B$1000,$B933,'1_原始數據'!$D$2:$D$1000,$D933,'1_原始數據'!$I$2:$I$1000,$I933,'1_原始數據'!$C$2:$C$1000,"pasco_pct_acid"))))</f>
        <v/>
      </c>
      <c r="P933" s="26">
        <f>IF($A933="","",IF(OR(N933="",O933=""),"",O933-N933))</f>
        <v/>
      </c>
      <c r="Q933" s="24">
        <f>IF($A933="","",IF(P933="","",(O933+N933)/2))</f>
        <v/>
      </c>
      <c r="R933" s="27">
        <f>IF($A933="","",IF(P933="","",COUNT($P$2:P933)))</f>
        <v/>
      </c>
    </row>
    <row r="934">
      <c r="J934" s="24">
        <f>IF($A934="","",IF($C934&lt;&gt;"khp_titration_mL","",IF(COUNTIFS('1_原始數據'!$A$2:$A$1000,$A934,'1_原始數據'!$B$2:$B$1000,$B934,'1_原始數據'!$D$2:$D$1000,$D934,'1_原始數據'!$C$2:$C$1000,"khp_mass_g")=0,"",SUMIFS('1_原始數據'!$E$2:$E$1000,'1_原始數據'!$A$2:$A$1000,$A934,'1_原始數據'!$B$2:$B$1000,$B934,'1_原始數據'!$D$2:$D$1000,$D934,'1_原始數據'!$C$2:$C$1000,"khp_mass_g")/('2_NaOH標定'!$C$5*$E934/1000))))</f>
        <v/>
      </c>
      <c r="K934" s="24">
        <f>IF($A934="","",IF($C934&lt;&gt;"manual_titration_mL","",IF(COUNTIFS('1_原始數據'!$A$2:$A$1000,$A934,'1_原始數據'!$C$2:$C$1000,"khp_titration_mL")=0,"",AVERAGEIFS('1_原始數據'!$J$2:$J$1000,'1_原始數據'!$A$2:$A$1000,$A934,'1_原始數據'!$C$2:$C$1000,"khp_titration_mL"))))</f>
        <v/>
      </c>
      <c r="L934" s="25">
        <f>IF($A934="","",IF($C934&lt;&gt;"manual_titration_mL","",IFERROR(INDEX('3_可滴定酸度'!$E$6:$E$13,MATCH($I934,'3_可滴定酸度'!$B$6:$B$13,0)),"")))</f>
        <v/>
      </c>
      <c r="M934" s="25">
        <f>IF($A934="","",IF($C934&lt;&gt;"manual_titration_mL","",IFERROR(INDEX('3_可滴定酸度'!$F$6:$F$13,MATCH($I934,'3_可滴定酸度'!$B$6:$B$13,0)),"")))</f>
        <v/>
      </c>
      <c r="N934" s="24">
        <f>IF($A934="","",IF(OR(K934="",L934="",M934=""),"",K934*E934*L934/(M934*1000)*100))</f>
        <v/>
      </c>
      <c r="O934" s="24">
        <f>IF($A934="","",IF(N934="","",IF(COUNTIFS('1_原始數據'!$A$2:$A$1000,$A934,'1_原始數據'!$B$2:$B$1000,$B934,'1_原始數據'!$D$2:$D$1000,$D934,'1_原始數據'!$I$2:$I$1000,$I934,'1_原始數據'!$C$2:$C$1000,"pasco_pct_acid")=0,"",SUMIFS('1_原始數據'!$E$2:$E$1000,'1_原始數據'!$A$2:$A$1000,$A934,'1_原始數據'!$B$2:$B$1000,$B934,'1_原始數據'!$D$2:$D$1000,$D934,'1_原始數據'!$I$2:$I$1000,$I934,'1_原始數據'!$C$2:$C$1000,"pasco_pct_acid"))))</f>
        <v/>
      </c>
      <c r="P934" s="26">
        <f>IF($A934="","",IF(OR(N934="",O934=""),"",O934-N934))</f>
        <v/>
      </c>
      <c r="Q934" s="24">
        <f>IF($A934="","",IF(P934="","",(O934+N934)/2))</f>
        <v/>
      </c>
      <c r="R934" s="27">
        <f>IF($A934="","",IF(P934="","",COUNT($P$2:P934)))</f>
        <v/>
      </c>
    </row>
    <row r="935">
      <c r="J935" s="24">
        <f>IF($A935="","",IF($C935&lt;&gt;"khp_titration_mL","",IF(COUNTIFS('1_原始數據'!$A$2:$A$1000,$A935,'1_原始數據'!$B$2:$B$1000,$B935,'1_原始數據'!$D$2:$D$1000,$D935,'1_原始數據'!$C$2:$C$1000,"khp_mass_g")=0,"",SUMIFS('1_原始數據'!$E$2:$E$1000,'1_原始數據'!$A$2:$A$1000,$A935,'1_原始數據'!$B$2:$B$1000,$B935,'1_原始數據'!$D$2:$D$1000,$D935,'1_原始數據'!$C$2:$C$1000,"khp_mass_g")/('2_NaOH標定'!$C$5*$E935/1000))))</f>
        <v/>
      </c>
      <c r="K935" s="24">
        <f>IF($A935="","",IF($C935&lt;&gt;"manual_titration_mL","",IF(COUNTIFS('1_原始數據'!$A$2:$A$1000,$A935,'1_原始數據'!$C$2:$C$1000,"khp_titration_mL")=0,"",AVERAGEIFS('1_原始數據'!$J$2:$J$1000,'1_原始數據'!$A$2:$A$1000,$A935,'1_原始數據'!$C$2:$C$1000,"khp_titration_mL"))))</f>
        <v/>
      </c>
      <c r="L935" s="25">
        <f>IF($A935="","",IF($C935&lt;&gt;"manual_titration_mL","",IFERROR(INDEX('3_可滴定酸度'!$E$6:$E$13,MATCH($I935,'3_可滴定酸度'!$B$6:$B$13,0)),"")))</f>
        <v/>
      </c>
      <c r="M935" s="25">
        <f>IF($A935="","",IF($C935&lt;&gt;"manual_titration_mL","",IFERROR(INDEX('3_可滴定酸度'!$F$6:$F$13,MATCH($I935,'3_可滴定酸度'!$B$6:$B$13,0)),"")))</f>
        <v/>
      </c>
      <c r="N935" s="24">
        <f>IF($A935="","",IF(OR(K935="",L935="",M935=""),"",K935*E935*L935/(M935*1000)*100))</f>
        <v/>
      </c>
      <c r="O935" s="24">
        <f>IF($A935="","",IF(N935="","",IF(COUNTIFS('1_原始數據'!$A$2:$A$1000,$A935,'1_原始數據'!$B$2:$B$1000,$B935,'1_原始數據'!$D$2:$D$1000,$D935,'1_原始數據'!$I$2:$I$1000,$I935,'1_原始數據'!$C$2:$C$1000,"pasco_pct_acid")=0,"",SUMIFS('1_原始數據'!$E$2:$E$1000,'1_原始數據'!$A$2:$A$1000,$A935,'1_原始數據'!$B$2:$B$1000,$B935,'1_原始數據'!$D$2:$D$1000,$D935,'1_原始數據'!$I$2:$I$1000,$I935,'1_原始數據'!$C$2:$C$1000,"pasco_pct_acid"))))</f>
        <v/>
      </c>
      <c r="P935" s="26">
        <f>IF($A935="","",IF(OR(N935="",O935=""),"",O935-N935))</f>
        <v/>
      </c>
      <c r="Q935" s="24">
        <f>IF($A935="","",IF(P935="","",(O935+N935)/2))</f>
        <v/>
      </c>
      <c r="R935" s="27">
        <f>IF($A935="","",IF(P935="","",COUNT($P$2:P935)))</f>
        <v/>
      </c>
    </row>
    <row r="936">
      <c r="J936" s="24">
        <f>IF($A936="","",IF($C936&lt;&gt;"khp_titration_mL","",IF(COUNTIFS('1_原始數據'!$A$2:$A$1000,$A936,'1_原始數據'!$B$2:$B$1000,$B936,'1_原始數據'!$D$2:$D$1000,$D936,'1_原始數據'!$C$2:$C$1000,"khp_mass_g")=0,"",SUMIFS('1_原始數據'!$E$2:$E$1000,'1_原始數據'!$A$2:$A$1000,$A936,'1_原始數據'!$B$2:$B$1000,$B936,'1_原始數據'!$D$2:$D$1000,$D936,'1_原始數據'!$C$2:$C$1000,"khp_mass_g")/('2_NaOH標定'!$C$5*$E936/1000))))</f>
        <v/>
      </c>
      <c r="K936" s="24">
        <f>IF($A936="","",IF($C936&lt;&gt;"manual_titration_mL","",IF(COUNTIFS('1_原始數據'!$A$2:$A$1000,$A936,'1_原始數據'!$C$2:$C$1000,"khp_titration_mL")=0,"",AVERAGEIFS('1_原始數據'!$J$2:$J$1000,'1_原始數據'!$A$2:$A$1000,$A936,'1_原始數據'!$C$2:$C$1000,"khp_titration_mL"))))</f>
        <v/>
      </c>
      <c r="L936" s="25">
        <f>IF($A936="","",IF($C936&lt;&gt;"manual_titration_mL","",IFERROR(INDEX('3_可滴定酸度'!$E$6:$E$13,MATCH($I936,'3_可滴定酸度'!$B$6:$B$13,0)),"")))</f>
        <v/>
      </c>
      <c r="M936" s="25">
        <f>IF($A936="","",IF($C936&lt;&gt;"manual_titration_mL","",IFERROR(INDEX('3_可滴定酸度'!$F$6:$F$13,MATCH($I936,'3_可滴定酸度'!$B$6:$B$13,0)),"")))</f>
        <v/>
      </c>
      <c r="N936" s="24">
        <f>IF($A936="","",IF(OR(K936="",L936="",M936=""),"",K936*E936*L936/(M936*1000)*100))</f>
        <v/>
      </c>
      <c r="O936" s="24">
        <f>IF($A936="","",IF(N936="","",IF(COUNTIFS('1_原始數據'!$A$2:$A$1000,$A936,'1_原始數據'!$B$2:$B$1000,$B936,'1_原始數據'!$D$2:$D$1000,$D936,'1_原始數據'!$I$2:$I$1000,$I936,'1_原始數據'!$C$2:$C$1000,"pasco_pct_acid")=0,"",SUMIFS('1_原始數據'!$E$2:$E$1000,'1_原始數據'!$A$2:$A$1000,$A936,'1_原始數據'!$B$2:$B$1000,$B936,'1_原始數據'!$D$2:$D$1000,$D936,'1_原始數據'!$I$2:$I$1000,$I936,'1_原始數據'!$C$2:$C$1000,"pasco_pct_acid"))))</f>
        <v/>
      </c>
      <c r="P936" s="26">
        <f>IF($A936="","",IF(OR(N936="",O936=""),"",O936-N936))</f>
        <v/>
      </c>
      <c r="Q936" s="24">
        <f>IF($A936="","",IF(P936="","",(O936+N936)/2))</f>
        <v/>
      </c>
      <c r="R936" s="27">
        <f>IF($A936="","",IF(P936="","",COUNT($P$2:P936)))</f>
        <v/>
      </c>
    </row>
    <row r="937">
      <c r="J937" s="24">
        <f>IF($A937="","",IF($C937&lt;&gt;"khp_titration_mL","",IF(COUNTIFS('1_原始數據'!$A$2:$A$1000,$A937,'1_原始數據'!$B$2:$B$1000,$B937,'1_原始數據'!$D$2:$D$1000,$D937,'1_原始數據'!$C$2:$C$1000,"khp_mass_g")=0,"",SUMIFS('1_原始數據'!$E$2:$E$1000,'1_原始數據'!$A$2:$A$1000,$A937,'1_原始數據'!$B$2:$B$1000,$B937,'1_原始數據'!$D$2:$D$1000,$D937,'1_原始數據'!$C$2:$C$1000,"khp_mass_g")/('2_NaOH標定'!$C$5*$E937/1000))))</f>
        <v/>
      </c>
      <c r="K937" s="24">
        <f>IF($A937="","",IF($C937&lt;&gt;"manual_titration_mL","",IF(COUNTIFS('1_原始數據'!$A$2:$A$1000,$A937,'1_原始數據'!$C$2:$C$1000,"khp_titration_mL")=0,"",AVERAGEIFS('1_原始數據'!$J$2:$J$1000,'1_原始數據'!$A$2:$A$1000,$A937,'1_原始數據'!$C$2:$C$1000,"khp_titration_mL"))))</f>
        <v/>
      </c>
      <c r="L937" s="25">
        <f>IF($A937="","",IF($C937&lt;&gt;"manual_titration_mL","",IFERROR(INDEX('3_可滴定酸度'!$E$6:$E$13,MATCH($I937,'3_可滴定酸度'!$B$6:$B$13,0)),"")))</f>
        <v/>
      </c>
      <c r="M937" s="25">
        <f>IF($A937="","",IF($C937&lt;&gt;"manual_titration_mL","",IFERROR(INDEX('3_可滴定酸度'!$F$6:$F$13,MATCH($I937,'3_可滴定酸度'!$B$6:$B$13,0)),"")))</f>
        <v/>
      </c>
      <c r="N937" s="24">
        <f>IF($A937="","",IF(OR(K937="",L937="",M937=""),"",K937*E937*L937/(M937*1000)*100))</f>
        <v/>
      </c>
      <c r="O937" s="24">
        <f>IF($A937="","",IF(N937="","",IF(COUNTIFS('1_原始數據'!$A$2:$A$1000,$A937,'1_原始數據'!$B$2:$B$1000,$B937,'1_原始數據'!$D$2:$D$1000,$D937,'1_原始數據'!$I$2:$I$1000,$I937,'1_原始數據'!$C$2:$C$1000,"pasco_pct_acid")=0,"",SUMIFS('1_原始數據'!$E$2:$E$1000,'1_原始數據'!$A$2:$A$1000,$A937,'1_原始數據'!$B$2:$B$1000,$B937,'1_原始數據'!$D$2:$D$1000,$D937,'1_原始數據'!$I$2:$I$1000,$I937,'1_原始數據'!$C$2:$C$1000,"pasco_pct_acid"))))</f>
        <v/>
      </c>
      <c r="P937" s="26">
        <f>IF($A937="","",IF(OR(N937="",O937=""),"",O937-N937))</f>
        <v/>
      </c>
      <c r="Q937" s="24">
        <f>IF($A937="","",IF(P937="","",(O937+N937)/2))</f>
        <v/>
      </c>
      <c r="R937" s="27">
        <f>IF($A937="","",IF(P937="","",COUNT($P$2:P937)))</f>
        <v/>
      </c>
    </row>
    <row r="938">
      <c r="J938" s="24">
        <f>IF($A938="","",IF($C938&lt;&gt;"khp_titration_mL","",IF(COUNTIFS('1_原始數據'!$A$2:$A$1000,$A938,'1_原始數據'!$B$2:$B$1000,$B938,'1_原始數據'!$D$2:$D$1000,$D938,'1_原始數據'!$C$2:$C$1000,"khp_mass_g")=0,"",SUMIFS('1_原始數據'!$E$2:$E$1000,'1_原始數據'!$A$2:$A$1000,$A938,'1_原始數據'!$B$2:$B$1000,$B938,'1_原始數據'!$D$2:$D$1000,$D938,'1_原始數據'!$C$2:$C$1000,"khp_mass_g")/('2_NaOH標定'!$C$5*$E938/1000))))</f>
        <v/>
      </c>
      <c r="K938" s="24">
        <f>IF($A938="","",IF($C938&lt;&gt;"manual_titration_mL","",IF(COUNTIFS('1_原始數據'!$A$2:$A$1000,$A938,'1_原始數據'!$C$2:$C$1000,"khp_titration_mL")=0,"",AVERAGEIFS('1_原始數據'!$J$2:$J$1000,'1_原始數據'!$A$2:$A$1000,$A938,'1_原始數據'!$C$2:$C$1000,"khp_titration_mL"))))</f>
        <v/>
      </c>
      <c r="L938" s="25">
        <f>IF($A938="","",IF($C938&lt;&gt;"manual_titration_mL","",IFERROR(INDEX('3_可滴定酸度'!$E$6:$E$13,MATCH($I938,'3_可滴定酸度'!$B$6:$B$13,0)),"")))</f>
        <v/>
      </c>
      <c r="M938" s="25">
        <f>IF($A938="","",IF($C938&lt;&gt;"manual_titration_mL","",IFERROR(INDEX('3_可滴定酸度'!$F$6:$F$13,MATCH($I938,'3_可滴定酸度'!$B$6:$B$13,0)),"")))</f>
        <v/>
      </c>
      <c r="N938" s="24">
        <f>IF($A938="","",IF(OR(K938="",L938="",M938=""),"",K938*E938*L938/(M938*1000)*100))</f>
        <v/>
      </c>
      <c r="O938" s="24">
        <f>IF($A938="","",IF(N938="","",IF(COUNTIFS('1_原始數據'!$A$2:$A$1000,$A938,'1_原始數據'!$B$2:$B$1000,$B938,'1_原始數據'!$D$2:$D$1000,$D938,'1_原始數據'!$I$2:$I$1000,$I938,'1_原始數據'!$C$2:$C$1000,"pasco_pct_acid")=0,"",SUMIFS('1_原始數據'!$E$2:$E$1000,'1_原始數據'!$A$2:$A$1000,$A938,'1_原始數據'!$B$2:$B$1000,$B938,'1_原始數據'!$D$2:$D$1000,$D938,'1_原始數據'!$I$2:$I$1000,$I938,'1_原始數據'!$C$2:$C$1000,"pasco_pct_acid"))))</f>
        <v/>
      </c>
      <c r="P938" s="26">
        <f>IF($A938="","",IF(OR(N938="",O938=""),"",O938-N938))</f>
        <v/>
      </c>
      <c r="Q938" s="24">
        <f>IF($A938="","",IF(P938="","",(O938+N938)/2))</f>
        <v/>
      </c>
      <c r="R938" s="27">
        <f>IF($A938="","",IF(P938="","",COUNT($P$2:P938)))</f>
        <v/>
      </c>
    </row>
    <row r="939">
      <c r="J939" s="24">
        <f>IF($A939="","",IF($C939&lt;&gt;"khp_titration_mL","",IF(COUNTIFS('1_原始數據'!$A$2:$A$1000,$A939,'1_原始數據'!$B$2:$B$1000,$B939,'1_原始數據'!$D$2:$D$1000,$D939,'1_原始數據'!$C$2:$C$1000,"khp_mass_g")=0,"",SUMIFS('1_原始數據'!$E$2:$E$1000,'1_原始數據'!$A$2:$A$1000,$A939,'1_原始數據'!$B$2:$B$1000,$B939,'1_原始數據'!$D$2:$D$1000,$D939,'1_原始數據'!$C$2:$C$1000,"khp_mass_g")/('2_NaOH標定'!$C$5*$E939/1000))))</f>
        <v/>
      </c>
      <c r="K939" s="24">
        <f>IF($A939="","",IF($C939&lt;&gt;"manual_titration_mL","",IF(COUNTIFS('1_原始數據'!$A$2:$A$1000,$A939,'1_原始數據'!$C$2:$C$1000,"khp_titration_mL")=0,"",AVERAGEIFS('1_原始數據'!$J$2:$J$1000,'1_原始數據'!$A$2:$A$1000,$A939,'1_原始數據'!$C$2:$C$1000,"khp_titration_mL"))))</f>
        <v/>
      </c>
      <c r="L939" s="25">
        <f>IF($A939="","",IF($C939&lt;&gt;"manual_titration_mL","",IFERROR(INDEX('3_可滴定酸度'!$E$6:$E$13,MATCH($I939,'3_可滴定酸度'!$B$6:$B$13,0)),"")))</f>
        <v/>
      </c>
      <c r="M939" s="25">
        <f>IF($A939="","",IF($C939&lt;&gt;"manual_titration_mL","",IFERROR(INDEX('3_可滴定酸度'!$F$6:$F$13,MATCH($I939,'3_可滴定酸度'!$B$6:$B$13,0)),"")))</f>
        <v/>
      </c>
      <c r="N939" s="24">
        <f>IF($A939="","",IF(OR(K939="",L939="",M939=""),"",K939*E939*L939/(M939*1000)*100))</f>
        <v/>
      </c>
      <c r="O939" s="24">
        <f>IF($A939="","",IF(N939="","",IF(COUNTIFS('1_原始數據'!$A$2:$A$1000,$A939,'1_原始數據'!$B$2:$B$1000,$B939,'1_原始數據'!$D$2:$D$1000,$D939,'1_原始數據'!$I$2:$I$1000,$I939,'1_原始數據'!$C$2:$C$1000,"pasco_pct_acid")=0,"",SUMIFS('1_原始數據'!$E$2:$E$1000,'1_原始數據'!$A$2:$A$1000,$A939,'1_原始數據'!$B$2:$B$1000,$B939,'1_原始數據'!$D$2:$D$1000,$D939,'1_原始數據'!$I$2:$I$1000,$I939,'1_原始數據'!$C$2:$C$1000,"pasco_pct_acid"))))</f>
        <v/>
      </c>
      <c r="P939" s="26">
        <f>IF($A939="","",IF(OR(N939="",O939=""),"",O939-N939))</f>
        <v/>
      </c>
      <c r="Q939" s="24">
        <f>IF($A939="","",IF(P939="","",(O939+N939)/2))</f>
        <v/>
      </c>
      <c r="R939" s="27">
        <f>IF($A939="","",IF(P939="","",COUNT($P$2:P939)))</f>
        <v/>
      </c>
    </row>
    <row r="940">
      <c r="J940" s="24">
        <f>IF($A940="","",IF($C940&lt;&gt;"khp_titration_mL","",IF(COUNTIFS('1_原始數據'!$A$2:$A$1000,$A940,'1_原始數據'!$B$2:$B$1000,$B940,'1_原始數據'!$D$2:$D$1000,$D940,'1_原始數據'!$C$2:$C$1000,"khp_mass_g")=0,"",SUMIFS('1_原始數據'!$E$2:$E$1000,'1_原始數據'!$A$2:$A$1000,$A940,'1_原始數據'!$B$2:$B$1000,$B940,'1_原始數據'!$D$2:$D$1000,$D940,'1_原始數據'!$C$2:$C$1000,"khp_mass_g")/('2_NaOH標定'!$C$5*$E940/1000))))</f>
        <v/>
      </c>
      <c r="K940" s="24">
        <f>IF($A940="","",IF($C940&lt;&gt;"manual_titration_mL","",IF(COUNTIFS('1_原始數據'!$A$2:$A$1000,$A940,'1_原始數據'!$C$2:$C$1000,"khp_titration_mL")=0,"",AVERAGEIFS('1_原始數據'!$J$2:$J$1000,'1_原始數據'!$A$2:$A$1000,$A940,'1_原始數據'!$C$2:$C$1000,"khp_titration_mL"))))</f>
        <v/>
      </c>
      <c r="L940" s="25">
        <f>IF($A940="","",IF($C940&lt;&gt;"manual_titration_mL","",IFERROR(INDEX('3_可滴定酸度'!$E$6:$E$13,MATCH($I940,'3_可滴定酸度'!$B$6:$B$13,0)),"")))</f>
        <v/>
      </c>
      <c r="M940" s="25">
        <f>IF($A940="","",IF($C940&lt;&gt;"manual_titration_mL","",IFERROR(INDEX('3_可滴定酸度'!$F$6:$F$13,MATCH($I940,'3_可滴定酸度'!$B$6:$B$13,0)),"")))</f>
        <v/>
      </c>
      <c r="N940" s="24">
        <f>IF($A940="","",IF(OR(K940="",L940="",M940=""),"",K940*E940*L940/(M940*1000)*100))</f>
        <v/>
      </c>
      <c r="O940" s="24">
        <f>IF($A940="","",IF(N940="","",IF(COUNTIFS('1_原始數據'!$A$2:$A$1000,$A940,'1_原始數據'!$B$2:$B$1000,$B940,'1_原始數據'!$D$2:$D$1000,$D940,'1_原始數據'!$I$2:$I$1000,$I940,'1_原始數據'!$C$2:$C$1000,"pasco_pct_acid")=0,"",SUMIFS('1_原始數據'!$E$2:$E$1000,'1_原始數據'!$A$2:$A$1000,$A940,'1_原始數據'!$B$2:$B$1000,$B940,'1_原始數據'!$D$2:$D$1000,$D940,'1_原始數據'!$I$2:$I$1000,$I940,'1_原始數據'!$C$2:$C$1000,"pasco_pct_acid"))))</f>
        <v/>
      </c>
      <c r="P940" s="26">
        <f>IF($A940="","",IF(OR(N940="",O940=""),"",O940-N940))</f>
        <v/>
      </c>
      <c r="Q940" s="24">
        <f>IF($A940="","",IF(P940="","",(O940+N940)/2))</f>
        <v/>
      </c>
      <c r="R940" s="27">
        <f>IF($A940="","",IF(P940="","",COUNT($P$2:P940)))</f>
        <v/>
      </c>
    </row>
    <row r="941">
      <c r="J941" s="24">
        <f>IF($A941="","",IF($C941&lt;&gt;"khp_titration_mL","",IF(COUNTIFS('1_原始數據'!$A$2:$A$1000,$A941,'1_原始數據'!$B$2:$B$1000,$B941,'1_原始數據'!$D$2:$D$1000,$D941,'1_原始數據'!$C$2:$C$1000,"khp_mass_g")=0,"",SUMIFS('1_原始數據'!$E$2:$E$1000,'1_原始數據'!$A$2:$A$1000,$A941,'1_原始數據'!$B$2:$B$1000,$B941,'1_原始數據'!$D$2:$D$1000,$D941,'1_原始數據'!$C$2:$C$1000,"khp_mass_g")/('2_NaOH標定'!$C$5*$E941/1000))))</f>
        <v/>
      </c>
      <c r="K941" s="24">
        <f>IF($A941="","",IF($C941&lt;&gt;"manual_titration_mL","",IF(COUNTIFS('1_原始數據'!$A$2:$A$1000,$A941,'1_原始數據'!$C$2:$C$1000,"khp_titration_mL")=0,"",AVERAGEIFS('1_原始數據'!$J$2:$J$1000,'1_原始數據'!$A$2:$A$1000,$A941,'1_原始數據'!$C$2:$C$1000,"khp_titration_mL"))))</f>
        <v/>
      </c>
      <c r="L941" s="25">
        <f>IF($A941="","",IF($C941&lt;&gt;"manual_titration_mL","",IFERROR(INDEX('3_可滴定酸度'!$E$6:$E$13,MATCH($I941,'3_可滴定酸度'!$B$6:$B$13,0)),"")))</f>
        <v/>
      </c>
      <c r="M941" s="25">
        <f>IF($A941="","",IF($C941&lt;&gt;"manual_titration_mL","",IFERROR(INDEX('3_可滴定酸度'!$F$6:$F$13,MATCH($I941,'3_可滴定酸度'!$B$6:$B$13,0)),"")))</f>
        <v/>
      </c>
      <c r="N941" s="24">
        <f>IF($A941="","",IF(OR(K941="",L941="",M941=""),"",K941*E941*L941/(M941*1000)*100))</f>
        <v/>
      </c>
      <c r="O941" s="24">
        <f>IF($A941="","",IF(N941="","",IF(COUNTIFS('1_原始數據'!$A$2:$A$1000,$A941,'1_原始數據'!$B$2:$B$1000,$B941,'1_原始數據'!$D$2:$D$1000,$D941,'1_原始數據'!$I$2:$I$1000,$I941,'1_原始數據'!$C$2:$C$1000,"pasco_pct_acid")=0,"",SUMIFS('1_原始數據'!$E$2:$E$1000,'1_原始數據'!$A$2:$A$1000,$A941,'1_原始數據'!$B$2:$B$1000,$B941,'1_原始數據'!$D$2:$D$1000,$D941,'1_原始數據'!$I$2:$I$1000,$I941,'1_原始數據'!$C$2:$C$1000,"pasco_pct_acid"))))</f>
        <v/>
      </c>
      <c r="P941" s="26">
        <f>IF($A941="","",IF(OR(N941="",O941=""),"",O941-N941))</f>
        <v/>
      </c>
      <c r="Q941" s="24">
        <f>IF($A941="","",IF(P941="","",(O941+N941)/2))</f>
        <v/>
      </c>
      <c r="R941" s="27">
        <f>IF($A941="","",IF(P941="","",COUNT($P$2:P941)))</f>
        <v/>
      </c>
    </row>
    <row r="942">
      <c r="J942" s="24">
        <f>IF($A942="","",IF($C942&lt;&gt;"khp_titration_mL","",IF(COUNTIFS('1_原始數據'!$A$2:$A$1000,$A942,'1_原始數據'!$B$2:$B$1000,$B942,'1_原始數據'!$D$2:$D$1000,$D942,'1_原始數據'!$C$2:$C$1000,"khp_mass_g")=0,"",SUMIFS('1_原始數據'!$E$2:$E$1000,'1_原始數據'!$A$2:$A$1000,$A942,'1_原始數據'!$B$2:$B$1000,$B942,'1_原始數據'!$D$2:$D$1000,$D942,'1_原始數據'!$C$2:$C$1000,"khp_mass_g")/('2_NaOH標定'!$C$5*$E942/1000))))</f>
        <v/>
      </c>
      <c r="K942" s="24">
        <f>IF($A942="","",IF($C942&lt;&gt;"manual_titration_mL","",IF(COUNTIFS('1_原始數據'!$A$2:$A$1000,$A942,'1_原始數據'!$C$2:$C$1000,"khp_titration_mL")=0,"",AVERAGEIFS('1_原始數據'!$J$2:$J$1000,'1_原始數據'!$A$2:$A$1000,$A942,'1_原始數據'!$C$2:$C$1000,"khp_titration_mL"))))</f>
        <v/>
      </c>
      <c r="L942" s="25">
        <f>IF($A942="","",IF($C942&lt;&gt;"manual_titration_mL","",IFERROR(INDEX('3_可滴定酸度'!$E$6:$E$13,MATCH($I942,'3_可滴定酸度'!$B$6:$B$13,0)),"")))</f>
        <v/>
      </c>
      <c r="M942" s="25">
        <f>IF($A942="","",IF($C942&lt;&gt;"manual_titration_mL","",IFERROR(INDEX('3_可滴定酸度'!$F$6:$F$13,MATCH($I942,'3_可滴定酸度'!$B$6:$B$13,0)),"")))</f>
        <v/>
      </c>
      <c r="N942" s="24">
        <f>IF($A942="","",IF(OR(K942="",L942="",M942=""),"",K942*E942*L942/(M942*1000)*100))</f>
        <v/>
      </c>
      <c r="O942" s="24">
        <f>IF($A942="","",IF(N942="","",IF(COUNTIFS('1_原始數據'!$A$2:$A$1000,$A942,'1_原始數據'!$B$2:$B$1000,$B942,'1_原始數據'!$D$2:$D$1000,$D942,'1_原始數據'!$I$2:$I$1000,$I942,'1_原始數據'!$C$2:$C$1000,"pasco_pct_acid")=0,"",SUMIFS('1_原始數據'!$E$2:$E$1000,'1_原始數據'!$A$2:$A$1000,$A942,'1_原始數據'!$B$2:$B$1000,$B942,'1_原始數據'!$D$2:$D$1000,$D942,'1_原始數據'!$I$2:$I$1000,$I942,'1_原始數據'!$C$2:$C$1000,"pasco_pct_acid"))))</f>
        <v/>
      </c>
      <c r="P942" s="26">
        <f>IF($A942="","",IF(OR(N942="",O942=""),"",O942-N942))</f>
        <v/>
      </c>
      <c r="Q942" s="24">
        <f>IF($A942="","",IF(P942="","",(O942+N942)/2))</f>
        <v/>
      </c>
      <c r="R942" s="27">
        <f>IF($A942="","",IF(P942="","",COUNT($P$2:P942)))</f>
        <v/>
      </c>
    </row>
    <row r="943">
      <c r="J943" s="24">
        <f>IF($A943="","",IF($C943&lt;&gt;"khp_titration_mL","",IF(COUNTIFS('1_原始數據'!$A$2:$A$1000,$A943,'1_原始數據'!$B$2:$B$1000,$B943,'1_原始數據'!$D$2:$D$1000,$D943,'1_原始數據'!$C$2:$C$1000,"khp_mass_g")=0,"",SUMIFS('1_原始數據'!$E$2:$E$1000,'1_原始數據'!$A$2:$A$1000,$A943,'1_原始數據'!$B$2:$B$1000,$B943,'1_原始數據'!$D$2:$D$1000,$D943,'1_原始數據'!$C$2:$C$1000,"khp_mass_g")/('2_NaOH標定'!$C$5*$E943/1000))))</f>
        <v/>
      </c>
      <c r="K943" s="24">
        <f>IF($A943="","",IF($C943&lt;&gt;"manual_titration_mL","",IF(COUNTIFS('1_原始數據'!$A$2:$A$1000,$A943,'1_原始數據'!$C$2:$C$1000,"khp_titration_mL")=0,"",AVERAGEIFS('1_原始數據'!$J$2:$J$1000,'1_原始數據'!$A$2:$A$1000,$A943,'1_原始數據'!$C$2:$C$1000,"khp_titration_mL"))))</f>
        <v/>
      </c>
      <c r="L943" s="25">
        <f>IF($A943="","",IF($C943&lt;&gt;"manual_titration_mL","",IFERROR(INDEX('3_可滴定酸度'!$E$6:$E$13,MATCH($I943,'3_可滴定酸度'!$B$6:$B$13,0)),"")))</f>
        <v/>
      </c>
      <c r="M943" s="25">
        <f>IF($A943="","",IF($C943&lt;&gt;"manual_titration_mL","",IFERROR(INDEX('3_可滴定酸度'!$F$6:$F$13,MATCH($I943,'3_可滴定酸度'!$B$6:$B$13,0)),"")))</f>
        <v/>
      </c>
      <c r="N943" s="24">
        <f>IF($A943="","",IF(OR(K943="",L943="",M943=""),"",K943*E943*L943/(M943*1000)*100))</f>
        <v/>
      </c>
      <c r="O943" s="24">
        <f>IF($A943="","",IF(N943="","",IF(COUNTIFS('1_原始數據'!$A$2:$A$1000,$A943,'1_原始數據'!$B$2:$B$1000,$B943,'1_原始數據'!$D$2:$D$1000,$D943,'1_原始數據'!$I$2:$I$1000,$I943,'1_原始數據'!$C$2:$C$1000,"pasco_pct_acid")=0,"",SUMIFS('1_原始數據'!$E$2:$E$1000,'1_原始數據'!$A$2:$A$1000,$A943,'1_原始數據'!$B$2:$B$1000,$B943,'1_原始數據'!$D$2:$D$1000,$D943,'1_原始數據'!$I$2:$I$1000,$I943,'1_原始數據'!$C$2:$C$1000,"pasco_pct_acid"))))</f>
        <v/>
      </c>
      <c r="P943" s="26">
        <f>IF($A943="","",IF(OR(N943="",O943=""),"",O943-N943))</f>
        <v/>
      </c>
      <c r="Q943" s="24">
        <f>IF($A943="","",IF(P943="","",(O943+N943)/2))</f>
        <v/>
      </c>
      <c r="R943" s="27">
        <f>IF($A943="","",IF(P943="","",COUNT($P$2:P943)))</f>
        <v/>
      </c>
    </row>
    <row r="944">
      <c r="J944" s="24">
        <f>IF($A944="","",IF($C944&lt;&gt;"khp_titration_mL","",IF(COUNTIFS('1_原始數據'!$A$2:$A$1000,$A944,'1_原始數據'!$B$2:$B$1000,$B944,'1_原始數據'!$D$2:$D$1000,$D944,'1_原始數據'!$C$2:$C$1000,"khp_mass_g")=0,"",SUMIFS('1_原始數據'!$E$2:$E$1000,'1_原始數據'!$A$2:$A$1000,$A944,'1_原始數據'!$B$2:$B$1000,$B944,'1_原始數據'!$D$2:$D$1000,$D944,'1_原始數據'!$C$2:$C$1000,"khp_mass_g")/('2_NaOH標定'!$C$5*$E944/1000))))</f>
        <v/>
      </c>
      <c r="K944" s="24">
        <f>IF($A944="","",IF($C944&lt;&gt;"manual_titration_mL","",IF(COUNTIFS('1_原始數據'!$A$2:$A$1000,$A944,'1_原始數據'!$C$2:$C$1000,"khp_titration_mL")=0,"",AVERAGEIFS('1_原始數據'!$J$2:$J$1000,'1_原始數據'!$A$2:$A$1000,$A944,'1_原始數據'!$C$2:$C$1000,"khp_titration_mL"))))</f>
        <v/>
      </c>
      <c r="L944" s="25">
        <f>IF($A944="","",IF($C944&lt;&gt;"manual_titration_mL","",IFERROR(INDEX('3_可滴定酸度'!$E$6:$E$13,MATCH($I944,'3_可滴定酸度'!$B$6:$B$13,0)),"")))</f>
        <v/>
      </c>
      <c r="M944" s="25">
        <f>IF($A944="","",IF($C944&lt;&gt;"manual_titration_mL","",IFERROR(INDEX('3_可滴定酸度'!$F$6:$F$13,MATCH($I944,'3_可滴定酸度'!$B$6:$B$13,0)),"")))</f>
        <v/>
      </c>
      <c r="N944" s="24">
        <f>IF($A944="","",IF(OR(K944="",L944="",M944=""),"",K944*E944*L944/(M944*1000)*100))</f>
        <v/>
      </c>
      <c r="O944" s="24">
        <f>IF($A944="","",IF(N944="","",IF(COUNTIFS('1_原始數據'!$A$2:$A$1000,$A944,'1_原始數據'!$B$2:$B$1000,$B944,'1_原始數據'!$D$2:$D$1000,$D944,'1_原始數據'!$I$2:$I$1000,$I944,'1_原始數據'!$C$2:$C$1000,"pasco_pct_acid")=0,"",SUMIFS('1_原始數據'!$E$2:$E$1000,'1_原始數據'!$A$2:$A$1000,$A944,'1_原始數據'!$B$2:$B$1000,$B944,'1_原始數據'!$D$2:$D$1000,$D944,'1_原始數據'!$I$2:$I$1000,$I944,'1_原始數據'!$C$2:$C$1000,"pasco_pct_acid"))))</f>
        <v/>
      </c>
      <c r="P944" s="26">
        <f>IF($A944="","",IF(OR(N944="",O944=""),"",O944-N944))</f>
        <v/>
      </c>
      <c r="Q944" s="24">
        <f>IF($A944="","",IF(P944="","",(O944+N944)/2))</f>
        <v/>
      </c>
      <c r="R944" s="27">
        <f>IF($A944="","",IF(P944="","",COUNT($P$2:P944)))</f>
        <v/>
      </c>
    </row>
    <row r="945">
      <c r="J945" s="24">
        <f>IF($A945="","",IF($C945&lt;&gt;"khp_titration_mL","",IF(COUNTIFS('1_原始數據'!$A$2:$A$1000,$A945,'1_原始數據'!$B$2:$B$1000,$B945,'1_原始數據'!$D$2:$D$1000,$D945,'1_原始數據'!$C$2:$C$1000,"khp_mass_g")=0,"",SUMIFS('1_原始數據'!$E$2:$E$1000,'1_原始數據'!$A$2:$A$1000,$A945,'1_原始數據'!$B$2:$B$1000,$B945,'1_原始數據'!$D$2:$D$1000,$D945,'1_原始數據'!$C$2:$C$1000,"khp_mass_g")/('2_NaOH標定'!$C$5*$E945/1000))))</f>
        <v/>
      </c>
      <c r="K945" s="24">
        <f>IF($A945="","",IF($C945&lt;&gt;"manual_titration_mL","",IF(COUNTIFS('1_原始數據'!$A$2:$A$1000,$A945,'1_原始數據'!$C$2:$C$1000,"khp_titration_mL")=0,"",AVERAGEIFS('1_原始數據'!$J$2:$J$1000,'1_原始數據'!$A$2:$A$1000,$A945,'1_原始數據'!$C$2:$C$1000,"khp_titration_mL"))))</f>
        <v/>
      </c>
      <c r="L945" s="25">
        <f>IF($A945="","",IF($C945&lt;&gt;"manual_titration_mL","",IFERROR(INDEX('3_可滴定酸度'!$E$6:$E$13,MATCH($I945,'3_可滴定酸度'!$B$6:$B$13,0)),"")))</f>
        <v/>
      </c>
      <c r="M945" s="25">
        <f>IF($A945="","",IF($C945&lt;&gt;"manual_titration_mL","",IFERROR(INDEX('3_可滴定酸度'!$F$6:$F$13,MATCH($I945,'3_可滴定酸度'!$B$6:$B$13,0)),"")))</f>
        <v/>
      </c>
      <c r="N945" s="24">
        <f>IF($A945="","",IF(OR(K945="",L945="",M945=""),"",K945*E945*L945/(M945*1000)*100))</f>
        <v/>
      </c>
      <c r="O945" s="24">
        <f>IF($A945="","",IF(N945="","",IF(COUNTIFS('1_原始數據'!$A$2:$A$1000,$A945,'1_原始數據'!$B$2:$B$1000,$B945,'1_原始數據'!$D$2:$D$1000,$D945,'1_原始數據'!$I$2:$I$1000,$I945,'1_原始數據'!$C$2:$C$1000,"pasco_pct_acid")=0,"",SUMIFS('1_原始數據'!$E$2:$E$1000,'1_原始數據'!$A$2:$A$1000,$A945,'1_原始數據'!$B$2:$B$1000,$B945,'1_原始數據'!$D$2:$D$1000,$D945,'1_原始數據'!$I$2:$I$1000,$I945,'1_原始數據'!$C$2:$C$1000,"pasco_pct_acid"))))</f>
        <v/>
      </c>
      <c r="P945" s="26">
        <f>IF($A945="","",IF(OR(N945="",O945=""),"",O945-N945))</f>
        <v/>
      </c>
      <c r="Q945" s="24">
        <f>IF($A945="","",IF(P945="","",(O945+N945)/2))</f>
        <v/>
      </c>
      <c r="R945" s="27">
        <f>IF($A945="","",IF(P945="","",COUNT($P$2:P945)))</f>
        <v/>
      </c>
    </row>
    <row r="946">
      <c r="J946" s="24">
        <f>IF($A946="","",IF($C946&lt;&gt;"khp_titration_mL","",IF(COUNTIFS('1_原始數據'!$A$2:$A$1000,$A946,'1_原始數據'!$B$2:$B$1000,$B946,'1_原始數據'!$D$2:$D$1000,$D946,'1_原始數據'!$C$2:$C$1000,"khp_mass_g")=0,"",SUMIFS('1_原始數據'!$E$2:$E$1000,'1_原始數據'!$A$2:$A$1000,$A946,'1_原始數據'!$B$2:$B$1000,$B946,'1_原始數據'!$D$2:$D$1000,$D946,'1_原始數據'!$C$2:$C$1000,"khp_mass_g")/('2_NaOH標定'!$C$5*$E946/1000))))</f>
        <v/>
      </c>
      <c r="K946" s="24">
        <f>IF($A946="","",IF($C946&lt;&gt;"manual_titration_mL","",IF(COUNTIFS('1_原始數據'!$A$2:$A$1000,$A946,'1_原始數據'!$C$2:$C$1000,"khp_titration_mL")=0,"",AVERAGEIFS('1_原始數據'!$J$2:$J$1000,'1_原始數據'!$A$2:$A$1000,$A946,'1_原始數據'!$C$2:$C$1000,"khp_titration_mL"))))</f>
        <v/>
      </c>
      <c r="L946" s="25">
        <f>IF($A946="","",IF($C946&lt;&gt;"manual_titration_mL","",IFERROR(INDEX('3_可滴定酸度'!$E$6:$E$13,MATCH($I946,'3_可滴定酸度'!$B$6:$B$13,0)),"")))</f>
        <v/>
      </c>
      <c r="M946" s="25">
        <f>IF($A946="","",IF($C946&lt;&gt;"manual_titration_mL","",IFERROR(INDEX('3_可滴定酸度'!$F$6:$F$13,MATCH($I946,'3_可滴定酸度'!$B$6:$B$13,0)),"")))</f>
        <v/>
      </c>
      <c r="N946" s="24">
        <f>IF($A946="","",IF(OR(K946="",L946="",M946=""),"",K946*E946*L946/(M946*1000)*100))</f>
        <v/>
      </c>
      <c r="O946" s="24">
        <f>IF($A946="","",IF(N946="","",IF(COUNTIFS('1_原始數據'!$A$2:$A$1000,$A946,'1_原始數據'!$B$2:$B$1000,$B946,'1_原始數據'!$D$2:$D$1000,$D946,'1_原始數據'!$I$2:$I$1000,$I946,'1_原始數據'!$C$2:$C$1000,"pasco_pct_acid")=0,"",SUMIFS('1_原始數據'!$E$2:$E$1000,'1_原始數據'!$A$2:$A$1000,$A946,'1_原始數據'!$B$2:$B$1000,$B946,'1_原始數據'!$D$2:$D$1000,$D946,'1_原始數據'!$I$2:$I$1000,$I946,'1_原始數據'!$C$2:$C$1000,"pasco_pct_acid"))))</f>
        <v/>
      </c>
      <c r="P946" s="26">
        <f>IF($A946="","",IF(OR(N946="",O946=""),"",O946-N946))</f>
        <v/>
      </c>
      <c r="Q946" s="24">
        <f>IF($A946="","",IF(P946="","",(O946+N946)/2))</f>
        <v/>
      </c>
      <c r="R946" s="27">
        <f>IF($A946="","",IF(P946="","",COUNT($P$2:P946)))</f>
        <v/>
      </c>
    </row>
    <row r="947">
      <c r="J947" s="24">
        <f>IF($A947="","",IF($C947&lt;&gt;"khp_titration_mL","",IF(COUNTIFS('1_原始數據'!$A$2:$A$1000,$A947,'1_原始數據'!$B$2:$B$1000,$B947,'1_原始數據'!$D$2:$D$1000,$D947,'1_原始數據'!$C$2:$C$1000,"khp_mass_g")=0,"",SUMIFS('1_原始數據'!$E$2:$E$1000,'1_原始數據'!$A$2:$A$1000,$A947,'1_原始數據'!$B$2:$B$1000,$B947,'1_原始數據'!$D$2:$D$1000,$D947,'1_原始數據'!$C$2:$C$1000,"khp_mass_g")/('2_NaOH標定'!$C$5*$E947/1000))))</f>
        <v/>
      </c>
      <c r="K947" s="24">
        <f>IF($A947="","",IF($C947&lt;&gt;"manual_titration_mL","",IF(COUNTIFS('1_原始數據'!$A$2:$A$1000,$A947,'1_原始數據'!$C$2:$C$1000,"khp_titration_mL")=0,"",AVERAGEIFS('1_原始數據'!$J$2:$J$1000,'1_原始數據'!$A$2:$A$1000,$A947,'1_原始數據'!$C$2:$C$1000,"khp_titration_mL"))))</f>
        <v/>
      </c>
      <c r="L947" s="25">
        <f>IF($A947="","",IF($C947&lt;&gt;"manual_titration_mL","",IFERROR(INDEX('3_可滴定酸度'!$E$6:$E$13,MATCH($I947,'3_可滴定酸度'!$B$6:$B$13,0)),"")))</f>
        <v/>
      </c>
      <c r="M947" s="25">
        <f>IF($A947="","",IF($C947&lt;&gt;"manual_titration_mL","",IFERROR(INDEX('3_可滴定酸度'!$F$6:$F$13,MATCH($I947,'3_可滴定酸度'!$B$6:$B$13,0)),"")))</f>
        <v/>
      </c>
      <c r="N947" s="24">
        <f>IF($A947="","",IF(OR(K947="",L947="",M947=""),"",K947*E947*L947/(M947*1000)*100))</f>
        <v/>
      </c>
      <c r="O947" s="24">
        <f>IF($A947="","",IF(N947="","",IF(COUNTIFS('1_原始數據'!$A$2:$A$1000,$A947,'1_原始數據'!$B$2:$B$1000,$B947,'1_原始數據'!$D$2:$D$1000,$D947,'1_原始數據'!$I$2:$I$1000,$I947,'1_原始數據'!$C$2:$C$1000,"pasco_pct_acid")=0,"",SUMIFS('1_原始數據'!$E$2:$E$1000,'1_原始數據'!$A$2:$A$1000,$A947,'1_原始數據'!$B$2:$B$1000,$B947,'1_原始數據'!$D$2:$D$1000,$D947,'1_原始數據'!$I$2:$I$1000,$I947,'1_原始數據'!$C$2:$C$1000,"pasco_pct_acid"))))</f>
        <v/>
      </c>
      <c r="P947" s="26">
        <f>IF($A947="","",IF(OR(N947="",O947=""),"",O947-N947))</f>
        <v/>
      </c>
      <c r="Q947" s="24">
        <f>IF($A947="","",IF(P947="","",(O947+N947)/2))</f>
        <v/>
      </c>
      <c r="R947" s="27">
        <f>IF($A947="","",IF(P947="","",COUNT($P$2:P947)))</f>
        <v/>
      </c>
    </row>
    <row r="948">
      <c r="J948" s="24">
        <f>IF($A948="","",IF($C948&lt;&gt;"khp_titration_mL","",IF(COUNTIFS('1_原始數據'!$A$2:$A$1000,$A948,'1_原始數據'!$B$2:$B$1000,$B948,'1_原始數據'!$D$2:$D$1000,$D948,'1_原始數據'!$C$2:$C$1000,"khp_mass_g")=0,"",SUMIFS('1_原始數據'!$E$2:$E$1000,'1_原始數據'!$A$2:$A$1000,$A948,'1_原始數據'!$B$2:$B$1000,$B948,'1_原始數據'!$D$2:$D$1000,$D948,'1_原始數據'!$C$2:$C$1000,"khp_mass_g")/('2_NaOH標定'!$C$5*$E948/1000))))</f>
        <v/>
      </c>
      <c r="K948" s="24">
        <f>IF($A948="","",IF($C948&lt;&gt;"manual_titration_mL","",IF(COUNTIFS('1_原始數據'!$A$2:$A$1000,$A948,'1_原始數據'!$C$2:$C$1000,"khp_titration_mL")=0,"",AVERAGEIFS('1_原始數據'!$J$2:$J$1000,'1_原始數據'!$A$2:$A$1000,$A948,'1_原始數據'!$C$2:$C$1000,"khp_titration_mL"))))</f>
        <v/>
      </c>
      <c r="L948" s="25">
        <f>IF($A948="","",IF($C948&lt;&gt;"manual_titration_mL","",IFERROR(INDEX('3_可滴定酸度'!$E$6:$E$13,MATCH($I948,'3_可滴定酸度'!$B$6:$B$13,0)),"")))</f>
        <v/>
      </c>
      <c r="M948" s="25">
        <f>IF($A948="","",IF($C948&lt;&gt;"manual_titration_mL","",IFERROR(INDEX('3_可滴定酸度'!$F$6:$F$13,MATCH($I948,'3_可滴定酸度'!$B$6:$B$13,0)),"")))</f>
        <v/>
      </c>
      <c r="N948" s="24">
        <f>IF($A948="","",IF(OR(K948="",L948="",M948=""),"",K948*E948*L948/(M948*1000)*100))</f>
        <v/>
      </c>
      <c r="O948" s="24">
        <f>IF($A948="","",IF(N948="","",IF(COUNTIFS('1_原始數據'!$A$2:$A$1000,$A948,'1_原始數據'!$B$2:$B$1000,$B948,'1_原始數據'!$D$2:$D$1000,$D948,'1_原始數據'!$I$2:$I$1000,$I948,'1_原始數據'!$C$2:$C$1000,"pasco_pct_acid")=0,"",SUMIFS('1_原始數據'!$E$2:$E$1000,'1_原始數據'!$A$2:$A$1000,$A948,'1_原始數據'!$B$2:$B$1000,$B948,'1_原始數據'!$D$2:$D$1000,$D948,'1_原始數據'!$I$2:$I$1000,$I948,'1_原始數據'!$C$2:$C$1000,"pasco_pct_acid"))))</f>
        <v/>
      </c>
      <c r="P948" s="26">
        <f>IF($A948="","",IF(OR(N948="",O948=""),"",O948-N948))</f>
        <v/>
      </c>
      <c r="Q948" s="24">
        <f>IF($A948="","",IF(P948="","",(O948+N948)/2))</f>
        <v/>
      </c>
      <c r="R948" s="27">
        <f>IF($A948="","",IF(P948="","",COUNT($P$2:P948)))</f>
        <v/>
      </c>
    </row>
    <row r="949">
      <c r="J949" s="24">
        <f>IF($A949="","",IF($C949&lt;&gt;"khp_titration_mL","",IF(COUNTIFS('1_原始數據'!$A$2:$A$1000,$A949,'1_原始數據'!$B$2:$B$1000,$B949,'1_原始數據'!$D$2:$D$1000,$D949,'1_原始數據'!$C$2:$C$1000,"khp_mass_g")=0,"",SUMIFS('1_原始數據'!$E$2:$E$1000,'1_原始數據'!$A$2:$A$1000,$A949,'1_原始數據'!$B$2:$B$1000,$B949,'1_原始數據'!$D$2:$D$1000,$D949,'1_原始數據'!$C$2:$C$1000,"khp_mass_g")/('2_NaOH標定'!$C$5*$E949/1000))))</f>
        <v/>
      </c>
      <c r="K949" s="24">
        <f>IF($A949="","",IF($C949&lt;&gt;"manual_titration_mL","",IF(COUNTIFS('1_原始數據'!$A$2:$A$1000,$A949,'1_原始數據'!$C$2:$C$1000,"khp_titration_mL")=0,"",AVERAGEIFS('1_原始數據'!$J$2:$J$1000,'1_原始數據'!$A$2:$A$1000,$A949,'1_原始數據'!$C$2:$C$1000,"khp_titration_mL"))))</f>
        <v/>
      </c>
      <c r="L949" s="25">
        <f>IF($A949="","",IF($C949&lt;&gt;"manual_titration_mL","",IFERROR(INDEX('3_可滴定酸度'!$E$6:$E$13,MATCH($I949,'3_可滴定酸度'!$B$6:$B$13,0)),"")))</f>
        <v/>
      </c>
      <c r="M949" s="25">
        <f>IF($A949="","",IF($C949&lt;&gt;"manual_titration_mL","",IFERROR(INDEX('3_可滴定酸度'!$F$6:$F$13,MATCH($I949,'3_可滴定酸度'!$B$6:$B$13,0)),"")))</f>
        <v/>
      </c>
      <c r="N949" s="24">
        <f>IF($A949="","",IF(OR(K949="",L949="",M949=""),"",K949*E949*L949/(M949*1000)*100))</f>
        <v/>
      </c>
      <c r="O949" s="24">
        <f>IF($A949="","",IF(N949="","",IF(COUNTIFS('1_原始數據'!$A$2:$A$1000,$A949,'1_原始數據'!$B$2:$B$1000,$B949,'1_原始數據'!$D$2:$D$1000,$D949,'1_原始數據'!$I$2:$I$1000,$I949,'1_原始數據'!$C$2:$C$1000,"pasco_pct_acid")=0,"",SUMIFS('1_原始數據'!$E$2:$E$1000,'1_原始數據'!$A$2:$A$1000,$A949,'1_原始數據'!$B$2:$B$1000,$B949,'1_原始數據'!$D$2:$D$1000,$D949,'1_原始數據'!$I$2:$I$1000,$I949,'1_原始數據'!$C$2:$C$1000,"pasco_pct_acid"))))</f>
        <v/>
      </c>
      <c r="P949" s="26">
        <f>IF($A949="","",IF(OR(N949="",O949=""),"",O949-N949))</f>
        <v/>
      </c>
      <c r="Q949" s="24">
        <f>IF($A949="","",IF(P949="","",(O949+N949)/2))</f>
        <v/>
      </c>
      <c r="R949" s="27">
        <f>IF($A949="","",IF(P949="","",COUNT($P$2:P949)))</f>
        <v/>
      </c>
    </row>
    <row r="950">
      <c r="J950" s="24">
        <f>IF($A950="","",IF($C950&lt;&gt;"khp_titration_mL","",IF(COUNTIFS('1_原始數據'!$A$2:$A$1000,$A950,'1_原始數據'!$B$2:$B$1000,$B950,'1_原始數據'!$D$2:$D$1000,$D950,'1_原始數據'!$C$2:$C$1000,"khp_mass_g")=0,"",SUMIFS('1_原始數據'!$E$2:$E$1000,'1_原始數據'!$A$2:$A$1000,$A950,'1_原始數據'!$B$2:$B$1000,$B950,'1_原始數據'!$D$2:$D$1000,$D950,'1_原始數據'!$C$2:$C$1000,"khp_mass_g")/('2_NaOH標定'!$C$5*$E950/1000))))</f>
        <v/>
      </c>
      <c r="K950" s="24">
        <f>IF($A950="","",IF($C950&lt;&gt;"manual_titration_mL","",IF(COUNTIFS('1_原始數據'!$A$2:$A$1000,$A950,'1_原始數據'!$C$2:$C$1000,"khp_titration_mL")=0,"",AVERAGEIFS('1_原始數據'!$J$2:$J$1000,'1_原始數據'!$A$2:$A$1000,$A950,'1_原始數據'!$C$2:$C$1000,"khp_titration_mL"))))</f>
        <v/>
      </c>
      <c r="L950" s="25">
        <f>IF($A950="","",IF($C950&lt;&gt;"manual_titration_mL","",IFERROR(INDEX('3_可滴定酸度'!$E$6:$E$13,MATCH($I950,'3_可滴定酸度'!$B$6:$B$13,0)),"")))</f>
        <v/>
      </c>
      <c r="M950" s="25">
        <f>IF($A950="","",IF($C950&lt;&gt;"manual_titration_mL","",IFERROR(INDEX('3_可滴定酸度'!$F$6:$F$13,MATCH($I950,'3_可滴定酸度'!$B$6:$B$13,0)),"")))</f>
        <v/>
      </c>
      <c r="N950" s="24">
        <f>IF($A950="","",IF(OR(K950="",L950="",M950=""),"",K950*E950*L950/(M950*1000)*100))</f>
        <v/>
      </c>
      <c r="O950" s="24">
        <f>IF($A950="","",IF(N950="","",IF(COUNTIFS('1_原始數據'!$A$2:$A$1000,$A950,'1_原始數據'!$B$2:$B$1000,$B950,'1_原始數據'!$D$2:$D$1000,$D950,'1_原始數據'!$I$2:$I$1000,$I950,'1_原始數據'!$C$2:$C$1000,"pasco_pct_acid")=0,"",SUMIFS('1_原始數據'!$E$2:$E$1000,'1_原始數據'!$A$2:$A$1000,$A950,'1_原始數據'!$B$2:$B$1000,$B950,'1_原始數據'!$D$2:$D$1000,$D950,'1_原始數據'!$I$2:$I$1000,$I950,'1_原始數據'!$C$2:$C$1000,"pasco_pct_acid"))))</f>
        <v/>
      </c>
      <c r="P950" s="26">
        <f>IF($A950="","",IF(OR(N950="",O950=""),"",O950-N950))</f>
        <v/>
      </c>
      <c r="Q950" s="24">
        <f>IF($A950="","",IF(P950="","",(O950+N950)/2))</f>
        <v/>
      </c>
      <c r="R950" s="27">
        <f>IF($A950="","",IF(P950="","",COUNT($P$2:P950)))</f>
        <v/>
      </c>
    </row>
    <row r="951">
      <c r="J951" s="24">
        <f>IF($A951="","",IF($C951&lt;&gt;"khp_titration_mL","",IF(COUNTIFS('1_原始數據'!$A$2:$A$1000,$A951,'1_原始數據'!$B$2:$B$1000,$B951,'1_原始數據'!$D$2:$D$1000,$D951,'1_原始數據'!$C$2:$C$1000,"khp_mass_g")=0,"",SUMIFS('1_原始數據'!$E$2:$E$1000,'1_原始數據'!$A$2:$A$1000,$A951,'1_原始數據'!$B$2:$B$1000,$B951,'1_原始數據'!$D$2:$D$1000,$D951,'1_原始數據'!$C$2:$C$1000,"khp_mass_g")/('2_NaOH標定'!$C$5*$E951/1000))))</f>
        <v/>
      </c>
      <c r="K951" s="24">
        <f>IF($A951="","",IF($C951&lt;&gt;"manual_titration_mL","",IF(COUNTIFS('1_原始數據'!$A$2:$A$1000,$A951,'1_原始數據'!$C$2:$C$1000,"khp_titration_mL")=0,"",AVERAGEIFS('1_原始數據'!$J$2:$J$1000,'1_原始數據'!$A$2:$A$1000,$A951,'1_原始數據'!$C$2:$C$1000,"khp_titration_mL"))))</f>
        <v/>
      </c>
      <c r="L951" s="25">
        <f>IF($A951="","",IF($C951&lt;&gt;"manual_titration_mL","",IFERROR(INDEX('3_可滴定酸度'!$E$6:$E$13,MATCH($I951,'3_可滴定酸度'!$B$6:$B$13,0)),"")))</f>
        <v/>
      </c>
      <c r="M951" s="25">
        <f>IF($A951="","",IF($C951&lt;&gt;"manual_titration_mL","",IFERROR(INDEX('3_可滴定酸度'!$F$6:$F$13,MATCH($I951,'3_可滴定酸度'!$B$6:$B$13,0)),"")))</f>
        <v/>
      </c>
      <c r="N951" s="24">
        <f>IF($A951="","",IF(OR(K951="",L951="",M951=""),"",K951*E951*L951/(M951*1000)*100))</f>
        <v/>
      </c>
      <c r="O951" s="24">
        <f>IF($A951="","",IF(N951="","",IF(COUNTIFS('1_原始數據'!$A$2:$A$1000,$A951,'1_原始數據'!$B$2:$B$1000,$B951,'1_原始數據'!$D$2:$D$1000,$D951,'1_原始數據'!$I$2:$I$1000,$I951,'1_原始數據'!$C$2:$C$1000,"pasco_pct_acid")=0,"",SUMIFS('1_原始數據'!$E$2:$E$1000,'1_原始數據'!$A$2:$A$1000,$A951,'1_原始數據'!$B$2:$B$1000,$B951,'1_原始數據'!$D$2:$D$1000,$D951,'1_原始數據'!$I$2:$I$1000,$I951,'1_原始數據'!$C$2:$C$1000,"pasco_pct_acid"))))</f>
        <v/>
      </c>
      <c r="P951" s="26">
        <f>IF($A951="","",IF(OR(N951="",O951=""),"",O951-N951))</f>
        <v/>
      </c>
      <c r="Q951" s="24">
        <f>IF($A951="","",IF(P951="","",(O951+N951)/2))</f>
        <v/>
      </c>
      <c r="R951" s="27">
        <f>IF($A951="","",IF(P951="","",COUNT($P$2:P951)))</f>
        <v/>
      </c>
    </row>
    <row r="952">
      <c r="J952" s="24">
        <f>IF($A952="","",IF($C952&lt;&gt;"khp_titration_mL","",IF(COUNTIFS('1_原始數據'!$A$2:$A$1000,$A952,'1_原始數據'!$B$2:$B$1000,$B952,'1_原始數據'!$D$2:$D$1000,$D952,'1_原始數據'!$C$2:$C$1000,"khp_mass_g")=0,"",SUMIFS('1_原始數據'!$E$2:$E$1000,'1_原始數據'!$A$2:$A$1000,$A952,'1_原始數據'!$B$2:$B$1000,$B952,'1_原始數據'!$D$2:$D$1000,$D952,'1_原始數據'!$C$2:$C$1000,"khp_mass_g")/('2_NaOH標定'!$C$5*$E952/1000))))</f>
        <v/>
      </c>
      <c r="K952" s="24">
        <f>IF($A952="","",IF($C952&lt;&gt;"manual_titration_mL","",IF(COUNTIFS('1_原始數據'!$A$2:$A$1000,$A952,'1_原始數據'!$C$2:$C$1000,"khp_titration_mL")=0,"",AVERAGEIFS('1_原始數據'!$J$2:$J$1000,'1_原始數據'!$A$2:$A$1000,$A952,'1_原始數據'!$C$2:$C$1000,"khp_titration_mL"))))</f>
        <v/>
      </c>
      <c r="L952" s="25">
        <f>IF($A952="","",IF($C952&lt;&gt;"manual_titration_mL","",IFERROR(INDEX('3_可滴定酸度'!$E$6:$E$13,MATCH($I952,'3_可滴定酸度'!$B$6:$B$13,0)),"")))</f>
        <v/>
      </c>
      <c r="M952" s="25">
        <f>IF($A952="","",IF($C952&lt;&gt;"manual_titration_mL","",IFERROR(INDEX('3_可滴定酸度'!$F$6:$F$13,MATCH($I952,'3_可滴定酸度'!$B$6:$B$13,0)),"")))</f>
        <v/>
      </c>
      <c r="N952" s="24">
        <f>IF($A952="","",IF(OR(K952="",L952="",M952=""),"",K952*E952*L952/(M952*1000)*100))</f>
        <v/>
      </c>
      <c r="O952" s="24">
        <f>IF($A952="","",IF(N952="","",IF(COUNTIFS('1_原始數據'!$A$2:$A$1000,$A952,'1_原始數據'!$B$2:$B$1000,$B952,'1_原始數據'!$D$2:$D$1000,$D952,'1_原始數據'!$I$2:$I$1000,$I952,'1_原始數據'!$C$2:$C$1000,"pasco_pct_acid")=0,"",SUMIFS('1_原始數據'!$E$2:$E$1000,'1_原始數據'!$A$2:$A$1000,$A952,'1_原始數據'!$B$2:$B$1000,$B952,'1_原始數據'!$D$2:$D$1000,$D952,'1_原始數據'!$I$2:$I$1000,$I952,'1_原始數據'!$C$2:$C$1000,"pasco_pct_acid"))))</f>
        <v/>
      </c>
      <c r="P952" s="26">
        <f>IF($A952="","",IF(OR(N952="",O952=""),"",O952-N952))</f>
        <v/>
      </c>
      <c r="Q952" s="24">
        <f>IF($A952="","",IF(P952="","",(O952+N952)/2))</f>
        <v/>
      </c>
      <c r="R952" s="27">
        <f>IF($A952="","",IF(P952="","",COUNT($P$2:P952)))</f>
        <v/>
      </c>
    </row>
    <row r="953">
      <c r="J953" s="24">
        <f>IF($A953="","",IF($C953&lt;&gt;"khp_titration_mL","",IF(COUNTIFS('1_原始數據'!$A$2:$A$1000,$A953,'1_原始數據'!$B$2:$B$1000,$B953,'1_原始數據'!$D$2:$D$1000,$D953,'1_原始數據'!$C$2:$C$1000,"khp_mass_g")=0,"",SUMIFS('1_原始數據'!$E$2:$E$1000,'1_原始數據'!$A$2:$A$1000,$A953,'1_原始數據'!$B$2:$B$1000,$B953,'1_原始數據'!$D$2:$D$1000,$D953,'1_原始數據'!$C$2:$C$1000,"khp_mass_g")/('2_NaOH標定'!$C$5*$E953/1000))))</f>
        <v/>
      </c>
      <c r="K953" s="24">
        <f>IF($A953="","",IF($C953&lt;&gt;"manual_titration_mL","",IF(COUNTIFS('1_原始數據'!$A$2:$A$1000,$A953,'1_原始數據'!$C$2:$C$1000,"khp_titration_mL")=0,"",AVERAGEIFS('1_原始數據'!$J$2:$J$1000,'1_原始數據'!$A$2:$A$1000,$A953,'1_原始數據'!$C$2:$C$1000,"khp_titration_mL"))))</f>
        <v/>
      </c>
      <c r="L953" s="25">
        <f>IF($A953="","",IF($C953&lt;&gt;"manual_titration_mL","",IFERROR(INDEX('3_可滴定酸度'!$E$6:$E$13,MATCH($I953,'3_可滴定酸度'!$B$6:$B$13,0)),"")))</f>
        <v/>
      </c>
      <c r="M953" s="25">
        <f>IF($A953="","",IF($C953&lt;&gt;"manual_titration_mL","",IFERROR(INDEX('3_可滴定酸度'!$F$6:$F$13,MATCH($I953,'3_可滴定酸度'!$B$6:$B$13,0)),"")))</f>
        <v/>
      </c>
      <c r="N953" s="24">
        <f>IF($A953="","",IF(OR(K953="",L953="",M953=""),"",K953*E953*L953/(M953*1000)*100))</f>
        <v/>
      </c>
      <c r="O953" s="24">
        <f>IF($A953="","",IF(N953="","",IF(COUNTIFS('1_原始數據'!$A$2:$A$1000,$A953,'1_原始數據'!$B$2:$B$1000,$B953,'1_原始數據'!$D$2:$D$1000,$D953,'1_原始數據'!$I$2:$I$1000,$I953,'1_原始數據'!$C$2:$C$1000,"pasco_pct_acid")=0,"",SUMIFS('1_原始數據'!$E$2:$E$1000,'1_原始數據'!$A$2:$A$1000,$A953,'1_原始數據'!$B$2:$B$1000,$B953,'1_原始數據'!$D$2:$D$1000,$D953,'1_原始數據'!$I$2:$I$1000,$I953,'1_原始數據'!$C$2:$C$1000,"pasco_pct_acid"))))</f>
        <v/>
      </c>
      <c r="P953" s="26">
        <f>IF($A953="","",IF(OR(N953="",O953=""),"",O953-N953))</f>
        <v/>
      </c>
      <c r="Q953" s="24">
        <f>IF($A953="","",IF(P953="","",(O953+N953)/2))</f>
        <v/>
      </c>
      <c r="R953" s="27">
        <f>IF($A953="","",IF(P953="","",COUNT($P$2:P953)))</f>
        <v/>
      </c>
    </row>
    <row r="954">
      <c r="J954" s="24">
        <f>IF($A954="","",IF($C954&lt;&gt;"khp_titration_mL","",IF(COUNTIFS('1_原始數據'!$A$2:$A$1000,$A954,'1_原始數據'!$B$2:$B$1000,$B954,'1_原始數據'!$D$2:$D$1000,$D954,'1_原始數據'!$C$2:$C$1000,"khp_mass_g")=0,"",SUMIFS('1_原始數據'!$E$2:$E$1000,'1_原始數據'!$A$2:$A$1000,$A954,'1_原始數據'!$B$2:$B$1000,$B954,'1_原始數據'!$D$2:$D$1000,$D954,'1_原始數據'!$C$2:$C$1000,"khp_mass_g")/('2_NaOH標定'!$C$5*$E954/1000))))</f>
        <v/>
      </c>
      <c r="K954" s="24">
        <f>IF($A954="","",IF($C954&lt;&gt;"manual_titration_mL","",IF(COUNTIFS('1_原始數據'!$A$2:$A$1000,$A954,'1_原始數據'!$C$2:$C$1000,"khp_titration_mL")=0,"",AVERAGEIFS('1_原始數據'!$J$2:$J$1000,'1_原始數據'!$A$2:$A$1000,$A954,'1_原始數據'!$C$2:$C$1000,"khp_titration_mL"))))</f>
        <v/>
      </c>
      <c r="L954" s="25">
        <f>IF($A954="","",IF($C954&lt;&gt;"manual_titration_mL","",IFERROR(INDEX('3_可滴定酸度'!$E$6:$E$13,MATCH($I954,'3_可滴定酸度'!$B$6:$B$13,0)),"")))</f>
        <v/>
      </c>
      <c r="M954" s="25">
        <f>IF($A954="","",IF($C954&lt;&gt;"manual_titration_mL","",IFERROR(INDEX('3_可滴定酸度'!$F$6:$F$13,MATCH($I954,'3_可滴定酸度'!$B$6:$B$13,0)),"")))</f>
        <v/>
      </c>
      <c r="N954" s="24">
        <f>IF($A954="","",IF(OR(K954="",L954="",M954=""),"",K954*E954*L954/(M954*1000)*100))</f>
        <v/>
      </c>
      <c r="O954" s="24">
        <f>IF($A954="","",IF(N954="","",IF(COUNTIFS('1_原始數據'!$A$2:$A$1000,$A954,'1_原始數據'!$B$2:$B$1000,$B954,'1_原始數據'!$D$2:$D$1000,$D954,'1_原始數據'!$I$2:$I$1000,$I954,'1_原始數據'!$C$2:$C$1000,"pasco_pct_acid")=0,"",SUMIFS('1_原始數據'!$E$2:$E$1000,'1_原始數據'!$A$2:$A$1000,$A954,'1_原始數據'!$B$2:$B$1000,$B954,'1_原始數據'!$D$2:$D$1000,$D954,'1_原始數據'!$I$2:$I$1000,$I954,'1_原始數據'!$C$2:$C$1000,"pasco_pct_acid"))))</f>
        <v/>
      </c>
      <c r="P954" s="26">
        <f>IF($A954="","",IF(OR(N954="",O954=""),"",O954-N954))</f>
        <v/>
      </c>
      <c r="Q954" s="24">
        <f>IF($A954="","",IF(P954="","",(O954+N954)/2))</f>
        <v/>
      </c>
      <c r="R954" s="27">
        <f>IF($A954="","",IF(P954="","",COUNT($P$2:P954)))</f>
        <v/>
      </c>
    </row>
    <row r="955">
      <c r="J955" s="24">
        <f>IF($A955="","",IF($C955&lt;&gt;"khp_titration_mL","",IF(COUNTIFS('1_原始數據'!$A$2:$A$1000,$A955,'1_原始數據'!$B$2:$B$1000,$B955,'1_原始數據'!$D$2:$D$1000,$D955,'1_原始數據'!$C$2:$C$1000,"khp_mass_g")=0,"",SUMIFS('1_原始數據'!$E$2:$E$1000,'1_原始數據'!$A$2:$A$1000,$A955,'1_原始數據'!$B$2:$B$1000,$B955,'1_原始數據'!$D$2:$D$1000,$D955,'1_原始數據'!$C$2:$C$1000,"khp_mass_g")/('2_NaOH標定'!$C$5*$E955/1000))))</f>
        <v/>
      </c>
      <c r="K955" s="24">
        <f>IF($A955="","",IF($C955&lt;&gt;"manual_titration_mL","",IF(COUNTIFS('1_原始數據'!$A$2:$A$1000,$A955,'1_原始數據'!$C$2:$C$1000,"khp_titration_mL")=0,"",AVERAGEIFS('1_原始數據'!$J$2:$J$1000,'1_原始數據'!$A$2:$A$1000,$A955,'1_原始數據'!$C$2:$C$1000,"khp_titration_mL"))))</f>
        <v/>
      </c>
      <c r="L955" s="25">
        <f>IF($A955="","",IF($C955&lt;&gt;"manual_titration_mL","",IFERROR(INDEX('3_可滴定酸度'!$E$6:$E$13,MATCH($I955,'3_可滴定酸度'!$B$6:$B$13,0)),"")))</f>
        <v/>
      </c>
      <c r="M955" s="25">
        <f>IF($A955="","",IF($C955&lt;&gt;"manual_titration_mL","",IFERROR(INDEX('3_可滴定酸度'!$F$6:$F$13,MATCH($I955,'3_可滴定酸度'!$B$6:$B$13,0)),"")))</f>
        <v/>
      </c>
      <c r="N955" s="24">
        <f>IF($A955="","",IF(OR(K955="",L955="",M955=""),"",K955*E955*L955/(M955*1000)*100))</f>
        <v/>
      </c>
      <c r="O955" s="24">
        <f>IF($A955="","",IF(N955="","",IF(COUNTIFS('1_原始數據'!$A$2:$A$1000,$A955,'1_原始數據'!$B$2:$B$1000,$B955,'1_原始數據'!$D$2:$D$1000,$D955,'1_原始數據'!$I$2:$I$1000,$I955,'1_原始數據'!$C$2:$C$1000,"pasco_pct_acid")=0,"",SUMIFS('1_原始數據'!$E$2:$E$1000,'1_原始數據'!$A$2:$A$1000,$A955,'1_原始數據'!$B$2:$B$1000,$B955,'1_原始數據'!$D$2:$D$1000,$D955,'1_原始數據'!$I$2:$I$1000,$I955,'1_原始數據'!$C$2:$C$1000,"pasco_pct_acid"))))</f>
        <v/>
      </c>
      <c r="P955" s="26">
        <f>IF($A955="","",IF(OR(N955="",O955=""),"",O955-N955))</f>
        <v/>
      </c>
      <c r="Q955" s="24">
        <f>IF($A955="","",IF(P955="","",(O955+N955)/2))</f>
        <v/>
      </c>
      <c r="R955" s="27">
        <f>IF($A955="","",IF(P955="","",COUNT($P$2:P955)))</f>
        <v/>
      </c>
    </row>
    <row r="956">
      <c r="J956" s="24">
        <f>IF($A956="","",IF($C956&lt;&gt;"khp_titration_mL","",IF(COUNTIFS('1_原始數據'!$A$2:$A$1000,$A956,'1_原始數據'!$B$2:$B$1000,$B956,'1_原始數據'!$D$2:$D$1000,$D956,'1_原始數據'!$C$2:$C$1000,"khp_mass_g")=0,"",SUMIFS('1_原始數據'!$E$2:$E$1000,'1_原始數據'!$A$2:$A$1000,$A956,'1_原始數據'!$B$2:$B$1000,$B956,'1_原始數據'!$D$2:$D$1000,$D956,'1_原始數據'!$C$2:$C$1000,"khp_mass_g")/('2_NaOH標定'!$C$5*$E956/1000))))</f>
        <v/>
      </c>
      <c r="K956" s="24">
        <f>IF($A956="","",IF($C956&lt;&gt;"manual_titration_mL","",IF(COUNTIFS('1_原始數據'!$A$2:$A$1000,$A956,'1_原始數據'!$C$2:$C$1000,"khp_titration_mL")=0,"",AVERAGEIFS('1_原始數據'!$J$2:$J$1000,'1_原始數據'!$A$2:$A$1000,$A956,'1_原始數據'!$C$2:$C$1000,"khp_titration_mL"))))</f>
        <v/>
      </c>
      <c r="L956" s="25">
        <f>IF($A956="","",IF($C956&lt;&gt;"manual_titration_mL","",IFERROR(INDEX('3_可滴定酸度'!$E$6:$E$13,MATCH($I956,'3_可滴定酸度'!$B$6:$B$13,0)),"")))</f>
        <v/>
      </c>
      <c r="M956" s="25">
        <f>IF($A956="","",IF($C956&lt;&gt;"manual_titration_mL","",IFERROR(INDEX('3_可滴定酸度'!$F$6:$F$13,MATCH($I956,'3_可滴定酸度'!$B$6:$B$13,0)),"")))</f>
        <v/>
      </c>
      <c r="N956" s="24">
        <f>IF($A956="","",IF(OR(K956="",L956="",M956=""),"",K956*E956*L956/(M956*1000)*100))</f>
        <v/>
      </c>
      <c r="O956" s="24">
        <f>IF($A956="","",IF(N956="","",IF(COUNTIFS('1_原始數據'!$A$2:$A$1000,$A956,'1_原始數據'!$B$2:$B$1000,$B956,'1_原始數據'!$D$2:$D$1000,$D956,'1_原始數據'!$I$2:$I$1000,$I956,'1_原始數據'!$C$2:$C$1000,"pasco_pct_acid")=0,"",SUMIFS('1_原始數據'!$E$2:$E$1000,'1_原始數據'!$A$2:$A$1000,$A956,'1_原始數據'!$B$2:$B$1000,$B956,'1_原始數據'!$D$2:$D$1000,$D956,'1_原始數據'!$I$2:$I$1000,$I956,'1_原始數據'!$C$2:$C$1000,"pasco_pct_acid"))))</f>
        <v/>
      </c>
      <c r="P956" s="26">
        <f>IF($A956="","",IF(OR(N956="",O956=""),"",O956-N956))</f>
        <v/>
      </c>
      <c r="Q956" s="24">
        <f>IF($A956="","",IF(P956="","",(O956+N956)/2))</f>
        <v/>
      </c>
      <c r="R956" s="27">
        <f>IF($A956="","",IF(P956="","",COUNT($P$2:P956)))</f>
        <v/>
      </c>
    </row>
    <row r="957">
      <c r="J957" s="24">
        <f>IF($A957="","",IF($C957&lt;&gt;"khp_titration_mL","",IF(COUNTIFS('1_原始數據'!$A$2:$A$1000,$A957,'1_原始數據'!$B$2:$B$1000,$B957,'1_原始數據'!$D$2:$D$1000,$D957,'1_原始數據'!$C$2:$C$1000,"khp_mass_g")=0,"",SUMIFS('1_原始數據'!$E$2:$E$1000,'1_原始數據'!$A$2:$A$1000,$A957,'1_原始數據'!$B$2:$B$1000,$B957,'1_原始數據'!$D$2:$D$1000,$D957,'1_原始數據'!$C$2:$C$1000,"khp_mass_g")/('2_NaOH標定'!$C$5*$E957/1000))))</f>
        <v/>
      </c>
      <c r="K957" s="24">
        <f>IF($A957="","",IF($C957&lt;&gt;"manual_titration_mL","",IF(COUNTIFS('1_原始數據'!$A$2:$A$1000,$A957,'1_原始數據'!$C$2:$C$1000,"khp_titration_mL")=0,"",AVERAGEIFS('1_原始數據'!$J$2:$J$1000,'1_原始數據'!$A$2:$A$1000,$A957,'1_原始數據'!$C$2:$C$1000,"khp_titration_mL"))))</f>
        <v/>
      </c>
      <c r="L957" s="25">
        <f>IF($A957="","",IF($C957&lt;&gt;"manual_titration_mL","",IFERROR(INDEX('3_可滴定酸度'!$E$6:$E$13,MATCH($I957,'3_可滴定酸度'!$B$6:$B$13,0)),"")))</f>
        <v/>
      </c>
      <c r="M957" s="25">
        <f>IF($A957="","",IF($C957&lt;&gt;"manual_titration_mL","",IFERROR(INDEX('3_可滴定酸度'!$F$6:$F$13,MATCH($I957,'3_可滴定酸度'!$B$6:$B$13,0)),"")))</f>
        <v/>
      </c>
      <c r="N957" s="24">
        <f>IF($A957="","",IF(OR(K957="",L957="",M957=""),"",K957*E957*L957/(M957*1000)*100))</f>
        <v/>
      </c>
      <c r="O957" s="24">
        <f>IF($A957="","",IF(N957="","",IF(COUNTIFS('1_原始數據'!$A$2:$A$1000,$A957,'1_原始數據'!$B$2:$B$1000,$B957,'1_原始數據'!$D$2:$D$1000,$D957,'1_原始數據'!$I$2:$I$1000,$I957,'1_原始數據'!$C$2:$C$1000,"pasco_pct_acid")=0,"",SUMIFS('1_原始數據'!$E$2:$E$1000,'1_原始數據'!$A$2:$A$1000,$A957,'1_原始數據'!$B$2:$B$1000,$B957,'1_原始數據'!$D$2:$D$1000,$D957,'1_原始數據'!$I$2:$I$1000,$I957,'1_原始數據'!$C$2:$C$1000,"pasco_pct_acid"))))</f>
        <v/>
      </c>
      <c r="P957" s="26">
        <f>IF($A957="","",IF(OR(N957="",O957=""),"",O957-N957))</f>
        <v/>
      </c>
      <c r="Q957" s="24">
        <f>IF($A957="","",IF(P957="","",(O957+N957)/2))</f>
        <v/>
      </c>
      <c r="R957" s="27">
        <f>IF($A957="","",IF(P957="","",COUNT($P$2:P957)))</f>
        <v/>
      </c>
    </row>
    <row r="958">
      <c r="J958" s="24">
        <f>IF($A958="","",IF($C958&lt;&gt;"khp_titration_mL","",IF(COUNTIFS('1_原始數據'!$A$2:$A$1000,$A958,'1_原始數據'!$B$2:$B$1000,$B958,'1_原始數據'!$D$2:$D$1000,$D958,'1_原始數據'!$C$2:$C$1000,"khp_mass_g")=0,"",SUMIFS('1_原始數據'!$E$2:$E$1000,'1_原始數據'!$A$2:$A$1000,$A958,'1_原始數據'!$B$2:$B$1000,$B958,'1_原始數據'!$D$2:$D$1000,$D958,'1_原始數據'!$C$2:$C$1000,"khp_mass_g")/('2_NaOH標定'!$C$5*$E958/1000))))</f>
        <v/>
      </c>
      <c r="K958" s="24">
        <f>IF($A958="","",IF($C958&lt;&gt;"manual_titration_mL","",IF(COUNTIFS('1_原始數據'!$A$2:$A$1000,$A958,'1_原始數據'!$C$2:$C$1000,"khp_titration_mL")=0,"",AVERAGEIFS('1_原始數據'!$J$2:$J$1000,'1_原始數據'!$A$2:$A$1000,$A958,'1_原始數據'!$C$2:$C$1000,"khp_titration_mL"))))</f>
        <v/>
      </c>
      <c r="L958" s="25">
        <f>IF($A958="","",IF($C958&lt;&gt;"manual_titration_mL","",IFERROR(INDEX('3_可滴定酸度'!$E$6:$E$13,MATCH($I958,'3_可滴定酸度'!$B$6:$B$13,0)),"")))</f>
        <v/>
      </c>
      <c r="M958" s="25">
        <f>IF($A958="","",IF($C958&lt;&gt;"manual_titration_mL","",IFERROR(INDEX('3_可滴定酸度'!$F$6:$F$13,MATCH($I958,'3_可滴定酸度'!$B$6:$B$13,0)),"")))</f>
        <v/>
      </c>
      <c r="N958" s="24">
        <f>IF($A958="","",IF(OR(K958="",L958="",M958=""),"",K958*E958*L958/(M958*1000)*100))</f>
        <v/>
      </c>
      <c r="O958" s="24">
        <f>IF($A958="","",IF(N958="","",IF(COUNTIFS('1_原始數據'!$A$2:$A$1000,$A958,'1_原始數據'!$B$2:$B$1000,$B958,'1_原始數據'!$D$2:$D$1000,$D958,'1_原始數據'!$I$2:$I$1000,$I958,'1_原始數據'!$C$2:$C$1000,"pasco_pct_acid")=0,"",SUMIFS('1_原始數據'!$E$2:$E$1000,'1_原始數據'!$A$2:$A$1000,$A958,'1_原始數據'!$B$2:$B$1000,$B958,'1_原始數據'!$D$2:$D$1000,$D958,'1_原始數據'!$I$2:$I$1000,$I958,'1_原始數據'!$C$2:$C$1000,"pasco_pct_acid"))))</f>
        <v/>
      </c>
      <c r="P958" s="26">
        <f>IF($A958="","",IF(OR(N958="",O958=""),"",O958-N958))</f>
        <v/>
      </c>
      <c r="Q958" s="24">
        <f>IF($A958="","",IF(P958="","",(O958+N958)/2))</f>
        <v/>
      </c>
      <c r="R958" s="27">
        <f>IF($A958="","",IF(P958="","",COUNT($P$2:P958)))</f>
        <v/>
      </c>
    </row>
    <row r="959">
      <c r="J959" s="24">
        <f>IF($A959="","",IF($C959&lt;&gt;"khp_titration_mL","",IF(COUNTIFS('1_原始數據'!$A$2:$A$1000,$A959,'1_原始數據'!$B$2:$B$1000,$B959,'1_原始數據'!$D$2:$D$1000,$D959,'1_原始數據'!$C$2:$C$1000,"khp_mass_g")=0,"",SUMIFS('1_原始數據'!$E$2:$E$1000,'1_原始數據'!$A$2:$A$1000,$A959,'1_原始數據'!$B$2:$B$1000,$B959,'1_原始數據'!$D$2:$D$1000,$D959,'1_原始數據'!$C$2:$C$1000,"khp_mass_g")/('2_NaOH標定'!$C$5*$E959/1000))))</f>
        <v/>
      </c>
      <c r="K959" s="24">
        <f>IF($A959="","",IF($C959&lt;&gt;"manual_titration_mL","",IF(COUNTIFS('1_原始數據'!$A$2:$A$1000,$A959,'1_原始數據'!$C$2:$C$1000,"khp_titration_mL")=0,"",AVERAGEIFS('1_原始數據'!$J$2:$J$1000,'1_原始數據'!$A$2:$A$1000,$A959,'1_原始數據'!$C$2:$C$1000,"khp_titration_mL"))))</f>
        <v/>
      </c>
      <c r="L959" s="25">
        <f>IF($A959="","",IF($C959&lt;&gt;"manual_titration_mL","",IFERROR(INDEX('3_可滴定酸度'!$E$6:$E$13,MATCH($I959,'3_可滴定酸度'!$B$6:$B$13,0)),"")))</f>
        <v/>
      </c>
      <c r="M959" s="25">
        <f>IF($A959="","",IF($C959&lt;&gt;"manual_titration_mL","",IFERROR(INDEX('3_可滴定酸度'!$F$6:$F$13,MATCH($I959,'3_可滴定酸度'!$B$6:$B$13,0)),"")))</f>
        <v/>
      </c>
      <c r="N959" s="24">
        <f>IF($A959="","",IF(OR(K959="",L959="",M959=""),"",K959*E959*L959/(M959*1000)*100))</f>
        <v/>
      </c>
      <c r="O959" s="24">
        <f>IF($A959="","",IF(N959="","",IF(COUNTIFS('1_原始數據'!$A$2:$A$1000,$A959,'1_原始數據'!$B$2:$B$1000,$B959,'1_原始數據'!$D$2:$D$1000,$D959,'1_原始數據'!$I$2:$I$1000,$I959,'1_原始數據'!$C$2:$C$1000,"pasco_pct_acid")=0,"",SUMIFS('1_原始數據'!$E$2:$E$1000,'1_原始數據'!$A$2:$A$1000,$A959,'1_原始數據'!$B$2:$B$1000,$B959,'1_原始數據'!$D$2:$D$1000,$D959,'1_原始數據'!$I$2:$I$1000,$I959,'1_原始數據'!$C$2:$C$1000,"pasco_pct_acid"))))</f>
        <v/>
      </c>
      <c r="P959" s="26">
        <f>IF($A959="","",IF(OR(N959="",O959=""),"",O959-N959))</f>
        <v/>
      </c>
      <c r="Q959" s="24">
        <f>IF($A959="","",IF(P959="","",(O959+N959)/2))</f>
        <v/>
      </c>
      <c r="R959" s="27">
        <f>IF($A959="","",IF(P959="","",COUNT($P$2:P959)))</f>
        <v/>
      </c>
    </row>
    <row r="960">
      <c r="J960" s="24">
        <f>IF($A960="","",IF($C960&lt;&gt;"khp_titration_mL","",IF(COUNTIFS('1_原始數據'!$A$2:$A$1000,$A960,'1_原始數據'!$B$2:$B$1000,$B960,'1_原始數據'!$D$2:$D$1000,$D960,'1_原始數據'!$C$2:$C$1000,"khp_mass_g")=0,"",SUMIFS('1_原始數據'!$E$2:$E$1000,'1_原始數據'!$A$2:$A$1000,$A960,'1_原始數據'!$B$2:$B$1000,$B960,'1_原始數據'!$D$2:$D$1000,$D960,'1_原始數據'!$C$2:$C$1000,"khp_mass_g")/('2_NaOH標定'!$C$5*$E960/1000))))</f>
        <v/>
      </c>
      <c r="K960" s="24">
        <f>IF($A960="","",IF($C960&lt;&gt;"manual_titration_mL","",IF(COUNTIFS('1_原始數據'!$A$2:$A$1000,$A960,'1_原始數據'!$C$2:$C$1000,"khp_titration_mL")=0,"",AVERAGEIFS('1_原始數據'!$J$2:$J$1000,'1_原始數據'!$A$2:$A$1000,$A960,'1_原始數據'!$C$2:$C$1000,"khp_titration_mL"))))</f>
        <v/>
      </c>
      <c r="L960" s="25">
        <f>IF($A960="","",IF($C960&lt;&gt;"manual_titration_mL","",IFERROR(INDEX('3_可滴定酸度'!$E$6:$E$13,MATCH($I960,'3_可滴定酸度'!$B$6:$B$13,0)),"")))</f>
        <v/>
      </c>
      <c r="M960" s="25">
        <f>IF($A960="","",IF($C960&lt;&gt;"manual_titration_mL","",IFERROR(INDEX('3_可滴定酸度'!$F$6:$F$13,MATCH($I960,'3_可滴定酸度'!$B$6:$B$13,0)),"")))</f>
        <v/>
      </c>
      <c r="N960" s="24">
        <f>IF($A960="","",IF(OR(K960="",L960="",M960=""),"",K960*E960*L960/(M960*1000)*100))</f>
        <v/>
      </c>
      <c r="O960" s="24">
        <f>IF($A960="","",IF(N960="","",IF(COUNTIFS('1_原始數據'!$A$2:$A$1000,$A960,'1_原始數據'!$B$2:$B$1000,$B960,'1_原始數據'!$D$2:$D$1000,$D960,'1_原始數據'!$I$2:$I$1000,$I960,'1_原始數據'!$C$2:$C$1000,"pasco_pct_acid")=0,"",SUMIFS('1_原始數據'!$E$2:$E$1000,'1_原始數據'!$A$2:$A$1000,$A960,'1_原始數據'!$B$2:$B$1000,$B960,'1_原始數據'!$D$2:$D$1000,$D960,'1_原始數據'!$I$2:$I$1000,$I960,'1_原始數據'!$C$2:$C$1000,"pasco_pct_acid"))))</f>
        <v/>
      </c>
      <c r="P960" s="26">
        <f>IF($A960="","",IF(OR(N960="",O960=""),"",O960-N960))</f>
        <v/>
      </c>
      <c r="Q960" s="24">
        <f>IF($A960="","",IF(P960="","",(O960+N960)/2))</f>
        <v/>
      </c>
      <c r="R960" s="27">
        <f>IF($A960="","",IF(P960="","",COUNT($P$2:P960)))</f>
        <v/>
      </c>
    </row>
    <row r="961">
      <c r="J961" s="24">
        <f>IF($A961="","",IF($C961&lt;&gt;"khp_titration_mL","",IF(COUNTIFS('1_原始數據'!$A$2:$A$1000,$A961,'1_原始數據'!$B$2:$B$1000,$B961,'1_原始數據'!$D$2:$D$1000,$D961,'1_原始數據'!$C$2:$C$1000,"khp_mass_g")=0,"",SUMIFS('1_原始數據'!$E$2:$E$1000,'1_原始數據'!$A$2:$A$1000,$A961,'1_原始數據'!$B$2:$B$1000,$B961,'1_原始數據'!$D$2:$D$1000,$D961,'1_原始數據'!$C$2:$C$1000,"khp_mass_g")/('2_NaOH標定'!$C$5*$E961/1000))))</f>
        <v/>
      </c>
      <c r="K961" s="24">
        <f>IF($A961="","",IF($C961&lt;&gt;"manual_titration_mL","",IF(COUNTIFS('1_原始數據'!$A$2:$A$1000,$A961,'1_原始數據'!$C$2:$C$1000,"khp_titration_mL")=0,"",AVERAGEIFS('1_原始數據'!$J$2:$J$1000,'1_原始數據'!$A$2:$A$1000,$A961,'1_原始數據'!$C$2:$C$1000,"khp_titration_mL"))))</f>
        <v/>
      </c>
      <c r="L961" s="25">
        <f>IF($A961="","",IF($C961&lt;&gt;"manual_titration_mL","",IFERROR(INDEX('3_可滴定酸度'!$E$6:$E$13,MATCH($I961,'3_可滴定酸度'!$B$6:$B$13,0)),"")))</f>
        <v/>
      </c>
      <c r="M961" s="25">
        <f>IF($A961="","",IF($C961&lt;&gt;"manual_titration_mL","",IFERROR(INDEX('3_可滴定酸度'!$F$6:$F$13,MATCH($I961,'3_可滴定酸度'!$B$6:$B$13,0)),"")))</f>
        <v/>
      </c>
      <c r="N961" s="24">
        <f>IF($A961="","",IF(OR(K961="",L961="",M961=""),"",K961*E961*L961/(M961*1000)*100))</f>
        <v/>
      </c>
      <c r="O961" s="24">
        <f>IF($A961="","",IF(N961="","",IF(COUNTIFS('1_原始數據'!$A$2:$A$1000,$A961,'1_原始數據'!$B$2:$B$1000,$B961,'1_原始數據'!$D$2:$D$1000,$D961,'1_原始數據'!$I$2:$I$1000,$I961,'1_原始數據'!$C$2:$C$1000,"pasco_pct_acid")=0,"",SUMIFS('1_原始數據'!$E$2:$E$1000,'1_原始數據'!$A$2:$A$1000,$A961,'1_原始數據'!$B$2:$B$1000,$B961,'1_原始數據'!$D$2:$D$1000,$D961,'1_原始數據'!$I$2:$I$1000,$I961,'1_原始數據'!$C$2:$C$1000,"pasco_pct_acid"))))</f>
        <v/>
      </c>
      <c r="P961" s="26">
        <f>IF($A961="","",IF(OR(N961="",O961=""),"",O961-N961))</f>
        <v/>
      </c>
      <c r="Q961" s="24">
        <f>IF($A961="","",IF(P961="","",(O961+N961)/2))</f>
        <v/>
      </c>
      <c r="R961" s="27">
        <f>IF($A961="","",IF(P961="","",COUNT($P$2:P961)))</f>
        <v/>
      </c>
    </row>
    <row r="962">
      <c r="J962" s="24">
        <f>IF($A962="","",IF($C962&lt;&gt;"khp_titration_mL","",IF(COUNTIFS('1_原始數據'!$A$2:$A$1000,$A962,'1_原始數據'!$B$2:$B$1000,$B962,'1_原始數據'!$D$2:$D$1000,$D962,'1_原始數據'!$C$2:$C$1000,"khp_mass_g")=0,"",SUMIFS('1_原始數據'!$E$2:$E$1000,'1_原始數據'!$A$2:$A$1000,$A962,'1_原始數據'!$B$2:$B$1000,$B962,'1_原始數據'!$D$2:$D$1000,$D962,'1_原始數據'!$C$2:$C$1000,"khp_mass_g")/('2_NaOH標定'!$C$5*$E962/1000))))</f>
        <v/>
      </c>
      <c r="K962" s="24">
        <f>IF($A962="","",IF($C962&lt;&gt;"manual_titration_mL","",IF(COUNTIFS('1_原始數據'!$A$2:$A$1000,$A962,'1_原始數據'!$C$2:$C$1000,"khp_titration_mL")=0,"",AVERAGEIFS('1_原始數據'!$J$2:$J$1000,'1_原始數據'!$A$2:$A$1000,$A962,'1_原始數據'!$C$2:$C$1000,"khp_titration_mL"))))</f>
        <v/>
      </c>
      <c r="L962" s="25">
        <f>IF($A962="","",IF($C962&lt;&gt;"manual_titration_mL","",IFERROR(INDEX('3_可滴定酸度'!$E$6:$E$13,MATCH($I962,'3_可滴定酸度'!$B$6:$B$13,0)),"")))</f>
        <v/>
      </c>
      <c r="M962" s="25">
        <f>IF($A962="","",IF($C962&lt;&gt;"manual_titration_mL","",IFERROR(INDEX('3_可滴定酸度'!$F$6:$F$13,MATCH($I962,'3_可滴定酸度'!$B$6:$B$13,0)),"")))</f>
        <v/>
      </c>
      <c r="N962" s="24">
        <f>IF($A962="","",IF(OR(K962="",L962="",M962=""),"",K962*E962*L962/(M962*1000)*100))</f>
        <v/>
      </c>
      <c r="O962" s="24">
        <f>IF($A962="","",IF(N962="","",IF(COUNTIFS('1_原始數據'!$A$2:$A$1000,$A962,'1_原始數據'!$B$2:$B$1000,$B962,'1_原始數據'!$D$2:$D$1000,$D962,'1_原始數據'!$I$2:$I$1000,$I962,'1_原始數據'!$C$2:$C$1000,"pasco_pct_acid")=0,"",SUMIFS('1_原始數據'!$E$2:$E$1000,'1_原始數據'!$A$2:$A$1000,$A962,'1_原始數據'!$B$2:$B$1000,$B962,'1_原始數據'!$D$2:$D$1000,$D962,'1_原始數據'!$I$2:$I$1000,$I962,'1_原始數據'!$C$2:$C$1000,"pasco_pct_acid"))))</f>
        <v/>
      </c>
      <c r="P962" s="26">
        <f>IF($A962="","",IF(OR(N962="",O962=""),"",O962-N962))</f>
        <v/>
      </c>
      <c r="Q962" s="24">
        <f>IF($A962="","",IF(P962="","",(O962+N962)/2))</f>
        <v/>
      </c>
      <c r="R962" s="27">
        <f>IF($A962="","",IF(P962="","",COUNT($P$2:P962)))</f>
        <v/>
      </c>
    </row>
    <row r="963">
      <c r="J963" s="24">
        <f>IF($A963="","",IF($C963&lt;&gt;"khp_titration_mL","",IF(COUNTIFS('1_原始數據'!$A$2:$A$1000,$A963,'1_原始數據'!$B$2:$B$1000,$B963,'1_原始數據'!$D$2:$D$1000,$D963,'1_原始數據'!$C$2:$C$1000,"khp_mass_g")=0,"",SUMIFS('1_原始數據'!$E$2:$E$1000,'1_原始數據'!$A$2:$A$1000,$A963,'1_原始數據'!$B$2:$B$1000,$B963,'1_原始數據'!$D$2:$D$1000,$D963,'1_原始數據'!$C$2:$C$1000,"khp_mass_g")/('2_NaOH標定'!$C$5*$E963/1000))))</f>
        <v/>
      </c>
      <c r="K963" s="24">
        <f>IF($A963="","",IF($C963&lt;&gt;"manual_titration_mL","",IF(COUNTIFS('1_原始數據'!$A$2:$A$1000,$A963,'1_原始數據'!$C$2:$C$1000,"khp_titration_mL")=0,"",AVERAGEIFS('1_原始數據'!$J$2:$J$1000,'1_原始數據'!$A$2:$A$1000,$A963,'1_原始數據'!$C$2:$C$1000,"khp_titration_mL"))))</f>
        <v/>
      </c>
      <c r="L963" s="25">
        <f>IF($A963="","",IF($C963&lt;&gt;"manual_titration_mL","",IFERROR(INDEX('3_可滴定酸度'!$E$6:$E$13,MATCH($I963,'3_可滴定酸度'!$B$6:$B$13,0)),"")))</f>
        <v/>
      </c>
      <c r="M963" s="25">
        <f>IF($A963="","",IF($C963&lt;&gt;"manual_titration_mL","",IFERROR(INDEX('3_可滴定酸度'!$F$6:$F$13,MATCH($I963,'3_可滴定酸度'!$B$6:$B$13,0)),"")))</f>
        <v/>
      </c>
      <c r="N963" s="24">
        <f>IF($A963="","",IF(OR(K963="",L963="",M963=""),"",K963*E963*L963/(M963*1000)*100))</f>
        <v/>
      </c>
      <c r="O963" s="24">
        <f>IF($A963="","",IF(N963="","",IF(COUNTIFS('1_原始數據'!$A$2:$A$1000,$A963,'1_原始數據'!$B$2:$B$1000,$B963,'1_原始數據'!$D$2:$D$1000,$D963,'1_原始數據'!$I$2:$I$1000,$I963,'1_原始數據'!$C$2:$C$1000,"pasco_pct_acid")=0,"",SUMIFS('1_原始數據'!$E$2:$E$1000,'1_原始數據'!$A$2:$A$1000,$A963,'1_原始數據'!$B$2:$B$1000,$B963,'1_原始數據'!$D$2:$D$1000,$D963,'1_原始數據'!$I$2:$I$1000,$I963,'1_原始數據'!$C$2:$C$1000,"pasco_pct_acid"))))</f>
        <v/>
      </c>
      <c r="P963" s="26">
        <f>IF($A963="","",IF(OR(N963="",O963=""),"",O963-N963))</f>
        <v/>
      </c>
      <c r="Q963" s="24">
        <f>IF($A963="","",IF(P963="","",(O963+N963)/2))</f>
        <v/>
      </c>
      <c r="R963" s="27">
        <f>IF($A963="","",IF(P963="","",COUNT($P$2:P963)))</f>
        <v/>
      </c>
    </row>
    <row r="964">
      <c r="J964" s="24">
        <f>IF($A964="","",IF($C964&lt;&gt;"khp_titration_mL","",IF(COUNTIFS('1_原始數據'!$A$2:$A$1000,$A964,'1_原始數據'!$B$2:$B$1000,$B964,'1_原始數據'!$D$2:$D$1000,$D964,'1_原始數據'!$C$2:$C$1000,"khp_mass_g")=0,"",SUMIFS('1_原始數據'!$E$2:$E$1000,'1_原始數據'!$A$2:$A$1000,$A964,'1_原始數據'!$B$2:$B$1000,$B964,'1_原始數據'!$D$2:$D$1000,$D964,'1_原始數據'!$C$2:$C$1000,"khp_mass_g")/('2_NaOH標定'!$C$5*$E964/1000))))</f>
        <v/>
      </c>
      <c r="K964" s="24">
        <f>IF($A964="","",IF($C964&lt;&gt;"manual_titration_mL","",IF(COUNTIFS('1_原始數據'!$A$2:$A$1000,$A964,'1_原始數據'!$C$2:$C$1000,"khp_titration_mL")=0,"",AVERAGEIFS('1_原始數據'!$J$2:$J$1000,'1_原始數據'!$A$2:$A$1000,$A964,'1_原始數據'!$C$2:$C$1000,"khp_titration_mL"))))</f>
        <v/>
      </c>
      <c r="L964" s="25">
        <f>IF($A964="","",IF($C964&lt;&gt;"manual_titration_mL","",IFERROR(INDEX('3_可滴定酸度'!$E$6:$E$13,MATCH($I964,'3_可滴定酸度'!$B$6:$B$13,0)),"")))</f>
        <v/>
      </c>
      <c r="M964" s="25">
        <f>IF($A964="","",IF($C964&lt;&gt;"manual_titration_mL","",IFERROR(INDEX('3_可滴定酸度'!$F$6:$F$13,MATCH($I964,'3_可滴定酸度'!$B$6:$B$13,0)),"")))</f>
        <v/>
      </c>
      <c r="N964" s="24">
        <f>IF($A964="","",IF(OR(K964="",L964="",M964=""),"",K964*E964*L964/(M964*1000)*100))</f>
        <v/>
      </c>
      <c r="O964" s="24">
        <f>IF($A964="","",IF(N964="","",IF(COUNTIFS('1_原始數據'!$A$2:$A$1000,$A964,'1_原始數據'!$B$2:$B$1000,$B964,'1_原始數據'!$D$2:$D$1000,$D964,'1_原始數據'!$I$2:$I$1000,$I964,'1_原始數據'!$C$2:$C$1000,"pasco_pct_acid")=0,"",SUMIFS('1_原始數據'!$E$2:$E$1000,'1_原始數據'!$A$2:$A$1000,$A964,'1_原始數據'!$B$2:$B$1000,$B964,'1_原始數據'!$D$2:$D$1000,$D964,'1_原始數據'!$I$2:$I$1000,$I964,'1_原始數據'!$C$2:$C$1000,"pasco_pct_acid"))))</f>
        <v/>
      </c>
      <c r="P964" s="26">
        <f>IF($A964="","",IF(OR(N964="",O964=""),"",O964-N964))</f>
        <v/>
      </c>
      <c r="Q964" s="24">
        <f>IF($A964="","",IF(P964="","",(O964+N964)/2))</f>
        <v/>
      </c>
      <c r="R964" s="27">
        <f>IF($A964="","",IF(P964="","",COUNT($P$2:P964)))</f>
        <v/>
      </c>
    </row>
    <row r="965">
      <c r="J965" s="24">
        <f>IF($A965="","",IF($C965&lt;&gt;"khp_titration_mL","",IF(COUNTIFS('1_原始數據'!$A$2:$A$1000,$A965,'1_原始數據'!$B$2:$B$1000,$B965,'1_原始數據'!$D$2:$D$1000,$D965,'1_原始數據'!$C$2:$C$1000,"khp_mass_g")=0,"",SUMIFS('1_原始數據'!$E$2:$E$1000,'1_原始數據'!$A$2:$A$1000,$A965,'1_原始數據'!$B$2:$B$1000,$B965,'1_原始數據'!$D$2:$D$1000,$D965,'1_原始數據'!$C$2:$C$1000,"khp_mass_g")/('2_NaOH標定'!$C$5*$E965/1000))))</f>
        <v/>
      </c>
      <c r="K965" s="24">
        <f>IF($A965="","",IF($C965&lt;&gt;"manual_titration_mL","",IF(COUNTIFS('1_原始數據'!$A$2:$A$1000,$A965,'1_原始數據'!$C$2:$C$1000,"khp_titration_mL")=0,"",AVERAGEIFS('1_原始數據'!$J$2:$J$1000,'1_原始數據'!$A$2:$A$1000,$A965,'1_原始數據'!$C$2:$C$1000,"khp_titration_mL"))))</f>
        <v/>
      </c>
      <c r="L965" s="25">
        <f>IF($A965="","",IF($C965&lt;&gt;"manual_titration_mL","",IFERROR(INDEX('3_可滴定酸度'!$E$6:$E$13,MATCH($I965,'3_可滴定酸度'!$B$6:$B$13,0)),"")))</f>
        <v/>
      </c>
      <c r="M965" s="25">
        <f>IF($A965="","",IF($C965&lt;&gt;"manual_titration_mL","",IFERROR(INDEX('3_可滴定酸度'!$F$6:$F$13,MATCH($I965,'3_可滴定酸度'!$B$6:$B$13,0)),"")))</f>
        <v/>
      </c>
      <c r="N965" s="24">
        <f>IF($A965="","",IF(OR(K965="",L965="",M965=""),"",K965*E965*L965/(M965*1000)*100))</f>
        <v/>
      </c>
      <c r="O965" s="24">
        <f>IF($A965="","",IF(N965="","",IF(COUNTIFS('1_原始數據'!$A$2:$A$1000,$A965,'1_原始數據'!$B$2:$B$1000,$B965,'1_原始數據'!$D$2:$D$1000,$D965,'1_原始數據'!$I$2:$I$1000,$I965,'1_原始數據'!$C$2:$C$1000,"pasco_pct_acid")=0,"",SUMIFS('1_原始數據'!$E$2:$E$1000,'1_原始數據'!$A$2:$A$1000,$A965,'1_原始數據'!$B$2:$B$1000,$B965,'1_原始數據'!$D$2:$D$1000,$D965,'1_原始數據'!$I$2:$I$1000,$I965,'1_原始數據'!$C$2:$C$1000,"pasco_pct_acid"))))</f>
        <v/>
      </c>
      <c r="P965" s="26">
        <f>IF($A965="","",IF(OR(N965="",O965=""),"",O965-N965))</f>
        <v/>
      </c>
      <c r="Q965" s="24">
        <f>IF($A965="","",IF(P965="","",(O965+N965)/2))</f>
        <v/>
      </c>
      <c r="R965" s="27">
        <f>IF($A965="","",IF(P965="","",COUNT($P$2:P965)))</f>
        <v/>
      </c>
    </row>
    <row r="966">
      <c r="J966" s="24">
        <f>IF($A966="","",IF($C966&lt;&gt;"khp_titration_mL","",IF(COUNTIFS('1_原始數據'!$A$2:$A$1000,$A966,'1_原始數據'!$B$2:$B$1000,$B966,'1_原始數據'!$D$2:$D$1000,$D966,'1_原始數據'!$C$2:$C$1000,"khp_mass_g")=0,"",SUMIFS('1_原始數據'!$E$2:$E$1000,'1_原始數據'!$A$2:$A$1000,$A966,'1_原始數據'!$B$2:$B$1000,$B966,'1_原始數據'!$D$2:$D$1000,$D966,'1_原始數據'!$C$2:$C$1000,"khp_mass_g")/('2_NaOH標定'!$C$5*$E966/1000))))</f>
        <v/>
      </c>
      <c r="K966" s="24">
        <f>IF($A966="","",IF($C966&lt;&gt;"manual_titration_mL","",IF(COUNTIFS('1_原始數據'!$A$2:$A$1000,$A966,'1_原始數據'!$C$2:$C$1000,"khp_titration_mL")=0,"",AVERAGEIFS('1_原始數據'!$J$2:$J$1000,'1_原始數據'!$A$2:$A$1000,$A966,'1_原始數據'!$C$2:$C$1000,"khp_titration_mL"))))</f>
        <v/>
      </c>
      <c r="L966" s="25">
        <f>IF($A966="","",IF($C966&lt;&gt;"manual_titration_mL","",IFERROR(INDEX('3_可滴定酸度'!$E$6:$E$13,MATCH($I966,'3_可滴定酸度'!$B$6:$B$13,0)),"")))</f>
        <v/>
      </c>
      <c r="M966" s="25">
        <f>IF($A966="","",IF($C966&lt;&gt;"manual_titration_mL","",IFERROR(INDEX('3_可滴定酸度'!$F$6:$F$13,MATCH($I966,'3_可滴定酸度'!$B$6:$B$13,0)),"")))</f>
        <v/>
      </c>
      <c r="N966" s="24">
        <f>IF($A966="","",IF(OR(K966="",L966="",M966=""),"",K966*E966*L966/(M966*1000)*100))</f>
        <v/>
      </c>
      <c r="O966" s="24">
        <f>IF($A966="","",IF(N966="","",IF(COUNTIFS('1_原始數據'!$A$2:$A$1000,$A966,'1_原始數據'!$B$2:$B$1000,$B966,'1_原始數據'!$D$2:$D$1000,$D966,'1_原始數據'!$I$2:$I$1000,$I966,'1_原始數據'!$C$2:$C$1000,"pasco_pct_acid")=0,"",SUMIFS('1_原始數據'!$E$2:$E$1000,'1_原始數據'!$A$2:$A$1000,$A966,'1_原始數據'!$B$2:$B$1000,$B966,'1_原始數據'!$D$2:$D$1000,$D966,'1_原始數據'!$I$2:$I$1000,$I966,'1_原始數據'!$C$2:$C$1000,"pasco_pct_acid"))))</f>
        <v/>
      </c>
      <c r="P966" s="26">
        <f>IF($A966="","",IF(OR(N966="",O966=""),"",O966-N966))</f>
        <v/>
      </c>
      <c r="Q966" s="24">
        <f>IF($A966="","",IF(P966="","",(O966+N966)/2))</f>
        <v/>
      </c>
      <c r="R966" s="27">
        <f>IF($A966="","",IF(P966="","",COUNT($P$2:P966)))</f>
        <v/>
      </c>
    </row>
    <row r="967">
      <c r="J967" s="24">
        <f>IF($A967="","",IF($C967&lt;&gt;"khp_titration_mL","",IF(COUNTIFS('1_原始數據'!$A$2:$A$1000,$A967,'1_原始數據'!$B$2:$B$1000,$B967,'1_原始數據'!$D$2:$D$1000,$D967,'1_原始數據'!$C$2:$C$1000,"khp_mass_g")=0,"",SUMIFS('1_原始數據'!$E$2:$E$1000,'1_原始數據'!$A$2:$A$1000,$A967,'1_原始數據'!$B$2:$B$1000,$B967,'1_原始數據'!$D$2:$D$1000,$D967,'1_原始數據'!$C$2:$C$1000,"khp_mass_g")/('2_NaOH標定'!$C$5*$E967/1000))))</f>
        <v/>
      </c>
      <c r="K967" s="24">
        <f>IF($A967="","",IF($C967&lt;&gt;"manual_titration_mL","",IF(COUNTIFS('1_原始數據'!$A$2:$A$1000,$A967,'1_原始數據'!$C$2:$C$1000,"khp_titration_mL")=0,"",AVERAGEIFS('1_原始數據'!$J$2:$J$1000,'1_原始數據'!$A$2:$A$1000,$A967,'1_原始數據'!$C$2:$C$1000,"khp_titration_mL"))))</f>
        <v/>
      </c>
      <c r="L967" s="25">
        <f>IF($A967="","",IF($C967&lt;&gt;"manual_titration_mL","",IFERROR(INDEX('3_可滴定酸度'!$E$6:$E$13,MATCH($I967,'3_可滴定酸度'!$B$6:$B$13,0)),"")))</f>
        <v/>
      </c>
      <c r="M967" s="25">
        <f>IF($A967="","",IF($C967&lt;&gt;"manual_titration_mL","",IFERROR(INDEX('3_可滴定酸度'!$F$6:$F$13,MATCH($I967,'3_可滴定酸度'!$B$6:$B$13,0)),"")))</f>
        <v/>
      </c>
      <c r="N967" s="24">
        <f>IF($A967="","",IF(OR(K967="",L967="",M967=""),"",K967*E967*L967/(M967*1000)*100))</f>
        <v/>
      </c>
      <c r="O967" s="24">
        <f>IF($A967="","",IF(N967="","",IF(COUNTIFS('1_原始數據'!$A$2:$A$1000,$A967,'1_原始數據'!$B$2:$B$1000,$B967,'1_原始數據'!$D$2:$D$1000,$D967,'1_原始數據'!$I$2:$I$1000,$I967,'1_原始數據'!$C$2:$C$1000,"pasco_pct_acid")=0,"",SUMIFS('1_原始數據'!$E$2:$E$1000,'1_原始數據'!$A$2:$A$1000,$A967,'1_原始數據'!$B$2:$B$1000,$B967,'1_原始數據'!$D$2:$D$1000,$D967,'1_原始數據'!$I$2:$I$1000,$I967,'1_原始數據'!$C$2:$C$1000,"pasco_pct_acid"))))</f>
        <v/>
      </c>
      <c r="P967" s="26">
        <f>IF($A967="","",IF(OR(N967="",O967=""),"",O967-N967))</f>
        <v/>
      </c>
      <c r="Q967" s="24">
        <f>IF($A967="","",IF(P967="","",(O967+N967)/2))</f>
        <v/>
      </c>
      <c r="R967" s="27">
        <f>IF($A967="","",IF(P967="","",COUNT($P$2:P967)))</f>
        <v/>
      </c>
    </row>
    <row r="968">
      <c r="J968" s="24">
        <f>IF($A968="","",IF($C968&lt;&gt;"khp_titration_mL","",IF(COUNTIFS('1_原始數據'!$A$2:$A$1000,$A968,'1_原始數據'!$B$2:$B$1000,$B968,'1_原始數據'!$D$2:$D$1000,$D968,'1_原始數據'!$C$2:$C$1000,"khp_mass_g")=0,"",SUMIFS('1_原始數據'!$E$2:$E$1000,'1_原始數據'!$A$2:$A$1000,$A968,'1_原始數據'!$B$2:$B$1000,$B968,'1_原始數據'!$D$2:$D$1000,$D968,'1_原始數據'!$C$2:$C$1000,"khp_mass_g")/('2_NaOH標定'!$C$5*$E968/1000))))</f>
        <v/>
      </c>
      <c r="K968" s="24">
        <f>IF($A968="","",IF($C968&lt;&gt;"manual_titration_mL","",IF(COUNTIFS('1_原始數據'!$A$2:$A$1000,$A968,'1_原始數據'!$C$2:$C$1000,"khp_titration_mL")=0,"",AVERAGEIFS('1_原始數據'!$J$2:$J$1000,'1_原始數據'!$A$2:$A$1000,$A968,'1_原始數據'!$C$2:$C$1000,"khp_titration_mL"))))</f>
        <v/>
      </c>
      <c r="L968" s="25">
        <f>IF($A968="","",IF($C968&lt;&gt;"manual_titration_mL","",IFERROR(INDEX('3_可滴定酸度'!$E$6:$E$13,MATCH($I968,'3_可滴定酸度'!$B$6:$B$13,0)),"")))</f>
        <v/>
      </c>
      <c r="M968" s="25">
        <f>IF($A968="","",IF($C968&lt;&gt;"manual_titration_mL","",IFERROR(INDEX('3_可滴定酸度'!$F$6:$F$13,MATCH($I968,'3_可滴定酸度'!$B$6:$B$13,0)),"")))</f>
        <v/>
      </c>
      <c r="N968" s="24">
        <f>IF($A968="","",IF(OR(K968="",L968="",M968=""),"",K968*E968*L968/(M968*1000)*100))</f>
        <v/>
      </c>
      <c r="O968" s="24">
        <f>IF($A968="","",IF(N968="","",IF(COUNTIFS('1_原始數據'!$A$2:$A$1000,$A968,'1_原始數據'!$B$2:$B$1000,$B968,'1_原始數據'!$D$2:$D$1000,$D968,'1_原始數據'!$I$2:$I$1000,$I968,'1_原始數據'!$C$2:$C$1000,"pasco_pct_acid")=0,"",SUMIFS('1_原始數據'!$E$2:$E$1000,'1_原始數據'!$A$2:$A$1000,$A968,'1_原始數據'!$B$2:$B$1000,$B968,'1_原始數據'!$D$2:$D$1000,$D968,'1_原始數據'!$I$2:$I$1000,$I968,'1_原始數據'!$C$2:$C$1000,"pasco_pct_acid"))))</f>
        <v/>
      </c>
      <c r="P968" s="26">
        <f>IF($A968="","",IF(OR(N968="",O968=""),"",O968-N968))</f>
        <v/>
      </c>
      <c r="Q968" s="24">
        <f>IF($A968="","",IF(P968="","",(O968+N968)/2))</f>
        <v/>
      </c>
      <c r="R968" s="27">
        <f>IF($A968="","",IF(P968="","",COUNT($P$2:P968)))</f>
        <v/>
      </c>
    </row>
    <row r="969">
      <c r="J969" s="24">
        <f>IF($A969="","",IF($C969&lt;&gt;"khp_titration_mL","",IF(COUNTIFS('1_原始數據'!$A$2:$A$1000,$A969,'1_原始數據'!$B$2:$B$1000,$B969,'1_原始數據'!$D$2:$D$1000,$D969,'1_原始數據'!$C$2:$C$1000,"khp_mass_g")=0,"",SUMIFS('1_原始數據'!$E$2:$E$1000,'1_原始數據'!$A$2:$A$1000,$A969,'1_原始數據'!$B$2:$B$1000,$B969,'1_原始數據'!$D$2:$D$1000,$D969,'1_原始數據'!$C$2:$C$1000,"khp_mass_g")/('2_NaOH標定'!$C$5*$E969/1000))))</f>
        <v/>
      </c>
      <c r="K969" s="24">
        <f>IF($A969="","",IF($C969&lt;&gt;"manual_titration_mL","",IF(COUNTIFS('1_原始數據'!$A$2:$A$1000,$A969,'1_原始數據'!$C$2:$C$1000,"khp_titration_mL")=0,"",AVERAGEIFS('1_原始數據'!$J$2:$J$1000,'1_原始數據'!$A$2:$A$1000,$A969,'1_原始數據'!$C$2:$C$1000,"khp_titration_mL"))))</f>
        <v/>
      </c>
      <c r="L969" s="25">
        <f>IF($A969="","",IF($C969&lt;&gt;"manual_titration_mL","",IFERROR(INDEX('3_可滴定酸度'!$E$6:$E$13,MATCH($I969,'3_可滴定酸度'!$B$6:$B$13,0)),"")))</f>
        <v/>
      </c>
      <c r="M969" s="25">
        <f>IF($A969="","",IF($C969&lt;&gt;"manual_titration_mL","",IFERROR(INDEX('3_可滴定酸度'!$F$6:$F$13,MATCH($I969,'3_可滴定酸度'!$B$6:$B$13,0)),"")))</f>
        <v/>
      </c>
      <c r="N969" s="24">
        <f>IF($A969="","",IF(OR(K969="",L969="",M969=""),"",K969*E969*L969/(M969*1000)*100))</f>
        <v/>
      </c>
      <c r="O969" s="24">
        <f>IF($A969="","",IF(N969="","",IF(COUNTIFS('1_原始數據'!$A$2:$A$1000,$A969,'1_原始數據'!$B$2:$B$1000,$B969,'1_原始數據'!$D$2:$D$1000,$D969,'1_原始數據'!$I$2:$I$1000,$I969,'1_原始數據'!$C$2:$C$1000,"pasco_pct_acid")=0,"",SUMIFS('1_原始數據'!$E$2:$E$1000,'1_原始數據'!$A$2:$A$1000,$A969,'1_原始數據'!$B$2:$B$1000,$B969,'1_原始數據'!$D$2:$D$1000,$D969,'1_原始數據'!$I$2:$I$1000,$I969,'1_原始數據'!$C$2:$C$1000,"pasco_pct_acid"))))</f>
        <v/>
      </c>
      <c r="P969" s="26">
        <f>IF($A969="","",IF(OR(N969="",O969=""),"",O969-N969))</f>
        <v/>
      </c>
      <c r="Q969" s="24">
        <f>IF($A969="","",IF(P969="","",(O969+N969)/2))</f>
        <v/>
      </c>
      <c r="R969" s="27">
        <f>IF($A969="","",IF(P969="","",COUNT($P$2:P969)))</f>
        <v/>
      </c>
    </row>
    <row r="970">
      <c r="J970" s="24">
        <f>IF($A970="","",IF($C970&lt;&gt;"khp_titration_mL","",IF(COUNTIFS('1_原始數據'!$A$2:$A$1000,$A970,'1_原始數據'!$B$2:$B$1000,$B970,'1_原始數據'!$D$2:$D$1000,$D970,'1_原始數據'!$C$2:$C$1000,"khp_mass_g")=0,"",SUMIFS('1_原始數據'!$E$2:$E$1000,'1_原始數據'!$A$2:$A$1000,$A970,'1_原始數據'!$B$2:$B$1000,$B970,'1_原始數據'!$D$2:$D$1000,$D970,'1_原始數據'!$C$2:$C$1000,"khp_mass_g")/('2_NaOH標定'!$C$5*$E970/1000))))</f>
        <v/>
      </c>
      <c r="K970" s="24">
        <f>IF($A970="","",IF($C970&lt;&gt;"manual_titration_mL","",IF(COUNTIFS('1_原始數據'!$A$2:$A$1000,$A970,'1_原始數據'!$C$2:$C$1000,"khp_titration_mL")=0,"",AVERAGEIFS('1_原始數據'!$J$2:$J$1000,'1_原始數據'!$A$2:$A$1000,$A970,'1_原始數據'!$C$2:$C$1000,"khp_titration_mL"))))</f>
        <v/>
      </c>
      <c r="L970" s="25">
        <f>IF($A970="","",IF($C970&lt;&gt;"manual_titration_mL","",IFERROR(INDEX('3_可滴定酸度'!$E$6:$E$13,MATCH($I970,'3_可滴定酸度'!$B$6:$B$13,0)),"")))</f>
        <v/>
      </c>
      <c r="M970" s="25">
        <f>IF($A970="","",IF($C970&lt;&gt;"manual_titration_mL","",IFERROR(INDEX('3_可滴定酸度'!$F$6:$F$13,MATCH($I970,'3_可滴定酸度'!$B$6:$B$13,0)),"")))</f>
        <v/>
      </c>
      <c r="N970" s="24">
        <f>IF($A970="","",IF(OR(K970="",L970="",M970=""),"",K970*E970*L970/(M970*1000)*100))</f>
        <v/>
      </c>
      <c r="O970" s="24">
        <f>IF($A970="","",IF(N970="","",IF(COUNTIFS('1_原始數據'!$A$2:$A$1000,$A970,'1_原始數據'!$B$2:$B$1000,$B970,'1_原始數據'!$D$2:$D$1000,$D970,'1_原始數據'!$I$2:$I$1000,$I970,'1_原始數據'!$C$2:$C$1000,"pasco_pct_acid")=0,"",SUMIFS('1_原始數據'!$E$2:$E$1000,'1_原始數據'!$A$2:$A$1000,$A970,'1_原始數據'!$B$2:$B$1000,$B970,'1_原始數據'!$D$2:$D$1000,$D970,'1_原始數據'!$I$2:$I$1000,$I970,'1_原始數據'!$C$2:$C$1000,"pasco_pct_acid"))))</f>
        <v/>
      </c>
      <c r="P970" s="26">
        <f>IF($A970="","",IF(OR(N970="",O970=""),"",O970-N970))</f>
        <v/>
      </c>
      <c r="Q970" s="24">
        <f>IF($A970="","",IF(P970="","",(O970+N970)/2))</f>
        <v/>
      </c>
      <c r="R970" s="27">
        <f>IF($A970="","",IF(P970="","",COUNT($P$2:P970)))</f>
        <v/>
      </c>
    </row>
    <row r="971">
      <c r="J971" s="24">
        <f>IF($A971="","",IF($C971&lt;&gt;"khp_titration_mL","",IF(COUNTIFS('1_原始數據'!$A$2:$A$1000,$A971,'1_原始數據'!$B$2:$B$1000,$B971,'1_原始數據'!$D$2:$D$1000,$D971,'1_原始數據'!$C$2:$C$1000,"khp_mass_g")=0,"",SUMIFS('1_原始數據'!$E$2:$E$1000,'1_原始數據'!$A$2:$A$1000,$A971,'1_原始數據'!$B$2:$B$1000,$B971,'1_原始數據'!$D$2:$D$1000,$D971,'1_原始數據'!$C$2:$C$1000,"khp_mass_g")/('2_NaOH標定'!$C$5*$E971/1000))))</f>
        <v/>
      </c>
      <c r="K971" s="24">
        <f>IF($A971="","",IF($C971&lt;&gt;"manual_titration_mL","",IF(COUNTIFS('1_原始數據'!$A$2:$A$1000,$A971,'1_原始數據'!$C$2:$C$1000,"khp_titration_mL")=0,"",AVERAGEIFS('1_原始數據'!$J$2:$J$1000,'1_原始數據'!$A$2:$A$1000,$A971,'1_原始數據'!$C$2:$C$1000,"khp_titration_mL"))))</f>
        <v/>
      </c>
      <c r="L971" s="25">
        <f>IF($A971="","",IF($C971&lt;&gt;"manual_titration_mL","",IFERROR(INDEX('3_可滴定酸度'!$E$6:$E$13,MATCH($I971,'3_可滴定酸度'!$B$6:$B$13,0)),"")))</f>
        <v/>
      </c>
      <c r="M971" s="25">
        <f>IF($A971="","",IF($C971&lt;&gt;"manual_titration_mL","",IFERROR(INDEX('3_可滴定酸度'!$F$6:$F$13,MATCH($I971,'3_可滴定酸度'!$B$6:$B$13,0)),"")))</f>
        <v/>
      </c>
      <c r="N971" s="24">
        <f>IF($A971="","",IF(OR(K971="",L971="",M971=""),"",K971*E971*L971/(M971*1000)*100))</f>
        <v/>
      </c>
      <c r="O971" s="24">
        <f>IF($A971="","",IF(N971="","",IF(COUNTIFS('1_原始數據'!$A$2:$A$1000,$A971,'1_原始數據'!$B$2:$B$1000,$B971,'1_原始數據'!$D$2:$D$1000,$D971,'1_原始數據'!$I$2:$I$1000,$I971,'1_原始數據'!$C$2:$C$1000,"pasco_pct_acid")=0,"",SUMIFS('1_原始數據'!$E$2:$E$1000,'1_原始數據'!$A$2:$A$1000,$A971,'1_原始數據'!$B$2:$B$1000,$B971,'1_原始數據'!$D$2:$D$1000,$D971,'1_原始數據'!$I$2:$I$1000,$I971,'1_原始數據'!$C$2:$C$1000,"pasco_pct_acid"))))</f>
        <v/>
      </c>
      <c r="P971" s="26">
        <f>IF($A971="","",IF(OR(N971="",O971=""),"",O971-N971))</f>
        <v/>
      </c>
      <c r="Q971" s="24">
        <f>IF($A971="","",IF(P971="","",(O971+N971)/2))</f>
        <v/>
      </c>
      <c r="R971" s="27">
        <f>IF($A971="","",IF(P971="","",COUNT($P$2:P971)))</f>
        <v/>
      </c>
    </row>
    <row r="972">
      <c r="J972" s="24">
        <f>IF($A972="","",IF($C972&lt;&gt;"khp_titration_mL","",IF(COUNTIFS('1_原始數據'!$A$2:$A$1000,$A972,'1_原始數據'!$B$2:$B$1000,$B972,'1_原始數據'!$D$2:$D$1000,$D972,'1_原始數據'!$C$2:$C$1000,"khp_mass_g")=0,"",SUMIFS('1_原始數據'!$E$2:$E$1000,'1_原始數據'!$A$2:$A$1000,$A972,'1_原始數據'!$B$2:$B$1000,$B972,'1_原始數據'!$D$2:$D$1000,$D972,'1_原始數據'!$C$2:$C$1000,"khp_mass_g")/('2_NaOH標定'!$C$5*$E972/1000))))</f>
        <v/>
      </c>
      <c r="K972" s="24">
        <f>IF($A972="","",IF($C972&lt;&gt;"manual_titration_mL","",IF(COUNTIFS('1_原始數據'!$A$2:$A$1000,$A972,'1_原始數據'!$C$2:$C$1000,"khp_titration_mL")=0,"",AVERAGEIFS('1_原始數據'!$J$2:$J$1000,'1_原始數據'!$A$2:$A$1000,$A972,'1_原始數據'!$C$2:$C$1000,"khp_titration_mL"))))</f>
        <v/>
      </c>
      <c r="L972" s="25">
        <f>IF($A972="","",IF($C972&lt;&gt;"manual_titration_mL","",IFERROR(INDEX('3_可滴定酸度'!$E$6:$E$13,MATCH($I972,'3_可滴定酸度'!$B$6:$B$13,0)),"")))</f>
        <v/>
      </c>
      <c r="M972" s="25">
        <f>IF($A972="","",IF($C972&lt;&gt;"manual_titration_mL","",IFERROR(INDEX('3_可滴定酸度'!$F$6:$F$13,MATCH($I972,'3_可滴定酸度'!$B$6:$B$13,0)),"")))</f>
        <v/>
      </c>
      <c r="N972" s="24">
        <f>IF($A972="","",IF(OR(K972="",L972="",M972=""),"",K972*E972*L972/(M972*1000)*100))</f>
        <v/>
      </c>
      <c r="O972" s="24">
        <f>IF($A972="","",IF(N972="","",IF(COUNTIFS('1_原始數據'!$A$2:$A$1000,$A972,'1_原始數據'!$B$2:$B$1000,$B972,'1_原始數據'!$D$2:$D$1000,$D972,'1_原始數據'!$I$2:$I$1000,$I972,'1_原始數據'!$C$2:$C$1000,"pasco_pct_acid")=0,"",SUMIFS('1_原始數據'!$E$2:$E$1000,'1_原始數據'!$A$2:$A$1000,$A972,'1_原始數據'!$B$2:$B$1000,$B972,'1_原始數據'!$D$2:$D$1000,$D972,'1_原始數據'!$I$2:$I$1000,$I972,'1_原始數據'!$C$2:$C$1000,"pasco_pct_acid"))))</f>
        <v/>
      </c>
      <c r="P972" s="26">
        <f>IF($A972="","",IF(OR(N972="",O972=""),"",O972-N972))</f>
        <v/>
      </c>
      <c r="Q972" s="24">
        <f>IF($A972="","",IF(P972="","",(O972+N972)/2))</f>
        <v/>
      </c>
      <c r="R972" s="27">
        <f>IF($A972="","",IF(P972="","",COUNT($P$2:P972)))</f>
        <v/>
      </c>
    </row>
    <row r="973">
      <c r="J973" s="24">
        <f>IF($A973="","",IF($C973&lt;&gt;"khp_titration_mL","",IF(COUNTIFS('1_原始數據'!$A$2:$A$1000,$A973,'1_原始數據'!$B$2:$B$1000,$B973,'1_原始數據'!$D$2:$D$1000,$D973,'1_原始數據'!$C$2:$C$1000,"khp_mass_g")=0,"",SUMIFS('1_原始數據'!$E$2:$E$1000,'1_原始數據'!$A$2:$A$1000,$A973,'1_原始數據'!$B$2:$B$1000,$B973,'1_原始數據'!$D$2:$D$1000,$D973,'1_原始數據'!$C$2:$C$1000,"khp_mass_g")/('2_NaOH標定'!$C$5*$E973/1000))))</f>
        <v/>
      </c>
      <c r="K973" s="24">
        <f>IF($A973="","",IF($C973&lt;&gt;"manual_titration_mL","",IF(COUNTIFS('1_原始數據'!$A$2:$A$1000,$A973,'1_原始數據'!$C$2:$C$1000,"khp_titration_mL")=0,"",AVERAGEIFS('1_原始數據'!$J$2:$J$1000,'1_原始數據'!$A$2:$A$1000,$A973,'1_原始數據'!$C$2:$C$1000,"khp_titration_mL"))))</f>
        <v/>
      </c>
      <c r="L973" s="25">
        <f>IF($A973="","",IF($C973&lt;&gt;"manual_titration_mL","",IFERROR(INDEX('3_可滴定酸度'!$E$6:$E$13,MATCH($I973,'3_可滴定酸度'!$B$6:$B$13,0)),"")))</f>
        <v/>
      </c>
      <c r="M973" s="25">
        <f>IF($A973="","",IF($C973&lt;&gt;"manual_titration_mL","",IFERROR(INDEX('3_可滴定酸度'!$F$6:$F$13,MATCH($I973,'3_可滴定酸度'!$B$6:$B$13,0)),"")))</f>
        <v/>
      </c>
      <c r="N973" s="24">
        <f>IF($A973="","",IF(OR(K973="",L973="",M973=""),"",K973*E973*L973/(M973*1000)*100))</f>
        <v/>
      </c>
      <c r="O973" s="24">
        <f>IF($A973="","",IF(N973="","",IF(COUNTIFS('1_原始數據'!$A$2:$A$1000,$A973,'1_原始數據'!$B$2:$B$1000,$B973,'1_原始數據'!$D$2:$D$1000,$D973,'1_原始數據'!$I$2:$I$1000,$I973,'1_原始數據'!$C$2:$C$1000,"pasco_pct_acid")=0,"",SUMIFS('1_原始數據'!$E$2:$E$1000,'1_原始數據'!$A$2:$A$1000,$A973,'1_原始數據'!$B$2:$B$1000,$B973,'1_原始數據'!$D$2:$D$1000,$D973,'1_原始數據'!$I$2:$I$1000,$I973,'1_原始數據'!$C$2:$C$1000,"pasco_pct_acid"))))</f>
        <v/>
      </c>
      <c r="P973" s="26">
        <f>IF($A973="","",IF(OR(N973="",O973=""),"",O973-N973))</f>
        <v/>
      </c>
      <c r="Q973" s="24">
        <f>IF($A973="","",IF(P973="","",(O973+N973)/2))</f>
        <v/>
      </c>
      <c r="R973" s="27">
        <f>IF($A973="","",IF(P973="","",COUNT($P$2:P973)))</f>
        <v/>
      </c>
    </row>
    <row r="974">
      <c r="J974" s="24">
        <f>IF($A974="","",IF($C974&lt;&gt;"khp_titration_mL","",IF(COUNTIFS('1_原始數據'!$A$2:$A$1000,$A974,'1_原始數據'!$B$2:$B$1000,$B974,'1_原始數據'!$D$2:$D$1000,$D974,'1_原始數據'!$C$2:$C$1000,"khp_mass_g")=0,"",SUMIFS('1_原始數據'!$E$2:$E$1000,'1_原始數據'!$A$2:$A$1000,$A974,'1_原始數據'!$B$2:$B$1000,$B974,'1_原始數據'!$D$2:$D$1000,$D974,'1_原始數據'!$C$2:$C$1000,"khp_mass_g")/('2_NaOH標定'!$C$5*$E974/1000))))</f>
        <v/>
      </c>
      <c r="K974" s="24">
        <f>IF($A974="","",IF($C974&lt;&gt;"manual_titration_mL","",IF(COUNTIFS('1_原始數據'!$A$2:$A$1000,$A974,'1_原始數據'!$C$2:$C$1000,"khp_titration_mL")=0,"",AVERAGEIFS('1_原始數據'!$J$2:$J$1000,'1_原始數據'!$A$2:$A$1000,$A974,'1_原始數據'!$C$2:$C$1000,"khp_titration_mL"))))</f>
        <v/>
      </c>
      <c r="L974" s="25">
        <f>IF($A974="","",IF($C974&lt;&gt;"manual_titration_mL","",IFERROR(INDEX('3_可滴定酸度'!$E$6:$E$13,MATCH($I974,'3_可滴定酸度'!$B$6:$B$13,0)),"")))</f>
        <v/>
      </c>
      <c r="M974" s="25">
        <f>IF($A974="","",IF($C974&lt;&gt;"manual_titration_mL","",IFERROR(INDEX('3_可滴定酸度'!$F$6:$F$13,MATCH($I974,'3_可滴定酸度'!$B$6:$B$13,0)),"")))</f>
        <v/>
      </c>
      <c r="N974" s="24">
        <f>IF($A974="","",IF(OR(K974="",L974="",M974=""),"",K974*E974*L974/(M974*1000)*100))</f>
        <v/>
      </c>
      <c r="O974" s="24">
        <f>IF($A974="","",IF(N974="","",IF(COUNTIFS('1_原始數據'!$A$2:$A$1000,$A974,'1_原始數據'!$B$2:$B$1000,$B974,'1_原始數據'!$D$2:$D$1000,$D974,'1_原始數據'!$I$2:$I$1000,$I974,'1_原始數據'!$C$2:$C$1000,"pasco_pct_acid")=0,"",SUMIFS('1_原始數據'!$E$2:$E$1000,'1_原始數據'!$A$2:$A$1000,$A974,'1_原始數據'!$B$2:$B$1000,$B974,'1_原始數據'!$D$2:$D$1000,$D974,'1_原始數據'!$I$2:$I$1000,$I974,'1_原始數據'!$C$2:$C$1000,"pasco_pct_acid"))))</f>
        <v/>
      </c>
      <c r="P974" s="26">
        <f>IF($A974="","",IF(OR(N974="",O974=""),"",O974-N974))</f>
        <v/>
      </c>
      <c r="Q974" s="24">
        <f>IF($A974="","",IF(P974="","",(O974+N974)/2))</f>
        <v/>
      </c>
      <c r="R974" s="27">
        <f>IF($A974="","",IF(P974="","",COUNT($P$2:P974)))</f>
        <v/>
      </c>
    </row>
    <row r="975">
      <c r="J975" s="24">
        <f>IF($A975="","",IF($C975&lt;&gt;"khp_titration_mL","",IF(COUNTIFS('1_原始數據'!$A$2:$A$1000,$A975,'1_原始數據'!$B$2:$B$1000,$B975,'1_原始數據'!$D$2:$D$1000,$D975,'1_原始數據'!$C$2:$C$1000,"khp_mass_g")=0,"",SUMIFS('1_原始數據'!$E$2:$E$1000,'1_原始數據'!$A$2:$A$1000,$A975,'1_原始數據'!$B$2:$B$1000,$B975,'1_原始數據'!$D$2:$D$1000,$D975,'1_原始數據'!$C$2:$C$1000,"khp_mass_g")/('2_NaOH標定'!$C$5*$E975/1000))))</f>
        <v/>
      </c>
      <c r="K975" s="24">
        <f>IF($A975="","",IF($C975&lt;&gt;"manual_titration_mL","",IF(COUNTIFS('1_原始數據'!$A$2:$A$1000,$A975,'1_原始數據'!$C$2:$C$1000,"khp_titration_mL")=0,"",AVERAGEIFS('1_原始數據'!$J$2:$J$1000,'1_原始數據'!$A$2:$A$1000,$A975,'1_原始數據'!$C$2:$C$1000,"khp_titration_mL"))))</f>
        <v/>
      </c>
      <c r="L975" s="25">
        <f>IF($A975="","",IF($C975&lt;&gt;"manual_titration_mL","",IFERROR(INDEX('3_可滴定酸度'!$E$6:$E$13,MATCH($I975,'3_可滴定酸度'!$B$6:$B$13,0)),"")))</f>
        <v/>
      </c>
      <c r="M975" s="25">
        <f>IF($A975="","",IF($C975&lt;&gt;"manual_titration_mL","",IFERROR(INDEX('3_可滴定酸度'!$F$6:$F$13,MATCH($I975,'3_可滴定酸度'!$B$6:$B$13,0)),"")))</f>
        <v/>
      </c>
      <c r="N975" s="24">
        <f>IF($A975="","",IF(OR(K975="",L975="",M975=""),"",K975*E975*L975/(M975*1000)*100))</f>
        <v/>
      </c>
      <c r="O975" s="24">
        <f>IF($A975="","",IF(N975="","",IF(COUNTIFS('1_原始數據'!$A$2:$A$1000,$A975,'1_原始數據'!$B$2:$B$1000,$B975,'1_原始數據'!$D$2:$D$1000,$D975,'1_原始數據'!$I$2:$I$1000,$I975,'1_原始數據'!$C$2:$C$1000,"pasco_pct_acid")=0,"",SUMIFS('1_原始數據'!$E$2:$E$1000,'1_原始數據'!$A$2:$A$1000,$A975,'1_原始數據'!$B$2:$B$1000,$B975,'1_原始數據'!$D$2:$D$1000,$D975,'1_原始數據'!$I$2:$I$1000,$I975,'1_原始數據'!$C$2:$C$1000,"pasco_pct_acid"))))</f>
        <v/>
      </c>
      <c r="P975" s="26">
        <f>IF($A975="","",IF(OR(N975="",O975=""),"",O975-N975))</f>
        <v/>
      </c>
      <c r="Q975" s="24">
        <f>IF($A975="","",IF(P975="","",(O975+N975)/2))</f>
        <v/>
      </c>
      <c r="R975" s="27">
        <f>IF($A975="","",IF(P975="","",COUNT($P$2:P975)))</f>
        <v/>
      </c>
    </row>
    <row r="976">
      <c r="J976" s="24">
        <f>IF($A976="","",IF($C976&lt;&gt;"khp_titration_mL","",IF(COUNTIFS('1_原始數據'!$A$2:$A$1000,$A976,'1_原始數據'!$B$2:$B$1000,$B976,'1_原始數據'!$D$2:$D$1000,$D976,'1_原始數據'!$C$2:$C$1000,"khp_mass_g")=0,"",SUMIFS('1_原始數據'!$E$2:$E$1000,'1_原始數據'!$A$2:$A$1000,$A976,'1_原始數據'!$B$2:$B$1000,$B976,'1_原始數據'!$D$2:$D$1000,$D976,'1_原始數據'!$C$2:$C$1000,"khp_mass_g")/('2_NaOH標定'!$C$5*$E976/1000))))</f>
        <v/>
      </c>
      <c r="K976" s="24">
        <f>IF($A976="","",IF($C976&lt;&gt;"manual_titration_mL","",IF(COUNTIFS('1_原始數據'!$A$2:$A$1000,$A976,'1_原始數據'!$C$2:$C$1000,"khp_titration_mL")=0,"",AVERAGEIFS('1_原始數據'!$J$2:$J$1000,'1_原始數據'!$A$2:$A$1000,$A976,'1_原始數據'!$C$2:$C$1000,"khp_titration_mL"))))</f>
        <v/>
      </c>
      <c r="L976" s="25">
        <f>IF($A976="","",IF($C976&lt;&gt;"manual_titration_mL","",IFERROR(INDEX('3_可滴定酸度'!$E$6:$E$13,MATCH($I976,'3_可滴定酸度'!$B$6:$B$13,0)),"")))</f>
        <v/>
      </c>
      <c r="M976" s="25">
        <f>IF($A976="","",IF($C976&lt;&gt;"manual_titration_mL","",IFERROR(INDEX('3_可滴定酸度'!$F$6:$F$13,MATCH($I976,'3_可滴定酸度'!$B$6:$B$13,0)),"")))</f>
        <v/>
      </c>
      <c r="N976" s="24">
        <f>IF($A976="","",IF(OR(K976="",L976="",M976=""),"",K976*E976*L976/(M976*1000)*100))</f>
        <v/>
      </c>
      <c r="O976" s="24">
        <f>IF($A976="","",IF(N976="","",IF(COUNTIFS('1_原始數據'!$A$2:$A$1000,$A976,'1_原始數據'!$B$2:$B$1000,$B976,'1_原始數據'!$D$2:$D$1000,$D976,'1_原始數據'!$I$2:$I$1000,$I976,'1_原始數據'!$C$2:$C$1000,"pasco_pct_acid")=0,"",SUMIFS('1_原始數據'!$E$2:$E$1000,'1_原始數據'!$A$2:$A$1000,$A976,'1_原始數據'!$B$2:$B$1000,$B976,'1_原始數據'!$D$2:$D$1000,$D976,'1_原始數據'!$I$2:$I$1000,$I976,'1_原始數據'!$C$2:$C$1000,"pasco_pct_acid"))))</f>
        <v/>
      </c>
      <c r="P976" s="26">
        <f>IF($A976="","",IF(OR(N976="",O976=""),"",O976-N976))</f>
        <v/>
      </c>
      <c r="Q976" s="24">
        <f>IF($A976="","",IF(P976="","",(O976+N976)/2))</f>
        <v/>
      </c>
      <c r="R976" s="27">
        <f>IF($A976="","",IF(P976="","",COUNT($P$2:P976)))</f>
        <v/>
      </c>
    </row>
    <row r="977">
      <c r="J977" s="24">
        <f>IF($A977="","",IF($C977&lt;&gt;"khp_titration_mL","",IF(COUNTIFS('1_原始數據'!$A$2:$A$1000,$A977,'1_原始數據'!$B$2:$B$1000,$B977,'1_原始數據'!$D$2:$D$1000,$D977,'1_原始數據'!$C$2:$C$1000,"khp_mass_g")=0,"",SUMIFS('1_原始數據'!$E$2:$E$1000,'1_原始數據'!$A$2:$A$1000,$A977,'1_原始數據'!$B$2:$B$1000,$B977,'1_原始數據'!$D$2:$D$1000,$D977,'1_原始數據'!$C$2:$C$1000,"khp_mass_g")/('2_NaOH標定'!$C$5*$E977/1000))))</f>
        <v/>
      </c>
      <c r="K977" s="24">
        <f>IF($A977="","",IF($C977&lt;&gt;"manual_titration_mL","",IF(COUNTIFS('1_原始數據'!$A$2:$A$1000,$A977,'1_原始數據'!$C$2:$C$1000,"khp_titration_mL")=0,"",AVERAGEIFS('1_原始數據'!$J$2:$J$1000,'1_原始數據'!$A$2:$A$1000,$A977,'1_原始數據'!$C$2:$C$1000,"khp_titration_mL"))))</f>
        <v/>
      </c>
      <c r="L977" s="25">
        <f>IF($A977="","",IF($C977&lt;&gt;"manual_titration_mL","",IFERROR(INDEX('3_可滴定酸度'!$E$6:$E$13,MATCH($I977,'3_可滴定酸度'!$B$6:$B$13,0)),"")))</f>
        <v/>
      </c>
      <c r="M977" s="25">
        <f>IF($A977="","",IF($C977&lt;&gt;"manual_titration_mL","",IFERROR(INDEX('3_可滴定酸度'!$F$6:$F$13,MATCH($I977,'3_可滴定酸度'!$B$6:$B$13,0)),"")))</f>
        <v/>
      </c>
      <c r="N977" s="24">
        <f>IF($A977="","",IF(OR(K977="",L977="",M977=""),"",K977*E977*L977/(M977*1000)*100))</f>
        <v/>
      </c>
      <c r="O977" s="24">
        <f>IF($A977="","",IF(N977="","",IF(COUNTIFS('1_原始數據'!$A$2:$A$1000,$A977,'1_原始數據'!$B$2:$B$1000,$B977,'1_原始數據'!$D$2:$D$1000,$D977,'1_原始數據'!$I$2:$I$1000,$I977,'1_原始數據'!$C$2:$C$1000,"pasco_pct_acid")=0,"",SUMIFS('1_原始數據'!$E$2:$E$1000,'1_原始數據'!$A$2:$A$1000,$A977,'1_原始數據'!$B$2:$B$1000,$B977,'1_原始數據'!$D$2:$D$1000,$D977,'1_原始數據'!$I$2:$I$1000,$I977,'1_原始數據'!$C$2:$C$1000,"pasco_pct_acid"))))</f>
        <v/>
      </c>
      <c r="P977" s="26">
        <f>IF($A977="","",IF(OR(N977="",O977=""),"",O977-N977))</f>
        <v/>
      </c>
      <c r="Q977" s="24">
        <f>IF($A977="","",IF(P977="","",(O977+N977)/2))</f>
        <v/>
      </c>
      <c r="R977" s="27">
        <f>IF($A977="","",IF(P977="","",COUNT($P$2:P977)))</f>
        <v/>
      </c>
    </row>
    <row r="978">
      <c r="J978" s="24">
        <f>IF($A978="","",IF($C978&lt;&gt;"khp_titration_mL","",IF(COUNTIFS('1_原始數據'!$A$2:$A$1000,$A978,'1_原始數據'!$B$2:$B$1000,$B978,'1_原始數據'!$D$2:$D$1000,$D978,'1_原始數據'!$C$2:$C$1000,"khp_mass_g")=0,"",SUMIFS('1_原始數據'!$E$2:$E$1000,'1_原始數據'!$A$2:$A$1000,$A978,'1_原始數據'!$B$2:$B$1000,$B978,'1_原始數據'!$D$2:$D$1000,$D978,'1_原始數據'!$C$2:$C$1000,"khp_mass_g")/('2_NaOH標定'!$C$5*$E978/1000))))</f>
        <v/>
      </c>
      <c r="K978" s="24">
        <f>IF($A978="","",IF($C978&lt;&gt;"manual_titration_mL","",IF(COUNTIFS('1_原始數據'!$A$2:$A$1000,$A978,'1_原始數據'!$C$2:$C$1000,"khp_titration_mL")=0,"",AVERAGEIFS('1_原始數據'!$J$2:$J$1000,'1_原始數據'!$A$2:$A$1000,$A978,'1_原始數據'!$C$2:$C$1000,"khp_titration_mL"))))</f>
        <v/>
      </c>
      <c r="L978" s="25">
        <f>IF($A978="","",IF($C978&lt;&gt;"manual_titration_mL","",IFERROR(INDEX('3_可滴定酸度'!$E$6:$E$13,MATCH($I978,'3_可滴定酸度'!$B$6:$B$13,0)),"")))</f>
        <v/>
      </c>
      <c r="M978" s="25">
        <f>IF($A978="","",IF($C978&lt;&gt;"manual_titration_mL","",IFERROR(INDEX('3_可滴定酸度'!$F$6:$F$13,MATCH($I978,'3_可滴定酸度'!$B$6:$B$13,0)),"")))</f>
        <v/>
      </c>
      <c r="N978" s="24">
        <f>IF($A978="","",IF(OR(K978="",L978="",M978=""),"",K978*E978*L978/(M978*1000)*100))</f>
        <v/>
      </c>
      <c r="O978" s="24">
        <f>IF($A978="","",IF(N978="","",IF(COUNTIFS('1_原始數據'!$A$2:$A$1000,$A978,'1_原始數據'!$B$2:$B$1000,$B978,'1_原始數據'!$D$2:$D$1000,$D978,'1_原始數據'!$I$2:$I$1000,$I978,'1_原始數據'!$C$2:$C$1000,"pasco_pct_acid")=0,"",SUMIFS('1_原始數據'!$E$2:$E$1000,'1_原始數據'!$A$2:$A$1000,$A978,'1_原始數據'!$B$2:$B$1000,$B978,'1_原始數據'!$D$2:$D$1000,$D978,'1_原始數據'!$I$2:$I$1000,$I978,'1_原始數據'!$C$2:$C$1000,"pasco_pct_acid"))))</f>
        <v/>
      </c>
      <c r="P978" s="26">
        <f>IF($A978="","",IF(OR(N978="",O978=""),"",O978-N978))</f>
        <v/>
      </c>
      <c r="Q978" s="24">
        <f>IF($A978="","",IF(P978="","",(O978+N978)/2))</f>
        <v/>
      </c>
      <c r="R978" s="27">
        <f>IF($A978="","",IF(P978="","",COUNT($P$2:P978)))</f>
        <v/>
      </c>
    </row>
    <row r="979">
      <c r="J979" s="24">
        <f>IF($A979="","",IF($C979&lt;&gt;"khp_titration_mL","",IF(COUNTIFS('1_原始數據'!$A$2:$A$1000,$A979,'1_原始數據'!$B$2:$B$1000,$B979,'1_原始數據'!$D$2:$D$1000,$D979,'1_原始數據'!$C$2:$C$1000,"khp_mass_g")=0,"",SUMIFS('1_原始數據'!$E$2:$E$1000,'1_原始數據'!$A$2:$A$1000,$A979,'1_原始數據'!$B$2:$B$1000,$B979,'1_原始數據'!$D$2:$D$1000,$D979,'1_原始數據'!$C$2:$C$1000,"khp_mass_g")/('2_NaOH標定'!$C$5*$E979/1000))))</f>
        <v/>
      </c>
      <c r="K979" s="24">
        <f>IF($A979="","",IF($C979&lt;&gt;"manual_titration_mL","",IF(COUNTIFS('1_原始數據'!$A$2:$A$1000,$A979,'1_原始數據'!$C$2:$C$1000,"khp_titration_mL")=0,"",AVERAGEIFS('1_原始數據'!$J$2:$J$1000,'1_原始數據'!$A$2:$A$1000,$A979,'1_原始數據'!$C$2:$C$1000,"khp_titration_mL"))))</f>
        <v/>
      </c>
      <c r="L979" s="25">
        <f>IF($A979="","",IF($C979&lt;&gt;"manual_titration_mL","",IFERROR(INDEX('3_可滴定酸度'!$E$6:$E$13,MATCH($I979,'3_可滴定酸度'!$B$6:$B$13,0)),"")))</f>
        <v/>
      </c>
      <c r="M979" s="25">
        <f>IF($A979="","",IF($C979&lt;&gt;"manual_titration_mL","",IFERROR(INDEX('3_可滴定酸度'!$F$6:$F$13,MATCH($I979,'3_可滴定酸度'!$B$6:$B$13,0)),"")))</f>
        <v/>
      </c>
      <c r="N979" s="24">
        <f>IF($A979="","",IF(OR(K979="",L979="",M979=""),"",K979*E979*L979/(M979*1000)*100))</f>
        <v/>
      </c>
      <c r="O979" s="24">
        <f>IF($A979="","",IF(N979="","",IF(COUNTIFS('1_原始數據'!$A$2:$A$1000,$A979,'1_原始數據'!$B$2:$B$1000,$B979,'1_原始數據'!$D$2:$D$1000,$D979,'1_原始數據'!$I$2:$I$1000,$I979,'1_原始數據'!$C$2:$C$1000,"pasco_pct_acid")=0,"",SUMIFS('1_原始數據'!$E$2:$E$1000,'1_原始數據'!$A$2:$A$1000,$A979,'1_原始數據'!$B$2:$B$1000,$B979,'1_原始數據'!$D$2:$D$1000,$D979,'1_原始數據'!$I$2:$I$1000,$I979,'1_原始數據'!$C$2:$C$1000,"pasco_pct_acid"))))</f>
        <v/>
      </c>
      <c r="P979" s="26">
        <f>IF($A979="","",IF(OR(N979="",O979=""),"",O979-N979))</f>
        <v/>
      </c>
      <c r="Q979" s="24">
        <f>IF($A979="","",IF(P979="","",(O979+N979)/2))</f>
        <v/>
      </c>
      <c r="R979" s="27">
        <f>IF($A979="","",IF(P979="","",COUNT($P$2:P979)))</f>
        <v/>
      </c>
    </row>
    <row r="980">
      <c r="J980" s="24">
        <f>IF($A980="","",IF($C980&lt;&gt;"khp_titration_mL","",IF(COUNTIFS('1_原始數據'!$A$2:$A$1000,$A980,'1_原始數據'!$B$2:$B$1000,$B980,'1_原始數據'!$D$2:$D$1000,$D980,'1_原始數據'!$C$2:$C$1000,"khp_mass_g")=0,"",SUMIFS('1_原始數據'!$E$2:$E$1000,'1_原始數據'!$A$2:$A$1000,$A980,'1_原始數據'!$B$2:$B$1000,$B980,'1_原始數據'!$D$2:$D$1000,$D980,'1_原始數據'!$C$2:$C$1000,"khp_mass_g")/('2_NaOH標定'!$C$5*$E980/1000))))</f>
        <v/>
      </c>
      <c r="K980" s="24">
        <f>IF($A980="","",IF($C980&lt;&gt;"manual_titration_mL","",IF(COUNTIFS('1_原始數據'!$A$2:$A$1000,$A980,'1_原始數據'!$C$2:$C$1000,"khp_titration_mL")=0,"",AVERAGEIFS('1_原始數據'!$J$2:$J$1000,'1_原始數據'!$A$2:$A$1000,$A980,'1_原始數據'!$C$2:$C$1000,"khp_titration_mL"))))</f>
        <v/>
      </c>
      <c r="L980" s="25">
        <f>IF($A980="","",IF($C980&lt;&gt;"manual_titration_mL","",IFERROR(INDEX('3_可滴定酸度'!$E$6:$E$13,MATCH($I980,'3_可滴定酸度'!$B$6:$B$13,0)),"")))</f>
        <v/>
      </c>
      <c r="M980" s="25">
        <f>IF($A980="","",IF($C980&lt;&gt;"manual_titration_mL","",IFERROR(INDEX('3_可滴定酸度'!$F$6:$F$13,MATCH($I980,'3_可滴定酸度'!$B$6:$B$13,0)),"")))</f>
        <v/>
      </c>
      <c r="N980" s="24">
        <f>IF($A980="","",IF(OR(K980="",L980="",M980=""),"",K980*E980*L980/(M980*1000)*100))</f>
        <v/>
      </c>
      <c r="O980" s="24">
        <f>IF($A980="","",IF(N980="","",IF(COUNTIFS('1_原始數據'!$A$2:$A$1000,$A980,'1_原始數據'!$B$2:$B$1000,$B980,'1_原始數據'!$D$2:$D$1000,$D980,'1_原始數據'!$I$2:$I$1000,$I980,'1_原始數據'!$C$2:$C$1000,"pasco_pct_acid")=0,"",SUMIFS('1_原始數據'!$E$2:$E$1000,'1_原始數據'!$A$2:$A$1000,$A980,'1_原始數據'!$B$2:$B$1000,$B980,'1_原始數據'!$D$2:$D$1000,$D980,'1_原始數據'!$I$2:$I$1000,$I980,'1_原始數據'!$C$2:$C$1000,"pasco_pct_acid"))))</f>
        <v/>
      </c>
      <c r="P980" s="26">
        <f>IF($A980="","",IF(OR(N980="",O980=""),"",O980-N980))</f>
        <v/>
      </c>
      <c r="Q980" s="24">
        <f>IF($A980="","",IF(P980="","",(O980+N980)/2))</f>
        <v/>
      </c>
      <c r="R980" s="27">
        <f>IF($A980="","",IF(P980="","",COUNT($P$2:P980)))</f>
        <v/>
      </c>
    </row>
    <row r="981">
      <c r="J981" s="24">
        <f>IF($A981="","",IF($C981&lt;&gt;"khp_titration_mL","",IF(COUNTIFS('1_原始數據'!$A$2:$A$1000,$A981,'1_原始數據'!$B$2:$B$1000,$B981,'1_原始數據'!$D$2:$D$1000,$D981,'1_原始數據'!$C$2:$C$1000,"khp_mass_g")=0,"",SUMIFS('1_原始數據'!$E$2:$E$1000,'1_原始數據'!$A$2:$A$1000,$A981,'1_原始數據'!$B$2:$B$1000,$B981,'1_原始數據'!$D$2:$D$1000,$D981,'1_原始數據'!$C$2:$C$1000,"khp_mass_g")/('2_NaOH標定'!$C$5*$E981/1000))))</f>
        <v/>
      </c>
      <c r="K981" s="24">
        <f>IF($A981="","",IF($C981&lt;&gt;"manual_titration_mL","",IF(COUNTIFS('1_原始數據'!$A$2:$A$1000,$A981,'1_原始數據'!$C$2:$C$1000,"khp_titration_mL")=0,"",AVERAGEIFS('1_原始數據'!$J$2:$J$1000,'1_原始數據'!$A$2:$A$1000,$A981,'1_原始數據'!$C$2:$C$1000,"khp_titration_mL"))))</f>
        <v/>
      </c>
      <c r="L981" s="25">
        <f>IF($A981="","",IF($C981&lt;&gt;"manual_titration_mL","",IFERROR(INDEX('3_可滴定酸度'!$E$6:$E$13,MATCH($I981,'3_可滴定酸度'!$B$6:$B$13,0)),"")))</f>
        <v/>
      </c>
      <c r="M981" s="25">
        <f>IF($A981="","",IF($C981&lt;&gt;"manual_titration_mL","",IFERROR(INDEX('3_可滴定酸度'!$F$6:$F$13,MATCH($I981,'3_可滴定酸度'!$B$6:$B$13,0)),"")))</f>
        <v/>
      </c>
      <c r="N981" s="24">
        <f>IF($A981="","",IF(OR(K981="",L981="",M981=""),"",K981*E981*L981/(M981*1000)*100))</f>
        <v/>
      </c>
      <c r="O981" s="24">
        <f>IF($A981="","",IF(N981="","",IF(COUNTIFS('1_原始數據'!$A$2:$A$1000,$A981,'1_原始數據'!$B$2:$B$1000,$B981,'1_原始數據'!$D$2:$D$1000,$D981,'1_原始數據'!$I$2:$I$1000,$I981,'1_原始數據'!$C$2:$C$1000,"pasco_pct_acid")=0,"",SUMIFS('1_原始數據'!$E$2:$E$1000,'1_原始數據'!$A$2:$A$1000,$A981,'1_原始數據'!$B$2:$B$1000,$B981,'1_原始數據'!$D$2:$D$1000,$D981,'1_原始數據'!$I$2:$I$1000,$I981,'1_原始數據'!$C$2:$C$1000,"pasco_pct_acid"))))</f>
        <v/>
      </c>
      <c r="P981" s="26">
        <f>IF($A981="","",IF(OR(N981="",O981=""),"",O981-N981))</f>
        <v/>
      </c>
      <c r="Q981" s="24">
        <f>IF($A981="","",IF(P981="","",(O981+N981)/2))</f>
        <v/>
      </c>
      <c r="R981" s="27">
        <f>IF($A981="","",IF(P981="","",COUNT($P$2:P981)))</f>
        <v/>
      </c>
    </row>
    <row r="982">
      <c r="J982" s="24">
        <f>IF($A982="","",IF($C982&lt;&gt;"khp_titration_mL","",IF(COUNTIFS('1_原始數據'!$A$2:$A$1000,$A982,'1_原始數據'!$B$2:$B$1000,$B982,'1_原始數據'!$D$2:$D$1000,$D982,'1_原始數據'!$C$2:$C$1000,"khp_mass_g")=0,"",SUMIFS('1_原始數據'!$E$2:$E$1000,'1_原始數據'!$A$2:$A$1000,$A982,'1_原始數據'!$B$2:$B$1000,$B982,'1_原始數據'!$D$2:$D$1000,$D982,'1_原始數據'!$C$2:$C$1000,"khp_mass_g")/('2_NaOH標定'!$C$5*$E982/1000))))</f>
        <v/>
      </c>
      <c r="K982" s="24">
        <f>IF($A982="","",IF($C982&lt;&gt;"manual_titration_mL","",IF(COUNTIFS('1_原始數據'!$A$2:$A$1000,$A982,'1_原始數據'!$C$2:$C$1000,"khp_titration_mL")=0,"",AVERAGEIFS('1_原始數據'!$J$2:$J$1000,'1_原始數據'!$A$2:$A$1000,$A982,'1_原始數據'!$C$2:$C$1000,"khp_titration_mL"))))</f>
        <v/>
      </c>
      <c r="L982" s="25">
        <f>IF($A982="","",IF($C982&lt;&gt;"manual_titration_mL","",IFERROR(INDEX('3_可滴定酸度'!$E$6:$E$13,MATCH($I982,'3_可滴定酸度'!$B$6:$B$13,0)),"")))</f>
        <v/>
      </c>
      <c r="M982" s="25">
        <f>IF($A982="","",IF($C982&lt;&gt;"manual_titration_mL","",IFERROR(INDEX('3_可滴定酸度'!$F$6:$F$13,MATCH($I982,'3_可滴定酸度'!$B$6:$B$13,0)),"")))</f>
        <v/>
      </c>
      <c r="N982" s="24">
        <f>IF($A982="","",IF(OR(K982="",L982="",M982=""),"",K982*E982*L982/(M982*1000)*100))</f>
        <v/>
      </c>
      <c r="O982" s="24">
        <f>IF($A982="","",IF(N982="","",IF(COUNTIFS('1_原始數據'!$A$2:$A$1000,$A982,'1_原始數據'!$B$2:$B$1000,$B982,'1_原始數據'!$D$2:$D$1000,$D982,'1_原始數據'!$I$2:$I$1000,$I982,'1_原始數據'!$C$2:$C$1000,"pasco_pct_acid")=0,"",SUMIFS('1_原始數據'!$E$2:$E$1000,'1_原始數據'!$A$2:$A$1000,$A982,'1_原始數據'!$B$2:$B$1000,$B982,'1_原始數據'!$D$2:$D$1000,$D982,'1_原始數據'!$I$2:$I$1000,$I982,'1_原始數據'!$C$2:$C$1000,"pasco_pct_acid"))))</f>
        <v/>
      </c>
      <c r="P982" s="26">
        <f>IF($A982="","",IF(OR(N982="",O982=""),"",O982-N982))</f>
        <v/>
      </c>
      <c r="Q982" s="24">
        <f>IF($A982="","",IF(P982="","",(O982+N982)/2))</f>
        <v/>
      </c>
      <c r="R982" s="27">
        <f>IF($A982="","",IF(P982="","",COUNT($P$2:P982)))</f>
        <v/>
      </c>
    </row>
    <row r="983">
      <c r="J983" s="24">
        <f>IF($A983="","",IF($C983&lt;&gt;"khp_titration_mL","",IF(COUNTIFS('1_原始數據'!$A$2:$A$1000,$A983,'1_原始數據'!$B$2:$B$1000,$B983,'1_原始數據'!$D$2:$D$1000,$D983,'1_原始數據'!$C$2:$C$1000,"khp_mass_g")=0,"",SUMIFS('1_原始數據'!$E$2:$E$1000,'1_原始數據'!$A$2:$A$1000,$A983,'1_原始數據'!$B$2:$B$1000,$B983,'1_原始數據'!$D$2:$D$1000,$D983,'1_原始數據'!$C$2:$C$1000,"khp_mass_g")/('2_NaOH標定'!$C$5*$E983/1000))))</f>
        <v/>
      </c>
      <c r="K983" s="24">
        <f>IF($A983="","",IF($C983&lt;&gt;"manual_titration_mL","",IF(COUNTIFS('1_原始數據'!$A$2:$A$1000,$A983,'1_原始數據'!$C$2:$C$1000,"khp_titration_mL")=0,"",AVERAGEIFS('1_原始數據'!$J$2:$J$1000,'1_原始數據'!$A$2:$A$1000,$A983,'1_原始數據'!$C$2:$C$1000,"khp_titration_mL"))))</f>
        <v/>
      </c>
      <c r="L983" s="25">
        <f>IF($A983="","",IF($C983&lt;&gt;"manual_titration_mL","",IFERROR(INDEX('3_可滴定酸度'!$E$6:$E$13,MATCH($I983,'3_可滴定酸度'!$B$6:$B$13,0)),"")))</f>
        <v/>
      </c>
      <c r="M983" s="25">
        <f>IF($A983="","",IF($C983&lt;&gt;"manual_titration_mL","",IFERROR(INDEX('3_可滴定酸度'!$F$6:$F$13,MATCH($I983,'3_可滴定酸度'!$B$6:$B$13,0)),"")))</f>
        <v/>
      </c>
      <c r="N983" s="24">
        <f>IF($A983="","",IF(OR(K983="",L983="",M983=""),"",K983*E983*L983/(M983*1000)*100))</f>
        <v/>
      </c>
      <c r="O983" s="24">
        <f>IF($A983="","",IF(N983="","",IF(COUNTIFS('1_原始數據'!$A$2:$A$1000,$A983,'1_原始數據'!$B$2:$B$1000,$B983,'1_原始數據'!$D$2:$D$1000,$D983,'1_原始數據'!$I$2:$I$1000,$I983,'1_原始數據'!$C$2:$C$1000,"pasco_pct_acid")=0,"",SUMIFS('1_原始數據'!$E$2:$E$1000,'1_原始數據'!$A$2:$A$1000,$A983,'1_原始數據'!$B$2:$B$1000,$B983,'1_原始數據'!$D$2:$D$1000,$D983,'1_原始數據'!$I$2:$I$1000,$I983,'1_原始數據'!$C$2:$C$1000,"pasco_pct_acid"))))</f>
        <v/>
      </c>
      <c r="P983" s="26">
        <f>IF($A983="","",IF(OR(N983="",O983=""),"",O983-N983))</f>
        <v/>
      </c>
      <c r="Q983" s="24">
        <f>IF($A983="","",IF(P983="","",(O983+N983)/2))</f>
        <v/>
      </c>
      <c r="R983" s="27">
        <f>IF($A983="","",IF(P983="","",COUNT($P$2:P983)))</f>
        <v/>
      </c>
    </row>
    <row r="984">
      <c r="J984" s="24">
        <f>IF($A984="","",IF($C984&lt;&gt;"khp_titration_mL","",IF(COUNTIFS('1_原始數據'!$A$2:$A$1000,$A984,'1_原始數據'!$B$2:$B$1000,$B984,'1_原始數據'!$D$2:$D$1000,$D984,'1_原始數據'!$C$2:$C$1000,"khp_mass_g")=0,"",SUMIFS('1_原始數據'!$E$2:$E$1000,'1_原始數據'!$A$2:$A$1000,$A984,'1_原始數據'!$B$2:$B$1000,$B984,'1_原始數據'!$D$2:$D$1000,$D984,'1_原始數據'!$C$2:$C$1000,"khp_mass_g")/('2_NaOH標定'!$C$5*$E984/1000))))</f>
        <v/>
      </c>
      <c r="K984" s="24">
        <f>IF($A984="","",IF($C984&lt;&gt;"manual_titration_mL","",IF(COUNTIFS('1_原始數據'!$A$2:$A$1000,$A984,'1_原始數據'!$C$2:$C$1000,"khp_titration_mL")=0,"",AVERAGEIFS('1_原始數據'!$J$2:$J$1000,'1_原始數據'!$A$2:$A$1000,$A984,'1_原始數據'!$C$2:$C$1000,"khp_titration_mL"))))</f>
        <v/>
      </c>
      <c r="L984" s="25">
        <f>IF($A984="","",IF($C984&lt;&gt;"manual_titration_mL","",IFERROR(INDEX('3_可滴定酸度'!$E$6:$E$13,MATCH($I984,'3_可滴定酸度'!$B$6:$B$13,0)),"")))</f>
        <v/>
      </c>
      <c r="M984" s="25">
        <f>IF($A984="","",IF($C984&lt;&gt;"manual_titration_mL","",IFERROR(INDEX('3_可滴定酸度'!$F$6:$F$13,MATCH($I984,'3_可滴定酸度'!$B$6:$B$13,0)),"")))</f>
        <v/>
      </c>
      <c r="N984" s="24">
        <f>IF($A984="","",IF(OR(K984="",L984="",M984=""),"",K984*E984*L984/(M984*1000)*100))</f>
        <v/>
      </c>
      <c r="O984" s="24">
        <f>IF($A984="","",IF(N984="","",IF(COUNTIFS('1_原始數據'!$A$2:$A$1000,$A984,'1_原始數據'!$B$2:$B$1000,$B984,'1_原始數據'!$D$2:$D$1000,$D984,'1_原始數據'!$I$2:$I$1000,$I984,'1_原始數據'!$C$2:$C$1000,"pasco_pct_acid")=0,"",SUMIFS('1_原始數據'!$E$2:$E$1000,'1_原始數據'!$A$2:$A$1000,$A984,'1_原始數據'!$B$2:$B$1000,$B984,'1_原始數據'!$D$2:$D$1000,$D984,'1_原始數據'!$I$2:$I$1000,$I984,'1_原始數據'!$C$2:$C$1000,"pasco_pct_acid"))))</f>
        <v/>
      </c>
      <c r="P984" s="26">
        <f>IF($A984="","",IF(OR(N984="",O984=""),"",O984-N984))</f>
        <v/>
      </c>
      <c r="Q984" s="24">
        <f>IF($A984="","",IF(P984="","",(O984+N984)/2))</f>
        <v/>
      </c>
      <c r="R984" s="27">
        <f>IF($A984="","",IF(P984="","",COUNT($P$2:P984)))</f>
        <v/>
      </c>
    </row>
    <row r="985">
      <c r="J985" s="24">
        <f>IF($A985="","",IF($C985&lt;&gt;"khp_titration_mL","",IF(COUNTIFS('1_原始數據'!$A$2:$A$1000,$A985,'1_原始數據'!$B$2:$B$1000,$B985,'1_原始數據'!$D$2:$D$1000,$D985,'1_原始數據'!$C$2:$C$1000,"khp_mass_g")=0,"",SUMIFS('1_原始數據'!$E$2:$E$1000,'1_原始數據'!$A$2:$A$1000,$A985,'1_原始數據'!$B$2:$B$1000,$B985,'1_原始數據'!$D$2:$D$1000,$D985,'1_原始數據'!$C$2:$C$1000,"khp_mass_g")/('2_NaOH標定'!$C$5*$E985/1000))))</f>
        <v/>
      </c>
      <c r="K985" s="24">
        <f>IF($A985="","",IF($C985&lt;&gt;"manual_titration_mL","",IF(COUNTIFS('1_原始數據'!$A$2:$A$1000,$A985,'1_原始數據'!$C$2:$C$1000,"khp_titration_mL")=0,"",AVERAGEIFS('1_原始數據'!$J$2:$J$1000,'1_原始數據'!$A$2:$A$1000,$A985,'1_原始數據'!$C$2:$C$1000,"khp_titration_mL"))))</f>
        <v/>
      </c>
      <c r="L985" s="25">
        <f>IF($A985="","",IF($C985&lt;&gt;"manual_titration_mL","",IFERROR(INDEX('3_可滴定酸度'!$E$6:$E$13,MATCH($I985,'3_可滴定酸度'!$B$6:$B$13,0)),"")))</f>
        <v/>
      </c>
      <c r="M985" s="25">
        <f>IF($A985="","",IF($C985&lt;&gt;"manual_titration_mL","",IFERROR(INDEX('3_可滴定酸度'!$F$6:$F$13,MATCH($I985,'3_可滴定酸度'!$B$6:$B$13,0)),"")))</f>
        <v/>
      </c>
      <c r="N985" s="24">
        <f>IF($A985="","",IF(OR(K985="",L985="",M985=""),"",K985*E985*L985/(M985*1000)*100))</f>
        <v/>
      </c>
      <c r="O985" s="24">
        <f>IF($A985="","",IF(N985="","",IF(COUNTIFS('1_原始數據'!$A$2:$A$1000,$A985,'1_原始數據'!$B$2:$B$1000,$B985,'1_原始數據'!$D$2:$D$1000,$D985,'1_原始數據'!$I$2:$I$1000,$I985,'1_原始數據'!$C$2:$C$1000,"pasco_pct_acid")=0,"",SUMIFS('1_原始數據'!$E$2:$E$1000,'1_原始數據'!$A$2:$A$1000,$A985,'1_原始數據'!$B$2:$B$1000,$B985,'1_原始數據'!$D$2:$D$1000,$D985,'1_原始數據'!$I$2:$I$1000,$I985,'1_原始數據'!$C$2:$C$1000,"pasco_pct_acid"))))</f>
        <v/>
      </c>
      <c r="P985" s="26">
        <f>IF($A985="","",IF(OR(N985="",O985=""),"",O985-N985))</f>
        <v/>
      </c>
      <c r="Q985" s="24">
        <f>IF($A985="","",IF(P985="","",(O985+N985)/2))</f>
        <v/>
      </c>
      <c r="R985" s="27">
        <f>IF($A985="","",IF(P985="","",COUNT($P$2:P985)))</f>
        <v/>
      </c>
    </row>
    <row r="986">
      <c r="J986" s="24">
        <f>IF($A986="","",IF($C986&lt;&gt;"khp_titration_mL","",IF(COUNTIFS('1_原始數據'!$A$2:$A$1000,$A986,'1_原始數據'!$B$2:$B$1000,$B986,'1_原始數據'!$D$2:$D$1000,$D986,'1_原始數據'!$C$2:$C$1000,"khp_mass_g")=0,"",SUMIFS('1_原始數據'!$E$2:$E$1000,'1_原始數據'!$A$2:$A$1000,$A986,'1_原始數據'!$B$2:$B$1000,$B986,'1_原始數據'!$D$2:$D$1000,$D986,'1_原始數據'!$C$2:$C$1000,"khp_mass_g")/('2_NaOH標定'!$C$5*$E986/1000))))</f>
        <v/>
      </c>
      <c r="K986" s="24">
        <f>IF($A986="","",IF($C986&lt;&gt;"manual_titration_mL","",IF(COUNTIFS('1_原始數據'!$A$2:$A$1000,$A986,'1_原始數據'!$C$2:$C$1000,"khp_titration_mL")=0,"",AVERAGEIFS('1_原始數據'!$J$2:$J$1000,'1_原始數據'!$A$2:$A$1000,$A986,'1_原始數據'!$C$2:$C$1000,"khp_titration_mL"))))</f>
        <v/>
      </c>
      <c r="L986" s="25">
        <f>IF($A986="","",IF($C986&lt;&gt;"manual_titration_mL","",IFERROR(INDEX('3_可滴定酸度'!$E$6:$E$13,MATCH($I986,'3_可滴定酸度'!$B$6:$B$13,0)),"")))</f>
        <v/>
      </c>
      <c r="M986" s="25">
        <f>IF($A986="","",IF($C986&lt;&gt;"manual_titration_mL","",IFERROR(INDEX('3_可滴定酸度'!$F$6:$F$13,MATCH($I986,'3_可滴定酸度'!$B$6:$B$13,0)),"")))</f>
        <v/>
      </c>
      <c r="N986" s="24">
        <f>IF($A986="","",IF(OR(K986="",L986="",M986=""),"",K986*E986*L986/(M986*1000)*100))</f>
        <v/>
      </c>
      <c r="O986" s="24">
        <f>IF($A986="","",IF(N986="","",IF(COUNTIFS('1_原始數據'!$A$2:$A$1000,$A986,'1_原始數據'!$B$2:$B$1000,$B986,'1_原始數據'!$D$2:$D$1000,$D986,'1_原始數據'!$I$2:$I$1000,$I986,'1_原始數據'!$C$2:$C$1000,"pasco_pct_acid")=0,"",SUMIFS('1_原始數據'!$E$2:$E$1000,'1_原始數據'!$A$2:$A$1000,$A986,'1_原始數據'!$B$2:$B$1000,$B986,'1_原始數據'!$D$2:$D$1000,$D986,'1_原始數據'!$I$2:$I$1000,$I986,'1_原始數據'!$C$2:$C$1000,"pasco_pct_acid"))))</f>
        <v/>
      </c>
      <c r="P986" s="26">
        <f>IF($A986="","",IF(OR(N986="",O986=""),"",O986-N986))</f>
        <v/>
      </c>
      <c r="Q986" s="24">
        <f>IF($A986="","",IF(P986="","",(O986+N986)/2))</f>
        <v/>
      </c>
      <c r="R986" s="27">
        <f>IF($A986="","",IF(P986="","",COUNT($P$2:P986)))</f>
        <v/>
      </c>
    </row>
    <row r="987">
      <c r="J987" s="24">
        <f>IF($A987="","",IF($C987&lt;&gt;"khp_titration_mL","",IF(COUNTIFS('1_原始數據'!$A$2:$A$1000,$A987,'1_原始數據'!$B$2:$B$1000,$B987,'1_原始數據'!$D$2:$D$1000,$D987,'1_原始數據'!$C$2:$C$1000,"khp_mass_g")=0,"",SUMIFS('1_原始數據'!$E$2:$E$1000,'1_原始數據'!$A$2:$A$1000,$A987,'1_原始數據'!$B$2:$B$1000,$B987,'1_原始數據'!$D$2:$D$1000,$D987,'1_原始數據'!$C$2:$C$1000,"khp_mass_g")/('2_NaOH標定'!$C$5*$E987/1000))))</f>
        <v/>
      </c>
      <c r="K987" s="24">
        <f>IF($A987="","",IF($C987&lt;&gt;"manual_titration_mL","",IF(COUNTIFS('1_原始數據'!$A$2:$A$1000,$A987,'1_原始數據'!$C$2:$C$1000,"khp_titration_mL")=0,"",AVERAGEIFS('1_原始數據'!$J$2:$J$1000,'1_原始數據'!$A$2:$A$1000,$A987,'1_原始數據'!$C$2:$C$1000,"khp_titration_mL"))))</f>
        <v/>
      </c>
      <c r="L987" s="25">
        <f>IF($A987="","",IF($C987&lt;&gt;"manual_titration_mL","",IFERROR(INDEX('3_可滴定酸度'!$E$6:$E$13,MATCH($I987,'3_可滴定酸度'!$B$6:$B$13,0)),"")))</f>
        <v/>
      </c>
      <c r="M987" s="25">
        <f>IF($A987="","",IF($C987&lt;&gt;"manual_titration_mL","",IFERROR(INDEX('3_可滴定酸度'!$F$6:$F$13,MATCH($I987,'3_可滴定酸度'!$B$6:$B$13,0)),"")))</f>
        <v/>
      </c>
      <c r="N987" s="24">
        <f>IF($A987="","",IF(OR(K987="",L987="",M987=""),"",K987*E987*L987/(M987*1000)*100))</f>
        <v/>
      </c>
      <c r="O987" s="24">
        <f>IF($A987="","",IF(N987="","",IF(COUNTIFS('1_原始數據'!$A$2:$A$1000,$A987,'1_原始數據'!$B$2:$B$1000,$B987,'1_原始數據'!$D$2:$D$1000,$D987,'1_原始數據'!$I$2:$I$1000,$I987,'1_原始數據'!$C$2:$C$1000,"pasco_pct_acid")=0,"",SUMIFS('1_原始數據'!$E$2:$E$1000,'1_原始數據'!$A$2:$A$1000,$A987,'1_原始數據'!$B$2:$B$1000,$B987,'1_原始數據'!$D$2:$D$1000,$D987,'1_原始數據'!$I$2:$I$1000,$I987,'1_原始數據'!$C$2:$C$1000,"pasco_pct_acid"))))</f>
        <v/>
      </c>
      <c r="P987" s="26">
        <f>IF($A987="","",IF(OR(N987="",O987=""),"",O987-N987))</f>
        <v/>
      </c>
      <c r="Q987" s="24">
        <f>IF($A987="","",IF(P987="","",(O987+N987)/2))</f>
        <v/>
      </c>
      <c r="R987" s="27">
        <f>IF($A987="","",IF(P987="","",COUNT($P$2:P987)))</f>
        <v/>
      </c>
    </row>
    <row r="988">
      <c r="J988" s="24">
        <f>IF($A988="","",IF($C988&lt;&gt;"khp_titration_mL","",IF(COUNTIFS('1_原始數據'!$A$2:$A$1000,$A988,'1_原始數據'!$B$2:$B$1000,$B988,'1_原始數據'!$D$2:$D$1000,$D988,'1_原始數據'!$C$2:$C$1000,"khp_mass_g")=0,"",SUMIFS('1_原始數據'!$E$2:$E$1000,'1_原始數據'!$A$2:$A$1000,$A988,'1_原始數據'!$B$2:$B$1000,$B988,'1_原始數據'!$D$2:$D$1000,$D988,'1_原始數據'!$C$2:$C$1000,"khp_mass_g")/('2_NaOH標定'!$C$5*$E988/1000))))</f>
        <v/>
      </c>
      <c r="K988" s="24">
        <f>IF($A988="","",IF($C988&lt;&gt;"manual_titration_mL","",IF(COUNTIFS('1_原始數據'!$A$2:$A$1000,$A988,'1_原始數據'!$C$2:$C$1000,"khp_titration_mL")=0,"",AVERAGEIFS('1_原始數據'!$J$2:$J$1000,'1_原始數據'!$A$2:$A$1000,$A988,'1_原始數據'!$C$2:$C$1000,"khp_titration_mL"))))</f>
        <v/>
      </c>
      <c r="L988" s="25">
        <f>IF($A988="","",IF($C988&lt;&gt;"manual_titration_mL","",IFERROR(INDEX('3_可滴定酸度'!$E$6:$E$13,MATCH($I988,'3_可滴定酸度'!$B$6:$B$13,0)),"")))</f>
        <v/>
      </c>
      <c r="M988" s="25">
        <f>IF($A988="","",IF($C988&lt;&gt;"manual_titration_mL","",IFERROR(INDEX('3_可滴定酸度'!$F$6:$F$13,MATCH($I988,'3_可滴定酸度'!$B$6:$B$13,0)),"")))</f>
        <v/>
      </c>
      <c r="N988" s="24">
        <f>IF($A988="","",IF(OR(K988="",L988="",M988=""),"",K988*E988*L988/(M988*1000)*100))</f>
        <v/>
      </c>
      <c r="O988" s="24">
        <f>IF($A988="","",IF(N988="","",IF(COUNTIFS('1_原始數據'!$A$2:$A$1000,$A988,'1_原始數據'!$B$2:$B$1000,$B988,'1_原始數據'!$D$2:$D$1000,$D988,'1_原始數據'!$I$2:$I$1000,$I988,'1_原始數據'!$C$2:$C$1000,"pasco_pct_acid")=0,"",SUMIFS('1_原始數據'!$E$2:$E$1000,'1_原始數據'!$A$2:$A$1000,$A988,'1_原始數據'!$B$2:$B$1000,$B988,'1_原始數據'!$D$2:$D$1000,$D988,'1_原始數據'!$I$2:$I$1000,$I988,'1_原始數據'!$C$2:$C$1000,"pasco_pct_acid"))))</f>
        <v/>
      </c>
      <c r="P988" s="26">
        <f>IF($A988="","",IF(OR(N988="",O988=""),"",O988-N988))</f>
        <v/>
      </c>
      <c r="Q988" s="24">
        <f>IF($A988="","",IF(P988="","",(O988+N988)/2))</f>
        <v/>
      </c>
      <c r="R988" s="27">
        <f>IF($A988="","",IF(P988="","",COUNT($P$2:P988)))</f>
        <v/>
      </c>
    </row>
    <row r="989">
      <c r="J989" s="24">
        <f>IF($A989="","",IF($C989&lt;&gt;"khp_titration_mL","",IF(COUNTIFS('1_原始數據'!$A$2:$A$1000,$A989,'1_原始數據'!$B$2:$B$1000,$B989,'1_原始數據'!$D$2:$D$1000,$D989,'1_原始數據'!$C$2:$C$1000,"khp_mass_g")=0,"",SUMIFS('1_原始數據'!$E$2:$E$1000,'1_原始數據'!$A$2:$A$1000,$A989,'1_原始數據'!$B$2:$B$1000,$B989,'1_原始數據'!$D$2:$D$1000,$D989,'1_原始數據'!$C$2:$C$1000,"khp_mass_g")/('2_NaOH標定'!$C$5*$E989/1000))))</f>
        <v/>
      </c>
      <c r="K989" s="24">
        <f>IF($A989="","",IF($C989&lt;&gt;"manual_titration_mL","",IF(COUNTIFS('1_原始數據'!$A$2:$A$1000,$A989,'1_原始數據'!$C$2:$C$1000,"khp_titration_mL")=0,"",AVERAGEIFS('1_原始數據'!$J$2:$J$1000,'1_原始數據'!$A$2:$A$1000,$A989,'1_原始數據'!$C$2:$C$1000,"khp_titration_mL"))))</f>
        <v/>
      </c>
      <c r="L989" s="25">
        <f>IF($A989="","",IF($C989&lt;&gt;"manual_titration_mL","",IFERROR(INDEX('3_可滴定酸度'!$E$6:$E$13,MATCH($I989,'3_可滴定酸度'!$B$6:$B$13,0)),"")))</f>
        <v/>
      </c>
      <c r="M989" s="25">
        <f>IF($A989="","",IF($C989&lt;&gt;"manual_titration_mL","",IFERROR(INDEX('3_可滴定酸度'!$F$6:$F$13,MATCH($I989,'3_可滴定酸度'!$B$6:$B$13,0)),"")))</f>
        <v/>
      </c>
      <c r="N989" s="24">
        <f>IF($A989="","",IF(OR(K989="",L989="",M989=""),"",K989*E989*L989/(M989*1000)*100))</f>
        <v/>
      </c>
      <c r="O989" s="24">
        <f>IF($A989="","",IF(N989="","",IF(COUNTIFS('1_原始數據'!$A$2:$A$1000,$A989,'1_原始數據'!$B$2:$B$1000,$B989,'1_原始數據'!$D$2:$D$1000,$D989,'1_原始數據'!$I$2:$I$1000,$I989,'1_原始數據'!$C$2:$C$1000,"pasco_pct_acid")=0,"",SUMIFS('1_原始數據'!$E$2:$E$1000,'1_原始數據'!$A$2:$A$1000,$A989,'1_原始數據'!$B$2:$B$1000,$B989,'1_原始數據'!$D$2:$D$1000,$D989,'1_原始數據'!$I$2:$I$1000,$I989,'1_原始數據'!$C$2:$C$1000,"pasco_pct_acid"))))</f>
        <v/>
      </c>
      <c r="P989" s="26">
        <f>IF($A989="","",IF(OR(N989="",O989=""),"",O989-N989))</f>
        <v/>
      </c>
      <c r="Q989" s="24">
        <f>IF($A989="","",IF(P989="","",(O989+N989)/2))</f>
        <v/>
      </c>
      <c r="R989" s="27">
        <f>IF($A989="","",IF(P989="","",COUNT($P$2:P989)))</f>
        <v/>
      </c>
    </row>
    <row r="990">
      <c r="J990" s="24">
        <f>IF($A990="","",IF($C990&lt;&gt;"khp_titration_mL","",IF(COUNTIFS('1_原始數據'!$A$2:$A$1000,$A990,'1_原始數據'!$B$2:$B$1000,$B990,'1_原始數據'!$D$2:$D$1000,$D990,'1_原始數據'!$C$2:$C$1000,"khp_mass_g")=0,"",SUMIFS('1_原始數據'!$E$2:$E$1000,'1_原始數據'!$A$2:$A$1000,$A990,'1_原始數據'!$B$2:$B$1000,$B990,'1_原始數據'!$D$2:$D$1000,$D990,'1_原始數據'!$C$2:$C$1000,"khp_mass_g")/('2_NaOH標定'!$C$5*$E990/1000))))</f>
        <v/>
      </c>
      <c r="K990" s="24">
        <f>IF($A990="","",IF($C990&lt;&gt;"manual_titration_mL","",IF(COUNTIFS('1_原始數據'!$A$2:$A$1000,$A990,'1_原始數據'!$C$2:$C$1000,"khp_titration_mL")=0,"",AVERAGEIFS('1_原始數據'!$J$2:$J$1000,'1_原始數據'!$A$2:$A$1000,$A990,'1_原始數據'!$C$2:$C$1000,"khp_titration_mL"))))</f>
        <v/>
      </c>
      <c r="L990" s="25">
        <f>IF($A990="","",IF($C990&lt;&gt;"manual_titration_mL","",IFERROR(INDEX('3_可滴定酸度'!$E$6:$E$13,MATCH($I990,'3_可滴定酸度'!$B$6:$B$13,0)),"")))</f>
        <v/>
      </c>
      <c r="M990" s="25">
        <f>IF($A990="","",IF($C990&lt;&gt;"manual_titration_mL","",IFERROR(INDEX('3_可滴定酸度'!$F$6:$F$13,MATCH($I990,'3_可滴定酸度'!$B$6:$B$13,0)),"")))</f>
        <v/>
      </c>
      <c r="N990" s="24">
        <f>IF($A990="","",IF(OR(K990="",L990="",M990=""),"",K990*E990*L990/(M990*1000)*100))</f>
        <v/>
      </c>
      <c r="O990" s="24">
        <f>IF($A990="","",IF(N990="","",IF(COUNTIFS('1_原始數據'!$A$2:$A$1000,$A990,'1_原始數據'!$B$2:$B$1000,$B990,'1_原始數據'!$D$2:$D$1000,$D990,'1_原始數據'!$I$2:$I$1000,$I990,'1_原始數據'!$C$2:$C$1000,"pasco_pct_acid")=0,"",SUMIFS('1_原始數據'!$E$2:$E$1000,'1_原始數據'!$A$2:$A$1000,$A990,'1_原始數據'!$B$2:$B$1000,$B990,'1_原始數據'!$D$2:$D$1000,$D990,'1_原始數據'!$I$2:$I$1000,$I990,'1_原始數據'!$C$2:$C$1000,"pasco_pct_acid"))))</f>
        <v/>
      </c>
      <c r="P990" s="26">
        <f>IF($A990="","",IF(OR(N990="",O990=""),"",O990-N990))</f>
        <v/>
      </c>
      <c r="Q990" s="24">
        <f>IF($A990="","",IF(P990="","",(O990+N990)/2))</f>
        <v/>
      </c>
      <c r="R990" s="27">
        <f>IF($A990="","",IF(P990="","",COUNT($P$2:P990)))</f>
        <v/>
      </c>
    </row>
    <row r="991">
      <c r="J991" s="24">
        <f>IF($A991="","",IF($C991&lt;&gt;"khp_titration_mL","",IF(COUNTIFS('1_原始數據'!$A$2:$A$1000,$A991,'1_原始數據'!$B$2:$B$1000,$B991,'1_原始數據'!$D$2:$D$1000,$D991,'1_原始數據'!$C$2:$C$1000,"khp_mass_g")=0,"",SUMIFS('1_原始數據'!$E$2:$E$1000,'1_原始數據'!$A$2:$A$1000,$A991,'1_原始數據'!$B$2:$B$1000,$B991,'1_原始數據'!$D$2:$D$1000,$D991,'1_原始數據'!$C$2:$C$1000,"khp_mass_g")/('2_NaOH標定'!$C$5*$E991/1000))))</f>
        <v/>
      </c>
      <c r="K991" s="24">
        <f>IF($A991="","",IF($C991&lt;&gt;"manual_titration_mL","",IF(COUNTIFS('1_原始數據'!$A$2:$A$1000,$A991,'1_原始數據'!$C$2:$C$1000,"khp_titration_mL")=0,"",AVERAGEIFS('1_原始數據'!$J$2:$J$1000,'1_原始數據'!$A$2:$A$1000,$A991,'1_原始數據'!$C$2:$C$1000,"khp_titration_mL"))))</f>
        <v/>
      </c>
      <c r="L991" s="25">
        <f>IF($A991="","",IF($C991&lt;&gt;"manual_titration_mL","",IFERROR(INDEX('3_可滴定酸度'!$E$6:$E$13,MATCH($I991,'3_可滴定酸度'!$B$6:$B$13,0)),"")))</f>
        <v/>
      </c>
      <c r="M991" s="25">
        <f>IF($A991="","",IF($C991&lt;&gt;"manual_titration_mL","",IFERROR(INDEX('3_可滴定酸度'!$F$6:$F$13,MATCH($I991,'3_可滴定酸度'!$B$6:$B$13,0)),"")))</f>
        <v/>
      </c>
      <c r="N991" s="24">
        <f>IF($A991="","",IF(OR(K991="",L991="",M991=""),"",K991*E991*L991/(M991*1000)*100))</f>
        <v/>
      </c>
      <c r="O991" s="24">
        <f>IF($A991="","",IF(N991="","",IF(COUNTIFS('1_原始數據'!$A$2:$A$1000,$A991,'1_原始數據'!$B$2:$B$1000,$B991,'1_原始數據'!$D$2:$D$1000,$D991,'1_原始數據'!$I$2:$I$1000,$I991,'1_原始數據'!$C$2:$C$1000,"pasco_pct_acid")=0,"",SUMIFS('1_原始數據'!$E$2:$E$1000,'1_原始數據'!$A$2:$A$1000,$A991,'1_原始數據'!$B$2:$B$1000,$B991,'1_原始數據'!$D$2:$D$1000,$D991,'1_原始數據'!$I$2:$I$1000,$I991,'1_原始數據'!$C$2:$C$1000,"pasco_pct_acid"))))</f>
        <v/>
      </c>
      <c r="P991" s="26">
        <f>IF($A991="","",IF(OR(N991="",O991=""),"",O991-N991))</f>
        <v/>
      </c>
      <c r="Q991" s="24">
        <f>IF($A991="","",IF(P991="","",(O991+N991)/2))</f>
        <v/>
      </c>
      <c r="R991" s="27">
        <f>IF($A991="","",IF(P991="","",COUNT($P$2:P991)))</f>
        <v/>
      </c>
    </row>
    <row r="992">
      <c r="J992" s="24">
        <f>IF($A992="","",IF($C992&lt;&gt;"khp_titration_mL","",IF(COUNTIFS('1_原始數據'!$A$2:$A$1000,$A992,'1_原始數據'!$B$2:$B$1000,$B992,'1_原始數據'!$D$2:$D$1000,$D992,'1_原始數據'!$C$2:$C$1000,"khp_mass_g")=0,"",SUMIFS('1_原始數據'!$E$2:$E$1000,'1_原始數據'!$A$2:$A$1000,$A992,'1_原始數據'!$B$2:$B$1000,$B992,'1_原始數據'!$D$2:$D$1000,$D992,'1_原始數據'!$C$2:$C$1000,"khp_mass_g")/('2_NaOH標定'!$C$5*$E992/1000))))</f>
        <v/>
      </c>
      <c r="K992" s="24">
        <f>IF($A992="","",IF($C992&lt;&gt;"manual_titration_mL","",IF(COUNTIFS('1_原始數據'!$A$2:$A$1000,$A992,'1_原始數據'!$C$2:$C$1000,"khp_titration_mL")=0,"",AVERAGEIFS('1_原始數據'!$J$2:$J$1000,'1_原始數據'!$A$2:$A$1000,$A992,'1_原始數據'!$C$2:$C$1000,"khp_titration_mL"))))</f>
        <v/>
      </c>
      <c r="L992" s="25">
        <f>IF($A992="","",IF($C992&lt;&gt;"manual_titration_mL","",IFERROR(INDEX('3_可滴定酸度'!$E$6:$E$13,MATCH($I992,'3_可滴定酸度'!$B$6:$B$13,0)),"")))</f>
        <v/>
      </c>
      <c r="M992" s="25">
        <f>IF($A992="","",IF($C992&lt;&gt;"manual_titration_mL","",IFERROR(INDEX('3_可滴定酸度'!$F$6:$F$13,MATCH($I992,'3_可滴定酸度'!$B$6:$B$13,0)),"")))</f>
        <v/>
      </c>
      <c r="N992" s="24">
        <f>IF($A992="","",IF(OR(K992="",L992="",M992=""),"",K992*E992*L992/(M992*1000)*100))</f>
        <v/>
      </c>
      <c r="O992" s="24">
        <f>IF($A992="","",IF(N992="","",IF(COUNTIFS('1_原始數據'!$A$2:$A$1000,$A992,'1_原始數據'!$B$2:$B$1000,$B992,'1_原始數據'!$D$2:$D$1000,$D992,'1_原始數據'!$I$2:$I$1000,$I992,'1_原始數據'!$C$2:$C$1000,"pasco_pct_acid")=0,"",SUMIFS('1_原始數據'!$E$2:$E$1000,'1_原始數據'!$A$2:$A$1000,$A992,'1_原始數據'!$B$2:$B$1000,$B992,'1_原始數據'!$D$2:$D$1000,$D992,'1_原始數據'!$I$2:$I$1000,$I992,'1_原始數據'!$C$2:$C$1000,"pasco_pct_acid"))))</f>
        <v/>
      </c>
      <c r="P992" s="26">
        <f>IF($A992="","",IF(OR(N992="",O992=""),"",O992-N992))</f>
        <v/>
      </c>
      <c r="Q992" s="24">
        <f>IF($A992="","",IF(P992="","",(O992+N992)/2))</f>
        <v/>
      </c>
      <c r="R992" s="27">
        <f>IF($A992="","",IF(P992="","",COUNT($P$2:P992)))</f>
        <v/>
      </c>
    </row>
    <row r="993">
      <c r="J993" s="24">
        <f>IF($A993="","",IF($C993&lt;&gt;"khp_titration_mL","",IF(COUNTIFS('1_原始數據'!$A$2:$A$1000,$A993,'1_原始數據'!$B$2:$B$1000,$B993,'1_原始數據'!$D$2:$D$1000,$D993,'1_原始數據'!$C$2:$C$1000,"khp_mass_g")=0,"",SUMIFS('1_原始數據'!$E$2:$E$1000,'1_原始數據'!$A$2:$A$1000,$A993,'1_原始數據'!$B$2:$B$1000,$B993,'1_原始數據'!$D$2:$D$1000,$D993,'1_原始數據'!$C$2:$C$1000,"khp_mass_g")/('2_NaOH標定'!$C$5*$E993/1000))))</f>
        <v/>
      </c>
      <c r="K993" s="24">
        <f>IF($A993="","",IF($C993&lt;&gt;"manual_titration_mL","",IF(COUNTIFS('1_原始數據'!$A$2:$A$1000,$A993,'1_原始數據'!$C$2:$C$1000,"khp_titration_mL")=0,"",AVERAGEIFS('1_原始數據'!$J$2:$J$1000,'1_原始數據'!$A$2:$A$1000,$A993,'1_原始數據'!$C$2:$C$1000,"khp_titration_mL"))))</f>
        <v/>
      </c>
      <c r="L993" s="25">
        <f>IF($A993="","",IF($C993&lt;&gt;"manual_titration_mL","",IFERROR(INDEX('3_可滴定酸度'!$E$6:$E$13,MATCH($I993,'3_可滴定酸度'!$B$6:$B$13,0)),"")))</f>
        <v/>
      </c>
      <c r="M993" s="25">
        <f>IF($A993="","",IF($C993&lt;&gt;"manual_titration_mL","",IFERROR(INDEX('3_可滴定酸度'!$F$6:$F$13,MATCH($I993,'3_可滴定酸度'!$B$6:$B$13,0)),"")))</f>
        <v/>
      </c>
      <c r="N993" s="24">
        <f>IF($A993="","",IF(OR(K993="",L993="",M993=""),"",K993*E993*L993/(M993*1000)*100))</f>
        <v/>
      </c>
      <c r="O993" s="24">
        <f>IF($A993="","",IF(N993="","",IF(COUNTIFS('1_原始數據'!$A$2:$A$1000,$A993,'1_原始數據'!$B$2:$B$1000,$B993,'1_原始數據'!$D$2:$D$1000,$D993,'1_原始數據'!$I$2:$I$1000,$I993,'1_原始數據'!$C$2:$C$1000,"pasco_pct_acid")=0,"",SUMIFS('1_原始數據'!$E$2:$E$1000,'1_原始數據'!$A$2:$A$1000,$A993,'1_原始數據'!$B$2:$B$1000,$B993,'1_原始數據'!$D$2:$D$1000,$D993,'1_原始數據'!$I$2:$I$1000,$I993,'1_原始數據'!$C$2:$C$1000,"pasco_pct_acid"))))</f>
        <v/>
      </c>
      <c r="P993" s="26">
        <f>IF($A993="","",IF(OR(N993="",O993=""),"",O993-N993))</f>
        <v/>
      </c>
      <c r="Q993" s="24">
        <f>IF($A993="","",IF(P993="","",(O993+N993)/2))</f>
        <v/>
      </c>
      <c r="R993" s="27">
        <f>IF($A993="","",IF(P993="","",COUNT($P$2:P993)))</f>
        <v/>
      </c>
    </row>
    <row r="994">
      <c r="J994" s="24">
        <f>IF($A994="","",IF($C994&lt;&gt;"khp_titration_mL","",IF(COUNTIFS('1_原始數據'!$A$2:$A$1000,$A994,'1_原始數據'!$B$2:$B$1000,$B994,'1_原始數據'!$D$2:$D$1000,$D994,'1_原始數據'!$C$2:$C$1000,"khp_mass_g")=0,"",SUMIFS('1_原始數據'!$E$2:$E$1000,'1_原始數據'!$A$2:$A$1000,$A994,'1_原始數據'!$B$2:$B$1000,$B994,'1_原始數據'!$D$2:$D$1000,$D994,'1_原始數據'!$C$2:$C$1000,"khp_mass_g")/('2_NaOH標定'!$C$5*$E994/1000))))</f>
        <v/>
      </c>
      <c r="K994" s="24">
        <f>IF($A994="","",IF($C994&lt;&gt;"manual_titration_mL","",IF(COUNTIFS('1_原始數據'!$A$2:$A$1000,$A994,'1_原始數據'!$C$2:$C$1000,"khp_titration_mL")=0,"",AVERAGEIFS('1_原始數據'!$J$2:$J$1000,'1_原始數據'!$A$2:$A$1000,$A994,'1_原始數據'!$C$2:$C$1000,"khp_titration_mL"))))</f>
        <v/>
      </c>
      <c r="L994" s="25">
        <f>IF($A994="","",IF($C994&lt;&gt;"manual_titration_mL","",IFERROR(INDEX('3_可滴定酸度'!$E$6:$E$13,MATCH($I994,'3_可滴定酸度'!$B$6:$B$13,0)),"")))</f>
        <v/>
      </c>
      <c r="M994" s="25">
        <f>IF($A994="","",IF($C994&lt;&gt;"manual_titration_mL","",IFERROR(INDEX('3_可滴定酸度'!$F$6:$F$13,MATCH($I994,'3_可滴定酸度'!$B$6:$B$13,0)),"")))</f>
        <v/>
      </c>
      <c r="N994" s="24">
        <f>IF($A994="","",IF(OR(K994="",L994="",M994=""),"",K994*E994*L994/(M994*1000)*100))</f>
        <v/>
      </c>
      <c r="O994" s="24">
        <f>IF($A994="","",IF(N994="","",IF(COUNTIFS('1_原始數據'!$A$2:$A$1000,$A994,'1_原始數據'!$B$2:$B$1000,$B994,'1_原始數據'!$D$2:$D$1000,$D994,'1_原始數據'!$I$2:$I$1000,$I994,'1_原始數據'!$C$2:$C$1000,"pasco_pct_acid")=0,"",SUMIFS('1_原始數據'!$E$2:$E$1000,'1_原始數據'!$A$2:$A$1000,$A994,'1_原始數據'!$B$2:$B$1000,$B994,'1_原始數據'!$D$2:$D$1000,$D994,'1_原始數據'!$I$2:$I$1000,$I994,'1_原始數據'!$C$2:$C$1000,"pasco_pct_acid"))))</f>
        <v/>
      </c>
      <c r="P994" s="26">
        <f>IF($A994="","",IF(OR(N994="",O994=""),"",O994-N994))</f>
        <v/>
      </c>
      <c r="Q994" s="24">
        <f>IF($A994="","",IF(P994="","",(O994+N994)/2))</f>
        <v/>
      </c>
      <c r="R994" s="27">
        <f>IF($A994="","",IF(P994="","",COUNT($P$2:P994)))</f>
        <v/>
      </c>
    </row>
    <row r="995">
      <c r="J995" s="24">
        <f>IF($A995="","",IF($C995&lt;&gt;"khp_titration_mL","",IF(COUNTIFS('1_原始數據'!$A$2:$A$1000,$A995,'1_原始數據'!$B$2:$B$1000,$B995,'1_原始數據'!$D$2:$D$1000,$D995,'1_原始數據'!$C$2:$C$1000,"khp_mass_g")=0,"",SUMIFS('1_原始數據'!$E$2:$E$1000,'1_原始數據'!$A$2:$A$1000,$A995,'1_原始數據'!$B$2:$B$1000,$B995,'1_原始數據'!$D$2:$D$1000,$D995,'1_原始數據'!$C$2:$C$1000,"khp_mass_g")/('2_NaOH標定'!$C$5*$E995/1000))))</f>
        <v/>
      </c>
      <c r="K995" s="24">
        <f>IF($A995="","",IF($C995&lt;&gt;"manual_titration_mL","",IF(COUNTIFS('1_原始數據'!$A$2:$A$1000,$A995,'1_原始數據'!$C$2:$C$1000,"khp_titration_mL")=0,"",AVERAGEIFS('1_原始數據'!$J$2:$J$1000,'1_原始數據'!$A$2:$A$1000,$A995,'1_原始數據'!$C$2:$C$1000,"khp_titration_mL"))))</f>
        <v/>
      </c>
      <c r="L995" s="25">
        <f>IF($A995="","",IF($C995&lt;&gt;"manual_titration_mL","",IFERROR(INDEX('3_可滴定酸度'!$E$6:$E$13,MATCH($I995,'3_可滴定酸度'!$B$6:$B$13,0)),"")))</f>
        <v/>
      </c>
      <c r="M995" s="25">
        <f>IF($A995="","",IF($C995&lt;&gt;"manual_titration_mL","",IFERROR(INDEX('3_可滴定酸度'!$F$6:$F$13,MATCH($I995,'3_可滴定酸度'!$B$6:$B$13,0)),"")))</f>
        <v/>
      </c>
      <c r="N995" s="24">
        <f>IF($A995="","",IF(OR(K995="",L995="",M995=""),"",K995*E995*L995/(M995*1000)*100))</f>
        <v/>
      </c>
      <c r="O995" s="24">
        <f>IF($A995="","",IF(N995="","",IF(COUNTIFS('1_原始數據'!$A$2:$A$1000,$A995,'1_原始數據'!$B$2:$B$1000,$B995,'1_原始數據'!$D$2:$D$1000,$D995,'1_原始數據'!$I$2:$I$1000,$I995,'1_原始數據'!$C$2:$C$1000,"pasco_pct_acid")=0,"",SUMIFS('1_原始數據'!$E$2:$E$1000,'1_原始數據'!$A$2:$A$1000,$A995,'1_原始數據'!$B$2:$B$1000,$B995,'1_原始數據'!$D$2:$D$1000,$D995,'1_原始數據'!$I$2:$I$1000,$I995,'1_原始數據'!$C$2:$C$1000,"pasco_pct_acid"))))</f>
        <v/>
      </c>
      <c r="P995" s="26">
        <f>IF($A995="","",IF(OR(N995="",O995=""),"",O995-N995))</f>
        <v/>
      </c>
      <c r="Q995" s="24">
        <f>IF($A995="","",IF(P995="","",(O995+N995)/2))</f>
        <v/>
      </c>
      <c r="R995" s="27">
        <f>IF($A995="","",IF(P995="","",COUNT($P$2:P995)))</f>
        <v/>
      </c>
    </row>
    <row r="996">
      <c r="J996" s="24">
        <f>IF($A996="","",IF($C996&lt;&gt;"khp_titration_mL","",IF(COUNTIFS('1_原始數據'!$A$2:$A$1000,$A996,'1_原始數據'!$B$2:$B$1000,$B996,'1_原始數據'!$D$2:$D$1000,$D996,'1_原始數據'!$C$2:$C$1000,"khp_mass_g")=0,"",SUMIFS('1_原始數據'!$E$2:$E$1000,'1_原始數據'!$A$2:$A$1000,$A996,'1_原始數據'!$B$2:$B$1000,$B996,'1_原始數據'!$D$2:$D$1000,$D996,'1_原始數據'!$C$2:$C$1000,"khp_mass_g")/('2_NaOH標定'!$C$5*$E996/1000))))</f>
        <v/>
      </c>
      <c r="K996" s="24">
        <f>IF($A996="","",IF($C996&lt;&gt;"manual_titration_mL","",IF(COUNTIFS('1_原始數據'!$A$2:$A$1000,$A996,'1_原始數據'!$C$2:$C$1000,"khp_titration_mL")=0,"",AVERAGEIFS('1_原始數據'!$J$2:$J$1000,'1_原始數據'!$A$2:$A$1000,$A996,'1_原始數據'!$C$2:$C$1000,"khp_titration_mL"))))</f>
        <v/>
      </c>
      <c r="L996" s="25">
        <f>IF($A996="","",IF($C996&lt;&gt;"manual_titration_mL","",IFERROR(INDEX('3_可滴定酸度'!$E$6:$E$13,MATCH($I996,'3_可滴定酸度'!$B$6:$B$13,0)),"")))</f>
        <v/>
      </c>
      <c r="M996" s="25">
        <f>IF($A996="","",IF($C996&lt;&gt;"manual_titration_mL","",IFERROR(INDEX('3_可滴定酸度'!$F$6:$F$13,MATCH($I996,'3_可滴定酸度'!$B$6:$B$13,0)),"")))</f>
        <v/>
      </c>
      <c r="N996" s="24">
        <f>IF($A996="","",IF(OR(K996="",L996="",M996=""),"",K996*E996*L996/(M996*1000)*100))</f>
        <v/>
      </c>
      <c r="O996" s="24">
        <f>IF($A996="","",IF(N996="","",IF(COUNTIFS('1_原始數據'!$A$2:$A$1000,$A996,'1_原始數據'!$B$2:$B$1000,$B996,'1_原始數據'!$D$2:$D$1000,$D996,'1_原始數據'!$I$2:$I$1000,$I996,'1_原始數據'!$C$2:$C$1000,"pasco_pct_acid")=0,"",SUMIFS('1_原始數據'!$E$2:$E$1000,'1_原始數據'!$A$2:$A$1000,$A996,'1_原始數據'!$B$2:$B$1000,$B996,'1_原始數據'!$D$2:$D$1000,$D996,'1_原始數據'!$I$2:$I$1000,$I996,'1_原始數據'!$C$2:$C$1000,"pasco_pct_acid"))))</f>
        <v/>
      </c>
      <c r="P996" s="26">
        <f>IF($A996="","",IF(OR(N996="",O996=""),"",O996-N996))</f>
        <v/>
      </c>
      <c r="Q996" s="24">
        <f>IF($A996="","",IF(P996="","",(O996+N996)/2))</f>
        <v/>
      </c>
      <c r="R996" s="27">
        <f>IF($A996="","",IF(P996="","",COUNT($P$2:P996)))</f>
        <v/>
      </c>
    </row>
    <row r="997">
      <c r="J997" s="24">
        <f>IF($A997="","",IF($C997&lt;&gt;"khp_titration_mL","",IF(COUNTIFS('1_原始數據'!$A$2:$A$1000,$A997,'1_原始數據'!$B$2:$B$1000,$B997,'1_原始數據'!$D$2:$D$1000,$D997,'1_原始數據'!$C$2:$C$1000,"khp_mass_g")=0,"",SUMIFS('1_原始數據'!$E$2:$E$1000,'1_原始數據'!$A$2:$A$1000,$A997,'1_原始數據'!$B$2:$B$1000,$B997,'1_原始數據'!$D$2:$D$1000,$D997,'1_原始數據'!$C$2:$C$1000,"khp_mass_g")/('2_NaOH標定'!$C$5*$E997/1000))))</f>
        <v/>
      </c>
      <c r="K997" s="24">
        <f>IF($A997="","",IF($C997&lt;&gt;"manual_titration_mL","",IF(COUNTIFS('1_原始數據'!$A$2:$A$1000,$A997,'1_原始數據'!$C$2:$C$1000,"khp_titration_mL")=0,"",AVERAGEIFS('1_原始數據'!$J$2:$J$1000,'1_原始數據'!$A$2:$A$1000,$A997,'1_原始數據'!$C$2:$C$1000,"khp_titration_mL"))))</f>
        <v/>
      </c>
      <c r="L997" s="25">
        <f>IF($A997="","",IF($C997&lt;&gt;"manual_titration_mL","",IFERROR(INDEX('3_可滴定酸度'!$E$6:$E$13,MATCH($I997,'3_可滴定酸度'!$B$6:$B$13,0)),"")))</f>
        <v/>
      </c>
      <c r="M997" s="25">
        <f>IF($A997="","",IF($C997&lt;&gt;"manual_titration_mL","",IFERROR(INDEX('3_可滴定酸度'!$F$6:$F$13,MATCH($I997,'3_可滴定酸度'!$B$6:$B$13,0)),"")))</f>
        <v/>
      </c>
      <c r="N997" s="24">
        <f>IF($A997="","",IF(OR(K997="",L997="",M997=""),"",K997*E997*L997/(M997*1000)*100))</f>
        <v/>
      </c>
      <c r="O997" s="24">
        <f>IF($A997="","",IF(N997="","",IF(COUNTIFS('1_原始數據'!$A$2:$A$1000,$A997,'1_原始數據'!$B$2:$B$1000,$B997,'1_原始數據'!$D$2:$D$1000,$D997,'1_原始數據'!$I$2:$I$1000,$I997,'1_原始數據'!$C$2:$C$1000,"pasco_pct_acid")=0,"",SUMIFS('1_原始數據'!$E$2:$E$1000,'1_原始數據'!$A$2:$A$1000,$A997,'1_原始數據'!$B$2:$B$1000,$B997,'1_原始數據'!$D$2:$D$1000,$D997,'1_原始數據'!$I$2:$I$1000,$I997,'1_原始數據'!$C$2:$C$1000,"pasco_pct_acid"))))</f>
        <v/>
      </c>
      <c r="P997" s="26">
        <f>IF($A997="","",IF(OR(N997="",O997=""),"",O997-N997))</f>
        <v/>
      </c>
      <c r="Q997" s="24">
        <f>IF($A997="","",IF(P997="","",(O997+N997)/2))</f>
        <v/>
      </c>
      <c r="R997" s="27">
        <f>IF($A997="","",IF(P997="","",COUNT($P$2:P997)))</f>
        <v/>
      </c>
    </row>
    <row r="998">
      <c r="J998" s="24">
        <f>IF($A998="","",IF($C998&lt;&gt;"khp_titration_mL","",IF(COUNTIFS('1_原始數據'!$A$2:$A$1000,$A998,'1_原始數據'!$B$2:$B$1000,$B998,'1_原始數據'!$D$2:$D$1000,$D998,'1_原始數據'!$C$2:$C$1000,"khp_mass_g")=0,"",SUMIFS('1_原始數據'!$E$2:$E$1000,'1_原始數據'!$A$2:$A$1000,$A998,'1_原始數據'!$B$2:$B$1000,$B998,'1_原始數據'!$D$2:$D$1000,$D998,'1_原始數據'!$C$2:$C$1000,"khp_mass_g")/('2_NaOH標定'!$C$5*$E998/1000))))</f>
        <v/>
      </c>
      <c r="K998" s="24">
        <f>IF($A998="","",IF($C998&lt;&gt;"manual_titration_mL","",IF(COUNTIFS('1_原始數據'!$A$2:$A$1000,$A998,'1_原始數據'!$C$2:$C$1000,"khp_titration_mL")=0,"",AVERAGEIFS('1_原始數據'!$J$2:$J$1000,'1_原始數據'!$A$2:$A$1000,$A998,'1_原始數據'!$C$2:$C$1000,"khp_titration_mL"))))</f>
        <v/>
      </c>
      <c r="L998" s="25">
        <f>IF($A998="","",IF($C998&lt;&gt;"manual_titration_mL","",IFERROR(INDEX('3_可滴定酸度'!$E$6:$E$13,MATCH($I998,'3_可滴定酸度'!$B$6:$B$13,0)),"")))</f>
        <v/>
      </c>
      <c r="M998" s="25">
        <f>IF($A998="","",IF($C998&lt;&gt;"manual_titration_mL","",IFERROR(INDEX('3_可滴定酸度'!$F$6:$F$13,MATCH($I998,'3_可滴定酸度'!$B$6:$B$13,0)),"")))</f>
        <v/>
      </c>
      <c r="N998" s="24">
        <f>IF($A998="","",IF(OR(K998="",L998="",M998=""),"",K998*E998*L998/(M998*1000)*100))</f>
        <v/>
      </c>
      <c r="O998" s="24">
        <f>IF($A998="","",IF(N998="","",IF(COUNTIFS('1_原始數據'!$A$2:$A$1000,$A998,'1_原始數據'!$B$2:$B$1000,$B998,'1_原始數據'!$D$2:$D$1000,$D998,'1_原始數據'!$I$2:$I$1000,$I998,'1_原始數據'!$C$2:$C$1000,"pasco_pct_acid")=0,"",SUMIFS('1_原始數據'!$E$2:$E$1000,'1_原始數據'!$A$2:$A$1000,$A998,'1_原始數據'!$B$2:$B$1000,$B998,'1_原始數據'!$D$2:$D$1000,$D998,'1_原始數據'!$I$2:$I$1000,$I998,'1_原始數據'!$C$2:$C$1000,"pasco_pct_acid"))))</f>
        <v/>
      </c>
      <c r="P998" s="26">
        <f>IF($A998="","",IF(OR(N998="",O998=""),"",O998-N998))</f>
        <v/>
      </c>
      <c r="Q998" s="24">
        <f>IF($A998="","",IF(P998="","",(O998+N998)/2))</f>
        <v/>
      </c>
      <c r="R998" s="27">
        <f>IF($A998="","",IF(P998="","",COUNT($P$2:P998)))</f>
        <v/>
      </c>
    </row>
    <row r="999">
      <c r="J999" s="24">
        <f>IF($A999="","",IF($C999&lt;&gt;"khp_titration_mL","",IF(COUNTIFS('1_原始數據'!$A$2:$A$1000,$A999,'1_原始數據'!$B$2:$B$1000,$B999,'1_原始數據'!$D$2:$D$1000,$D999,'1_原始數據'!$C$2:$C$1000,"khp_mass_g")=0,"",SUMIFS('1_原始數據'!$E$2:$E$1000,'1_原始數據'!$A$2:$A$1000,$A999,'1_原始數據'!$B$2:$B$1000,$B999,'1_原始數據'!$D$2:$D$1000,$D999,'1_原始數據'!$C$2:$C$1000,"khp_mass_g")/('2_NaOH標定'!$C$5*$E999/1000))))</f>
        <v/>
      </c>
      <c r="K999" s="24">
        <f>IF($A999="","",IF($C999&lt;&gt;"manual_titration_mL","",IF(COUNTIFS('1_原始數據'!$A$2:$A$1000,$A999,'1_原始數據'!$C$2:$C$1000,"khp_titration_mL")=0,"",AVERAGEIFS('1_原始數據'!$J$2:$J$1000,'1_原始數據'!$A$2:$A$1000,$A999,'1_原始數據'!$C$2:$C$1000,"khp_titration_mL"))))</f>
        <v/>
      </c>
      <c r="L999" s="25">
        <f>IF($A999="","",IF($C999&lt;&gt;"manual_titration_mL","",IFERROR(INDEX('3_可滴定酸度'!$E$6:$E$13,MATCH($I999,'3_可滴定酸度'!$B$6:$B$13,0)),"")))</f>
        <v/>
      </c>
      <c r="M999" s="25">
        <f>IF($A999="","",IF($C999&lt;&gt;"manual_titration_mL","",IFERROR(INDEX('3_可滴定酸度'!$F$6:$F$13,MATCH($I999,'3_可滴定酸度'!$B$6:$B$13,0)),"")))</f>
        <v/>
      </c>
      <c r="N999" s="24">
        <f>IF($A999="","",IF(OR(K999="",L999="",M999=""),"",K999*E999*L999/(M999*1000)*100))</f>
        <v/>
      </c>
      <c r="O999" s="24">
        <f>IF($A999="","",IF(N999="","",IF(COUNTIFS('1_原始數據'!$A$2:$A$1000,$A999,'1_原始數據'!$B$2:$B$1000,$B999,'1_原始數據'!$D$2:$D$1000,$D999,'1_原始數據'!$I$2:$I$1000,$I999,'1_原始數據'!$C$2:$C$1000,"pasco_pct_acid")=0,"",SUMIFS('1_原始數據'!$E$2:$E$1000,'1_原始數據'!$A$2:$A$1000,$A999,'1_原始數據'!$B$2:$B$1000,$B999,'1_原始數據'!$D$2:$D$1000,$D999,'1_原始數據'!$I$2:$I$1000,$I999,'1_原始數據'!$C$2:$C$1000,"pasco_pct_acid"))))</f>
        <v/>
      </c>
      <c r="P999" s="26">
        <f>IF($A999="","",IF(OR(N999="",O999=""),"",O999-N999))</f>
        <v/>
      </c>
      <c r="Q999" s="24">
        <f>IF($A999="","",IF(P999="","",(O999+N999)/2))</f>
        <v/>
      </c>
      <c r="R999" s="27">
        <f>IF($A999="","",IF(P999="","",COUNT($P$2:P999)))</f>
        <v/>
      </c>
    </row>
    <row r="1000">
      <c r="J1000" s="24">
        <f>IF($A1000="","",IF($C1000&lt;&gt;"khp_titration_mL","",IF(COUNTIFS('1_原始數據'!$A$2:$A$1000,$A1000,'1_原始數據'!$B$2:$B$1000,$B1000,'1_原始數據'!$D$2:$D$1000,$D1000,'1_原始數據'!$C$2:$C$1000,"khp_mass_g")=0,"",SUMIFS('1_原始數據'!$E$2:$E$1000,'1_原始數據'!$A$2:$A$1000,$A1000,'1_原始數據'!$B$2:$B$1000,$B1000,'1_原始數據'!$D$2:$D$1000,$D1000,'1_原始數據'!$C$2:$C$1000,"khp_mass_g")/('2_NaOH標定'!$C$5*$E1000/1000))))</f>
        <v/>
      </c>
      <c r="K1000" s="24">
        <f>IF($A1000="","",IF($C1000&lt;&gt;"manual_titration_mL","",IF(COUNTIFS('1_原始數據'!$A$2:$A$1000,$A1000,'1_原始數據'!$C$2:$C$1000,"khp_titration_mL")=0,"",AVERAGEIFS('1_原始數據'!$J$2:$J$1000,'1_原始數據'!$A$2:$A$1000,$A1000,'1_原始數據'!$C$2:$C$1000,"khp_titration_mL"))))</f>
        <v/>
      </c>
      <c r="L1000" s="25">
        <f>IF($A1000="","",IF($C1000&lt;&gt;"manual_titration_mL","",IFERROR(INDEX('3_可滴定酸度'!$E$6:$E$13,MATCH($I1000,'3_可滴定酸度'!$B$6:$B$13,0)),"")))</f>
        <v/>
      </c>
      <c r="M1000" s="25">
        <f>IF($A1000="","",IF($C1000&lt;&gt;"manual_titration_mL","",IFERROR(INDEX('3_可滴定酸度'!$F$6:$F$13,MATCH($I1000,'3_可滴定酸度'!$B$6:$B$13,0)),"")))</f>
        <v/>
      </c>
      <c r="N1000" s="24">
        <f>IF($A1000="","",IF(OR(K1000="",L1000="",M1000=""),"",K1000*E1000*L1000/(M1000*1000)*100))</f>
        <v/>
      </c>
      <c r="O1000" s="24">
        <f>IF($A1000="","",IF(N1000="","",IF(COUNTIFS('1_原始數據'!$A$2:$A$1000,$A1000,'1_原始數據'!$B$2:$B$1000,$B1000,'1_原始數據'!$D$2:$D$1000,$D1000,'1_原始數據'!$I$2:$I$1000,$I1000,'1_原始數據'!$C$2:$C$1000,"pasco_pct_acid")=0,"",SUMIFS('1_原始數據'!$E$2:$E$1000,'1_原始數據'!$A$2:$A$1000,$A1000,'1_原始數據'!$B$2:$B$1000,$B1000,'1_原始數據'!$D$2:$D$1000,$D1000,'1_原始數據'!$I$2:$I$1000,$I1000,'1_原始數據'!$C$2:$C$1000,"pasco_pct_acid"))))</f>
        <v/>
      </c>
      <c r="P1000" s="26">
        <f>IF($A1000="","",IF(OR(N1000="",O1000=""),"",O1000-N1000))</f>
        <v/>
      </c>
      <c r="Q1000" s="24">
        <f>IF($A1000="","",IF(P1000="","",(O1000+N1000)/2))</f>
        <v/>
      </c>
      <c r="R1000" s="27">
        <f>IF($A1000="","",IF(P1000="","",COUNT($P$2:P1000)))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2" customWidth="1" min="5" max="5"/>
    <col width="14" customWidth="1" min="6" max="6"/>
    <col width="3" customWidth="1" min="7" max="7"/>
    <col width="62" customWidth="1" min="8" max="8"/>
  </cols>
  <sheetData>
    <row r="1">
      <c r="B1" s="1" t="inlineStr">
        <is>
          <t>步驟 1　用 KHP 標定 NaOH 濃度</t>
        </is>
      </c>
    </row>
    <row r="2" ht="30" customHeight="1">
      <c r="B2" s="20" t="inlineStr">
        <is>
          <t>NaOH 會吸濕、會吸收空氣中的 CO₂，濃度不穩定，所以每一組都要自己標定，之後這組所有樣品都用自己標定出來的濃度。</t>
        </is>
      </c>
    </row>
    <row r="4">
      <c r="B4" s="3" t="inlineStr">
        <is>
          <t>常數</t>
        </is>
      </c>
    </row>
    <row r="5">
      <c r="B5" s="28" t="inlineStr">
        <is>
          <t>KHP 分子量 (g/mol)</t>
        </is>
      </c>
      <c r="C5" s="29" t="n">
        <v>204.22</v>
      </c>
      <c r="H5" s="20" t="inlineStr">
        <is>
          <t>KHP（鄰苯二甲酸氫鉀）是一元酸，1 mol KHP 剛好和 1 mol NaOH 反應，所以 NaOH 的 M 等於 N。</t>
        </is>
      </c>
    </row>
    <row r="7">
      <c r="B7" s="3" t="inlineStr">
        <is>
          <t>1-1 計算機：自己的標定數據（講義範例 0.5105 g、24.85 mL）</t>
        </is>
      </c>
    </row>
    <row r="8">
      <c r="B8" s="28" t="inlineStr">
        <is>
          <t>KHP 質量 (g)</t>
        </is>
      </c>
      <c r="C8" s="30" t="n">
        <v>0.5105</v>
      </c>
      <c r="H8" s="20" t="inlineStr">
        <is>
          <t>公式：N = KHP 質量 ÷ (204.22 × V_L)。mL 要先除以 1000 換成 L。</t>
        </is>
      </c>
    </row>
    <row r="9">
      <c r="B9" s="28" t="inlineStr">
        <is>
          <t>NaOH 用量 (mL)</t>
        </is>
      </c>
      <c r="C9" s="29" t="n">
        <v>24.85</v>
      </c>
    </row>
    <row r="10">
      <c r="B10" s="28" t="inlineStr">
        <is>
          <t>NaOH 用量 (L)</t>
        </is>
      </c>
      <c r="C10" s="31">
        <f>C9/1000</f>
        <v/>
      </c>
    </row>
    <row r="11">
      <c r="B11" s="28" t="inlineStr">
        <is>
          <t>N_NaOH (M)</t>
        </is>
      </c>
      <c r="C11" s="32">
        <f>C8/('2_NaOH標定'!$C$5*C10)</f>
        <v/>
      </c>
      <c r="H11" s="20" t="inlineStr">
        <is>
          <t>講義範例應得 0.1006 M。練習題 1 可直接把黃色格子改成題目的數字。</t>
        </is>
      </c>
    </row>
    <row r="13">
      <c r="B13" s="3" t="inlineStr">
        <is>
          <t>1-2 各組標定結果（從原始數據自動抓）</t>
        </is>
      </c>
    </row>
    <row r="14" ht="30" customHeight="1">
      <c r="B14" s="9" t="inlineStr">
        <is>
          <t>組別</t>
        </is>
      </c>
      <c r="C14" s="9" t="inlineStr">
        <is>
          <t>KHP 質量 (g)</t>
        </is>
      </c>
      <c r="D14" s="9" t="inlineStr">
        <is>
          <t>NaOH (mL)</t>
        </is>
      </c>
      <c r="E14" s="9" t="inlineStr">
        <is>
          <t>標定次數</t>
        </is>
      </c>
      <c r="F14" s="9" t="inlineStr">
        <is>
          <t>N_NaOH (M)</t>
        </is>
      </c>
    </row>
    <row r="15">
      <c r="B15" s="5" t="n">
        <v>1</v>
      </c>
      <c r="C15" s="11">
        <f>IF(COUNTIFS('1_原始數據'!$A$2:$A$1000,B15,'1_原始數據'!$C$2:$C$1000,"khp_mass_g")=0,"",AVERAGEIFS('1_原始數據'!$E$2:$E$1000,'1_原始數據'!$A$2:$A$1000,B15,'1_原始數據'!$C$2:$C$1000,"khp_mass_g"))</f>
        <v/>
      </c>
      <c r="D15" s="14">
        <f>IF(COUNTIFS('1_原始數據'!$A$2:$A$1000,B15,'1_原始數據'!$C$2:$C$1000,"khp_titration_mL")=0,"",AVERAGEIFS('1_原始數據'!$E$2:$E$1000,'1_原始數據'!$A$2:$A$1000,B15,'1_原始數據'!$C$2:$C$1000,"khp_titration_mL"))</f>
        <v/>
      </c>
      <c r="E15" s="33">
        <f>IF(B15="","",COUNTIFS('1_原始數據'!$A$2:$A$1000,B15,'1_原始數據'!$C$2:$C$1000,"khp_titration_mL"))</f>
        <v/>
      </c>
      <c r="F15" s="32">
        <f>IF(OR(B15="",E15=0),"",AVERAGEIFS('1_原始數據'!$J$2:$J$1000,'1_原始數據'!$A$2:$A$1000,B15,'1_原始數據'!$C$2:$C$1000,"khp_titration_mL"))</f>
        <v/>
      </c>
      <c r="H15" s="20" t="inlineStr">
        <is>
          <t>AVERAGEIFS（依條件平均）：只把「組別＝B 欄、item＝khp_mass_g」的數字拿來平均。本週每組只標定 1 次，所以平均就是那一次的值。N 是先在原始數據 J 欄逐次算好，再依組別取平均。</t>
        </is>
      </c>
    </row>
    <row r="16">
      <c r="B16" s="5" t="n">
        <v>2</v>
      </c>
      <c r="C16" s="11">
        <f>IF(COUNTIFS('1_原始數據'!$A$2:$A$1000,B16,'1_原始數據'!$C$2:$C$1000,"khp_mass_g")=0,"",AVERAGEIFS('1_原始數據'!$E$2:$E$1000,'1_原始數據'!$A$2:$A$1000,B16,'1_原始數據'!$C$2:$C$1000,"khp_mass_g"))</f>
        <v/>
      </c>
      <c r="D16" s="14">
        <f>IF(COUNTIFS('1_原始數據'!$A$2:$A$1000,B16,'1_原始數據'!$C$2:$C$1000,"khp_titration_mL")=0,"",AVERAGEIFS('1_原始數據'!$E$2:$E$1000,'1_原始數據'!$A$2:$A$1000,B16,'1_原始數據'!$C$2:$C$1000,"khp_titration_mL"))</f>
        <v/>
      </c>
      <c r="E16" s="33">
        <f>IF(B16="","",COUNTIFS('1_原始數據'!$A$2:$A$1000,B16,'1_原始數據'!$C$2:$C$1000,"khp_titration_mL"))</f>
        <v/>
      </c>
      <c r="F16" s="32">
        <f>IF(OR(B16="",E16=0),"",AVERAGEIFS('1_原始數據'!$J$2:$J$1000,'1_原始數據'!$A$2:$A$1000,B16,'1_原始數據'!$C$2:$C$1000,"khp_titration_mL"))</f>
        <v/>
      </c>
    </row>
    <row r="17">
      <c r="B17" s="5" t="n">
        <v>3</v>
      </c>
      <c r="C17" s="11">
        <f>IF(COUNTIFS('1_原始數據'!$A$2:$A$1000,B17,'1_原始數據'!$C$2:$C$1000,"khp_mass_g")=0,"",AVERAGEIFS('1_原始數據'!$E$2:$E$1000,'1_原始數據'!$A$2:$A$1000,B17,'1_原始數據'!$C$2:$C$1000,"khp_mass_g"))</f>
        <v/>
      </c>
      <c r="D17" s="14">
        <f>IF(COUNTIFS('1_原始數據'!$A$2:$A$1000,B17,'1_原始數據'!$C$2:$C$1000,"khp_titration_mL")=0,"",AVERAGEIFS('1_原始數據'!$E$2:$E$1000,'1_原始數據'!$A$2:$A$1000,B17,'1_原始數據'!$C$2:$C$1000,"khp_titration_mL"))</f>
        <v/>
      </c>
      <c r="E17" s="33">
        <f>IF(B17="","",COUNTIFS('1_原始數據'!$A$2:$A$1000,B17,'1_原始數據'!$C$2:$C$1000,"khp_titration_mL"))</f>
        <v/>
      </c>
      <c r="F17" s="32">
        <f>IF(OR(B17="",E17=0),"",AVERAGEIFS('1_原始數據'!$J$2:$J$1000,'1_原始數據'!$A$2:$A$1000,B17,'1_原始數據'!$C$2:$C$1000,"khp_titration_mL"))</f>
        <v/>
      </c>
    </row>
    <row r="18">
      <c r="B18" s="5" t="n">
        <v>4</v>
      </c>
      <c r="C18" s="11">
        <f>IF(COUNTIFS('1_原始數據'!$A$2:$A$1000,B18,'1_原始數據'!$C$2:$C$1000,"khp_mass_g")=0,"",AVERAGEIFS('1_原始數據'!$E$2:$E$1000,'1_原始數據'!$A$2:$A$1000,B18,'1_原始數據'!$C$2:$C$1000,"khp_mass_g"))</f>
        <v/>
      </c>
      <c r="D18" s="14">
        <f>IF(COUNTIFS('1_原始數據'!$A$2:$A$1000,B18,'1_原始數據'!$C$2:$C$1000,"khp_titration_mL")=0,"",AVERAGEIFS('1_原始數據'!$E$2:$E$1000,'1_原始數據'!$A$2:$A$1000,B18,'1_原始數據'!$C$2:$C$1000,"khp_titration_mL"))</f>
        <v/>
      </c>
      <c r="E18" s="33">
        <f>IF(B18="","",COUNTIFS('1_原始數據'!$A$2:$A$1000,B18,'1_原始數據'!$C$2:$C$1000,"khp_titration_mL"))</f>
        <v/>
      </c>
      <c r="F18" s="32">
        <f>IF(OR(B18="",E18=0),"",AVERAGEIFS('1_原始數據'!$J$2:$J$1000,'1_原始數據'!$A$2:$A$1000,B18,'1_原始數據'!$C$2:$C$1000,"khp_titration_mL"))</f>
        <v/>
      </c>
    </row>
    <row r="19">
      <c r="B19" s="5" t="n">
        <v>5</v>
      </c>
      <c r="C19" s="11">
        <f>IF(COUNTIFS('1_原始數據'!$A$2:$A$1000,B19,'1_原始數據'!$C$2:$C$1000,"khp_mass_g")=0,"",AVERAGEIFS('1_原始數據'!$E$2:$E$1000,'1_原始數據'!$A$2:$A$1000,B19,'1_原始數據'!$C$2:$C$1000,"khp_mass_g"))</f>
        <v/>
      </c>
      <c r="D19" s="14">
        <f>IF(COUNTIFS('1_原始數據'!$A$2:$A$1000,B19,'1_原始數據'!$C$2:$C$1000,"khp_titration_mL")=0,"",AVERAGEIFS('1_原始數據'!$E$2:$E$1000,'1_原始數據'!$A$2:$A$1000,B19,'1_原始數據'!$C$2:$C$1000,"khp_titration_mL"))</f>
        <v/>
      </c>
      <c r="E19" s="33">
        <f>IF(B19="","",COUNTIFS('1_原始數據'!$A$2:$A$1000,B19,'1_原始數據'!$C$2:$C$1000,"khp_titration_mL"))</f>
        <v/>
      </c>
      <c r="F19" s="32">
        <f>IF(OR(B19="",E19=0),"",AVERAGEIFS('1_原始數據'!$J$2:$J$1000,'1_原始數據'!$A$2:$A$1000,B19,'1_原始數據'!$C$2:$C$1000,"khp_titration_mL"))</f>
        <v/>
      </c>
      <c r="H19" s="20" t="inlineStr">
        <is>
          <t>班上組數比較多時，在 B 欄空白的黃色格子補上組別編號；不夠用就插入列，把上一列的綠色公式往下複製。</t>
        </is>
      </c>
    </row>
    <row r="20">
      <c r="B20" s="5" t="n"/>
      <c r="C20" s="11">
        <f>IF(COUNTIFS('1_原始數據'!$A$2:$A$1000,B20,'1_原始數據'!$C$2:$C$1000,"khp_mass_g")=0,"",AVERAGEIFS('1_原始數據'!$E$2:$E$1000,'1_原始數據'!$A$2:$A$1000,B20,'1_原始數據'!$C$2:$C$1000,"khp_mass_g"))</f>
        <v/>
      </c>
      <c r="D20" s="14">
        <f>IF(COUNTIFS('1_原始數據'!$A$2:$A$1000,B20,'1_原始數據'!$C$2:$C$1000,"khp_titration_mL")=0,"",AVERAGEIFS('1_原始數據'!$E$2:$E$1000,'1_原始數據'!$A$2:$A$1000,B20,'1_原始數據'!$C$2:$C$1000,"khp_titration_mL"))</f>
        <v/>
      </c>
      <c r="E20" s="33">
        <f>IF(B20="","",COUNTIFS('1_原始數據'!$A$2:$A$1000,B20,'1_原始數據'!$C$2:$C$1000,"khp_titration_mL"))</f>
        <v/>
      </c>
      <c r="F20" s="32">
        <f>IF(OR(B20="",E20=0),"",AVERAGEIFS('1_原始數據'!$J$2:$J$1000,'1_原始數據'!$A$2:$A$1000,B20,'1_原始數據'!$C$2:$C$1000,"khp_titration_mL"))</f>
        <v/>
      </c>
    </row>
    <row r="21">
      <c r="B21" s="5" t="n"/>
      <c r="C21" s="11">
        <f>IF(COUNTIFS('1_原始數據'!$A$2:$A$1000,B21,'1_原始數據'!$C$2:$C$1000,"khp_mass_g")=0,"",AVERAGEIFS('1_原始數據'!$E$2:$E$1000,'1_原始數據'!$A$2:$A$1000,B21,'1_原始數據'!$C$2:$C$1000,"khp_mass_g"))</f>
        <v/>
      </c>
      <c r="D21" s="14">
        <f>IF(COUNTIFS('1_原始數據'!$A$2:$A$1000,B21,'1_原始數據'!$C$2:$C$1000,"khp_titration_mL")=0,"",AVERAGEIFS('1_原始數據'!$E$2:$E$1000,'1_原始數據'!$A$2:$A$1000,B21,'1_原始數據'!$C$2:$C$1000,"khp_titration_mL"))</f>
        <v/>
      </c>
      <c r="E21" s="33">
        <f>IF(B21="","",COUNTIFS('1_原始數據'!$A$2:$A$1000,B21,'1_原始數據'!$C$2:$C$1000,"khp_titration_mL"))</f>
        <v/>
      </c>
      <c r="F21" s="32">
        <f>IF(OR(B21="",E21=0),"",AVERAGEIFS('1_原始數據'!$J$2:$J$1000,'1_原始數據'!$A$2:$A$1000,B21,'1_原始數據'!$C$2:$C$1000,"khp_titration_mL"))</f>
        <v/>
      </c>
    </row>
    <row r="22">
      <c r="B22" s="5" t="n"/>
      <c r="C22" s="11">
        <f>IF(COUNTIFS('1_原始數據'!$A$2:$A$1000,B22,'1_原始數據'!$C$2:$C$1000,"khp_mass_g")=0,"",AVERAGEIFS('1_原始數據'!$E$2:$E$1000,'1_原始數據'!$A$2:$A$1000,B22,'1_原始數據'!$C$2:$C$1000,"khp_mass_g"))</f>
        <v/>
      </c>
      <c r="D22" s="14">
        <f>IF(COUNTIFS('1_原始數據'!$A$2:$A$1000,B22,'1_原始數據'!$C$2:$C$1000,"khp_titration_mL")=0,"",AVERAGEIFS('1_原始數據'!$E$2:$E$1000,'1_原始數據'!$A$2:$A$1000,B22,'1_原始數據'!$C$2:$C$1000,"khp_titration_mL"))</f>
        <v/>
      </c>
      <c r="E22" s="33">
        <f>IF(B22="","",COUNTIFS('1_原始數據'!$A$2:$A$1000,B22,'1_原始數據'!$C$2:$C$1000,"khp_titration_mL"))</f>
        <v/>
      </c>
      <c r="F22" s="32">
        <f>IF(OR(B22="",E22=0),"",AVERAGEIFS('1_原始數據'!$J$2:$J$1000,'1_原始數據'!$A$2:$A$1000,B22,'1_原始數據'!$C$2:$C$1000,"khp_titration_mL"))</f>
        <v/>
      </c>
    </row>
    <row r="24">
      <c r="B24" s="3" t="inlineStr">
        <is>
          <t>1-3 全班 NaOH 濃度的一致性</t>
        </is>
      </c>
    </row>
    <row r="25">
      <c r="B25" s="28" t="inlineStr">
        <is>
          <t>組數</t>
        </is>
      </c>
      <c r="C25" s="33">
        <f>COUNT(F15:F22)</f>
        <v/>
      </c>
      <c r="H25" s="20" t="inlineStr">
        <is>
          <t>COUNT：數有幾個數字（空白、文字不算）。</t>
        </is>
      </c>
    </row>
    <row r="26">
      <c r="B26" s="28" t="inlineStr">
        <is>
          <t>平均 (M)</t>
        </is>
      </c>
      <c r="C26" s="32">
        <f>AVERAGE(F15:F22)</f>
        <v/>
      </c>
      <c r="H26" s="20" t="inlineStr">
        <is>
          <t>全班 NaOH 平均濃度。</t>
        </is>
      </c>
    </row>
    <row r="27">
      <c r="B27" s="28" t="inlineStr">
        <is>
          <t>SD (M)</t>
        </is>
      </c>
      <c r="C27" s="34">
        <f>_xlfn.STDEV.S(F15:F22)</f>
        <v/>
      </c>
      <c r="H27" s="20" t="inlineStr">
        <is>
          <t>STDEV.S：樣本標準差（除以 n−1），代表各組之間差多少。</t>
        </is>
      </c>
    </row>
    <row r="28">
      <c r="B28" s="28" t="inlineStr">
        <is>
          <t>RSD (%)</t>
        </is>
      </c>
      <c r="C28" s="35">
        <f>C27/C26*100</f>
        <v/>
      </c>
      <c r="H28" s="20" t="inlineStr">
        <is>
          <t>RSD = SD ÷ 平均 × 100。同一瓶 NaOH，各組標定的 RSD 通常小於 0.5%。</t>
        </is>
      </c>
    </row>
    <row r="30">
      <c r="B30" s="20" t="inlineStr">
        <is>
          <t>注意：各組的 N 很接近，但後面算 % 酸時仍然用「自己這一組」的 N（原始數據 K 欄），不用全班平均。</t>
        </is>
      </c>
    </row>
  </sheetData>
  <mergeCells count="4">
    <mergeCell ref="H19:H21"/>
    <mergeCell ref="B30:H30"/>
    <mergeCell ref="B2:H2"/>
    <mergeCell ref="H15:H18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H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3" customWidth="1" min="7" max="7"/>
    <col width="60" customWidth="1" min="8" max="8"/>
  </cols>
  <sheetData>
    <row r="1">
      <c r="B1" s="1" t="inlineStr">
        <is>
          <t>步驟 2　可滴定酸度（% 酸）</t>
        </is>
      </c>
    </row>
    <row r="2" ht="45" customHeight="1">
      <c r="B2" s="20" t="inlineStr">
        <is>
          <t>% 酸 = N × V × 當量重 ÷ (W × 1000) × 100。N＝自己標定的 NaOH 濃度，V＝滴定用去的 NaOH (mL)，W＝取樣量 (mL 或 g)。結果要用「主要酸」表示（醋用醋酸、柳橙汁用檸檬酸…），因為不同酸的當量重不一樣。</t>
        </is>
      </c>
    </row>
    <row r="4">
      <c r="B4" s="3" t="inlineStr">
        <is>
          <t>2-1 樣品參數（黃色可改；原始數據 L、M 欄會來這裡查）</t>
        </is>
      </c>
    </row>
    <row r="5" ht="30" customHeight="1">
      <c r="B5" s="9" t="inlineStr">
        <is>
          <t>sample（代碼）</t>
        </is>
      </c>
      <c r="C5" s="9" t="inlineStr">
        <is>
          <t>樣品</t>
        </is>
      </c>
      <c r="D5" s="9" t="inlineStr">
        <is>
          <t>主要酸</t>
        </is>
      </c>
      <c r="E5" s="9" t="inlineStr">
        <is>
          <t>當量重 (g/eq)</t>
        </is>
      </c>
      <c r="F5" s="9" t="inlineStr">
        <is>
          <t>取樣量 W (mL/g)</t>
        </is>
      </c>
    </row>
    <row r="6">
      <c r="B6" s="5" t="inlineStr">
        <is>
          <t>vinegar</t>
        </is>
      </c>
      <c r="C6" s="5" t="inlineStr">
        <is>
          <t>白醋</t>
        </is>
      </c>
      <c r="D6" s="5" t="inlineStr">
        <is>
          <t>醋酸</t>
        </is>
      </c>
      <c r="E6" s="29" t="n">
        <v>60.05</v>
      </c>
      <c r="F6" s="29" t="n">
        <v>2</v>
      </c>
      <c r="H6" s="20" t="inlineStr">
        <is>
          <t>sample 代碼必須和原始數據 I 欄完全一樣（大小寫、底線）。多做一種樣品就在下面空白列補上。當量重：醋酸 60.05、檸檬酸 64.04（三元酸，192.12÷3）、乳酸 90.08、酒石酸 75.04（二元酸，150.09÷2）。</t>
        </is>
      </c>
    </row>
    <row r="7">
      <c r="B7" s="5" t="inlineStr">
        <is>
          <t>orange_juice</t>
        </is>
      </c>
      <c r="C7" s="5" t="inlineStr">
        <is>
          <t>柳橙汁</t>
        </is>
      </c>
      <c r="D7" s="5" t="inlineStr">
        <is>
          <t>檸檬酸</t>
        </is>
      </c>
      <c r="E7" s="29" t="n">
        <v>64.04000000000001</v>
      </c>
      <c r="F7" s="29" t="n">
        <v>5</v>
      </c>
    </row>
    <row r="8">
      <c r="B8" s="5" t="inlineStr">
        <is>
          <t>yogurt</t>
        </is>
      </c>
      <c r="C8" s="5" t="inlineStr">
        <is>
          <t>優格</t>
        </is>
      </c>
      <c r="D8" s="5" t="inlineStr">
        <is>
          <t>乳酸</t>
        </is>
      </c>
      <c r="E8" s="29" t="n">
        <v>90.08</v>
      </c>
      <c r="F8" s="29" t="n">
        <v>5</v>
      </c>
    </row>
    <row r="9">
      <c r="B9" s="5" t="inlineStr">
        <is>
          <t>red_wine</t>
        </is>
      </c>
      <c r="C9" s="5" t="inlineStr">
        <is>
          <t>紅酒</t>
        </is>
      </c>
      <c r="D9" s="5" t="inlineStr">
        <is>
          <t>酒石酸</t>
        </is>
      </c>
      <c r="E9" s="29" t="n">
        <v>75.04000000000001</v>
      </c>
      <c r="F9" s="29" t="n">
        <v>5</v>
      </c>
    </row>
    <row r="10">
      <c r="B10" s="5" t="n"/>
      <c r="C10" s="5" t="n"/>
      <c r="D10" s="5" t="n"/>
      <c r="E10" s="5" t="n"/>
      <c r="F10" s="5" t="n"/>
    </row>
    <row r="11">
      <c r="B11" s="5" t="n"/>
      <c r="C11" s="5" t="n"/>
      <c r="D11" s="5" t="n"/>
      <c r="E11" s="5" t="n"/>
      <c r="F11" s="5" t="n"/>
    </row>
    <row r="12">
      <c r="B12" s="5" t="n"/>
      <c r="C12" s="5" t="n"/>
      <c r="D12" s="5" t="n"/>
      <c r="E12" s="5" t="n"/>
      <c r="F12" s="5" t="n"/>
    </row>
    <row r="13">
      <c r="B13" s="5" t="n"/>
      <c r="C13" s="5" t="n"/>
      <c r="D13" s="5" t="n"/>
      <c r="E13" s="5" t="n"/>
      <c r="F13" s="5" t="n"/>
    </row>
    <row r="15">
      <c r="B15" s="3" t="inlineStr">
        <is>
          <t>2-2 計算機：講義範例（白醋 2.00 mL，用去 15.1 mL NaOH）</t>
        </is>
      </c>
    </row>
    <row r="16">
      <c r="B16" s="28" t="inlineStr">
        <is>
          <t>N_NaOH (M)</t>
        </is>
      </c>
      <c r="C16" s="11">
        <f>'2_NaOH標定'!C11</f>
        <v/>
      </c>
      <c r="H16" s="20" t="inlineStr">
        <is>
          <t>N 直接連到「2_NaOH標定」的計算機（C11）。範例應得 4.56% 醋酸。</t>
        </is>
      </c>
    </row>
    <row r="17">
      <c r="B17" s="28" t="inlineStr">
        <is>
          <t>NaOH 用量 V (mL)</t>
        </is>
      </c>
      <c r="C17" s="29" t="n">
        <v>15.1</v>
      </c>
    </row>
    <row r="18">
      <c r="B18" s="28" t="inlineStr">
        <is>
          <t>當量重 (g/eq)</t>
        </is>
      </c>
      <c r="C18" s="29" t="n">
        <v>60.05</v>
      </c>
    </row>
    <row r="19">
      <c r="B19" s="28" t="inlineStr">
        <is>
          <t>取樣量 W (mL)</t>
        </is>
      </c>
      <c r="C19" s="29" t="n">
        <v>2</v>
      </c>
      <c r="H19" s="20" t="inlineStr">
        <is>
          <t>為什麼 ÷1000：N × V(mL) 得到的是 mmol，乘當量重得到 mg，÷1000 換成 g，再 ÷ W × 100 變成 %。</t>
        </is>
      </c>
    </row>
    <row r="20">
      <c r="B20" s="28" t="inlineStr">
        <is>
          <t>% 酸</t>
        </is>
      </c>
      <c r="C20" s="35">
        <f>C16*C17*C18/(C19*1000)*100</f>
        <v/>
      </c>
    </row>
    <row r="22">
      <c r="B22" s="3" t="inlineStr">
        <is>
          <t>2-3 各樣品的手動滴定結果（每一次的計算在原始數據 K–N 欄）</t>
        </is>
      </c>
    </row>
    <row r="23">
      <c r="B23" s="9" t="inlineStr">
        <is>
          <t>sample</t>
        </is>
      </c>
      <c r="C23" s="9" t="inlineStr">
        <is>
          <t>n</t>
        </is>
      </c>
      <c r="D23" s="9" t="inlineStr">
        <is>
          <t>平均 % 酸</t>
        </is>
      </c>
      <c r="E23" s="9" t="inlineStr">
        <is>
          <t>SD</t>
        </is>
      </c>
      <c r="F23" s="9" t="inlineStr">
        <is>
          <t>RSD (%)</t>
        </is>
      </c>
    </row>
    <row r="24">
      <c r="B24" s="13">
        <f>IF(B6="","",B6)</f>
        <v/>
      </c>
      <c r="C24" s="33">
        <f>IF(B24="","",COUNTIFS('1_原始數據'!$I$2:$I$1000,B24,'1_原始數據'!$C$2:$C$1000,"manual_titration_mL"))</f>
        <v/>
      </c>
      <c r="D24" s="32">
        <f>IF(OR(B24="",C24=0),"",AVERAGEIFS('1_原始數據'!$N$2:$N$1000,'1_原始數據'!$I$2:$I$1000,B24,'1_原始數據'!$C$2:$C$1000,"manual_titration_mL"))</f>
        <v/>
      </c>
      <c r="E24" s="11">
        <f t="array" ref="E24">IF(OR(B24="",C24&lt;2),"",_xlfn.STDEV.S(IF(('1_原始數據'!$I$2:$I$1000=B24)*('1_原始數據'!$C$2:$C$1000="manual_titration_mL"),'1_原始數據'!$N$2:$N$1000)))</f>
        <v/>
      </c>
      <c r="F24" s="35">
        <f>IF(E24="","",E24/D24*100)</f>
        <v/>
      </c>
      <c r="H24" s="20" t="inlineStr">
        <is>
          <t>SD 用陣列公式 {=STDEV.S(IF(條件, 數值))}：只把符合條件（這個樣品、手動滴定）的 % 酸交給 STDEV.S。自己輸入時，舊版 Excel 要按 Ctrl+Shift+Enter；Excel 365 直接按 Enter。</t>
        </is>
      </c>
    </row>
    <row r="25">
      <c r="B25" s="13">
        <f>IF(B7="","",B7)</f>
        <v/>
      </c>
      <c r="C25" s="33">
        <f>IF(B25="","",COUNTIFS('1_原始數據'!$I$2:$I$1000,B25,'1_原始數據'!$C$2:$C$1000,"manual_titration_mL"))</f>
        <v/>
      </c>
      <c r="D25" s="32">
        <f>IF(OR(B25="",C25=0),"",AVERAGEIFS('1_原始數據'!$N$2:$N$1000,'1_原始數據'!$I$2:$I$1000,B25,'1_原始數據'!$C$2:$C$1000,"manual_titration_mL"))</f>
        <v/>
      </c>
      <c r="E25" s="11">
        <f t="array" ref="E25">IF(OR(B25="",C25&lt;2),"",_xlfn.STDEV.S(IF(('1_原始數據'!$I$2:$I$1000=B25)*('1_原始數據'!$C$2:$C$1000="manual_titration_mL"),'1_原始數據'!$N$2:$N$1000)))</f>
        <v/>
      </c>
      <c r="F25" s="35">
        <f>IF(E25="","",E25/D25*100)</f>
        <v/>
      </c>
    </row>
    <row r="26">
      <c r="B26" s="13">
        <f>IF(B8="","",B8)</f>
        <v/>
      </c>
      <c r="C26" s="33">
        <f>IF(B26="","",COUNTIFS('1_原始數據'!$I$2:$I$1000,B26,'1_原始數據'!$C$2:$C$1000,"manual_titration_mL"))</f>
        <v/>
      </c>
      <c r="D26" s="32">
        <f>IF(OR(B26="",C26=0),"",AVERAGEIFS('1_原始數據'!$N$2:$N$1000,'1_原始數據'!$I$2:$I$1000,B26,'1_原始數據'!$C$2:$C$1000,"manual_titration_mL"))</f>
        <v/>
      </c>
      <c r="E26" s="11">
        <f t="array" ref="E26">IF(OR(B26="",C26&lt;2),"",_xlfn.STDEV.S(IF(('1_原始數據'!$I$2:$I$1000=B26)*('1_原始數據'!$C$2:$C$1000="manual_titration_mL"),'1_原始數據'!$N$2:$N$1000)))</f>
        <v/>
      </c>
      <c r="F26" s="35">
        <f>IF(E26="","",E26/D26*100)</f>
        <v/>
      </c>
    </row>
    <row r="27">
      <c r="B27" s="13">
        <f>IF(B9="","",B9)</f>
        <v/>
      </c>
      <c r="C27" s="33">
        <f>IF(B27="","",COUNTIFS('1_原始數據'!$I$2:$I$1000,B27,'1_原始數據'!$C$2:$C$1000,"manual_titration_mL"))</f>
        <v/>
      </c>
      <c r="D27" s="32">
        <f>IF(OR(B27="",C27=0),"",AVERAGEIFS('1_原始數據'!$N$2:$N$1000,'1_原始數據'!$I$2:$I$1000,B27,'1_原始數據'!$C$2:$C$1000,"manual_titration_mL"))</f>
        <v/>
      </c>
      <c r="E27" s="11">
        <f t="array" ref="E27">IF(OR(B27="",C27&lt;2),"",_xlfn.STDEV.S(IF(('1_原始數據'!$I$2:$I$1000=B27)*('1_原始數據'!$C$2:$C$1000="manual_titration_mL"),'1_原始數據'!$N$2:$N$1000)))</f>
        <v/>
      </c>
      <c r="F27" s="35">
        <f>IF(E27="","",E27/D27*100)</f>
        <v/>
      </c>
      <c r="H27" s="20" t="inlineStr">
        <is>
          <t>看 RSD：哪個樣品的重複性最差？紅酒顏色深，指示劑終點（粉紅色）不容易看，這正是自動滴定（看 pH）的優勢。</t>
        </is>
      </c>
    </row>
    <row r="28">
      <c r="B28" s="13">
        <f>IF(B10="","",B10)</f>
        <v/>
      </c>
      <c r="C28" s="33">
        <f>IF(B28="","",COUNTIFS('1_原始數據'!$I$2:$I$1000,B28,'1_原始數據'!$C$2:$C$1000,"manual_titration_mL"))</f>
        <v/>
      </c>
      <c r="D28" s="32">
        <f>IF(OR(B28="",C28=0),"",AVERAGEIFS('1_原始數據'!$N$2:$N$1000,'1_原始數據'!$I$2:$I$1000,B28,'1_原始數據'!$C$2:$C$1000,"manual_titration_mL"))</f>
        <v/>
      </c>
      <c r="E28" s="11">
        <f t="array" ref="E28">IF(OR(B28="",C28&lt;2),"",_xlfn.STDEV.S(IF(('1_原始數據'!$I$2:$I$1000=B28)*('1_原始數據'!$C$2:$C$1000="manual_titration_mL"),'1_原始數據'!$N$2:$N$1000)))</f>
        <v/>
      </c>
      <c r="F28" s="35">
        <f>IF(E28="","",E28/D28*100)</f>
        <v/>
      </c>
    </row>
    <row r="29">
      <c r="B29" s="13">
        <f>IF(B11="","",B11)</f>
        <v/>
      </c>
      <c r="C29" s="33">
        <f>IF(B29="","",COUNTIFS('1_原始數據'!$I$2:$I$1000,B29,'1_原始數據'!$C$2:$C$1000,"manual_titration_mL"))</f>
        <v/>
      </c>
      <c r="D29" s="32">
        <f>IF(OR(B29="",C29=0),"",AVERAGEIFS('1_原始數據'!$N$2:$N$1000,'1_原始數據'!$I$2:$I$1000,B29,'1_原始數據'!$C$2:$C$1000,"manual_titration_mL"))</f>
        <v/>
      </c>
      <c r="E29" s="11">
        <f t="array" ref="E29">IF(OR(B29="",C29&lt;2),"",_xlfn.STDEV.S(IF(('1_原始數據'!$I$2:$I$1000=B29)*('1_原始數據'!$C$2:$C$1000="manual_titration_mL"),'1_原始數據'!$N$2:$N$1000)))</f>
        <v/>
      </c>
      <c r="F29" s="35">
        <f>IF(E29="","",E29/D29*100)</f>
        <v/>
      </c>
    </row>
    <row r="30">
      <c r="B30" s="13">
        <f>IF(B12="","",B12)</f>
        <v/>
      </c>
      <c r="C30" s="33">
        <f>IF(B30="","",COUNTIFS('1_原始數據'!$I$2:$I$1000,B30,'1_原始數據'!$C$2:$C$1000,"manual_titration_mL"))</f>
        <v/>
      </c>
      <c r="D30" s="32">
        <f>IF(OR(B30="",C30=0),"",AVERAGEIFS('1_原始數據'!$N$2:$N$1000,'1_原始數據'!$I$2:$I$1000,B30,'1_原始數據'!$C$2:$C$1000,"manual_titration_mL"))</f>
        <v/>
      </c>
      <c r="E30" s="11">
        <f t="array" ref="E30">IF(OR(B30="",C30&lt;2),"",_xlfn.STDEV.S(IF(('1_原始數據'!$I$2:$I$1000=B30)*('1_原始數據'!$C$2:$C$1000="manual_titration_mL"),'1_原始數據'!$N$2:$N$1000)))</f>
        <v/>
      </c>
      <c r="F30" s="35">
        <f>IF(E30="","",E30/D30*100)</f>
        <v/>
      </c>
    </row>
    <row r="31">
      <c r="B31" s="13">
        <f>IF(B13="","",B13)</f>
        <v/>
      </c>
      <c r="C31" s="33">
        <f>IF(B31="","",COUNTIFS('1_原始數據'!$I$2:$I$1000,B31,'1_原始數據'!$C$2:$C$1000,"manual_titration_mL"))</f>
        <v/>
      </c>
      <c r="D31" s="32">
        <f>IF(OR(B31="",C31=0),"",AVERAGEIFS('1_原始數據'!$N$2:$N$1000,'1_原始數據'!$I$2:$I$1000,B31,'1_原始數據'!$C$2:$C$1000,"manual_titration_mL"))</f>
        <v/>
      </c>
      <c r="E31" s="11">
        <f t="array" ref="E31">IF(OR(B31="",C31&lt;2),"",_xlfn.STDEV.S(IF(('1_原始數據'!$I$2:$I$1000=B31)*('1_原始數據'!$C$2:$C$1000="manual_titration_mL"),'1_原始數據'!$N$2:$N$1000)))</f>
        <v/>
      </c>
      <c r="F31" s="35">
        <f>IF(E31="","",E31/D31*100)</f>
        <v/>
      </c>
    </row>
  </sheetData>
  <mergeCells count="5">
    <mergeCell ref="H24:H26"/>
    <mergeCell ref="B2:H2"/>
    <mergeCell ref="H6:H10"/>
    <mergeCell ref="H27:H29"/>
    <mergeCell ref="H19:H20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Z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9" customWidth="1" min="8" max="8"/>
    <col width="12" customWidth="1" min="9" max="9"/>
    <col width="3" customWidth="1" min="10" max="10"/>
    <col width="34" customWidth="1" min="11" max="11"/>
    <col width="12" customWidth="1" min="12" max="12"/>
    <col width="3" customWidth="1" min="13" max="13"/>
    <col width="60" customWidth="1" min="14" max="14"/>
  </cols>
  <sheetData>
    <row r="1">
      <c r="A1" s="1" t="inlineStr">
        <is>
          <t>步驟 3　PASCO 滴定曲線：用導數找當量點</t>
        </is>
      </c>
    </row>
    <row r="2" ht="30" customHeight="1">
      <c r="A2" s="20" t="inlineStr">
        <is>
          <t>A、B 欄（黃色）貼上 PASCO 匯出的「體積, pH」兩欄（從 A4 開始，體積由小到大排序）。C–I 欄自動算一階、二階導數；K–L 欄是結果。</t>
        </is>
      </c>
      <c r="P2" s="2" t="inlineStr">
        <is>
          <t>圖用輔助數據（自動計算；空白列重複最後一點，圖才不會亂）</t>
        </is>
      </c>
    </row>
    <row r="3" ht="30" customHeight="1">
      <c r="A3" s="9" t="inlineStr">
        <is>
          <t>Volume (mL)</t>
        </is>
      </c>
      <c r="B3" s="9" t="inlineStr">
        <is>
          <t>pH</t>
        </is>
      </c>
      <c r="C3" s="9" t="inlineStr">
        <is>
          <t>ΔV</t>
        </is>
      </c>
      <c r="D3" s="9" t="inlineStr">
        <is>
          <t>ΔpH</t>
        </is>
      </c>
      <c r="E3" s="9" t="inlineStr">
        <is>
          <t>V 中點</t>
        </is>
      </c>
      <c r="F3" s="9" t="inlineStr">
        <is>
          <t>ΔpH/ΔV
(正確)</t>
        </is>
      </c>
      <c r="G3" s="9" t="inlineStr">
        <is>
          <t>ΔpH/平均間距
(錯誤示範)</t>
        </is>
      </c>
      <c r="H3" s="9" t="inlineStr">
        <is>
          <t>V 中點的中點</t>
        </is>
      </c>
      <c r="I3" s="9" t="inlineStr">
        <is>
          <t>Δ²pH/ΔV²
(二階)</t>
        </is>
      </c>
      <c r="K3" s="3" t="inlineStr">
        <is>
          <t>3-1 讀進來的曲線</t>
        </is>
      </c>
      <c r="P3" s="9" t="inlineStr">
        <is>
          <t>V 中點</t>
        </is>
      </c>
      <c r="Q3" s="9" t="inlineStr">
        <is>
          <t>一階(正確)</t>
        </is>
      </c>
      <c r="R3" s="9" t="inlineStr">
        <is>
          <t>一階(錯誤)</t>
        </is>
      </c>
      <c r="S3" s="9" t="inlineStr">
        <is>
          <t>V 中點2</t>
        </is>
      </c>
      <c r="T3" s="9" t="inlineStr">
        <is>
          <t>二階</t>
        </is>
      </c>
      <c r="W3" s="9" t="inlineStr">
        <is>
          <t>線 x</t>
        </is>
      </c>
      <c r="X3" s="9" t="inlineStr">
        <is>
          <t>線 y</t>
        </is>
      </c>
    </row>
    <row r="4">
      <c r="A4" s="36" t="n">
        <v>0.006</v>
      </c>
      <c r="B4" s="36" t="n">
        <v>2.942</v>
      </c>
      <c r="C4" s="37">
        <f>IF(OR(A4="",A5=""),"",A5-A4)</f>
        <v/>
      </c>
      <c r="D4" s="37">
        <f>IF(C4="","",B5-B4)</f>
        <v/>
      </c>
      <c r="E4" s="37">
        <f>IF(C4="","",(A4+A5)/2)</f>
        <v/>
      </c>
      <c r="F4" s="25">
        <f>IF(OR(C4="",C4=0),"",D4/C4)</f>
        <v/>
      </c>
      <c r="G4" s="25">
        <f>IF(C4="","",D4/$L$6)</f>
        <v/>
      </c>
      <c r="H4" s="37">
        <f>IF(OR(F4="",F5=""),"",(E4+E5)/2)</f>
        <v/>
      </c>
      <c r="I4" s="25">
        <f>IF(H4="","",(F5-F4)/(E5-E4))</f>
        <v/>
      </c>
      <c r="P4" s="25">
        <f>IF(($L$5-1)&lt;1,"",IF(1&lt;=($L$5-1),E4,INDEX($E$4:$E$603,($L$5-1))))</f>
        <v/>
      </c>
      <c r="Q4" s="25">
        <f>IF(($L$5-1)&lt;1,"",IF(1&lt;=($L$5-1),F4,INDEX($F$4:$F$603,($L$5-1))))</f>
        <v/>
      </c>
      <c r="R4" s="25">
        <f>IF(($L$5-1)&lt;1,"",IF(1&lt;=($L$5-1),G4,INDEX($G$4:$G$603,($L$5-1))))</f>
        <v/>
      </c>
      <c r="S4" s="25">
        <f>IF(($L$5-2)&lt;1,"",IF(1&lt;=($L$5-2),H4,INDEX($H$4:$H$603,($L$5-2))))</f>
        <v/>
      </c>
      <c r="T4" s="25">
        <f>IF(($L$5-2)&lt;1,"",IF(1&lt;=($L$5-2),I4,INDEX($I$4:$I$603,($L$5-2))))</f>
        <v/>
      </c>
      <c r="W4" s="16">
        <f>L10</f>
        <v/>
      </c>
      <c r="X4" s="14">
        <f>MIN($B$4:$B$603)</f>
        <v/>
      </c>
    </row>
    <row r="5" ht="15" customHeight="1">
      <c r="A5" s="36" t="n">
        <v>0.984</v>
      </c>
      <c r="B5" s="36" t="n">
        <v>3.544</v>
      </c>
      <c r="C5" s="37">
        <f>IF(OR(A5="",A6=""),"",A6-A5)</f>
        <v/>
      </c>
      <c r="D5" s="37">
        <f>IF(C5="","",B6-B5)</f>
        <v/>
      </c>
      <c r="E5" s="37">
        <f>IF(C5="","",(A5+A6)/2)</f>
        <v/>
      </c>
      <c r="F5" s="25">
        <f>IF(OR(C5="",C5=0),"",D5/C5)</f>
        <v/>
      </c>
      <c r="G5" s="25">
        <f>IF(C5="","",D5/$L$6)</f>
        <v/>
      </c>
      <c r="H5" s="37">
        <f>IF(OR(F5="",F6=""),"",(E5+E6)/2)</f>
        <v/>
      </c>
      <c r="I5" s="25">
        <f>IF(H5="","",(F6-F5)/(E6-E5))</f>
        <v/>
      </c>
      <c r="K5" s="10" t="inlineStr">
        <is>
          <t>數據點數</t>
        </is>
      </c>
      <c r="L5" s="33">
        <f>COUNT($A$4:$A$603)</f>
        <v/>
      </c>
      <c r="N5" s="20" t="inlineStr">
        <is>
          <t>COUNT 數 A 欄有幾個數字。</t>
        </is>
      </c>
      <c r="P5" s="25">
        <f>IF(($L$5-1)&lt;1,"",IF(2&lt;=($L$5-1),E5,INDEX($E$4:$E$603,($L$5-1))))</f>
        <v/>
      </c>
      <c r="Q5" s="25">
        <f>IF(($L$5-1)&lt;1,"",IF(2&lt;=($L$5-1),F5,INDEX($F$4:$F$603,($L$5-1))))</f>
        <v/>
      </c>
      <c r="R5" s="25">
        <f>IF(($L$5-1)&lt;1,"",IF(2&lt;=($L$5-1),G5,INDEX($G$4:$G$603,($L$5-1))))</f>
        <v/>
      </c>
      <c r="S5" s="25">
        <f>IF(($L$5-2)&lt;1,"",IF(2&lt;=($L$5-2),H5,INDEX($H$4:$H$603,($L$5-2))))</f>
        <v/>
      </c>
      <c r="T5" s="25">
        <f>IF(($L$5-2)&lt;1,"",IF(2&lt;=($L$5-2),I5,INDEX($I$4:$I$603,($L$5-2))))</f>
        <v/>
      </c>
      <c r="W5" s="16">
        <f>L10</f>
        <v/>
      </c>
      <c r="X5" s="14">
        <f>MAX($B$4:$B$603)</f>
        <v/>
      </c>
    </row>
    <row r="6" ht="30" customHeight="1">
      <c r="A6" s="36" t="n">
        <v>2.011</v>
      </c>
      <c r="B6" s="36" t="n">
        <v>3.833</v>
      </c>
      <c r="C6" s="37">
        <f>IF(OR(A6="",A7=""),"",A7-A6)</f>
        <v/>
      </c>
      <c r="D6" s="37">
        <f>IF(C6="","",B7-B6)</f>
        <v/>
      </c>
      <c r="E6" s="37">
        <f>IF(C6="","",(A6+A7)/2)</f>
        <v/>
      </c>
      <c r="F6" s="25">
        <f>IF(OR(C6="",C6=0),"",D6/C6)</f>
        <v/>
      </c>
      <c r="G6" s="25">
        <f>IF(C6="","",D6/$L$6)</f>
        <v/>
      </c>
      <c r="H6" s="37">
        <f>IF(OR(F6="",F7=""),"",(E6+E7)/2)</f>
        <v/>
      </c>
      <c r="I6" s="25">
        <f>IF(H6="","",(F7-F6)/(E7-E6))</f>
        <v/>
      </c>
      <c r="K6" s="10" t="inlineStr">
        <is>
          <t>平均間距 (mL)（錯誤示範用）</t>
        </is>
      </c>
      <c r="L6" s="16">
        <f>(MAX($A$4:$A$603)-MIN($A$4:$A$603))/(L5-1)</f>
        <v/>
      </c>
      <c r="N6" s="20" t="inlineStr">
        <is>
          <t>（最後體積 − 第一個體積）÷（點數 − 1）。G 欄用它當「固定間距」，是錯誤作法。</t>
        </is>
      </c>
      <c r="P6" s="25">
        <f>IF(($L$5-1)&lt;1,"",IF(3&lt;=($L$5-1),E6,INDEX($E$4:$E$603,($L$5-1))))</f>
        <v/>
      </c>
      <c r="Q6" s="25">
        <f>IF(($L$5-1)&lt;1,"",IF(3&lt;=($L$5-1),F6,INDEX($F$4:$F$603,($L$5-1))))</f>
        <v/>
      </c>
      <c r="R6" s="25">
        <f>IF(($L$5-1)&lt;1,"",IF(3&lt;=($L$5-1),G6,INDEX($G$4:$G$603,($L$5-1))))</f>
        <v/>
      </c>
      <c r="S6" s="25">
        <f>IF(($L$5-2)&lt;1,"",IF(3&lt;=($L$5-2),H6,INDEX($H$4:$H$603,($L$5-2))))</f>
        <v/>
      </c>
      <c r="T6" s="25">
        <f>IF(($L$5-2)&lt;1,"",IF(3&lt;=($L$5-2),I6,INDEX($I$4:$I$603,($L$5-2))))</f>
        <v/>
      </c>
      <c r="W6" s="16">
        <f>L10</f>
        <v/>
      </c>
      <c r="X6" s="14">
        <f>0</f>
        <v/>
      </c>
    </row>
    <row r="7">
      <c r="A7" s="36" t="n">
        <v>3.014</v>
      </c>
      <c r="B7" s="36" t="n">
        <v>4.036</v>
      </c>
      <c r="C7" s="37">
        <f>IF(OR(A7="",A8=""),"",A8-A7)</f>
        <v/>
      </c>
      <c r="D7" s="37">
        <f>IF(C7="","",B8-B7)</f>
        <v/>
      </c>
      <c r="E7" s="37">
        <f>IF(C7="","",(A7+A8)/2)</f>
        <v/>
      </c>
      <c r="F7" s="25">
        <f>IF(OR(C7="",C7=0),"",D7/C7)</f>
        <v/>
      </c>
      <c r="G7" s="25">
        <f>IF(C7="","",D7/$L$6)</f>
        <v/>
      </c>
      <c r="H7" s="37">
        <f>IF(OR(F7="",F8=""),"",(E7+E8)/2)</f>
        <v/>
      </c>
      <c r="I7" s="25">
        <f>IF(H7="","",(F8-F7)/(E8-E7))</f>
        <v/>
      </c>
      <c r="K7" s="3" t="inlineStr">
        <is>
          <t>3-2 一階導數法（最陡處）</t>
        </is>
      </c>
      <c r="P7" s="25">
        <f>IF(($L$5-1)&lt;1,"",IF(4&lt;=($L$5-1),E7,INDEX($E$4:$E$603,($L$5-1))))</f>
        <v/>
      </c>
      <c r="Q7" s="25">
        <f>IF(($L$5-1)&lt;1,"",IF(4&lt;=($L$5-1),F7,INDEX($F$4:$F$603,($L$5-1))))</f>
        <v/>
      </c>
      <c r="R7" s="25">
        <f>IF(($L$5-1)&lt;1,"",IF(4&lt;=($L$5-1),G7,INDEX($G$4:$G$603,($L$5-1))))</f>
        <v/>
      </c>
      <c r="S7" s="25">
        <f>IF(($L$5-2)&lt;1,"",IF(4&lt;=($L$5-2),H7,INDEX($H$4:$H$603,($L$5-2))))</f>
        <v/>
      </c>
      <c r="T7" s="25">
        <f>IF(($L$5-2)&lt;1,"",IF(4&lt;=($L$5-2),I7,INDEX($I$4:$I$603,($L$5-2))))</f>
        <v/>
      </c>
      <c r="W7" s="16">
        <f>L10</f>
        <v/>
      </c>
      <c r="X7" s="14">
        <f>L8</f>
        <v/>
      </c>
    </row>
    <row r="8" ht="15" customHeight="1">
      <c r="A8" s="36" t="n">
        <v>3.971</v>
      </c>
      <c r="B8" s="36" t="n">
        <v>4.181</v>
      </c>
      <c r="C8" s="37">
        <f>IF(OR(A8="",A9=""),"",A9-A8)</f>
        <v/>
      </c>
      <c r="D8" s="37">
        <f>IF(C8="","",B9-B8)</f>
        <v/>
      </c>
      <c r="E8" s="37">
        <f>IF(C8="","",(A8+A9)/2)</f>
        <v/>
      </c>
      <c r="F8" s="25">
        <f>IF(OR(C8="",C8=0),"",D8/C8)</f>
        <v/>
      </c>
      <c r="G8" s="25">
        <f>IF(C8="","",D8/$L$6)</f>
        <v/>
      </c>
      <c r="H8" s="37">
        <f>IF(OR(F8="",F9=""),"",(E8+E9)/2)</f>
        <v/>
      </c>
      <c r="I8" s="25">
        <f>IF(H8="","",(F9-F8)/(E9-E8))</f>
        <v/>
      </c>
      <c r="K8" s="10" t="inlineStr">
        <is>
          <t>一階導數最大值 (pH/mL)</t>
        </is>
      </c>
      <c r="L8" s="35">
        <f>MAX($F$4:$F$603)</f>
        <v/>
      </c>
      <c r="N8" s="20" t="inlineStr">
        <is>
          <t>MAX 找出 F 欄（ΔpH/ΔV）最大的數字，也就是曲線最陡的地方。</t>
        </is>
      </c>
      <c r="P8" s="25">
        <f>IF(($L$5-1)&lt;1,"",IF(5&lt;=($L$5-1),E8,INDEX($E$4:$E$603,($L$5-1))))</f>
        <v/>
      </c>
      <c r="Q8" s="25">
        <f>IF(($L$5-1)&lt;1,"",IF(5&lt;=($L$5-1),F8,INDEX($F$4:$F$603,($L$5-1))))</f>
        <v/>
      </c>
      <c r="R8" s="25">
        <f>IF(($L$5-1)&lt;1,"",IF(5&lt;=($L$5-1),G8,INDEX($G$4:$G$603,($L$5-1))))</f>
        <v/>
      </c>
      <c r="S8" s="25">
        <f>IF(($L$5-2)&lt;1,"",IF(5&lt;=($L$5-2),H8,INDEX($H$4:$H$603,($L$5-2))))</f>
        <v/>
      </c>
      <c r="T8" s="25">
        <f>IF(($L$5-2)&lt;1,"",IF(5&lt;=($L$5-2),I8,INDEX($I$4:$I$603,($L$5-2))))</f>
        <v/>
      </c>
      <c r="W8" s="16">
        <f>MIN($A$4:$A$603)</f>
        <v/>
      </c>
      <c r="X8" s="14">
        <f>0</f>
        <v/>
      </c>
    </row>
    <row r="9" ht="30" customHeight="1">
      <c r="A9" s="36" t="n">
        <v>4.98</v>
      </c>
      <c r="B9" s="36" t="n">
        <v>4.293</v>
      </c>
      <c r="C9" s="37">
        <f>IF(OR(A9="",A10=""),"",A10-A9)</f>
        <v/>
      </c>
      <c r="D9" s="37">
        <f>IF(C9="","",B10-B9)</f>
        <v/>
      </c>
      <c r="E9" s="37">
        <f>IF(C9="","",(A9+A10)/2)</f>
        <v/>
      </c>
      <c r="F9" s="25">
        <f>IF(OR(C9="",C9=0),"",D9/C9)</f>
        <v/>
      </c>
      <c r="G9" s="25">
        <f>IF(C9="","",D9/$L$6)</f>
        <v/>
      </c>
      <c r="H9" s="37">
        <f>IF(OR(F9="",F10=""),"",(E9+E10)/2)</f>
        <v/>
      </c>
      <c r="I9" s="25">
        <f>IF(H9="","",(F10-F9)/(E10-E9))</f>
        <v/>
      </c>
      <c r="K9" s="10" t="inlineStr">
        <is>
          <t>它在第幾格</t>
        </is>
      </c>
      <c r="L9" s="33">
        <f>MATCH(L8,$F$4:$F$603,0)</f>
        <v/>
      </c>
      <c r="N9" s="20" t="inlineStr">
        <is>
          <t>MATCH(要找的值, 範圍, 0)：回答「這個值在範圍裡的第幾格」。0＝完全相同才算。</t>
        </is>
      </c>
      <c r="P9" s="25">
        <f>IF(($L$5-1)&lt;1,"",IF(6&lt;=($L$5-1),E9,INDEX($E$4:$E$603,($L$5-1))))</f>
        <v/>
      </c>
      <c r="Q9" s="25">
        <f>IF(($L$5-1)&lt;1,"",IF(6&lt;=($L$5-1),F9,INDEX($F$4:$F$603,($L$5-1))))</f>
        <v/>
      </c>
      <c r="R9" s="25">
        <f>IF(($L$5-1)&lt;1,"",IF(6&lt;=($L$5-1),G9,INDEX($G$4:$G$603,($L$5-1))))</f>
        <v/>
      </c>
      <c r="S9" s="25">
        <f>IF(($L$5-2)&lt;1,"",IF(6&lt;=($L$5-2),H9,INDEX($H$4:$H$603,($L$5-2))))</f>
        <v/>
      </c>
      <c r="T9" s="25">
        <f>IF(($L$5-2)&lt;1,"",IF(6&lt;=($L$5-2),I9,INDEX($I$4:$I$603,($L$5-2))))</f>
        <v/>
      </c>
      <c r="W9" s="16">
        <f>MAX($A$4:$A$603)</f>
        <v/>
      </c>
      <c r="X9" s="14">
        <f>0</f>
        <v/>
      </c>
    </row>
    <row r="10" ht="30" customHeight="1">
      <c r="A10" s="36" t="n">
        <v>6.002</v>
      </c>
      <c r="B10" s="36" t="n">
        <v>4.441</v>
      </c>
      <c r="C10" s="37">
        <f>IF(OR(A10="",A11=""),"",A11-A10)</f>
        <v/>
      </c>
      <c r="D10" s="37">
        <f>IF(C10="","",B11-B10)</f>
        <v/>
      </c>
      <c r="E10" s="37">
        <f>IF(C10="","",(A10+A11)/2)</f>
        <v/>
      </c>
      <c r="F10" s="25">
        <f>IF(OR(C10="",C10=0),"",D10/C10)</f>
        <v/>
      </c>
      <c r="G10" s="25">
        <f>IF(C10="","",D10/$L$6)</f>
        <v/>
      </c>
      <c r="H10" s="37">
        <f>IF(OR(F10="",F11=""),"",(E10+E11)/2)</f>
        <v/>
      </c>
      <c r="I10" s="25">
        <f>IF(H10="","",(F11-F10)/(E11-E10))</f>
        <v/>
      </c>
      <c r="K10" s="10" t="inlineStr">
        <is>
          <t>當量點 Veq（一階導數法, mL）</t>
        </is>
      </c>
      <c r="L10" s="38">
        <f>INDEX($E$4:$E$603,L9)</f>
        <v/>
      </c>
      <c r="N10" s="20" t="inlineStr">
        <is>
          <t>INDEX(範圍, 第幾格)：把第幾格的值拿出來。用同一格位置到 E 欄（V 中點）拿體積，就是當量點。</t>
        </is>
      </c>
      <c r="P10" s="25">
        <f>IF(($L$5-1)&lt;1,"",IF(7&lt;=($L$5-1),E10,INDEX($E$4:$E$603,($L$5-1))))</f>
        <v/>
      </c>
      <c r="Q10" s="25">
        <f>IF(($L$5-1)&lt;1,"",IF(7&lt;=($L$5-1),F10,INDEX($F$4:$F$603,($L$5-1))))</f>
        <v/>
      </c>
      <c r="R10" s="25">
        <f>IF(($L$5-1)&lt;1,"",IF(7&lt;=($L$5-1),G10,INDEX($G$4:$G$603,($L$5-1))))</f>
        <v/>
      </c>
      <c r="S10" s="25">
        <f>IF(($L$5-2)&lt;1,"",IF(7&lt;=($L$5-2),H10,INDEX($H$4:$H$603,($L$5-2))))</f>
        <v/>
      </c>
      <c r="T10" s="25">
        <f>IF(($L$5-2)&lt;1,"",IF(7&lt;=($L$5-2),I10,INDEX($I$4:$I$603,($L$5-2))))</f>
        <v/>
      </c>
      <c r="W10" s="16">
        <f>L10</f>
        <v/>
      </c>
      <c r="X10" s="14">
        <f>MIN($I$4:$I$603)</f>
        <v/>
      </c>
    </row>
    <row r="11" ht="15" customHeight="1">
      <c r="A11" s="36" t="n">
        <v>6.995</v>
      </c>
      <c r="B11" s="36" t="n">
        <v>4.523</v>
      </c>
      <c r="C11" s="37">
        <f>IF(OR(A11="",A12=""),"",A12-A11)</f>
        <v/>
      </c>
      <c r="D11" s="37">
        <f>IF(C11="","",B12-B11)</f>
        <v/>
      </c>
      <c r="E11" s="37">
        <f>IF(C11="","",(A11+A12)/2)</f>
        <v/>
      </c>
      <c r="F11" s="25">
        <f>IF(OR(C11="",C11=0),"",D11/C11)</f>
        <v/>
      </c>
      <c r="G11" s="25">
        <f>IF(C11="","",D11/$L$6)</f>
        <v/>
      </c>
      <c r="H11" s="37">
        <f>IF(OR(F11="",F12=""),"",(E11+E12)/2)</f>
        <v/>
      </c>
      <c r="I11" s="25">
        <f>IF(H11="","",(F12-F11)/(E12-E11))</f>
        <v/>
      </c>
      <c r="K11" s="10" t="inlineStr">
        <is>
          <t>錯誤示範：固定間距的最大值</t>
        </is>
      </c>
      <c r="L11" s="14">
        <f>MAX($G$4:$G$603)</f>
        <v/>
      </c>
      <c r="N11" s="20" t="inlineStr">
        <is>
          <t>和 L8 比：峰值高度差很多。</t>
        </is>
      </c>
      <c r="P11" s="25">
        <f>IF(($L$5-1)&lt;1,"",IF(8&lt;=($L$5-1),E11,INDEX($E$4:$E$603,($L$5-1))))</f>
        <v/>
      </c>
      <c r="Q11" s="25">
        <f>IF(($L$5-1)&lt;1,"",IF(8&lt;=($L$5-1),F11,INDEX($F$4:$F$603,($L$5-1))))</f>
        <v/>
      </c>
      <c r="R11" s="25">
        <f>IF(($L$5-1)&lt;1,"",IF(8&lt;=($L$5-1),G11,INDEX($G$4:$G$603,($L$5-1))))</f>
        <v/>
      </c>
      <c r="S11" s="25">
        <f>IF(($L$5-2)&lt;1,"",IF(8&lt;=($L$5-2),H11,INDEX($H$4:$H$603,($L$5-2))))</f>
        <v/>
      </c>
      <c r="T11" s="25">
        <f>IF(($L$5-2)&lt;1,"",IF(8&lt;=($L$5-2),I11,INDEX($I$4:$I$603,($L$5-2))))</f>
        <v/>
      </c>
      <c r="W11" s="16">
        <f>L10</f>
        <v/>
      </c>
      <c r="X11" s="14">
        <f>MAX($I$4:$I$603)</f>
        <v/>
      </c>
    </row>
    <row r="12" ht="30" customHeight="1">
      <c r="A12" s="36" t="n">
        <v>8</v>
      </c>
      <c r="B12" s="36" t="n">
        <v>4.63</v>
      </c>
      <c r="C12" s="37">
        <f>IF(OR(A12="",A13=""),"",A13-A12)</f>
        <v/>
      </c>
      <c r="D12" s="37">
        <f>IF(C12="","",B13-B12)</f>
        <v/>
      </c>
      <c r="E12" s="37">
        <f>IF(C12="","",(A12+A13)/2)</f>
        <v/>
      </c>
      <c r="F12" s="25">
        <f>IF(OR(C12="",C12=0),"",D12/C12)</f>
        <v/>
      </c>
      <c r="G12" s="25">
        <f>IF(C12="","",D12/$L$6)</f>
        <v/>
      </c>
      <c r="H12" s="37">
        <f>IF(OR(F12="",F13=""),"",(E12+E13)/2)</f>
        <v/>
      </c>
      <c r="I12" s="25">
        <f>IF(H12="","",(F13-F12)/(E13-E12))</f>
        <v/>
      </c>
      <c r="K12" s="10" t="inlineStr">
        <is>
          <t>錯誤示範：峰值位置 (mL)</t>
        </is>
      </c>
      <c r="L12" s="16">
        <f>INDEX($E$4:$E$603,MATCH(L11,$G$4:$G$603,0))</f>
        <v/>
      </c>
      <c r="N12" s="20" t="inlineStr">
        <is>
          <t>這份範例數據剛好位置相同，但峰高差三倍多，14–16 mL 那段粗間距的斜率也被放大（比較 F18 與 G18）。</t>
        </is>
      </c>
      <c r="P12" s="25">
        <f>IF(($L$5-1)&lt;1,"",IF(9&lt;=($L$5-1),E12,INDEX($E$4:$E$603,($L$5-1))))</f>
        <v/>
      </c>
      <c r="Q12" s="25">
        <f>IF(($L$5-1)&lt;1,"",IF(9&lt;=($L$5-1),F12,INDEX($F$4:$F$603,($L$5-1))))</f>
        <v/>
      </c>
      <c r="R12" s="25">
        <f>IF(($L$5-1)&lt;1,"",IF(9&lt;=($L$5-1),G12,INDEX($G$4:$G$603,($L$5-1))))</f>
        <v/>
      </c>
      <c r="S12" s="25">
        <f>IF(($L$5-2)&lt;1,"",IF(9&lt;=($L$5-2),H12,INDEX($H$4:$H$603,($L$5-2))))</f>
        <v/>
      </c>
      <c r="T12" s="25">
        <f>IF(($L$5-2)&lt;1,"",IF(9&lt;=($L$5-2),I12,INDEX($I$4:$I$603,($L$5-2))))</f>
        <v/>
      </c>
      <c r="W12" s="16">
        <f>L18</f>
        <v/>
      </c>
      <c r="X12" s="14">
        <f>L20</f>
        <v/>
      </c>
    </row>
    <row r="13">
      <c r="A13" s="36" t="n">
        <v>8.987</v>
      </c>
      <c r="B13" s="36" t="n">
        <v>4.731</v>
      </c>
      <c r="C13" s="37">
        <f>IF(OR(A13="",A14=""),"",A14-A13)</f>
        <v/>
      </c>
      <c r="D13" s="37">
        <f>IF(C13="","",B14-B13)</f>
        <v/>
      </c>
      <c r="E13" s="37">
        <f>IF(C13="","",(A13+A14)/2)</f>
        <v/>
      </c>
      <c r="F13" s="25">
        <f>IF(OR(C13="",C13=0),"",D13/C13)</f>
        <v/>
      </c>
      <c r="G13" s="25">
        <f>IF(C13="","",D13/$L$6)</f>
        <v/>
      </c>
      <c r="H13" s="37">
        <f>IF(OR(F13="",F14=""),"",(E13+E14)/2)</f>
        <v/>
      </c>
      <c r="I13" s="25">
        <f>IF(H13="","",(F14-F13)/(E14-E13))</f>
        <v/>
      </c>
      <c r="K13" s="3" t="inlineStr">
        <is>
          <t>3-3 二階導數法（穿過 0 的地方）</t>
        </is>
      </c>
      <c r="P13" s="25">
        <f>IF(($L$5-1)&lt;1,"",IF(10&lt;=($L$5-1),E13,INDEX($E$4:$E$603,($L$5-1))))</f>
        <v/>
      </c>
      <c r="Q13" s="25">
        <f>IF(($L$5-1)&lt;1,"",IF(10&lt;=($L$5-1),F13,INDEX($F$4:$F$603,($L$5-1))))</f>
        <v/>
      </c>
      <c r="R13" s="25">
        <f>IF(($L$5-1)&lt;1,"",IF(10&lt;=($L$5-1),G13,INDEX($G$4:$G$603,($L$5-1))))</f>
        <v/>
      </c>
      <c r="S13" s="25">
        <f>IF(($L$5-2)&lt;1,"",IF(10&lt;=($L$5-2),H13,INDEX($H$4:$H$603,($L$5-2))))</f>
        <v/>
      </c>
      <c r="T13" s="25">
        <f>IF(($L$5-2)&lt;1,"",IF(10&lt;=($L$5-2),I13,INDEX($I$4:$I$603,($L$5-2))))</f>
        <v/>
      </c>
    </row>
    <row r="14" ht="15" customHeight="1">
      <c r="A14" s="36" t="n">
        <v>10.013</v>
      </c>
      <c r="B14" s="36" t="n">
        <v>4.826</v>
      </c>
      <c r="C14" s="37">
        <f>IF(OR(A14="",A15=""),"",A15-A14)</f>
        <v/>
      </c>
      <c r="D14" s="37">
        <f>IF(C14="","",B15-B14)</f>
        <v/>
      </c>
      <c r="E14" s="37">
        <f>IF(C14="","",(A14+A15)/2)</f>
        <v/>
      </c>
      <c r="F14" s="25">
        <f>IF(OR(C14="",C14=0),"",D14/C14)</f>
        <v/>
      </c>
      <c r="G14" s="25">
        <f>IF(C14="","",D14/$L$6)</f>
        <v/>
      </c>
      <c r="H14" s="37">
        <f>IF(OR(F14="",F15=""),"",(E14+E15)/2)</f>
        <v/>
      </c>
      <c r="I14" s="25">
        <f>IF(H14="","",(F15-F14)/(E15-E14))</f>
        <v/>
      </c>
      <c r="K14" s="10" t="inlineStr">
        <is>
          <t>峰值前的 Δ²pH/ΔV²</t>
        </is>
      </c>
      <c r="L14" s="39">
        <f>INDEX($I$4:$I$603,L9-1)</f>
        <v/>
      </c>
      <c r="N14" s="20" t="inlineStr">
        <is>
          <t>二階導數在峰值前是正的、峰值後是負的，中間穿過 0。</t>
        </is>
      </c>
      <c r="P14" s="25">
        <f>IF(($L$5-1)&lt;1,"",IF(11&lt;=($L$5-1),E14,INDEX($E$4:$E$603,($L$5-1))))</f>
        <v/>
      </c>
      <c r="Q14" s="25">
        <f>IF(($L$5-1)&lt;1,"",IF(11&lt;=($L$5-1),F14,INDEX($F$4:$F$603,($L$5-1))))</f>
        <v/>
      </c>
      <c r="R14" s="25">
        <f>IF(($L$5-1)&lt;1,"",IF(11&lt;=($L$5-1),G14,INDEX($G$4:$G$603,($L$5-1))))</f>
        <v/>
      </c>
      <c r="S14" s="25">
        <f>IF(($L$5-2)&lt;1,"",IF(11&lt;=($L$5-2),H14,INDEX($H$4:$H$603,($L$5-2))))</f>
        <v/>
      </c>
      <c r="T14" s="25">
        <f>IF(($L$5-2)&lt;1,"",IF(11&lt;=($L$5-2),I14,INDEX($I$4:$I$603,($L$5-2))))</f>
        <v/>
      </c>
      <c r="W14" s="20" t="inlineStr">
        <is>
          <t>W4:X5＝Veq 直線（pH 圖）；W6:X7＝Veq 直線（一階圖）；W8:X9＝y = 0；W10:X11＝Veq 直線（二階圖）；W12:X12＝半當量點。</t>
        </is>
      </c>
    </row>
    <row r="15">
      <c r="A15" s="36" t="n">
        <v>11.012</v>
      </c>
      <c r="B15" s="36" t="n">
        <v>4.924</v>
      </c>
      <c r="C15" s="37">
        <f>IF(OR(A15="",A16=""),"",A16-A15)</f>
        <v/>
      </c>
      <c r="D15" s="37">
        <f>IF(C15="","",B16-B15)</f>
        <v/>
      </c>
      <c r="E15" s="37">
        <f>IF(C15="","",(A15+A16)/2)</f>
        <v/>
      </c>
      <c r="F15" s="25">
        <f>IF(OR(C15="",C15=0),"",D15/C15)</f>
        <v/>
      </c>
      <c r="G15" s="25">
        <f>IF(C15="","",D15/$L$6)</f>
        <v/>
      </c>
      <c r="H15" s="37">
        <f>IF(OR(F15="",F16=""),"",(E15+E16)/2)</f>
        <v/>
      </c>
      <c r="I15" s="25">
        <f>IF(H15="","",(F16-F15)/(E16-E15))</f>
        <v/>
      </c>
      <c r="K15" s="10" t="inlineStr">
        <is>
          <t>峰值後的 Δ²pH/ΔV²</t>
        </is>
      </c>
      <c r="L15" s="39">
        <f>INDEX($I$4:$I$603,L9)</f>
        <v/>
      </c>
      <c r="P15" s="25">
        <f>IF(($L$5-1)&lt;1,"",IF(12&lt;=($L$5-1),E15,INDEX($E$4:$E$603,($L$5-1))))</f>
        <v/>
      </c>
      <c r="Q15" s="25">
        <f>IF(($L$5-1)&lt;1,"",IF(12&lt;=($L$5-1),F15,INDEX($F$4:$F$603,($L$5-1))))</f>
        <v/>
      </c>
      <c r="R15" s="25">
        <f>IF(($L$5-1)&lt;1,"",IF(12&lt;=($L$5-1),G15,INDEX($G$4:$G$603,($L$5-1))))</f>
        <v/>
      </c>
      <c r="S15" s="25">
        <f>IF(($L$5-2)&lt;1,"",IF(12&lt;=($L$5-2),H15,INDEX($H$4:$H$603,($L$5-2))))</f>
        <v/>
      </c>
      <c r="T15" s="25">
        <f>IF(($L$5-2)&lt;1,"",IF(12&lt;=($L$5-2),I15,INDEX($I$4:$I$603,($L$5-2))))</f>
        <v/>
      </c>
    </row>
    <row r="16" ht="15" customHeight="1">
      <c r="A16" s="36" t="n">
        <v>12.001</v>
      </c>
      <c r="B16" s="36" t="n">
        <v>5.005</v>
      </c>
      <c r="C16" s="37">
        <f>IF(OR(A16="",A17=""),"",A17-A16)</f>
        <v/>
      </c>
      <c r="D16" s="37">
        <f>IF(C16="","",B17-B16)</f>
        <v/>
      </c>
      <c r="E16" s="37">
        <f>IF(C16="","",(A16+A17)/2)</f>
        <v/>
      </c>
      <c r="F16" s="25">
        <f>IF(OR(C16="",C16=0),"",D16/C16)</f>
        <v/>
      </c>
      <c r="G16" s="25">
        <f>IF(C16="","",D16/$L$6)</f>
        <v/>
      </c>
      <c r="H16" s="37">
        <f>IF(OR(F16="",F17=""),"",(E16+E17)/2)</f>
        <v/>
      </c>
      <c r="I16" s="25">
        <f>IF(H16="","",(F17-F16)/(E17-E16))</f>
        <v/>
      </c>
      <c r="K16" s="10" t="inlineStr">
        <is>
          <t>當量點 Veq（二階導數零交叉, mL）</t>
        </is>
      </c>
      <c r="L16" s="38">
        <f>INDEX($H$4:$H$603,L9-1)-L14*(INDEX($H$4:$H$603,L9)-INDEX($H$4:$H$603,L9-1))/(L15-L14)</f>
        <v/>
      </c>
      <c r="N16" s="20" t="inlineStr">
        <is>
          <t>在正、負兩點之間畫直線，找它和 0 的交點（線性內插）。應該和 L10 很接近。</t>
        </is>
      </c>
      <c r="P16" s="25">
        <f>IF(($L$5-1)&lt;1,"",IF(13&lt;=($L$5-1),E16,INDEX($E$4:$E$603,($L$5-1))))</f>
        <v/>
      </c>
      <c r="Q16" s="25">
        <f>IF(($L$5-1)&lt;1,"",IF(13&lt;=($L$5-1),F16,INDEX($F$4:$F$603,($L$5-1))))</f>
        <v/>
      </c>
      <c r="R16" s="25">
        <f>IF(($L$5-1)&lt;1,"",IF(13&lt;=($L$5-1),G16,INDEX($G$4:$G$603,($L$5-1))))</f>
        <v/>
      </c>
      <c r="S16" s="25">
        <f>IF(($L$5-2)&lt;1,"",IF(13&lt;=($L$5-2),H16,INDEX($H$4:$H$603,($L$5-2))))</f>
        <v/>
      </c>
      <c r="T16" s="25">
        <f>IF(($L$5-2)&lt;1,"",IF(13&lt;=($L$5-2),I16,INDEX($I$4:$I$603,($L$5-2))))</f>
        <v/>
      </c>
    </row>
    <row r="17">
      <c r="A17" s="36" t="n">
        <v>13.017</v>
      </c>
      <c r="B17" s="36" t="n">
        <v>5.105</v>
      </c>
      <c r="C17" s="37">
        <f>IF(OR(A17="",A18=""),"",A18-A17)</f>
        <v/>
      </c>
      <c r="D17" s="37">
        <f>IF(C17="","",B18-B17)</f>
        <v/>
      </c>
      <c r="E17" s="37">
        <f>IF(C17="","",(A17+A18)/2)</f>
        <v/>
      </c>
      <c r="F17" s="25">
        <f>IF(OR(C17="",C17=0),"",D17/C17)</f>
        <v/>
      </c>
      <c r="G17" s="25">
        <f>IF(C17="","",D17/$L$6)</f>
        <v/>
      </c>
      <c r="H17" s="37">
        <f>IF(OR(F17="",F18=""),"",(E17+E18)/2)</f>
        <v/>
      </c>
      <c r="I17" s="25">
        <f>IF(H17="","",(F18-F17)/(E18-E17))</f>
        <v/>
      </c>
      <c r="K17" s="3" t="inlineStr">
        <is>
          <t>3-4 半當量點</t>
        </is>
      </c>
      <c r="P17" s="25">
        <f>IF(($L$5-1)&lt;1,"",IF(14&lt;=($L$5-1),E17,INDEX($E$4:$E$603,($L$5-1))))</f>
        <v/>
      </c>
      <c r="Q17" s="25">
        <f>IF(($L$5-1)&lt;1,"",IF(14&lt;=($L$5-1),F17,INDEX($F$4:$F$603,($L$5-1))))</f>
        <v/>
      </c>
      <c r="R17" s="25">
        <f>IF(($L$5-1)&lt;1,"",IF(14&lt;=($L$5-1),G17,INDEX($G$4:$G$603,($L$5-1))))</f>
        <v/>
      </c>
      <c r="S17" s="25">
        <f>IF(($L$5-2)&lt;1,"",IF(14&lt;=($L$5-2),H17,INDEX($H$4:$H$603,($L$5-2))))</f>
        <v/>
      </c>
      <c r="T17" s="25">
        <f>IF(($L$5-2)&lt;1,"",IF(14&lt;=($L$5-2),I17,INDEX($I$4:$I$603,($L$5-2))))</f>
        <v/>
      </c>
    </row>
    <row r="18" ht="15" customHeight="1">
      <c r="A18" s="36" t="n">
        <v>14.007</v>
      </c>
      <c r="B18" s="36" t="n">
        <v>5.226</v>
      </c>
      <c r="C18" s="37">
        <f>IF(OR(A18="",A19=""),"",A19-A18)</f>
        <v/>
      </c>
      <c r="D18" s="37">
        <f>IF(C18="","",B19-B18)</f>
        <v/>
      </c>
      <c r="E18" s="37">
        <f>IF(C18="","",(A18+A19)/2)</f>
        <v/>
      </c>
      <c r="F18" s="25">
        <f>IF(OR(C18="",C18=0),"",D18/C18)</f>
        <v/>
      </c>
      <c r="G18" s="25">
        <f>IF(C18="","",D18/$L$6)</f>
        <v/>
      </c>
      <c r="H18" s="37">
        <f>IF(OR(F18="",F19=""),"",(E18+E19)/2)</f>
        <v/>
      </c>
      <c r="I18" s="25">
        <f>IF(H18="","",(F19-F18)/(E19-E18))</f>
        <v/>
      </c>
      <c r="K18" s="10" t="inlineStr">
        <is>
          <t>半當量體積 Veq/2 (mL)</t>
        </is>
      </c>
      <c r="L18" s="16">
        <f>L10/2</f>
        <v/>
      </c>
      <c r="N18" s="20" t="inlineStr">
        <is>
          <t>用 L10（一階導數法）的當量點。</t>
        </is>
      </c>
      <c r="P18" s="25">
        <f>IF(($L$5-1)&lt;1,"",IF(15&lt;=($L$5-1),E18,INDEX($E$4:$E$603,($L$5-1))))</f>
        <v/>
      </c>
      <c r="Q18" s="25">
        <f>IF(($L$5-1)&lt;1,"",IF(15&lt;=($L$5-1),F18,INDEX($F$4:$F$603,($L$5-1))))</f>
        <v/>
      </c>
      <c r="R18" s="25">
        <f>IF(($L$5-1)&lt;1,"",IF(15&lt;=($L$5-1),G18,INDEX($G$4:$G$603,($L$5-1))))</f>
        <v/>
      </c>
      <c r="S18" s="25">
        <f>IF(($L$5-2)&lt;1,"",IF(15&lt;=($L$5-2),H18,INDEX($H$4:$H$603,($L$5-2))))</f>
        <v/>
      </c>
      <c r="T18" s="25">
        <f>IF(($L$5-2)&lt;1,"",IF(15&lt;=($L$5-2),I18,INDEX($I$4:$I$603,($L$5-2))))</f>
        <v/>
      </c>
    </row>
    <row r="19" ht="30" customHeight="1">
      <c r="A19" s="36" t="n">
        <v>15.987</v>
      </c>
      <c r="B19" s="36" t="n">
        <v>5.486</v>
      </c>
      <c r="C19" s="37">
        <f>IF(OR(A19="",A20=""),"",A20-A19)</f>
        <v/>
      </c>
      <c r="D19" s="37">
        <f>IF(C19="","",B20-B19)</f>
        <v/>
      </c>
      <c r="E19" s="37">
        <f>IF(C19="","",(A19+A20)/2)</f>
        <v/>
      </c>
      <c r="F19" s="25">
        <f>IF(OR(C19="",C19=0),"",D19/C19)</f>
        <v/>
      </c>
      <c r="G19" s="25">
        <f>IF(C19="","",D19/$L$6)</f>
        <v/>
      </c>
      <c r="H19" s="37">
        <f>IF(OR(F19="",F20=""),"",(E19+E20)/2)</f>
        <v/>
      </c>
      <c r="I19" s="25">
        <f>IF(H19="","",(F20-F19)/(E20-E19))</f>
        <v/>
      </c>
      <c r="K19" s="10" t="inlineStr">
        <is>
          <t>Veq/2 落在第幾個數據點之後</t>
        </is>
      </c>
      <c r="L19" s="33">
        <f>MATCH(L18,$A$4:$A$603,1)</f>
        <v/>
      </c>
      <c r="N19" s="20" t="inlineStr">
        <is>
          <t>MATCH(…, 1)：在由小到大排好的 A 欄裡，找「小於等於 Veq/2 的最後一格」。</t>
        </is>
      </c>
      <c r="P19" s="25">
        <f>IF(($L$5-1)&lt;1,"",IF(16&lt;=($L$5-1),E19,INDEX($E$4:$E$603,($L$5-1))))</f>
        <v/>
      </c>
      <c r="Q19" s="25">
        <f>IF(($L$5-1)&lt;1,"",IF(16&lt;=($L$5-1),F19,INDEX($F$4:$F$603,($L$5-1))))</f>
        <v/>
      </c>
      <c r="R19" s="25">
        <f>IF(($L$5-1)&lt;1,"",IF(16&lt;=($L$5-1),G19,INDEX($G$4:$G$603,($L$5-1))))</f>
        <v/>
      </c>
      <c r="S19" s="25">
        <f>IF(($L$5-2)&lt;1,"",IF(16&lt;=($L$5-2),H19,INDEX($H$4:$H$603,($L$5-2))))</f>
        <v/>
      </c>
      <c r="T19" s="25">
        <f>IF(($L$5-2)&lt;1,"",IF(16&lt;=($L$5-2),I19,INDEX($I$4:$I$603,($L$5-2))))</f>
        <v/>
      </c>
    </row>
    <row r="20" ht="30" customHeight="1">
      <c r="A20" s="36" t="n">
        <v>16.106</v>
      </c>
      <c r="B20" s="36" t="n">
        <v>5.513</v>
      </c>
      <c r="C20" s="37">
        <f>IF(OR(A20="",A21=""),"",A21-A20)</f>
        <v/>
      </c>
      <c r="D20" s="37">
        <f>IF(C20="","",B21-B20)</f>
        <v/>
      </c>
      <c r="E20" s="37">
        <f>IF(C20="","",(A20+A21)/2)</f>
        <v/>
      </c>
      <c r="F20" s="25">
        <f>IF(OR(C20="",C20=0),"",D20/C20)</f>
        <v/>
      </c>
      <c r="G20" s="25">
        <f>IF(C20="","",D20/$L$6)</f>
        <v/>
      </c>
      <c r="H20" s="37">
        <f>IF(OR(F20="",F21=""),"",(E20+E21)/2)</f>
        <v/>
      </c>
      <c r="I20" s="25">
        <f>IF(H20="","",(F21-F20)/(E21-E20))</f>
        <v/>
      </c>
      <c r="K20" s="10" t="inlineStr">
        <is>
          <t>半當量點 pH（線性內插）≈ pKa</t>
        </is>
      </c>
      <c r="L20" s="35">
        <f>INDEX($B$4:$B$603,L19)+(L18-INDEX($A$4:$A$603,L19))*(INDEX($B$4:$B$603,L19+1)-INDEX($B$4:$B$603,L19))/(INDEX($A$4:$A$603,L19+1)-INDEX($A$4:$A$603,L19))</f>
        <v/>
      </c>
      <c r="N20" s="20" t="inlineStr">
        <is>
          <t>在前後兩個數據點之間用直線內插出 pH。半當量點時 [HA] = [A⁻]，所以 pH = pKa。</t>
        </is>
      </c>
      <c r="P20" s="25">
        <f>IF(($L$5-1)&lt;1,"",IF(17&lt;=($L$5-1),E20,INDEX($E$4:$E$603,($L$5-1))))</f>
        <v/>
      </c>
      <c r="Q20" s="25">
        <f>IF(($L$5-1)&lt;1,"",IF(17&lt;=($L$5-1),F20,INDEX($F$4:$F$603,($L$5-1))))</f>
        <v/>
      </c>
      <c r="R20" s="25">
        <f>IF(($L$5-1)&lt;1,"",IF(17&lt;=($L$5-1),G20,INDEX($G$4:$G$603,($L$5-1))))</f>
        <v/>
      </c>
      <c r="S20" s="25">
        <f>IF(($L$5-2)&lt;1,"",IF(17&lt;=($L$5-2),H20,INDEX($H$4:$H$603,($L$5-2))))</f>
        <v/>
      </c>
      <c r="T20" s="25">
        <f>IF(($L$5-2)&lt;1,"",IF(17&lt;=($L$5-2),I20,INDEX($I$4:$I$603,($L$5-2))))</f>
        <v/>
      </c>
    </row>
    <row r="21">
      <c r="A21" s="36" t="n">
        <v>16.186</v>
      </c>
      <c r="B21" s="36" t="n">
        <v>5.531</v>
      </c>
      <c r="C21" s="37">
        <f>IF(OR(A21="",A22=""),"",A22-A21)</f>
        <v/>
      </c>
      <c r="D21" s="37">
        <f>IF(C21="","",B22-B21)</f>
        <v/>
      </c>
      <c r="E21" s="37">
        <f>IF(C21="","",(A21+A22)/2)</f>
        <v/>
      </c>
      <c r="F21" s="25">
        <f>IF(OR(C21="",C21=0),"",D21/C21)</f>
        <v/>
      </c>
      <c r="G21" s="25">
        <f>IF(C21="","",D21/$L$6)</f>
        <v/>
      </c>
      <c r="H21" s="37">
        <f>IF(OR(F21="",F22=""),"",(E21+E22)/2)</f>
        <v/>
      </c>
      <c r="I21" s="25">
        <f>IF(H21="","",(F22-F21)/(E22-E21))</f>
        <v/>
      </c>
      <c r="P21" s="25">
        <f>IF(($L$5-1)&lt;1,"",IF(18&lt;=($L$5-1),E21,INDEX($E$4:$E$603,($L$5-1))))</f>
        <v/>
      </c>
      <c r="Q21" s="25">
        <f>IF(($L$5-1)&lt;1,"",IF(18&lt;=($L$5-1),F21,INDEX($F$4:$F$603,($L$5-1))))</f>
        <v/>
      </c>
      <c r="R21" s="25">
        <f>IF(($L$5-1)&lt;1,"",IF(18&lt;=($L$5-1),G21,INDEX($G$4:$G$603,($L$5-1))))</f>
        <v/>
      </c>
      <c r="S21" s="25">
        <f>IF(($L$5-2)&lt;1,"",IF(18&lt;=($L$5-2),H21,INDEX($H$4:$H$603,($L$5-2))))</f>
        <v/>
      </c>
      <c r="T21" s="25">
        <f>IF(($L$5-2)&lt;1,"",IF(18&lt;=($L$5-2),I21,INDEX($I$4:$I$603,($L$5-2))))</f>
        <v/>
      </c>
    </row>
    <row r="22">
      <c r="A22" s="36" t="n">
        <v>16.313</v>
      </c>
      <c r="B22" s="36" t="n">
        <v>5.563</v>
      </c>
      <c r="C22" s="37">
        <f>IF(OR(A22="",A23=""),"",A23-A22)</f>
        <v/>
      </c>
      <c r="D22" s="37">
        <f>IF(C22="","",B23-B22)</f>
        <v/>
      </c>
      <c r="E22" s="37">
        <f>IF(C22="","",(A22+A23)/2)</f>
        <v/>
      </c>
      <c r="F22" s="25">
        <f>IF(OR(C22="",C22=0),"",D22/C22)</f>
        <v/>
      </c>
      <c r="G22" s="25">
        <f>IF(C22="","",D22/$L$6)</f>
        <v/>
      </c>
      <c r="H22" s="37">
        <f>IF(OR(F22="",F23=""),"",(E22+E23)/2)</f>
        <v/>
      </c>
      <c r="I22" s="25">
        <f>IF(H22="","",(F23-F22)/(E23-E22))</f>
        <v/>
      </c>
      <c r="K22" s="3" t="inlineStr">
        <is>
          <t>3-5 理論值（W4 投影片的參數，可改）</t>
        </is>
      </c>
      <c r="P22" s="25">
        <f>IF(($L$5-1)&lt;1,"",IF(19&lt;=($L$5-1),E22,INDEX($E$4:$E$603,($L$5-1))))</f>
        <v/>
      </c>
      <c r="Q22" s="25">
        <f>IF(($L$5-1)&lt;1,"",IF(19&lt;=($L$5-1),F22,INDEX($F$4:$F$603,($L$5-1))))</f>
        <v/>
      </c>
      <c r="R22" s="25">
        <f>IF(($L$5-1)&lt;1,"",IF(19&lt;=($L$5-1),G22,INDEX($G$4:$G$603,($L$5-1))))</f>
        <v/>
      </c>
      <c r="S22" s="25">
        <f>IF(($L$5-2)&lt;1,"",IF(19&lt;=($L$5-2),H22,INDEX($H$4:$H$603,($L$5-2))))</f>
        <v/>
      </c>
      <c r="T22" s="25">
        <f>IF(($L$5-2)&lt;1,"",IF(19&lt;=($L$5-2),I22,INDEX($I$4:$I$603,($L$5-2))))</f>
        <v/>
      </c>
    </row>
    <row r="23" ht="30" customHeight="1">
      <c r="A23" s="36" t="n">
        <v>16.399</v>
      </c>
      <c r="B23" s="36" t="n">
        <v>5.609</v>
      </c>
      <c r="C23" s="37">
        <f>IF(OR(A23="",A24=""),"",A24-A23)</f>
        <v/>
      </c>
      <c r="D23" s="37">
        <f>IF(C23="","",B24-B23)</f>
        <v/>
      </c>
      <c r="E23" s="37">
        <f>IF(C23="","",(A23+A24)/2)</f>
        <v/>
      </c>
      <c r="F23" s="25">
        <f>IF(OR(C23="",C23=0),"",D23/C23)</f>
        <v/>
      </c>
      <c r="G23" s="25">
        <f>IF(C23="","",D23/$L$6)</f>
        <v/>
      </c>
      <c r="H23" s="37">
        <f>IF(OR(F23="",F24=""),"",(E23+E24)/2)</f>
        <v/>
      </c>
      <c r="I23" s="25">
        <f>IF(H23="","",(F24-F23)/(E24-E23))</f>
        <v/>
      </c>
      <c r="K23" s="28" t="inlineStr">
        <is>
          <t>醋酸濃度 Ca (M)</t>
        </is>
      </c>
      <c r="L23" s="36" t="n">
        <v>0.075</v>
      </c>
      <c r="N23" s="20" t="inlineStr">
        <is>
          <t>範例曲線是用 0.075 M 醋酸 25 mL、0.1 M NaOH、Ka = 1.75×10⁻⁵ 模擬的。用自己的曲線時，理論值只能當參考。</t>
        </is>
      </c>
      <c r="P23" s="25">
        <f>IF(($L$5-1)&lt;1,"",IF(20&lt;=($L$5-1),E23,INDEX($E$4:$E$603,($L$5-1))))</f>
        <v/>
      </c>
      <c r="Q23" s="25">
        <f>IF(($L$5-1)&lt;1,"",IF(20&lt;=($L$5-1),F23,INDEX($F$4:$F$603,($L$5-1))))</f>
        <v/>
      </c>
      <c r="R23" s="25">
        <f>IF(($L$5-1)&lt;1,"",IF(20&lt;=($L$5-1),G23,INDEX($G$4:$G$603,($L$5-1))))</f>
        <v/>
      </c>
      <c r="S23" s="25">
        <f>IF(($L$5-2)&lt;1,"",IF(20&lt;=($L$5-2),H23,INDEX($H$4:$H$603,($L$5-2))))</f>
        <v/>
      </c>
      <c r="T23" s="25">
        <f>IF(($L$5-2)&lt;1,"",IF(20&lt;=($L$5-2),I23,INDEX($I$4:$I$603,($L$5-2))))</f>
        <v/>
      </c>
    </row>
    <row r="24">
      <c r="A24" s="36" t="n">
        <v>16.497</v>
      </c>
      <c r="B24" s="36" t="n">
        <v>5.604</v>
      </c>
      <c r="C24" s="37">
        <f>IF(OR(A24="",A25=""),"",A25-A24)</f>
        <v/>
      </c>
      <c r="D24" s="37">
        <f>IF(C24="","",B25-B24)</f>
        <v/>
      </c>
      <c r="E24" s="37">
        <f>IF(C24="","",(A24+A25)/2)</f>
        <v/>
      </c>
      <c r="F24" s="25">
        <f>IF(OR(C24="",C24=0),"",D24/C24)</f>
        <v/>
      </c>
      <c r="G24" s="25">
        <f>IF(C24="","",D24/$L$6)</f>
        <v/>
      </c>
      <c r="H24" s="37">
        <f>IF(OR(F24="",F25=""),"",(E24+E25)/2)</f>
        <v/>
      </c>
      <c r="I24" s="25">
        <f>IF(H24="","",(F25-F24)/(E25-E24))</f>
        <v/>
      </c>
      <c r="K24" s="28" t="inlineStr">
        <is>
          <t>醋酸體積 Va (mL)</t>
        </is>
      </c>
      <c r="L24" s="40" t="n">
        <v>25</v>
      </c>
      <c r="P24" s="25">
        <f>IF(($L$5-1)&lt;1,"",IF(21&lt;=($L$5-1),E24,INDEX($E$4:$E$603,($L$5-1))))</f>
        <v/>
      </c>
      <c r="Q24" s="25">
        <f>IF(($L$5-1)&lt;1,"",IF(21&lt;=($L$5-1),F24,INDEX($F$4:$F$603,($L$5-1))))</f>
        <v/>
      </c>
      <c r="R24" s="25">
        <f>IF(($L$5-1)&lt;1,"",IF(21&lt;=($L$5-1),G24,INDEX($G$4:$G$603,($L$5-1))))</f>
        <v/>
      </c>
      <c r="S24" s="25">
        <f>IF(($L$5-2)&lt;1,"",IF(21&lt;=($L$5-2),H24,INDEX($H$4:$H$603,($L$5-2))))</f>
        <v/>
      </c>
      <c r="T24" s="25">
        <f>IF(($L$5-2)&lt;1,"",IF(21&lt;=($L$5-2),I24,INDEX($I$4:$I$603,($L$5-2))))</f>
        <v/>
      </c>
    </row>
    <row r="25">
      <c r="A25" s="36" t="n">
        <v>16.59</v>
      </c>
      <c r="B25" s="36" t="n">
        <v>5.635</v>
      </c>
      <c r="C25" s="37">
        <f>IF(OR(A25="",A26=""),"",A26-A25)</f>
        <v/>
      </c>
      <c r="D25" s="37">
        <f>IF(C25="","",B26-B25)</f>
        <v/>
      </c>
      <c r="E25" s="37">
        <f>IF(C25="","",(A25+A26)/2)</f>
        <v/>
      </c>
      <c r="F25" s="25">
        <f>IF(OR(C25="",C25=0),"",D25/C25)</f>
        <v/>
      </c>
      <c r="G25" s="25">
        <f>IF(C25="","",D25/$L$6)</f>
        <v/>
      </c>
      <c r="H25" s="37">
        <f>IF(OR(F25="",F26=""),"",(E25+E26)/2)</f>
        <v/>
      </c>
      <c r="I25" s="25">
        <f>IF(H25="","",(F26-F25)/(E26-E25))</f>
        <v/>
      </c>
      <c r="K25" s="28" t="inlineStr">
        <is>
          <t>NaOH 濃度 Cb (M)</t>
        </is>
      </c>
      <c r="L25" s="36" t="n">
        <v>0.1</v>
      </c>
      <c r="P25" s="25">
        <f>IF(($L$5-1)&lt;1,"",IF(22&lt;=($L$5-1),E25,INDEX($E$4:$E$603,($L$5-1))))</f>
        <v/>
      </c>
      <c r="Q25" s="25">
        <f>IF(($L$5-1)&lt;1,"",IF(22&lt;=($L$5-1),F25,INDEX($F$4:$F$603,($L$5-1))))</f>
        <v/>
      </c>
      <c r="R25" s="25">
        <f>IF(($L$5-1)&lt;1,"",IF(22&lt;=($L$5-1),G25,INDEX($G$4:$G$603,($L$5-1))))</f>
        <v/>
      </c>
      <c r="S25" s="25">
        <f>IF(($L$5-2)&lt;1,"",IF(22&lt;=($L$5-2),H25,INDEX($H$4:$H$603,($L$5-2))))</f>
        <v/>
      </c>
      <c r="T25" s="25">
        <f>IF(($L$5-2)&lt;1,"",IF(22&lt;=($L$5-2),I25,INDEX($I$4:$I$603,($L$5-2))))</f>
        <v/>
      </c>
    </row>
    <row r="26">
      <c r="A26" s="36" t="n">
        <v>16.718</v>
      </c>
      <c r="B26" s="36" t="n">
        <v>5.699</v>
      </c>
      <c r="C26" s="37">
        <f>IF(OR(A26="",A27=""),"",A27-A26)</f>
        <v/>
      </c>
      <c r="D26" s="37">
        <f>IF(C26="","",B27-B26)</f>
        <v/>
      </c>
      <c r="E26" s="37">
        <f>IF(C26="","",(A26+A27)/2)</f>
        <v/>
      </c>
      <c r="F26" s="25">
        <f>IF(OR(C26="",C26=0),"",D26/C26)</f>
        <v/>
      </c>
      <c r="G26" s="25">
        <f>IF(C26="","",D26/$L$6)</f>
        <v/>
      </c>
      <c r="H26" s="37">
        <f>IF(OR(F26="",F27=""),"",(E26+E27)/2)</f>
        <v/>
      </c>
      <c r="I26" s="25">
        <f>IF(H26="","",(F27-F26)/(E27-E26))</f>
        <v/>
      </c>
      <c r="K26" s="28" t="inlineStr">
        <is>
          <t>Ka</t>
        </is>
      </c>
      <c r="L26" s="41" t="n">
        <v>1.75e-05</v>
      </c>
      <c r="P26" s="25">
        <f>IF(($L$5-1)&lt;1,"",IF(23&lt;=($L$5-1),E26,INDEX($E$4:$E$603,($L$5-1))))</f>
        <v/>
      </c>
      <c r="Q26" s="25">
        <f>IF(($L$5-1)&lt;1,"",IF(23&lt;=($L$5-1),F26,INDEX($F$4:$F$603,($L$5-1))))</f>
        <v/>
      </c>
      <c r="R26" s="25">
        <f>IF(($L$5-1)&lt;1,"",IF(23&lt;=($L$5-1),G26,INDEX($G$4:$G$603,($L$5-1))))</f>
        <v/>
      </c>
      <c r="S26" s="25">
        <f>IF(($L$5-2)&lt;1,"",IF(23&lt;=($L$5-2),H26,INDEX($H$4:$H$603,($L$5-2))))</f>
        <v/>
      </c>
      <c r="T26" s="25">
        <f>IF(($L$5-2)&lt;1,"",IF(23&lt;=($L$5-2),I26,INDEX($I$4:$I$603,($L$5-2))))</f>
        <v/>
      </c>
    </row>
    <row r="27">
      <c r="A27" s="36" t="n">
        <v>16.798</v>
      </c>
      <c r="B27" s="36" t="n">
        <v>5.685</v>
      </c>
      <c r="C27" s="37">
        <f>IF(OR(A27="",A28=""),"",A28-A27)</f>
        <v/>
      </c>
      <c r="D27" s="37">
        <f>IF(C27="","",B28-B27)</f>
        <v/>
      </c>
      <c r="E27" s="37">
        <f>IF(C27="","",(A27+A28)/2)</f>
        <v/>
      </c>
      <c r="F27" s="25">
        <f>IF(OR(C27="",C27=0),"",D27/C27)</f>
        <v/>
      </c>
      <c r="G27" s="25">
        <f>IF(C27="","",D27/$L$6)</f>
        <v/>
      </c>
      <c r="H27" s="37">
        <f>IF(OR(F27="",F28=""),"",(E27+E28)/2)</f>
        <v/>
      </c>
      <c r="I27" s="25">
        <f>IF(H27="","",(F28-F27)/(E28-E27))</f>
        <v/>
      </c>
      <c r="K27" s="28" t="inlineStr">
        <is>
          <t>理論 Veq = Ca × Va ÷ Cb (mL)</t>
        </is>
      </c>
      <c r="L27" s="14">
        <f>L23*L24/L25</f>
        <v/>
      </c>
      <c r="N27" s="20" t="inlineStr">
        <is>
          <t>反過來算：若已知 Cb、Va 和實驗 Veq，就能求出醋的濃度 Ca = Cb × Veq ÷ Va。</t>
        </is>
      </c>
      <c r="P27" s="25">
        <f>IF(($L$5-1)&lt;1,"",IF(24&lt;=($L$5-1),E27,INDEX($E$4:$E$603,($L$5-1))))</f>
        <v/>
      </c>
      <c r="Q27" s="25">
        <f>IF(($L$5-1)&lt;1,"",IF(24&lt;=($L$5-1),F27,INDEX($F$4:$F$603,($L$5-1))))</f>
        <v/>
      </c>
      <c r="R27" s="25">
        <f>IF(($L$5-1)&lt;1,"",IF(24&lt;=($L$5-1),G27,INDEX($G$4:$G$603,($L$5-1))))</f>
        <v/>
      </c>
      <c r="S27" s="25">
        <f>IF(($L$5-2)&lt;1,"",IF(24&lt;=($L$5-2),H27,INDEX($H$4:$H$603,($L$5-2))))</f>
        <v/>
      </c>
      <c r="T27" s="25">
        <f>IF(($L$5-2)&lt;1,"",IF(24&lt;=($L$5-2),I27,INDEX($I$4:$I$603,($L$5-2))))</f>
        <v/>
      </c>
    </row>
    <row r="28">
      <c r="A28" s="36" t="n">
        <v>16.894</v>
      </c>
      <c r="B28" s="36" t="n">
        <v>5.731</v>
      </c>
      <c r="C28" s="37">
        <f>IF(OR(A28="",A29=""),"",A29-A28)</f>
        <v/>
      </c>
      <c r="D28" s="37">
        <f>IF(C28="","",B29-B28)</f>
        <v/>
      </c>
      <c r="E28" s="37">
        <f>IF(C28="","",(A28+A29)/2)</f>
        <v/>
      </c>
      <c r="F28" s="25">
        <f>IF(OR(C28="",C28=0),"",D28/C28)</f>
        <v/>
      </c>
      <c r="G28" s="25">
        <f>IF(C28="","",D28/$L$6)</f>
        <v/>
      </c>
      <c r="H28" s="37">
        <f>IF(OR(F28="",F29=""),"",(E28+E29)/2)</f>
        <v/>
      </c>
      <c r="I28" s="25">
        <f>IF(H28="","",(F29-F28)/(E29-E28))</f>
        <v/>
      </c>
      <c r="K28" s="28" t="inlineStr">
        <is>
          <t>理論 pKa = −log₁₀(Ka)</t>
        </is>
      </c>
      <c r="L28" s="16">
        <f>-LOG10(L26)</f>
        <v/>
      </c>
      <c r="P28" s="25">
        <f>IF(($L$5-1)&lt;1,"",IF(25&lt;=($L$5-1),E28,INDEX($E$4:$E$603,($L$5-1))))</f>
        <v/>
      </c>
      <c r="Q28" s="25">
        <f>IF(($L$5-1)&lt;1,"",IF(25&lt;=($L$5-1),F28,INDEX($F$4:$F$603,($L$5-1))))</f>
        <v/>
      </c>
      <c r="R28" s="25">
        <f>IF(($L$5-1)&lt;1,"",IF(25&lt;=($L$5-1),G28,INDEX($G$4:$G$603,($L$5-1))))</f>
        <v/>
      </c>
      <c r="S28" s="25">
        <f>IF(($L$5-2)&lt;1,"",IF(25&lt;=($L$5-2),H28,INDEX($H$4:$H$603,($L$5-2))))</f>
        <v/>
      </c>
      <c r="T28" s="25">
        <f>IF(($L$5-2)&lt;1,"",IF(25&lt;=($L$5-2),I28,INDEX($I$4:$I$603,($L$5-2))))</f>
        <v/>
      </c>
    </row>
    <row r="29">
      <c r="A29" s="36" t="n">
        <v>16.995</v>
      </c>
      <c r="B29" s="36" t="n">
        <v>5.724</v>
      </c>
      <c r="C29" s="37">
        <f>IF(OR(A29="",A30=""),"",A30-A29)</f>
        <v/>
      </c>
      <c r="D29" s="37">
        <f>IF(C29="","",B30-B29)</f>
        <v/>
      </c>
      <c r="E29" s="37">
        <f>IF(C29="","",(A29+A30)/2)</f>
        <v/>
      </c>
      <c r="F29" s="25">
        <f>IF(OR(C29="",C29=0),"",D29/C29)</f>
        <v/>
      </c>
      <c r="G29" s="25">
        <f>IF(C29="","",D29/$L$6)</f>
        <v/>
      </c>
      <c r="H29" s="37">
        <f>IF(OR(F29="",F30=""),"",(E29+E30)/2)</f>
        <v/>
      </c>
      <c r="I29" s="25">
        <f>IF(H29="","",(F30-F29)/(E30-E29))</f>
        <v/>
      </c>
      <c r="K29" s="28" t="inlineStr">
        <is>
          <t>實驗 Veq − 理論 Veq (mL)</t>
        </is>
      </c>
      <c r="L29" s="42">
        <f>L10-L27</f>
        <v/>
      </c>
      <c r="P29" s="25">
        <f>IF(($L$5-1)&lt;1,"",IF(26&lt;=($L$5-1),E29,INDEX($E$4:$E$603,($L$5-1))))</f>
        <v/>
      </c>
      <c r="Q29" s="25">
        <f>IF(($L$5-1)&lt;1,"",IF(26&lt;=($L$5-1),F29,INDEX($F$4:$F$603,($L$5-1))))</f>
        <v/>
      </c>
      <c r="R29" s="25">
        <f>IF(($L$5-1)&lt;1,"",IF(26&lt;=($L$5-1),G29,INDEX($G$4:$G$603,($L$5-1))))</f>
        <v/>
      </c>
      <c r="S29" s="25">
        <f>IF(($L$5-2)&lt;1,"",IF(26&lt;=($L$5-2),H29,INDEX($H$4:$H$603,($L$5-2))))</f>
        <v/>
      </c>
      <c r="T29" s="25">
        <f>IF(($L$5-2)&lt;1,"",IF(26&lt;=($L$5-2),I29,INDEX($I$4:$I$603,($L$5-2))))</f>
        <v/>
      </c>
    </row>
    <row r="30">
      <c r="A30" s="36" t="n">
        <v>17.108</v>
      </c>
      <c r="B30" s="36" t="n">
        <v>5.771</v>
      </c>
      <c r="C30" s="37">
        <f>IF(OR(A30="",A31=""),"",A31-A30)</f>
        <v/>
      </c>
      <c r="D30" s="37">
        <f>IF(C30="","",B31-B30)</f>
        <v/>
      </c>
      <c r="E30" s="37">
        <f>IF(C30="","",(A30+A31)/2)</f>
        <v/>
      </c>
      <c r="F30" s="25">
        <f>IF(OR(C30="",C30=0),"",D30/C30)</f>
        <v/>
      </c>
      <c r="G30" s="25">
        <f>IF(C30="","",D30/$L$6)</f>
        <v/>
      </c>
      <c r="H30" s="37">
        <f>IF(OR(F30="",F31=""),"",(E30+E31)/2)</f>
        <v/>
      </c>
      <c r="I30" s="25">
        <f>IF(H30="","",(F31-F30)/(E31-E30))</f>
        <v/>
      </c>
      <c r="P30" s="25">
        <f>IF(($L$5-1)&lt;1,"",IF(27&lt;=($L$5-1),E30,INDEX($E$4:$E$603,($L$5-1))))</f>
        <v/>
      </c>
      <c r="Q30" s="25">
        <f>IF(($L$5-1)&lt;1,"",IF(27&lt;=($L$5-1),F30,INDEX($F$4:$F$603,($L$5-1))))</f>
        <v/>
      </c>
      <c r="R30" s="25">
        <f>IF(($L$5-1)&lt;1,"",IF(27&lt;=($L$5-1),G30,INDEX($G$4:$G$603,($L$5-1))))</f>
        <v/>
      </c>
      <c r="S30" s="25">
        <f>IF(($L$5-2)&lt;1,"",IF(27&lt;=($L$5-2),H30,INDEX($H$4:$H$603,($L$5-2))))</f>
        <v/>
      </c>
      <c r="T30" s="25">
        <f>IF(($L$5-2)&lt;1,"",IF(27&lt;=($L$5-2),I30,INDEX($I$4:$I$603,($L$5-2))))</f>
        <v/>
      </c>
    </row>
    <row r="31">
      <c r="A31" s="36" t="n">
        <v>17.205</v>
      </c>
      <c r="B31" s="36" t="n">
        <v>5.785</v>
      </c>
      <c r="C31" s="37">
        <f>IF(OR(A31="",A32=""),"",A32-A31)</f>
        <v/>
      </c>
      <c r="D31" s="37">
        <f>IF(C31="","",B32-B31)</f>
        <v/>
      </c>
      <c r="E31" s="37">
        <f>IF(C31="","",(A31+A32)/2)</f>
        <v/>
      </c>
      <c r="F31" s="25">
        <f>IF(OR(C31="",C31=0),"",D31/C31)</f>
        <v/>
      </c>
      <c r="G31" s="25">
        <f>IF(C31="","",D31/$L$6)</f>
        <v/>
      </c>
      <c r="H31" s="37">
        <f>IF(OR(F31="",F32=""),"",(E31+E32)/2)</f>
        <v/>
      </c>
      <c r="I31" s="25">
        <f>IF(H31="","",(F32-F31)/(E32-E31))</f>
        <v/>
      </c>
      <c r="P31" s="25">
        <f>IF(($L$5-1)&lt;1,"",IF(28&lt;=($L$5-1),E31,INDEX($E$4:$E$603,($L$5-1))))</f>
        <v/>
      </c>
      <c r="Q31" s="25">
        <f>IF(($L$5-1)&lt;1,"",IF(28&lt;=($L$5-1),F31,INDEX($F$4:$F$603,($L$5-1))))</f>
        <v/>
      </c>
      <c r="R31" s="25">
        <f>IF(($L$5-1)&lt;1,"",IF(28&lt;=($L$5-1),G31,INDEX($G$4:$G$603,($L$5-1))))</f>
        <v/>
      </c>
      <c r="S31" s="25">
        <f>IF(($L$5-2)&lt;1,"",IF(28&lt;=($L$5-2),H31,INDEX($H$4:$H$603,($L$5-2))))</f>
        <v/>
      </c>
      <c r="T31" s="25">
        <f>IF(($L$5-2)&lt;1,"",IF(28&lt;=($L$5-2),I31,INDEX($I$4:$I$603,($L$5-2))))</f>
        <v/>
      </c>
    </row>
    <row r="32">
      <c r="A32" s="36" t="n">
        <v>17.306</v>
      </c>
      <c r="B32" s="36" t="n">
        <v>5.829</v>
      </c>
      <c r="C32" s="37">
        <f>IF(OR(A32="",A33=""),"",A33-A32)</f>
        <v/>
      </c>
      <c r="D32" s="37">
        <f>IF(C32="","",B33-B32)</f>
        <v/>
      </c>
      <c r="E32" s="37">
        <f>IF(C32="","",(A32+A33)/2)</f>
        <v/>
      </c>
      <c r="F32" s="25">
        <f>IF(OR(C32="",C32=0),"",D32/C32)</f>
        <v/>
      </c>
      <c r="G32" s="25">
        <f>IF(C32="","",D32/$L$6)</f>
        <v/>
      </c>
      <c r="H32" s="37">
        <f>IF(OR(F32="",F33=""),"",(E32+E33)/2)</f>
        <v/>
      </c>
      <c r="I32" s="25">
        <f>IF(H32="","",(F33-F32)/(E33-E32))</f>
        <v/>
      </c>
      <c r="P32" s="25">
        <f>IF(($L$5-1)&lt;1,"",IF(29&lt;=($L$5-1),E32,INDEX($E$4:$E$603,($L$5-1))))</f>
        <v/>
      </c>
      <c r="Q32" s="25">
        <f>IF(($L$5-1)&lt;1,"",IF(29&lt;=($L$5-1),F32,INDEX($F$4:$F$603,($L$5-1))))</f>
        <v/>
      </c>
      <c r="R32" s="25">
        <f>IF(($L$5-1)&lt;1,"",IF(29&lt;=($L$5-1),G32,INDEX($G$4:$G$603,($L$5-1))))</f>
        <v/>
      </c>
      <c r="S32" s="25">
        <f>IF(($L$5-2)&lt;1,"",IF(29&lt;=($L$5-2),H32,INDEX($H$4:$H$603,($L$5-2))))</f>
        <v/>
      </c>
      <c r="T32" s="25">
        <f>IF(($L$5-2)&lt;1,"",IF(29&lt;=($L$5-2),I32,INDEX($I$4:$I$603,($L$5-2))))</f>
        <v/>
      </c>
    </row>
    <row r="33">
      <c r="A33" s="36" t="n">
        <v>17.406</v>
      </c>
      <c r="B33" s="36" t="n">
        <v>5.886</v>
      </c>
      <c r="C33" s="37">
        <f>IF(OR(A33="",A34=""),"",A34-A33)</f>
        <v/>
      </c>
      <c r="D33" s="37">
        <f>IF(C33="","",B34-B33)</f>
        <v/>
      </c>
      <c r="E33" s="37">
        <f>IF(C33="","",(A33+A34)/2)</f>
        <v/>
      </c>
      <c r="F33" s="25">
        <f>IF(OR(C33="",C33=0),"",D33/C33)</f>
        <v/>
      </c>
      <c r="G33" s="25">
        <f>IF(C33="","",D33/$L$6)</f>
        <v/>
      </c>
      <c r="H33" s="37">
        <f>IF(OR(F33="",F34=""),"",(E33+E34)/2)</f>
        <v/>
      </c>
      <c r="I33" s="25">
        <f>IF(H33="","",(F34-F33)/(E34-E33))</f>
        <v/>
      </c>
      <c r="P33" s="25">
        <f>IF(($L$5-1)&lt;1,"",IF(30&lt;=($L$5-1),E33,INDEX($E$4:$E$603,($L$5-1))))</f>
        <v/>
      </c>
      <c r="Q33" s="25">
        <f>IF(($L$5-1)&lt;1,"",IF(30&lt;=($L$5-1),F33,INDEX($F$4:$F$603,($L$5-1))))</f>
        <v/>
      </c>
      <c r="R33" s="25">
        <f>IF(($L$5-1)&lt;1,"",IF(30&lt;=($L$5-1),G33,INDEX($G$4:$G$603,($L$5-1))))</f>
        <v/>
      </c>
      <c r="S33" s="25">
        <f>IF(($L$5-2)&lt;1,"",IF(30&lt;=($L$5-2),H33,INDEX($H$4:$H$603,($L$5-2))))</f>
        <v/>
      </c>
      <c r="T33" s="25">
        <f>IF(($L$5-2)&lt;1,"",IF(30&lt;=($L$5-2),I33,INDEX($I$4:$I$603,($L$5-2))))</f>
        <v/>
      </c>
    </row>
    <row r="34">
      <c r="A34" s="36" t="n">
        <v>17.532</v>
      </c>
      <c r="B34" s="36" t="n">
        <v>5.881</v>
      </c>
      <c r="C34" s="37">
        <f>IF(OR(A34="",A35=""),"",A35-A34)</f>
        <v/>
      </c>
      <c r="D34" s="37">
        <f>IF(C34="","",B35-B34)</f>
        <v/>
      </c>
      <c r="E34" s="37">
        <f>IF(C34="","",(A34+A35)/2)</f>
        <v/>
      </c>
      <c r="F34" s="25">
        <f>IF(OR(C34="",C34=0),"",D34/C34)</f>
        <v/>
      </c>
      <c r="G34" s="25">
        <f>IF(C34="","",D34/$L$6)</f>
        <v/>
      </c>
      <c r="H34" s="37">
        <f>IF(OR(F34="",F35=""),"",(E34+E35)/2)</f>
        <v/>
      </c>
      <c r="I34" s="25">
        <f>IF(H34="","",(F35-F34)/(E35-E34))</f>
        <v/>
      </c>
      <c r="P34" s="25">
        <f>IF(($L$5-1)&lt;1,"",IF(31&lt;=($L$5-1),E34,INDEX($E$4:$E$603,($L$5-1))))</f>
        <v/>
      </c>
      <c r="Q34" s="25">
        <f>IF(($L$5-1)&lt;1,"",IF(31&lt;=($L$5-1),F34,INDEX($F$4:$F$603,($L$5-1))))</f>
        <v/>
      </c>
      <c r="R34" s="25">
        <f>IF(($L$5-1)&lt;1,"",IF(31&lt;=($L$5-1),G34,INDEX($G$4:$G$603,($L$5-1))))</f>
        <v/>
      </c>
      <c r="S34" s="25">
        <f>IF(($L$5-2)&lt;1,"",IF(31&lt;=($L$5-2),H34,INDEX($H$4:$H$603,($L$5-2))))</f>
        <v/>
      </c>
      <c r="T34" s="25">
        <f>IF(($L$5-2)&lt;1,"",IF(31&lt;=($L$5-2),I34,INDEX($I$4:$I$603,($L$5-2))))</f>
        <v/>
      </c>
    </row>
    <row r="35">
      <c r="A35" s="36" t="n">
        <v>17.594</v>
      </c>
      <c r="B35" s="36" t="n">
        <v>5.948</v>
      </c>
      <c r="C35" s="37">
        <f>IF(OR(A35="",A36=""),"",A36-A35)</f>
        <v/>
      </c>
      <c r="D35" s="37">
        <f>IF(C35="","",B36-B35)</f>
        <v/>
      </c>
      <c r="E35" s="37">
        <f>IF(C35="","",(A35+A36)/2)</f>
        <v/>
      </c>
      <c r="F35" s="25">
        <f>IF(OR(C35="",C35=0),"",D35/C35)</f>
        <v/>
      </c>
      <c r="G35" s="25">
        <f>IF(C35="","",D35/$L$6)</f>
        <v/>
      </c>
      <c r="H35" s="37">
        <f>IF(OR(F35="",F36=""),"",(E35+E36)/2)</f>
        <v/>
      </c>
      <c r="I35" s="25">
        <f>IF(H35="","",(F36-F35)/(E36-E35))</f>
        <v/>
      </c>
      <c r="P35" s="25">
        <f>IF(($L$5-1)&lt;1,"",IF(32&lt;=($L$5-1),E35,INDEX($E$4:$E$603,($L$5-1))))</f>
        <v/>
      </c>
      <c r="Q35" s="25">
        <f>IF(($L$5-1)&lt;1,"",IF(32&lt;=($L$5-1),F35,INDEX($F$4:$F$603,($L$5-1))))</f>
        <v/>
      </c>
      <c r="R35" s="25">
        <f>IF(($L$5-1)&lt;1,"",IF(32&lt;=($L$5-1),G35,INDEX($G$4:$G$603,($L$5-1))))</f>
        <v/>
      </c>
      <c r="S35" s="25">
        <f>IF(($L$5-2)&lt;1,"",IF(32&lt;=($L$5-2),H35,INDEX($H$4:$H$603,($L$5-2))))</f>
        <v/>
      </c>
      <c r="T35" s="25">
        <f>IF(($L$5-2)&lt;1,"",IF(32&lt;=($L$5-2),I35,INDEX($I$4:$I$603,($L$5-2))))</f>
        <v/>
      </c>
    </row>
    <row r="36">
      <c r="A36" s="36" t="n">
        <v>17.692</v>
      </c>
      <c r="B36" s="36" t="n">
        <v>5.985</v>
      </c>
      <c r="C36" s="37">
        <f>IF(OR(A36="",A37=""),"",A37-A36)</f>
        <v/>
      </c>
      <c r="D36" s="37">
        <f>IF(C36="","",B37-B36)</f>
        <v/>
      </c>
      <c r="E36" s="37">
        <f>IF(C36="","",(A36+A37)/2)</f>
        <v/>
      </c>
      <c r="F36" s="25">
        <f>IF(OR(C36="",C36=0),"",D36/C36)</f>
        <v/>
      </c>
      <c r="G36" s="25">
        <f>IF(C36="","",D36/$L$6)</f>
        <v/>
      </c>
      <c r="H36" s="37">
        <f>IF(OR(F36="",F37=""),"",(E36+E37)/2)</f>
        <v/>
      </c>
      <c r="I36" s="25">
        <f>IF(H36="","",(F37-F36)/(E37-E36))</f>
        <v/>
      </c>
      <c r="P36" s="25">
        <f>IF(($L$5-1)&lt;1,"",IF(33&lt;=($L$5-1),E36,INDEX($E$4:$E$603,($L$5-1))))</f>
        <v/>
      </c>
      <c r="Q36" s="25">
        <f>IF(($L$5-1)&lt;1,"",IF(33&lt;=($L$5-1),F36,INDEX($F$4:$F$603,($L$5-1))))</f>
        <v/>
      </c>
      <c r="R36" s="25">
        <f>IF(($L$5-1)&lt;1,"",IF(33&lt;=($L$5-1),G36,INDEX($G$4:$G$603,($L$5-1))))</f>
        <v/>
      </c>
      <c r="S36" s="25">
        <f>IF(($L$5-2)&lt;1,"",IF(33&lt;=($L$5-2),H36,INDEX($H$4:$H$603,($L$5-2))))</f>
        <v/>
      </c>
      <c r="T36" s="25">
        <f>IF(($L$5-2)&lt;1,"",IF(33&lt;=($L$5-2),I36,INDEX($I$4:$I$603,($L$5-2))))</f>
        <v/>
      </c>
    </row>
    <row r="37">
      <c r="A37" s="36" t="n">
        <v>17.788</v>
      </c>
      <c r="B37" s="36" t="n">
        <v>6.012</v>
      </c>
      <c r="C37" s="37">
        <f>IF(OR(A37="",A38=""),"",A38-A37)</f>
        <v/>
      </c>
      <c r="D37" s="37">
        <f>IF(C37="","",B38-B37)</f>
        <v/>
      </c>
      <c r="E37" s="37">
        <f>IF(C37="","",(A37+A38)/2)</f>
        <v/>
      </c>
      <c r="F37" s="25">
        <f>IF(OR(C37="",C37=0),"",D37/C37)</f>
        <v/>
      </c>
      <c r="G37" s="25">
        <f>IF(C37="","",D37/$L$6)</f>
        <v/>
      </c>
      <c r="H37" s="37">
        <f>IF(OR(F37="",F38=""),"",(E37+E38)/2)</f>
        <v/>
      </c>
      <c r="I37" s="25">
        <f>IF(H37="","",(F38-F37)/(E38-E37))</f>
        <v/>
      </c>
      <c r="P37" s="25">
        <f>IF(($L$5-1)&lt;1,"",IF(34&lt;=($L$5-1),E37,INDEX($E$4:$E$603,($L$5-1))))</f>
        <v/>
      </c>
      <c r="Q37" s="25">
        <f>IF(($L$5-1)&lt;1,"",IF(34&lt;=($L$5-1),F37,INDEX($F$4:$F$603,($L$5-1))))</f>
        <v/>
      </c>
      <c r="R37" s="25">
        <f>IF(($L$5-1)&lt;1,"",IF(34&lt;=($L$5-1),G37,INDEX($G$4:$G$603,($L$5-1))))</f>
        <v/>
      </c>
      <c r="S37" s="25">
        <f>IF(($L$5-2)&lt;1,"",IF(34&lt;=($L$5-2),H37,INDEX($H$4:$H$603,($L$5-2))))</f>
        <v/>
      </c>
      <c r="T37" s="25">
        <f>IF(($L$5-2)&lt;1,"",IF(34&lt;=($L$5-2),I37,INDEX($I$4:$I$603,($L$5-2))))</f>
        <v/>
      </c>
    </row>
    <row r="38">
      <c r="A38" s="36" t="n">
        <v>17.909</v>
      </c>
      <c r="B38" s="36" t="n">
        <v>6.057</v>
      </c>
      <c r="C38" s="37">
        <f>IF(OR(A38="",A39=""),"",A39-A38)</f>
        <v/>
      </c>
      <c r="D38" s="37">
        <f>IF(C38="","",B39-B38)</f>
        <v/>
      </c>
      <c r="E38" s="37">
        <f>IF(C38="","",(A38+A39)/2)</f>
        <v/>
      </c>
      <c r="F38" s="25">
        <f>IF(OR(C38="",C38=0),"",D38/C38)</f>
        <v/>
      </c>
      <c r="G38" s="25">
        <f>IF(C38="","",D38/$L$6)</f>
        <v/>
      </c>
      <c r="H38" s="37">
        <f>IF(OR(F38="",F39=""),"",(E38+E39)/2)</f>
        <v/>
      </c>
      <c r="I38" s="25">
        <f>IF(H38="","",(F39-F38)/(E39-E38))</f>
        <v/>
      </c>
      <c r="P38" s="25">
        <f>IF(($L$5-1)&lt;1,"",IF(35&lt;=($L$5-1),E38,INDEX($E$4:$E$603,($L$5-1))))</f>
        <v/>
      </c>
      <c r="Q38" s="25">
        <f>IF(($L$5-1)&lt;1,"",IF(35&lt;=($L$5-1),F38,INDEX($F$4:$F$603,($L$5-1))))</f>
        <v/>
      </c>
      <c r="R38" s="25">
        <f>IF(($L$5-1)&lt;1,"",IF(35&lt;=($L$5-1),G38,INDEX($G$4:$G$603,($L$5-1))))</f>
        <v/>
      </c>
      <c r="S38" s="25">
        <f>IF(($L$5-2)&lt;1,"",IF(35&lt;=($L$5-2),H38,INDEX($H$4:$H$603,($L$5-2))))</f>
        <v/>
      </c>
      <c r="T38" s="25">
        <f>IF(($L$5-2)&lt;1,"",IF(35&lt;=($L$5-2),I38,INDEX($I$4:$I$603,($L$5-2))))</f>
        <v/>
      </c>
    </row>
    <row r="39">
      <c r="A39" s="36" t="n">
        <v>18.017</v>
      </c>
      <c r="B39" s="36" t="n">
        <v>6.149</v>
      </c>
      <c r="C39" s="37">
        <f>IF(OR(A39="",A40=""),"",A40-A39)</f>
        <v/>
      </c>
      <c r="D39" s="37">
        <f>IF(C39="","",B40-B39)</f>
        <v/>
      </c>
      <c r="E39" s="37">
        <f>IF(C39="","",(A39+A40)/2)</f>
        <v/>
      </c>
      <c r="F39" s="25">
        <f>IF(OR(C39="",C39=0),"",D39/C39)</f>
        <v/>
      </c>
      <c r="G39" s="25">
        <f>IF(C39="","",D39/$L$6)</f>
        <v/>
      </c>
      <c r="H39" s="37">
        <f>IF(OR(F39="",F40=""),"",(E39+E40)/2)</f>
        <v/>
      </c>
      <c r="I39" s="25">
        <f>IF(H39="","",(F40-F39)/(E40-E39))</f>
        <v/>
      </c>
      <c r="P39" s="25">
        <f>IF(($L$5-1)&lt;1,"",IF(36&lt;=($L$5-1),E39,INDEX($E$4:$E$603,($L$5-1))))</f>
        <v/>
      </c>
      <c r="Q39" s="25">
        <f>IF(($L$5-1)&lt;1,"",IF(36&lt;=($L$5-1),F39,INDEX($F$4:$F$603,($L$5-1))))</f>
        <v/>
      </c>
      <c r="R39" s="25">
        <f>IF(($L$5-1)&lt;1,"",IF(36&lt;=($L$5-1),G39,INDEX($G$4:$G$603,($L$5-1))))</f>
        <v/>
      </c>
      <c r="S39" s="25">
        <f>IF(($L$5-2)&lt;1,"",IF(36&lt;=($L$5-2),H39,INDEX($H$4:$H$603,($L$5-2))))</f>
        <v/>
      </c>
      <c r="T39" s="25">
        <f>IF(($L$5-2)&lt;1,"",IF(36&lt;=($L$5-2),I39,INDEX($I$4:$I$603,($L$5-2))))</f>
        <v/>
      </c>
    </row>
    <row r="40">
      <c r="A40" s="36" t="n">
        <v>18.098</v>
      </c>
      <c r="B40" s="36" t="n">
        <v>6.19</v>
      </c>
      <c r="C40" s="37">
        <f>IF(OR(A40="",A41=""),"",A41-A40)</f>
        <v/>
      </c>
      <c r="D40" s="37">
        <f>IF(C40="","",B41-B40)</f>
        <v/>
      </c>
      <c r="E40" s="37">
        <f>IF(C40="","",(A40+A41)/2)</f>
        <v/>
      </c>
      <c r="F40" s="25">
        <f>IF(OR(C40="",C40=0),"",D40/C40)</f>
        <v/>
      </c>
      <c r="G40" s="25">
        <f>IF(C40="","",D40/$L$6)</f>
        <v/>
      </c>
      <c r="H40" s="37">
        <f>IF(OR(F40="",F41=""),"",(E40+E41)/2)</f>
        <v/>
      </c>
      <c r="I40" s="25">
        <f>IF(H40="","",(F41-F40)/(E41-E40))</f>
        <v/>
      </c>
      <c r="P40" s="25">
        <f>IF(($L$5-1)&lt;1,"",IF(37&lt;=($L$5-1),E40,INDEX($E$4:$E$603,($L$5-1))))</f>
        <v/>
      </c>
      <c r="Q40" s="25">
        <f>IF(($L$5-1)&lt;1,"",IF(37&lt;=($L$5-1),F40,INDEX($F$4:$F$603,($L$5-1))))</f>
        <v/>
      </c>
      <c r="R40" s="25">
        <f>IF(($L$5-1)&lt;1,"",IF(37&lt;=($L$5-1),G40,INDEX($G$4:$G$603,($L$5-1))))</f>
        <v/>
      </c>
      <c r="S40" s="25">
        <f>IF(($L$5-2)&lt;1,"",IF(37&lt;=($L$5-2),H40,INDEX($H$4:$H$603,($L$5-2))))</f>
        <v/>
      </c>
      <c r="T40" s="25">
        <f>IF(($L$5-2)&lt;1,"",IF(37&lt;=($L$5-2),I40,INDEX($I$4:$I$603,($L$5-2))))</f>
        <v/>
      </c>
    </row>
    <row r="41">
      <c r="A41" s="36" t="n">
        <v>18.187</v>
      </c>
      <c r="B41" s="36" t="n">
        <v>6.271</v>
      </c>
      <c r="C41" s="37">
        <f>IF(OR(A41="",A42=""),"",A42-A41)</f>
        <v/>
      </c>
      <c r="D41" s="37">
        <f>IF(C41="","",B42-B41)</f>
        <v/>
      </c>
      <c r="E41" s="37">
        <f>IF(C41="","",(A41+A42)/2)</f>
        <v/>
      </c>
      <c r="F41" s="25">
        <f>IF(OR(C41="",C41=0),"",D41/C41)</f>
        <v/>
      </c>
      <c r="G41" s="25">
        <f>IF(C41="","",D41/$L$6)</f>
        <v/>
      </c>
      <c r="H41" s="37">
        <f>IF(OR(F41="",F42=""),"",(E41+E42)/2)</f>
        <v/>
      </c>
      <c r="I41" s="25">
        <f>IF(H41="","",(F42-F41)/(E42-E41))</f>
        <v/>
      </c>
      <c r="P41" s="25">
        <f>IF(($L$5-1)&lt;1,"",IF(38&lt;=($L$5-1),E41,INDEX($E$4:$E$603,($L$5-1))))</f>
        <v/>
      </c>
      <c r="Q41" s="25">
        <f>IF(($L$5-1)&lt;1,"",IF(38&lt;=($L$5-1),F41,INDEX($F$4:$F$603,($L$5-1))))</f>
        <v/>
      </c>
      <c r="R41" s="25">
        <f>IF(($L$5-1)&lt;1,"",IF(38&lt;=($L$5-1),G41,INDEX($G$4:$G$603,($L$5-1))))</f>
        <v/>
      </c>
      <c r="S41" s="25">
        <f>IF(($L$5-2)&lt;1,"",IF(38&lt;=($L$5-2),H41,INDEX($H$4:$H$603,($L$5-2))))</f>
        <v/>
      </c>
      <c r="T41" s="25">
        <f>IF(($L$5-2)&lt;1,"",IF(38&lt;=($L$5-2),I41,INDEX($I$4:$I$603,($L$5-2))))</f>
        <v/>
      </c>
    </row>
    <row r="42">
      <c r="A42" s="36" t="n">
        <v>18.288</v>
      </c>
      <c r="B42" s="36" t="n">
        <v>6.355</v>
      </c>
      <c r="C42" s="37">
        <f>IF(OR(A42="",A43=""),"",A43-A42)</f>
        <v/>
      </c>
      <c r="D42" s="37">
        <f>IF(C42="","",B43-B42)</f>
        <v/>
      </c>
      <c r="E42" s="37">
        <f>IF(C42="","",(A42+A43)/2)</f>
        <v/>
      </c>
      <c r="F42" s="25">
        <f>IF(OR(C42="",C42=0),"",D42/C42)</f>
        <v/>
      </c>
      <c r="G42" s="25">
        <f>IF(C42="","",D42/$L$6)</f>
        <v/>
      </c>
      <c r="H42" s="37">
        <f>IF(OR(F42="",F43=""),"",(E42+E43)/2)</f>
        <v/>
      </c>
      <c r="I42" s="25">
        <f>IF(H42="","",(F43-F42)/(E43-E42))</f>
        <v/>
      </c>
      <c r="P42" s="25">
        <f>IF(($L$5-1)&lt;1,"",IF(39&lt;=($L$5-1),E42,INDEX($E$4:$E$603,($L$5-1))))</f>
        <v/>
      </c>
      <c r="Q42" s="25">
        <f>IF(($L$5-1)&lt;1,"",IF(39&lt;=($L$5-1),F42,INDEX($F$4:$F$603,($L$5-1))))</f>
        <v/>
      </c>
      <c r="R42" s="25">
        <f>IF(($L$5-1)&lt;1,"",IF(39&lt;=($L$5-1),G42,INDEX($G$4:$G$603,($L$5-1))))</f>
        <v/>
      </c>
      <c r="S42" s="25">
        <f>IF(($L$5-2)&lt;1,"",IF(39&lt;=($L$5-2),H42,INDEX($H$4:$H$603,($L$5-2))))</f>
        <v/>
      </c>
      <c r="T42" s="25">
        <f>IF(($L$5-2)&lt;1,"",IF(39&lt;=($L$5-2),I42,INDEX($I$4:$I$603,($L$5-2))))</f>
        <v/>
      </c>
    </row>
    <row r="43">
      <c r="A43" s="36" t="n">
        <v>18.41</v>
      </c>
      <c r="B43" s="36" t="n">
        <v>6.522</v>
      </c>
      <c r="C43" s="37">
        <f>IF(OR(A43="",A44=""),"",A44-A43)</f>
        <v/>
      </c>
      <c r="D43" s="37">
        <f>IF(C43="","",B44-B43)</f>
        <v/>
      </c>
      <c r="E43" s="37">
        <f>IF(C43="","",(A43+A44)/2)</f>
        <v/>
      </c>
      <c r="F43" s="25">
        <f>IF(OR(C43="",C43=0),"",D43/C43)</f>
        <v/>
      </c>
      <c r="G43" s="25">
        <f>IF(C43="","",D43/$L$6)</f>
        <v/>
      </c>
      <c r="H43" s="37">
        <f>IF(OR(F43="",F44=""),"",(E43+E44)/2)</f>
        <v/>
      </c>
      <c r="I43" s="25">
        <f>IF(H43="","",(F44-F43)/(E44-E43))</f>
        <v/>
      </c>
      <c r="P43" s="25">
        <f>IF(($L$5-1)&lt;1,"",IF(40&lt;=($L$5-1),E43,INDEX($E$4:$E$603,($L$5-1))))</f>
        <v/>
      </c>
      <c r="Q43" s="25">
        <f>IF(($L$5-1)&lt;1,"",IF(40&lt;=($L$5-1),F43,INDEX($F$4:$F$603,($L$5-1))))</f>
        <v/>
      </c>
      <c r="R43" s="25">
        <f>IF(($L$5-1)&lt;1,"",IF(40&lt;=($L$5-1),G43,INDEX($G$4:$G$603,($L$5-1))))</f>
        <v/>
      </c>
      <c r="S43" s="25">
        <f>IF(($L$5-2)&lt;1,"",IF(40&lt;=($L$5-2),H43,INDEX($H$4:$H$603,($L$5-2))))</f>
        <v/>
      </c>
      <c r="T43" s="25">
        <f>IF(($L$5-2)&lt;1,"",IF(40&lt;=($L$5-2),I43,INDEX($I$4:$I$603,($L$5-2))))</f>
        <v/>
      </c>
    </row>
    <row r="44">
      <c r="A44" s="36" t="n">
        <v>18.511</v>
      </c>
      <c r="B44" s="36" t="n">
        <v>6.642</v>
      </c>
      <c r="C44" s="37">
        <f>IF(OR(A44="",A45=""),"",A45-A44)</f>
        <v/>
      </c>
      <c r="D44" s="37">
        <f>IF(C44="","",B45-B44)</f>
        <v/>
      </c>
      <c r="E44" s="37">
        <f>IF(C44="","",(A44+A45)/2)</f>
        <v/>
      </c>
      <c r="F44" s="25">
        <f>IF(OR(C44="",C44=0),"",D44/C44)</f>
        <v/>
      </c>
      <c r="G44" s="25">
        <f>IF(C44="","",D44/$L$6)</f>
        <v/>
      </c>
      <c r="H44" s="37">
        <f>IF(OR(F44="",F45=""),"",(E44+E45)/2)</f>
        <v/>
      </c>
      <c r="I44" s="25">
        <f>IF(H44="","",(F45-F44)/(E45-E44))</f>
        <v/>
      </c>
      <c r="P44" s="25">
        <f>IF(($L$5-1)&lt;1,"",IF(41&lt;=($L$5-1),E44,INDEX($E$4:$E$603,($L$5-1))))</f>
        <v/>
      </c>
      <c r="Q44" s="25">
        <f>IF(($L$5-1)&lt;1,"",IF(41&lt;=($L$5-1),F44,INDEX($F$4:$F$603,($L$5-1))))</f>
        <v/>
      </c>
      <c r="R44" s="25">
        <f>IF(($L$5-1)&lt;1,"",IF(41&lt;=($L$5-1),G44,INDEX($G$4:$G$603,($L$5-1))))</f>
        <v/>
      </c>
      <c r="S44" s="25">
        <f>IF(($L$5-2)&lt;1,"",IF(41&lt;=($L$5-2),H44,INDEX($H$4:$H$603,($L$5-2))))</f>
        <v/>
      </c>
      <c r="T44" s="25">
        <f>IF(($L$5-2)&lt;1,"",IF(41&lt;=($L$5-2),I44,INDEX($I$4:$I$603,($L$5-2))))</f>
        <v/>
      </c>
    </row>
    <row r="45">
      <c r="A45" s="36" t="n">
        <v>18.608</v>
      </c>
      <c r="B45" s="36" t="n">
        <v>6.854</v>
      </c>
      <c r="C45" s="37">
        <f>IF(OR(A45="",A46=""),"",A46-A45)</f>
        <v/>
      </c>
      <c r="D45" s="37">
        <f>IF(C45="","",B46-B45)</f>
        <v/>
      </c>
      <c r="E45" s="37">
        <f>IF(C45="","",(A45+A46)/2)</f>
        <v/>
      </c>
      <c r="F45" s="25">
        <f>IF(OR(C45="",C45=0),"",D45/C45)</f>
        <v/>
      </c>
      <c r="G45" s="25">
        <f>IF(C45="","",D45/$L$6)</f>
        <v/>
      </c>
      <c r="H45" s="37">
        <f>IF(OR(F45="",F46=""),"",(E45+E46)/2)</f>
        <v/>
      </c>
      <c r="I45" s="25">
        <f>IF(H45="","",(F46-F45)/(E46-E45))</f>
        <v/>
      </c>
      <c r="P45" s="25">
        <f>IF(($L$5-1)&lt;1,"",IF(42&lt;=($L$5-1),E45,INDEX($E$4:$E$603,($L$5-1))))</f>
        <v/>
      </c>
      <c r="Q45" s="25">
        <f>IF(($L$5-1)&lt;1,"",IF(42&lt;=($L$5-1),F45,INDEX($F$4:$F$603,($L$5-1))))</f>
        <v/>
      </c>
      <c r="R45" s="25">
        <f>IF(($L$5-1)&lt;1,"",IF(42&lt;=($L$5-1),G45,INDEX($G$4:$G$603,($L$5-1))))</f>
        <v/>
      </c>
      <c r="S45" s="25">
        <f>IF(($L$5-2)&lt;1,"",IF(42&lt;=($L$5-2),H45,INDEX($H$4:$H$603,($L$5-2))))</f>
        <v/>
      </c>
      <c r="T45" s="25">
        <f>IF(($L$5-2)&lt;1,"",IF(42&lt;=($L$5-2),I45,INDEX($I$4:$I$603,($L$5-2))))</f>
        <v/>
      </c>
    </row>
    <row r="46">
      <c r="A46" s="36" t="n">
        <v>18.69</v>
      </c>
      <c r="B46" s="36" t="n">
        <v>7.254</v>
      </c>
      <c r="C46" s="37">
        <f>IF(OR(A46="",A47=""),"",A47-A46)</f>
        <v/>
      </c>
      <c r="D46" s="37">
        <f>IF(C46="","",B47-B46)</f>
        <v/>
      </c>
      <c r="E46" s="37">
        <f>IF(C46="","",(A46+A47)/2)</f>
        <v/>
      </c>
      <c r="F46" s="25">
        <f>IF(OR(C46="",C46=0),"",D46/C46)</f>
        <v/>
      </c>
      <c r="G46" s="25">
        <f>IF(C46="","",D46/$L$6)</f>
        <v/>
      </c>
      <c r="H46" s="37">
        <f>IF(OR(F46="",F47=""),"",(E46+E47)/2)</f>
        <v/>
      </c>
      <c r="I46" s="25">
        <f>IF(H46="","",(F47-F46)/(E47-E46))</f>
        <v/>
      </c>
      <c r="P46" s="25">
        <f>IF(($L$5-1)&lt;1,"",IF(43&lt;=($L$5-1),E46,INDEX($E$4:$E$603,($L$5-1))))</f>
        <v/>
      </c>
      <c r="Q46" s="25">
        <f>IF(($L$5-1)&lt;1,"",IF(43&lt;=($L$5-1),F46,INDEX($F$4:$F$603,($L$5-1))))</f>
        <v/>
      </c>
      <c r="R46" s="25">
        <f>IF(($L$5-1)&lt;1,"",IF(43&lt;=($L$5-1),G46,INDEX($G$4:$G$603,($L$5-1))))</f>
        <v/>
      </c>
      <c r="S46" s="25">
        <f>IF(($L$5-2)&lt;1,"",IF(43&lt;=($L$5-2),H46,INDEX($H$4:$H$603,($L$5-2))))</f>
        <v/>
      </c>
      <c r="T46" s="25">
        <f>IF(($L$5-2)&lt;1,"",IF(43&lt;=($L$5-2),I46,INDEX($I$4:$I$603,($L$5-2))))</f>
        <v/>
      </c>
    </row>
    <row r="47">
      <c r="A47" s="36" t="n">
        <v>18.803</v>
      </c>
      <c r="B47" s="36" t="n">
        <v>10.092</v>
      </c>
      <c r="C47" s="37">
        <f>IF(OR(A47="",A48=""),"",A48-A47)</f>
        <v/>
      </c>
      <c r="D47" s="37">
        <f>IF(C47="","",B48-B47)</f>
        <v/>
      </c>
      <c r="E47" s="37">
        <f>IF(C47="","",(A47+A48)/2)</f>
        <v/>
      </c>
      <c r="F47" s="25">
        <f>IF(OR(C47="",C47=0),"",D47/C47)</f>
        <v/>
      </c>
      <c r="G47" s="25">
        <f>IF(C47="","",D47/$L$6)</f>
        <v/>
      </c>
      <c r="H47" s="37">
        <f>IF(OR(F47="",F48=""),"",(E47+E48)/2)</f>
        <v/>
      </c>
      <c r="I47" s="25">
        <f>IF(H47="","",(F48-F47)/(E48-E47))</f>
        <v/>
      </c>
      <c r="P47" s="25">
        <f>IF(($L$5-1)&lt;1,"",IF(44&lt;=($L$5-1),E47,INDEX($E$4:$E$603,($L$5-1))))</f>
        <v/>
      </c>
      <c r="Q47" s="25">
        <f>IF(($L$5-1)&lt;1,"",IF(44&lt;=($L$5-1),F47,INDEX($F$4:$F$603,($L$5-1))))</f>
        <v/>
      </c>
      <c r="R47" s="25">
        <f>IF(($L$5-1)&lt;1,"",IF(44&lt;=($L$5-1),G47,INDEX($G$4:$G$603,($L$5-1))))</f>
        <v/>
      </c>
      <c r="S47" s="25">
        <f>IF(($L$5-2)&lt;1,"",IF(44&lt;=($L$5-2),H47,INDEX($H$4:$H$603,($L$5-2))))</f>
        <v/>
      </c>
      <c r="T47" s="25">
        <f>IF(($L$5-2)&lt;1,"",IF(44&lt;=($L$5-2),I47,INDEX($I$4:$I$603,($L$5-2))))</f>
        <v/>
      </c>
    </row>
    <row r="48">
      <c r="A48" s="36" t="n">
        <v>18.902</v>
      </c>
      <c r="B48" s="36" t="n">
        <v>10.566</v>
      </c>
      <c r="C48" s="37">
        <f>IF(OR(A48="",A49=""),"",A49-A48)</f>
        <v/>
      </c>
      <c r="D48" s="37">
        <f>IF(C48="","",B49-B48)</f>
        <v/>
      </c>
      <c r="E48" s="37">
        <f>IF(C48="","",(A48+A49)/2)</f>
        <v/>
      </c>
      <c r="F48" s="25">
        <f>IF(OR(C48="",C48=0),"",D48/C48)</f>
        <v/>
      </c>
      <c r="G48" s="25">
        <f>IF(C48="","",D48/$L$6)</f>
        <v/>
      </c>
      <c r="H48" s="37">
        <f>IF(OR(F48="",F49=""),"",(E48+E49)/2)</f>
        <v/>
      </c>
      <c r="I48" s="25">
        <f>IF(H48="","",(F49-F48)/(E49-E48))</f>
        <v/>
      </c>
      <c r="P48" s="25">
        <f>IF(($L$5-1)&lt;1,"",IF(45&lt;=($L$5-1),E48,INDEX($E$4:$E$603,($L$5-1))))</f>
        <v/>
      </c>
      <c r="Q48" s="25">
        <f>IF(($L$5-1)&lt;1,"",IF(45&lt;=($L$5-1),F48,INDEX($F$4:$F$603,($L$5-1))))</f>
        <v/>
      </c>
      <c r="R48" s="25">
        <f>IF(($L$5-1)&lt;1,"",IF(45&lt;=($L$5-1),G48,INDEX($G$4:$G$603,($L$5-1))))</f>
        <v/>
      </c>
      <c r="S48" s="25">
        <f>IF(($L$5-2)&lt;1,"",IF(45&lt;=($L$5-2),H48,INDEX($H$4:$H$603,($L$5-2))))</f>
        <v/>
      </c>
      <c r="T48" s="25">
        <f>IF(($L$5-2)&lt;1,"",IF(45&lt;=($L$5-2),I48,INDEX($I$4:$I$603,($L$5-2))))</f>
        <v/>
      </c>
    </row>
    <row r="49">
      <c r="A49" s="36" t="n">
        <v>19.003</v>
      </c>
      <c r="B49" s="36" t="n">
        <v>10.777</v>
      </c>
      <c r="C49" s="37">
        <f>IF(OR(A49="",A50=""),"",A50-A49)</f>
        <v/>
      </c>
      <c r="D49" s="37">
        <f>IF(C49="","",B50-B49)</f>
        <v/>
      </c>
      <c r="E49" s="37">
        <f>IF(C49="","",(A49+A50)/2)</f>
        <v/>
      </c>
      <c r="F49" s="25">
        <f>IF(OR(C49="",C49=0),"",D49/C49)</f>
        <v/>
      </c>
      <c r="G49" s="25">
        <f>IF(C49="","",D49/$L$6)</f>
        <v/>
      </c>
      <c r="H49" s="37">
        <f>IF(OR(F49="",F50=""),"",(E49+E50)/2)</f>
        <v/>
      </c>
      <c r="I49" s="25">
        <f>IF(H49="","",(F50-F49)/(E50-E49))</f>
        <v/>
      </c>
      <c r="P49" s="25">
        <f>IF(($L$5-1)&lt;1,"",IF(46&lt;=($L$5-1),E49,INDEX($E$4:$E$603,($L$5-1))))</f>
        <v/>
      </c>
      <c r="Q49" s="25">
        <f>IF(($L$5-1)&lt;1,"",IF(46&lt;=($L$5-1),F49,INDEX($F$4:$F$603,($L$5-1))))</f>
        <v/>
      </c>
      <c r="R49" s="25">
        <f>IF(($L$5-1)&lt;1,"",IF(46&lt;=($L$5-1),G49,INDEX($G$4:$G$603,($L$5-1))))</f>
        <v/>
      </c>
      <c r="S49" s="25">
        <f>IF(($L$5-2)&lt;1,"",IF(46&lt;=($L$5-2),H49,INDEX($H$4:$H$603,($L$5-2))))</f>
        <v/>
      </c>
      <c r="T49" s="25">
        <f>IF(($L$5-2)&lt;1,"",IF(46&lt;=($L$5-2),I49,INDEX($I$4:$I$603,($L$5-2))))</f>
        <v/>
      </c>
    </row>
    <row r="50">
      <c r="A50" s="36" t="n">
        <v>19.113</v>
      </c>
      <c r="B50" s="36" t="n">
        <v>10.923</v>
      </c>
      <c r="C50" s="37">
        <f>IF(OR(A50="",A51=""),"",A51-A50)</f>
        <v/>
      </c>
      <c r="D50" s="37">
        <f>IF(C50="","",B51-B50)</f>
        <v/>
      </c>
      <c r="E50" s="37">
        <f>IF(C50="","",(A50+A51)/2)</f>
        <v/>
      </c>
      <c r="F50" s="25">
        <f>IF(OR(C50="",C50=0),"",D50/C50)</f>
        <v/>
      </c>
      <c r="G50" s="25">
        <f>IF(C50="","",D50/$L$6)</f>
        <v/>
      </c>
      <c r="H50" s="37">
        <f>IF(OR(F50="",F51=""),"",(E50+E51)/2)</f>
        <v/>
      </c>
      <c r="I50" s="25">
        <f>IF(H50="","",(F51-F50)/(E51-E50))</f>
        <v/>
      </c>
      <c r="P50" s="25">
        <f>IF(($L$5-1)&lt;1,"",IF(47&lt;=($L$5-1),E50,INDEX($E$4:$E$603,($L$5-1))))</f>
        <v/>
      </c>
      <c r="Q50" s="25">
        <f>IF(($L$5-1)&lt;1,"",IF(47&lt;=($L$5-1),F50,INDEX($F$4:$F$603,($L$5-1))))</f>
        <v/>
      </c>
      <c r="R50" s="25">
        <f>IF(($L$5-1)&lt;1,"",IF(47&lt;=($L$5-1),G50,INDEX($G$4:$G$603,($L$5-1))))</f>
        <v/>
      </c>
      <c r="S50" s="25">
        <f>IF(($L$5-2)&lt;1,"",IF(47&lt;=($L$5-2),H50,INDEX($H$4:$H$603,($L$5-2))))</f>
        <v/>
      </c>
      <c r="T50" s="25">
        <f>IF(($L$5-2)&lt;1,"",IF(47&lt;=($L$5-2),I50,INDEX($I$4:$I$603,($L$5-2))))</f>
        <v/>
      </c>
    </row>
    <row r="51">
      <c r="A51" s="36" t="n">
        <v>19.203</v>
      </c>
      <c r="B51" s="36" t="n">
        <v>11.04</v>
      </c>
      <c r="C51" s="37">
        <f>IF(OR(A51="",A52=""),"",A52-A51)</f>
        <v/>
      </c>
      <c r="D51" s="37">
        <f>IF(C51="","",B52-B51)</f>
        <v/>
      </c>
      <c r="E51" s="37">
        <f>IF(C51="","",(A51+A52)/2)</f>
        <v/>
      </c>
      <c r="F51" s="25">
        <f>IF(OR(C51="",C51=0),"",D51/C51)</f>
        <v/>
      </c>
      <c r="G51" s="25">
        <f>IF(C51="","",D51/$L$6)</f>
        <v/>
      </c>
      <c r="H51" s="37">
        <f>IF(OR(F51="",F52=""),"",(E51+E52)/2)</f>
        <v/>
      </c>
      <c r="I51" s="25">
        <f>IF(H51="","",(F52-F51)/(E52-E51))</f>
        <v/>
      </c>
      <c r="P51" s="25">
        <f>IF(($L$5-1)&lt;1,"",IF(48&lt;=($L$5-1),E51,INDEX($E$4:$E$603,($L$5-1))))</f>
        <v/>
      </c>
      <c r="Q51" s="25">
        <f>IF(($L$5-1)&lt;1,"",IF(48&lt;=($L$5-1),F51,INDEX($F$4:$F$603,($L$5-1))))</f>
        <v/>
      </c>
      <c r="R51" s="25">
        <f>IF(($L$5-1)&lt;1,"",IF(48&lt;=($L$5-1),G51,INDEX($G$4:$G$603,($L$5-1))))</f>
        <v/>
      </c>
      <c r="S51" s="25">
        <f>IF(($L$5-2)&lt;1,"",IF(48&lt;=($L$5-2),H51,INDEX($H$4:$H$603,($L$5-2))))</f>
        <v/>
      </c>
      <c r="T51" s="25">
        <f>IF(($L$5-2)&lt;1,"",IF(48&lt;=($L$5-2),I51,INDEX($I$4:$I$603,($L$5-2))))</f>
        <v/>
      </c>
    </row>
    <row r="52">
      <c r="A52" s="36" t="n">
        <v>19.31</v>
      </c>
      <c r="B52" s="36" t="n">
        <v>11.078</v>
      </c>
      <c r="C52" s="37">
        <f>IF(OR(A52="",A53=""),"",A53-A52)</f>
        <v/>
      </c>
      <c r="D52" s="37">
        <f>IF(C52="","",B53-B52)</f>
        <v/>
      </c>
      <c r="E52" s="37">
        <f>IF(C52="","",(A52+A53)/2)</f>
        <v/>
      </c>
      <c r="F52" s="25">
        <f>IF(OR(C52="",C52=0),"",D52/C52)</f>
        <v/>
      </c>
      <c r="G52" s="25">
        <f>IF(C52="","",D52/$L$6)</f>
        <v/>
      </c>
      <c r="H52" s="37">
        <f>IF(OR(F52="",F53=""),"",(E52+E53)/2)</f>
        <v/>
      </c>
      <c r="I52" s="25">
        <f>IF(H52="","",(F53-F52)/(E53-E52))</f>
        <v/>
      </c>
      <c r="P52" s="25">
        <f>IF(($L$5-1)&lt;1,"",IF(49&lt;=($L$5-1),E52,INDEX($E$4:$E$603,($L$5-1))))</f>
        <v/>
      </c>
      <c r="Q52" s="25">
        <f>IF(($L$5-1)&lt;1,"",IF(49&lt;=($L$5-1),F52,INDEX($F$4:$F$603,($L$5-1))))</f>
        <v/>
      </c>
      <c r="R52" s="25">
        <f>IF(($L$5-1)&lt;1,"",IF(49&lt;=($L$5-1),G52,INDEX($G$4:$G$603,($L$5-1))))</f>
        <v/>
      </c>
      <c r="S52" s="25">
        <f>IF(($L$5-2)&lt;1,"",IF(49&lt;=($L$5-2),H52,INDEX($H$4:$H$603,($L$5-2))))</f>
        <v/>
      </c>
      <c r="T52" s="25">
        <f>IF(($L$5-2)&lt;1,"",IF(49&lt;=($L$5-2),I52,INDEX($I$4:$I$603,($L$5-2))))</f>
        <v/>
      </c>
    </row>
    <row r="53">
      <c r="A53" s="36" t="n">
        <v>19.401</v>
      </c>
      <c r="B53" s="36" t="n">
        <v>11.153</v>
      </c>
      <c r="C53" s="37">
        <f>IF(OR(A53="",A54=""),"",A54-A53)</f>
        <v/>
      </c>
      <c r="D53" s="37">
        <f>IF(C53="","",B54-B53)</f>
        <v/>
      </c>
      <c r="E53" s="37">
        <f>IF(C53="","",(A53+A54)/2)</f>
        <v/>
      </c>
      <c r="F53" s="25">
        <f>IF(OR(C53="",C53=0),"",D53/C53)</f>
        <v/>
      </c>
      <c r="G53" s="25">
        <f>IF(C53="","",D53/$L$6)</f>
        <v/>
      </c>
      <c r="H53" s="37">
        <f>IF(OR(F53="",F54=""),"",(E53+E54)/2)</f>
        <v/>
      </c>
      <c r="I53" s="25">
        <f>IF(H53="","",(F54-F53)/(E54-E53))</f>
        <v/>
      </c>
      <c r="P53" s="25">
        <f>IF(($L$5-1)&lt;1,"",IF(50&lt;=($L$5-1),E53,INDEX($E$4:$E$603,($L$5-1))))</f>
        <v/>
      </c>
      <c r="Q53" s="25">
        <f>IF(($L$5-1)&lt;1,"",IF(50&lt;=($L$5-1),F53,INDEX($F$4:$F$603,($L$5-1))))</f>
        <v/>
      </c>
      <c r="R53" s="25">
        <f>IF(($L$5-1)&lt;1,"",IF(50&lt;=($L$5-1),G53,INDEX($G$4:$G$603,($L$5-1))))</f>
        <v/>
      </c>
      <c r="S53" s="25">
        <f>IF(($L$5-2)&lt;1,"",IF(50&lt;=($L$5-2),H53,INDEX($H$4:$H$603,($L$5-2))))</f>
        <v/>
      </c>
      <c r="T53" s="25">
        <f>IF(($L$5-2)&lt;1,"",IF(50&lt;=($L$5-2),I53,INDEX($I$4:$I$603,($L$5-2))))</f>
        <v/>
      </c>
    </row>
    <row r="54">
      <c r="A54" s="36" t="n">
        <v>19.504</v>
      </c>
      <c r="B54" s="36" t="n">
        <v>11.211</v>
      </c>
      <c r="C54" s="37">
        <f>IF(OR(A54="",A55=""),"",A55-A54)</f>
        <v/>
      </c>
      <c r="D54" s="37">
        <f>IF(C54="","",B55-B54)</f>
        <v/>
      </c>
      <c r="E54" s="37">
        <f>IF(C54="","",(A54+A55)/2)</f>
        <v/>
      </c>
      <c r="F54" s="25">
        <f>IF(OR(C54="",C54=0),"",D54/C54)</f>
        <v/>
      </c>
      <c r="G54" s="25">
        <f>IF(C54="","",D54/$L$6)</f>
        <v/>
      </c>
      <c r="H54" s="37">
        <f>IF(OR(F54="",F55=""),"",(E54+E55)/2)</f>
        <v/>
      </c>
      <c r="I54" s="25">
        <f>IF(H54="","",(F55-F54)/(E55-E54))</f>
        <v/>
      </c>
      <c r="P54" s="25">
        <f>IF(($L$5-1)&lt;1,"",IF(51&lt;=($L$5-1),E54,INDEX($E$4:$E$603,($L$5-1))))</f>
        <v/>
      </c>
      <c r="Q54" s="25">
        <f>IF(($L$5-1)&lt;1,"",IF(51&lt;=($L$5-1),F54,INDEX($F$4:$F$603,($L$5-1))))</f>
        <v/>
      </c>
      <c r="R54" s="25">
        <f>IF(($L$5-1)&lt;1,"",IF(51&lt;=($L$5-1),G54,INDEX($G$4:$G$603,($L$5-1))))</f>
        <v/>
      </c>
      <c r="S54" s="25">
        <f>IF(($L$5-2)&lt;1,"",IF(51&lt;=($L$5-2),H54,INDEX($H$4:$H$603,($L$5-2))))</f>
        <v/>
      </c>
      <c r="T54" s="25">
        <f>IF(($L$5-2)&lt;1,"",IF(51&lt;=($L$5-2),I54,INDEX($I$4:$I$603,($L$5-2))))</f>
        <v/>
      </c>
    </row>
    <row r="55">
      <c r="A55" s="36" t="n">
        <v>19.609</v>
      </c>
      <c r="B55" s="36" t="n">
        <v>11.277</v>
      </c>
      <c r="C55" s="37">
        <f>IF(OR(A55="",A56=""),"",A56-A55)</f>
        <v/>
      </c>
      <c r="D55" s="37">
        <f>IF(C55="","",B56-B55)</f>
        <v/>
      </c>
      <c r="E55" s="37">
        <f>IF(C55="","",(A55+A56)/2)</f>
        <v/>
      </c>
      <c r="F55" s="25">
        <f>IF(OR(C55="",C55=0),"",D55/C55)</f>
        <v/>
      </c>
      <c r="G55" s="25">
        <f>IF(C55="","",D55/$L$6)</f>
        <v/>
      </c>
      <c r="H55" s="37">
        <f>IF(OR(F55="",F56=""),"",(E55+E56)/2)</f>
        <v/>
      </c>
      <c r="I55" s="25">
        <f>IF(H55="","",(F56-F55)/(E56-E55))</f>
        <v/>
      </c>
      <c r="P55" s="25">
        <f>IF(($L$5-1)&lt;1,"",IF(52&lt;=($L$5-1),E55,INDEX($E$4:$E$603,($L$5-1))))</f>
        <v/>
      </c>
      <c r="Q55" s="25">
        <f>IF(($L$5-1)&lt;1,"",IF(52&lt;=($L$5-1),F55,INDEX($F$4:$F$603,($L$5-1))))</f>
        <v/>
      </c>
      <c r="R55" s="25">
        <f>IF(($L$5-1)&lt;1,"",IF(52&lt;=($L$5-1),G55,INDEX($G$4:$G$603,($L$5-1))))</f>
        <v/>
      </c>
      <c r="S55" s="25">
        <f>IF(($L$5-2)&lt;1,"",IF(52&lt;=($L$5-2),H55,INDEX($H$4:$H$603,($L$5-2))))</f>
        <v/>
      </c>
      <c r="T55" s="25">
        <f>IF(($L$5-2)&lt;1,"",IF(52&lt;=($L$5-2),I55,INDEX($I$4:$I$603,($L$5-2))))</f>
        <v/>
      </c>
    </row>
    <row r="56">
      <c r="A56" s="36" t="n">
        <v>19.678</v>
      </c>
      <c r="B56" s="36" t="n">
        <v>11.29</v>
      </c>
      <c r="C56" s="37">
        <f>IF(OR(A56="",A57=""),"",A57-A56)</f>
        <v/>
      </c>
      <c r="D56" s="37">
        <f>IF(C56="","",B57-B56)</f>
        <v/>
      </c>
      <c r="E56" s="37">
        <f>IF(C56="","",(A56+A57)/2)</f>
        <v/>
      </c>
      <c r="F56" s="25">
        <f>IF(OR(C56="",C56=0),"",D56/C56)</f>
        <v/>
      </c>
      <c r="G56" s="25">
        <f>IF(C56="","",D56/$L$6)</f>
        <v/>
      </c>
      <c r="H56" s="37">
        <f>IF(OR(F56="",F57=""),"",(E56+E57)/2)</f>
        <v/>
      </c>
      <c r="I56" s="25">
        <f>IF(H56="","",(F57-F56)/(E57-E56))</f>
        <v/>
      </c>
      <c r="P56" s="25">
        <f>IF(($L$5-1)&lt;1,"",IF(53&lt;=($L$5-1),E56,INDEX($E$4:$E$603,($L$5-1))))</f>
        <v/>
      </c>
      <c r="Q56" s="25">
        <f>IF(($L$5-1)&lt;1,"",IF(53&lt;=($L$5-1),F56,INDEX($F$4:$F$603,($L$5-1))))</f>
        <v/>
      </c>
      <c r="R56" s="25">
        <f>IF(($L$5-1)&lt;1,"",IF(53&lt;=($L$5-1),G56,INDEX($G$4:$G$603,($L$5-1))))</f>
        <v/>
      </c>
      <c r="S56" s="25">
        <f>IF(($L$5-2)&lt;1,"",IF(53&lt;=($L$5-2),H56,INDEX($H$4:$H$603,($L$5-2))))</f>
        <v/>
      </c>
      <c r="T56" s="25">
        <f>IF(($L$5-2)&lt;1,"",IF(53&lt;=($L$5-2),I56,INDEX($I$4:$I$603,($L$5-2))))</f>
        <v/>
      </c>
    </row>
    <row r="57">
      <c r="A57" s="36" t="n">
        <v>19.795</v>
      </c>
      <c r="B57" s="36" t="n">
        <v>11.381</v>
      </c>
      <c r="C57" s="37">
        <f>IF(OR(A57="",A58=""),"",A58-A57)</f>
        <v/>
      </c>
      <c r="D57" s="37">
        <f>IF(C57="","",B58-B57)</f>
        <v/>
      </c>
      <c r="E57" s="37">
        <f>IF(C57="","",(A57+A58)/2)</f>
        <v/>
      </c>
      <c r="F57" s="25">
        <f>IF(OR(C57="",C57=0),"",D57/C57)</f>
        <v/>
      </c>
      <c r="G57" s="25">
        <f>IF(C57="","",D57/$L$6)</f>
        <v/>
      </c>
      <c r="H57" s="37">
        <f>IF(OR(F57="",F58=""),"",(E57+E58)/2)</f>
        <v/>
      </c>
      <c r="I57" s="25">
        <f>IF(H57="","",(F58-F57)/(E58-E57))</f>
        <v/>
      </c>
      <c r="P57" s="25">
        <f>IF(($L$5-1)&lt;1,"",IF(54&lt;=($L$5-1),E57,INDEX($E$4:$E$603,($L$5-1))))</f>
        <v/>
      </c>
      <c r="Q57" s="25">
        <f>IF(($L$5-1)&lt;1,"",IF(54&lt;=($L$5-1),F57,INDEX($F$4:$F$603,($L$5-1))))</f>
        <v/>
      </c>
      <c r="R57" s="25">
        <f>IF(($L$5-1)&lt;1,"",IF(54&lt;=($L$5-1),G57,INDEX($G$4:$G$603,($L$5-1))))</f>
        <v/>
      </c>
      <c r="S57" s="25">
        <f>IF(($L$5-2)&lt;1,"",IF(54&lt;=($L$5-2),H57,INDEX($H$4:$H$603,($L$5-2))))</f>
        <v/>
      </c>
      <c r="T57" s="25">
        <f>IF(($L$5-2)&lt;1,"",IF(54&lt;=($L$5-2),I57,INDEX($I$4:$I$603,($L$5-2))))</f>
        <v/>
      </c>
    </row>
    <row r="58">
      <c r="A58" s="36" t="n">
        <v>19.893</v>
      </c>
      <c r="B58" s="36" t="n">
        <v>11.401</v>
      </c>
      <c r="C58" s="37">
        <f>IF(OR(A58="",A59=""),"",A59-A58)</f>
        <v/>
      </c>
      <c r="D58" s="37">
        <f>IF(C58="","",B59-B58)</f>
        <v/>
      </c>
      <c r="E58" s="37">
        <f>IF(C58="","",(A58+A59)/2)</f>
        <v/>
      </c>
      <c r="F58" s="25">
        <f>IF(OR(C58="",C58=0),"",D58/C58)</f>
        <v/>
      </c>
      <c r="G58" s="25">
        <f>IF(C58="","",D58/$L$6)</f>
        <v/>
      </c>
      <c r="H58" s="37">
        <f>IF(OR(F58="",F59=""),"",(E58+E59)/2)</f>
        <v/>
      </c>
      <c r="I58" s="25">
        <f>IF(H58="","",(F59-F58)/(E59-E58))</f>
        <v/>
      </c>
      <c r="P58" s="25">
        <f>IF(($L$5-1)&lt;1,"",IF(55&lt;=($L$5-1),E58,INDEX($E$4:$E$603,($L$5-1))))</f>
        <v/>
      </c>
      <c r="Q58" s="25">
        <f>IF(($L$5-1)&lt;1,"",IF(55&lt;=($L$5-1),F58,INDEX($F$4:$F$603,($L$5-1))))</f>
        <v/>
      </c>
      <c r="R58" s="25">
        <f>IF(($L$5-1)&lt;1,"",IF(55&lt;=($L$5-1),G58,INDEX($G$4:$G$603,($L$5-1))))</f>
        <v/>
      </c>
      <c r="S58" s="25">
        <f>IF(($L$5-2)&lt;1,"",IF(55&lt;=($L$5-2),H58,INDEX($H$4:$H$603,($L$5-2))))</f>
        <v/>
      </c>
      <c r="T58" s="25">
        <f>IF(($L$5-2)&lt;1,"",IF(55&lt;=($L$5-2),I58,INDEX($I$4:$I$603,($L$5-2))))</f>
        <v/>
      </c>
    </row>
    <row r="59">
      <c r="A59" s="36" t="n">
        <v>19.99</v>
      </c>
      <c r="B59" s="36" t="n">
        <v>11.411</v>
      </c>
      <c r="C59" s="37">
        <f>IF(OR(A59="",A60=""),"",A60-A59)</f>
        <v/>
      </c>
      <c r="D59" s="37">
        <f>IF(C59="","",B60-B59)</f>
        <v/>
      </c>
      <c r="E59" s="37">
        <f>IF(C59="","",(A59+A60)/2)</f>
        <v/>
      </c>
      <c r="F59" s="25">
        <f>IF(OR(C59="",C59=0),"",D59/C59)</f>
        <v/>
      </c>
      <c r="G59" s="25">
        <f>IF(C59="","",D59/$L$6)</f>
        <v/>
      </c>
      <c r="H59" s="37">
        <f>IF(OR(F59="",F60=""),"",(E59+E60)/2)</f>
        <v/>
      </c>
      <c r="I59" s="25">
        <f>IF(H59="","",(F60-F59)/(E60-E59))</f>
        <v/>
      </c>
      <c r="P59" s="25">
        <f>IF(($L$5-1)&lt;1,"",IF(56&lt;=($L$5-1),E59,INDEX($E$4:$E$603,($L$5-1))))</f>
        <v/>
      </c>
      <c r="Q59" s="25">
        <f>IF(($L$5-1)&lt;1,"",IF(56&lt;=($L$5-1),F59,INDEX($F$4:$F$603,($L$5-1))))</f>
        <v/>
      </c>
      <c r="R59" s="25">
        <f>IF(($L$5-1)&lt;1,"",IF(56&lt;=($L$5-1),G59,INDEX($G$4:$G$603,($L$5-1))))</f>
        <v/>
      </c>
      <c r="S59" s="25">
        <f>IF(($L$5-2)&lt;1,"",IF(56&lt;=($L$5-2),H59,INDEX($H$4:$H$603,($L$5-2))))</f>
        <v/>
      </c>
      <c r="T59" s="25">
        <f>IF(($L$5-2)&lt;1,"",IF(56&lt;=($L$5-2),I59,INDEX($I$4:$I$603,($L$5-2))))</f>
        <v/>
      </c>
    </row>
    <row r="60">
      <c r="A60" s="36" t="n">
        <v>20.096</v>
      </c>
      <c r="B60" s="36" t="n">
        <v>11.455</v>
      </c>
      <c r="C60" s="37">
        <f>IF(OR(A60="",A61=""),"",A61-A60)</f>
        <v/>
      </c>
      <c r="D60" s="37">
        <f>IF(C60="","",B61-B60)</f>
        <v/>
      </c>
      <c r="E60" s="37">
        <f>IF(C60="","",(A60+A61)/2)</f>
        <v/>
      </c>
      <c r="F60" s="25">
        <f>IF(OR(C60="",C60=0),"",D60/C60)</f>
        <v/>
      </c>
      <c r="G60" s="25">
        <f>IF(C60="","",D60/$L$6)</f>
        <v/>
      </c>
      <c r="H60" s="37">
        <f>IF(OR(F60="",F61=""),"",(E60+E61)/2)</f>
        <v/>
      </c>
      <c r="I60" s="25">
        <f>IF(H60="","",(F61-F60)/(E61-E60))</f>
        <v/>
      </c>
      <c r="P60" s="25">
        <f>IF(($L$5-1)&lt;1,"",IF(57&lt;=($L$5-1),E60,INDEX($E$4:$E$603,($L$5-1))))</f>
        <v/>
      </c>
      <c r="Q60" s="25">
        <f>IF(($L$5-1)&lt;1,"",IF(57&lt;=($L$5-1),F60,INDEX($F$4:$F$603,($L$5-1))))</f>
        <v/>
      </c>
      <c r="R60" s="25">
        <f>IF(($L$5-1)&lt;1,"",IF(57&lt;=($L$5-1),G60,INDEX($G$4:$G$603,($L$5-1))))</f>
        <v/>
      </c>
      <c r="S60" s="25">
        <f>IF(($L$5-2)&lt;1,"",IF(57&lt;=($L$5-2),H60,INDEX($H$4:$H$603,($L$5-2))))</f>
        <v/>
      </c>
      <c r="T60" s="25">
        <f>IF(($L$5-2)&lt;1,"",IF(57&lt;=($L$5-2),I60,INDEX($I$4:$I$603,($L$5-2))))</f>
        <v/>
      </c>
    </row>
    <row r="61">
      <c r="A61" s="36" t="n">
        <v>20.222</v>
      </c>
      <c r="B61" s="36" t="n">
        <v>11.519</v>
      </c>
      <c r="C61" s="37">
        <f>IF(OR(A61="",A62=""),"",A62-A61)</f>
        <v/>
      </c>
      <c r="D61" s="37">
        <f>IF(C61="","",B62-B61)</f>
        <v/>
      </c>
      <c r="E61" s="37">
        <f>IF(C61="","",(A61+A62)/2)</f>
        <v/>
      </c>
      <c r="F61" s="25">
        <f>IF(OR(C61="",C61=0),"",D61/C61)</f>
        <v/>
      </c>
      <c r="G61" s="25">
        <f>IF(C61="","",D61/$L$6)</f>
        <v/>
      </c>
      <c r="H61" s="37">
        <f>IF(OR(F61="",F62=""),"",(E61+E62)/2)</f>
        <v/>
      </c>
      <c r="I61" s="25">
        <f>IF(H61="","",(F62-F61)/(E62-E61))</f>
        <v/>
      </c>
      <c r="P61" s="25">
        <f>IF(($L$5-1)&lt;1,"",IF(58&lt;=($L$5-1),E61,INDEX($E$4:$E$603,($L$5-1))))</f>
        <v/>
      </c>
      <c r="Q61" s="25">
        <f>IF(($L$5-1)&lt;1,"",IF(58&lt;=($L$5-1),F61,INDEX($F$4:$F$603,($L$5-1))))</f>
        <v/>
      </c>
      <c r="R61" s="25">
        <f>IF(($L$5-1)&lt;1,"",IF(58&lt;=($L$5-1),G61,INDEX($G$4:$G$603,($L$5-1))))</f>
        <v/>
      </c>
      <c r="S61" s="25">
        <f>IF(($L$5-2)&lt;1,"",IF(58&lt;=($L$5-2),H61,INDEX($H$4:$H$603,($L$5-2))))</f>
        <v/>
      </c>
      <c r="T61" s="25">
        <f>IF(($L$5-2)&lt;1,"",IF(58&lt;=($L$5-2),I61,INDEX($I$4:$I$603,($L$5-2))))</f>
        <v/>
      </c>
    </row>
    <row r="62">
      <c r="A62" s="36" t="n">
        <v>20.287</v>
      </c>
      <c r="B62" s="36" t="n">
        <v>11.547</v>
      </c>
      <c r="C62" s="37">
        <f>IF(OR(A62="",A63=""),"",A63-A62)</f>
        <v/>
      </c>
      <c r="D62" s="37">
        <f>IF(C62="","",B63-B62)</f>
        <v/>
      </c>
      <c r="E62" s="37">
        <f>IF(C62="","",(A62+A63)/2)</f>
        <v/>
      </c>
      <c r="F62" s="25">
        <f>IF(OR(C62="",C62=0),"",D62/C62)</f>
        <v/>
      </c>
      <c r="G62" s="25">
        <f>IF(C62="","",D62/$L$6)</f>
        <v/>
      </c>
      <c r="H62" s="37">
        <f>IF(OR(F62="",F63=""),"",(E62+E63)/2)</f>
        <v/>
      </c>
      <c r="I62" s="25">
        <f>IF(H62="","",(F63-F62)/(E63-E62))</f>
        <v/>
      </c>
      <c r="P62" s="25">
        <f>IF(($L$5-1)&lt;1,"",IF(59&lt;=($L$5-1),E62,INDEX($E$4:$E$603,($L$5-1))))</f>
        <v/>
      </c>
      <c r="Q62" s="25">
        <f>IF(($L$5-1)&lt;1,"",IF(59&lt;=($L$5-1),F62,INDEX($F$4:$F$603,($L$5-1))))</f>
        <v/>
      </c>
      <c r="R62" s="25">
        <f>IF(($L$5-1)&lt;1,"",IF(59&lt;=($L$5-1),G62,INDEX($G$4:$G$603,($L$5-1))))</f>
        <v/>
      </c>
      <c r="S62" s="25">
        <f>IF(($L$5-2)&lt;1,"",IF(59&lt;=($L$5-2),H62,INDEX($H$4:$H$603,($L$5-2))))</f>
        <v/>
      </c>
      <c r="T62" s="25">
        <f>IF(($L$5-2)&lt;1,"",IF(59&lt;=($L$5-2),I62,INDEX($I$4:$I$603,($L$5-2))))</f>
        <v/>
      </c>
    </row>
    <row r="63">
      <c r="A63" s="36" t="n">
        <v>20.415</v>
      </c>
      <c r="B63" s="36" t="n">
        <v>11.604</v>
      </c>
      <c r="C63" s="37">
        <f>IF(OR(A63="",A64=""),"",A64-A63)</f>
        <v/>
      </c>
      <c r="D63" s="37">
        <f>IF(C63="","",B64-B63)</f>
        <v/>
      </c>
      <c r="E63" s="37">
        <f>IF(C63="","",(A63+A64)/2)</f>
        <v/>
      </c>
      <c r="F63" s="25">
        <f>IF(OR(C63="",C63=0),"",D63/C63)</f>
        <v/>
      </c>
      <c r="G63" s="25">
        <f>IF(C63="","",D63/$L$6)</f>
        <v/>
      </c>
      <c r="H63" s="37">
        <f>IF(OR(F63="",F64=""),"",(E63+E64)/2)</f>
        <v/>
      </c>
      <c r="I63" s="25">
        <f>IF(H63="","",(F64-F63)/(E64-E63))</f>
        <v/>
      </c>
      <c r="P63" s="25">
        <f>IF(($L$5-1)&lt;1,"",IF(60&lt;=($L$5-1),E63,INDEX($E$4:$E$603,($L$5-1))))</f>
        <v/>
      </c>
      <c r="Q63" s="25">
        <f>IF(($L$5-1)&lt;1,"",IF(60&lt;=($L$5-1),F63,INDEX($F$4:$F$603,($L$5-1))))</f>
        <v/>
      </c>
      <c r="R63" s="25">
        <f>IF(($L$5-1)&lt;1,"",IF(60&lt;=($L$5-1),G63,INDEX($G$4:$G$603,($L$5-1))))</f>
        <v/>
      </c>
      <c r="S63" s="25">
        <f>IF(($L$5-2)&lt;1,"",IF(60&lt;=($L$5-2),H63,INDEX($H$4:$H$603,($L$5-2))))</f>
        <v/>
      </c>
      <c r="T63" s="25">
        <f>IF(($L$5-2)&lt;1,"",IF(60&lt;=($L$5-2),I63,INDEX($I$4:$I$603,($L$5-2))))</f>
        <v/>
      </c>
    </row>
    <row r="64">
      <c r="A64" s="36" t="n">
        <v>20.475</v>
      </c>
      <c r="B64" s="36" t="n">
        <v>11.637</v>
      </c>
      <c r="C64" s="37">
        <f>IF(OR(A64="",A65=""),"",A65-A64)</f>
        <v/>
      </c>
      <c r="D64" s="37">
        <f>IF(C64="","",B65-B64)</f>
        <v/>
      </c>
      <c r="E64" s="37">
        <f>IF(C64="","",(A64+A65)/2)</f>
        <v/>
      </c>
      <c r="F64" s="25">
        <f>IF(OR(C64="",C64=0),"",D64/C64)</f>
        <v/>
      </c>
      <c r="G64" s="25">
        <f>IF(C64="","",D64/$L$6)</f>
        <v/>
      </c>
      <c r="H64" s="37">
        <f>IF(OR(F64="",F65=""),"",(E64+E65)/2)</f>
        <v/>
      </c>
      <c r="I64" s="25">
        <f>IF(H64="","",(F65-F64)/(E65-E64))</f>
        <v/>
      </c>
      <c r="P64" s="25">
        <f>IF(($L$5-1)&lt;1,"",IF(61&lt;=($L$5-1),E64,INDEX($E$4:$E$603,($L$5-1))))</f>
        <v/>
      </c>
      <c r="Q64" s="25">
        <f>IF(($L$5-1)&lt;1,"",IF(61&lt;=($L$5-1),F64,INDEX($F$4:$F$603,($L$5-1))))</f>
        <v/>
      </c>
      <c r="R64" s="25">
        <f>IF(($L$5-1)&lt;1,"",IF(61&lt;=($L$5-1),G64,INDEX($G$4:$G$603,($L$5-1))))</f>
        <v/>
      </c>
      <c r="S64" s="25">
        <f>IF(($L$5-2)&lt;1,"",IF(61&lt;=($L$5-2),H64,INDEX($H$4:$H$603,($L$5-2))))</f>
        <v/>
      </c>
      <c r="T64" s="25">
        <f>IF(($L$5-2)&lt;1,"",IF(61&lt;=($L$5-2),I64,INDEX($I$4:$I$603,($L$5-2))))</f>
        <v/>
      </c>
    </row>
    <row r="65">
      <c r="A65" s="36" t="n">
        <v>20.595</v>
      </c>
      <c r="B65" s="36" t="n">
        <v>11.615</v>
      </c>
      <c r="C65" s="37">
        <f>IF(OR(A65="",A66=""),"",A66-A65)</f>
        <v/>
      </c>
      <c r="D65" s="37">
        <f>IF(C65="","",B66-B65)</f>
        <v/>
      </c>
      <c r="E65" s="37">
        <f>IF(C65="","",(A65+A66)/2)</f>
        <v/>
      </c>
      <c r="F65" s="25">
        <f>IF(OR(C65="",C65=0),"",D65/C65)</f>
        <v/>
      </c>
      <c r="G65" s="25">
        <f>IF(C65="","",D65/$L$6)</f>
        <v/>
      </c>
      <c r="H65" s="37">
        <f>IF(OR(F65="",F66=""),"",(E65+E66)/2)</f>
        <v/>
      </c>
      <c r="I65" s="25">
        <f>IF(H65="","",(F66-F65)/(E66-E65))</f>
        <v/>
      </c>
      <c r="P65" s="25">
        <f>IF(($L$5-1)&lt;1,"",IF(62&lt;=($L$5-1),E65,INDEX($E$4:$E$603,($L$5-1))))</f>
        <v/>
      </c>
      <c r="Q65" s="25">
        <f>IF(($L$5-1)&lt;1,"",IF(62&lt;=($L$5-1),F65,INDEX($F$4:$F$603,($L$5-1))))</f>
        <v/>
      </c>
      <c r="R65" s="25">
        <f>IF(($L$5-1)&lt;1,"",IF(62&lt;=($L$5-1),G65,INDEX($G$4:$G$603,($L$5-1))))</f>
        <v/>
      </c>
      <c r="S65" s="25">
        <f>IF(($L$5-2)&lt;1,"",IF(62&lt;=($L$5-2),H65,INDEX($H$4:$H$603,($L$5-2))))</f>
        <v/>
      </c>
      <c r="T65" s="25">
        <f>IF(($L$5-2)&lt;1,"",IF(62&lt;=($L$5-2),I65,INDEX($I$4:$I$603,($L$5-2))))</f>
        <v/>
      </c>
    </row>
    <row r="66">
      <c r="A66" s="36" t="n">
        <v>20.702</v>
      </c>
      <c r="B66" s="36" t="n">
        <v>11.611</v>
      </c>
      <c r="C66" s="37">
        <f>IF(OR(A66="",A67=""),"",A67-A66)</f>
        <v/>
      </c>
      <c r="D66" s="37">
        <f>IF(C66="","",B67-B66)</f>
        <v/>
      </c>
      <c r="E66" s="37">
        <f>IF(C66="","",(A66+A67)/2)</f>
        <v/>
      </c>
      <c r="F66" s="25">
        <f>IF(OR(C66="",C66=0),"",D66/C66)</f>
        <v/>
      </c>
      <c r="G66" s="25">
        <f>IF(C66="","",D66/$L$6)</f>
        <v/>
      </c>
      <c r="H66" s="37">
        <f>IF(OR(F66="",F67=""),"",(E66+E67)/2)</f>
        <v/>
      </c>
      <c r="I66" s="25">
        <f>IF(H66="","",(F67-F66)/(E67-E66))</f>
        <v/>
      </c>
      <c r="P66" s="25">
        <f>IF(($L$5-1)&lt;1,"",IF(63&lt;=($L$5-1),E66,INDEX($E$4:$E$603,($L$5-1))))</f>
        <v/>
      </c>
      <c r="Q66" s="25">
        <f>IF(($L$5-1)&lt;1,"",IF(63&lt;=($L$5-1),F66,INDEX($F$4:$F$603,($L$5-1))))</f>
        <v/>
      </c>
      <c r="R66" s="25">
        <f>IF(($L$5-1)&lt;1,"",IF(63&lt;=($L$5-1),G66,INDEX($G$4:$G$603,($L$5-1))))</f>
        <v/>
      </c>
      <c r="S66" s="25">
        <f>IF(($L$5-2)&lt;1,"",IF(63&lt;=($L$5-2),H66,INDEX($H$4:$H$603,($L$5-2))))</f>
        <v/>
      </c>
      <c r="T66" s="25">
        <f>IF(($L$5-2)&lt;1,"",IF(63&lt;=($L$5-2),I66,INDEX($I$4:$I$603,($L$5-2))))</f>
        <v/>
      </c>
    </row>
    <row r="67">
      <c r="A67" s="36" t="n">
        <v>20.809</v>
      </c>
      <c r="B67" s="36" t="n">
        <v>11.61</v>
      </c>
      <c r="C67" s="37">
        <f>IF(OR(A67="",A68=""),"",A68-A67)</f>
        <v/>
      </c>
      <c r="D67" s="37">
        <f>IF(C67="","",B68-B67)</f>
        <v/>
      </c>
      <c r="E67" s="37">
        <f>IF(C67="","",(A67+A68)/2)</f>
        <v/>
      </c>
      <c r="F67" s="25">
        <f>IF(OR(C67="",C67=0),"",D67/C67)</f>
        <v/>
      </c>
      <c r="G67" s="25">
        <f>IF(C67="","",D67/$L$6)</f>
        <v/>
      </c>
      <c r="H67" s="37">
        <f>IF(OR(F67="",F68=""),"",(E67+E68)/2)</f>
        <v/>
      </c>
      <c r="I67" s="25">
        <f>IF(H67="","",(F68-F67)/(E68-E67))</f>
        <v/>
      </c>
      <c r="P67" s="25">
        <f>IF(($L$5-1)&lt;1,"",IF(64&lt;=($L$5-1),E67,INDEX($E$4:$E$603,($L$5-1))))</f>
        <v/>
      </c>
      <c r="Q67" s="25">
        <f>IF(($L$5-1)&lt;1,"",IF(64&lt;=($L$5-1),F67,INDEX($F$4:$F$603,($L$5-1))))</f>
        <v/>
      </c>
      <c r="R67" s="25">
        <f>IF(($L$5-1)&lt;1,"",IF(64&lt;=($L$5-1),G67,INDEX($G$4:$G$603,($L$5-1))))</f>
        <v/>
      </c>
      <c r="S67" s="25">
        <f>IF(($L$5-2)&lt;1,"",IF(64&lt;=($L$5-2),H67,INDEX($H$4:$H$603,($L$5-2))))</f>
        <v/>
      </c>
      <c r="T67" s="25">
        <f>IF(($L$5-2)&lt;1,"",IF(64&lt;=($L$5-2),I67,INDEX($I$4:$I$603,($L$5-2))))</f>
        <v/>
      </c>
    </row>
    <row r="68">
      <c r="A68" s="36" t="n">
        <v>20.911</v>
      </c>
      <c r="B68" s="36" t="n">
        <v>11.678</v>
      </c>
      <c r="C68" s="37">
        <f>IF(OR(A68="",A69=""),"",A69-A68)</f>
        <v/>
      </c>
      <c r="D68" s="37">
        <f>IF(C68="","",B69-B68)</f>
        <v/>
      </c>
      <c r="E68" s="37">
        <f>IF(C68="","",(A68+A69)/2)</f>
        <v/>
      </c>
      <c r="F68" s="25">
        <f>IF(OR(C68="",C68=0),"",D68/C68)</f>
        <v/>
      </c>
      <c r="G68" s="25">
        <f>IF(C68="","",D68/$L$6)</f>
        <v/>
      </c>
      <c r="H68" s="37">
        <f>IF(OR(F68="",F69=""),"",(E68+E69)/2)</f>
        <v/>
      </c>
      <c r="I68" s="25">
        <f>IF(H68="","",(F69-F68)/(E69-E68))</f>
        <v/>
      </c>
      <c r="P68" s="25">
        <f>IF(($L$5-1)&lt;1,"",IF(65&lt;=($L$5-1),E68,INDEX($E$4:$E$603,($L$5-1))))</f>
        <v/>
      </c>
      <c r="Q68" s="25">
        <f>IF(($L$5-1)&lt;1,"",IF(65&lt;=($L$5-1),F68,INDEX($F$4:$F$603,($L$5-1))))</f>
        <v/>
      </c>
      <c r="R68" s="25">
        <f>IF(($L$5-1)&lt;1,"",IF(65&lt;=($L$5-1),G68,INDEX($G$4:$G$603,($L$5-1))))</f>
        <v/>
      </c>
      <c r="S68" s="25">
        <f>IF(($L$5-2)&lt;1,"",IF(65&lt;=($L$5-2),H68,INDEX($H$4:$H$603,($L$5-2))))</f>
        <v/>
      </c>
      <c r="T68" s="25">
        <f>IF(($L$5-2)&lt;1,"",IF(65&lt;=($L$5-2),I68,INDEX($I$4:$I$603,($L$5-2))))</f>
        <v/>
      </c>
    </row>
    <row r="69">
      <c r="A69" s="36" t="n">
        <v>21.012</v>
      </c>
      <c r="B69" s="36" t="n">
        <v>11.675</v>
      </c>
      <c r="C69" s="37">
        <f>IF(OR(A69="",A70=""),"",A70-A69)</f>
        <v/>
      </c>
      <c r="D69" s="37">
        <f>IF(C69="","",B70-B69)</f>
        <v/>
      </c>
      <c r="E69" s="37">
        <f>IF(C69="","",(A69+A70)/2)</f>
        <v/>
      </c>
      <c r="F69" s="25">
        <f>IF(OR(C69="",C69=0),"",D69/C69)</f>
        <v/>
      </c>
      <c r="G69" s="25">
        <f>IF(C69="","",D69/$L$6)</f>
        <v/>
      </c>
      <c r="H69" s="37">
        <f>IF(OR(F69="",F70=""),"",(E69+E70)/2)</f>
        <v/>
      </c>
      <c r="I69" s="25">
        <f>IF(H69="","",(F70-F69)/(E70-E69))</f>
        <v/>
      </c>
      <c r="P69" s="25">
        <f>IF(($L$5-1)&lt;1,"",IF(66&lt;=($L$5-1),E69,INDEX($E$4:$E$603,($L$5-1))))</f>
        <v/>
      </c>
      <c r="Q69" s="25">
        <f>IF(($L$5-1)&lt;1,"",IF(66&lt;=($L$5-1),F69,INDEX($F$4:$F$603,($L$5-1))))</f>
        <v/>
      </c>
      <c r="R69" s="25">
        <f>IF(($L$5-1)&lt;1,"",IF(66&lt;=($L$5-1),G69,INDEX($G$4:$G$603,($L$5-1))))</f>
        <v/>
      </c>
      <c r="S69" s="25">
        <f>IF(($L$5-2)&lt;1,"",IF(66&lt;=($L$5-2),H69,INDEX($H$4:$H$603,($L$5-2))))</f>
        <v/>
      </c>
      <c r="T69" s="25">
        <f>IF(($L$5-2)&lt;1,"",IF(66&lt;=($L$5-2),I69,INDEX($I$4:$I$603,($L$5-2))))</f>
        <v/>
      </c>
    </row>
    <row r="70">
      <c r="A70" s="36" t="n">
        <v>21.095</v>
      </c>
      <c r="B70" s="36" t="n">
        <v>11.698</v>
      </c>
      <c r="C70" s="37">
        <f>IF(OR(A70="",A71=""),"",A71-A70)</f>
        <v/>
      </c>
      <c r="D70" s="37">
        <f>IF(C70="","",B71-B70)</f>
        <v/>
      </c>
      <c r="E70" s="37">
        <f>IF(C70="","",(A70+A71)/2)</f>
        <v/>
      </c>
      <c r="F70" s="25">
        <f>IF(OR(C70="",C70=0),"",D70/C70)</f>
        <v/>
      </c>
      <c r="G70" s="25">
        <f>IF(C70="","",D70/$L$6)</f>
        <v/>
      </c>
      <c r="H70" s="37">
        <f>IF(OR(F70="",F71=""),"",(E70+E71)/2)</f>
        <v/>
      </c>
      <c r="I70" s="25">
        <f>IF(H70="","",(F71-F70)/(E71-E70))</f>
        <v/>
      </c>
      <c r="P70" s="25">
        <f>IF(($L$5-1)&lt;1,"",IF(67&lt;=($L$5-1),E70,INDEX($E$4:$E$603,($L$5-1))))</f>
        <v/>
      </c>
      <c r="Q70" s="25">
        <f>IF(($L$5-1)&lt;1,"",IF(67&lt;=($L$5-1),F70,INDEX($F$4:$F$603,($L$5-1))))</f>
        <v/>
      </c>
      <c r="R70" s="25">
        <f>IF(($L$5-1)&lt;1,"",IF(67&lt;=($L$5-1),G70,INDEX($G$4:$G$603,($L$5-1))))</f>
        <v/>
      </c>
      <c r="S70" s="25">
        <f>IF(($L$5-2)&lt;1,"",IF(67&lt;=($L$5-2),H70,INDEX($H$4:$H$603,($L$5-2))))</f>
        <v/>
      </c>
      <c r="T70" s="25">
        <f>IF(($L$5-2)&lt;1,"",IF(67&lt;=($L$5-2),I70,INDEX($I$4:$I$603,($L$5-2))))</f>
        <v/>
      </c>
    </row>
    <row r="71">
      <c r="A71" s="36" t="n">
        <v>21.193</v>
      </c>
      <c r="B71" s="36" t="n">
        <v>11.711</v>
      </c>
      <c r="C71" s="37">
        <f>IF(OR(A71="",A72=""),"",A72-A71)</f>
        <v/>
      </c>
      <c r="D71" s="37">
        <f>IF(C71="","",B72-B71)</f>
        <v/>
      </c>
      <c r="E71" s="37">
        <f>IF(C71="","",(A71+A72)/2)</f>
        <v/>
      </c>
      <c r="F71" s="25">
        <f>IF(OR(C71="",C71=0),"",D71/C71)</f>
        <v/>
      </c>
      <c r="G71" s="25">
        <f>IF(C71="","",D71/$L$6)</f>
        <v/>
      </c>
      <c r="H71" s="37">
        <f>IF(OR(F71="",F72=""),"",(E71+E72)/2)</f>
        <v/>
      </c>
      <c r="I71" s="25">
        <f>IF(H71="","",(F72-F71)/(E72-E71))</f>
        <v/>
      </c>
      <c r="P71" s="25">
        <f>IF(($L$5-1)&lt;1,"",IF(68&lt;=($L$5-1),E71,INDEX($E$4:$E$603,($L$5-1))))</f>
        <v/>
      </c>
      <c r="Q71" s="25">
        <f>IF(($L$5-1)&lt;1,"",IF(68&lt;=($L$5-1),F71,INDEX($F$4:$F$603,($L$5-1))))</f>
        <v/>
      </c>
      <c r="R71" s="25">
        <f>IF(($L$5-1)&lt;1,"",IF(68&lt;=($L$5-1),G71,INDEX($G$4:$G$603,($L$5-1))))</f>
        <v/>
      </c>
      <c r="S71" s="25">
        <f>IF(($L$5-2)&lt;1,"",IF(68&lt;=($L$5-2),H71,INDEX($H$4:$H$603,($L$5-2))))</f>
        <v/>
      </c>
      <c r="T71" s="25">
        <f>IF(($L$5-2)&lt;1,"",IF(68&lt;=($L$5-2),I71,INDEX($I$4:$I$603,($L$5-2))))</f>
        <v/>
      </c>
    </row>
    <row r="72">
      <c r="A72" s="36" t="n">
        <v>21.313</v>
      </c>
      <c r="B72" s="36" t="n">
        <v>11.74</v>
      </c>
      <c r="C72" s="37">
        <f>IF(OR(A72="",A73=""),"",A73-A72)</f>
        <v/>
      </c>
      <c r="D72" s="37">
        <f>IF(C72="","",B73-B72)</f>
        <v/>
      </c>
      <c r="E72" s="37">
        <f>IF(C72="","",(A72+A73)/2)</f>
        <v/>
      </c>
      <c r="F72" s="25">
        <f>IF(OR(C72="",C72=0),"",D72/C72)</f>
        <v/>
      </c>
      <c r="G72" s="25">
        <f>IF(C72="","",D72/$L$6)</f>
        <v/>
      </c>
      <c r="H72" s="37">
        <f>IF(OR(F72="",F73=""),"",(E72+E73)/2)</f>
        <v/>
      </c>
      <c r="I72" s="25">
        <f>IF(H72="","",(F73-F72)/(E73-E72))</f>
        <v/>
      </c>
      <c r="P72" s="25">
        <f>IF(($L$5-1)&lt;1,"",IF(69&lt;=($L$5-1),E72,INDEX($E$4:$E$603,($L$5-1))))</f>
        <v/>
      </c>
      <c r="Q72" s="25">
        <f>IF(($L$5-1)&lt;1,"",IF(69&lt;=($L$5-1),F72,INDEX($F$4:$F$603,($L$5-1))))</f>
        <v/>
      </c>
      <c r="R72" s="25">
        <f>IF(($L$5-1)&lt;1,"",IF(69&lt;=($L$5-1),G72,INDEX($G$4:$G$603,($L$5-1))))</f>
        <v/>
      </c>
      <c r="S72" s="25">
        <f>IF(($L$5-2)&lt;1,"",IF(69&lt;=($L$5-2),H72,INDEX($H$4:$H$603,($L$5-2))))</f>
        <v/>
      </c>
      <c r="T72" s="25">
        <f>IF(($L$5-2)&lt;1,"",IF(69&lt;=($L$5-2),I72,INDEX($I$4:$I$603,($L$5-2))))</f>
        <v/>
      </c>
    </row>
    <row r="73">
      <c r="A73" s="36" t="n">
        <v>21.397</v>
      </c>
      <c r="B73" s="36" t="n">
        <v>11.778</v>
      </c>
      <c r="C73" s="37">
        <f>IF(OR(A73="",A74=""),"",A74-A73)</f>
        <v/>
      </c>
      <c r="D73" s="37">
        <f>IF(C73="","",B74-B73)</f>
        <v/>
      </c>
      <c r="E73" s="37">
        <f>IF(C73="","",(A73+A74)/2)</f>
        <v/>
      </c>
      <c r="F73" s="25">
        <f>IF(OR(C73="",C73=0),"",D73/C73)</f>
        <v/>
      </c>
      <c r="G73" s="25">
        <f>IF(C73="","",D73/$L$6)</f>
        <v/>
      </c>
      <c r="H73" s="37">
        <f>IF(OR(F73="",F74=""),"",(E73+E74)/2)</f>
        <v/>
      </c>
      <c r="I73" s="25">
        <f>IF(H73="","",(F74-F73)/(E74-E73))</f>
        <v/>
      </c>
      <c r="P73" s="25">
        <f>IF(($L$5-1)&lt;1,"",IF(70&lt;=($L$5-1),E73,INDEX($E$4:$E$603,($L$5-1))))</f>
        <v/>
      </c>
      <c r="Q73" s="25">
        <f>IF(($L$5-1)&lt;1,"",IF(70&lt;=($L$5-1),F73,INDEX($F$4:$F$603,($L$5-1))))</f>
        <v/>
      </c>
      <c r="R73" s="25">
        <f>IF(($L$5-1)&lt;1,"",IF(70&lt;=($L$5-1),G73,INDEX($G$4:$G$603,($L$5-1))))</f>
        <v/>
      </c>
      <c r="S73" s="25">
        <f>IF(($L$5-2)&lt;1,"",IF(70&lt;=($L$5-2),H73,INDEX($H$4:$H$603,($L$5-2))))</f>
        <v/>
      </c>
      <c r="T73" s="25">
        <f>IF(($L$5-2)&lt;1,"",IF(70&lt;=($L$5-2),I73,INDEX($I$4:$I$603,($L$5-2))))</f>
        <v/>
      </c>
    </row>
    <row r="74">
      <c r="A74" s="36" t="n">
        <v>21.481</v>
      </c>
      <c r="B74" s="36" t="n">
        <v>11.772</v>
      </c>
      <c r="C74" s="37">
        <f>IF(OR(A74="",A75=""),"",A75-A74)</f>
        <v/>
      </c>
      <c r="D74" s="37">
        <f>IF(C74="","",B75-B74)</f>
        <v/>
      </c>
      <c r="E74" s="37">
        <f>IF(C74="","",(A74+A75)/2)</f>
        <v/>
      </c>
      <c r="F74" s="25">
        <f>IF(OR(C74="",C74=0),"",D74/C74)</f>
        <v/>
      </c>
      <c r="G74" s="25">
        <f>IF(C74="","",D74/$L$6)</f>
        <v/>
      </c>
      <c r="H74" s="37">
        <f>IF(OR(F74="",F75=""),"",(E74+E75)/2)</f>
        <v/>
      </c>
      <c r="I74" s="25">
        <f>IF(H74="","",(F75-F74)/(E75-E74))</f>
        <v/>
      </c>
      <c r="P74" s="25">
        <f>IF(($L$5-1)&lt;1,"",IF(71&lt;=($L$5-1),E74,INDEX($E$4:$E$603,($L$5-1))))</f>
        <v/>
      </c>
      <c r="Q74" s="25">
        <f>IF(($L$5-1)&lt;1,"",IF(71&lt;=($L$5-1),F74,INDEX($F$4:$F$603,($L$5-1))))</f>
        <v/>
      </c>
      <c r="R74" s="25">
        <f>IF(($L$5-1)&lt;1,"",IF(71&lt;=($L$5-1),G74,INDEX($G$4:$G$603,($L$5-1))))</f>
        <v/>
      </c>
      <c r="S74" s="25">
        <f>IF(($L$5-2)&lt;1,"",IF(71&lt;=($L$5-2),H74,INDEX($H$4:$H$603,($L$5-2))))</f>
        <v/>
      </c>
      <c r="T74" s="25">
        <f>IF(($L$5-2)&lt;1,"",IF(71&lt;=($L$5-2),I74,INDEX($I$4:$I$603,($L$5-2))))</f>
        <v/>
      </c>
    </row>
    <row r="75">
      <c r="A75" s="36" t="n">
        <v>22.483</v>
      </c>
      <c r="B75" s="36" t="n">
        <v>11.892</v>
      </c>
      <c r="C75" s="37">
        <f>IF(OR(A75="",A76=""),"",A76-A75)</f>
        <v/>
      </c>
      <c r="D75" s="37">
        <f>IF(C75="","",B76-B75)</f>
        <v/>
      </c>
      <c r="E75" s="37">
        <f>IF(C75="","",(A75+A76)/2)</f>
        <v/>
      </c>
      <c r="F75" s="25">
        <f>IF(OR(C75="",C75=0),"",D75/C75)</f>
        <v/>
      </c>
      <c r="G75" s="25">
        <f>IF(C75="","",D75/$L$6)</f>
        <v/>
      </c>
      <c r="H75" s="37">
        <f>IF(OR(F75="",F76=""),"",(E75+E76)/2)</f>
        <v/>
      </c>
      <c r="I75" s="25">
        <f>IF(H75="","",(F76-F75)/(E76-E75))</f>
        <v/>
      </c>
      <c r="P75" s="25">
        <f>IF(($L$5-1)&lt;1,"",IF(72&lt;=($L$5-1),E75,INDEX($E$4:$E$603,($L$5-1))))</f>
        <v/>
      </c>
      <c r="Q75" s="25">
        <f>IF(($L$5-1)&lt;1,"",IF(72&lt;=($L$5-1),F75,INDEX($F$4:$F$603,($L$5-1))))</f>
        <v/>
      </c>
      <c r="R75" s="25">
        <f>IF(($L$5-1)&lt;1,"",IF(72&lt;=($L$5-1),G75,INDEX($G$4:$G$603,($L$5-1))))</f>
        <v/>
      </c>
      <c r="S75" s="25">
        <f>IF(($L$5-2)&lt;1,"",IF(72&lt;=($L$5-2),H75,INDEX($H$4:$H$603,($L$5-2))))</f>
        <v/>
      </c>
      <c r="T75" s="25">
        <f>IF(($L$5-2)&lt;1,"",IF(72&lt;=($L$5-2),I75,INDEX($I$4:$I$603,($L$5-2))))</f>
        <v/>
      </c>
    </row>
    <row r="76">
      <c r="A76" s="36" t="n">
        <v>23.486</v>
      </c>
      <c r="B76" s="36" t="n">
        <v>11.969</v>
      </c>
      <c r="C76" s="37">
        <f>IF(OR(A76="",A77=""),"",A77-A76)</f>
        <v/>
      </c>
      <c r="D76" s="37">
        <f>IF(C76="","",B77-B76)</f>
        <v/>
      </c>
      <c r="E76" s="37">
        <f>IF(C76="","",(A76+A77)/2)</f>
        <v/>
      </c>
      <c r="F76" s="25">
        <f>IF(OR(C76="",C76=0),"",D76/C76)</f>
        <v/>
      </c>
      <c r="G76" s="25">
        <f>IF(C76="","",D76/$L$6)</f>
        <v/>
      </c>
      <c r="H76" s="37">
        <f>IF(OR(F76="",F77=""),"",(E76+E77)/2)</f>
        <v/>
      </c>
      <c r="I76" s="25">
        <f>IF(H76="","",(F77-F76)/(E77-E76))</f>
        <v/>
      </c>
      <c r="P76" s="25">
        <f>IF(($L$5-1)&lt;1,"",IF(73&lt;=($L$5-1),E76,INDEX($E$4:$E$603,($L$5-1))))</f>
        <v/>
      </c>
      <c r="Q76" s="25">
        <f>IF(($L$5-1)&lt;1,"",IF(73&lt;=($L$5-1),F76,INDEX($F$4:$F$603,($L$5-1))))</f>
        <v/>
      </c>
      <c r="R76" s="25">
        <f>IF(($L$5-1)&lt;1,"",IF(73&lt;=($L$5-1),G76,INDEX($G$4:$G$603,($L$5-1))))</f>
        <v/>
      </c>
      <c r="S76" s="25">
        <f>IF(($L$5-2)&lt;1,"",IF(73&lt;=($L$5-2),H76,INDEX($H$4:$H$603,($L$5-2))))</f>
        <v/>
      </c>
      <c r="T76" s="25">
        <f>IF(($L$5-2)&lt;1,"",IF(73&lt;=($L$5-2),I76,INDEX($I$4:$I$603,($L$5-2))))</f>
        <v/>
      </c>
    </row>
    <row r="77">
      <c r="A77" s="36" t="n">
        <v>24.507</v>
      </c>
      <c r="B77" s="36" t="n">
        <v>12.032</v>
      </c>
      <c r="C77" s="37">
        <f>IF(OR(A77="",A78=""),"",A78-A77)</f>
        <v/>
      </c>
      <c r="D77" s="37">
        <f>IF(C77="","",B78-B77)</f>
        <v/>
      </c>
      <c r="E77" s="37">
        <f>IF(C77="","",(A77+A78)/2)</f>
        <v/>
      </c>
      <c r="F77" s="25">
        <f>IF(OR(C77="",C77=0),"",D77/C77)</f>
        <v/>
      </c>
      <c r="G77" s="25">
        <f>IF(C77="","",D77/$L$6)</f>
        <v/>
      </c>
      <c r="H77" s="37">
        <f>IF(OR(F77="",F78=""),"",(E77+E78)/2)</f>
        <v/>
      </c>
      <c r="I77" s="25">
        <f>IF(H77="","",(F78-F77)/(E78-E77))</f>
        <v/>
      </c>
      <c r="P77" s="25">
        <f>IF(($L$5-1)&lt;1,"",IF(74&lt;=($L$5-1),E77,INDEX($E$4:$E$603,($L$5-1))))</f>
        <v/>
      </c>
      <c r="Q77" s="25">
        <f>IF(($L$5-1)&lt;1,"",IF(74&lt;=($L$5-1),F77,INDEX($F$4:$F$603,($L$5-1))))</f>
        <v/>
      </c>
      <c r="R77" s="25">
        <f>IF(($L$5-1)&lt;1,"",IF(74&lt;=($L$5-1),G77,INDEX($G$4:$G$603,($L$5-1))))</f>
        <v/>
      </c>
      <c r="S77" s="25">
        <f>IF(($L$5-2)&lt;1,"",IF(74&lt;=($L$5-2),H77,INDEX($H$4:$H$603,($L$5-2))))</f>
        <v/>
      </c>
      <c r="T77" s="25">
        <f>IF(($L$5-2)&lt;1,"",IF(74&lt;=($L$5-2),I77,INDEX($I$4:$I$603,($L$5-2))))</f>
        <v/>
      </c>
    </row>
    <row r="78">
      <c r="A78" s="36" t="n">
        <v>25.502</v>
      </c>
      <c r="B78" s="36" t="n">
        <v>12.116</v>
      </c>
      <c r="C78" s="37">
        <f>IF(OR(A78="",A79=""),"",A79-A78)</f>
        <v/>
      </c>
      <c r="D78" s="37">
        <f>IF(C78="","",B79-B78)</f>
        <v/>
      </c>
      <c r="E78" s="37">
        <f>IF(C78="","",(A78+A79)/2)</f>
        <v/>
      </c>
      <c r="F78" s="25">
        <f>IF(OR(C78="",C78=0),"",D78/C78)</f>
        <v/>
      </c>
      <c r="G78" s="25">
        <f>IF(C78="","",D78/$L$6)</f>
        <v/>
      </c>
      <c r="H78" s="37">
        <f>IF(OR(F78="",F79=""),"",(E78+E79)/2)</f>
        <v/>
      </c>
      <c r="I78" s="25">
        <f>IF(H78="","",(F79-F78)/(E79-E78))</f>
        <v/>
      </c>
      <c r="P78" s="25">
        <f>IF(($L$5-1)&lt;1,"",IF(75&lt;=($L$5-1),E78,INDEX($E$4:$E$603,($L$5-1))))</f>
        <v/>
      </c>
      <c r="Q78" s="25">
        <f>IF(($L$5-1)&lt;1,"",IF(75&lt;=($L$5-1),F78,INDEX($F$4:$F$603,($L$5-1))))</f>
        <v/>
      </c>
      <c r="R78" s="25">
        <f>IF(($L$5-1)&lt;1,"",IF(75&lt;=($L$5-1),G78,INDEX($G$4:$G$603,($L$5-1))))</f>
        <v/>
      </c>
      <c r="S78" s="25">
        <f>IF(($L$5-2)&lt;1,"",IF(75&lt;=($L$5-2),H78,INDEX($H$4:$H$603,($L$5-2))))</f>
        <v/>
      </c>
      <c r="T78" s="25">
        <f>IF(($L$5-2)&lt;1,"",IF(75&lt;=($L$5-2),I78,INDEX($I$4:$I$603,($L$5-2))))</f>
        <v/>
      </c>
    </row>
    <row r="79">
      <c r="A79" s="36" t="n">
        <v>26.51</v>
      </c>
      <c r="B79" s="36" t="n">
        <v>12.177</v>
      </c>
      <c r="C79" s="37">
        <f>IF(OR(A79="",A80=""),"",A80-A79)</f>
        <v/>
      </c>
      <c r="D79" s="37">
        <f>IF(C79="","",B80-B79)</f>
        <v/>
      </c>
      <c r="E79" s="37">
        <f>IF(C79="","",(A79+A80)/2)</f>
        <v/>
      </c>
      <c r="F79" s="25">
        <f>IF(OR(C79="",C79=0),"",D79/C79)</f>
        <v/>
      </c>
      <c r="G79" s="25">
        <f>IF(C79="","",D79/$L$6)</f>
        <v/>
      </c>
      <c r="H79" s="37">
        <f>IF(OR(F79="",F80=""),"",(E79+E80)/2)</f>
        <v/>
      </c>
      <c r="I79" s="25">
        <f>IF(H79="","",(F80-F79)/(E80-E79))</f>
        <v/>
      </c>
      <c r="P79" s="25">
        <f>IF(($L$5-1)&lt;1,"",IF(76&lt;=($L$5-1),E79,INDEX($E$4:$E$603,($L$5-1))))</f>
        <v/>
      </c>
      <c r="Q79" s="25">
        <f>IF(($L$5-1)&lt;1,"",IF(76&lt;=($L$5-1),F79,INDEX($F$4:$F$603,($L$5-1))))</f>
        <v/>
      </c>
      <c r="R79" s="25">
        <f>IF(($L$5-1)&lt;1,"",IF(76&lt;=($L$5-1),G79,INDEX($G$4:$G$603,($L$5-1))))</f>
        <v/>
      </c>
      <c r="S79" s="25">
        <f>IF(($L$5-2)&lt;1,"",IF(76&lt;=($L$5-2),H79,INDEX($H$4:$H$603,($L$5-2))))</f>
        <v/>
      </c>
      <c r="T79" s="25">
        <f>IF(($L$5-2)&lt;1,"",IF(76&lt;=($L$5-2),I79,INDEX($I$4:$I$603,($L$5-2))))</f>
        <v/>
      </c>
    </row>
    <row r="80">
      <c r="A80" s="36" t="n">
        <v>27.494</v>
      </c>
      <c r="B80" s="36" t="n">
        <v>12.257</v>
      </c>
      <c r="C80" s="37">
        <f>IF(OR(A80="",A81=""),"",A81-A80)</f>
        <v/>
      </c>
      <c r="D80" s="37">
        <f>IF(C80="","",B81-B80)</f>
        <v/>
      </c>
      <c r="E80" s="37">
        <f>IF(C80="","",(A80+A81)/2)</f>
        <v/>
      </c>
      <c r="F80" s="25">
        <f>IF(OR(C80="",C80=0),"",D80/C80)</f>
        <v/>
      </c>
      <c r="G80" s="25">
        <f>IF(C80="","",D80/$L$6)</f>
        <v/>
      </c>
      <c r="H80" s="37">
        <f>IF(OR(F80="",F81=""),"",(E80+E81)/2)</f>
        <v/>
      </c>
      <c r="I80" s="25">
        <f>IF(H80="","",(F81-F80)/(E81-E80))</f>
        <v/>
      </c>
      <c r="P80" s="25">
        <f>IF(($L$5-1)&lt;1,"",IF(77&lt;=($L$5-1),E80,INDEX($E$4:$E$603,($L$5-1))))</f>
        <v/>
      </c>
      <c r="Q80" s="25">
        <f>IF(($L$5-1)&lt;1,"",IF(77&lt;=($L$5-1),F80,INDEX($F$4:$F$603,($L$5-1))))</f>
        <v/>
      </c>
      <c r="R80" s="25">
        <f>IF(($L$5-1)&lt;1,"",IF(77&lt;=($L$5-1),G80,INDEX($G$4:$G$603,($L$5-1))))</f>
        <v/>
      </c>
      <c r="S80" s="25">
        <f>IF(($L$5-2)&lt;1,"",IF(77&lt;=($L$5-2),H80,INDEX($H$4:$H$603,($L$5-2))))</f>
        <v/>
      </c>
      <c r="T80" s="25">
        <f>IF(($L$5-2)&lt;1,"",IF(77&lt;=($L$5-2),I80,INDEX($I$4:$I$603,($L$5-2))))</f>
        <v/>
      </c>
    </row>
    <row r="81">
      <c r="A81" s="36" t="n">
        <v>28.502</v>
      </c>
      <c r="B81" s="36" t="n">
        <v>12.263</v>
      </c>
      <c r="C81" s="37">
        <f>IF(OR(A81="",A82=""),"",A82-A81)</f>
        <v/>
      </c>
      <c r="D81" s="37">
        <f>IF(C81="","",B82-B81)</f>
        <v/>
      </c>
      <c r="E81" s="37">
        <f>IF(C81="","",(A81+A82)/2)</f>
        <v/>
      </c>
      <c r="F81" s="25">
        <f>IF(OR(C81="",C81=0),"",D81/C81)</f>
        <v/>
      </c>
      <c r="G81" s="25">
        <f>IF(C81="","",D81/$L$6)</f>
        <v/>
      </c>
      <c r="H81" s="37">
        <f>IF(OR(F81="",F82=""),"",(E81+E82)/2)</f>
        <v/>
      </c>
      <c r="I81" s="25">
        <f>IF(H81="","",(F82-F81)/(E82-E81))</f>
        <v/>
      </c>
      <c r="P81" s="25">
        <f>IF(($L$5-1)&lt;1,"",IF(78&lt;=($L$5-1),E81,INDEX($E$4:$E$603,($L$5-1))))</f>
        <v/>
      </c>
      <c r="Q81" s="25">
        <f>IF(($L$5-1)&lt;1,"",IF(78&lt;=($L$5-1),F81,INDEX($F$4:$F$603,($L$5-1))))</f>
        <v/>
      </c>
      <c r="R81" s="25">
        <f>IF(($L$5-1)&lt;1,"",IF(78&lt;=($L$5-1),G81,INDEX($G$4:$G$603,($L$5-1))))</f>
        <v/>
      </c>
      <c r="S81" s="25">
        <f>IF(($L$5-2)&lt;1,"",IF(78&lt;=($L$5-2),H81,INDEX($H$4:$H$603,($L$5-2))))</f>
        <v/>
      </c>
      <c r="T81" s="25">
        <f>IF(($L$5-2)&lt;1,"",IF(78&lt;=($L$5-2),I81,INDEX($I$4:$I$603,($L$5-2))))</f>
        <v/>
      </c>
    </row>
    <row r="82">
      <c r="A82" s="36" t="n">
        <v>29.509</v>
      </c>
      <c r="B82" s="36" t="n">
        <v>12.315</v>
      </c>
      <c r="C82" s="37">
        <f>IF(OR(A82="",A83=""),"",A83-A82)</f>
        <v/>
      </c>
      <c r="D82" s="37">
        <f>IF(C82="","",B83-B82)</f>
        <v/>
      </c>
      <c r="E82" s="37">
        <f>IF(C82="","",(A82+A83)/2)</f>
        <v/>
      </c>
      <c r="F82" s="25">
        <f>IF(OR(C82="",C82=0),"",D82/C82)</f>
        <v/>
      </c>
      <c r="G82" s="25">
        <f>IF(C82="","",D82/$L$6)</f>
        <v/>
      </c>
      <c r="H82" s="37">
        <f>IF(OR(F82="",F83=""),"",(E82+E83)/2)</f>
        <v/>
      </c>
      <c r="I82" s="25">
        <f>IF(H82="","",(F83-F82)/(E83-E82))</f>
        <v/>
      </c>
      <c r="P82" s="25">
        <f>IF(($L$5-1)&lt;1,"",IF(79&lt;=($L$5-1),E82,INDEX($E$4:$E$603,($L$5-1))))</f>
        <v/>
      </c>
      <c r="Q82" s="25">
        <f>IF(($L$5-1)&lt;1,"",IF(79&lt;=($L$5-1),F82,INDEX($F$4:$F$603,($L$5-1))))</f>
        <v/>
      </c>
      <c r="R82" s="25">
        <f>IF(($L$5-1)&lt;1,"",IF(79&lt;=($L$5-1),G82,INDEX($G$4:$G$603,($L$5-1))))</f>
        <v/>
      </c>
      <c r="S82" s="25">
        <f>IF(($L$5-2)&lt;1,"",IF(79&lt;=($L$5-2),H82,INDEX($H$4:$H$603,($L$5-2))))</f>
        <v/>
      </c>
      <c r="T82" s="25">
        <f>IF(($L$5-2)&lt;1,"",IF(79&lt;=($L$5-2),I82,INDEX($I$4:$I$603,($L$5-2))))</f>
        <v/>
      </c>
    </row>
    <row r="83">
      <c r="A83" s="43" t="n"/>
      <c r="B83" s="43" t="n"/>
      <c r="C83" s="37">
        <f>IF(OR(A83="",A84=""),"",A84-A83)</f>
        <v/>
      </c>
      <c r="D83" s="37">
        <f>IF(C83="","",B84-B83)</f>
        <v/>
      </c>
      <c r="E83" s="37">
        <f>IF(C83="","",(A83+A84)/2)</f>
        <v/>
      </c>
      <c r="F83" s="25">
        <f>IF(OR(C83="",C83=0),"",D83/C83)</f>
        <v/>
      </c>
      <c r="G83" s="25">
        <f>IF(C83="","",D83/$L$6)</f>
        <v/>
      </c>
      <c r="H83" s="37">
        <f>IF(OR(F83="",F84=""),"",(E83+E84)/2)</f>
        <v/>
      </c>
      <c r="I83" s="25">
        <f>IF(H83="","",(F84-F83)/(E84-E83))</f>
        <v/>
      </c>
      <c r="P83" s="25">
        <f>IF(($L$5-1)&lt;1,"",IF(80&lt;=($L$5-1),E83,INDEX($E$4:$E$603,($L$5-1))))</f>
        <v/>
      </c>
      <c r="Q83" s="25">
        <f>IF(($L$5-1)&lt;1,"",IF(80&lt;=($L$5-1),F83,INDEX($F$4:$F$603,($L$5-1))))</f>
        <v/>
      </c>
      <c r="R83" s="25">
        <f>IF(($L$5-1)&lt;1,"",IF(80&lt;=($L$5-1),G83,INDEX($G$4:$G$603,($L$5-1))))</f>
        <v/>
      </c>
      <c r="S83" s="25">
        <f>IF(($L$5-2)&lt;1,"",IF(80&lt;=($L$5-2),H83,INDEX($H$4:$H$603,($L$5-2))))</f>
        <v/>
      </c>
      <c r="T83" s="25">
        <f>IF(($L$5-2)&lt;1,"",IF(80&lt;=($L$5-2),I83,INDEX($I$4:$I$603,($L$5-2))))</f>
        <v/>
      </c>
    </row>
    <row r="84">
      <c r="A84" s="43" t="n"/>
      <c r="B84" s="43" t="n"/>
      <c r="C84" s="37">
        <f>IF(OR(A84="",A85=""),"",A85-A84)</f>
        <v/>
      </c>
      <c r="D84" s="37">
        <f>IF(C84="","",B85-B84)</f>
        <v/>
      </c>
      <c r="E84" s="37">
        <f>IF(C84="","",(A84+A85)/2)</f>
        <v/>
      </c>
      <c r="F84" s="25">
        <f>IF(OR(C84="",C84=0),"",D84/C84)</f>
        <v/>
      </c>
      <c r="G84" s="25">
        <f>IF(C84="","",D84/$L$6)</f>
        <v/>
      </c>
      <c r="H84" s="37">
        <f>IF(OR(F84="",F85=""),"",(E84+E85)/2)</f>
        <v/>
      </c>
      <c r="I84" s="25">
        <f>IF(H84="","",(F85-F84)/(E85-E84))</f>
        <v/>
      </c>
      <c r="P84" s="25">
        <f>IF(($L$5-1)&lt;1,"",IF(81&lt;=($L$5-1),E84,INDEX($E$4:$E$603,($L$5-1))))</f>
        <v/>
      </c>
      <c r="Q84" s="25">
        <f>IF(($L$5-1)&lt;1,"",IF(81&lt;=($L$5-1),F84,INDEX($F$4:$F$603,($L$5-1))))</f>
        <v/>
      </c>
      <c r="R84" s="25">
        <f>IF(($L$5-1)&lt;1,"",IF(81&lt;=($L$5-1),G84,INDEX($G$4:$G$603,($L$5-1))))</f>
        <v/>
      </c>
      <c r="S84" s="25">
        <f>IF(($L$5-2)&lt;1,"",IF(81&lt;=($L$5-2),H84,INDEX($H$4:$H$603,($L$5-2))))</f>
        <v/>
      </c>
      <c r="T84" s="25">
        <f>IF(($L$5-2)&lt;1,"",IF(81&lt;=($L$5-2),I84,INDEX($I$4:$I$603,($L$5-2))))</f>
        <v/>
      </c>
    </row>
    <row r="85">
      <c r="A85" s="43" t="n"/>
      <c r="B85" s="43" t="n"/>
      <c r="C85" s="37">
        <f>IF(OR(A85="",A86=""),"",A86-A85)</f>
        <v/>
      </c>
      <c r="D85" s="37">
        <f>IF(C85="","",B86-B85)</f>
        <v/>
      </c>
      <c r="E85" s="37">
        <f>IF(C85="","",(A85+A86)/2)</f>
        <v/>
      </c>
      <c r="F85" s="25">
        <f>IF(OR(C85="",C85=0),"",D85/C85)</f>
        <v/>
      </c>
      <c r="G85" s="25">
        <f>IF(C85="","",D85/$L$6)</f>
        <v/>
      </c>
      <c r="H85" s="37">
        <f>IF(OR(F85="",F86=""),"",(E85+E86)/2)</f>
        <v/>
      </c>
      <c r="I85" s="25">
        <f>IF(H85="","",(F86-F85)/(E86-E85))</f>
        <v/>
      </c>
      <c r="P85" s="25">
        <f>IF(($L$5-1)&lt;1,"",IF(82&lt;=($L$5-1),E85,INDEX($E$4:$E$603,($L$5-1))))</f>
        <v/>
      </c>
      <c r="Q85" s="25">
        <f>IF(($L$5-1)&lt;1,"",IF(82&lt;=($L$5-1),F85,INDEX($F$4:$F$603,($L$5-1))))</f>
        <v/>
      </c>
      <c r="R85" s="25">
        <f>IF(($L$5-1)&lt;1,"",IF(82&lt;=($L$5-1),G85,INDEX($G$4:$G$603,($L$5-1))))</f>
        <v/>
      </c>
      <c r="S85" s="25">
        <f>IF(($L$5-2)&lt;1,"",IF(82&lt;=($L$5-2),H85,INDEX($H$4:$H$603,($L$5-2))))</f>
        <v/>
      </c>
      <c r="T85" s="25">
        <f>IF(($L$5-2)&lt;1,"",IF(82&lt;=($L$5-2),I85,INDEX($I$4:$I$603,($L$5-2))))</f>
        <v/>
      </c>
    </row>
    <row r="86">
      <c r="A86" s="43" t="n"/>
      <c r="B86" s="43" t="n"/>
      <c r="C86" s="37">
        <f>IF(OR(A86="",A87=""),"",A87-A86)</f>
        <v/>
      </c>
      <c r="D86" s="37">
        <f>IF(C86="","",B87-B86)</f>
        <v/>
      </c>
      <c r="E86" s="37">
        <f>IF(C86="","",(A86+A87)/2)</f>
        <v/>
      </c>
      <c r="F86" s="25">
        <f>IF(OR(C86="",C86=0),"",D86/C86)</f>
        <v/>
      </c>
      <c r="G86" s="25">
        <f>IF(C86="","",D86/$L$6)</f>
        <v/>
      </c>
      <c r="H86" s="37">
        <f>IF(OR(F86="",F87=""),"",(E86+E87)/2)</f>
        <v/>
      </c>
      <c r="I86" s="25">
        <f>IF(H86="","",(F87-F86)/(E87-E86))</f>
        <v/>
      </c>
      <c r="P86" s="25">
        <f>IF(($L$5-1)&lt;1,"",IF(83&lt;=($L$5-1),E86,INDEX($E$4:$E$603,($L$5-1))))</f>
        <v/>
      </c>
      <c r="Q86" s="25">
        <f>IF(($L$5-1)&lt;1,"",IF(83&lt;=($L$5-1),F86,INDEX($F$4:$F$603,($L$5-1))))</f>
        <v/>
      </c>
      <c r="R86" s="25">
        <f>IF(($L$5-1)&lt;1,"",IF(83&lt;=($L$5-1),G86,INDEX($G$4:$G$603,($L$5-1))))</f>
        <v/>
      </c>
      <c r="S86" s="25">
        <f>IF(($L$5-2)&lt;1,"",IF(83&lt;=($L$5-2),H86,INDEX($H$4:$H$603,($L$5-2))))</f>
        <v/>
      </c>
      <c r="T86" s="25">
        <f>IF(($L$5-2)&lt;1,"",IF(83&lt;=($L$5-2),I86,INDEX($I$4:$I$603,($L$5-2))))</f>
        <v/>
      </c>
    </row>
    <row r="87">
      <c r="A87" s="43" t="n"/>
      <c r="B87" s="43" t="n"/>
      <c r="C87" s="37">
        <f>IF(OR(A87="",A88=""),"",A88-A87)</f>
        <v/>
      </c>
      <c r="D87" s="37">
        <f>IF(C87="","",B88-B87)</f>
        <v/>
      </c>
      <c r="E87" s="37">
        <f>IF(C87="","",(A87+A88)/2)</f>
        <v/>
      </c>
      <c r="F87" s="25">
        <f>IF(OR(C87="",C87=0),"",D87/C87)</f>
        <v/>
      </c>
      <c r="G87" s="25">
        <f>IF(C87="","",D87/$L$6)</f>
        <v/>
      </c>
      <c r="H87" s="37">
        <f>IF(OR(F87="",F88=""),"",(E87+E88)/2)</f>
        <v/>
      </c>
      <c r="I87" s="25">
        <f>IF(H87="","",(F88-F87)/(E88-E87))</f>
        <v/>
      </c>
      <c r="P87" s="25">
        <f>IF(($L$5-1)&lt;1,"",IF(84&lt;=($L$5-1),E87,INDEX($E$4:$E$603,($L$5-1))))</f>
        <v/>
      </c>
      <c r="Q87" s="25">
        <f>IF(($L$5-1)&lt;1,"",IF(84&lt;=($L$5-1),F87,INDEX($F$4:$F$603,($L$5-1))))</f>
        <v/>
      </c>
      <c r="R87" s="25">
        <f>IF(($L$5-1)&lt;1,"",IF(84&lt;=($L$5-1),G87,INDEX($G$4:$G$603,($L$5-1))))</f>
        <v/>
      </c>
      <c r="S87" s="25">
        <f>IF(($L$5-2)&lt;1,"",IF(84&lt;=($L$5-2),H87,INDEX($H$4:$H$603,($L$5-2))))</f>
        <v/>
      </c>
      <c r="T87" s="25">
        <f>IF(($L$5-2)&lt;1,"",IF(84&lt;=($L$5-2),I87,INDEX($I$4:$I$603,($L$5-2))))</f>
        <v/>
      </c>
    </row>
    <row r="88" ht="48" customHeight="1">
      <c r="A88" s="43" t="n"/>
      <c r="B88" s="43" t="n"/>
      <c r="C88" s="37">
        <f>IF(OR(A88="",A89=""),"",A89-A88)</f>
        <v/>
      </c>
      <c r="D88" s="37">
        <f>IF(C88="","",B89-B88)</f>
        <v/>
      </c>
      <c r="E88" s="37">
        <f>IF(C88="","",(A88+A89)/2)</f>
        <v/>
      </c>
      <c r="F88" s="25">
        <f>IF(OR(C88="",C88=0),"",D88/C88)</f>
        <v/>
      </c>
      <c r="G88" s="25">
        <f>IF(C88="","",D88/$L$6)</f>
        <v/>
      </c>
      <c r="H88" s="37">
        <f>IF(OR(F88="",F89=""),"",(E88+E89)/2)</f>
        <v/>
      </c>
      <c r="I88" s="25">
        <f>IF(H88="","",(F89-F88)/(E89-E88))</f>
        <v/>
      </c>
      <c r="K88" s="20" t="inlineStr">
        <is>
          <t>看圖：pH 圖在 Veq 附近幾乎垂直；一階導數在那裡出現尖峰；二階導數從正跳到負。錯誤示範（橘色虛線）的峰矮了三倍多；再看第 18 列（14.0→16.0 mL，間距約 2 mL）：正確斜率 F18 約 0.13，錯誤作法 G18 卻是 0.69，比前後都大，是假的凸起——這就是不能假設固定間距的原因。</t>
        </is>
      </c>
      <c r="P88" s="25">
        <f>IF(($L$5-1)&lt;1,"",IF(85&lt;=($L$5-1),E88,INDEX($E$4:$E$603,($L$5-1))))</f>
        <v/>
      </c>
      <c r="Q88" s="25">
        <f>IF(($L$5-1)&lt;1,"",IF(85&lt;=($L$5-1),F88,INDEX($F$4:$F$603,($L$5-1))))</f>
        <v/>
      </c>
      <c r="R88" s="25">
        <f>IF(($L$5-1)&lt;1,"",IF(85&lt;=($L$5-1),G88,INDEX($G$4:$G$603,($L$5-1))))</f>
        <v/>
      </c>
      <c r="S88" s="25">
        <f>IF(($L$5-2)&lt;1,"",IF(85&lt;=($L$5-2),H88,INDEX($H$4:$H$603,($L$5-2))))</f>
        <v/>
      </c>
      <c r="T88" s="25">
        <f>IF(($L$5-2)&lt;1,"",IF(85&lt;=($L$5-2),I88,INDEX($I$4:$I$603,($L$5-2))))</f>
        <v/>
      </c>
    </row>
    <row r="89">
      <c r="A89" s="43" t="n"/>
      <c r="B89" s="43" t="n"/>
      <c r="C89" s="37">
        <f>IF(OR(A89="",A90=""),"",A90-A89)</f>
        <v/>
      </c>
      <c r="D89" s="37">
        <f>IF(C89="","",B90-B89)</f>
        <v/>
      </c>
      <c r="E89" s="37">
        <f>IF(C89="","",(A89+A90)/2)</f>
        <v/>
      </c>
      <c r="F89" s="25">
        <f>IF(OR(C89="",C89=0),"",D89/C89)</f>
        <v/>
      </c>
      <c r="G89" s="25">
        <f>IF(C89="","",D89/$L$6)</f>
        <v/>
      </c>
      <c r="H89" s="37">
        <f>IF(OR(F89="",F90=""),"",(E89+E90)/2)</f>
        <v/>
      </c>
      <c r="I89" s="25">
        <f>IF(H89="","",(F90-F89)/(E90-E89))</f>
        <v/>
      </c>
      <c r="P89" s="25">
        <f>IF(($L$5-1)&lt;1,"",IF(86&lt;=($L$5-1),E89,INDEX($E$4:$E$603,($L$5-1))))</f>
        <v/>
      </c>
      <c r="Q89" s="25">
        <f>IF(($L$5-1)&lt;1,"",IF(86&lt;=($L$5-1),F89,INDEX($F$4:$F$603,($L$5-1))))</f>
        <v/>
      </c>
      <c r="R89" s="25">
        <f>IF(($L$5-1)&lt;1,"",IF(86&lt;=($L$5-1),G89,INDEX($G$4:$G$603,($L$5-1))))</f>
        <v/>
      </c>
      <c r="S89" s="25">
        <f>IF(($L$5-2)&lt;1,"",IF(86&lt;=($L$5-2),H89,INDEX($H$4:$H$603,($L$5-2))))</f>
        <v/>
      </c>
      <c r="T89" s="25">
        <f>IF(($L$5-2)&lt;1,"",IF(86&lt;=($L$5-2),I89,INDEX($I$4:$I$603,($L$5-2))))</f>
        <v/>
      </c>
    </row>
    <row r="90" ht="32" customHeight="1">
      <c r="A90" s="43" t="n"/>
      <c r="B90" s="43" t="n"/>
      <c r="C90" s="37">
        <f>IF(OR(A90="",A91=""),"",A91-A90)</f>
        <v/>
      </c>
      <c r="D90" s="37">
        <f>IF(C90="","",B91-B90)</f>
        <v/>
      </c>
      <c r="E90" s="37">
        <f>IF(C90="","",(A90+A91)/2)</f>
        <v/>
      </c>
      <c r="F90" s="25">
        <f>IF(OR(C90="",C90=0),"",D90/C90)</f>
        <v/>
      </c>
      <c r="G90" s="25">
        <f>IF(C90="","",D90/$L$6)</f>
        <v/>
      </c>
      <c r="H90" s="37">
        <f>IF(OR(F90="",F91=""),"",(E90+E91)/2)</f>
        <v/>
      </c>
      <c r="I90" s="25">
        <f>IF(H90="","",(F91-F90)/(E91-E90))</f>
        <v/>
      </c>
      <c r="K90" s="20" t="inlineStr">
        <is>
          <t>公式提醒：F 欄 = D ÷ C（每一段自己的 ΔpH ÷ ΔV），畫在 E 欄（兩點的中點體積）。I 欄是對 F 再做一次同樣的事。PASCO 數據若有兩列體積一樣（ΔV = 0），請先刪掉其中一列。</t>
        </is>
      </c>
      <c r="P90" s="25">
        <f>IF(($L$5-1)&lt;1,"",IF(87&lt;=($L$5-1),E90,INDEX($E$4:$E$603,($L$5-1))))</f>
        <v/>
      </c>
      <c r="Q90" s="25">
        <f>IF(($L$5-1)&lt;1,"",IF(87&lt;=($L$5-1),F90,INDEX($F$4:$F$603,($L$5-1))))</f>
        <v/>
      </c>
      <c r="R90" s="25">
        <f>IF(($L$5-1)&lt;1,"",IF(87&lt;=($L$5-1),G90,INDEX($G$4:$G$603,($L$5-1))))</f>
        <v/>
      </c>
      <c r="S90" s="25">
        <f>IF(($L$5-2)&lt;1,"",IF(87&lt;=($L$5-2),H90,INDEX($H$4:$H$603,($L$5-2))))</f>
        <v/>
      </c>
      <c r="T90" s="25">
        <f>IF(($L$5-2)&lt;1,"",IF(87&lt;=($L$5-2),I90,INDEX($I$4:$I$603,($L$5-2))))</f>
        <v/>
      </c>
    </row>
    <row r="91">
      <c r="A91" s="43" t="n"/>
      <c r="B91" s="43" t="n"/>
      <c r="C91" s="37">
        <f>IF(OR(A91="",A92=""),"",A92-A91)</f>
        <v/>
      </c>
      <c r="D91" s="37">
        <f>IF(C91="","",B92-B91)</f>
        <v/>
      </c>
      <c r="E91" s="37">
        <f>IF(C91="","",(A91+A92)/2)</f>
        <v/>
      </c>
      <c r="F91" s="25">
        <f>IF(OR(C91="",C91=0),"",D91/C91)</f>
        <v/>
      </c>
      <c r="G91" s="25">
        <f>IF(C91="","",D91/$L$6)</f>
        <v/>
      </c>
      <c r="H91" s="37">
        <f>IF(OR(F91="",F92=""),"",(E91+E92)/2)</f>
        <v/>
      </c>
      <c r="I91" s="25">
        <f>IF(H91="","",(F92-F91)/(E92-E91))</f>
        <v/>
      </c>
      <c r="P91" s="25">
        <f>IF(($L$5-1)&lt;1,"",IF(88&lt;=($L$5-1),E91,INDEX($E$4:$E$603,($L$5-1))))</f>
        <v/>
      </c>
      <c r="Q91" s="25">
        <f>IF(($L$5-1)&lt;1,"",IF(88&lt;=($L$5-1),F91,INDEX($F$4:$F$603,($L$5-1))))</f>
        <v/>
      </c>
      <c r="R91" s="25">
        <f>IF(($L$5-1)&lt;1,"",IF(88&lt;=($L$5-1),G91,INDEX($G$4:$G$603,($L$5-1))))</f>
        <v/>
      </c>
      <c r="S91" s="25">
        <f>IF(($L$5-2)&lt;1,"",IF(88&lt;=($L$5-2),H91,INDEX($H$4:$H$603,($L$5-2))))</f>
        <v/>
      </c>
      <c r="T91" s="25">
        <f>IF(($L$5-2)&lt;1,"",IF(88&lt;=($L$5-2),I91,INDEX($I$4:$I$603,($L$5-2))))</f>
        <v/>
      </c>
    </row>
    <row r="92">
      <c r="A92" s="43" t="n"/>
      <c r="B92" s="43" t="n"/>
      <c r="C92" s="37">
        <f>IF(OR(A92="",A93=""),"",A93-A92)</f>
        <v/>
      </c>
      <c r="D92" s="37">
        <f>IF(C92="","",B93-B92)</f>
        <v/>
      </c>
      <c r="E92" s="37">
        <f>IF(C92="","",(A92+A93)/2)</f>
        <v/>
      </c>
      <c r="F92" s="25">
        <f>IF(OR(C92="",C92=0),"",D92/C92)</f>
        <v/>
      </c>
      <c r="G92" s="25">
        <f>IF(C92="","",D92/$L$6)</f>
        <v/>
      </c>
      <c r="H92" s="37">
        <f>IF(OR(F92="",F93=""),"",(E92+E93)/2)</f>
        <v/>
      </c>
      <c r="I92" s="25">
        <f>IF(H92="","",(F93-F92)/(E93-E92))</f>
        <v/>
      </c>
      <c r="P92" s="25">
        <f>IF(($L$5-1)&lt;1,"",IF(89&lt;=($L$5-1),E92,INDEX($E$4:$E$603,($L$5-1))))</f>
        <v/>
      </c>
      <c r="Q92" s="25">
        <f>IF(($L$5-1)&lt;1,"",IF(89&lt;=($L$5-1),F92,INDEX($F$4:$F$603,($L$5-1))))</f>
        <v/>
      </c>
      <c r="R92" s="25">
        <f>IF(($L$5-1)&lt;1,"",IF(89&lt;=($L$5-1),G92,INDEX($G$4:$G$603,($L$5-1))))</f>
        <v/>
      </c>
      <c r="S92" s="25">
        <f>IF(($L$5-2)&lt;1,"",IF(89&lt;=($L$5-2),H92,INDEX($H$4:$H$603,($L$5-2))))</f>
        <v/>
      </c>
      <c r="T92" s="25">
        <f>IF(($L$5-2)&lt;1,"",IF(89&lt;=($L$5-2),I92,INDEX($I$4:$I$603,($L$5-2))))</f>
        <v/>
      </c>
    </row>
    <row r="93">
      <c r="A93" s="43" t="n"/>
      <c r="B93" s="43" t="n"/>
      <c r="C93" s="37">
        <f>IF(OR(A93="",A94=""),"",A94-A93)</f>
        <v/>
      </c>
      <c r="D93" s="37">
        <f>IF(C93="","",B94-B93)</f>
        <v/>
      </c>
      <c r="E93" s="37">
        <f>IF(C93="","",(A93+A94)/2)</f>
        <v/>
      </c>
      <c r="F93" s="25">
        <f>IF(OR(C93="",C93=0),"",D93/C93)</f>
        <v/>
      </c>
      <c r="G93" s="25">
        <f>IF(C93="","",D93/$L$6)</f>
        <v/>
      </c>
      <c r="H93" s="37">
        <f>IF(OR(F93="",F94=""),"",(E93+E94)/2)</f>
        <v/>
      </c>
      <c r="I93" s="25">
        <f>IF(H93="","",(F94-F93)/(E94-E93))</f>
        <v/>
      </c>
      <c r="P93" s="25">
        <f>IF(($L$5-1)&lt;1,"",IF(90&lt;=($L$5-1),E93,INDEX($E$4:$E$603,($L$5-1))))</f>
        <v/>
      </c>
      <c r="Q93" s="25">
        <f>IF(($L$5-1)&lt;1,"",IF(90&lt;=($L$5-1),F93,INDEX($F$4:$F$603,($L$5-1))))</f>
        <v/>
      </c>
      <c r="R93" s="25">
        <f>IF(($L$5-1)&lt;1,"",IF(90&lt;=($L$5-1),G93,INDEX($G$4:$G$603,($L$5-1))))</f>
        <v/>
      </c>
      <c r="S93" s="25">
        <f>IF(($L$5-2)&lt;1,"",IF(90&lt;=($L$5-2),H93,INDEX($H$4:$H$603,($L$5-2))))</f>
        <v/>
      </c>
      <c r="T93" s="25">
        <f>IF(($L$5-2)&lt;1,"",IF(90&lt;=($L$5-2),I93,INDEX($I$4:$I$603,($L$5-2))))</f>
        <v/>
      </c>
    </row>
    <row r="94">
      <c r="A94" s="43" t="n"/>
      <c r="B94" s="43" t="n"/>
      <c r="C94" s="37">
        <f>IF(OR(A94="",A95=""),"",A95-A94)</f>
        <v/>
      </c>
      <c r="D94" s="37">
        <f>IF(C94="","",B95-B94)</f>
        <v/>
      </c>
      <c r="E94" s="37">
        <f>IF(C94="","",(A94+A95)/2)</f>
        <v/>
      </c>
      <c r="F94" s="25">
        <f>IF(OR(C94="",C94=0),"",D94/C94)</f>
        <v/>
      </c>
      <c r="G94" s="25">
        <f>IF(C94="","",D94/$L$6)</f>
        <v/>
      </c>
      <c r="H94" s="37">
        <f>IF(OR(F94="",F95=""),"",(E94+E95)/2)</f>
        <v/>
      </c>
      <c r="I94" s="25">
        <f>IF(H94="","",(F95-F94)/(E95-E94))</f>
        <v/>
      </c>
      <c r="P94" s="25">
        <f>IF(($L$5-1)&lt;1,"",IF(91&lt;=($L$5-1),E94,INDEX($E$4:$E$603,($L$5-1))))</f>
        <v/>
      </c>
      <c r="Q94" s="25">
        <f>IF(($L$5-1)&lt;1,"",IF(91&lt;=($L$5-1),F94,INDEX($F$4:$F$603,($L$5-1))))</f>
        <v/>
      </c>
      <c r="R94" s="25">
        <f>IF(($L$5-1)&lt;1,"",IF(91&lt;=($L$5-1),G94,INDEX($G$4:$G$603,($L$5-1))))</f>
        <v/>
      </c>
      <c r="S94" s="25">
        <f>IF(($L$5-2)&lt;1,"",IF(91&lt;=($L$5-2),H94,INDEX($H$4:$H$603,($L$5-2))))</f>
        <v/>
      </c>
      <c r="T94" s="25">
        <f>IF(($L$5-2)&lt;1,"",IF(91&lt;=($L$5-2),I94,INDEX($I$4:$I$603,($L$5-2))))</f>
        <v/>
      </c>
    </row>
    <row r="95">
      <c r="A95" s="43" t="n"/>
      <c r="B95" s="43" t="n"/>
      <c r="C95" s="37">
        <f>IF(OR(A95="",A96=""),"",A96-A95)</f>
        <v/>
      </c>
      <c r="D95" s="37">
        <f>IF(C95="","",B96-B95)</f>
        <v/>
      </c>
      <c r="E95" s="37">
        <f>IF(C95="","",(A95+A96)/2)</f>
        <v/>
      </c>
      <c r="F95" s="25">
        <f>IF(OR(C95="",C95=0),"",D95/C95)</f>
        <v/>
      </c>
      <c r="G95" s="25">
        <f>IF(C95="","",D95/$L$6)</f>
        <v/>
      </c>
      <c r="H95" s="37">
        <f>IF(OR(F95="",F96=""),"",(E95+E96)/2)</f>
        <v/>
      </c>
      <c r="I95" s="25">
        <f>IF(H95="","",(F96-F95)/(E96-E95))</f>
        <v/>
      </c>
      <c r="P95" s="25">
        <f>IF(($L$5-1)&lt;1,"",IF(92&lt;=($L$5-1),E95,INDEX($E$4:$E$603,($L$5-1))))</f>
        <v/>
      </c>
      <c r="Q95" s="25">
        <f>IF(($L$5-1)&lt;1,"",IF(92&lt;=($L$5-1),F95,INDEX($F$4:$F$603,($L$5-1))))</f>
        <v/>
      </c>
      <c r="R95" s="25">
        <f>IF(($L$5-1)&lt;1,"",IF(92&lt;=($L$5-1),G95,INDEX($G$4:$G$603,($L$5-1))))</f>
        <v/>
      </c>
      <c r="S95" s="25">
        <f>IF(($L$5-2)&lt;1,"",IF(92&lt;=($L$5-2),H95,INDEX($H$4:$H$603,($L$5-2))))</f>
        <v/>
      </c>
      <c r="T95" s="25">
        <f>IF(($L$5-2)&lt;1,"",IF(92&lt;=($L$5-2),I95,INDEX($I$4:$I$603,($L$5-2))))</f>
        <v/>
      </c>
    </row>
    <row r="96">
      <c r="A96" s="43" t="n"/>
      <c r="B96" s="43" t="n"/>
      <c r="C96" s="37">
        <f>IF(OR(A96="",A97=""),"",A97-A96)</f>
        <v/>
      </c>
      <c r="D96" s="37">
        <f>IF(C96="","",B97-B96)</f>
        <v/>
      </c>
      <c r="E96" s="37">
        <f>IF(C96="","",(A96+A97)/2)</f>
        <v/>
      </c>
      <c r="F96" s="25">
        <f>IF(OR(C96="",C96=0),"",D96/C96)</f>
        <v/>
      </c>
      <c r="G96" s="25">
        <f>IF(C96="","",D96/$L$6)</f>
        <v/>
      </c>
      <c r="H96" s="37">
        <f>IF(OR(F96="",F97=""),"",(E96+E97)/2)</f>
        <v/>
      </c>
      <c r="I96" s="25">
        <f>IF(H96="","",(F97-F96)/(E97-E96))</f>
        <v/>
      </c>
      <c r="P96" s="25">
        <f>IF(($L$5-1)&lt;1,"",IF(93&lt;=($L$5-1),E96,INDEX($E$4:$E$603,($L$5-1))))</f>
        <v/>
      </c>
      <c r="Q96" s="25">
        <f>IF(($L$5-1)&lt;1,"",IF(93&lt;=($L$5-1),F96,INDEX($F$4:$F$603,($L$5-1))))</f>
        <v/>
      </c>
      <c r="R96" s="25">
        <f>IF(($L$5-1)&lt;1,"",IF(93&lt;=($L$5-1),G96,INDEX($G$4:$G$603,($L$5-1))))</f>
        <v/>
      </c>
      <c r="S96" s="25">
        <f>IF(($L$5-2)&lt;1,"",IF(93&lt;=($L$5-2),H96,INDEX($H$4:$H$603,($L$5-2))))</f>
        <v/>
      </c>
      <c r="T96" s="25">
        <f>IF(($L$5-2)&lt;1,"",IF(93&lt;=($L$5-2),I96,INDEX($I$4:$I$603,($L$5-2))))</f>
        <v/>
      </c>
    </row>
    <row r="97">
      <c r="A97" s="43" t="n"/>
      <c r="B97" s="43" t="n"/>
      <c r="C97" s="37">
        <f>IF(OR(A97="",A98=""),"",A98-A97)</f>
        <v/>
      </c>
      <c r="D97" s="37">
        <f>IF(C97="","",B98-B97)</f>
        <v/>
      </c>
      <c r="E97" s="37">
        <f>IF(C97="","",(A97+A98)/2)</f>
        <v/>
      </c>
      <c r="F97" s="25">
        <f>IF(OR(C97="",C97=0),"",D97/C97)</f>
        <v/>
      </c>
      <c r="G97" s="25">
        <f>IF(C97="","",D97/$L$6)</f>
        <v/>
      </c>
      <c r="H97" s="37">
        <f>IF(OR(F97="",F98=""),"",(E97+E98)/2)</f>
        <v/>
      </c>
      <c r="I97" s="25">
        <f>IF(H97="","",(F98-F97)/(E98-E97))</f>
        <v/>
      </c>
      <c r="P97" s="25">
        <f>IF(($L$5-1)&lt;1,"",IF(94&lt;=($L$5-1),E97,INDEX($E$4:$E$603,($L$5-1))))</f>
        <v/>
      </c>
      <c r="Q97" s="25">
        <f>IF(($L$5-1)&lt;1,"",IF(94&lt;=($L$5-1),F97,INDEX($F$4:$F$603,($L$5-1))))</f>
        <v/>
      </c>
      <c r="R97" s="25">
        <f>IF(($L$5-1)&lt;1,"",IF(94&lt;=($L$5-1),G97,INDEX($G$4:$G$603,($L$5-1))))</f>
        <v/>
      </c>
      <c r="S97" s="25">
        <f>IF(($L$5-2)&lt;1,"",IF(94&lt;=($L$5-2),H97,INDEX($H$4:$H$603,($L$5-2))))</f>
        <v/>
      </c>
      <c r="T97" s="25">
        <f>IF(($L$5-2)&lt;1,"",IF(94&lt;=($L$5-2),I97,INDEX($I$4:$I$603,($L$5-2))))</f>
        <v/>
      </c>
    </row>
    <row r="98">
      <c r="A98" s="43" t="n"/>
      <c r="B98" s="43" t="n"/>
      <c r="C98" s="37">
        <f>IF(OR(A98="",A99=""),"",A99-A98)</f>
        <v/>
      </c>
      <c r="D98" s="37">
        <f>IF(C98="","",B99-B98)</f>
        <v/>
      </c>
      <c r="E98" s="37">
        <f>IF(C98="","",(A98+A99)/2)</f>
        <v/>
      </c>
      <c r="F98" s="25">
        <f>IF(OR(C98="",C98=0),"",D98/C98)</f>
        <v/>
      </c>
      <c r="G98" s="25">
        <f>IF(C98="","",D98/$L$6)</f>
        <v/>
      </c>
      <c r="H98" s="37">
        <f>IF(OR(F98="",F99=""),"",(E98+E99)/2)</f>
        <v/>
      </c>
      <c r="I98" s="25">
        <f>IF(H98="","",(F99-F98)/(E99-E98))</f>
        <v/>
      </c>
      <c r="P98" s="25">
        <f>IF(($L$5-1)&lt;1,"",IF(95&lt;=($L$5-1),E98,INDEX($E$4:$E$603,($L$5-1))))</f>
        <v/>
      </c>
      <c r="Q98" s="25">
        <f>IF(($L$5-1)&lt;1,"",IF(95&lt;=($L$5-1),F98,INDEX($F$4:$F$603,($L$5-1))))</f>
        <v/>
      </c>
      <c r="R98" s="25">
        <f>IF(($L$5-1)&lt;1,"",IF(95&lt;=($L$5-1),G98,INDEX($G$4:$G$603,($L$5-1))))</f>
        <v/>
      </c>
      <c r="S98" s="25">
        <f>IF(($L$5-2)&lt;1,"",IF(95&lt;=($L$5-2),H98,INDEX($H$4:$H$603,($L$5-2))))</f>
        <v/>
      </c>
      <c r="T98" s="25">
        <f>IF(($L$5-2)&lt;1,"",IF(95&lt;=($L$5-2),I98,INDEX($I$4:$I$603,($L$5-2))))</f>
        <v/>
      </c>
    </row>
    <row r="99">
      <c r="A99" s="43" t="n"/>
      <c r="B99" s="43" t="n"/>
      <c r="C99" s="37">
        <f>IF(OR(A99="",A100=""),"",A100-A99)</f>
        <v/>
      </c>
      <c r="D99" s="37">
        <f>IF(C99="","",B100-B99)</f>
        <v/>
      </c>
      <c r="E99" s="37">
        <f>IF(C99="","",(A99+A100)/2)</f>
        <v/>
      </c>
      <c r="F99" s="25">
        <f>IF(OR(C99="",C99=0),"",D99/C99)</f>
        <v/>
      </c>
      <c r="G99" s="25">
        <f>IF(C99="","",D99/$L$6)</f>
        <v/>
      </c>
      <c r="H99" s="37">
        <f>IF(OR(F99="",F100=""),"",(E99+E100)/2)</f>
        <v/>
      </c>
      <c r="I99" s="25">
        <f>IF(H99="","",(F100-F99)/(E100-E99))</f>
        <v/>
      </c>
      <c r="P99" s="25">
        <f>IF(($L$5-1)&lt;1,"",IF(96&lt;=($L$5-1),E99,INDEX($E$4:$E$603,($L$5-1))))</f>
        <v/>
      </c>
      <c r="Q99" s="25">
        <f>IF(($L$5-1)&lt;1,"",IF(96&lt;=($L$5-1),F99,INDEX($F$4:$F$603,($L$5-1))))</f>
        <v/>
      </c>
      <c r="R99" s="25">
        <f>IF(($L$5-1)&lt;1,"",IF(96&lt;=($L$5-1),G99,INDEX($G$4:$G$603,($L$5-1))))</f>
        <v/>
      </c>
      <c r="S99" s="25">
        <f>IF(($L$5-2)&lt;1,"",IF(96&lt;=($L$5-2),H99,INDEX($H$4:$H$603,($L$5-2))))</f>
        <v/>
      </c>
      <c r="T99" s="25">
        <f>IF(($L$5-2)&lt;1,"",IF(96&lt;=($L$5-2),I99,INDEX($I$4:$I$603,($L$5-2))))</f>
        <v/>
      </c>
    </row>
    <row r="100">
      <c r="A100" s="43" t="n"/>
      <c r="B100" s="43" t="n"/>
      <c r="C100" s="37">
        <f>IF(OR(A100="",A101=""),"",A101-A100)</f>
        <v/>
      </c>
      <c r="D100" s="37">
        <f>IF(C100="","",B101-B100)</f>
        <v/>
      </c>
      <c r="E100" s="37">
        <f>IF(C100="","",(A100+A101)/2)</f>
        <v/>
      </c>
      <c r="F100" s="25">
        <f>IF(OR(C100="",C100=0),"",D100/C100)</f>
        <v/>
      </c>
      <c r="G100" s="25">
        <f>IF(C100="","",D100/$L$6)</f>
        <v/>
      </c>
      <c r="H100" s="37">
        <f>IF(OR(F100="",F101=""),"",(E100+E101)/2)</f>
        <v/>
      </c>
      <c r="I100" s="25">
        <f>IF(H100="","",(F101-F100)/(E101-E100))</f>
        <v/>
      </c>
      <c r="P100" s="25">
        <f>IF(($L$5-1)&lt;1,"",IF(97&lt;=($L$5-1),E100,INDEX($E$4:$E$603,($L$5-1))))</f>
        <v/>
      </c>
      <c r="Q100" s="25">
        <f>IF(($L$5-1)&lt;1,"",IF(97&lt;=($L$5-1),F100,INDEX($F$4:$F$603,($L$5-1))))</f>
        <v/>
      </c>
      <c r="R100" s="25">
        <f>IF(($L$5-1)&lt;1,"",IF(97&lt;=($L$5-1),G100,INDEX($G$4:$G$603,($L$5-1))))</f>
        <v/>
      </c>
      <c r="S100" s="25">
        <f>IF(($L$5-2)&lt;1,"",IF(97&lt;=($L$5-2),H100,INDEX($H$4:$H$603,($L$5-2))))</f>
        <v/>
      </c>
      <c r="T100" s="25">
        <f>IF(($L$5-2)&lt;1,"",IF(97&lt;=($L$5-2),I100,INDEX($I$4:$I$603,($L$5-2))))</f>
        <v/>
      </c>
    </row>
    <row r="101">
      <c r="A101" s="43" t="n"/>
      <c r="B101" s="43" t="n"/>
      <c r="C101" s="37">
        <f>IF(OR(A101="",A102=""),"",A102-A101)</f>
        <v/>
      </c>
      <c r="D101" s="37">
        <f>IF(C101="","",B102-B101)</f>
        <v/>
      </c>
      <c r="E101" s="37">
        <f>IF(C101="","",(A101+A102)/2)</f>
        <v/>
      </c>
      <c r="F101" s="25">
        <f>IF(OR(C101="",C101=0),"",D101/C101)</f>
        <v/>
      </c>
      <c r="G101" s="25">
        <f>IF(C101="","",D101/$L$6)</f>
        <v/>
      </c>
      <c r="H101" s="37">
        <f>IF(OR(F101="",F102=""),"",(E101+E102)/2)</f>
        <v/>
      </c>
      <c r="I101" s="25">
        <f>IF(H101="","",(F102-F101)/(E102-E101))</f>
        <v/>
      </c>
      <c r="P101" s="25">
        <f>IF(($L$5-1)&lt;1,"",IF(98&lt;=($L$5-1),E101,INDEX($E$4:$E$603,($L$5-1))))</f>
        <v/>
      </c>
      <c r="Q101" s="25">
        <f>IF(($L$5-1)&lt;1,"",IF(98&lt;=($L$5-1),F101,INDEX($F$4:$F$603,($L$5-1))))</f>
        <v/>
      </c>
      <c r="R101" s="25">
        <f>IF(($L$5-1)&lt;1,"",IF(98&lt;=($L$5-1),G101,INDEX($G$4:$G$603,($L$5-1))))</f>
        <v/>
      </c>
      <c r="S101" s="25">
        <f>IF(($L$5-2)&lt;1,"",IF(98&lt;=($L$5-2),H101,INDEX($H$4:$H$603,($L$5-2))))</f>
        <v/>
      </c>
      <c r="T101" s="25">
        <f>IF(($L$5-2)&lt;1,"",IF(98&lt;=($L$5-2),I101,INDEX($I$4:$I$603,($L$5-2))))</f>
        <v/>
      </c>
    </row>
    <row r="102">
      <c r="A102" s="43" t="n"/>
      <c r="B102" s="43" t="n"/>
      <c r="C102" s="37">
        <f>IF(OR(A102="",A103=""),"",A103-A102)</f>
        <v/>
      </c>
      <c r="D102" s="37">
        <f>IF(C102="","",B103-B102)</f>
        <v/>
      </c>
      <c r="E102" s="37">
        <f>IF(C102="","",(A102+A103)/2)</f>
        <v/>
      </c>
      <c r="F102" s="25">
        <f>IF(OR(C102="",C102=0),"",D102/C102)</f>
        <v/>
      </c>
      <c r="G102" s="25">
        <f>IF(C102="","",D102/$L$6)</f>
        <v/>
      </c>
      <c r="H102" s="37">
        <f>IF(OR(F102="",F103=""),"",(E102+E103)/2)</f>
        <v/>
      </c>
      <c r="I102" s="25">
        <f>IF(H102="","",(F103-F102)/(E103-E102))</f>
        <v/>
      </c>
      <c r="P102" s="25">
        <f>IF(($L$5-1)&lt;1,"",IF(99&lt;=($L$5-1),E102,INDEX($E$4:$E$603,($L$5-1))))</f>
        <v/>
      </c>
      <c r="Q102" s="25">
        <f>IF(($L$5-1)&lt;1,"",IF(99&lt;=($L$5-1),F102,INDEX($F$4:$F$603,($L$5-1))))</f>
        <v/>
      </c>
      <c r="R102" s="25">
        <f>IF(($L$5-1)&lt;1,"",IF(99&lt;=($L$5-1),G102,INDEX($G$4:$G$603,($L$5-1))))</f>
        <v/>
      </c>
      <c r="S102" s="25">
        <f>IF(($L$5-2)&lt;1,"",IF(99&lt;=($L$5-2),H102,INDEX($H$4:$H$603,($L$5-2))))</f>
        <v/>
      </c>
      <c r="T102" s="25">
        <f>IF(($L$5-2)&lt;1,"",IF(99&lt;=($L$5-2),I102,INDEX($I$4:$I$603,($L$5-2))))</f>
        <v/>
      </c>
    </row>
    <row r="103">
      <c r="A103" s="43" t="n"/>
      <c r="B103" s="43" t="n"/>
      <c r="C103" s="37">
        <f>IF(OR(A103="",A104=""),"",A104-A103)</f>
        <v/>
      </c>
      <c r="D103" s="37">
        <f>IF(C103="","",B104-B103)</f>
        <v/>
      </c>
      <c r="E103" s="37">
        <f>IF(C103="","",(A103+A104)/2)</f>
        <v/>
      </c>
      <c r="F103" s="25">
        <f>IF(OR(C103="",C103=0),"",D103/C103)</f>
        <v/>
      </c>
      <c r="G103" s="25">
        <f>IF(C103="","",D103/$L$6)</f>
        <v/>
      </c>
      <c r="H103" s="37">
        <f>IF(OR(F103="",F104=""),"",(E103+E104)/2)</f>
        <v/>
      </c>
      <c r="I103" s="25">
        <f>IF(H103="","",(F104-F103)/(E104-E103))</f>
        <v/>
      </c>
      <c r="P103" s="25">
        <f>IF(($L$5-1)&lt;1,"",IF(100&lt;=($L$5-1),E103,INDEX($E$4:$E$603,($L$5-1))))</f>
        <v/>
      </c>
      <c r="Q103" s="25">
        <f>IF(($L$5-1)&lt;1,"",IF(100&lt;=($L$5-1),F103,INDEX($F$4:$F$603,($L$5-1))))</f>
        <v/>
      </c>
      <c r="R103" s="25">
        <f>IF(($L$5-1)&lt;1,"",IF(100&lt;=($L$5-1),G103,INDEX($G$4:$G$603,($L$5-1))))</f>
        <v/>
      </c>
      <c r="S103" s="25">
        <f>IF(($L$5-2)&lt;1,"",IF(100&lt;=($L$5-2),H103,INDEX($H$4:$H$603,($L$5-2))))</f>
        <v/>
      </c>
      <c r="T103" s="25">
        <f>IF(($L$5-2)&lt;1,"",IF(100&lt;=($L$5-2),I103,INDEX($I$4:$I$603,($L$5-2))))</f>
        <v/>
      </c>
    </row>
    <row r="104">
      <c r="A104" s="43" t="n"/>
      <c r="B104" s="43" t="n"/>
      <c r="C104" s="37">
        <f>IF(OR(A104="",A105=""),"",A105-A104)</f>
        <v/>
      </c>
      <c r="D104" s="37">
        <f>IF(C104="","",B105-B104)</f>
        <v/>
      </c>
      <c r="E104" s="37">
        <f>IF(C104="","",(A104+A105)/2)</f>
        <v/>
      </c>
      <c r="F104" s="25">
        <f>IF(OR(C104="",C104=0),"",D104/C104)</f>
        <v/>
      </c>
      <c r="G104" s="25">
        <f>IF(C104="","",D104/$L$6)</f>
        <v/>
      </c>
      <c r="H104" s="37">
        <f>IF(OR(F104="",F105=""),"",(E104+E105)/2)</f>
        <v/>
      </c>
      <c r="I104" s="25">
        <f>IF(H104="","",(F105-F104)/(E105-E104))</f>
        <v/>
      </c>
      <c r="P104" s="25">
        <f>IF(($L$5-1)&lt;1,"",IF(101&lt;=($L$5-1),E104,INDEX($E$4:$E$603,($L$5-1))))</f>
        <v/>
      </c>
      <c r="Q104" s="25">
        <f>IF(($L$5-1)&lt;1,"",IF(101&lt;=($L$5-1),F104,INDEX($F$4:$F$603,($L$5-1))))</f>
        <v/>
      </c>
      <c r="R104" s="25">
        <f>IF(($L$5-1)&lt;1,"",IF(101&lt;=($L$5-1),G104,INDEX($G$4:$G$603,($L$5-1))))</f>
        <v/>
      </c>
      <c r="S104" s="25">
        <f>IF(($L$5-2)&lt;1,"",IF(101&lt;=($L$5-2),H104,INDEX($H$4:$H$603,($L$5-2))))</f>
        <v/>
      </c>
      <c r="T104" s="25">
        <f>IF(($L$5-2)&lt;1,"",IF(101&lt;=($L$5-2),I104,INDEX($I$4:$I$603,($L$5-2))))</f>
        <v/>
      </c>
    </row>
    <row r="105">
      <c r="A105" s="43" t="n"/>
      <c r="B105" s="43" t="n"/>
      <c r="C105" s="37">
        <f>IF(OR(A105="",A106=""),"",A106-A105)</f>
        <v/>
      </c>
      <c r="D105" s="37">
        <f>IF(C105="","",B106-B105)</f>
        <v/>
      </c>
      <c r="E105" s="37">
        <f>IF(C105="","",(A105+A106)/2)</f>
        <v/>
      </c>
      <c r="F105" s="25">
        <f>IF(OR(C105="",C105=0),"",D105/C105)</f>
        <v/>
      </c>
      <c r="G105" s="25">
        <f>IF(C105="","",D105/$L$6)</f>
        <v/>
      </c>
      <c r="H105" s="37">
        <f>IF(OR(F105="",F106=""),"",(E105+E106)/2)</f>
        <v/>
      </c>
      <c r="I105" s="25">
        <f>IF(H105="","",(F106-F105)/(E106-E105))</f>
        <v/>
      </c>
      <c r="P105" s="25">
        <f>IF(($L$5-1)&lt;1,"",IF(102&lt;=($L$5-1),E105,INDEX($E$4:$E$603,($L$5-1))))</f>
        <v/>
      </c>
      <c r="Q105" s="25">
        <f>IF(($L$5-1)&lt;1,"",IF(102&lt;=($L$5-1),F105,INDEX($F$4:$F$603,($L$5-1))))</f>
        <v/>
      </c>
      <c r="R105" s="25">
        <f>IF(($L$5-1)&lt;1,"",IF(102&lt;=($L$5-1),G105,INDEX($G$4:$G$603,($L$5-1))))</f>
        <v/>
      </c>
      <c r="S105" s="25">
        <f>IF(($L$5-2)&lt;1,"",IF(102&lt;=($L$5-2),H105,INDEX($H$4:$H$603,($L$5-2))))</f>
        <v/>
      </c>
      <c r="T105" s="25">
        <f>IF(($L$5-2)&lt;1,"",IF(102&lt;=($L$5-2),I105,INDEX($I$4:$I$603,($L$5-2))))</f>
        <v/>
      </c>
    </row>
    <row r="106">
      <c r="A106" s="43" t="n"/>
      <c r="B106" s="43" t="n"/>
      <c r="C106" s="37">
        <f>IF(OR(A106="",A107=""),"",A107-A106)</f>
        <v/>
      </c>
      <c r="D106" s="37">
        <f>IF(C106="","",B107-B106)</f>
        <v/>
      </c>
      <c r="E106" s="37">
        <f>IF(C106="","",(A106+A107)/2)</f>
        <v/>
      </c>
      <c r="F106" s="25">
        <f>IF(OR(C106="",C106=0),"",D106/C106)</f>
        <v/>
      </c>
      <c r="G106" s="25">
        <f>IF(C106="","",D106/$L$6)</f>
        <v/>
      </c>
      <c r="H106" s="37">
        <f>IF(OR(F106="",F107=""),"",(E106+E107)/2)</f>
        <v/>
      </c>
      <c r="I106" s="25">
        <f>IF(H106="","",(F107-F106)/(E107-E106))</f>
        <v/>
      </c>
      <c r="P106" s="25">
        <f>IF(($L$5-1)&lt;1,"",IF(103&lt;=($L$5-1),E106,INDEX($E$4:$E$603,($L$5-1))))</f>
        <v/>
      </c>
      <c r="Q106" s="25">
        <f>IF(($L$5-1)&lt;1,"",IF(103&lt;=($L$5-1),F106,INDEX($F$4:$F$603,($L$5-1))))</f>
        <v/>
      </c>
      <c r="R106" s="25">
        <f>IF(($L$5-1)&lt;1,"",IF(103&lt;=($L$5-1),G106,INDEX($G$4:$G$603,($L$5-1))))</f>
        <v/>
      </c>
      <c r="S106" s="25">
        <f>IF(($L$5-2)&lt;1,"",IF(103&lt;=($L$5-2),H106,INDEX($H$4:$H$603,($L$5-2))))</f>
        <v/>
      </c>
      <c r="T106" s="25">
        <f>IF(($L$5-2)&lt;1,"",IF(103&lt;=($L$5-2),I106,INDEX($I$4:$I$603,($L$5-2))))</f>
        <v/>
      </c>
    </row>
    <row r="107">
      <c r="A107" s="43" t="n"/>
      <c r="B107" s="43" t="n"/>
      <c r="C107" s="37">
        <f>IF(OR(A107="",A108=""),"",A108-A107)</f>
        <v/>
      </c>
      <c r="D107" s="37">
        <f>IF(C107="","",B108-B107)</f>
        <v/>
      </c>
      <c r="E107" s="37">
        <f>IF(C107="","",(A107+A108)/2)</f>
        <v/>
      </c>
      <c r="F107" s="25">
        <f>IF(OR(C107="",C107=0),"",D107/C107)</f>
        <v/>
      </c>
      <c r="G107" s="25">
        <f>IF(C107="","",D107/$L$6)</f>
        <v/>
      </c>
      <c r="H107" s="37">
        <f>IF(OR(F107="",F108=""),"",(E107+E108)/2)</f>
        <v/>
      </c>
      <c r="I107" s="25">
        <f>IF(H107="","",(F108-F107)/(E108-E107))</f>
        <v/>
      </c>
      <c r="P107" s="25">
        <f>IF(($L$5-1)&lt;1,"",IF(104&lt;=($L$5-1),E107,INDEX($E$4:$E$603,($L$5-1))))</f>
        <v/>
      </c>
      <c r="Q107" s="25">
        <f>IF(($L$5-1)&lt;1,"",IF(104&lt;=($L$5-1),F107,INDEX($F$4:$F$603,($L$5-1))))</f>
        <v/>
      </c>
      <c r="R107" s="25">
        <f>IF(($L$5-1)&lt;1,"",IF(104&lt;=($L$5-1),G107,INDEX($G$4:$G$603,($L$5-1))))</f>
        <v/>
      </c>
      <c r="S107" s="25">
        <f>IF(($L$5-2)&lt;1,"",IF(104&lt;=($L$5-2),H107,INDEX($H$4:$H$603,($L$5-2))))</f>
        <v/>
      </c>
      <c r="T107" s="25">
        <f>IF(($L$5-2)&lt;1,"",IF(104&lt;=($L$5-2),I107,INDEX($I$4:$I$603,($L$5-2))))</f>
        <v/>
      </c>
    </row>
    <row r="108">
      <c r="A108" s="43" t="n"/>
      <c r="B108" s="43" t="n"/>
      <c r="C108" s="37">
        <f>IF(OR(A108="",A109=""),"",A109-A108)</f>
        <v/>
      </c>
      <c r="D108" s="37">
        <f>IF(C108="","",B109-B108)</f>
        <v/>
      </c>
      <c r="E108" s="37">
        <f>IF(C108="","",(A108+A109)/2)</f>
        <v/>
      </c>
      <c r="F108" s="25">
        <f>IF(OR(C108="",C108=0),"",D108/C108)</f>
        <v/>
      </c>
      <c r="G108" s="25">
        <f>IF(C108="","",D108/$L$6)</f>
        <v/>
      </c>
      <c r="H108" s="37">
        <f>IF(OR(F108="",F109=""),"",(E108+E109)/2)</f>
        <v/>
      </c>
      <c r="I108" s="25">
        <f>IF(H108="","",(F109-F108)/(E109-E108))</f>
        <v/>
      </c>
      <c r="P108" s="25">
        <f>IF(($L$5-1)&lt;1,"",IF(105&lt;=($L$5-1),E108,INDEX($E$4:$E$603,($L$5-1))))</f>
        <v/>
      </c>
      <c r="Q108" s="25">
        <f>IF(($L$5-1)&lt;1,"",IF(105&lt;=($L$5-1),F108,INDEX($F$4:$F$603,($L$5-1))))</f>
        <v/>
      </c>
      <c r="R108" s="25">
        <f>IF(($L$5-1)&lt;1,"",IF(105&lt;=($L$5-1),G108,INDEX($G$4:$G$603,($L$5-1))))</f>
        <v/>
      </c>
      <c r="S108" s="25">
        <f>IF(($L$5-2)&lt;1,"",IF(105&lt;=($L$5-2),H108,INDEX($H$4:$H$603,($L$5-2))))</f>
        <v/>
      </c>
      <c r="T108" s="25">
        <f>IF(($L$5-2)&lt;1,"",IF(105&lt;=($L$5-2),I108,INDEX($I$4:$I$603,($L$5-2))))</f>
        <v/>
      </c>
    </row>
    <row r="109">
      <c r="A109" s="43" t="n"/>
      <c r="B109" s="43" t="n"/>
      <c r="C109" s="37">
        <f>IF(OR(A109="",A110=""),"",A110-A109)</f>
        <v/>
      </c>
      <c r="D109" s="37">
        <f>IF(C109="","",B110-B109)</f>
        <v/>
      </c>
      <c r="E109" s="37">
        <f>IF(C109="","",(A109+A110)/2)</f>
        <v/>
      </c>
      <c r="F109" s="25">
        <f>IF(OR(C109="",C109=0),"",D109/C109)</f>
        <v/>
      </c>
      <c r="G109" s="25">
        <f>IF(C109="","",D109/$L$6)</f>
        <v/>
      </c>
      <c r="H109" s="37">
        <f>IF(OR(F109="",F110=""),"",(E109+E110)/2)</f>
        <v/>
      </c>
      <c r="I109" s="25">
        <f>IF(H109="","",(F110-F109)/(E110-E109))</f>
        <v/>
      </c>
      <c r="P109" s="25">
        <f>IF(($L$5-1)&lt;1,"",IF(106&lt;=($L$5-1),E109,INDEX($E$4:$E$603,($L$5-1))))</f>
        <v/>
      </c>
      <c r="Q109" s="25">
        <f>IF(($L$5-1)&lt;1,"",IF(106&lt;=($L$5-1),F109,INDEX($F$4:$F$603,($L$5-1))))</f>
        <v/>
      </c>
      <c r="R109" s="25">
        <f>IF(($L$5-1)&lt;1,"",IF(106&lt;=($L$5-1),G109,INDEX($G$4:$G$603,($L$5-1))))</f>
        <v/>
      </c>
      <c r="S109" s="25">
        <f>IF(($L$5-2)&lt;1,"",IF(106&lt;=($L$5-2),H109,INDEX($H$4:$H$603,($L$5-2))))</f>
        <v/>
      </c>
      <c r="T109" s="25">
        <f>IF(($L$5-2)&lt;1,"",IF(106&lt;=($L$5-2),I109,INDEX($I$4:$I$603,($L$5-2))))</f>
        <v/>
      </c>
    </row>
    <row r="110">
      <c r="A110" s="43" t="n"/>
      <c r="B110" s="43" t="n"/>
      <c r="C110" s="37">
        <f>IF(OR(A110="",A111=""),"",A111-A110)</f>
        <v/>
      </c>
      <c r="D110" s="37">
        <f>IF(C110="","",B111-B110)</f>
        <v/>
      </c>
      <c r="E110" s="37">
        <f>IF(C110="","",(A110+A111)/2)</f>
        <v/>
      </c>
      <c r="F110" s="25">
        <f>IF(OR(C110="",C110=0),"",D110/C110)</f>
        <v/>
      </c>
      <c r="G110" s="25">
        <f>IF(C110="","",D110/$L$6)</f>
        <v/>
      </c>
      <c r="H110" s="37">
        <f>IF(OR(F110="",F111=""),"",(E110+E111)/2)</f>
        <v/>
      </c>
      <c r="I110" s="25">
        <f>IF(H110="","",(F111-F110)/(E111-E110))</f>
        <v/>
      </c>
      <c r="P110" s="25">
        <f>IF(($L$5-1)&lt;1,"",IF(107&lt;=($L$5-1),E110,INDEX($E$4:$E$603,($L$5-1))))</f>
        <v/>
      </c>
      <c r="Q110" s="25">
        <f>IF(($L$5-1)&lt;1,"",IF(107&lt;=($L$5-1),F110,INDEX($F$4:$F$603,($L$5-1))))</f>
        <v/>
      </c>
      <c r="R110" s="25">
        <f>IF(($L$5-1)&lt;1,"",IF(107&lt;=($L$5-1),G110,INDEX($G$4:$G$603,($L$5-1))))</f>
        <v/>
      </c>
      <c r="S110" s="25">
        <f>IF(($L$5-2)&lt;1,"",IF(107&lt;=($L$5-2),H110,INDEX($H$4:$H$603,($L$5-2))))</f>
        <v/>
      </c>
      <c r="T110" s="25">
        <f>IF(($L$5-2)&lt;1,"",IF(107&lt;=($L$5-2),I110,INDEX($I$4:$I$603,($L$5-2))))</f>
        <v/>
      </c>
    </row>
    <row r="111">
      <c r="A111" s="43" t="n"/>
      <c r="B111" s="43" t="n"/>
      <c r="C111" s="37">
        <f>IF(OR(A111="",A112=""),"",A112-A111)</f>
        <v/>
      </c>
      <c r="D111" s="37">
        <f>IF(C111="","",B112-B111)</f>
        <v/>
      </c>
      <c r="E111" s="37">
        <f>IF(C111="","",(A111+A112)/2)</f>
        <v/>
      </c>
      <c r="F111" s="25">
        <f>IF(OR(C111="",C111=0),"",D111/C111)</f>
        <v/>
      </c>
      <c r="G111" s="25">
        <f>IF(C111="","",D111/$L$6)</f>
        <v/>
      </c>
      <c r="H111" s="37">
        <f>IF(OR(F111="",F112=""),"",(E111+E112)/2)</f>
        <v/>
      </c>
      <c r="I111" s="25">
        <f>IF(H111="","",(F112-F111)/(E112-E111))</f>
        <v/>
      </c>
      <c r="P111" s="25">
        <f>IF(($L$5-1)&lt;1,"",IF(108&lt;=($L$5-1),E111,INDEX($E$4:$E$603,($L$5-1))))</f>
        <v/>
      </c>
      <c r="Q111" s="25">
        <f>IF(($L$5-1)&lt;1,"",IF(108&lt;=($L$5-1),F111,INDEX($F$4:$F$603,($L$5-1))))</f>
        <v/>
      </c>
      <c r="R111" s="25">
        <f>IF(($L$5-1)&lt;1,"",IF(108&lt;=($L$5-1),G111,INDEX($G$4:$G$603,($L$5-1))))</f>
        <v/>
      </c>
      <c r="S111" s="25">
        <f>IF(($L$5-2)&lt;1,"",IF(108&lt;=($L$5-2),H111,INDEX($H$4:$H$603,($L$5-2))))</f>
        <v/>
      </c>
      <c r="T111" s="25">
        <f>IF(($L$5-2)&lt;1,"",IF(108&lt;=($L$5-2),I111,INDEX($I$4:$I$603,($L$5-2))))</f>
        <v/>
      </c>
    </row>
    <row r="112">
      <c r="A112" s="43" t="n"/>
      <c r="B112" s="43" t="n"/>
      <c r="C112" s="37">
        <f>IF(OR(A112="",A113=""),"",A113-A112)</f>
        <v/>
      </c>
      <c r="D112" s="37">
        <f>IF(C112="","",B113-B112)</f>
        <v/>
      </c>
      <c r="E112" s="37">
        <f>IF(C112="","",(A112+A113)/2)</f>
        <v/>
      </c>
      <c r="F112" s="25">
        <f>IF(OR(C112="",C112=0),"",D112/C112)</f>
        <v/>
      </c>
      <c r="G112" s="25">
        <f>IF(C112="","",D112/$L$6)</f>
        <v/>
      </c>
      <c r="H112" s="37">
        <f>IF(OR(F112="",F113=""),"",(E112+E113)/2)</f>
        <v/>
      </c>
      <c r="I112" s="25">
        <f>IF(H112="","",(F113-F112)/(E113-E112))</f>
        <v/>
      </c>
      <c r="P112" s="25">
        <f>IF(($L$5-1)&lt;1,"",IF(109&lt;=($L$5-1),E112,INDEX($E$4:$E$603,($L$5-1))))</f>
        <v/>
      </c>
      <c r="Q112" s="25">
        <f>IF(($L$5-1)&lt;1,"",IF(109&lt;=($L$5-1),F112,INDEX($F$4:$F$603,($L$5-1))))</f>
        <v/>
      </c>
      <c r="R112" s="25">
        <f>IF(($L$5-1)&lt;1,"",IF(109&lt;=($L$5-1),G112,INDEX($G$4:$G$603,($L$5-1))))</f>
        <v/>
      </c>
      <c r="S112" s="25">
        <f>IF(($L$5-2)&lt;1,"",IF(109&lt;=($L$5-2),H112,INDEX($H$4:$H$603,($L$5-2))))</f>
        <v/>
      </c>
      <c r="T112" s="25">
        <f>IF(($L$5-2)&lt;1,"",IF(109&lt;=($L$5-2),I112,INDEX($I$4:$I$603,($L$5-2))))</f>
        <v/>
      </c>
    </row>
    <row r="113">
      <c r="A113" s="43" t="n"/>
      <c r="B113" s="43" t="n"/>
      <c r="C113" s="37">
        <f>IF(OR(A113="",A114=""),"",A114-A113)</f>
        <v/>
      </c>
      <c r="D113" s="37">
        <f>IF(C113="","",B114-B113)</f>
        <v/>
      </c>
      <c r="E113" s="37">
        <f>IF(C113="","",(A113+A114)/2)</f>
        <v/>
      </c>
      <c r="F113" s="25">
        <f>IF(OR(C113="",C113=0),"",D113/C113)</f>
        <v/>
      </c>
      <c r="G113" s="25">
        <f>IF(C113="","",D113/$L$6)</f>
        <v/>
      </c>
      <c r="H113" s="37">
        <f>IF(OR(F113="",F114=""),"",(E113+E114)/2)</f>
        <v/>
      </c>
      <c r="I113" s="25">
        <f>IF(H113="","",(F114-F113)/(E114-E113))</f>
        <v/>
      </c>
      <c r="P113" s="25">
        <f>IF(($L$5-1)&lt;1,"",IF(110&lt;=($L$5-1),E113,INDEX($E$4:$E$603,($L$5-1))))</f>
        <v/>
      </c>
      <c r="Q113" s="25">
        <f>IF(($L$5-1)&lt;1,"",IF(110&lt;=($L$5-1),F113,INDEX($F$4:$F$603,($L$5-1))))</f>
        <v/>
      </c>
      <c r="R113" s="25">
        <f>IF(($L$5-1)&lt;1,"",IF(110&lt;=($L$5-1),G113,INDEX($G$4:$G$603,($L$5-1))))</f>
        <v/>
      </c>
      <c r="S113" s="25">
        <f>IF(($L$5-2)&lt;1,"",IF(110&lt;=($L$5-2),H113,INDEX($H$4:$H$603,($L$5-2))))</f>
        <v/>
      </c>
      <c r="T113" s="25">
        <f>IF(($L$5-2)&lt;1,"",IF(110&lt;=($L$5-2),I113,INDEX($I$4:$I$603,($L$5-2))))</f>
        <v/>
      </c>
    </row>
    <row r="114">
      <c r="A114" s="43" t="n"/>
      <c r="B114" s="43" t="n"/>
      <c r="C114" s="37">
        <f>IF(OR(A114="",A115=""),"",A115-A114)</f>
        <v/>
      </c>
      <c r="D114" s="37">
        <f>IF(C114="","",B115-B114)</f>
        <v/>
      </c>
      <c r="E114" s="37">
        <f>IF(C114="","",(A114+A115)/2)</f>
        <v/>
      </c>
      <c r="F114" s="25">
        <f>IF(OR(C114="",C114=0),"",D114/C114)</f>
        <v/>
      </c>
      <c r="G114" s="25">
        <f>IF(C114="","",D114/$L$6)</f>
        <v/>
      </c>
      <c r="H114" s="37">
        <f>IF(OR(F114="",F115=""),"",(E114+E115)/2)</f>
        <v/>
      </c>
      <c r="I114" s="25">
        <f>IF(H114="","",(F115-F114)/(E115-E114))</f>
        <v/>
      </c>
      <c r="P114" s="25">
        <f>IF(($L$5-1)&lt;1,"",IF(111&lt;=($L$5-1),E114,INDEX($E$4:$E$603,($L$5-1))))</f>
        <v/>
      </c>
      <c r="Q114" s="25">
        <f>IF(($L$5-1)&lt;1,"",IF(111&lt;=($L$5-1),F114,INDEX($F$4:$F$603,($L$5-1))))</f>
        <v/>
      </c>
      <c r="R114" s="25">
        <f>IF(($L$5-1)&lt;1,"",IF(111&lt;=($L$5-1),G114,INDEX($G$4:$G$603,($L$5-1))))</f>
        <v/>
      </c>
      <c r="S114" s="25">
        <f>IF(($L$5-2)&lt;1,"",IF(111&lt;=($L$5-2),H114,INDEX($H$4:$H$603,($L$5-2))))</f>
        <v/>
      </c>
      <c r="T114" s="25">
        <f>IF(($L$5-2)&lt;1,"",IF(111&lt;=($L$5-2),I114,INDEX($I$4:$I$603,($L$5-2))))</f>
        <v/>
      </c>
    </row>
    <row r="115">
      <c r="A115" s="43" t="n"/>
      <c r="B115" s="43" t="n"/>
      <c r="C115" s="37">
        <f>IF(OR(A115="",A116=""),"",A116-A115)</f>
        <v/>
      </c>
      <c r="D115" s="37">
        <f>IF(C115="","",B116-B115)</f>
        <v/>
      </c>
      <c r="E115" s="37">
        <f>IF(C115="","",(A115+A116)/2)</f>
        <v/>
      </c>
      <c r="F115" s="25">
        <f>IF(OR(C115="",C115=0),"",D115/C115)</f>
        <v/>
      </c>
      <c r="G115" s="25">
        <f>IF(C115="","",D115/$L$6)</f>
        <v/>
      </c>
      <c r="H115" s="37">
        <f>IF(OR(F115="",F116=""),"",(E115+E116)/2)</f>
        <v/>
      </c>
      <c r="I115" s="25">
        <f>IF(H115="","",(F116-F115)/(E116-E115))</f>
        <v/>
      </c>
      <c r="P115" s="25">
        <f>IF(($L$5-1)&lt;1,"",IF(112&lt;=($L$5-1),E115,INDEX($E$4:$E$603,($L$5-1))))</f>
        <v/>
      </c>
      <c r="Q115" s="25">
        <f>IF(($L$5-1)&lt;1,"",IF(112&lt;=($L$5-1),F115,INDEX($F$4:$F$603,($L$5-1))))</f>
        <v/>
      </c>
      <c r="R115" s="25">
        <f>IF(($L$5-1)&lt;1,"",IF(112&lt;=($L$5-1),G115,INDEX($G$4:$G$603,($L$5-1))))</f>
        <v/>
      </c>
      <c r="S115" s="25">
        <f>IF(($L$5-2)&lt;1,"",IF(112&lt;=($L$5-2),H115,INDEX($H$4:$H$603,($L$5-2))))</f>
        <v/>
      </c>
      <c r="T115" s="25">
        <f>IF(($L$5-2)&lt;1,"",IF(112&lt;=($L$5-2),I115,INDEX($I$4:$I$603,($L$5-2))))</f>
        <v/>
      </c>
    </row>
    <row r="116">
      <c r="A116" s="43" t="n"/>
      <c r="B116" s="43" t="n"/>
      <c r="C116" s="37">
        <f>IF(OR(A116="",A117=""),"",A117-A116)</f>
        <v/>
      </c>
      <c r="D116" s="37">
        <f>IF(C116="","",B117-B116)</f>
        <v/>
      </c>
      <c r="E116" s="37">
        <f>IF(C116="","",(A116+A117)/2)</f>
        <v/>
      </c>
      <c r="F116" s="25">
        <f>IF(OR(C116="",C116=0),"",D116/C116)</f>
        <v/>
      </c>
      <c r="G116" s="25">
        <f>IF(C116="","",D116/$L$6)</f>
        <v/>
      </c>
      <c r="H116" s="37">
        <f>IF(OR(F116="",F117=""),"",(E116+E117)/2)</f>
        <v/>
      </c>
      <c r="I116" s="25">
        <f>IF(H116="","",(F117-F116)/(E117-E116))</f>
        <v/>
      </c>
      <c r="P116" s="25">
        <f>IF(($L$5-1)&lt;1,"",IF(113&lt;=($L$5-1),E116,INDEX($E$4:$E$603,($L$5-1))))</f>
        <v/>
      </c>
      <c r="Q116" s="25">
        <f>IF(($L$5-1)&lt;1,"",IF(113&lt;=($L$5-1),F116,INDEX($F$4:$F$603,($L$5-1))))</f>
        <v/>
      </c>
      <c r="R116" s="25">
        <f>IF(($L$5-1)&lt;1,"",IF(113&lt;=($L$5-1),G116,INDEX($G$4:$G$603,($L$5-1))))</f>
        <v/>
      </c>
      <c r="S116" s="25">
        <f>IF(($L$5-2)&lt;1,"",IF(113&lt;=($L$5-2),H116,INDEX($H$4:$H$603,($L$5-2))))</f>
        <v/>
      </c>
      <c r="T116" s="25">
        <f>IF(($L$5-2)&lt;1,"",IF(113&lt;=($L$5-2),I116,INDEX($I$4:$I$603,($L$5-2))))</f>
        <v/>
      </c>
    </row>
    <row r="117">
      <c r="A117" s="43" t="n"/>
      <c r="B117" s="43" t="n"/>
      <c r="C117" s="37">
        <f>IF(OR(A117="",A118=""),"",A118-A117)</f>
        <v/>
      </c>
      <c r="D117" s="37">
        <f>IF(C117="","",B118-B117)</f>
        <v/>
      </c>
      <c r="E117" s="37">
        <f>IF(C117="","",(A117+A118)/2)</f>
        <v/>
      </c>
      <c r="F117" s="25">
        <f>IF(OR(C117="",C117=0),"",D117/C117)</f>
        <v/>
      </c>
      <c r="G117" s="25">
        <f>IF(C117="","",D117/$L$6)</f>
        <v/>
      </c>
      <c r="H117" s="37">
        <f>IF(OR(F117="",F118=""),"",(E117+E118)/2)</f>
        <v/>
      </c>
      <c r="I117" s="25">
        <f>IF(H117="","",(F118-F117)/(E118-E117))</f>
        <v/>
      </c>
      <c r="P117" s="25">
        <f>IF(($L$5-1)&lt;1,"",IF(114&lt;=($L$5-1),E117,INDEX($E$4:$E$603,($L$5-1))))</f>
        <v/>
      </c>
      <c r="Q117" s="25">
        <f>IF(($L$5-1)&lt;1,"",IF(114&lt;=($L$5-1),F117,INDEX($F$4:$F$603,($L$5-1))))</f>
        <v/>
      </c>
      <c r="R117" s="25">
        <f>IF(($L$5-1)&lt;1,"",IF(114&lt;=($L$5-1),G117,INDEX($G$4:$G$603,($L$5-1))))</f>
        <v/>
      </c>
      <c r="S117" s="25">
        <f>IF(($L$5-2)&lt;1,"",IF(114&lt;=($L$5-2),H117,INDEX($H$4:$H$603,($L$5-2))))</f>
        <v/>
      </c>
      <c r="T117" s="25">
        <f>IF(($L$5-2)&lt;1,"",IF(114&lt;=($L$5-2),I117,INDEX($I$4:$I$603,($L$5-2))))</f>
        <v/>
      </c>
    </row>
    <row r="118">
      <c r="A118" s="43" t="n"/>
      <c r="B118" s="43" t="n"/>
      <c r="C118" s="37">
        <f>IF(OR(A118="",A119=""),"",A119-A118)</f>
        <v/>
      </c>
      <c r="D118" s="37">
        <f>IF(C118="","",B119-B118)</f>
        <v/>
      </c>
      <c r="E118" s="37">
        <f>IF(C118="","",(A118+A119)/2)</f>
        <v/>
      </c>
      <c r="F118" s="25">
        <f>IF(OR(C118="",C118=0),"",D118/C118)</f>
        <v/>
      </c>
      <c r="G118" s="25">
        <f>IF(C118="","",D118/$L$6)</f>
        <v/>
      </c>
      <c r="H118" s="37">
        <f>IF(OR(F118="",F119=""),"",(E118+E119)/2)</f>
        <v/>
      </c>
      <c r="I118" s="25">
        <f>IF(H118="","",(F119-F118)/(E119-E118))</f>
        <v/>
      </c>
      <c r="P118" s="25">
        <f>IF(($L$5-1)&lt;1,"",IF(115&lt;=($L$5-1),E118,INDEX($E$4:$E$603,($L$5-1))))</f>
        <v/>
      </c>
      <c r="Q118" s="25">
        <f>IF(($L$5-1)&lt;1,"",IF(115&lt;=($L$5-1),F118,INDEX($F$4:$F$603,($L$5-1))))</f>
        <v/>
      </c>
      <c r="R118" s="25">
        <f>IF(($L$5-1)&lt;1,"",IF(115&lt;=($L$5-1),G118,INDEX($G$4:$G$603,($L$5-1))))</f>
        <v/>
      </c>
      <c r="S118" s="25">
        <f>IF(($L$5-2)&lt;1,"",IF(115&lt;=($L$5-2),H118,INDEX($H$4:$H$603,($L$5-2))))</f>
        <v/>
      </c>
      <c r="T118" s="25">
        <f>IF(($L$5-2)&lt;1,"",IF(115&lt;=($L$5-2),I118,INDEX($I$4:$I$603,($L$5-2))))</f>
        <v/>
      </c>
    </row>
    <row r="119">
      <c r="A119" s="43" t="n"/>
      <c r="B119" s="43" t="n"/>
      <c r="C119" s="37">
        <f>IF(OR(A119="",A120=""),"",A120-A119)</f>
        <v/>
      </c>
      <c r="D119" s="37">
        <f>IF(C119="","",B120-B119)</f>
        <v/>
      </c>
      <c r="E119" s="37">
        <f>IF(C119="","",(A119+A120)/2)</f>
        <v/>
      </c>
      <c r="F119" s="25">
        <f>IF(OR(C119="",C119=0),"",D119/C119)</f>
        <v/>
      </c>
      <c r="G119" s="25">
        <f>IF(C119="","",D119/$L$6)</f>
        <v/>
      </c>
      <c r="H119" s="37">
        <f>IF(OR(F119="",F120=""),"",(E119+E120)/2)</f>
        <v/>
      </c>
      <c r="I119" s="25">
        <f>IF(H119="","",(F120-F119)/(E120-E119))</f>
        <v/>
      </c>
      <c r="P119" s="25">
        <f>IF(($L$5-1)&lt;1,"",IF(116&lt;=($L$5-1),E119,INDEX($E$4:$E$603,($L$5-1))))</f>
        <v/>
      </c>
      <c r="Q119" s="25">
        <f>IF(($L$5-1)&lt;1,"",IF(116&lt;=($L$5-1),F119,INDEX($F$4:$F$603,($L$5-1))))</f>
        <v/>
      </c>
      <c r="R119" s="25">
        <f>IF(($L$5-1)&lt;1,"",IF(116&lt;=($L$5-1),G119,INDEX($G$4:$G$603,($L$5-1))))</f>
        <v/>
      </c>
      <c r="S119" s="25">
        <f>IF(($L$5-2)&lt;1,"",IF(116&lt;=($L$5-2),H119,INDEX($H$4:$H$603,($L$5-2))))</f>
        <v/>
      </c>
      <c r="T119" s="25">
        <f>IF(($L$5-2)&lt;1,"",IF(116&lt;=($L$5-2),I119,INDEX($I$4:$I$603,($L$5-2))))</f>
        <v/>
      </c>
    </row>
    <row r="120">
      <c r="A120" s="43" t="n"/>
      <c r="B120" s="43" t="n"/>
      <c r="C120" s="37">
        <f>IF(OR(A120="",A121=""),"",A121-A120)</f>
        <v/>
      </c>
      <c r="D120" s="37">
        <f>IF(C120="","",B121-B120)</f>
        <v/>
      </c>
      <c r="E120" s="37">
        <f>IF(C120="","",(A120+A121)/2)</f>
        <v/>
      </c>
      <c r="F120" s="25">
        <f>IF(OR(C120="",C120=0),"",D120/C120)</f>
        <v/>
      </c>
      <c r="G120" s="25">
        <f>IF(C120="","",D120/$L$6)</f>
        <v/>
      </c>
      <c r="H120" s="37">
        <f>IF(OR(F120="",F121=""),"",(E120+E121)/2)</f>
        <v/>
      </c>
      <c r="I120" s="25">
        <f>IF(H120="","",(F121-F120)/(E121-E120))</f>
        <v/>
      </c>
      <c r="P120" s="25">
        <f>IF(($L$5-1)&lt;1,"",IF(117&lt;=($L$5-1),E120,INDEX($E$4:$E$603,($L$5-1))))</f>
        <v/>
      </c>
      <c r="Q120" s="25">
        <f>IF(($L$5-1)&lt;1,"",IF(117&lt;=($L$5-1),F120,INDEX($F$4:$F$603,($L$5-1))))</f>
        <v/>
      </c>
      <c r="R120" s="25">
        <f>IF(($L$5-1)&lt;1,"",IF(117&lt;=($L$5-1),G120,INDEX($G$4:$G$603,($L$5-1))))</f>
        <v/>
      </c>
      <c r="S120" s="25">
        <f>IF(($L$5-2)&lt;1,"",IF(117&lt;=($L$5-2),H120,INDEX($H$4:$H$603,($L$5-2))))</f>
        <v/>
      </c>
      <c r="T120" s="25">
        <f>IF(($L$5-2)&lt;1,"",IF(117&lt;=($L$5-2),I120,INDEX($I$4:$I$603,($L$5-2))))</f>
        <v/>
      </c>
    </row>
    <row r="121">
      <c r="A121" s="43" t="n"/>
      <c r="B121" s="43" t="n"/>
      <c r="C121" s="37">
        <f>IF(OR(A121="",A122=""),"",A122-A121)</f>
        <v/>
      </c>
      <c r="D121" s="37">
        <f>IF(C121="","",B122-B121)</f>
        <v/>
      </c>
      <c r="E121" s="37">
        <f>IF(C121="","",(A121+A122)/2)</f>
        <v/>
      </c>
      <c r="F121" s="25">
        <f>IF(OR(C121="",C121=0),"",D121/C121)</f>
        <v/>
      </c>
      <c r="G121" s="25">
        <f>IF(C121="","",D121/$L$6)</f>
        <v/>
      </c>
      <c r="H121" s="37">
        <f>IF(OR(F121="",F122=""),"",(E121+E122)/2)</f>
        <v/>
      </c>
      <c r="I121" s="25">
        <f>IF(H121="","",(F122-F121)/(E122-E121))</f>
        <v/>
      </c>
      <c r="P121" s="25">
        <f>IF(($L$5-1)&lt;1,"",IF(118&lt;=($L$5-1),E121,INDEX($E$4:$E$603,($L$5-1))))</f>
        <v/>
      </c>
      <c r="Q121" s="25">
        <f>IF(($L$5-1)&lt;1,"",IF(118&lt;=($L$5-1),F121,INDEX($F$4:$F$603,($L$5-1))))</f>
        <v/>
      </c>
      <c r="R121" s="25">
        <f>IF(($L$5-1)&lt;1,"",IF(118&lt;=($L$5-1),G121,INDEX($G$4:$G$603,($L$5-1))))</f>
        <v/>
      </c>
      <c r="S121" s="25">
        <f>IF(($L$5-2)&lt;1,"",IF(118&lt;=($L$5-2),H121,INDEX($H$4:$H$603,($L$5-2))))</f>
        <v/>
      </c>
      <c r="T121" s="25">
        <f>IF(($L$5-2)&lt;1,"",IF(118&lt;=($L$5-2),I121,INDEX($I$4:$I$603,($L$5-2))))</f>
        <v/>
      </c>
    </row>
    <row r="122">
      <c r="A122" s="43" t="n"/>
      <c r="B122" s="43" t="n"/>
      <c r="C122" s="37">
        <f>IF(OR(A122="",A123=""),"",A123-A122)</f>
        <v/>
      </c>
      <c r="D122" s="37">
        <f>IF(C122="","",B123-B122)</f>
        <v/>
      </c>
      <c r="E122" s="37">
        <f>IF(C122="","",(A122+A123)/2)</f>
        <v/>
      </c>
      <c r="F122" s="25">
        <f>IF(OR(C122="",C122=0),"",D122/C122)</f>
        <v/>
      </c>
      <c r="G122" s="25">
        <f>IF(C122="","",D122/$L$6)</f>
        <v/>
      </c>
      <c r="H122" s="37">
        <f>IF(OR(F122="",F123=""),"",(E122+E123)/2)</f>
        <v/>
      </c>
      <c r="I122" s="25">
        <f>IF(H122="","",(F123-F122)/(E123-E122))</f>
        <v/>
      </c>
      <c r="P122" s="25">
        <f>IF(($L$5-1)&lt;1,"",IF(119&lt;=($L$5-1),E122,INDEX($E$4:$E$603,($L$5-1))))</f>
        <v/>
      </c>
      <c r="Q122" s="25">
        <f>IF(($L$5-1)&lt;1,"",IF(119&lt;=($L$5-1),F122,INDEX($F$4:$F$603,($L$5-1))))</f>
        <v/>
      </c>
      <c r="R122" s="25">
        <f>IF(($L$5-1)&lt;1,"",IF(119&lt;=($L$5-1),G122,INDEX($G$4:$G$603,($L$5-1))))</f>
        <v/>
      </c>
      <c r="S122" s="25">
        <f>IF(($L$5-2)&lt;1,"",IF(119&lt;=($L$5-2),H122,INDEX($H$4:$H$603,($L$5-2))))</f>
        <v/>
      </c>
      <c r="T122" s="25">
        <f>IF(($L$5-2)&lt;1,"",IF(119&lt;=($L$5-2),I122,INDEX($I$4:$I$603,($L$5-2))))</f>
        <v/>
      </c>
    </row>
    <row r="123">
      <c r="A123" s="43" t="n"/>
      <c r="B123" s="43" t="n"/>
      <c r="C123" s="37">
        <f>IF(OR(A123="",A124=""),"",A124-A123)</f>
        <v/>
      </c>
      <c r="D123" s="37">
        <f>IF(C123="","",B124-B123)</f>
        <v/>
      </c>
      <c r="E123" s="37">
        <f>IF(C123="","",(A123+A124)/2)</f>
        <v/>
      </c>
      <c r="F123" s="25">
        <f>IF(OR(C123="",C123=0),"",D123/C123)</f>
        <v/>
      </c>
      <c r="G123" s="25">
        <f>IF(C123="","",D123/$L$6)</f>
        <v/>
      </c>
      <c r="H123" s="37">
        <f>IF(OR(F123="",F124=""),"",(E123+E124)/2)</f>
        <v/>
      </c>
      <c r="I123" s="25">
        <f>IF(H123="","",(F124-F123)/(E124-E123))</f>
        <v/>
      </c>
      <c r="P123" s="25">
        <f>IF(($L$5-1)&lt;1,"",IF(120&lt;=($L$5-1),E123,INDEX($E$4:$E$603,($L$5-1))))</f>
        <v/>
      </c>
      <c r="Q123" s="25">
        <f>IF(($L$5-1)&lt;1,"",IF(120&lt;=($L$5-1),F123,INDEX($F$4:$F$603,($L$5-1))))</f>
        <v/>
      </c>
      <c r="R123" s="25">
        <f>IF(($L$5-1)&lt;1,"",IF(120&lt;=($L$5-1),G123,INDEX($G$4:$G$603,($L$5-1))))</f>
        <v/>
      </c>
      <c r="S123" s="25">
        <f>IF(($L$5-2)&lt;1,"",IF(120&lt;=($L$5-2),H123,INDEX($H$4:$H$603,($L$5-2))))</f>
        <v/>
      </c>
      <c r="T123" s="25">
        <f>IF(($L$5-2)&lt;1,"",IF(120&lt;=($L$5-2),I123,INDEX($I$4:$I$603,($L$5-2))))</f>
        <v/>
      </c>
    </row>
    <row r="124">
      <c r="A124" s="43" t="n"/>
      <c r="B124" s="43" t="n"/>
      <c r="C124" s="37">
        <f>IF(OR(A124="",A125=""),"",A125-A124)</f>
        <v/>
      </c>
      <c r="D124" s="37">
        <f>IF(C124="","",B125-B124)</f>
        <v/>
      </c>
      <c r="E124" s="37">
        <f>IF(C124="","",(A124+A125)/2)</f>
        <v/>
      </c>
      <c r="F124" s="25">
        <f>IF(OR(C124="",C124=0),"",D124/C124)</f>
        <v/>
      </c>
      <c r="G124" s="25">
        <f>IF(C124="","",D124/$L$6)</f>
        <v/>
      </c>
      <c r="H124" s="37">
        <f>IF(OR(F124="",F125=""),"",(E124+E125)/2)</f>
        <v/>
      </c>
      <c r="I124" s="25">
        <f>IF(H124="","",(F125-F124)/(E125-E124))</f>
        <v/>
      </c>
      <c r="P124" s="25">
        <f>IF(($L$5-1)&lt;1,"",IF(121&lt;=($L$5-1),E124,INDEX($E$4:$E$603,($L$5-1))))</f>
        <v/>
      </c>
      <c r="Q124" s="25">
        <f>IF(($L$5-1)&lt;1,"",IF(121&lt;=($L$5-1),F124,INDEX($F$4:$F$603,($L$5-1))))</f>
        <v/>
      </c>
      <c r="R124" s="25">
        <f>IF(($L$5-1)&lt;1,"",IF(121&lt;=($L$5-1),G124,INDEX($G$4:$G$603,($L$5-1))))</f>
        <v/>
      </c>
      <c r="S124" s="25">
        <f>IF(($L$5-2)&lt;1,"",IF(121&lt;=($L$5-2),H124,INDEX($H$4:$H$603,($L$5-2))))</f>
        <v/>
      </c>
      <c r="T124" s="25">
        <f>IF(($L$5-2)&lt;1,"",IF(121&lt;=($L$5-2),I124,INDEX($I$4:$I$603,($L$5-2))))</f>
        <v/>
      </c>
    </row>
    <row r="125">
      <c r="A125" s="43" t="n"/>
      <c r="B125" s="43" t="n"/>
      <c r="C125" s="37">
        <f>IF(OR(A125="",A126=""),"",A126-A125)</f>
        <v/>
      </c>
      <c r="D125" s="37">
        <f>IF(C125="","",B126-B125)</f>
        <v/>
      </c>
      <c r="E125" s="37">
        <f>IF(C125="","",(A125+A126)/2)</f>
        <v/>
      </c>
      <c r="F125" s="25">
        <f>IF(OR(C125="",C125=0),"",D125/C125)</f>
        <v/>
      </c>
      <c r="G125" s="25">
        <f>IF(C125="","",D125/$L$6)</f>
        <v/>
      </c>
      <c r="H125" s="37">
        <f>IF(OR(F125="",F126=""),"",(E125+E126)/2)</f>
        <v/>
      </c>
      <c r="I125" s="25">
        <f>IF(H125="","",(F126-F125)/(E126-E125))</f>
        <v/>
      </c>
      <c r="P125" s="25">
        <f>IF(($L$5-1)&lt;1,"",IF(122&lt;=($L$5-1),E125,INDEX($E$4:$E$603,($L$5-1))))</f>
        <v/>
      </c>
      <c r="Q125" s="25">
        <f>IF(($L$5-1)&lt;1,"",IF(122&lt;=($L$5-1),F125,INDEX($F$4:$F$603,($L$5-1))))</f>
        <v/>
      </c>
      <c r="R125" s="25">
        <f>IF(($L$5-1)&lt;1,"",IF(122&lt;=($L$5-1),G125,INDEX($G$4:$G$603,($L$5-1))))</f>
        <v/>
      </c>
      <c r="S125" s="25">
        <f>IF(($L$5-2)&lt;1,"",IF(122&lt;=($L$5-2),H125,INDEX($H$4:$H$603,($L$5-2))))</f>
        <v/>
      </c>
      <c r="T125" s="25">
        <f>IF(($L$5-2)&lt;1,"",IF(122&lt;=($L$5-2),I125,INDEX($I$4:$I$603,($L$5-2))))</f>
        <v/>
      </c>
    </row>
    <row r="126">
      <c r="A126" s="43" t="n"/>
      <c r="B126" s="43" t="n"/>
      <c r="C126" s="37">
        <f>IF(OR(A126="",A127=""),"",A127-A126)</f>
        <v/>
      </c>
      <c r="D126" s="37">
        <f>IF(C126="","",B127-B126)</f>
        <v/>
      </c>
      <c r="E126" s="37">
        <f>IF(C126="","",(A126+A127)/2)</f>
        <v/>
      </c>
      <c r="F126" s="25">
        <f>IF(OR(C126="",C126=0),"",D126/C126)</f>
        <v/>
      </c>
      <c r="G126" s="25">
        <f>IF(C126="","",D126/$L$6)</f>
        <v/>
      </c>
      <c r="H126" s="37">
        <f>IF(OR(F126="",F127=""),"",(E126+E127)/2)</f>
        <v/>
      </c>
      <c r="I126" s="25">
        <f>IF(H126="","",(F127-F126)/(E127-E126))</f>
        <v/>
      </c>
      <c r="P126" s="25">
        <f>IF(($L$5-1)&lt;1,"",IF(123&lt;=($L$5-1),E126,INDEX($E$4:$E$603,($L$5-1))))</f>
        <v/>
      </c>
      <c r="Q126" s="25">
        <f>IF(($L$5-1)&lt;1,"",IF(123&lt;=($L$5-1),F126,INDEX($F$4:$F$603,($L$5-1))))</f>
        <v/>
      </c>
      <c r="R126" s="25">
        <f>IF(($L$5-1)&lt;1,"",IF(123&lt;=($L$5-1),G126,INDEX($G$4:$G$603,($L$5-1))))</f>
        <v/>
      </c>
      <c r="S126" s="25">
        <f>IF(($L$5-2)&lt;1,"",IF(123&lt;=($L$5-2),H126,INDEX($H$4:$H$603,($L$5-2))))</f>
        <v/>
      </c>
      <c r="T126" s="25">
        <f>IF(($L$5-2)&lt;1,"",IF(123&lt;=($L$5-2),I126,INDEX($I$4:$I$603,($L$5-2))))</f>
        <v/>
      </c>
    </row>
    <row r="127">
      <c r="A127" s="43" t="n"/>
      <c r="B127" s="43" t="n"/>
      <c r="C127" s="37">
        <f>IF(OR(A127="",A128=""),"",A128-A127)</f>
        <v/>
      </c>
      <c r="D127" s="37">
        <f>IF(C127="","",B128-B127)</f>
        <v/>
      </c>
      <c r="E127" s="37">
        <f>IF(C127="","",(A127+A128)/2)</f>
        <v/>
      </c>
      <c r="F127" s="25">
        <f>IF(OR(C127="",C127=0),"",D127/C127)</f>
        <v/>
      </c>
      <c r="G127" s="25">
        <f>IF(C127="","",D127/$L$6)</f>
        <v/>
      </c>
      <c r="H127" s="37">
        <f>IF(OR(F127="",F128=""),"",(E127+E128)/2)</f>
        <v/>
      </c>
      <c r="I127" s="25">
        <f>IF(H127="","",(F128-F127)/(E128-E127))</f>
        <v/>
      </c>
      <c r="P127" s="25">
        <f>IF(($L$5-1)&lt;1,"",IF(124&lt;=($L$5-1),E127,INDEX($E$4:$E$603,($L$5-1))))</f>
        <v/>
      </c>
      <c r="Q127" s="25">
        <f>IF(($L$5-1)&lt;1,"",IF(124&lt;=($L$5-1),F127,INDEX($F$4:$F$603,($L$5-1))))</f>
        <v/>
      </c>
      <c r="R127" s="25">
        <f>IF(($L$5-1)&lt;1,"",IF(124&lt;=($L$5-1),G127,INDEX($G$4:$G$603,($L$5-1))))</f>
        <v/>
      </c>
      <c r="S127" s="25">
        <f>IF(($L$5-2)&lt;1,"",IF(124&lt;=($L$5-2),H127,INDEX($H$4:$H$603,($L$5-2))))</f>
        <v/>
      </c>
      <c r="T127" s="25">
        <f>IF(($L$5-2)&lt;1,"",IF(124&lt;=($L$5-2),I127,INDEX($I$4:$I$603,($L$5-2))))</f>
        <v/>
      </c>
    </row>
    <row r="128">
      <c r="A128" s="43" t="n"/>
      <c r="B128" s="43" t="n"/>
      <c r="C128" s="37">
        <f>IF(OR(A128="",A129=""),"",A129-A128)</f>
        <v/>
      </c>
      <c r="D128" s="37">
        <f>IF(C128="","",B129-B128)</f>
        <v/>
      </c>
      <c r="E128" s="37">
        <f>IF(C128="","",(A128+A129)/2)</f>
        <v/>
      </c>
      <c r="F128" s="25">
        <f>IF(OR(C128="",C128=0),"",D128/C128)</f>
        <v/>
      </c>
      <c r="G128" s="25">
        <f>IF(C128="","",D128/$L$6)</f>
        <v/>
      </c>
      <c r="H128" s="37">
        <f>IF(OR(F128="",F129=""),"",(E128+E129)/2)</f>
        <v/>
      </c>
      <c r="I128" s="25">
        <f>IF(H128="","",(F129-F128)/(E129-E128))</f>
        <v/>
      </c>
      <c r="P128" s="25">
        <f>IF(($L$5-1)&lt;1,"",IF(125&lt;=($L$5-1),E128,INDEX($E$4:$E$603,($L$5-1))))</f>
        <v/>
      </c>
      <c r="Q128" s="25">
        <f>IF(($L$5-1)&lt;1,"",IF(125&lt;=($L$5-1),F128,INDEX($F$4:$F$603,($L$5-1))))</f>
        <v/>
      </c>
      <c r="R128" s="25">
        <f>IF(($L$5-1)&lt;1,"",IF(125&lt;=($L$5-1),G128,INDEX($G$4:$G$603,($L$5-1))))</f>
        <v/>
      </c>
      <c r="S128" s="25">
        <f>IF(($L$5-2)&lt;1,"",IF(125&lt;=($L$5-2),H128,INDEX($H$4:$H$603,($L$5-2))))</f>
        <v/>
      </c>
      <c r="T128" s="25">
        <f>IF(($L$5-2)&lt;1,"",IF(125&lt;=($L$5-2),I128,INDEX($I$4:$I$603,($L$5-2))))</f>
        <v/>
      </c>
    </row>
    <row r="129">
      <c r="A129" s="43" t="n"/>
      <c r="B129" s="43" t="n"/>
      <c r="C129" s="37">
        <f>IF(OR(A129="",A130=""),"",A130-A129)</f>
        <v/>
      </c>
      <c r="D129" s="37">
        <f>IF(C129="","",B130-B129)</f>
        <v/>
      </c>
      <c r="E129" s="37">
        <f>IF(C129="","",(A129+A130)/2)</f>
        <v/>
      </c>
      <c r="F129" s="25">
        <f>IF(OR(C129="",C129=0),"",D129/C129)</f>
        <v/>
      </c>
      <c r="G129" s="25">
        <f>IF(C129="","",D129/$L$6)</f>
        <v/>
      </c>
      <c r="H129" s="37">
        <f>IF(OR(F129="",F130=""),"",(E129+E130)/2)</f>
        <v/>
      </c>
      <c r="I129" s="25">
        <f>IF(H129="","",(F130-F129)/(E130-E129))</f>
        <v/>
      </c>
      <c r="P129" s="25">
        <f>IF(($L$5-1)&lt;1,"",IF(126&lt;=($L$5-1),E129,INDEX($E$4:$E$603,($L$5-1))))</f>
        <v/>
      </c>
      <c r="Q129" s="25">
        <f>IF(($L$5-1)&lt;1,"",IF(126&lt;=($L$5-1),F129,INDEX($F$4:$F$603,($L$5-1))))</f>
        <v/>
      </c>
      <c r="R129" s="25">
        <f>IF(($L$5-1)&lt;1,"",IF(126&lt;=($L$5-1),G129,INDEX($G$4:$G$603,($L$5-1))))</f>
        <v/>
      </c>
      <c r="S129" s="25">
        <f>IF(($L$5-2)&lt;1,"",IF(126&lt;=($L$5-2),H129,INDEX($H$4:$H$603,($L$5-2))))</f>
        <v/>
      </c>
      <c r="T129" s="25">
        <f>IF(($L$5-2)&lt;1,"",IF(126&lt;=($L$5-2),I129,INDEX($I$4:$I$603,($L$5-2))))</f>
        <v/>
      </c>
    </row>
    <row r="130">
      <c r="A130" s="43" t="n"/>
      <c r="B130" s="43" t="n"/>
      <c r="C130" s="37">
        <f>IF(OR(A130="",A131=""),"",A131-A130)</f>
        <v/>
      </c>
      <c r="D130" s="37">
        <f>IF(C130="","",B131-B130)</f>
        <v/>
      </c>
      <c r="E130" s="37">
        <f>IF(C130="","",(A130+A131)/2)</f>
        <v/>
      </c>
      <c r="F130" s="25">
        <f>IF(OR(C130="",C130=0),"",D130/C130)</f>
        <v/>
      </c>
      <c r="G130" s="25">
        <f>IF(C130="","",D130/$L$6)</f>
        <v/>
      </c>
      <c r="H130" s="37">
        <f>IF(OR(F130="",F131=""),"",(E130+E131)/2)</f>
        <v/>
      </c>
      <c r="I130" s="25">
        <f>IF(H130="","",(F131-F130)/(E131-E130))</f>
        <v/>
      </c>
      <c r="P130" s="25">
        <f>IF(($L$5-1)&lt;1,"",IF(127&lt;=($L$5-1),E130,INDEX($E$4:$E$603,($L$5-1))))</f>
        <v/>
      </c>
      <c r="Q130" s="25">
        <f>IF(($L$5-1)&lt;1,"",IF(127&lt;=($L$5-1),F130,INDEX($F$4:$F$603,($L$5-1))))</f>
        <v/>
      </c>
      <c r="R130" s="25">
        <f>IF(($L$5-1)&lt;1,"",IF(127&lt;=($L$5-1),G130,INDEX($G$4:$G$603,($L$5-1))))</f>
        <v/>
      </c>
      <c r="S130" s="25">
        <f>IF(($L$5-2)&lt;1,"",IF(127&lt;=($L$5-2),H130,INDEX($H$4:$H$603,($L$5-2))))</f>
        <v/>
      </c>
      <c r="T130" s="25">
        <f>IF(($L$5-2)&lt;1,"",IF(127&lt;=($L$5-2),I130,INDEX($I$4:$I$603,($L$5-2))))</f>
        <v/>
      </c>
    </row>
    <row r="131">
      <c r="A131" s="43" t="n"/>
      <c r="B131" s="43" t="n"/>
      <c r="C131" s="37">
        <f>IF(OR(A131="",A132=""),"",A132-A131)</f>
        <v/>
      </c>
      <c r="D131" s="37">
        <f>IF(C131="","",B132-B131)</f>
        <v/>
      </c>
      <c r="E131" s="37">
        <f>IF(C131="","",(A131+A132)/2)</f>
        <v/>
      </c>
      <c r="F131" s="25">
        <f>IF(OR(C131="",C131=0),"",D131/C131)</f>
        <v/>
      </c>
      <c r="G131" s="25">
        <f>IF(C131="","",D131/$L$6)</f>
        <v/>
      </c>
      <c r="H131" s="37">
        <f>IF(OR(F131="",F132=""),"",(E131+E132)/2)</f>
        <v/>
      </c>
      <c r="I131" s="25">
        <f>IF(H131="","",(F132-F131)/(E132-E131))</f>
        <v/>
      </c>
      <c r="P131" s="25">
        <f>IF(($L$5-1)&lt;1,"",IF(128&lt;=($L$5-1),E131,INDEX($E$4:$E$603,($L$5-1))))</f>
        <v/>
      </c>
      <c r="Q131" s="25">
        <f>IF(($L$5-1)&lt;1,"",IF(128&lt;=($L$5-1),F131,INDEX($F$4:$F$603,($L$5-1))))</f>
        <v/>
      </c>
      <c r="R131" s="25">
        <f>IF(($L$5-1)&lt;1,"",IF(128&lt;=($L$5-1),G131,INDEX($G$4:$G$603,($L$5-1))))</f>
        <v/>
      </c>
      <c r="S131" s="25">
        <f>IF(($L$5-2)&lt;1,"",IF(128&lt;=($L$5-2),H131,INDEX($H$4:$H$603,($L$5-2))))</f>
        <v/>
      </c>
      <c r="T131" s="25">
        <f>IF(($L$5-2)&lt;1,"",IF(128&lt;=($L$5-2),I131,INDEX($I$4:$I$603,($L$5-2))))</f>
        <v/>
      </c>
    </row>
    <row r="132">
      <c r="A132" s="43" t="n"/>
      <c r="B132" s="43" t="n"/>
      <c r="C132" s="37">
        <f>IF(OR(A132="",A133=""),"",A133-A132)</f>
        <v/>
      </c>
      <c r="D132" s="37">
        <f>IF(C132="","",B133-B132)</f>
        <v/>
      </c>
      <c r="E132" s="37">
        <f>IF(C132="","",(A132+A133)/2)</f>
        <v/>
      </c>
      <c r="F132" s="25">
        <f>IF(OR(C132="",C132=0),"",D132/C132)</f>
        <v/>
      </c>
      <c r="G132" s="25">
        <f>IF(C132="","",D132/$L$6)</f>
        <v/>
      </c>
      <c r="H132" s="37">
        <f>IF(OR(F132="",F133=""),"",(E132+E133)/2)</f>
        <v/>
      </c>
      <c r="I132" s="25">
        <f>IF(H132="","",(F133-F132)/(E133-E132))</f>
        <v/>
      </c>
      <c r="P132" s="25">
        <f>IF(($L$5-1)&lt;1,"",IF(129&lt;=($L$5-1),E132,INDEX($E$4:$E$603,($L$5-1))))</f>
        <v/>
      </c>
      <c r="Q132" s="25">
        <f>IF(($L$5-1)&lt;1,"",IF(129&lt;=($L$5-1),F132,INDEX($F$4:$F$603,($L$5-1))))</f>
        <v/>
      </c>
      <c r="R132" s="25">
        <f>IF(($L$5-1)&lt;1,"",IF(129&lt;=($L$5-1),G132,INDEX($G$4:$G$603,($L$5-1))))</f>
        <v/>
      </c>
      <c r="S132" s="25">
        <f>IF(($L$5-2)&lt;1,"",IF(129&lt;=($L$5-2),H132,INDEX($H$4:$H$603,($L$5-2))))</f>
        <v/>
      </c>
      <c r="T132" s="25">
        <f>IF(($L$5-2)&lt;1,"",IF(129&lt;=($L$5-2),I132,INDEX($I$4:$I$603,($L$5-2))))</f>
        <v/>
      </c>
    </row>
    <row r="133">
      <c r="A133" s="43" t="n"/>
      <c r="B133" s="43" t="n"/>
      <c r="C133" s="37">
        <f>IF(OR(A133="",A134=""),"",A134-A133)</f>
        <v/>
      </c>
      <c r="D133" s="37">
        <f>IF(C133="","",B134-B133)</f>
        <v/>
      </c>
      <c r="E133" s="37">
        <f>IF(C133="","",(A133+A134)/2)</f>
        <v/>
      </c>
      <c r="F133" s="25">
        <f>IF(OR(C133="",C133=0),"",D133/C133)</f>
        <v/>
      </c>
      <c r="G133" s="25">
        <f>IF(C133="","",D133/$L$6)</f>
        <v/>
      </c>
      <c r="H133" s="37">
        <f>IF(OR(F133="",F134=""),"",(E133+E134)/2)</f>
        <v/>
      </c>
      <c r="I133" s="25">
        <f>IF(H133="","",(F134-F133)/(E134-E133))</f>
        <v/>
      </c>
      <c r="P133" s="25">
        <f>IF(($L$5-1)&lt;1,"",IF(130&lt;=($L$5-1),E133,INDEX($E$4:$E$603,($L$5-1))))</f>
        <v/>
      </c>
      <c r="Q133" s="25">
        <f>IF(($L$5-1)&lt;1,"",IF(130&lt;=($L$5-1),F133,INDEX($F$4:$F$603,($L$5-1))))</f>
        <v/>
      </c>
      <c r="R133" s="25">
        <f>IF(($L$5-1)&lt;1,"",IF(130&lt;=($L$5-1),G133,INDEX($G$4:$G$603,($L$5-1))))</f>
        <v/>
      </c>
      <c r="S133" s="25">
        <f>IF(($L$5-2)&lt;1,"",IF(130&lt;=($L$5-2),H133,INDEX($H$4:$H$603,($L$5-2))))</f>
        <v/>
      </c>
      <c r="T133" s="25">
        <f>IF(($L$5-2)&lt;1,"",IF(130&lt;=($L$5-2),I133,INDEX($I$4:$I$603,($L$5-2))))</f>
        <v/>
      </c>
    </row>
    <row r="134">
      <c r="A134" s="43" t="n"/>
      <c r="B134" s="43" t="n"/>
      <c r="C134" s="37">
        <f>IF(OR(A134="",A135=""),"",A135-A134)</f>
        <v/>
      </c>
      <c r="D134" s="37">
        <f>IF(C134="","",B135-B134)</f>
        <v/>
      </c>
      <c r="E134" s="37">
        <f>IF(C134="","",(A134+A135)/2)</f>
        <v/>
      </c>
      <c r="F134" s="25">
        <f>IF(OR(C134="",C134=0),"",D134/C134)</f>
        <v/>
      </c>
      <c r="G134" s="25">
        <f>IF(C134="","",D134/$L$6)</f>
        <v/>
      </c>
      <c r="H134" s="37">
        <f>IF(OR(F134="",F135=""),"",(E134+E135)/2)</f>
        <v/>
      </c>
      <c r="I134" s="25">
        <f>IF(H134="","",(F135-F134)/(E135-E134))</f>
        <v/>
      </c>
      <c r="P134" s="25">
        <f>IF(($L$5-1)&lt;1,"",IF(131&lt;=($L$5-1),E134,INDEX($E$4:$E$603,($L$5-1))))</f>
        <v/>
      </c>
      <c r="Q134" s="25">
        <f>IF(($L$5-1)&lt;1,"",IF(131&lt;=($L$5-1),F134,INDEX($F$4:$F$603,($L$5-1))))</f>
        <v/>
      </c>
      <c r="R134" s="25">
        <f>IF(($L$5-1)&lt;1,"",IF(131&lt;=($L$5-1),G134,INDEX($G$4:$G$603,($L$5-1))))</f>
        <v/>
      </c>
      <c r="S134" s="25">
        <f>IF(($L$5-2)&lt;1,"",IF(131&lt;=($L$5-2),H134,INDEX($H$4:$H$603,($L$5-2))))</f>
        <v/>
      </c>
      <c r="T134" s="25">
        <f>IF(($L$5-2)&lt;1,"",IF(131&lt;=($L$5-2),I134,INDEX($I$4:$I$603,($L$5-2))))</f>
        <v/>
      </c>
    </row>
    <row r="135">
      <c r="A135" s="43" t="n"/>
      <c r="B135" s="43" t="n"/>
      <c r="C135" s="37">
        <f>IF(OR(A135="",A136=""),"",A136-A135)</f>
        <v/>
      </c>
      <c r="D135" s="37">
        <f>IF(C135="","",B136-B135)</f>
        <v/>
      </c>
      <c r="E135" s="37">
        <f>IF(C135="","",(A135+A136)/2)</f>
        <v/>
      </c>
      <c r="F135" s="25">
        <f>IF(OR(C135="",C135=0),"",D135/C135)</f>
        <v/>
      </c>
      <c r="G135" s="25">
        <f>IF(C135="","",D135/$L$6)</f>
        <v/>
      </c>
      <c r="H135" s="37">
        <f>IF(OR(F135="",F136=""),"",(E135+E136)/2)</f>
        <v/>
      </c>
      <c r="I135" s="25">
        <f>IF(H135="","",(F136-F135)/(E136-E135))</f>
        <v/>
      </c>
      <c r="P135" s="25">
        <f>IF(($L$5-1)&lt;1,"",IF(132&lt;=($L$5-1),E135,INDEX($E$4:$E$603,($L$5-1))))</f>
        <v/>
      </c>
      <c r="Q135" s="25">
        <f>IF(($L$5-1)&lt;1,"",IF(132&lt;=($L$5-1),F135,INDEX($F$4:$F$603,($L$5-1))))</f>
        <v/>
      </c>
      <c r="R135" s="25">
        <f>IF(($L$5-1)&lt;1,"",IF(132&lt;=($L$5-1),G135,INDEX($G$4:$G$603,($L$5-1))))</f>
        <v/>
      </c>
      <c r="S135" s="25">
        <f>IF(($L$5-2)&lt;1,"",IF(132&lt;=($L$5-2),H135,INDEX($H$4:$H$603,($L$5-2))))</f>
        <v/>
      </c>
      <c r="T135" s="25">
        <f>IF(($L$5-2)&lt;1,"",IF(132&lt;=($L$5-2),I135,INDEX($I$4:$I$603,($L$5-2))))</f>
        <v/>
      </c>
    </row>
    <row r="136">
      <c r="A136" s="43" t="n"/>
      <c r="B136" s="43" t="n"/>
      <c r="C136" s="37">
        <f>IF(OR(A136="",A137=""),"",A137-A136)</f>
        <v/>
      </c>
      <c r="D136" s="37">
        <f>IF(C136="","",B137-B136)</f>
        <v/>
      </c>
      <c r="E136" s="37">
        <f>IF(C136="","",(A136+A137)/2)</f>
        <v/>
      </c>
      <c r="F136" s="25">
        <f>IF(OR(C136="",C136=0),"",D136/C136)</f>
        <v/>
      </c>
      <c r="G136" s="25">
        <f>IF(C136="","",D136/$L$6)</f>
        <v/>
      </c>
      <c r="H136" s="37">
        <f>IF(OR(F136="",F137=""),"",(E136+E137)/2)</f>
        <v/>
      </c>
      <c r="I136" s="25">
        <f>IF(H136="","",(F137-F136)/(E137-E136))</f>
        <v/>
      </c>
      <c r="P136" s="25">
        <f>IF(($L$5-1)&lt;1,"",IF(133&lt;=($L$5-1),E136,INDEX($E$4:$E$603,($L$5-1))))</f>
        <v/>
      </c>
      <c r="Q136" s="25">
        <f>IF(($L$5-1)&lt;1,"",IF(133&lt;=($L$5-1),F136,INDEX($F$4:$F$603,($L$5-1))))</f>
        <v/>
      </c>
      <c r="R136" s="25">
        <f>IF(($L$5-1)&lt;1,"",IF(133&lt;=($L$5-1),G136,INDEX($G$4:$G$603,($L$5-1))))</f>
        <v/>
      </c>
      <c r="S136" s="25">
        <f>IF(($L$5-2)&lt;1,"",IF(133&lt;=($L$5-2),H136,INDEX($H$4:$H$603,($L$5-2))))</f>
        <v/>
      </c>
      <c r="T136" s="25">
        <f>IF(($L$5-2)&lt;1,"",IF(133&lt;=($L$5-2),I136,INDEX($I$4:$I$603,($L$5-2))))</f>
        <v/>
      </c>
    </row>
    <row r="137">
      <c r="A137" s="43" t="n"/>
      <c r="B137" s="43" t="n"/>
      <c r="C137" s="37">
        <f>IF(OR(A137="",A138=""),"",A138-A137)</f>
        <v/>
      </c>
      <c r="D137" s="37">
        <f>IF(C137="","",B138-B137)</f>
        <v/>
      </c>
      <c r="E137" s="37">
        <f>IF(C137="","",(A137+A138)/2)</f>
        <v/>
      </c>
      <c r="F137" s="25">
        <f>IF(OR(C137="",C137=0),"",D137/C137)</f>
        <v/>
      </c>
      <c r="G137" s="25">
        <f>IF(C137="","",D137/$L$6)</f>
        <v/>
      </c>
      <c r="H137" s="37">
        <f>IF(OR(F137="",F138=""),"",(E137+E138)/2)</f>
        <v/>
      </c>
      <c r="I137" s="25">
        <f>IF(H137="","",(F138-F137)/(E138-E137))</f>
        <v/>
      </c>
      <c r="P137" s="25">
        <f>IF(($L$5-1)&lt;1,"",IF(134&lt;=($L$5-1),E137,INDEX($E$4:$E$603,($L$5-1))))</f>
        <v/>
      </c>
      <c r="Q137" s="25">
        <f>IF(($L$5-1)&lt;1,"",IF(134&lt;=($L$5-1),F137,INDEX($F$4:$F$603,($L$5-1))))</f>
        <v/>
      </c>
      <c r="R137" s="25">
        <f>IF(($L$5-1)&lt;1,"",IF(134&lt;=($L$5-1),G137,INDEX($G$4:$G$603,($L$5-1))))</f>
        <v/>
      </c>
      <c r="S137" s="25">
        <f>IF(($L$5-2)&lt;1,"",IF(134&lt;=($L$5-2),H137,INDEX($H$4:$H$603,($L$5-2))))</f>
        <v/>
      </c>
      <c r="T137" s="25">
        <f>IF(($L$5-2)&lt;1,"",IF(134&lt;=($L$5-2),I137,INDEX($I$4:$I$603,($L$5-2))))</f>
        <v/>
      </c>
    </row>
    <row r="138">
      <c r="A138" s="43" t="n"/>
      <c r="B138" s="43" t="n"/>
      <c r="C138" s="37">
        <f>IF(OR(A138="",A139=""),"",A139-A138)</f>
        <v/>
      </c>
      <c r="D138" s="37">
        <f>IF(C138="","",B139-B138)</f>
        <v/>
      </c>
      <c r="E138" s="37">
        <f>IF(C138="","",(A138+A139)/2)</f>
        <v/>
      </c>
      <c r="F138" s="25">
        <f>IF(OR(C138="",C138=0),"",D138/C138)</f>
        <v/>
      </c>
      <c r="G138" s="25">
        <f>IF(C138="","",D138/$L$6)</f>
        <v/>
      </c>
      <c r="H138" s="37">
        <f>IF(OR(F138="",F139=""),"",(E138+E139)/2)</f>
        <v/>
      </c>
      <c r="I138" s="25">
        <f>IF(H138="","",(F139-F138)/(E139-E138))</f>
        <v/>
      </c>
      <c r="P138" s="25">
        <f>IF(($L$5-1)&lt;1,"",IF(135&lt;=($L$5-1),E138,INDEX($E$4:$E$603,($L$5-1))))</f>
        <v/>
      </c>
      <c r="Q138" s="25">
        <f>IF(($L$5-1)&lt;1,"",IF(135&lt;=($L$5-1),F138,INDEX($F$4:$F$603,($L$5-1))))</f>
        <v/>
      </c>
      <c r="R138" s="25">
        <f>IF(($L$5-1)&lt;1,"",IF(135&lt;=($L$5-1),G138,INDEX($G$4:$G$603,($L$5-1))))</f>
        <v/>
      </c>
      <c r="S138" s="25">
        <f>IF(($L$5-2)&lt;1,"",IF(135&lt;=($L$5-2),H138,INDEX($H$4:$H$603,($L$5-2))))</f>
        <v/>
      </c>
      <c r="T138" s="25">
        <f>IF(($L$5-2)&lt;1,"",IF(135&lt;=($L$5-2),I138,INDEX($I$4:$I$603,($L$5-2))))</f>
        <v/>
      </c>
    </row>
    <row r="139">
      <c r="A139" s="43" t="n"/>
      <c r="B139" s="43" t="n"/>
      <c r="C139" s="37">
        <f>IF(OR(A139="",A140=""),"",A140-A139)</f>
        <v/>
      </c>
      <c r="D139" s="37">
        <f>IF(C139="","",B140-B139)</f>
        <v/>
      </c>
      <c r="E139" s="37">
        <f>IF(C139="","",(A139+A140)/2)</f>
        <v/>
      </c>
      <c r="F139" s="25">
        <f>IF(OR(C139="",C139=0),"",D139/C139)</f>
        <v/>
      </c>
      <c r="G139" s="25">
        <f>IF(C139="","",D139/$L$6)</f>
        <v/>
      </c>
      <c r="H139" s="37">
        <f>IF(OR(F139="",F140=""),"",(E139+E140)/2)</f>
        <v/>
      </c>
      <c r="I139" s="25">
        <f>IF(H139="","",(F140-F139)/(E140-E139))</f>
        <v/>
      </c>
      <c r="P139" s="25">
        <f>IF(($L$5-1)&lt;1,"",IF(136&lt;=($L$5-1),E139,INDEX($E$4:$E$603,($L$5-1))))</f>
        <v/>
      </c>
      <c r="Q139" s="25">
        <f>IF(($L$5-1)&lt;1,"",IF(136&lt;=($L$5-1),F139,INDEX($F$4:$F$603,($L$5-1))))</f>
        <v/>
      </c>
      <c r="R139" s="25">
        <f>IF(($L$5-1)&lt;1,"",IF(136&lt;=($L$5-1),G139,INDEX($G$4:$G$603,($L$5-1))))</f>
        <v/>
      </c>
      <c r="S139" s="25">
        <f>IF(($L$5-2)&lt;1,"",IF(136&lt;=($L$5-2),H139,INDEX($H$4:$H$603,($L$5-2))))</f>
        <v/>
      </c>
      <c r="T139" s="25">
        <f>IF(($L$5-2)&lt;1,"",IF(136&lt;=($L$5-2),I139,INDEX($I$4:$I$603,($L$5-2))))</f>
        <v/>
      </c>
    </row>
    <row r="140">
      <c r="A140" s="43" t="n"/>
      <c r="B140" s="43" t="n"/>
      <c r="C140" s="37">
        <f>IF(OR(A140="",A141=""),"",A141-A140)</f>
        <v/>
      </c>
      <c r="D140" s="37">
        <f>IF(C140="","",B141-B140)</f>
        <v/>
      </c>
      <c r="E140" s="37">
        <f>IF(C140="","",(A140+A141)/2)</f>
        <v/>
      </c>
      <c r="F140" s="25">
        <f>IF(OR(C140="",C140=0),"",D140/C140)</f>
        <v/>
      </c>
      <c r="G140" s="25">
        <f>IF(C140="","",D140/$L$6)</f>
        <v/>
      </c>
      <c r="H140" s="37">
        <f>IF(OR(F140="",F141=""),"",(E140+E141)/2)</f>
        <v/>
      </c>
      <c r="I140" s="25">
        <f>IF(H140="","",(F141-F140)/(E141-E140))</f>
        <v/>
      </c>
      <c r="P140" s="25">
        <f>IF(($L$5-1)&lt;1,"",IF(137&lt;=($L$5-1),E140,INDEX($E$4:$E$603,($L$5-1))))</f>
        <v/>
      </c>
      <c r="Q140" s="25">
        <f>IF(($L$5-1)&lt;1,"",IF(137&lt;=($L$5-1),F140,INDEX($F$4:$F$603,($L$5-1))))</f>
        <v/>
      </c>
      <c r="R140" s="25">
        <f>IF(($L$5-1)&lt;1,"",IF(137&lt;=($L$5-1),G140,INDEX($G$4:$G$603,($L$5-1))))</f>
        <v/>
      </c>
      <c r="S140" s="25">
        <f>IF(($L$5-2)&lt;1,"",IF(137&lt;=($L$5-2),H140,INDEX($H$4:$H$603,($L$5-2))))</f>
        <v/>
      </c>
      <c r="T140" s="25">
        <f>IF(($L$5-2)&lt;1,"",IF(137&lt;=($L$5-2),I140,INDEX($I$4:$I$603,($L$5-2))))</f>
        <v/>
      </c>
    </row>
    <row r="141">
      <c r="A141" s="43" t="n"/>
      <c r="B141" s="43" t="n"/>
      <c r="C141" s="37">
        <f>IF(OR(A141="",A142=""),"",A142-A141)</f>
        <v/>
      </c>
      <c r="D141" s="37">
        <f>IF(C141="","",B142-B141)</f>
        <v/>
      </c>
      <c r="E141" s="37">
        <f>IF(C141="","",(A141+A142)/2)</f>
        <v/>
      </c>
      <c r="F141" s="25">
        <f>IF(OR(C141="",C141=0),"",D141/C141)</f>
        <v/>
      </c>
      <c r="G141" s="25">
        <f>IF(C141="","",D141/$L$6)</f>
        <v/>
      </c>
      <c r="H141" s="37">
        <f>IF(OR(F141="",F142=""),"",(E141+E142)/2)</f>
        <v/>
      </c>
      <c r="I141" s="25">
        <f>IF(H141="","",(F142-F141)/(E142-E141))</f>
        <v/>
      </c>
      <c r="P141" s="25">
        <f>IF(($L$5-1)&lt;1,"",IF(138&lt;=($L$5-1),E141,INDEX($E$4:$E$603,($L$5-1))))</f>
        <v/>
      </c>
      <c r="Q141" s="25">
        <f>IF(($L$5-1)&lt;1,"",IF(138&lt;=($L$5-1),F141,INDEX($F$4:$F$603,($L$5-1))))</f>
        <v/>
      </c>
      <c r="R141" s="25">
        <f>IF(($L$5-1)&lt;1,"",IF(138&lt;=($L$5-1),G141,INDEX($G$4:$G$603,($L$5-1))))</f>
        <v/>
      </c>
      <c r="S141" s="25">
        <f>IF(($L$5-2)&lt;1,"",IF(138&lt;=($L$5-2),H141,INDEX($H$4:$H$603,($L$5-2))))</f>
        <v/>
      </c>
      <c r="T141" s="25">
        <f>IF(($L$5-2)&lt;1,"",IF(138&lt;=($L$5-2),I141,INDEX($I$4:$I$603,($L$5-2))))</f>
        <v/>
      </c>
    </row>
    <row r="142">
      <c r="A142" s="43" t="n"/>
      <c r="B142" s="43" t="n"/>
      <c r="C142" s="37">
        <f>IF(OR(A142="",A143=""),"",A143-A142)</f>
        <v/>
      </c>
      <c r="D142" s="37">
        <f>IF(C142="","",B143-B142)</f>
        <v/>
      </c>
      <c r="E142" s="37">
        <f>IF(C142="","",(A142+A143)/2)</f>
        <v/>
      </c>
      <c r="F142" s="25">
        <f>IF(OR(C142="",C142=0),"",D142/C142)</f>
        <v/>
      </c>
      <c r="G142" s="25">
        <f>IF(C142="","",D142/$L$6)</f>
        <v/>
      </c>
      <c r="H142" s="37">
        <f>IF(OR(F142="",F143=""),"",(E142+E143)/2)</f>
        <v/>
      </c>
      <c r="I142" s="25">
        <f>IF(H142="","",(F143-F142)/(E143-E142))</f>
        <v/>
      </c>
      <c r="P142" s="25">
        <f>IF(($L$5-1)&lt;1,"",IF(139&lt;=($L$5-1),E142,INDEX($E$4:$E$603,($L$5-1))))</f>
        <v/>
      </c>
      <c r="Q142" s="25">
        <f>IF(($L$5-1)&lt;1,"",IF(139&lt;=($L$5-1),F142,INDEX($F$4:$F$603,($L$5-1))))</f>
        <v/>
      </c>
      <c r="R142" s="25">
        <f>IF(($L$5-1)&lt;1,"",IF(139&lt;=($L$5-1),G142,INDEX($G$4:$G$603,($L$5-1))))</f>
        <v/>
      </c>
      <c r="S142" s="25">
        <f>IF(($L$5-2)&lt;1,"",IF(139&lt;=($L$5-2),H142,INDEX($H$4:$H$603,($L$5-2))))</f>
        <v/>
      </c>
      <c r="T142" s="25">
        <f>IF(($L$5-2)&lt;1,"",IF(139&lt;=($L$5-2),I142,INDEX($I$4:$I$603,($L$5-2))))</f>
        <v/>
      </c>
    </row>
    <row r="143">
      <c r="A143" s="43" t="n"/>
      <c r="B143" s="43" t="n"/>
      <c r="C143" s="37">
        <f>IF(OR(A143="",A144=""),"",A144-A143)</f>
        <v/>
      </c>
      <c r="D143" s="37">
        <f>IF(C143="","",B144-B143)</f>
        <v/>
      </c>
      <c r="E143" s="37">
        <f>IF(C143="","",(A143+A144)/2)</f>
        <v/>
      </c>
      <c r="F143" s="25">
        <f>IF(OR(C143="",C143=0),"",D143/C143)</f>
        <v/>
      </c>
      <c r="G143" s="25">
        <f>IF(C143="","",D143/$L$6)</f>
        <v/>
      </c>
      <c r="H143" s="37">
        <f>IF(OR(F143="",F144=""),"",(E143+E144)/2)</f>
        <v/>
      </c>
      <c r="I143" s="25">
        <f>IF(H143="","",(F144-F143)/(E144-E143))</f>
        <v/>
      </c>
      <c r="P143" s="25">
        <f>IF(($L$5-1)&lt;1,"",IF(140&lt;=($L$5-1),E143,INDEX($E$4:$E$603,($L$5-1))))</f>
        <v/>
      </c>
      <c r="Q143" s="25">
        <f>IF(($L$5-1)&lt;1,"",IF(140&lt;=($L$5-1),F143,INDEX($F$4:$F$603,($L$5-1))))</f>
        <v/>
      </c>
      <c r="R143" s="25">
        <f>IF(($L$5-1)&lt;1,"",IF(140&lt;=($L$5-1),G143,INDEX($G$4:$G$603,($L$5-1))))</f>
        <v/>
      </c>
      <c r="S143" s="25">
        <f>IF(($L$5-2)&lt;1,"",IF(140&lt;=($L$5-2),H143,INDEX($H$4:$H$603,($L$5-2))))</f>
        <v/>
      </c>
      <c r="T143" s="25">
        <f>IF(($L$5-2)&lt;1,"",IF(140&lt;=($L$5-2),I143,INDEX($I$4:$I$603,($L$5-2))))</f>
        <v/>
      </c>
    </row>
    <row r="144">
      <c r="A144" s="43" t="n"/>
      <c r="B144" s="43" t="n"/>
      <c r="C144" s="37">
        <f>IF(OR(A144="",A145=""),"",A145-A144)</f>
        <v/>
      </c>
      <c r="D144" s="37">
        <f>IF(C144="","",B145-B144)</f>
        <v/>
      </c>
      <c r="E144" s="37">
        <f>IF(C144="","",(A144+A145)/2)</f>
        <v/>
      </c>
      <c r="F144" s="25">
        <f>IF(OR(C144="",C144=0),"",D144/C144)</f>
        <v/>
      </c>
      <c r="G144" s="25">
        <f>IF(C144="","",D144/$L$6)</f>
        <v/>
      </c>
      <c r="H144" s="37">
        <f>IF(OR(F144="",F145=""),"",(E144+E145)/2)</f>
        <v/>
      </c>
      <c r="I144" s="25">
        <f>IF(H144="","",(F145-F144)/(E145-E144))</f>
        <v/>
      </c>
      <c r="P144" s="25">
        <f>IF(($L$5-1)&lt;1,"",IF(141&lt;=($L$5-1),E144,INDEX($E$4:$E$603,($L$5-1))))</f>
        <v/>
      </c>
      <c r="Q144" s="25">
        <f>IF(($L$5-1)&lt;1,"",IF(141&lt;=($L$5-1),F144,INDEX($F$4:$F$603,($L$5-1))))</f>
        <v/>
      </c>
      <c r="R144" s="25">
        <f>IF(($L$5-1)&lt;1,"",IF(141&lt;=($L$5-1),G144,INDEX($G$4:$G$603,($L$5-1))))</f>
        <v/>
      </c>
      <c r="S144" s="25">
        <f>IF(($L$5-2)&lt;1,"",IF(141&lt;=($L$5-2),H144,INDEX($H$4:$H$603,($L$5-2))))</f>
        <v/>
      </c>
      <c r="T144" s="25">
        <f>IF(($L$5-2)&lt;1,"",IF(141&lt;=($L$5-2),I144,INDEX($I$4:$I$603,($L$5-2))))</f>
        <v/>
      </c>
    </row>
    <row r="145">
      <c r="A145" s="43" t="n"/>
      <c r="B145" s="43" t="n"/>
      <c r="C145" s="37">
        <f>IF(OR(A145="",A146=""),"",A146-A145)</f>
        <v/>
      </c>
      <c r="D145" s="37">
        <f>IF(C145="","",B146-B145)</f>
        <v/>
      </c>
      <c r="E145" s="37">
        <f>IF(C145="","",(A145+A146)/2)</f>
        <v/>
      </c>
      <c r="F145" s="25">
        <f>IF(OR(C145="",C145=0),"",D145/C145)</f>
        <v/>
      </c>
      <c r="G145" s="25">
        <f>IF(C145="","",D145/$L$6)</f>
        <v/>
      </c>
      <c r="H145" s="37">
        <f>IF(OR(F145="",F146=""),"",(E145+E146)/2)</f>
        <v/>
      </c>
      <c r="I145" s="25">
        <f>IF(H145="","",(F146-F145)/(E146-E145))</f>
        <v/>
      </c>
      <c r="P145" s="25">
        <f>IF(($L$5-1)&lt;1,"",IF(142&lt;=($L$5-1),E145,INDEX($E$4:$E$603,($L$5-1))))</f>
        <v/>
      </c>
      <c r="Q145" s="25">
        <f>IF(($L$5-1)&lt;1,"",IF(142&lt;=($L$5-1),F145,INDEX($F$4:$F$603,($L$5-1))))</f>
        <v/>
      </c>
      <c r="R145" s="25">
        <f>IF(($L$5-1)&lt;1,"",IF(142&lt;=($L$5-1),G145,INDEX($G$4:$G$603,($L$5-1))))</f>
        <v/>
      </c>
      <c r="S145" s="25">
        <f>IF(($L$5-2)&lt;1,"",IF(142&lt;=($L$5-2),H145,INDEX($H$4:$H$603,($L$5-2))))</f>
        <v/>
      </c>
      <c r="T145" s="25">
        <f>IF(($L$5-2)&lt;1,"",IF(142&lt;=($L$5-2),I145,INDEX($I$4:$I$603,($L$5-2))))</f>
        <v/>
      </c>
    </row>
    <row r="146">
      <c r="A146" s="43" t="n"/>
      <c r="B146" s="43" t="n"/>
      <c r="C146" s="37">
        <f>IF(OR(A146="",A147=""),"",A147-A146)</f>
        <v/>
      </c>
      <c r="D146" s="37">
        <f>IF(C146="","",B147-B146)</f>
        <v/>
      </c>
      <c r="E146" s="37">
        <f>IF(C146="","",(A146+A147)/2)</f>
        <v/>
      </c>
      <c r="F146" s="25">
        <f>IF(OR(C146="",C146=0),"",D146/C146)</f>
        <v/>
      </c>
      <c r="G146" s="25">
        <f>IF(C146="","",D146/$L$6)</f>
        <v/>
      </c>
      <c r="H146" s="37">
        <f>IF(OR(F146="",F147=""),"",(E146+E147)/2)</f>
        <v/>
      </c>
      <c r="I146" s="25">
        <f>IF(H146="","",(F147-F146)/(E147-E146))</f>
        <v/>
      </c>
      <c r="P146" s="25">
        <f>IF(($L$5-1)&lt;1,"",IF(143&lt;=($L$5-1),E146,INDEX($E$4:$E$603,($L$5-1))))</f>
        <v/>
      </c>
      <c r="Q146" s="25">
        <f>IF(($L$5-1)&lt;1,"",IF(143&lt;=($L$5-1),F146,INDEX($F$4:$F$603,($L$5-1))))</f>
        <v/>
      </c>
      <c r="R146" s="25">
        <f>IF(($L$5-1)&lt;1,"",IF(143&lt;=($L$5-1),G146,INDEX($G$4:$G$603,($L$5-1))))</f>
        <v/>
      </c>
      <c r="S146" s="25">
        <f>IF(($L$5-2)&lt;1,"",IF(143&lt;=($L$5-2),H146,INDEX($H$4:$H$603,($L$5-2))))</f>
        <v/>
      </c>
      <c r="T146" s="25">
        <f>IF(($L$5-2)&lt;1,"",IF(143&lt;=($L$5-2),I146,INDEX($I$4:$I$603,($L$5-2))))</f>
        <v/>
      </c>
    </row>
    <row r="147">
      <c r="A147" s="43" t="n"/>
      <c r="B147" s="43" t="n"/>
      <c r="C147" s="37">
        <f>IF(OR(A147="",A148=""),"",A148-A147)</f>
        <v/>
      </c>
      <c r="D147" s="37">
        <f>IF(C147="","",B148-B147)</f>
        <v/>
      </c>
      <c r="E147" s="37">
        <f>IF(C147="","",(A147+A148)/2)</f>
        <v/>
      </c>
      <c r="F147" s="25">
        <f>IF(OR(C147="",C147=0),"",D147/C147)</f>
        <v/>
      </c>
      <c r="G147" s="25">
        <f>IF(C147="","",D147/$L$6)</f>
        <v/>
      </c>
      <c r="H147" s="37">
        <f>IF(OR(F147="",F148=""),"",(E147+E148)/2)</f>
        <v/>
      </c>
      <c r="I147" s="25">
        <f>IF(H147="","",(F148-F147)/(E148-E147))</f>
        <v/>
      </c>
      <c r="P147" s="25">
        <f>IF(($L$5-1)&lt;1,"",IF(144&lt;=($L$5-1),E147,INDEX($E$4:$E$603,($L$5-1))))</f>
        <v/>
      </c>
      <c r="Q147" s="25">
        <f>IF(($L$5-1)&lt;1,"",IF(144&lt;=($L$5-1),F147,INDEX($F$4:$F$603,($L$5-1))))</f>
        <v/>
      </c>
      <c r="R147" s="25">
        <f>IF(($L$5-1)&lt;1,"",IF(144&lt;=($L$5-1),G147,INDEX($G$4:$G$603,($L$5-1))))</f>
        <v/>
      </c>
      <c r="S147" s="25">
        <f>IF(($L$5-2)&lt;1,"",IF(144&lt;=($L$5-2),H147,INDEX($H$4:$H$603,($L$5-2))))</f>
        <v/>
      </c>
      <c r="T147" s="25">
        <f>IF(($L$5-2)&lt;1,"",IF(144&lt;=($L$5-2),I147,INDEX($I$4:$I$603,($L$5-2))))</f>
        <v/>
      </c>
    </row>
    <row r="148">
      <c r="A148" s="43" t="n"/>
      <c r="B148" s="43" t="n"/>
      <c r="C148" s="37">
        <f>IF(OR(A148="",A149=""),"",A149-A148)</f>
        <v/>
      </c>
      <c r="D148" s="37">
        <f>IF(C148="","",B149-B148)</f>
        <v/>
      </c>
      <c r="E148" s="37">
        <f>IF(C148="","",(A148+A149)/2)</f>
        <v/>
      </c>
      <c r="F148" s="25">
        <f>IF(OR(C148="",C148=0),"",D148/C148)</f>
        <v/>
      </c>
      <c r="G148" s="25">
        <f>IF(C148="","",D148/$L$6)</f>
        <v/>
      </c>
      <c r="H148" s="37">
        <f>IF(OR(F148="",F149=""),"",(E148+E149)/2)</f>
        <v/>
      </c>
      <c r="I148" s="25">
        <f>IF(H148="","",(F149-F148)/(E149-E148))</f>
        <v/>
      </c>
      <c r="P148" s="25">
        <f>IF(($L$5-1)&lt;1,"",IF(145&lt;=($L$5-1),E148,INDEX($E$4:$E$603,($L$5-1))))</f>
        <v/>
      </c>
      <c r="Q148" s="25">
        <f>IF(($L$5-1)&lt;1,"",IF(145&lt;=($L$5-1),F148,INDEX($F$4:$F$603,($L$5-1))))</f>
        <v/>
      </c>
      <c r="R148" s="25">
        <f>IF(($L$5-1)&lt;1,"",IF(145&lt;=($L$5-1),G148,INDEX($G$4:$G$603,($L$5-1))))</f>
        <v/>
      </c>
      <c r="S148" s="25">
        <f>IF(($L$5-2)&lt;1,"",IF(145&lt;=($L$5-2),H148,INDEX($H$4:$H$603,($L$5-2))))</f>
        <v/>
      </c>
      <c r="T148" s="25">
        <f>IF(($L$5-2)&lt;1,"",IF(145&lt;=($L$5-2),I148,INDEX($I$4:$I$603,($L$5-2))))</f>
        <v/>
      </c>
    </row>
    <row r="149">
      <c r="A149" s="43" t="n"/>
      <c r="B149" s="43" t="n"/>
      <c r="C149" s="37">
        <f>IF(OR(A149="",A150=""),"",A150-A149)</f>
        <v/>
      </c>
      <c r="D149" s="37">
        <f>IF(C149="","",B150-B149)</f>
        <v/>
      </c>
      <c r="E149" s="37">
        <f>IF(C149="","",(A149+A150)/2)</f>
        <v/>
      </c>
      <c r="F149" s="25">
        <f>IF(OR(C149="",C149=0),"",D149/C149)</f>
        <v/>
      </c>
      <c r="G149" s="25">
        <f>IF(C149="","",D149/$L$6)</f>
        <v/>
      </c>
      <c r="H149" s="37">
        <f>IF(OR(F149="",F150=""),"",(E149+E150)/2)</f>
        <v/>
      </c>
      <c r="I149" s="25">
        <f>IF(H149="","",(F150-F149)/(E150-E149))</f>
        <v/>
      </c>
      <c r="P149" s="25">
        <f>IF(($L$5-1)&lt;1,"",IF(146&lt;=($L$5-1),E149,INDEX($E$4:$E$603,($L$5-1))))</f>
        <v/>
      </c>
      <c r="Q149" s="25">
        <f>IF(($L$5-1)&lt;1,"",IF(146&lt;=($L$5-1),F149,INDEX($F$4:$F$603,($L$5-1))))</f>
        <v/>
      </c>
      <c r="R149" s="25">
        <f>IF(($L$5-1)&lt;1,"",IF(146&lt;=($L$5-1),G149,INDEX($G$4:$G$603,($L$5-1))))</f>
        <v/>
      </c>
      <c r="S149" s="25">
        <f>IF(($L$5-2)&lt;1,"",IF(146&lt;=($L$5-2),H149,INDEX($H$4:$H$603,($L$5-2))))</f>
        <v/>
      </c>
      <c r="T149" s="25">
        <f>IF(($L$5-2)&lt;1,"",IF(146&lt;=($L$5-2),I149,INDEX($I$4:$I$603,($L$5-2))))</f>
        <v/>
      </c>
    </row>
    <row r="150">
      <c r="A150" s="43" t="n"/>
      <c r="B150" s="43" t="n"/>
      <c r="C150" s="37">
        <f>IF(OR(A150="",A151=""),"",A151-A150)</f>
        <v/>
      </c>
      <c r="D150" s="37">
        <f>IF(C150="","",B151-B150)</f>
        <v/>
      </c>
      <c r="E150" s="37">
        <f>IF(C150="","",(A150+A151)/2)</f>
        <v/>
      </c>
      <c r="F150" s="25">
        <f>IF(OR(C150="",C150=0),"",D150/C150)</f>
        <v/>
      </c>
      <c r="G150" s="25">
        <f>IF(C150="","",D150/$L$6)</f>
        <v/>
      </c>
      <c r="H150" s="37">
        <f>IF(OR(F150="",F151=""),"",(E150+E151)/2)</f>
        <v/>
      </c>
      <c r="I150" s="25">
        <f>IF(H150="","",(F151-F150)/(E151-E150))</f>
        <v/>
      </c>
      <c r="P150" s="25">
        <f>IF(($L$5-1)&lt;1,"",IF(147&lt;=($L$5-1),E150,INDEX($E$4:$E$603,($L$5-1))))</f>
        <v/>
      </c>
      <c r="Q150" s="25">
        <f>IF(($L$5-1)&lt;1,"",IF(147&lt;=($L$5-1),F150,INDEX($F$4:$F$603,($L$5-1))))</f>
        <v/>
      </c>
      <c r="R150" s="25">
        <f>IF(($L$5-1)&lt;1,"",IF(147&lt;=($L$5-1),G150,INDEX($G$4:$G$603,($L$5-1))))</f>
        <v/>
      </c>
      <c r="S150" s="25">
        <f>IF(($L$5-2)&lt;1,"",IF(147&lt;=($L$5-2),H150,INDEX($H$4:$H$603,($L$5-2))))</f>
        <v/>
      </c>
      <c r="T150" s="25">
        <f>IF(($L$5-2)&lt;1,"",IF(147&lt;=($L$5-2),I150,INDEX($I$4:$I$603,($L$5-2))))</f>
        <v/>
      </c>
    </row>
    <row r="151">
      <c r="A151" s="43" t="n"/>
      <c r="B151" s="43" t="n"/>
      <c r="C151" s="37">
        <f>IF(OR(A151="",A152=""),"",A152-A151)</f>
        <v/>
      </c>
      <c r="D151" s="37">
        <f>IF(C151="","",B152-B151)</f>
        <v/>
      </c>
      <c r="E151" s="37">
        <f>IF(C151="","",(A151+A152)/2)</f>
        <v/>
      </c>
      <c r="F151" s="25">
        <f>IF(OR(C151="",C151=0),"",D151/C151)</f>
        <v/>
      </c>
      <c r="G151" s="25">
        <f>IF(C151="","",D151/$L$6)</f>
        <v/>
      </c>
      <c r="H151" s="37">
        <f>IF(OR(F151="",F152=""),"",(E151+E152)/2)</f>
        <v/>
      </c>
      <c r="I151" s="25">
        <f>IF(H151="","",(F152-F151)/(E152-E151))</f>
        <v/>
      </c>
      <c r="P151" s="25">
        <f>IF(($L$5-1)&lt;1,"",IF(148&lt;=($L$5-1),E151,INDEX($E$4:$E$603,($L$5-1))))</f>
        <v/>
      </c>
      <c r="Q151" s="25">
        <f>IF(($L$5-1)&lt;1,"",IF(148&lt;=($L$5-1),F151,INDEX($F$4:$F$603,($L$5-1))))</f>
        <v/>
      </c>
      <c r="R151" s="25">
        <f>IF(($L$5-1)&lt;1,"",IF(148&lt;=($L$5-1),G151,INDEX($G$4:$G$603,($L$5-1))))</f>
        <v/>
      </c>
      <c r="S151" s="25">
        <f>IF(($L$5-2)&lt;1,"",IF(148&lt;=($L$5-2),H151,INDEX($H$4:$H$603,($L$5-2))))</f>
        <v/>
      </c>
      <c r="T151" s="25">
        <f>IF(($L$5-2)&lt;1,"",IF(148&lt;=($L$5-2),I151,INDEX($I$4:$I$603,($L$5-2))))</f>
        <v/>
      </c>
    </row>
    <row r="152">
      <c r="A152" s="43" t="n"/>
      <c r="B152" s="43" t="n"/>
      <c r="C152" s="37">
        <f>IF(OR(A152="",A153=""),"",A153-A152)</f>
        <v/>
      </c>
      <c r="D152" s="37">
        <f>IF(C152="","",B153-B152)</f>
        <v/>
      </c>
      <c r="E152" s="37">
        <f>IF(C152="","",(A152+A153)/2)</f>
        <v/>
      </c>
      <c r="F152" s="25">
        <f>IF(OR(C152="",C152=0),"",D152/C152)</f>
        <v/>
      </c>
      <c r="G152" s="25">
        <f>IF(C152="","",D152/$L$6)</f>
        <v/>
      </c>
      <c r="H152" s="37">
        <f>IF(OR(F152="",F153=""),"",(E152+E153)/2)</f>
        <v/>
      </c>
      <c r="I152" s="25">
        <f>IF(H152="","",(F153-F152)/(E153-E152))</f>
        <v/>
      </c>
      <c r="P152" s="25">
        <f>IF(($L$5-1)&lt;1,"",IF(149&lt;=($L$5-1),E152,INDEX($E$4:$E$603,($L$5-1))))</f>
        <v/>
      </c>
      <c r="Q152" s="25">
        <f>IF(($L$5-1)&lt;1,"",IF(149&lt;=($L$5-1),F152,INDEX($F$4:$F$603,($L$5-1))))</f>
        <v/>
      </c>
      <c r="R152" s="25">
        <f>IF(($L$5-1)&lt;1,"",IF(149&lt;=($L$5-1),G152,INDEX($G$4:$G$603,($L$5-1))))</f>
        <v/>
      </c>
      <c r="S152" s="25">
        <f>IF(($L$5-2)&lt;1,"",IF(149&lt;=($L$5-2),H152,INDEX($H$4:$H$603,($L$5-2))))</f>
        <v/>
      </c>
      <c r="T152" s="25">
        <f>IF(($L$5-2)&lt;1,"",IF(149&lt;=($L$5-2),I152,INDEX($I$4:$I$603,($L$5-2))))</f>
        <v/>
      </c>
    </row>
    <row r="153">
      <c r="A153" s="43" t="n"/>
      <c r="B153" s="43" t="n"/>
      <c r="C153" s="37">
        <f>IF(OR(A153="",A154=""),"",A154-A153)</f>
        <v/>
      </c>
      <c r="D153" s="37">
        <f>IF(C153="","",B154-B153)</f>
        <v/>
      </c>
      <c r="E153" s="37">
        <f>IF(C153="","",(A153+A154)/2)</f>
        <v/>
      </c>
      <c r="F153" s="25">
        <f>IF(OR(C153="",C153=0),"",D153/C153)</f>
        <v/>
      </c>
      <c r="G153" s="25">
        <f>IF(C153="","",D153/$L$6)</f>
        <v/>
      </c>
      <c r="H153" s="37">
        <f>IF(OR(F153="",F154=""),"",(E153+E154)/2)</f>
        <v/>
      </c>
      <c r="I153" s="25">
        <f>IF(H153="","",(F154-F153)/(E154-E153))</f>
        <v/>
      </c>
      <c r="P153" s="25">
        <f>IF(($L$5-1)&lt;1,"",IF(150&lt;=($L$5-1),E153,INDEX($E$4:$E$603,($L$5-1))))</f>
        <v/>
      </c>
      <c r="Q153" s="25">
        <f>IF(($L$5-1)&lt;1,"",IF(150&lt;=($L$5-1),F153,INDEX($F$4:$F$603,($L$5-1))))</f>
        <v/>
      </c>
      <c r="R153" s="25">
        <f>IF(($L$5-1)&lt;1,"",IF(150&lt;=($L$5-1),G153,INDEX($G$4:$G$603,($L$5-1))))</f>
        <v/>
      </c>
      <c r="S153" s="25">
        <f>IF(($L$5-2)&lt;1,"",IF(150&lt;=($L$5-2),H153,INDEX($H$4:$H$603,($L$5-2))))</f>
        <v/>
      </c>
      <c r="T153" s="25">
        <f>IF(($L$5-2)&lt;1,"",IF(150&lt;=($L$5-2),I153,INDEX($I$4:$I$603,($L$5-2))))</f>
        <v/>
      </c>
    </row>
    <row r="154">
      <c r="A154" s="43" t="n"/>
      <c r="B154" s="43" t="n"/>
      <c r="C154" s="37">
        <f>IF(OR(A154="",A155=""),"",A155-A154)</f>
        <v/>
      </c>
      <c r="D154" s="37">
        <f>IF(C154="","",B155-B154)</f>
        <v/>
      </c>
      <c r="E154" s="37">
        <f>IF(C154="","",(A154+A155)/2)</f>
        <v/>
      </c>
      <c r="F154" s="25">
        <f>IF(OR(C154="",C154=0),"",D154/C154)</f>
        <v/>
      </c>
      <c r="G154" s="25">
        <f>IF(C154="","",D154/$L$6)</f>
        <v/>
      </c>
      <c r="H154" s="37">
        <f>IF(OR(F154="",F155=""),"",(E154+E155)/2)</f>
        <v/>
      </c>
      <c r="I154" s="25">
        <f>IF(H154="","",(F155-F154)/(E155-E154))</f>
        <v/>
      </c>
      <c r="P154" s="25">
        <f>IF(($L$5-1)&lt;1,"",IF(151&lt;=($L$5-1),E154,INDEX($E$4:$E$603,($L$5-1))))</f>
        <v/>
      </c>
      <c r="Q154" s="25">
        <f>IF(($L$5-1)&lt;1,"",IF(151&lt;=($L$5-1),F154,INDEX($F$4:$F$603,($L$5-1))))</f>
        <v/>
      </c>
      <c r="R154" s="25">
        <f>IF(($L$5-1)&lt;1,"",IF(151&lt;=($L$5-1),G154,INDEX($G$4:$G$603,($L$5-1))))</f>
        <v/>
      </c>
      <c r="S154" s="25">
        <f>IF(($L$5-2)&lt;1,"",IF(151&lt;=($L$5-2),H154,INDEX($H$4:$H$603,($L$5-2))))</f>
        <v/>
      </c>
      <c r="T154" s="25">
        <f>IF(($L$5-2)&lt;1,"",IF(151&lt;=($L$5-2),I154,INDEX($I$4:$I$603,($L$5-2))))</f>
        <v/>
      </c>
    </row>
    <row r="155">
      <c r="A155" s="43" t="n"/>
      <c r="B155" s="43" t="n"/>
      <c r="C155" s="37">
        <f>IF(OR(A155="",A156=""),"",A156-A155)</f>
        <v/>
      </c>
      <c r="D155" s="37">
        <f>IF(C155="","",B156-B155)</f>
        <v/>
      </c>
      <c r="E155" s="37">
        <f>IF(C155="","",(A155+A156)/2)</f>
        <v/>
      </c>
      <c r="F155" s="25">
        <f>IF(OR(C155="",C155=0),"",D155/C155)</f>
        <v/>
      </c>
      <c r="G155" s="25">
        <f>IF(C155="","",D155/$L$6)</f>
        <v/>
      </c>
      <c r="H155" s="37">
        <f>IF(OR(F155="",F156=""),"",(E155+E156)/2)</f>
        <v/>
      </c>
      <c r="I155" s="25">
        <f>IF(H155="","",(F156-F155)/(E156-E155))</f>
        <v/>
      </c>
      <c r="P155" s="25">
        <f>IF(($L$5-1)&lt;1,"",IF(152&lt;=($L$5-1),E155,INDEX($E$4:$E$603,($L$5-1))))</f>
        <v/>
      </c>
      <c r="Q155" s="25">
        <f>IF(($L$5-1)&lt;1,"",IF(152&lt;=($L$5-1),F155,INDEX($F$4:$F$603,($L$5-1))))</f>
        <v/>
      </c>
      <c r="R155" s="25">
        <f>IF(($L$5-1)&lt;1,"",IF(152&lt;=($L$5-1),G155,INDEX($G$4:$G$603,($L$5-1))))</f>
        <v/>
      </c>
      <c r="S155" s="25">
        <f>IF(($L$5-2)&lt;1,"",IF(152&lt;=($L$5-2),H155,INDEX($H$4:$H$603,($L$5-2))))</f>
        <v/>
      </c>
      <c r="T155" s="25">
        <f>IF(($L$5-2)&lt;1,"",IF(152&lt;=($L$5-2),I155,INDEX($I$4:$I$603,($L$5-2))))</f>
        <v/>
      </c>
    </row>
    <row r="156">
      <c r="A156" s="43" t="n"/>
      <c r="B156" s="43" t="n"/>
      <c r="C156" s="37">
        <f>IF(OR(A156="",A157=""),"",A157-A156)</f>
        <v/>
      </c>
      <c r="D156" s="37">
        <f>IF(C156="","",B157-B156)</f>
        <v/>
      </c>
      <c r="E156" s="37">
        <f>IF(C156="","",(A156+A157)/2)</f>
        <v/>
      </c>
      <c r="F156" s="25">
        <f>IF(OR(C156="",C156=0),"",D156/C156)</f>
        <v/>
      </c>
      <c r="G156" s="25">
        <f>IF(C156="","",D156/$L$6)</f>
        <v/>
      </c>
      <c r="H156" s="37">
        <f>IF(OR(F156="",F157=""),"",(E156+E157)/2)</f>
        <v/>
      </c>
      <c r="I156" s="25">
        <f>IF(H156="","",(F157-F156)/(E157-E156))</f>
        <v/>
      </c>
      <c r="P156" s="25">
        <f>IF(($L$5-1)&lt;1,"",IF(153&lt;=($L$5-1),E156,INDEX($E$4:$E$603,($L$5-1))))</f>
        <v/>
      </c>
      <c r="Q156" s="25">
        <f>IF(($L$5-1)&lt;1,"",IF(153&lt;=($L$5-1),F156,INDEX($F$4:$F$603,($L$5-1))))</f>
        <v/>
      </c>
      <c r="R156" s="25">
        <f>IF(($L$5-1)&lt;1,"",IF(153&lt;=($L$5-1),G156,INDEX($G$4:$G$603,($L$5-1))))</f>
        <v/>
      </c>
      <c r="S156" s="25">
        <f>IF(($L$5-2)&lt;1,"",IF(153&lt;=($L$5-2),H156,INDEX($H$4:$H$603,($L$5-2))))</f>
        <v/>
      </c>
      <c r="T156" s="25">
        <f>IF(($L$5-2)&lt;1,"",IF(153&lt;=($L$5-2),I156,INDEX($I$4:$I$603,($L$5-2))))</f>
        <v/>
      </c>
    </row>
    <row r="157">
      <c r="A157" s="43" t="n"/>
      <c r="B157" s="43" t="n"/>
      <c r="C157" s="37">
        <f>IF(OR(A157="",A158=""),"",A158-A157)</f>
        <v/>
      </c>
      <c r="D157" s="37">
        <f>IF(C157="","",B158-B157)</f>
        <v/>
      </c>
      <c r="E157" s="37">
        <f>IF(C157="","",(A157+A158)/2)</f>
        <v/>
      </c>
      <c r="F157" s="25">
        <f>IF(OR(C157="",C157=0),"",D157/C157)</f>
        <v/>
      </c>
      <c r="G157" s="25">
        <f>IF(C157="","",D157/$L$6)</f>
        <v/>
      </c>
      <c r="H157" s="37">
        <f>IF(OR(F157="",F158=""),"",(E157+E158)/2)</f>
        <v/>
      </c>
      <c r="I157" s="25">
        <f>IF(H157="","",(F158-F157)/(E158-E157))</f>
        <v/>
      </c>
      <c r="P157" s="25">
        <f>IF(($L$5-1)&lt;1,"",IF(154&lt;=($L$5-1),E157,INDEX($E$4:$E$603,($L$5-1))))</f>
        <v/>
      </c>
      <c r="Q157" s="25">
        <f>IF(($L$5-1)&lt;1,"",IF(154&lt;=($L$5-1),F157,INDEX($F$4:$F$603,($L$5-1))))</f>
        <v/>
      </c>
      <c r="R157" s="25">
        <f>IF(($L$5-1)&lt;1,"",IF(154&lt;=($L$5-1),G157,INDEX($G$4:$G$603,($L$5-1))))</f>
        <v/>
      </c>
      <c r="S157" s="25">
        <f>IF(($L$5-2)&lt;1,"",IF(154&lt;=($L$5-2),H157,INDEX($H$4:$H$603,($L$5-2))))</f>
        <v/>
      </c>
      <c r="T157" s="25">
        <f>IF(($L$5-2)&lt;1,"",IF(154&lt;=($L$5-2),I157,INDEX($I$4:$I$603,($L$5-2))))</f>
        <v/>
      </c>
    </row>
    <row r="158">
      <c r="A158" s="43" t="n"/>
      <c r="B158" s="43" t="n"/>
      <c r="C158" s="37">
        <f>IF(OR(A158="",A159=""),"",A159-A158)</f>
        <v/>
      </c>
      <c r="D158" s="37">
        <f>IF(C158="","",B159-B158)</f>
        <v/>
      </c>
      <c r="E158" s="37">
        <f>IF(C158="","",(A158+A159)/2)</f>
        <v/>
      </c>
      <c r="F158" s="25">
        <f>IF(OR(C158="",C158=0),"",D158/C158)</f>
        <v/>
      </c>
      <c r="G158" s="25">
        <f>IF(C158="","",D158/$L$6)</f>
        <v/>
      </c>
      <c r="H158" s="37">
        <f>IF(OR(F158="",F159=""),"",(E158+E159)/2)</f>
        <v/>
      </c>
      <c r="I158" s="25">
        <f>IF(H158="","",(F159-F158)/(E159-E158))</f>
        <v/>
      </c>
      <c r="P158" s="25">
        <f>IF(($L$5-1)&lt;1,"",IF(155&lt;=($L$5-1),E158,INDEX($E$4:$E$603,($L$5-1))))</f>
        <v/>
      </c>
      <c r="Q158" s="25">
        <f>IF(($L$5-1)&lt;1,"",IF(155&lt;=($L$5-1),F158,INDEX($F$4:$F$603,($L$5-1))))</f>
        <v/>
      </c>
      <c r="R158" s="25">
        <f>IF(($L$5-1)&lt;1,"",IF(155&lt;=($L$5-1),G158,INDEX($G$4:$G$603,($L$5-1))))</f>
        <v/>
      </c>
      <c r="S158" s="25">
        <f>IF(($L$5-2)&lt;1,"",IF(155&lt;=($L$5-2),H158,INDEX($H$4:$H$603,($L$5-2))))</f>
        <v/>
      </c>
      <c r="T158" s="25">
        <f>IF(($L$5-2)&lt;1,"",IF(155&lt;=($L$5-2),I158,INDEX($I$4:$I$603,($L$5-2))))</f>
        <v/>
      </c>
    </row>
    <row r="159">
      <c r="A159" s="43" t="n"/>
      <c r="B159" s="43" t="n"/>
      <c r="C159" s="37">
        <f>IF(OR(A159="",A160=""),"",A160-A159)</f>
        <v/>
      </c>
      <c r="D159" s="37">
        <f>IF(C159="","",B160-B159)</f>
        <v/>
      </c>
      <c r="E159" s="37">
        <f>IF(C159="","",(A159+A160)/2)</f>
        <v/>
      </c>
      <c r="F159" s="25">
        <f>IF(OR(C159="",C159=0),"",D159/C159)</f>
        <v/>
      </c>
      <c r="G159" s="25">
        <f>IF(C159="","",D159/$L$6)</f>
        <v/>
      </c>
      <c r="H159" s="37">
        <f>IF(OR(F159="",F160=""),"",(E159+E160)/2)</f>
        <v/>
      </c>
      <c r="I159" s="25">
        <f>IF(H159="","",(F160-F159)/(E160-E159))</f>
        <v/>
      </c>
      <c r="P159" s="25">
        <f>IF(($L$5-1)&lt;1,"",IF(156&lt;=($L$5-1),E159,INDEX($E$4:$E$603,($L$5-1))))</f>
        <v/>
      </c>
      <c r="Q159" s="25">
        <f>IF(($L$5-1)&lt;1,"",IF(156&lt;=($L$5-1),F159,INDEX($F$4:$F$603,($L$5-1))))</f>
        <v/>
      </c>
      <c r="R159" s="25">
        <f>IF(($L$5-1)&lt;1,"",IF(156&lt;=($L$5-1),G159,INDEX($G$4:$G$603,($L$5-1))))</f>
        <v/>
      </c>
      <c r="S159" s="25">
        <f>IF(($L$5-2)&lt;1,"",IF(156&lt;=($L$5-2),H159,INDEX($H$4:$H$603,($L$5-2))))</f>
        <v/>
      </c>
      <c r="T159" s="25">
        <f>IF(($L$5-2)&lt;1,"",IF(156&lt;=($L$5-2),I159,INDEX($I$4:$I$603,($L$5-2))))</f>
        <v/>
      </c>
    </row>
    <row r="160">
      <c r="A160" s="43" t="n"/>
      <c r="B160" s="43" t="n"/>
      <c r="C160" s="37">
        <f>IF(OR(A160="",A161=""),"",A161-A160)</f>
        <v/>
      </c>
      <c r="D160" s="37">
        <f>IF(C160="","",B161-B160)</f>
        <v/>
      </c>
      <c r="E160" s="37">
        <f>IF(C160="","",(A160+A161)/2)</f>
        <v/>
      </c>
      <c r="F160" s="25">
        <f>IF(OR(C160="",C160=0),"",D160/C160)</f>
        <v/>
      </c>
      <c r="G160" s="25">
        <f>IF(C160="","",D160/$L$6)</f>
        <v/>
      </c>
      <c r="H160" s="37">
        <f>IF(OR(F160="",F161=""),"",(E160+E161)/2)</f>
        <v/>
      </c>
      <c r="I160" s="25">
        <f>IF(H160="","",(F161-F160)/(E161-E160))</f>
        <v/>
      </c>
      <c r="P160" s="25">
        <f>IF(($L$5-1)&lt;1,"",IF(157&lt;=($L$5-1),E160,INDEX($E$4:$E$603,($L$5-1))))</f>
        <v/>
      </c>
      <c r="Q160" s="25">
        <f>IF(($L$5-1)&lt;1,"",IF(157&lt;=($L$5-1),F160,INDEX($F$4:$F$603,($L$5-1))))</f>
        <v/>
      </c>
      <c r="R160" s="25">
        <f>IF(($L$5-1)&lt;1,"",IF(157&lt;=($L$5-1),G160,INDEX($G$4:$G$603,($L$5-1))))</f>
        <v/>
      </c>
      <c r="S160" s="25">
        <f>IF(($L$5-2)&lt;1,"",IF(157&lt;=($L$5-2),H160,INDEX($H$4:$H$603,($L$5-2))))</f>
        <v/>
      </c>
      <c r="T160" s="25">
        <f>IF(($L$5-2)&lt;1,"",IF(157&lt;=($L$5-2),I160,INDEX($I$4:$I$603,($L$5-2))))</f>
        <v/>
      </c>
    </row>
    <row r="161">
      <c r="A161" s="43" t="n"/>
      <c r="B161" s="43" t="n"/>
      <c r="C161" s="37">
        <f>IF(OR(A161="",A162=""),"",A162-A161)</f>
        <v/>
      </c>
      <c r="D161" s="37">
        <f>IF(C161="","",B162-B161)</f>
        <v/>
      </c>
      <c r="E161" s="37">
        <f>IF(C161="","",(A161+A162)/2)</f>
        <v/>
      </c>
      <c r="F161" s="25">
        <f>IF(OR(C161="",C161=0),"",D161/C161)</f>
        <v/>
      </c>
      <c r="G161" s="25">
        <f>IF(C161="","",D161/$L$6)</f>
        <v/>
      </c>
      <c r="H161" s="37">
        <f>IF(OR(F161="",F162=""),"",(E161+E162)/2)</f>
        <v/>
      </c>
      <c r="I161" s="25">
        <f>IF(H161="","",(F162-F161)/(E162-E161))</f>
        <v/>
      </c>
      <c r="P161" s="25">
        <f>IF(($L$5-1)&lt;1,"",IF(158&lt;=($L$5-1),E161,INDEX($E$4:$E$603,($L$5-1))))</f>
        <v/>
      </c>
      <c r="Q161" s="25">
        <f>IF(($L$5-1)&lt;1,"",IF(158&lt;=($L$5-1),F161,INDEX($F$4:$F$603,($L$5-1))))</f>
        <v/>
      </c>
      <c r="R161" s="25">
        <f>IF(($L$5-1)&lt;1,"",IF(158&lt;=($L$5-1),G161,INDEX($G$4:$G$603,($L$5-1))))</f>
        <v/>
      </c>
      <c r="S161" s="25">
        <f>IF(($L$5-2)&lt;1,"",IF(158&lt;=($L$5-2),H161,INDEX($H$4:$H$603,($L$5-2))))</f>
        <v/>
      </c>
      <c r="T161" s="25">
        <f>IF(($L$5-2)&lt;1,"",IF(158&lt;=($L$5-2),I161,INDEX($I$4:$I$603,($L$5-2))))</f>
        <v/>
      </c>
    </row>
    <row r="162">
      <c r="A162" s="43" t="n"/>
      <c r="B162" s="43" t="n"/>
      <c r="C162" s="37">
        <f>IF(OR(A162="",A163=""),"",A163-A162)</f>
        <v/>
      </c>
      <c r="D162" s="37">
        <f>IF(C162="","",B163-B162)</f>
        <v/>
      </c>
      <c r="E162" s="37">
        <f>IF(C162="","",(A162+A163)/2)</f>
        <v/>
      </c>
      <c r="F162" s="25">
        <f>IF(OR(C162="",C162=0),"",D162/C162)</f>
        <v/>
      </c>
      <c r="G162" s="25">
        <f>IF(C162="","",D162/$L$6)</f>
        <v/>
      </c>
      <c r="H162" s="37">
        <f>IF(OR(F162="",F163=""),"",(E162+E163)/2)</f>
        <v/>
      </c>
      <c r="I162" s="25">
        <f>IF(H162="","",(F163-F162)/(E163-E162))</f>
        <v/>
      </c>
      <c r="P162" s="25">
        <f>IF(($L$5-1)&lt;1,"",IF(159&lt;=($L$5-1),E162,INDEX($E$4:$E$603,($L$5-1))))</f>
        <v/>
      </c>
      <c r="Q162" s="25">
        <f>IF(($L$5-1)&lt;1,"",IF(159&lt;=($L$5-1),F162,INDEX($F$4:$F$603,($L$5-1))))</f>
        <v/>
      </c>
      <c r="R162" s="25">
        <f>IF(($L$5-1)&lt;1,"",IF(159&lt;=($L$5-1),G162,INDEX($G$4:$G$603,($L$5-1))))</f>
        <v/>
      </c>
      <c r="S162" s="25">
        <f>IF(($L$5-2)&lt;1,"",IF(159&lt;=($L$5-2),H162,INDEX($H$4:$H$603,($L$5-2))))</f>
        <v/>
      </c>
      <c r="T162" s="25">
        <f>IF(($L$5-2)&lt;1,"",IF(159&lt;=($L$5-2),I162,INDEX($I$4:$I$603,($L$5-2))))</f>
        <v/>
      </c>
    </row>
    <row r="163">
      <c r="A163" s="43" t="n"/>
      <c r="B163" s="43" t="n"/>
      <c r="C163" s="37">
        <f>IF(OR(A163="",A164=""),"",A164-A163)</f>
        <v/>
      </c>
      <c r="D163" s="37">
        <f>IF(C163="","",B164-B163)</f>
        <v/>
      </c>
      <c r="E163" s="37">
        <f>IF(C163="","",(A163+A164)/2)</f>
        <v/>
      </c>
      <c r="F163" s="25">
        <f>IF(OR(C163="",C163=0),"",D163/C163)</f>
        <v/>
      </c>
      <c r="G163" s="25">
        <f>IF(C163="","",D163/$L$6)</f>
        <v/>
      </c>
      <c r="H163" s="37">
        <f>IF(OR(F163="",F164=""),"",(E163+E164)/2)</f>
        <v/>
      </c>
      <c r="I163" s="25">
        <f>IF(H163="","",(F164-F163)/(E164-E163))</f>
        <v/>
      </c>
      <c r="P163" s="25">
        <f>IF(($L$5-1)&lt;1,"",IF(160&lt;=($L$5-1),E163,INDEX($E$4:$E$603,($L$5-1))))</f>
        <v/>
      </c>
      <c r="Q163" s="25">
        <f>IF(($L$5-1)&lt;1,"",IF(160&lt;=($L$5-1),F163,INDEX($F$4:$F$603,($L$5-1))))</f>
        <v/>
      </c>
      <c r="R163" s="25">
        <f>IF(($L$5-1)&lt;1,"",IF(160&lt;=($L$5-1),G163,INDEX($G$4:$G$603,($L$5-1))))</f>
        <v/>
      </c>
      <c r="S163" s="25">
        <f>IF(($L$5-2)&lt;1,"",IF(160&lt;=($L$5-2),H163,INDEX($H$4:$H$603,($L$5-2))))</f>
        <v/>
      </c>
      <c r="T163" s="25">
        <f>IF(($L$5-2)&lt;1,"",IF(160&lt;=($L$5-2),I163,INDEX($I$4:$I$603,($L$5-2))))</f>
        <v/>
      </c>
    </row>
    <row r="164">
      <c r="A164" s="43" t="n"/>
      <c r="B164" s="43" t="n"/>
      <c r="C164" s="37">
        <f>IF(OR(A164="",A165=""),"",A165-A164)</f>
        <v/>
      </c>
      <c r="D164" s="37">
        <f>IF(C164="","",B165-B164)</f>
        <v/>
      </c>
      <c r="E164" s="37">
        <f>IF(C164="","",(A164+A165)/2)</f>
        <v/>
      </c>
      <c r="F164" s="25">
        <f>IF(OR(C164="",C164=0),"",D164/C164)</f>
        <v/>
      </c>
      <c r="G164" s="25">
        <f>IF(C164="","",D164/$L$6)</f>
        <v/>
      </c>
      <c r="H164" s="37">
        <f>IF(OR(F164="",F165=""),"",(E164+E165)/2)</f>
        <v/>
      </c>
      <c r="I164" s="25">
        <f>IF(H164="","",(F165-F164)/(E165-E164))</f>
        <v/>
      </c>
      <c r="P164" s="25">
        <f>IF(($L$5-1)&lt;1,"",IF(161&lt;=($L$5-1),E164,INDEX($E$4:$E$603,($L$5-1))))</f>
        <v/>
      </c>
      <c r="Q164" s="25">
        <f>IF(($L$5-1)&lt;1,"",IF(161&lt;=($L$5-1),F164,INDEX($F$4:$F$603,($L$5-1))))</f>
        <v/>
      </c>
      <c r="R164" s="25">
        <f>IF(($L$5-1)&lt;1,"",IF(161&lt;=($L$5-1),G164,INDEX($G$4:$G$603,($L$5-1))))</f>
        <v/>
      </c>
      <c r="S164" s="25">
        <f>IF(($L$5-2)&lt;1,"",IF(161&lt;=($L$5-2),H164,INDEX($H$4:$H$603,($L$5-2))))</f>
        <v/>
      </c>
      <c r="T164" s="25">
        <f>IF(($L$5-2)&lt;1,"",IF(161&lt;=($L$5-2),I164,INDEX($I$4:$I$603,($L$5-2))))</f>
        <v/>
      </c>
    </row>
    <row r="165">
      <c r="A165" s="43" t="n"/>
      <c r="B165" s="43" t="n"/>
      <c r="C165" s="37">
        <f>IF(OR(A165="",A166=""),"",A166-A165)</f>
        <v/>
      </c>
      <c r="D165" s="37">
        <f>IF(C165="","",B166-B165)</f>
        <v/>
      </c>
      <c r="E165" s="37">
        <f>IF(C165="","",(A165+A166)/2)</f>
        <v/>
      </c>
      <c r="F165" s="25">
        <f>IF(OR(C165="",C165=0),"",D165/C165)</f>
        <v/>
      </c>
      <c r="G165" s="25">
        <f>IF(C165="","",D165/$L$6)</f>
        <v/>
      </c>
      <c r="H165" s="37">
        <f>IF(OR(F165="",F166=""),"",(E165+E166)/2)</f>
        <v/>
      </c>
      <c r="I165" s="25">
        <f>IF(H165="","",(F166-F165)/(E166-E165))</f>
        <v/>
      </c>
      <c r="P165" s="25">
        <f>IF(($L$5-1)&lt;1,"",IF(162&lt;=($L$5-1),E165,INDEX($E$4:$E$603,($L$5-1))))</f>
        <v/>
      </c>
      <c r="Q165" s="25">
        <f>IF(($L$5-1)&lt;1,"",IF(162&lt;=($L$5-1),F165,INDEX($F$4:$F$603,($L$5-1))))</f>
        <v/>
      </c>
      <c r="R165" s="25">
        <f>IF(($L$5-1)&lt;1,"",IF(162&lt;=($L$5-1),G165,INDEX($G$4:$G$603,($L$5-1))))</f>
        <v/>
      </c>
      <c r="S165" s="25">
        <f>IF(($L$5-2)&lt;1,"",IF(162&lt;=($L$5-2),H165,INDEX($H$4:$H$603,($L$5-2))))</f>
        <v/>
      </c>
      <c r="T165" s="25">
        <f>IF(($L$5-2)&lt;1,"",IF(162&lt;=($L$5-2),I165,INDEX($I$4:$I$603,($L$5-2))))</f>
        <v/>
      </c>
    </row>
    <row r="166">
      <c r="A166" s="43" t="n"/>
      <c r="B166" s="43" t="n"/>
      <c r="C166" s="37">
        <f>IF(OR(A166="",A167=""),"",A167-A166)</f>
        <v/>
      </c>
      <c r="D166" s="37">
        <f>IF(C166="","",B167-B166)</f>
        <v/>
      </c>
      <c r="E166" s="37">
        <f>IF(C166="","",(A166+A167)/2)</f>
        <v/>
      </c>
      <c r="F166" s="25">
        <f>IF(OR(C166="",C166=0),"",D166/C166)</f>
        <v/>
      </c>
      <c r="G166" s="25">
        <f>IF(C166="","",D166/$L$6)</f>
        <v/>
      </c>
      <c r="H166" s="37">
        <f>IF(OR(F166="",F167=""),"",(E166+E167)/2)</f>
        <v/>
      </c>
      <c r="I166" s="25">
        <f>IF(H166="","",(F167-F166)/(E167-E166))</f>
        <v/>
      </c>
      <c r="P166" s="25">
        <f>IF(($L$5-1)&lt;1,"",IF(163&lt;=($L$5-1),E166,INDEX($E$4:$E$603,($L$5-1))))</f>
        <v/>
      </c>
      <c r="Q166" s="25">
        <f>IF(($L$5-1)&lt;1,"",IF(163&lt;=($L$5-1),F166,INDEX($F$4:$F$603,($L$5-1))))</f>
        <v/>
      </c>
      <c r="R166" s="25">
        <f>IF(($L$5-1)&lt;1,"",IF(163&lt;=($L$5-1),G166,INDEX($G$4:$G$603,($L$5-1))))</f>
        <v/>
      </c>
      <c r="S166" s="25">
        <f>IF(($L$5-2)&lt;1,"",IF(163&lt;=($L$5-2),H166,INDEX($H$4:$H$603,($L$5-2))))</f>
        <v/>
      </c>
      <c r="T166" s="25">
        <f>IF(($L$5-2)&lt;1,"",IF(163&lt;=($L$5-2),I166,INDEX($I$4:$I$603,($L$5-2))))</f>
        <v/>
      </c>
    </row>
    <row r="167">
      <c r="A167" s="43" t="n"/>
      <c r="B167" s="43" t="n"/>
      <c r="C167" s="37">
        <f>IF(OR(A167="",A168=""),"",A168-A167)</f>
        <v/>
      </c>
      <c r="D167" s="37">
        <f>IF(C167="","",B168-B167)</f>
        <v/>
      </c>
      <c r="E167" s="37">
        <f>IF(C167="","",(A167+A168)/2)</f>
        <v/>
      </c>
      <c r="F167" s="25">
        <f>IF(OR(C167="",C167=0),"",D167/C167)</f>
        <v/>
      </c>
      <c r="G167" s="25">
        <f>IF(C167="","",D167/$L$6)</f>
        <v/>
      </c>
      <c r="H167" s="37">
        <f>IF(OR(F167="",F168=""),"",(E167+E168)/2)</f>
        <v/>
      </c>
      <c r="I167" s="25">
        <f>IF(H167="","",(F168-F167)/(E168-E167))</f>
        <v/>
      </c>
      <c r="P167" s="25">
        <f>IF(($L$5-1)&lt;1,"",IF(164&lt;=($L$5-1),E167,INDEX($E$4:$E$603,($L$5-1))))</f>
        <v/>
      </c>
      <c r="Q167" s="25">
        <f>IF(($L$5-1)&lt;1,"",IF(164&lt;=($L$5-1),F167,INDEX($F$4:$F$603,($L$5-1))))</f>
        <v/>
      </c>
      <c r="R167" s="25">
        <f>IF(($L$5-1)&lt;1,"",IF(164&lt;=($L$5-1),G167,INDEX($G$4:$G$603,($L$5-1))))</f>
        <v/>
      </c>
      <c r="S167" s="25">
        <f>IF(($L$5-2)&lt;1,"",IF(164&lt;=($L$5-2),H167,INDEX($H$4:$H$603,($L$5-2))))</f>
        <v/>
      </c>
      <c r="T167" s="25">
        <f>IF(($L$5-2)&lt;1,"",IF(164&lt;=($L$5-2),I167,INDEX($I$4:$I$603,($L$5-2))))</f>
        <v/>
      </c>
    </row>
    <row r="168">
      <c r="A168" s="43" t="n"/>
      <c r="B168" s="43" t="n"/>
      <c r="C168" s="37">
        <f>IF(OR(A168="",A169=""),"",A169-A168)</f>
        <v/>
      </c>
      <c r="D168" s="37">
        <f>IF(C168="","",B169-B168)</f>
        <v/>
      </c>
      <c r="E168" s="37">
        <f>IF(C168="","",(A168+A169)/2)</f>
        <v/>
      </c>
      <c r="F168" s="25">
        <f>IF(OR(C168="",C168=0),"",D168/C168)</f>
        <v/>
      </c>
      <c r="G168" s="25">
        <f>IF(C168="","",D168/$L$6)</f>
        <v/>
      </c>
      <c r="H168" s="37">
        <f>IF(OR(F168="",F169=""),"",(E168+E169)/2)</f>
        <v/>
      </c>
      <c r="I168" s="25">
        <f>IF(H168="","",(F169-F168)/(E169-E168))</f>
        <v/>
      </c>
      <c r="P168" s="25">
        <f>IF(($L$5-1)&lt;1,"",IF(165&lt;=($L$5-1),E168,INDEX($E$4:$E$603,($L$5-1))))</f>
        <v/>
      </c>
      <c r="Q168" s="25">
        <f>IF(($L$5-1)&lt;1,"",IF(165&lt;=($L$5-1),F168,INDEX($F$4:$F$603,($L$5-1))))</f>
        <v/>
      </c>
      <c r="R168" s="25">
        <f>IF(($L$5-1)&lt;1,"",IF(165&lt;=($L$5-1),G168,INDEX($G$4:$G$603,($L$5-1))))</f>
        <v/>
      </c>
      <c r="S168" s="25">
        <f>IF(($L$5-2)&lt;1,"",IF(165&lt;=($L$5-2),H168,INDEX($H$4:$H$603,($L$5-2))))</f>
        <v/>
      </c>
      <c r="T168" s="25">
        <f>IF(($L$5-2)&lt;1,"",IF(165&lt;=($L$5-2),I168,INDEX($I$4:$I$603,($L$5-2))))</f>
        <v/>
      </c>
    </row>
    <row r="169">
      <c r="A169" s="43" t="n"/>
      <c r="B169" s="43" t="n"/>
      <c r="C169" s="37">
        <f>IF(OR(A169="",A170=""),"",A170-A169)</f>
        <v/>
      </c>
      <c r="D169" s="37">
        <f>IF(C169="","",B170-B169)</f>
        <v/>
      </c>
      <c r="E169" s="37">
        <f>IF(C169="","",(A169+A170)/2)</f>
        <v/>
      </c>
      <c r="F169" s="25">
        <f>IF(OR(C169="",C169=0),"",D169/C169)</f>
        <v/>
      </c>
      <c r="G169" s="25">
        <f>IF(C169="","",D169/$L$6)</f>
        <v/>
      </c>
      <c r="H169" s="37">
        <f>IF(OR(F169="",F170=""),"",(E169+E170)/2)</f>
        <v/>
      </c>
      <c r="I169" s="25">
        <f>IF(H169="","",(F170-F169)/(E170-E169))</f>
        <v/>
      </c>
      <c r="P169" s="25">
        <f>IF(($L$5-1)&lt;1,"",IF(166&lt;=($L$5-1),E169,INDEX($E$4:$E$603,($L$5-1))))</f>
        <v/>
      </c>
      <c r="Q169" s="25">
        <f>IF(($L$5-1)&lt;1,"",IF(166&lt;=($L$5-1),F169,INDEX($F$4:$F$603,($L$5-1))))</f>
        <v/>
      </c>
      <c r="R169" s="25">
        <f>IF(($L$5-1)&lt;1,"",IF(166&lt;=($L$5-1),G169,INDEX($G$4:$G$603,($L$5-1))))</f>
        <v/>
      </c>
      <c r="S169" s="25">
        <f>IF(($L$5-2)&lt;1,"",IF(166&lt;=($L$5-2),H169,INDEX($H$4:$H$603,($L$5-2))))</f>
        <v/>
      </c>
      <c r="T169" s="25">
        <f>IF(($L$5-2)&lt;1,"",IF(166&lt;=($L$5-2),I169,INDEX($I$4:$I$603,($L$5-2))))</f>
        <v/>
      </c>
    </row>
    <row r="170">
      <c r="A170" s="43" t="n"/>
      <c r="B170" s="43" t="n"/>
      <c r="C170" s="37">
        <f>IF(OR(A170="",A171=""),"",A171-A170)</f>
        <v/>
      </c>
      <c r="D170" s="37">
        <f>IF(C170="","",B171-B170)</f>
        <v/>
      </c>
      <c r="E170" s="37">
        <f>IF(C170="","",(A170+A171)/2)</f>
        <v/>
      </c>
      <c r="F170" s="25">
        <f>IF(OR(C170="",C170=0),"",D170/C170)</f>
        <v/>
      </c>
      <c r="G170" s="25">
        <f>IF(C170="","",D170/$L$6)</f>
        <v/>
      </c>
      <c r="H170" s="37">
        <f>IF(OR(F170="",F171=""),"",(E170+E171)/2)</f>
        <v/>
      </c>
      <c r="I170" s="25">
        <f>IF(H170="","",(F171-F170)/(E171-E170))</f>
        <v/>
      </c>
      <c r="P170" s="25">
        <f>IF(($L$5-1)&lt;1,"",IF(167&lt;=($L$5-1),E170,INDEX($E$4:$E$603,($L$5-1))))</f>
        <v/>
      </c>
      <c r="Q170" s="25">
        <f>IF(($L$5-1)&lt;1,"",IF(167&lt;=($L$5-1),F170,INDEX($F$4:$F$603,($L$5-1))))</f>
        <v/>
      </c>
      <c r="R170" s="25">
        <f>IF(($L$5-1)&lt;1,"",IF(167&lt;=($L$5-1),G170,INDEX($G$4:$G$603,($L$5-1))))</f>
        <v/>
      </c>
      <c r="S170" s="25">
        <f>IF(($L$5-2)&lt;1,"",IF(167&lt;=($L$5-2),H170,INDEX($H$4:$H$603,($L$5-2))))</f>
        <v/>
      </c>
      <c r="T170" s="25">
        <f>IF(($L$5-2)&lt;1,"",IF(167&lt;=($L$5-2),I170,INDEX($I$4:$I$603,($L$5-2))))</f>
        <v/>
      </c>
    </row>
    <row r="171">
      <c r="A171" s="43" t="n"/>
      <c r="B171" s="43" t="n"/>
      <c r="C171" s="37">
        <f>IF(OR(A171="",A172=""),"",A172-A171)</f>
        <v/>
      </c>
      <c r="D171" s="37">
        <f>IF(C171="","",B172-B171)</f>
        <v/>
      </c>
      <c r="E171" s="37">
        <f>IF(C171="","",(A171+A172)/2)</f>
        <v/>
      </c>
      <c r="F171" s="25">
        <f>IF(OR(C171="",C171=0),"",D171/C171)</f>
        <v/>
      </c>
      <c r="G171" s="25">
        <f>IF(C171="","",D171/$L$6)</f>
        <v/>
      </c>
      <c r="H171" s="37">
        <f>IF(OR(F171="",F172=""),"",(E171+E172)/2)</f>
        <v/>
      </c>
      <c r="I171" s="25">
        <f>IF(H171="","",(F172-F171)/(E172-E171))</f>
        <v/>
      </c>
      <c r="P171" s="25">
        <f>IF(($L$5-1)&lt;1,"",IF(168&lt;=($L$5-1),E171,INDEX($E$4:$E$603,($L$5-1))))</f>
        <v/>
      </c>
      <c r="Q171" s="25">
        <f>IF(($L$5-1)&lt;1,"",IF(168&lt;=($L$5-1),F171,INDEX($F$4:$F$603,($L$5-1))))</f>
        <v/>
      </c>
      <c r="R171" s="25">
        <f>IF(($L$5-1)&lt;1,"",IF(168&lt;=($L$5-1),G171,INDEX($G$4:$G$603,($L$5-1))))</f>
        <v/>
      </c>
      <c r="S171" s="25">
        <f>IF(($L$5-2)&lt;1,"",IF(168&lt;=($L$5-2),H171,INDEX($H$4:$H$603,($L$5-2))))</f>
        <v/>
      </c>
      <c r="T171" s="25">
        <f>IF(($L$5-2)&lt;1,"",IF(168&lt;=($L$5-2),I171,INDEX($I$4:$I$603,($L$5-2))))</f>
        <v/>
      </c>
    </row>
    <row r="172">
      <c r="A172" s="43" t="n"/>
      <c r="B172" s="43" t="n"/>
      <c r="C172" s="37">
        <f>IF(OR(A172="",A173=""),"",A173-A172)</f>
        <v/>
      </c>
      <c r="D172" s="37">
        <f>IF(C172="","",B173-B172)</f>
        <v/>
      </c>
      <c r="E172" s="37">
        <f>IF(C172="","",(A172+A173)/2)</f>
        <v/>
      </c>
      <c r="F172" s="25">
        <f>IF(OR(C172="",C172=0),"",D172/C172)</f>
        <v/>
      </c>
      <c r="G172" s="25">
        <f>IF(C172="","",D172/$L$6)</f>
        <v/>
      </c>
      <c r="H172" s="37">
        <f>IF(OR(F172="",F173=""),"",(E172+E173)/2)</f>
        <v/>
      </c>
      <c r="I172" s="25">
        <f>IF(H172="","",(F173-F172)/(E173-E172))</f>
        <v/>
      </c>
      <c r="P172" s="25">
        <f>IF(($L$5-1)&lt;1,"",IF(169&lt;=($L$5-1),E172,INDEX($E$4:$E$603,($L$5-1))))</f>
        <v/>
      </c>
      <c r="Q172" s="25">
        <f>IF(($L$5-1)&lt;1,"",IF(169&lt;=($L$5-1),F172,INDEX($F$4:$F$603,($L$5-1))))</f>
        <v/>
      </c>
      <c r="R172" s="25">
        <f>IF(($L$5-1)&lt;1,"",IF(169&lt;=($L$5-1),G172,INDEX($G$4:$G$603,($L$5-1))))</f>
        <v/>
      </c>
      <c r="S172" s="25">
        <f>IF(($L$5-2)&lt;1,"",IF(169&lt;=($L$5-2),H172,INDEX($H$4:$H$603,($L$5-2))))</f>
        <v/>
      </c>
      <c r="T172" s="25">
        <f>IF(($L$5-2)&lt;1,"",IF(169&lt;=($L$5-2),I172,INDEX($I$4:$I$603,($L$5-2))))</f>
        <v/>
      </c>
    </row>
    <row r="173">
      <c r="A173" s="43" t="n"/>
      <c r="B173" s="43" t="n"/>
      <c r="C173" s="37">
        <f>IF(OR(A173="",A174=""),"",A174-A173)</f>
        <v/>
      </c>
      <c r="D173" s="37">
        <f>IF(C173="","",B174-B173)</f>
        <v/>
      </c>
      <c r="E173" s="37">
        <f>IF(C173="","",(A173+A174)/2)</f>
        <v/>
      </c>
      <c r="F173" s="25">
        <f>IF(OR(C173="",C173=0),"",D173/C173)</f>
        <v/>
      </c>
      <c r="G173" s="25">
        <f>IF(C173="","",D173/$L$6)</f>
        <v/>
      </c>
      <c r="H173" s="37">
        <f>IF(OR(F173="",F174=""),"",(E173+E174)/2)</f>
        <v/>
      </c>
      <c r="I173" s="25">
        <f>IF(H173="","",(F174-F173)/(E174-E173))</f>
        <v/>
      </c>
      <c r="P173" s="25">
        <f>IF(($L$5-1)&lt;1,"",IF(170&lt;=($L$5-1),E173,INDEX($E$4:$E$603,($L$5-1))))</f>
        <v/>
      </c>
      <c r="Q173" s="25">
        <f>IF(($L$5-1)&lt;1,"",IF(170&lt;=($L$5-1),F173,INDEX($F$4:$F$603,($L$5-1))))</f>
        <v/>
      </c>
      <c r="R173" s="25">
        <f>IF(($L$5-1)&lt;1,"",IF(170&lt;=($L$5-1),G173,INDEX($G$4:$G$603,($L$5-1))))</f>
        <v/>
      </c>
      <c r="S173" s="25">
        <f>IF(($L$5-2)&lt;1,"",IF(170&lt;=($L$5-2),H173,INDEX($H$4:$H$603,($L$5-2))))</f>
        <v/>
      </c>
      <c r="T173" s="25">
        <f>IF(($L$5-2)&lt;1,"",IF(170&lt;=($L$5-2),I173,INDEX($I$4:$I$603,($L$5-2))))</f>
        <v/>
      </c>
    </row>
    <row r="174">
      <c r="A174" s="43" t="n"/>
      <c r="B174" s="43" t="n"/>
      <c r="C174" s="37">
        <f>IF(OR(A174="",A175=""),"",A175-A174)</f>
        <v/>
      </c>
      <c r="D174" s="37">
        <f>IF(C174="","",B175-B174)</f>
        <v/>
      </c>
      <c r="E174" s="37">
        <f>IF(C174="","",(A174+A175)/2)</f>
        <v/>
      </c>
      <c r="F174" s="25">
        <f>IF(OR(C174="",C174=0),"",D174/C174)</f>
        <v/>
      </c>
      <c r="G174" s="25">
        <f>IF(C174="","",D174/$L$6)</f>
        <v/>
      </c>
      <c r="H174" s="37">
        <f>IF(OR(F174="",F175=""),"",(E174+E175)/2)</f>
        <v/>
      </c>
      <c r="I174" s="25">
        <f>IF(H174="","",(F175-F174)/(E175-E174))</f>
        <v/>
      </c>
      <c r="P174" s="25">
        <f>IF(($L$5-1)&lt;1,"",IF(171&lt;=($L$5-1),E174,INDEX($E$4:$E$603,($L$5-1))))</f>
        <v/>
      </c>
      <c r="Q174" s="25">
        <f>IF(($L$5-1)&lt;1,"",IF(171&lt;=($L$5-1),F174,INDEX($F$4:$F$603,($L$5-1))))</f>
        <v/>
      </c>
      <c r="R174" s="25">
        <f>IF(($L$5-1)&lt;1,"",IF(171&lt;=($L$5-1),G174,INDEX($G$4:$G$603,($L$5-1))))</f>
        <v/>
      </c>
      <c r="S174" s="25">
        <f>IF(($L$5-2)&lt;1,"",IF(171&lt;=($L$5-2),H174,INDEX($H$4:$H$603,($L$5-2))))</f>
        <v/>
      </c>
      <c r="T174" s="25">
        <f>IF(($L$5-2)&lt;1,"",IF(171&lt;=($L$5-2),I174,INDEX($I$4:$I$603,($L$5-2))))</f>
        <v/>
      </c>
    </row>
    <row r="175">
      <c r="A175" s="43" t="n"/>
      <c r="B175" s="43" t="n"/>
      <c r="C175" s="37">
        <f>IF(OR(A175="",A176=""),"",A176-A175)</f>
        <v/>
      </c>
      <c r="D175" s="37">
        <f>IF(C175="","",B176-B175)</f>
        <v/>
      </c>
      <c r="E175" s="37">
        <f>IF(C175="","",(A175+A176)/2)</f>
        <v/>
      </c>
      <c r="F175" s="25">
        <f>IF(OR(C175="",C175=0),"",D175/C175)</f>
        <v/>
      </c>
      <c r="G175" s="25">
        <f>IF(C175="","",D175/$L$6)</f>
        <v/>
      </c>
      <c r="H175" s="37">
        <f>IF(OR(F175="",F176=""),"",(E175+E176)/2)</f>
        <v/>
      </c>
      <c r="I175" s="25">
        <f>IF(H175="","",(F176-F175)/(E176-E175))</f>
        <v/>
      </c>
      <c r="P175" s="25">
        <f>IF(($L$5-1)&lt;1,"",IF(172&lt;=($L$5-1),E175,INDEX($E$4:$E$603,($L$5-1))))</f>
        <v/>
      </c>
      <c r="Q175" s="25">
        <f>IF(($L$5-1)&lt;1,"",IF(172&lt;=($L$5-1),F175,INDEX($F$4:$F$603,($L$5-1))))</f>
        <v/>
      </c>
      <c r="R175" s="25">
        <f>IF(($L$5-1)&lt;1,"",IF(172&lt;=($L$5-1),G175,INDEX($G$4:$G$603,($L$5-1))))</f>
        <v/>
      </c>
      <c r="S175" s="25">
        <f>IF(($L$5-2)&lt;1,"",IF(172&lt;=($L$5-2),H175,INDEX($H$4:$H$603,($L$5-2))))</f>
        <v/>
      </c>
      <c r="T175" s="25">
        <f>IF(($L$5-2)&lt;1,"",IF(172&lt;=($L$5-2),I175,INDEX($I$4:$I$603,($L$5-2))))</f>
        <v/>
      </c>
    </row>
    <row r="176">
      <c r="A176" s="43" t="n"/>
      <c r="B176" s="43" t="n"/>
      <c r="C176" s="37">
        <f>IF(OR(A176="",A177=""),"",A177-A176)</f>
        <v/>
      </c>
      <c r="D176" s="37">
        <f>IF(C176="","",B177-B176)</f>
        <v/>
      </c>
      <c r="E176" s="37">
        <f>IF(C176="","",(A176+A177)/2)</f>
        <v/>
      </c>
      <c r="F176" s="25">
        <f>IF(OR(C176="",C176=0),"",D176/C176)</f>
        <v/>
      </c>
      <c r="G176" s="25">
        <f>IF(C176="","",D176/$L$6)</f>
        <v/>
      </c>
      <c r="H176" s="37">
        <f>IF(OR(F176="",F177=""),"",(E176+E177)/2)</f>
        <v/>
      </c>
      <c r="I176" s="25">
        <f>IF(H176="","",(F177-F176)/(E177-E176))</f>
        <v/>
      </c>
      <c r="P176" s="25">
        <f>IF(($L$5-1)&lt;1,"",IF(173&lt;=($L$5-1),E176,INDEX($E$4:$E$603,($L$5-1))))</f>
        <v/>
      </c>
      <c r="Q176" s="25">
        <f>IF(($L$5-1)&lt;1,"",IF(173&lt;=($L$5-1),F176,INDEX($F$4:$F$603,($L$5-1))))</f>
        <v/>
      </c>
      <c r="R176" s="25">
        <f>IF(($L$5-1)&lt;1,"",IF(173&lt;=($L$5-1),G176,INDEX($G$4:$G$603,($L$5-1))))</f>
        <v/>
      </c>
      <c r="S176" s="25">
        <f>IF(($L$5-2)&lt;1,"",IF(173&lt;=($L$5-2),H176,INDEX($H$4:$H$603,($L$5-2))))</f>
        <v/>
      </c>
      <c r="T176" s="25">
        <f>IF(($L$5-2)&lt;1,"",IF(173&lt;=($L$5-2),I176,INDEX($I$4:$I$603,($L$5-2))))</f>
        <v/>
      </c>
    </row>
    <row r="177">
      <c r="A177" s="43" t="n"/>
      <c r="B177" s="43" t="n"/>
      <c r="C177" s="37">
        <f>IF(OR(A177="",A178=""),"",A178-A177)</f>
        <v/>
      </c>
      <c r="D177" s="37">
        <f>IF(C177="","",B178-B177)</f>
        <v/>
      </c>
      <c r="E177" s="37">
        <f>IF(C177="","",(A177+A178)/2)</f>
        <v/>
      </c>
      <c r="F177" s="25">
        <f>IF(OR(C177="",C177=0),"",D177/C177)</f>
        <v/>
      </c>
      <c r="G177" s="25">
        <f>IF(C177="","",D177/$L$6)</f>
        <v/>
      </c>
      <c r="H177" s="37">
        <f>IF(OR(F177="",F178=""),"",(E177+E178)/2)</f>
        <v/>
      </c>
      <c r="I177" s="25">
        <f>IF(H177="","",(F178-F177)/(E178-E177))</f>
        <v/>
      </c>
      <c r="P177" s="25">
        <f>IF(($L$5-1)&lt;1,"",IF(174&lt;=($L$5-1),E177,INDEX($E$4:$E$603,($L$5-1))))</f>
        <v/>
      </c>
      <c r="Q177" s="25">
        <f>IF(($L$5-1)&lt;1,"",IF(174&lt;=($L$5-1),F177,INDEX($F$4:$F$603,($L$5-1))))</f>
        <v/>
      </c>
      <c r="R177" s="25">
        <f>IF(($L$5-1)&lt;1,"",IF(174&lt;=($L$5-1),G177,INDEX($G$4:$G$603,($L$5-1))))</f>
        <v/>
      </c>
      <c r="S177" s="25">
        <f>IF(($L$5-2)&lt;1,"",IF(174&lt;=($L$5-2),H177,INDEX($H$4:$H$603,($L$5-2))))</f>
        <v/>
      </c>
      <c r="T177" s="25">
        <f>IF(($L$5-2)&lt;1,"",IF(174&lt;=($L$5-2),I177,INDEX($I$4:$I$603,($L$5-2))))</f>
        <v/>
      </c>
    </row>
    <row r="178">
      <c r="A178" s="43" t="n"/>
      <c r="B178" s="43" t="n"/>
      <c r="C178" s="37">
        <f>IF(OR(A178="",A179=""),"",A179-A178)</f>
        <v/>
      </c>
      <c r="D178" s="37">
        <f>IF(C178="","",B179-B178)</f>
        <v/>
      </c>
      <c r="E178" s="37">
        <f>IF(C178="","",(A178+A179)/2)</f>
        <v/>
      </c>
      <c r="F178" s="25">
        <f>IF(OR(C178="",C178=0),"",D178/C178)</f>
        <v/>
      </c>
      <c r="G178" s="25">
        <f>IF(C178="","",D178/$L$6)</f>
        <v/>
      </c>
      <c r="H178" s="37">
        <f>IF(OR(F178="",F179=""),"",(E178+E179)/2)</f>
        <v/>
      </c>
      <c r="I178" s="25">
        <f>IF(H178="","",(F179-F178)/(E179-E178))</f>
        <v/>
      </c>
      <c r="P178" s="25">
        <f>IF(($L$5-1)&lt;1,"",IF(175&lt;=($L$5-1),E178,INDEX($E$4:$E$603,($L$5-1))))</f>
        <v/>
      </c>
      <c r="Q178" s="25">
        <f>IF(($L$5-1)&lt;1,"",IF(175&lt;=($L$5-1),F178,INDEX($F$4:$F$603,($L$5-1))))</f>
        <v/>
      </c>
      <c r="R178" s="25">
        <f>IF(($L$5-1)&lt;1,"",IF(175&lt;=($L$5-1),G178,INDEX($G$4:$G$603,($L$5-1))))</f>
        <v/>
      </c>
      <c r="S178" s="25">
        <f>IF(($L$5-2)&lt;1,"",IF(175&lt;=($L$5-2),H178,INDEX($H$4:$H$603,($L$5-2))))</f>
        <v/>
      </c>
      <c r="T178" s="25">
        <f>IF(($L$5-2)&lt;1,"",IF(175&lt;=($L$5-2),I178,INDEX($I$4:$I$603,($L$5-2))))</f>
        <v/>
      </c>
    </row>
    <row r="179">
      <c r="A179" s="43" t="n"/>
      <c r="B179" s="43" t="n"/>
      <c r="C179" s="37">
        <f>IF(OR(A179="",A180=""),"",A180-A179)</f>
        <v/>
      </c>
      <c r="D179" s="37">
        <f>IF(C179="","",B180-B179)</f>
        <v/>
      </c>
      <c r="E179" s="37">
        <f>IF(C179="","",(A179+A180)/2)</f>
        <v/>
      </c>
      <c r="F179" s="25">
        <f>IF(OR(C179="",C179=0),"",D179/C179)</f>
        <v/>
      </c>
      <c r="G179" s="25">
        <f>IF(C179="","",D179/$L$6)</f>
        <v/>
      </c>
      <c r="H179" s="37">
        <f>IF(OR(F179="",F180=""),"",(E179+E180)/2)</f>
        <v/>
      </c>
      <c r="I179" s="25">
        <f>IF(H179="","",(F180-F179)/(E180-E179))</f>
        <v/>
      </c>
      <c r="P179" s="25">
        <f>IF(($L$5-1)&lt;1,"",IF(176&lt;=($L$5-1),E179,INDEX($E$4:$E$603,($L$5-1))))</f>
        <v/>
      </c>
      <c r="Q179" s="25">
        <f>IF(($L$5-1)&lt;1,"",IF(176&lt;=($L$5-1),F179,INDEX($F$4:$F$603,($L$5-1))))</f>
        <v/>
      </c>
      <c r="R179" s="25">
        <f>IF(($L$5-1)&lt;1,"",IF(176&lt;=($L$5-1),G179,INDEX($G$4:$G$603,($L$5-1))))</f>
        <v/>
      </c>
      <c r="S179" s="25">
        <f>IF(($L$5-2)&lt;1,"",IF(176&lt;=($L$5-2),H179,INDEX($H$4:$H$603,($L$5-2))))</f>
        <v/>
      </c>
      <c r="T179" s="25">
        <f>IF(($L$5-2)&lt;1,"",IF(176&lt;=($L$5-2),I179,INDEX($I$4:$I$603,($L$5-2))))</f>
        <v/>
      </c>
    </row>
    <row r="180">
      <c r="A180" s="43" t="n"/>
      <c r="B180" s="43" t="n"/>
      <c r="C180" s="37">
        <f>IF(OR(A180="",A181=""),"",A181-A180)</f>
        <v/>
      </c>
      <c r="D180" s="37">
        <f>IF(C180="","",B181-B180)</f>
        <v/>
      </c>
      <c r="E180" s="37">
        <f>IF(C180="","",(A180+A181)/2)</f>
        <v/>
      </c>
      <c r="F180" s="25">
        <f>IF(OR(C180="",C180=0),"",D180/C180)</f>
        <v/>
      </c>
      <c r="G180" s="25">
        <f>IF(C180="","",D180/$L$6)</f>
        <v/>
      </c>
      <c r="H180" s="37">
        <f>IF(OR(F180="",F181=""),"",(E180+E181)/2)</f>
        <v/>
      </c>
      <c r="I180" s="25">
        <f>IF(H180="","",(F181-F180)/(E181-E180))</f>
        <v/>
      </c>
      <c r="P180" s="25">
        <f>IF(($L$5-1)&lt;1,"",IF(177&lt;=($L$5-1),E180,INDEX($E$4:$E$603,($L$5-1))))</f>
        <v/>
      </c>
      <c r="Q180" s="25">
        <f>IF(($L$5-1)&lt;1,"",IF(177&lt;=($L$5-1),F180,INDEX($F$4:$F$603,($L$5-1))))</f>
        <v/>
      </c>
      <c r="R180" s="25">
        <f>IF(($L$5-1)&lt;1,"",IF(177&lt;=($L$5-1),G180,INDEX($G$4:$G$603,($L$5-1))))</f>
        <v/>
      </c>
      <c r="S180" s="25">
        <f>IF(($L$5-2)&lt;1,"",IF(177&lt;=($L$5-2),H180,INDEX($H$4:$H$603,($L$5-2))))</f>
        <v/>
      </c>
      <c r="T180" s="25">
        <f>IF(($L$5-2)&lt;1,"",IF(177&lt;=($L$5-2),I180,INDEX($I$4:$I$603,($L$5-2))))</f>
        <v/>
      </c>
    </row>
    <row r="181">
      <c r="A181" s="43" t="n"/>
      <c r="B181" s="43" t="n"/>
      <c r="C181" s="37">
        <f>IF(OR(A181="",A182=""),"",A182-A181)</f>
        <v/>
      </c>
      <c r="D181" s="37">
        <f>IF(C181="","",B182-B181)</f>
        <v/>
      </c>
      <c r="E181" s="37">
        <f>IF(C181="","",(A181+A182)/2)</f>
        <v/>
      </c>
      <c r="F181" s="25">
        <f>IF(OR(C181="",C181=0),"",D181/C181)</f>
        <v/>
      </c>
      <c r="G181" s="25">
        <f>IF(C181="","",D181/$L$6)</f>
        <v/>
      </c>
      <c r="H181" s="37">
        <f>IF(OR(F181="",F182=""),"",(E181+E182)/2)</f>
        <v/>
      </c>
      <c r="I181" s="25">
        <f>IF(H181="","",(F182-F181)/(E182-E181))</f>
        <v/>
      </c>
      <c r="P181" s="25">
        <f>IF(($L$5-1)&lt;1,"",IF(178&lt;=($L$5-1),E181,INDEX($E$4:$E$603,($L$5-1))))</f>
        <v/>
      </c>
      <c r="Q181" s="25">
        <f>IF(($L$5-1)&lt;1,"",IF(178&lt;=($L$5-1),F181,INDEX($F$4:$F$603,($L$5-1))))</f>
        <v/>
      </c>
      <c r="R181" s="25">
        <f>IF(($L$5-1)&lt;1,"",IF(178&lt;=($L$5-1),G181,INDEX($G$4:$G$603,($L$5-1))))</f>
        <v/>
      </c>
      <c r="S181" s="25">
        <f>IF(($L$5-2)&lt;1,"",IF(178&lt;=($L$5-2),H181,INDEX($H$4:$H$603,($L$5-2))))</f>
        <v/>
      </c>
      <c r="T181" s="25">
        <f>IF(($L$5-2)&lt;1,"",IF(178&lt;=($L$5-2),I181,INDEX($I$4:$I$603,($L$5-2))))</f>
        <v/>
      </c>
    </row>
    <row r="182">
      <c r="A182" s="43" t="n"/>
      <c r="B182" s="43" t="n"/>
      <c r="C182" s="37">
        <f>IF(OR(A182="",A183=""),"",A183-A182)</f>
        <v/>
      </c>
      <c r="D182" s="37">
        <f>IF(C182="","",B183-B182)</f>
        <v/>
      </c>
      <c r="E182" s="37">
        <f>IF(C182="","",(A182+A183)/2)</f>
        <v/>
      </c>
      <c r="F182" s="25">
        <f>IF(OR(C182="",C182=0),"",D182/C182)</f>
        <v/>
      </c>
      <c r="G182" s="25">
        <f>IF(C182="","",D182/$L$6)</f>
        <v/>
      </c>
      <c r="H182" s="37">
        <f>IF(OR(F182="",F183=""),"",(E182+E183)/2)</f>
        <v/>
      </c>
      <c r="I182" s="25">
        <f>IF(H182="","",(F183-F182)/(E183-E182))</f>
        <v/>
      </c>
      <c r="P182" s="25">
        <f>IF(($L$5-1)&lt;1,"",IF(179&lt;=($L$5-1),E182,INDEX($E$4:$E$603,($L$5-1))))</f>
        <v/>
      </c>
      <c r="Q182" s="25">
        <f>IF(($L$5-1)&lt;1,"",IF(179&lt;=($L$5-1),F182,INDEX($F$4:$F$603,($L$5-1))))</f>
        <v/>
      </c>
      <c r="R182" s="25">
        <f>IF(($L$5-1)&lt;1,"",IF(179&lt;=($L$5-1),G182,INDEX($G$4:$G$603,($L$5-1))))</f>
        <v/>
      </c>
      <c r="S182" s="25">
        <f>IF(($L$5-2)&lt;1,"",IF(179&lt;=($L$5-2),H182,INDEX($H$4:$H$603,($L$5-2))))</f>
        <v/>
      </c>
      <c r="T182" s="25">
        <f>IF(($L$5-2)&lt;1,"",IF(179&lt;=($L$5-2),I182,INDEX($I$4:$I$603,($L$5-2))))</f>
        <v/>
      </c>
    </row>
    <row r="183">
      <c r="A183" s="43" t="n"/>
      <c r="B183" s="43" t="n"/>
      <c r="C183" s="37">
        <f>IF(OR(A183="",A184=""),"",A184-A183)</f>
        <v/>
      </c>
      <c r="D183" s="37">
        <f>IF(C183="","",B184-B183)</f>
        <v/>
      </c>
      <c r="E183" s="37">
        <f>IF(C183="","",(A183+A184)/2)</f>
        <v/>
      </c>
      <c r="F183" s="25">
        <f>IF(OR(C183="",C183=0),"",D183/C183)</f>
        <v/>
      </c>
      <c r="G183" s="25">
        <f>IF(C183="","",D183/$L$6)</f>
        <v/>
      </c>
      <c r="H183" s="37">
        <f>IF(OR(F183="",F184=""),"",(E183+E184)/2)</f>
        <v/>
      </c>
      <c r="I183" s="25">
        <f>IF(H183="","",(F184-F183)/(E184-E183))</f>
        <v/>
      </c>
      <c r="P183" s="25">
        <f>IF(($L$5-1)&lt;1,"",IF(180&lt;=($L$5-1),E183,INDEX($E$4:$E$603,($L$5-1))))</f>
        <v/>
      </c>
      <c r="Q183" s="25">
        <f>IF(($L$5-1)&lt;1,"",IF(180&lt;=($L$5-1),F183,INDEX($F$4:$F$603,($L$5-1))))</f>
        <v/>
      </c>
      <c r="R183" s="25">
        <f>IF(($L$5-1)&lt;1,"",IF(180&lt;=($L$5-1),G183,INDEX($G$4:$G$603,($L$5-1))))</f>
        <v/>
      </c>
      <c r="S183" s="25">
        <f>IF(($L$5-2)&lt;1,"",IF(180&lt;=($L$5-2),H183,INDEX($H$4:$H$603,($L$5-2))))</f>
        <v/>
      </c>
      <c r="T183" s="25">
        <f>IF(($L$5-2)&lt;1,"",IF(180&lt;=($L$5-2),I183,INDEX($I$4:$I$603,($L$5-2))))</f>
        <v/>
      </c>
    </row>
    <row r="184">
      <c r="A184" s="43" t="n"/>
      <c r="B184" s="43" t="n"/>
      <c r="C184" s="37">
        <f>IF(OR(A184="",A185=""),"",A185-A184)</f>
        <v/>
      </c>
      <c r="D184" s="37">
        <f>IF(C184="","",B185-B184)</f>
        <v/>
      </c>
      <c r="E184" s="37">
        <f>IF(C184="","",(A184+A185)/2)</f>
        <v/>
      </c>
      <c r="F184" s="25">
        <f>IF(OR(C184="",C184=0),"",D184/C184)</f>
        <v/>
      </c>
      <c r="G184" s="25">
        <f>IF(C184="","",D184/$L$6)</f>
        <v/>
      </c>
      <c r="H184" s="37">
        <f>IF(OR(F184="",F185=""),"",(E184+E185)/2)</f>
        <v/>
      </c>
      <c r="I184" s="25">
        <f>IF(H184="","",(F185-F184)/(E185-E184))</f>
        <v/>
      </c>
      <c r="P184" s="25">
        <f>IF(($L$5-1)&lt;1,"",IF(181&lt;=($L$5-1),E184,INDEX($E$4:$E$603,($L$5-1))))</f>
        <v/>
      </c>
      <c r="Q184" s="25">
        <f>IF(($L$5-1)&lt;1,"",IF(181&lt;=($L$5-1),F184,INDEX($F$4:$F$603,($L$5-1))))</f>
        <v/>
      </c>
      <c r="R184" s="25">
        <f>IF(($L$5-1)&lt;1,"",IF(181&lt;=($L$5-1),G184,INDEX($G$4:$G$603,($L$5-1))))</f>
        <v/>
      </c>
      <c r="S184" s="25">
        <f>IF(($L$5-2)&lt;1,"",IF(181&lt;=($L$5-2),H184,INDEX($H$4:$H$603,($L$5-2))))</f>
        <v/>
      </c>
      <c r="T184" s="25">
        <f>IF(($L$5-2)&lt;1,"",IF(181&lt;=($L$5-2),I184,INDEX($I$4:$I$603,($L$5-2))))</f>
        <v/>
      </c>
    </row>
    <row r="185">
      <c r="A185" s="43" t="n"/>
      <c r="B185" s="43" t="n"/>
      <c r="C185" s="37">
        <f>IF(OR(A185="",A186=""),"",A186-A185)</f>
        <v/>
      </c>
      <c r="D185" s="37">
        <f>IF(C185="","",B186-B185)</f>
        <v/>
      </c>
      <c r="E185" s="37">
        <f>IF(C185="","",(A185+A186)/2)</f>
        <v/>
      </c>
      <c r="F185" s="25">
        <f>IF(OR(C185="",C185=0),"",D185/C185)</f>
        <v/>
      </c>
      <c r="G185" s="25">
        <f>IF(C185="","",D185/$L$6)</f>
        <v/>
      </c>
      <c r="H185" s="37">
        <f>IF(OR(F185="",F186=""),"",(E185+E186)/2)</f>
        <v/>
      </c>
      <c r="I185" s="25">
        <f>IF(H185="","",(F186-F185)/(E186-E185))</f>
        <v/>
      </c>
      <c r="P185" s="25">
        <f>IF(($L$5-1)&lt;1,"",IF(182&lt;=($L$5-1),E185,INDEX($E$4:$E$603,($L$5-1))))</f>
        <v/>
      </c>
      <c r="Q185" s="25">
        <f>IF(($L$5-1)&lt;1,"",IF(182&lt;=($L$5-1),F185,INDEX($F$4:$F$603,($L$5-1))))</f>
        <v/>
      </c>
      <c r="R185" s="25">
        <f>IF(($L$5-1)&lt;1,"",IF(182&lt;=($L$5-1),G185,INDEX($G$4:$G$603,($L$5-1))))</f>
        <v/>
      </c>
      <c r="S185" s="25">
        <f>IF(($L$5-2)&lt;1,"",IF(182&lt;=($L$5-2),H185,INDEX($H$4:$H$603,($L$5-2))))</f>
        <v/>
      </c>
      <c r="T185" s="25">
        <f>IF(($L$5-2)&lt;1,"",IF(182&lt;=($L$5-2),I185,INDEX($I$4:$I$603,($L$5-2))))</f>
        <v/>
      </c>
    </row>
    <row r="186">
      <c r="A186" s="43" t="n"/>
      <c r="B186" s="43" t="n"/>
      <c r="C186" s="37">
        <f>IF(OR(A186="",A187=""),"",A187-A186)</f>
        <v/>
      </c>
      <c r="D186" s="37">
        <f>IF(C186="","",B187-B186)</f>
        <v/>
      </c>
      <c r="E186" s="37">
        <f>IF(C186="","",(A186+A187)/2)</f>
        <v/>
      </c>
      <c r="F186" s="25">
        <f>IF(OR(C186="",C186=0),"",D186/C186)</f>
        <v/>
      </c>
      <c r="G186" s="25">
        <f>IF(C186="","",D186/$L$6)</f>
        <v/>
      </c>
      <c r="H186" s="37">
        <f>IF(OR(F186="",F187=""),"",(E186+E187)/2)</f>
        <v/>
      </c>
      <c r="I186" s="25">
        <f>IF(H186="","",(F187-F186)/(E187-E186))</f>
        <v/>
      </c>
      <c r="P186" s="25">
        <f>IF(($L$5-1)&lt;1,"",IF(183&lt;=($L$5-1),E186,INDEX($E$4:$E$603,($L$5-1))))</f>
        <v/>
      </c>
      <c r="Q186" s="25">
        <f>IF(($L$5-1)&lt;1,"",IF(183&lt;=($L$5-1),F186,INDEX($F$4:$F$603,($L$5-1))))</f>
        <v/>
      </c>
      <c r="R186" s="25">
        <f>IF(($L$5-1)&lt;1,"",IF(183&lt;=($L$5-1),G186,INDEX($G$4:$G$603,($L$5-1))))</f>
        <v/>
      </c>
      <c r="S186" s="25">
        <f>IF(($L$5-2)&lt;1,"",IF(183&lt;=($L$5-2),H186,INDEX($H$4:$H$603,($L$5-2))))</f>
        <v/>
      </c>
      <c r="T186" s="25">
        <f>IF(($L$5-2)&lt;1,"",IF(183&lt;=($L$5-2),I186,INDEX($I$4:$I$603,($L$5-2))))</f>
        <v/>
      </c>
    </row>
    <row r="187">
      <c r="A187" s="43" t="n"/>
      <c r="B187" s="43" t="n"/>
      <c r="C187" s="37">
        <f>IF(OR(A187="",A188=""),"",A188-A187)</f>
        <v/>
      </c>
      <c r="D187" s="37">
        <f>IF(C187="","",B188-B187)</f>
        <v/>
      </c>
      <c r="E187" s="37">
        <f>IF(C187="","",(A187+A188)/2)</f>
        <v/>
      </c>
      <c r="F187" s="25">
        <f>IF(OR(C187="",C187=0),"",D187/C187)</f>
        <v/>
      </c>
      <c r="G187" s="25">
        <f>IF(C187="","",D187/$L$6)</f>
        <v/>
      </c>
      <c r="H187" s="37">
        <f>IF(OR(F187="",F188=""),"",(E187+E188)/2)</f>
        <v/>
      </c>
      <c r="I187" s="25">
        <f>IF(H187="","",(F188-F187)/(E188-E187))</f>
        <v/>
      </c>
      <c r="P187" s="25">
        <f>IF(($L$5-1)&lt;1,"",IF(184&lt;=($L$5-1),E187,INDEX($E$4:$E$603,($L$5-1))))</f>
        <v/>
      </c>
      <c r="Q187" s="25">
        <f>IF(($L$5-1)&lt;1,"",IF(184&lt;=($L$5-1),F187,INDEX($F$4:$F$603,($L$5-1))))</f>
        <v/>
      </c>
      <c r="R187" s="25">
        <f>IF(($L$5-1)&lt;1,"",IF(184&lt;=($L$5-1),G187,INDEX($G$4:$G$603,($L$5-1))))</f>
        <v/>
      </c>
      <c r="S187" s="25">
        <f>IF(($L$5-2)&lt;1,"",IF(184&lt;=($L$5-2),H187,INDEX($H$4:$H$603,($L$5-2))))</f>
        <v/>
      </c>
      <c r="T187" s="25">
        <f>IF(($L$5-2)&lt;1,"",IF(184&lt;=($L$5-2),I187,INDEX($I$4:$I$603,($L$5-2))))</f>
        <v/>
      </c>
    </row>
    <row r="188">
      <c r="A188" s="43" t="n"/>
      <c r="B188" s="43" t="n"/>
      <c r="C188" s="37">
        <f>IF(OR(A188="",A189=""),"",A189-A188)</f>
        <v/>
      </c>
      <c r="D188" s="37">
        <f>IF(C188="","",B189-B188)</f>
        <v/>
      </c>
      <c r="E188" s="37">
        <f>IF(C188="","",(A188+A189)/2)</f>
        <v/>
      </c>
      <c r="F188" s="25">
        <f>IF(OR(C188="",C188=0),"",D188/C188)</f>
        <v/>
      </c>
      <c r="G188" s="25">
        <f>IF(C188="","",D188/$L$6)</f>
        <v/>
      </c>
      <c r="H188" s="37">
        <f>IF(OR(F188="",F189=""),"",(E188+E189)/2)</f>
        <v/>
      </c>
      <c r="I188" s="25">
        <f>IF(H188="","",(F189-F188)/(E189-E188))</f>
        <v/>
      </c>
      <c r="P188" s="25">
        <f>IF(($L$5-1)&lt;1,"",IF(185&lt;=($L$5-1),E188,INDEX($E$4:$E$603,($L$5-1))))</f>
        <v/>
      </c>
      <c r="Q188" s="25">
        <f>IF(($L$5-1)&lt;1,"",IF(185&lt;=($L$5-1),F188,INDEX($F$4:$F$603,($L$5-1))))</f>
        <v/>
      </c>
      <c r="R188" s="25">
        <f>IF(($L$5-1)&lt;1,"",IF(185&lt;=($L$5-1),G188,INDEX($G$4:$G$603,($L$5-1))))</f>
        <v/>
      </c>
      <c r="S188" s="25">
        <f>IF(($L$5-2)&lt;1,"",IF(185&lt;=($L$5-2),H188,INDEX($H$4:$H$603,($L$5-2))))</f>
        <v/>
      </c>
      <c r="T188" s="25">
        <f>IF(($L$5-2)&lt;1,"",IF(185&lt;=($L$5-2),I188,INDEX($I$4:$I$603,($L$5-2))))</f>
        <v/>
      </c>
    </row>
    <row r="189">
      <c r="A189" s="43" t="n"/>
      <c r="B189" s="43" t="n"/>
      <c r="C189" s="37">
        <f>IF(OR(A189="",A190=""),"",A190-A189)</f>
        <v/>
      </c>
      <c r="D189" s="37">
        <f>IF(C189="","",B190-B189)</f>
        <v/>
      </c>
      <c r="E189" s="37">
        <f>IF(C189="","",(A189+A190)/2)</f>
        <v/>
      </c>
      <c r="F189" s="25">
        <f>IF(OR(C189="",C189=0),"",D189/C189)</f>
        <v/>
      </c>
      <c r="G189" s="25">
        <f>IF(C189="","",D189/$L$6)</f>
        <v/>
      </c>
      <c r="H189" s="37">
        <f>IF(OR(F189="",F190=""),"",(E189+E190)/2)</f>
        <v/>
      </c>
      <c r="I189" s="25">
        <f>IF(H189="","",(F190-F189)/(E190-E189))</f>
        <v/>
      </c>
      <c r="P189" s="25">
        <f>IF(($L$5-1)&lt;1,"",IF(186&lt;=($L$5-1),E189,INDEX($E$4:$E$603,($L$5-1))))</f>
        <v/>
      </c>
      <c r="Q189" s="25">
        <f>IF(($L$5-1)&lt;1,"",IF(186&lt;=($L$5-1),F189,INDEX($F$4:$F$603,($L$5-1))))</f>
        <v/>
      </c>
      <c r="R189" s="25">
        <f>IF(($L$5-1)&lt;1,"",IF(186&lt;=($L$5-1),G189,INDEX($G$4:$G$603,($L$5-1))))</f>
        <v/>
      </c>
      <c r="S189" s="25">
        <f>IF(($L$5-2)&lt;1,"",IF(186&lt;=($L$5-2),H189,INDEX($H$4:$H$603,($L$5-2))))</f>
        <v/>
      </c>
      <c r="T189" s="25">
        <f>IF(($L$5-2)&lt;1,"",IF(186&lt;=($L$5-2),I189,INDEX($I$4:$I$603,($L$5-2))))</f>
        <v/>
      </c>
    </row>
    <row r="190">
      <c r="A190" s="43" t="n"/>
      <c r="B190" s="43" t="n"/>
      <c r="C190" s="37">
        <f>IF(OR(A190="",A191=""),"",A191-A190)</f>
        <v/>
      </c>
      <c r="D190" s="37">
        <f>IF(C190="","",B191-B190)</f>
        <v/>
      </c>
      <c r="E190" s="37">
        <f>IF(C190="","",(A190+A191)/2)</f>
        <v/>
      </c>
      <c r="F190" s="25">
        <f>IF(OR(C190="",C190=0),"",D190/C190)</f>
        <v/>
      </c>
      <c r="G190" s="25">
        <f>IF(C190="","",D190/$L$6)</f>
        <v/>
      </c>
      <c r="H190" s="37">
        <f>IF(OR(F190="",F191=""),"",(E190+E191)/2)</f>
        <v/>
      </c>
      <c r="I190" s="25">
        <f>IF(H190="","",(F191-F190)/(E191-E190))</f>
        <v/>
      </c>
      <c r="P190" s="25">
        <f>IF(($L$5-1)&lt;1,"",IF(187&lt;=($L$5-1),E190,INDEX($E$4:$E$603,($L$5-1))))</f>
        <v/>
      </c>
      <c r="Q190" s="25">
        <f>IF(($L$5-1)&lt;1,"",IF(187&lt;=($L$5-1),F190,INDEX($F$4:$F$603,($L$5-1))))</f>
        <v/>
      </c>
      <c r="R190" s="25">
        <f>IF(($L$5-1)&lt;1,"",IF(187&lt;=($L$5-1),G190,INDEX($G$4:$G$603,($L$5-1))))</f>
        <v/>
      </c>
      <c r="S190" s="25">
        <f>IF(($L$5-2)&lt;1,"",IF(187&lt;=($L$5-2),H190,INDEX($H$4:$H$603,($L$5-2))))</f>
        <v/>
      </c>
      <c r="T190" s="25">
        <f>IF(($L$5-2)&lt;1,"",IF(187&lt;=($L$5-2),I190,INDEX($I$4:$I$603,($L$5-2))))</f>
        <v/>
      </c>
    </row>
    <row r="191">
      <c r="A191" s="43" t="n"/>
      <c r="B191" s="43" t="n"/>
      <c r="C191" s="37">
        <f>IF(OR(A191="",A192=""),"",A192-A191)</f>
        <v/>
      </c>
      <c r="D191" s="37">
        <f>IF(C191="","",B192-B191)</f>
        <v/>
      </c>
      <c r="E191" s="37">
        <f>IF(C191="","",(A191+A192)/2)</f>
        <v/>
      </c>
      <c r="F191" s="25">
        <f>IF(OR(C191="",C191=0),"",D191/C191)</f>
        <v/>
      </c>
      <c r="G191" s="25">
        <f>IF(C191="","",D191/$L$6)</f>
        <v/>
      </c>
      <c r="H191" s="37">
        <f>IF(OR(F191="",F192=""),"",(E191+E192)/2)</f>
        <v/>
      </c>
      <c r="I191" s="25">
        <f>IF(H191="","",(F192-F191)/(E192-E191))</f>
        <v/>
      </c>
      <c r="P191" s="25">
        <f>IF(($L$5-1)&lt;1,"",IF(188&lt;=($L$5-1),E191,INDEX($E$4:$E$603,($L$5-1))))</f>
        <v/>
      </c>
      <c r="Q191" s="25">
        <f>IF(($L$5-1)&lt;1,"",IF(188&lt;=($L$5-1),F191,INDEX($F$4:$F$603,($L$5-1))))</f>
        <v/>
      </c>
      <c r="R191" s="25">
        <f>IF(($L$5-1)&lt;1,"",IF(188&lt;=($L$5-1),G191,INDEX($G$4:$G$603,($L$5-1))))</f>
        <v/>
      </c>
      <c r="S191" s="25">
        <f>IF(($L$5-2)&lt;1,"",IF(188&lt;=($L$5-2),H191,INDEX($H$4:$H$603,($L$5-2))))</f>
        <v/>
      </c>
      <c r="T191" s="25">
        <f>IF(($L$5-2)&lt;1,"",IF(188&lt;=($L$5-2),I191,INDEX($I$4:$I$603,($L$5-2))))</f>
        <v/>
      </c>
    </row>
    <row r="192">
      <c r="A192" s="43" t="n"/>
      <c r="B192" s="43" t="n"/>
      <c r="C192" s="37">
        <f>IF(OR(A192="",A193=""),"",A193-A192)</f>
        <v/>
      </c>
      <c r="D192" s="37">
        <f>IF(C192="","",B193-B192)</f>
        <v/>
      </c>
      <c r="E192" s="37">
        <f>IF(C192="","",(A192+A193)/2)</f>
        <v/>
      </c>
      <c r="F192" s="25">
        <f>IF(OR(C192="",C192=0),"",D192/C192)</f>
        <v/>
      </c>
      <c r="G192" s="25">
        <f>IF(C192="","",D192/$L$6)</f>
        <v/>
      </c>
      <c r="H192" s="37">
        <f>IF(OR(F192="",F193=""),"",(E192+E193)/2)</f>
        <v/>
      </c>
      <c r="I192" s="25">
        <f>IF(H192="","",(F193-F192)/(E193-E192))</f>
        <v/>
      </c>
      <c r="P192" s="25">
        <f>IF(($L$5-1)&lt;1,"",IF(189&lt;=($L$5-1),E192,INDEX($E$4:$E$603,($L$5-1))))</f>
        <v/>
      </c>
      <c r="Q192" s="25">
        <f>IF(($L$5-1)&lt;1,"",IF(189&lt;=($L$5-1),F192,INDEX($F$4:$F$603,($L$5-1))))</f>
        <v/>
      </c>
      <c r="R192" s="25">
        <f>IF(($L$5-1)&lt;1,"",IF(189&lt;=($L$5-1),G192,INDEX($G$4:$G$603,($L$5-1))))</f>
        <v/>
      </c>
      <c r="S192" s="25">
        <f>IF(($L$5-2)&lt;1,"",IF(189&lt;=($L$5-2),H192,INDEX($H$4:$H$603,($L$5-2))))</f>
        <v/>
      </c>
      <c r="T192" s="25">
        <f>IF(($L$5-2)&lt;1,"",IF(189&lt;=($L$5-2),I192,INDEX($I$4:$I$603,($L$5-2))))</f>
        <v/>
      </c>
    </row>
    <row r="193">
      <c r="A193" s="43" t="n"/>
      <c r="B193" s="43" t="n"/>
      <c r="C193" s="37">
        <f>IF(OR(A193="",A194=""),"",A194-A193)</f>
        <v/>
      </c>
      <c r="D193" s="37">
        <f>IF(C193="","",B194-B193)</f>
        <v/>
      </c>
      <c r="E193" s="37">
        <f>IF(C193="","",(A193+A194)/2)</f>
        <v/>
      </c>
      <c r="F193" s="25">
        <f>IF(OR(C193="",C193=0),"",D193/C193)</f>
        <v/>
      </c>
      <c r="G193" s="25">
        <f>IF(C193="","",D193/$L$6)</f>
        <v/>
      </c>
      <c r="H193" s="37">
        <f>IF(OR(F193="",F194=""),"",(E193+E194)/2)</f>
        <v/>
      </c>
      <c r="I193" s="25">
        <f>IF(H193="","",(F194-F193)/(E194-E193))</f>
        <v/>
      </c>
      <c r="P193" s="25">
        <f>IF(($L$5-1)&lt;1,"",IF(190&lt;=($L$5-1),E193,INDEX($E$4:$E$603,($L$5-1))))</f>
        <v/>
      </c>
      <c r="Q193" s="25">
        <f>IF(($L$5-1)&lt;1,"",IF(190&lt;=($L$5-1),F193,INDEX($F$4:$F$603,($L$5-1))))</f>
        <v/>
      </c>
      <c r="R193" s="25">
        <f>IF(($L$5-1)&lt;1,"",IF(190&lt;=($L$5-1),G193,INDEX($G$4:$G$603,($L$5-1))))</f>
        <v/>
      </c>
      <c r="S193" s="25">
        <f>IF(($L$5-2)&lt;1,"",IF(190&lt;=($L$5-2),H193,INDEX($H$4:$H$603,($L$5-2))))</f>
        <v/>
      </c>
      <c r="T193" s="25">
        <f>IF(($L$5-2)&lt;1,"",IF(190&lt;=($L$5-2),I193,INDEX($I$4:$I$603,($L$5-2))))</f>
        <v/>
      </c>
    </row>
    <row r="194">
      <c r="A194" s="43" t="n"/>
      <c r="B194" s="43" t="n"/>
      <c r="C194" s="37">
        <f>IF(OR(A194="",A195=""),"",A195-A194)</f>
        <v/>
      </c>
      <c r="D194" s="37">
        <f>IF(C194="","",B195-B194)</f>
        <v/>
      </c>
      <c r="E194" s="37">
        <f>IF(C194="","",(A194+A195)/2)</f>
        <v/>
      </c>
      <c r="F194" s="25">
        <f>IF(OR(C194="",C194=0),"",D194/C194)</f>
        <v/>
      </c>
      <c r="G194" s="25">
        <f>IF(C194="","",D194/$L$6)</f>
        <v/>
      </c>
      <c r="H194" s="37">
        <f>IF(OR(F194="",F195=""),"",(E194+E195)/2)</f>
        <v/>
      </c>
      <c r="I194" s="25">
        <f>IF(H194="","",(F195-F194)/(E195-E194))</f>
        <v/>
      </c>
      <c r="P194" s="25">
        <f>IF(($L$5-1)&lt;1,"",IF(191&lt;=($L$5-1),E194,INDEX($E$4:$E$603,($L$5-1))))</f>
        <v/>
      </c>
      <c r="Q194" s="25">
        <f>IF(($L$5-1)&lt;1,"",IF(191&lt;=($L$5-1),F194,INDEX($F$4:$F$603,($L$5-1))))</f>
        <v/>
      </c>
      <c r="R194" s="25">
        <f>IF(($L$5-1)&lt;1,"",IF(191&lt;=($L$5-1),G194,INDEX($G$4:$G$603,($L$5-1))))</f>
        <v/>
      </c>
      <c r="S194" s="25">
        <f>IF(($L$5-2)&lt;1,"",IF(191&lt;=($L$5-2),H194,INDEX($H$4:$H$603,($L$5-2))))</f>
        <v/>
      </c>
      <c r="T194" s="25">
        <f>IF(($L$5-2)&lt;1,"",IF(191&lt;=($L$5-2),I194,INDEX($I$4:$I$603,($L$5-2))))</f>
        <v/>
      </c>
    </row>
    <row r="195">
      <c r="A195" s="43" t="n"/>
      <c r="B195" s="43" t="n"/>
      <c r="C195" s="37">
        <f>IF(OR(A195="",A196=""),"",A196-A195)</f>
        <v/>
      </c>
      <c r="D195" s="37">
        <f>IF(C195="","",B196-B195)</f>
        <v/>
      </c>
      <c r="E195" s="37">
        <f>IF(C195="","",(A195+A196)/2)</f>
        <v/>
      </c>
      <c r="F195" s="25">
        <f>IF(OR(C195="",C195=0),"",D195/C195)</f>
        <v/>
      </c>
      <c r="G195" s="25">
        <f>IF(C195="","",D195/$L$6)</f>
        <v/>
      </c>
      <c r="H195" s="37">
        <f>IF(OR(F195="",F196=""),"",(E195+E196)/2)</f>
        <v/>
      </c>
      <c r="I195" s="25">
        <f>IF(H195="","",(F196-F195)/(E196-E195))</f>
        <v/>
      </c>
      <c r="P195" s="25">
        <f>IF(($L$5-1)&lt;1,"",IF(192&lt;=($L$5-1),E195,INDEX($E$4:$E$603,($L$5-1))))</f>
        <v/>
      </c>
      <c r="Q195" s="25">
        <f>IF(($L$5-1)&lt;1,"",IF(192&lt;=($L$5-1),F195,INDEX($F$4:$F$603,($L$5-1))))</f>
        <v/>
      </c>
      <c r="R195" s="25">
        <f>IF(($L$5-1)&lt;1,"",IF(192&lt;=($L$5-1),G195,INDEX($G$4:$G$603,($L$5-1))))</f>
        <v/>
      </c>
      <c r="S195" s="25">
        <f>IF(($L$5-2)&lt;1,"",IF(192&lt;=($L$5-2),H195,INDEX($H$4:$H$603,($L$5-2))))</f>
        <v/>
      </c>
      <c r="T195" s="25">
        <f>IF(($L$5-2)&lt;1,"",IF(192&lt;=($L$5-2),I195,INDEX($I$4:$I$603,($L$5-2))))</f>
        <v/>
      </c>
    </row>
    <row r="196">
      <c r="A196" s="43" t="n"/>
      <c r="B196" s="43" t="n"/>
      <c r="C196" s="37">
        <f>IF(OR(A196="",A197=""),"",A197-A196)</f>
        <v/>
      </c>
      <c r="D196" s="37">
        <f>IF(C196="","",B197-B196)</f>
        <v/>
      </c>
      <c r="E196" s="37">
        <f>IF(C196="","",(A196+A197)/2)</f>
        <v/>
      </c>
      <c r="F196" s="25">
        <f>IF(OR(C196="",C196=0),"",D196/C196)</f>
        <v/>
      </c>
      <c r="G196" s="25">
        <f>IF(C196="","",D196/$L$6)</f>
        <v/>
      </c>
      <c r="H196" s="37">
        <f>IF(OR(F196="",F197=""),"",(E196+E197)/2)</f>
        <v/>
      </c>
      <c r="I196" s="25">
        <f>IF(H196="","",(F197-F196)/(E197-E196))</f>
        <v/>
      </c>
      <c r="P196" s="25">
        <f>IF(($L$5-1)&lt;1,"",IF(193&lt;=($L$5-1),E196,INDEX($E$4:$E$603,($L$5-1))))</f>
        <v/>
      </c>
      <c r="Q196" s="25">
        <f>IF(($L$5-1)&lt;1,"",IF(193&lt;=($L$5-1),F196,INDEX($F$4:$F$603,($L$5-1))))</f>
        <v/>
      </c>
      <c r="R196" s="25">
        <f>IF(($L$5-1)&lt;1,"",IF(193&lt;=($L$5-1),G196,INDEX($G$4:$G$603,($L$5-1))))</f>
        <v/>
      </c>
      <c r="S196" s="25">
        <f>IF(($L$5-2)&lt;1,"",IF(193&lt;=($L$5-2),H196,INDEX($H$4:$H$603,($L$5-2))))</f>
        <v/>
      </c>
      <c r="T196" s="25">
        <f>IF(($L$5-2)&lt;1,"",IF(193&lt;=($L$5-2),I196,INDEX($I$4:$I$603,($L$5-2))))</f>
        <v/>
      </c>
    </row>
    <row r="197">
      <c r="A197" s="43" t="n"/>
      <c r="B197" s="43" t="n"/>
      <c r="C197" s="37">
        <f>IF(OR(A197="",A198=""),"",A198-A197)</f>
        <v/>
      </c>
      <c r="D197" s="37">
        <f>IF(C197="","",B198-B197)</f>
        <v/>
      </c>
      <c r="E197" s="37">
        <f>IF(C197="","",(A197+A198)/2)</f>
        <v/>
      </c>
      <c r="F197" s="25">
        <f>IF(OR(C197="",C197=0),"",D197/C197)</f>
        <v/>
      </c>
      <c r="G197" s="25">
        <f>IF(C197="","",D197/$L$6)</f>
        <v/>
      </c>
      <c r="H197" s="37">
        <f>IF(OR(F197="",F198=""),"",(E197+E198)/2)</f>
        <v/>
      </c>
      <c r="I197" s="25">
        <f>IF(H197="","",(F198-F197)/(E198-E197))</f>
        <v/>
      </c>
      <c r="P197" s="25">
        <f>IF(($L$5-1)&lt;1,"",IF(194&lt;=($L$5-1),E197,INDEX($E$4:$E$603,($L$5-1))))</f>
        <v/>
      </c>
      <c r="Q197" s="25">
        <f>IF(($L$5-1)&lt;1,"",IF(194&lt;=($L$5-1),F197,INDEX($F$4:$F$603,($L$5-1))))</f>
        <v/>
      </c>
      <c r="R197" s="25">
        <f>IF(($L$5-1)&lt;1,"",IF(194&lt;=($L$5-1),G197,INDEX($G$4:$G$603,($L$5-1))))</f>
        <v/>
      </c>
      <c r="S197" s="25">
        <f>IF(($L$5-2)&lt;1,"",IF(194&lt;=($L$5-2),H197,INDEX($H$4:$H$603,($L$5-2))))</f>
        <v/>
      </c>
      <c r="T197" s="25">
        <f>IF(($L$5-2)&lt;1,"",IF(194&lt;=($L$5-2),I197,INDEX($I$4:$I$603,($L$5-2))))</f>
        <v/>
      </c>
    </row>
    <row r="198">
      <c r="A198" s="43" t="n"/>
      <c r="B198" s="43" t="n"/>
      <c r="C198" s="37">
        <f>IF(OR(A198="",A199=""),"",A199-A198)</f>
        <v/>
      </c>
      <c r="D198" s="37">
        <f>IF(C198="","",B199-B198)</f>
        <v/>
      </c>
      <c r="E198" s="37">
        <f>IF(C198="","",(A198+A199)/2)</f>
        <v/>
      </c>
      <c r="F198" s="25">
        <f>IF(OR(C198="",C198=0),"",D198/C198)</f>
        <v/>
      </c>
      <c r="G198" s="25">
        <f>IF(C198="","",D198/$L$6)</f>
        <v/>
      </c>
      <c r="H198" s="37">
        <f>IF(OR(F198="",F199=""),"",(E198+E199)/2)</f>
        <v/>
      </c>
      <c r="I198" s="25">
        <f>IF(H198="","",(F199-F198)/(E199-E198))</f>
        <v/>
      </c>
      <c r="P198" s="25">
        <f>IF(($L$5-1)&lt;1,"",IF(195&lt;=($L$5-1),E198,INDEX($E$4:$E$603,($L$5-1))))</f>
        <v/>
      </c>
      <c r="Q198" s="25">
        <f>IF(($L$5-1)&lt;1,"",IF(195&lt;=($L$5-1),F198,INDEX($F$4:$F$603,($L$5-1))))</f>
        <v/>
      </c>
      <c r="R198" s="25">
        <f>IF(($L$5-1)&lt;1,"",IF(195&lt;=($L$5-1),G198,INDEX($G$4:$G$603,($L$5-1))))</f>
        <v/>
      </c>
      <c r="S198" s="25">
        <f>IF(($L$5-2)&lt;1,"",IF(195&lt;=($L$5-2),H198,INDEX($H$4:$H$603,($L$5-2))))</f>
        <v/>
      </c>
      <c r="T198" s="25">
        <f>IF(($L$5-2)&lt;1,"",IF(195&lt;=($L$5-2),I198,INDEX($I$4:$I$603,($L$5-2))))</f>
        <v/>
      </c>
    </row>
    <row r="199">
      <c r="A199" s="43" t="n"/>
      <c r="B199" s="43" t="n"/>
      <c r="C199" s="37">
        <f>IF(OR(A199="",A200=""),"",A200-A199)</f>
        <v/>
      </c>
      <c r="D199" s="37">
        <f>IF(C199="","",B200-B199)</f>
        <v/>
      </c>
      <c r="E199" s="37">
        <f>IF(C199="","",(A199+A200)/2)</f>
        <v/>
      </c>
      <c r="F199" s="25">
        <f>IF(OR(C199="",C199=0),"",D199/C199)</f>
        <v/>
      </c>
      <c r="G199" s="25">
        <f>IF(C199="","",D199/$L$6)</f>
        <v/>
      </c>
      <c r="H199" s="37">
        <f>IF(OR(F199="",F200=""),"",(E199+E200)/2)</f>
        <v/>
      </c>
      <c r="I199" s="25">
        <f>IF(H199="","",(F200-F199)/(E200-E199))</f>
        <v/>
      </c>
      <c r="P199" s="25">
        <f>IF(($L$5-1)&lt;1,"",IF(196&lt;=($L$5-1),E199,INDEX($E$4:$E$603,($L$5-1))))</f>
        <v/>
      </c>
      <c r="Q199" s="25">
        <f>IF(($L$5-1)&lt;1,"",IF(196&lt;=($L$5-1),F199,INDEX($F$4:$F$603,($L$5-1))))</f>
        <v/>
      </c>
      <c r="R199" s="25">
        <f>IF(($L$5-1)&lt;1,"",IF(196&lt;=($L$5-1),G199,INDEX($G$4:$G$603,($L$5-1))))</f>
        <v/>
      </c>
      <c r="S199" s="25">
        <f>IF(($L$5-2)&lt;1,"",IF(196&lt;=($L$5-2),H199,INDEX($H$4:$H$603,($L$5-2))))</f>
        <v/>
      </c>
      <c r="T199" s="25">
        <f>IF(($L$5-2)&lt;1,"",IF(196&lt;=($L$5-2),I199,INDEX($I$4:$I$603,($L$5-2))))</f>
        <v/>
      </c>
    </row>
    <row r="200">
      <c r="A200" s="43" t="n"/>
      <c r="B200" s="43" t="n"/>
      <c r="C200" s="37">
        <f>IF(OR(A200="",A201=""),"",A201-A200)</f>
        <v/>
      </c>
      <c r="D200" s="37">
        <f>IF(C200="","",B201-B200)</f>
        <v/>
      </c>
      <c r="E200" s="37">
        <f>IF(C200="","",(A200+A201)/2)</f>
        <v/>
      </c>
      <c r="F200" s="25">
        <f>IF(OR(C200="",C200=0),"",D200/C200)</f>
        <v/>
      </c>
      <c r="G200" s="25">
        <f>IF(C200="","",D200/$L$6)</f>
        <v/>
      </c>
      <c r="H200" s="37">
        <f>IF(OR(F200="",F201=""),"",(E200+E201)/2)</f>
        <v/>
      </c>
      <c r="I200" s="25">
        <f>IF(H200="","",(F201-F200)/(E201-E200))</f>
        <v/>
      </c>
      <c r="P200" s="25">
        <f>IF(($L$5-1)&lt;1,"",IF(197&lt;=($L$5-1),E200,INDEX($E$4:$E$603,($L$5-1))))</f>
        <v/>
      </c>
      <c r="Q200" s="25">
        <f>IF(($L$5-1)&lt;1,"",IF(197&lt;=($L$5-1),F200,INDEX($F$4:$F$603,($L$5-1))))</f>
        <v/>
      </c>
      <c r="R200" s="25">
        <f>IF(($L$5-1)&lt;1,"",IF(197&lt;=($L$5-1),G200,INDEX($G$4:$G$603,($L$5-1))))</f>
        <v/>
      </c>
      <c r="S200" s="25">
        <f>IF(($L$5-2)&lt;1,"",IF(197&lt;=($L$5-2),H200,INDEX($H$4:$H$603,($L$5-2))))</f>
        <v/>
      </c>
      <c r="T200" s="25">
        <f>IF(($L$5-2)&lt;1,"",IF(197&lt;=($L$5-2),I200,INDEX($I$4:$I$603,($L$5-2))))</f>
        <v/>
      </c>
    </row>
    <row r="201">
      <c r="A201" s="43" t="n"/>
      <c r="B201" s="43" t="n"/>
      <c r="C201" s="37">
        <f>IF(OR(A201="",A202=""),"",A202-A201)</f>
        <v/>
      </c>
      <c r="D201" s="37">
        <f>IF(C201="","",B202-B201)</f>
        <v/>
      </c>
      <c r="E201" s="37">
        <f>IF(C201="","",(A201+A202)/2)</f>
        <v/>
      </c>
      <c r="F201" s="25">
        <f>IF(OR(C201="",C201=0),"",D201/C201)</f>
        <v/>
      </c>
      <c r="G201" s="25">
        <f>IF(C201="","",D201/$L$6)</f>
        <v/>
      </c>
      <c r="H201" s="37">
        <f>IF(OR(F201="",F202=""),"",(E201+E202)/2)</f>
        <v/>
      </c>
      <c r="I201" s="25">
        <f>IF(H201="","",(F202-F201)/(E202-E201))</f>
        <v/>
      </c>
      <c r="P201" s="25">
        <f>IF(($L$5-1)&lt;1,"",IF(198&lt;=($L$5-1),E201,INDEX($E$4:$E$603,($L$5-1))))</f>
        <v/>
      </c>
      <c r="Q201" s="25">
        <f>IF(($L$5-1)&lt;1,"",IF(198&lt;=($L$5-1),F201,INDEX($F$4:$F$603,($L$5-1))))</f>
        <v/>
      </c>
      <c r="R201" s="25">
        <f>IF(($L$5-1)&lt;1,"",IF(198&lt;=($L$5-1),G201,INDEX($G$4:$G$603,($L$5-1))))</f>
        <v/>
      </c>
      <c r="S201" s="25">
        <f>IF(($L$5-2)&lt;1,"",IF(198&lt;=($L$5-2),H201,INDEX($H$4:$H$603,($L$5-2))))</f>
        <v/>
      </c>
      <c r="T201" s="25">
        <f>IF(($L$5-2)&lt;1,"",IF(198&lt;=($L$5-2),I201,INDEX($I$4:$I$603,($L$5-2))))</f>
        <v/>
      </c>
    </row>
    <row r="202">
      <c r="A202" s="43" t="n"/>
      <c r="B202" s="43" t="n"/>
      <c r="C202" s="37">
        <f>IF(OR(A202="",A203=""),"",A203-A202)</f>
        <v/>
      </c>
      <c r="D202" s="37">
        <f>IF(C202="","",B203-B202)</f>
        <v/>
      </c>
      <c r="E202" s="37">
        <f>IF(C202="","",(A202+A203)/2)</f>
        <v/>
      </c>
      <c r="F202" s="25">
        <f>IF(OR(C202="",C202=0),"",D202/C202)</f>
        <v/>
      </c>
      <c r="G202" s="25">
        <f>IF(C202="","",D202/$L$6)</f>
        <v/>
      </c>
      <c r="H202" s="37">
        <f>IF(OR(F202="",F203=""),"",(E202+E203)/2)</f>
        <v/>
      </c>
      <c r="I202" s="25">
        <f>IF(H202="","",(F203-F202)/(E203-E202))</f>
        <v/>
      </c>
      <c r="P202" s="25">
        <f>IF(($L$5-1)&lt;1,"",IF(199&lt;=($L$5-1),E202,INDEX($E$4:$E$603,($L$5-1))))</f>
        <v/>
      </c>
      <c r="Q202" s="25">
        <f>IF(($L$5-1)&lt;1,"",IF(199&lt;=($L$5-1),F202,INDEX($F$4:$F$603,($L$5-1))))</f>
        <v/>
      </c>
      <c r="R202" s="25">
        <f>IF(($L$5-1)&lt;1,"",IF(199&lt;=($L$5-1),G202,INDEX($G$4:$G$603,($L$5-1))))</f>
        <v/>
      </c>
      <c r="S202" s="25">
        <f>IF(($L$5-2)&lt;1,"",IF(199&lt;=($L$5-2),H202,INDEX($H$4:$H$603,($L$5-2))))</f>
        <v/>
      </c>
      <c r="T202" s="25">
        <f>IF(($L$5-2)&lt;1,"",IF(199&lt;=($L$5-2),I202,INDEX($I$4:$I$603,($L$5-2))))</f>
        <v/>
      </c>
    </row>
    <row r="203">
      <c r="A203" s="43" t="n"/>
      <c r="B203" s="43" t="n"/>
      <c r="C203" s="37">
        <f>IF(OR(A203="",A204=""),"",A204-A203)</f>
        <v/>
      </c>
      <c r="D203" s="37">
        <f>IF(C203="","",B204-B203)</f>
        <v/>
      </c>
      <c r="E203" s="37">
        <f>IF(C203="","",(A203+A204)/2)</f>
        <v/>
      </c>
      <c r="F203" s="25">
        <f>IF(OR(C203="",C203=0),"",D203/C203)</f>
        <v/>
      </c>
      <c r="G203" s="25">
        <f>IF(C203="","",D203/$L$6)</f>
        <v/>
      </c>
      <c r="H203" s="37">
        <f>IF(OR(F203="",F204=""),"",(E203+E204)/2)</f>
        <v/>
      </c>
      <c r="I203" s="25">
        <f>IF(H203="","",(F204-F203)/(E204-E203))</f>
        <v/>
      </c>
      <c r="P203" s="25">
        <f>IF(($L$5-1)&lt;1,"",IF(200&lt;=($L$5-1),E203,INDEX($E$4:$E$603,($L$5-1))))</f>
        <v/>
      </c>
      <c r="Q203" s="25">
        <f>IF(($L$5-1)&lt;1,"",IF(200&lt;=($L$5-1),F203,INDEX($F$4:$F$603,($L$5-1))))</f>
        <v/>
      </c>
      <c r="R203" s="25">
        <f>IF(($L$5-1)&lt;1,"",IF(200&lt;=($L$5-1),G203,INDEX($G$4:$G$603,($L$5-1))))</f>
        <v/>
      </c>
      <c r="S203" s="25">
        <f>IF(($L$5-2)&lt;1,"",IF(200&lt;=($L$5-2),H203,INDEX($H$4:$H$603,($L$5-2))))</f>
        <v/>
      </c>
      <c r="T203" s="25">
        <f>IF(($L$5-2)&lt;1,"",IF(200&lt;=($L$5-2),I203,INDEX($I$4:$I$603,($L$5-2))))</f>
        <v/>
      </c>
    </row>
    <row r="204">
      <c r="A204" s="43" t="n"/>
      <c r="B204" s="43" t="n"/>
      <c r="C204" s="37">
        <f>IF(OR(A204="",A205=""),"",A205-A204)</f>
        <v/>
      </c>
      <c r="D204" s="37">
        <f>IF(C204="","",B205-B204)</f>
        <v/>
      </c>
      <c r="E204" s="37">
        <f>IF(C204="","",(A204+A205)/2)</f>
        <v/>
      </c>
      <c r="F204" s="25">
        <f>IF(OR(C204="",C204=0),"",D204/C204)</f>
        <v/>
      </c>
      <c r="G204" s="25">
        <f>IF(C204="","",D204/$L$6)</f>
        <v/>
      </c>
      <c r="H204" s="37">
        <f>IF(OR(F204="",F205=""),"",(E204+E205)/2)</f>
        <v/>
      </c>
      <c r="I204" s="25">
        <f>IF(H204="","",(F205-F204)/(E205-E204))</f>
        <v/>
      </c>
      <c r="P204" s="25">
        <f>IF(($L$5-1)&lt;1,"",IF(201&lt;=($L$5-1),E204,INDEX($E$4:$E$603,($L$5-1))))</f>
        <v/>
      </c>
      <c r="Q204" s="25">
        <f>IF(($L$5-1)&lt;1,"",IF(201&lt;=($L$5-1),F204,INDEX($F$4:$F$603,($L$5-1))))</f>
        <v/>
      </c>
      <c r="R204" s="25">
        <f>IF(($L$5-1)&lt;1,"",IF(201&lt;=($L$5-1),G204,INDEX($G$4:$G$603,($L$5-1))))</f>
        <v/>
      </c>
      <c r="S204" s="25">
        <f>IF(($L$5-2)&lt;1,"",IF(201&lt;=($L$5-2),H204,INDEX($H$4:$H$603,($L$5-2))))</f>
        <v/>
      </c>
      <c r="T204" s="25">
        <f>IF(($L$5-2)&lt;1,"",IF(201&lt;=($L$5-2),I204,INDEX($I$4:$I$603,($L$5-2))))</f>
        <v/>
      </c>
    </row>
    <row r="205">
      <c r="A205" s="43" t="n"/>
      <c r="B205" s="43" t="n"/>
      <c r="C205" s="37">
        <f>IF(OR(A205="",A206=""),"",A206-A205)</f>
        <v/>
      </c>
      <c r="D205" s="37">
        <f>IF(C205="","",B206-B205)</f>
        <v/>
      </c>
      <c r="E205" s="37">
        <f>IF(C205="","",(A205+A206)/2)</f>
        <v/>
      </c>
      <c r="F205" s="25">
        <f>IF(OR(C205="",C205=0),"",D205/C205)</f>
        <v/>
      </c>
      <c r="G205" s="25">
        <f>IF(C205="","",D205/$L$6)</f>
        <v/>
      </c>
      <c r="H205" s="37">
        <f>IF(OR(F205="",F206=""),"",(E205+E206)/2)</f>
        <v/>
      </c>
      <c r="I205" s="25">
        <f>IF(H205="","",(F206-F205)/(E206-E205))</f>
        <v/>
      </c>
      <c r="P205" s="25">
        <f>IF(($L$5-1)&lt;1,"",IF(202&lt;=($L$5-1),E205,INDEX($E$4:$E$603,($L$5-1))))</f>
        <v/>
      </c>
      <c r="Q205" s="25">
        <f>IF(($L$5-1)&lt;1,"",IF(202&lt;=($L$5-1),F205,INDEX($F$4:$F$603,($L$5-1))))</f>
        <v/>
      </c>
      <c r="R205" s="25">
        <f>IF(($L$5-1)&lt;1,"",IF(202&lt;=($L$5-1),G205,INDEX($G$4:$G$603,($L$5-1))))</f>
        <v/>
      </c>
      <c r="S205" s="25">
        <f>IF(($L$5-2)&lt;1,"",IF(202&lt;=($L$5-2),H205,INDEX($H$4:$H$603,($L$5-2))))</f>
        <v/>
      </c>
      <c r="T205" s="25">
        <f>IF(($L$5-2)&lt;1,"",IF(202&lt;=($L$5-2),I205,INDEX($I$4:$I$603,($L$5-2))))</f>
        <v/>
      </c>
    </row>
    <row r="206">
      <c r="A206" s="43" t="n"/>
      <c r="B206" s="43" t="n"/>
      <c r="C206" s="37">
        <f>IF(OR(A206="",A207=""),"",A207-A206)</f>
        <v/>
      </c>
      <c r="D206" s="37">
        <f>IF(C206="","",B207-B206)</f>
        <v/>
      </c>
      <c r="E206" s="37">
        <f>IF(C206="","",(A206+A207)/2)</f>
        <v/>
      </c>
      <c r="F206" s="25">
        <f>IF(OR(C206="",C206=0),"",D206/C206)</f>
        <v/>
      </c>
      <c r="G206" s="25">
        <f>IF(C206="","",D206/$L$6)</f>
        <v/>
      </c>
      <c r="H206" s="37">
        <f>IF(OR(F206="",F207=""),"",(E206+E207)/2)</f>
        <v/>
      </c>
      <c r="I206" s="25">
        <f>IF(H206="","",(F207-F206)/(E207-E206))</f>
        <v/>
      </c>
      <c r="P206" s="25">
        <f>IF(($L$5-1)&lt;1,"",IF(203&lt;=($L$5-1),E206,INDEX($E$4:$E$603,($L$5-1))))</f>
        <v/>
      </c>
      <c r="Q206" s="25">
        <f>IF(($L$5-1)&lt;1,"",IF(203&lt;=($L$5-1),F206,INDEX($F$4:$F$603,($L$5-1))))</f>
        <v/>
      </c>
      <c r="R206" s="25">
        <f>IF(($L$5-1)&lt;1,"",IF(203&lt;=($L$5-1),G206,INDEX($G$4:$G$603,($L$5-1))))</f>
        <v/>
      </c>
      <c r="S206" s="25">
        <f>IF(($L$5-2)&lt;1,"",IF(203&lt;=($L$5-2),H206,INDEX($H$4:$H$603,($L$5-2))))</f>
        <v/>
      </c>
      <c r="T206" s="25">
        <f>IF(($L$5-2)&lt;1,"",IF(203&lt;=($L$5-2),I206,INDEX($I$4:$I$603,($L$5-2))))</f>
        <v/>
      </c>
    </row>
    <row r="207">
      <c r="A207" s="43" t="n"/>
      <c r="B207" s="43" t="n"/>
      <c r="C207" s="37">
        <f>IF(OR(A207="",A208=""),"",A208-A207)</f>
        <v/>
      </c>
      <c r="D207" s="37">
        <f>IF(C207="","",B208-B207)</f>
        <v/>
      </c>
      <c r="E207" s="37">
        <f>IF(C207="","",(A207+A208)/2)</f>
        <v/>
      </c>
      <c r="F207" s="25">
        <f>IF(OR(C207="",C207=0),"",D207/C207)</f>
        <v/>
      </c>
      <c r="G207" s="25">
        <f>IF(C207="","",D207/$L$6)</f>
        <v/>
      </c>
      <c r="H207" s="37">
        <f>IF(OR(F207="",F208=""),"",(E207+E208)/2)</f>
        <v/>
      </c>
      <c r="I207" s="25">
        <f>IF(H207="","",(F208-F207)/(E208-E207))</f>
        <v/>
      </c>
      <c r="P207" s="25">
        <f>IF(($L$5-1)&lt;1,"",IF(204&lt;=($L$5-1),E207,INDEX($E$4:$E$603,($L$5-1))))</f>
        <v/>
      </c>
      <c r="Q207" s="25">
        <f>IF(($L$5-1)&lt;1,"",IF(204&lt;=($L$5-1),F207,INDEX($F$4:$F$603,($L$5-1))))</f>
        <v/>
      </c>
      <c r="R207" s="25">
        <f>IF(($L$5-1)&lt;1,"",IF(204&lt;=($L$5-1),G207,INDEX($G$4:$G$603,($L$5-1))))</f>
        <v/>
      </c>
      <c r="S207" s="25">
        <f>IF(($L$5-2)&lt;1,"",IF(204&lt;=($L$5-2),H207,INDEX($H$4:$H$603,($L$5-2))))</f>
        <v/>
      </c>
      <c r="T207" s="25">
        <f>IF(($L$5-2)&lt;1,"",IF(204&lt;=($L$5-2),I207,INDEX($I$4:$I$603,($L$5-2))))</f>
        <v/>
      </c>
    </row>
    <row r="208">
      <c r="A208" s="43" t="n"/>
      <c r="B208" s="43" t="n"/>
      <c r="C208" s="37">
        <f>IF(OR(A208="",A209=""),"",A209-A208)</f>
        <v/>
      </c>
      <c r="D208" s="37">
        <f>IF(C208="","",B209-B208)</f>
        <v/>
      </c>
      <c r="E208" s="37">
        <f>IF(C208="","",(A208+A209)/2)</f>
        <v/>
      </c>
      <c r="F208" s="25">
        <f>IF(OR(C208="",C208=0),"",D208/C208)</f>
        <v/>
      </c>
      <c r="G208" s="25">
        <f>IF(C208="","",D208/$L$6)</f>
        <v/>
      </c>
      <c r="H208" s="37">
        <f>IF(OR(F208="",F209=""),"",(E208+E209)/2)</f>
        <v/>
      </c>
      <c r="I208" s="25">
        <f>IF(H208="","",(F209-F208)/(E209-E208))</f>
        <v/>
      </c>
      <c r="P208" s="25">
        <f>IF(($L$5-1)&lt;1,"",IF(205&lt;=($L$5-1),E208,INDEX($E$4:$E$603,($L$5-1))))</f>
        <v/>
      </c>
      <c r="Q208" s="25">
        <f>IF(($L$5-1)&lt;1,"",IF(205&lt;=($L$5-1),F208,INDEX($F$4:$F$603,($L$5-1))))</f>
        <v/>
      </c>
      <c r="R208" s="25">
        <f>IF(($L$5-1)&lt;1,"",IF(205&lt;=($L$5-1),G208,INDEX($G$4:$G$603,($L$5-1))))</f>
        <v/>
      </c>
      <c r="S208" s="25">
        <f>IF(($L$5-2)&lt;1,"",IF(205&lt;=($L$5-2),H208,INDEX($H$4:$H$603,($L$5-2))))</f>
        <v/>
      </c>
      <c r="T208" s="25">
        <f>IF(($L$5-2)&lt;1,"",IF(205&lt;=($L$5-2),I208,INDEX($I$4:$I$603,($L$5-2))))</f>
        <v/>
      </c>
    </row>
    <row r="209">
      <c r="A209" s="43" t="n"/>
      <c r="B209" s="43" t="n"/>
      <c r="C209" s="37">
        <f>IF(OR(A209="",A210=""),"",A210-A209)</f>
        <v/>
      </c>
      <c r="D209" s="37">
        <f>IF(C209="","",B210-B209)</f>
        <v/>
      </c>
      <c r="E209" s="37">
        <f>IF(C209="","",(A209+A210)/2)</f>
        <v/>
      </c>
      <c r="F209" s="25">
        <f>IF(OR(C209="",C209=0),"",D209/C209)</f>
        <v/>
      </c>
      <c r="G209" s="25">
        <f>IF(C209="","",D209/$L$6)</f>
        <v/>
      </c>
      <c r="H209" s="37">
        <f>IF(OR(F209="",F210=""),"",(E209+E210)/2)</f>
        <v/>
      </c>
      <c r="I209" s="25">
        <f>IF(H209="","",(F210-F209)/(E210-E209))</f>
        <v/>
      </c>
      <c r="P209" s="25">
        <f>IF(($L$5-1)&lt;1,"",IF(206&lt;=($L$5-1),E209,INDEX($E$4:$E$603,($L$5-1))))</f>
        <v/>
      </c>
      <c r="Q209" s="25">
        <f>IF(($L$5-1)&lt;1,"",IF(206&lt;=($L$5-1),F209,INDEX($F$4:$F$603,($L$5-1))))</f>
        <v/>
      </c>
      <c r="R209" s="25">
        <f>IF(($L$5-1)&lt;1,"",IF(206&lt;=($L$5-1),G209,INDEX($G$4:$G$603,($L$5-1))))</f>
        <v/>
      </c>
      <c r="S209" s="25">
        <f>IF(($L$5-2)&lt;1,"",IF(206&lt;=($L$5-2),H209,INDEX($H$4:$H$603,($L$5-2))))</f>
        <v/>
      </c>
      <c r="T209" s="25">
        <f>IF(($L$5-2)&lt;1,"",IF(206&lt;=($L$5-2),I209,INDEX($I$4:$I$603,($L$5-2))))</f>
        <v/>
      </c>
    </row>
    <row r="210">
      <c r="A210" s="43" t="n"/>
      <c r="B210" s="43" t="n"/>
      <c r="C210" s="37">
        <f>IF(OR(A210="",A211=""),"",A211-A210)</f>
        <v/>
      </c>
      <c r="D210" s="37">
        <f>IF(C210="","",B211-B210)</f>
        <v/>
      </c>
      <c r="E210" s="37">
        <f>IF(C210="","",(A210+A211)/2)</f>
        <v/>
      </c>
      <c r="F210" s="25">
        <f>IF(OR(C210="",C210=0),"",D210/C210)</f>
        <v/>
      </c>
      <c r="G210" s="25">
        <f>IF(C210="","",D210/$L$6)</f>
        <v/>
      </c>
      <c r="H210" s="37">
        <f>IF(OR(F210="",F211=""),"",(E210+E211)/2)</f>
        <v/>
      </c>
      <c r="I210" s="25">
        <f>IF(H210="","",(F211-F210)/(E211-E210))</f>
        <v/>
      </c>
      <c r="P210" s="25">
        <f>IF(($L$5-1)&lt;1,"",IF(207&lt;=($L$5-1),E210,INDEX($E$4:$E$603,($L$5-1))))</f>
        <v/>
      </c>
      <c r="Q210" s="25">
        <f>IF(($L$5-1)&lt;1,"",IF(207&lt;=($L$5-1),F210,INDEX($F$4:$F$603,($L$5-1))))</f>
        <v/>
      </c>
      <c r="R210" s="25">
        <f>IF(($L$5-1)&lt;1,"",IF(207&lt;=($L$5-1),G210,INDEX($G$4:$G$603,($L$5-1))))</f>
        <v/>
      </c>
      <c r="S210" s="25">
        <f>IF(($L$5-2)&lt;1,"",IF(207&lt;=($L$5-2),H210,INDEX($H$4:$H$603,($L$5-2))))</f>
        <v/>
      </c>
      <c r="T210" s="25">
        <f>IF(($L$5-2)&lt;1,"",IF(207&lt;=($L$5-2),I210,INDEX($I$4:$I$603,($L$5-2))))</f>
        <v/>
      </c>
    </row>
    <row r="211">
      <c r="A211" s="43" t="n"/>
      <c r="B211" s="43" t="n"/>
      <c r="C211" s="37">
        <f>IF(OR(A211="",A212=""),"",A212-A211)</f>
        <v/>
      </c>
      <c r="D211" s="37">
        <f>IF(C211="","",B212-B211)</f>
        <v/>
      </c>
      <c r="E211" s="37">
        <f>IF(C211="","",(A211+A212)/2)</f>
        <v/>
      </c>
      <c r="F211" s="25">
        <f>IF(OR(C211="",C211=0),"",D211/C211)</f>
        <v/>
      </c>
      <c r="G211" s="25">
        <f>IF(C211="","",D211/$L$6)</f>
        <v/>
      </c>
      <c r="H211" s="37">
        <f>IF(OR(F211="",F212=""),"",(E211+E212)/2)</f>
        <v/>
      </c>
      <c r="I211" s="25">
        <f>IF(H211="","",(F212-F211)/(E212-E211))</f>
        <v/>
      </c>
      <c r="P211" s="25">
        <f>IF(($L$5-1)&lt;1,"",IF(208&lt;=($L$5-1),E211,INDEX($E$4:$E$603,($L$5-1))))</f>
        <v/>
      </c>
      <c r="Q211" s="25">
        <f>IF(($L$5-1)&lt;1,"",IF(208&lt;=($L$5-1),F211,INDEX($F$4:$F$603,($L$5-1))))</f>
        <v/>
      </c>
      <c r="R211" s="25">
        <f>IF(($L$5-1)&lt;1,"",IF(208&lt;=($L$5-1),G211,INDEX($G$4:$G$603,($L$5-1))))</f>
        <v/>
      </c>
      <c r="S211" s="25">
        <f>IF(($L$5-2)&lt;1,"",IF(208&lt;=($L$5-2),H211,INDEX($H$4:$H$603,($L$5-2))))</f>
        <v/>
      </c>
      <c r="T211" s="25">
        <f>IF(($L$5-2)&lt;1,"",IF(208&lt;=($L$5-2),I211,INDEX($I$4:$I$603,($L$5-2))))</f>
        <v/>
      </c>
    </row>
    <row r="212">
      <c r="A212" s="43" t="n"/>
      <c r="B212" s="43" t="n"/>
      <c r="C212" s="37">
        <f>IF(OR(A212="",A213=""),"",A213-A212)</f>
        <v/>
      </c>
      <c r="D212" s="37">
        <f>IF(C212="","",B213-B212)</f>
        <v/>
      </c>
      <c r="E212" s="37">
        <f>IF(C212="","",(A212+A213)/2)</f>
        <v/>
      </c>
      <c r="F212" s="25">
        <f>IF(OR(C212="",C212=0),"",D212/C212)</f>
        <v/>
      </c>
      <c r="G212" s="25">
        <f>IF(C212="","",D212/$L$6)</f>
        <v/>
      </c>
      <c r="H212" s="37">
        <f>IF(OR(F212="",F213=""),"",(E212+E213)/2)</f>
        <v/>
      </c>
      <c r="I212" s="25">
        <f>IF(H212="","",(F213-F212)/(E213-E212))</f>
        <v/>
      </c>
      <c r="P212" s="25">
        <f>IF(($L$5-1)&lt;1,"",IF(209&lt;=($L$5-1),E212,INDEX($E$4:$E$603,($L$5-1))))</f>
        <v/>
      </c>
      <c r="Q212" s="25">
        <f>IF(($L$5-1)&lt;1,"",IF(209&lt;=($L$5-1),F212,INDEX($F$4:$F$603,($L$5-1))))</f>
        <v/>
      </c>
      <c r="R212" s="25">
        <f>IF(($L$5-1)&lt;1,"",IF(209&lt;=($L$5-1),G212,INDEX($G$4:$G$603,($L$5-1))))</f>
        <v/>
      </c>
      <c r="S212" s="25">
        <f>IF(($L$5-2)&lt;1,"",IF(209&lt;=($L$5-2),H212,INDEX($H$4:$H$603,($L$5-2))))</f>
        <v/>
      </c>
      <c r="T212" s="25">
        <f>IF(($L$5-2)&lt;1,"",IF(209&lt;=($L$5-2),I212,INDEX($I$4:$I$603,($L$5-2))))</f>
        <v/>
      </c>
    </row>
    <row r="213">
      <c r="A213" s="43" t="n"/>
      <c r="B213" s="43" t="n"/>
      <c r="C213" s="37">
        <f>IF(OR(A213="",A214=""),"",A214-A213)</f>
        <v/>
      </c>
      <c r="D213" s="37">
        <f>IF(C213="","",B214-B213)</f>
        <v/>
      </c>
      <c r="E213" s="37">
        <f>IF(C213="","",(A213+A214)/2)</f>
        <v/>
      </c>
      <c r="F213" s="25">
        <f>IF(OR(C213="",C213=0),"",D213/C213)</f>
        <v/>
      </c>
      <c r="G213" s="25">
        <f>IF(C213="","",D213/$L$6)</f>
        <v/>
      </c>
      <c r="H213" s="37">
        <f>IF(OR(F213="",F214=""),"",(E213+E214)/2)</f>
        <v/>
      </c>
      <c r="I213" s="25">
        <f>IF(H213="","",(F214-F213)/(E214-E213))</f>
        <v/>
      </c>
      <c r="P213" s="25">
        <f>IF(($L$5-1)&lt;1,"",IF(210&lt;=($L$5-1),E213,INDEX($E$4:$E$603,($L$5-1))))</f>
        <v/>
      </c>
      <c r="Q213" s="25">
        <f>IF(($L$5-1)&lt;1,"",IF(210&lt;=($L$5-1),F213,INDEX($F$4:$F$603,($L$5-1))))</f>
        <v/>
      </c>
      <c r="R213" s="25">
        <f>IF(($L$5-1)&lt;1,"",IF(210&lt;=($L$5-1),G213,INDEX($G$4:$G$603,($L$5-1))))</f>
        <v/>
      </c>
      <c r="S213" s="25">
        <f>IF(($L$5-2)&lt;1,"",IF(210&lt;=($L$5-2),H213,INDEX($H$4:$H$603,($L$5-2))))</f>
        <v/>
      </c>
      <c r="T213" s="25">
        <f>IF(($L$5-2)&lt;1,"",IF(210&lt;=($L$5-2),I213,INDEX($I$4:$I$603,($L$5-2))))</f>
        <v/>
      </c>
    </row>
    <row r="214">
      <c r="A214" s="43" t="n"/>
      <c r="B214" s="43" t="n"/>
      <c r="C214" s="37">
        <f>IF(OR(A214="",A215=""),"",A215-A214)</f>
        <v/>
      </c>
      <c r="D214" s="37">
        <f>IF(C214="","",B215-B214)</f>
        <v/>
      </c>
      <c r="E214" s="37">
        <f>IF(C214="","",(A214+A215)/2)</f>
        <v/>
      </c>
      <c r="F214" s="25">
        <f>IF(OR(C214="",C214=0),"",D214/C214)</f>
        <v/>
      </c>
      <c r="G214" s="25">
        <f>IF(C214="","",D214/$L$6)</f>
        <v/>
      </c>
      <c r="H214" s="37">
        <f>IF(OR(F214="",F215=""),"",(E214+E215)/2)</f>
        <v/>
      </c>
      <c r="I214" s="25">
        <f>IF(H214="","",(F215-F214)/(E215-E214))</f>
        <v/>
      </c>
      <c r="P214" s="25">
        <f>IF(($L$5-1)&lt;1,"",IF(211&lt;=($L$5-1),E214,INDEX($E$4:$E$603,($L$5-1))))</f>
        <v/>
      </c>
      <c r="Q214" s="25">
        <f>IF(($L$5-1)&lt;1,"",IF(211&lt;=($L$5-1),F214,INDEX($F$4:$F$603,($L$5-1))))</f>
        <v/>
      </c>
      <c r="R214" s="25">
        <f>IF(($L$5-1)&lt;1,"",IF(211&lt;=($L$5-1),G214,INDEX($G$4:$G$603,($L$5-1))))</f>
        <v/>
      </c>
      <c r="S214" s="25">
        <f>IF(($L$5-2)&lt;1,"",IF(211&lt;=($L$5-2),H214,INDEX($H$4:$H$603,($L$5-2))))</f>
        <v/>
      </c>
      <c r="T214" s="25">
        <f>IF(($L$5-2)&lt;1,"",IF(211&lt;=($L$5-2),I214,INDEX($I$4:$I$603,($L$5-2))))</f>
        <v/>
      </c>
    </row>
    <row r="215">
      <c r="A215" s="43" t="n"/>
      <c r="B215" s="43" t="n"/>
      <c r="C215" s="37">
        <f>IF(OR(A215="",A216=""),"",A216-A215)</f>
        <v/>
      </c>
      <c r="D215" s="37">
        <f>IF(C215="","",B216-B215)</f>
        <v/>
      </c>
      <c r="E215" s="37">
        <f>IF(C215="","",(A215+A216)/2)</f>
        <v/>
      </c>
      <c r="F215" s="25">
        <f>IF(OR(C215="",C215=0),"",D215/C215)</f>
        <v/>
      </c>
      <c r="G215" s="25">
        <f>IF(C215="","",D215/$L$6)</f>
        <v/>
      </c>
      <c r="H215" s="37">
        <f>IF(OR(F215="",F216=""),"",(E215+E216)/2)</f>
        <v/>
      </c>
      <c r="I215" s="25">
        <f>IF(H215="","",(F216-F215)/(E216-E215))</f>
        <v/>
      </c>
      <c r="P215" s="25">
        <f>IF(($L$5-1)&lt;1,"",IF(212&lt;=($L$5-1),E215,INDEX($E$4:$E$603,($L$5-1))))</f>
        <v/>
      </c>
      <c r="Q215" s="25">
        <f>IF(($L$5-1)&lt;1,"",IF(212&lt;=($L$5-1),F215,INDEX($F$4:$F$603,($L$5-1))))</f>
        <v/>
      </c>
      <c r="R215" s="25">
        <f>IF(($L$5-1)&lt;1,"",IF(212&lt;=($L$5-1),G215,INDEX($G$4:$G$603,($L$5-1))))</f>
        <v/>
      </c>
      <c r="S215" s="25">
        <f>IF(($L$5-2)&lt;1,"",IF(212&lt;=($L$5-2),H215,INDEX($H$4:$H$603,($L$5-2))))</f>
        <v/>
      </c>
      <c r="T215" s="25">
        <f>IF(($L$5-2)&lt;1,"",IF(212&lt;=($L$5-2),I215,INDEX($I$4:$I$603,($L$5-2))))</f>
        <v/>
      </c>
    </row>
    <row r="216">
      <c r="A216" s="43" t="n"/>
      <c r="B216" s="43" t="n"/>
      <c r="C216" s="37">
        <f>IF(OR(A216="",A217=""),"",A217-A216)</f>
        <v/>
      </c>
      <c r="D216" s="37">
        <f>IF(C216="","",B217-B216)</f>
        <v/>
      </c>
      <c r="E216" s="37">
        <f>IF(C216="","",(A216+A217)/2)</f>
        <v/>
      </c>
      <c r="F216" s="25">
        <f>IF(OR(C216="",C216=0),"",D216/C216)</f>
        <v/>
      </c>
      <c r="G216" s="25">
        <f>IF(C216="","",D216/$L$6)</f>
        <v/>
      </c>
      <c r="H216" s="37">
        <f>IF(OR(F216="",F217=""),"",(E216+E217)/2)</f>
        <v/>
      </c>
      <c r="I216" s="25">
        <f>IF(H216="","",(F217-F216)/(E217-E216))</f>
        <v/>
      </c>
      <c r="P216" s="25">
        <f>IF(($L$5-1)&lt;1,"",IF(213&lt;=($L$5-1),E216,INDEX($E$4:$E$603,($L$5-1))))</f>
        <v/>
      </c>
      <c r="Q216" s="25">
        <f>IF(($L$5-1)&lt;1,"",IF(213&lt;=($L$5-1),F216,INDEX($F$4:$F$603,($L$5-1))))</f>
        <v/>
      </c>
      <c r="R216" s="25">
        <f>IF(($L$5-1)&lt;1,"",IF(213&lt;=($L$5-1),G216,INDEX($G$4:$G$603,($L$5-1))))</f>
        <v/>
      </c>
      <c r="S216" s="25">
        <f>IF(($L$5-2)&lt;1,"",IF(213&lt;=($L$5-2),H216,INDEX($H$4:$H$603,($L$5-2))))</f>
        <v/>
      </c>
      <c r="T216" s="25">
        <f>IF(($L$5-2)&lt;1,"",IF(213&lt;=($L$5-2),I216,INDEX($I$4:$I$603,($L$5-2))))</f>
        <v/>
      </c>
    </row>
    <row r="217">
      <c r="A217" s="43" t="n"/>
      <c r="B217" s="43" t="n"/>
      <c r="C217" s="37">
        <f>IF(OR(A217="",A218=""),"",A218-A217)</f>
        <v/>
      </c>
      <c r="D217" s="37">
        <f>IF(C217="","",B218-B217)</f>
        <v/>
      </c>
      <c r="E217" s="37">
        <f>IF(C217="","",(A217+A218)/2)</f>
        <v/>
      </c>
      <c r="F217" s="25">
        <f>IF(OR(C217="",C217=0),"",D217/C217)</f>
        <v/>
      </c>
      <c r="G217" s="25">
        <f>IF(C217="","",D217/$L$6)</f>
        <v/>
      </c>
      <c r="H217" s="37">
        <f>IF(OR(F217="",F218=""),"",(E217+E218)/2)</f>
        <v/>
      </c>
      <c r="I217" s="25">
        <f>IF(H217="","",(F218-F217)/(E218-E217))</f>
        <v/>
      </c>
      <c r="P217" s="25">
        <f>IF(($L$5-1)&lt;1,"",IF(214&lt;=($L$5-1),E217,INDEX($E$4:$E$603,($L$5-1))))</f>
        <v/>
      </c>
      <c r="Q217" s="25">
        <f>IF(($L$5-1)&lt;1,"",IF(214&lt;=($L$5-1),F217,INDEX($F$4:$F$603,($L$5-1))))</f>
        <v/>
      </c>
      <c r="R217" s="25">
        <f>IF(($L$5-1)&lt;1,"",IF(214&lt;=($L$5-1),G217,INDEX($G$4:$G$603,($L$5-1))))</f>
        <v/>
      </c>
      <c r="S217" s="25">
        <f>IF(($L$5-2)&lt;1,"",IF(214&lt;=($L$5-2),H217,INDEX($H$4:$H$603,($L$5-2))))</f>
        <v/>
      </c>
      <c r="T217" s="25">
        <f>IF(($L$5-2)&lt;1,"",IF(214&lt;=($L$5-2),I217,INDEX($I$4:$I$603,($L$5-2))))</f>
        <v/>
      </c>
    </row>
    <row r="218">
      <c r="A218" s="43" t="n"/>
      <c r="B218" s="43" t="n"/>
      <c r="C218" s="37">
        <f>IF(OR(A218="",A219=""),"",A219-A218)</f>
        <v/>
      </c>
      <c r="D218" s="37">
        <f>IF(C218="","",B219-B218)</f>
        <v/>
      </c>
      <c r="E218" s="37">
        <f>IF(C218="","",(A218+A219)/2)</f>
        <v/>
      </c>
      <c r="F218" s="25">
        <f>IF(OR(C218="",C218=0),"",D218/C218)</f>
        <v/>
      </c>
      <c r="G218" s="25">
        <f>IF(C218="","",D218/$L$6)</f>
        <v/>
      </c>
      <c r="H218" s="37">
        <f>IF(OR(F218="",F219=""),"",(E218+E219)/2)</f>
        <v/>
      </c>
      <c r="I218" s="25">
        <f>IF(H218="","",(F219-F218)/(E219-E218))</f>
        <v/>
      </c>
      <c r="P218" s="25">
        <f>IF(($L$5-1)&lt;1,"",IF(215&lt;=($L$5-1),E218,INDEX($E$4:$E$603,($L$5-1))))</f>
        <v/>
      </c>
      <c r="Q218" s="25">
        <f>IF(($L$5-1)&lt;1,"",IF(215&lt;=($L$5-1),F218,INDEX($F$4:$F$603,($L$5-1))))</f>
        <v/>
      </c>
      <c r="R218" s="25">
        <f>IF(($L$5-1)&lt;1,"",IF(215&lt;=($L$5-1),G218,INDEX($G$4:$G$603,($L$5-1))))</f>
        <v/>
      </c>
      <c r="S218" s="25">
        <f>IF(($L$5-2)&lt;1,"",IF(215&lt;=($L$5-2),H218,INDEX($H$4:$H$603,($L$5-2))))</f>
        <v/>
      </c>
      <c r="T218" s="25">
        <f>IF(($L$5-2)&lt;1,"",IF(215&lt;=($L$5-2),I218,INDEX($I$4:$I$603,($L$5-2))))</f>
        <v/>
      </c>
    </row>
    <row r="219">
      <c r="A219" s="43" t="n"/>
      <c r="B219" s="43" t="n"/>
      <c r="C219" s="37">
        <f>IF(OR(A219="",A220=""),"",A220-A219)</f>
        <v/>
      </c>
      <c r="D219" s="37">
        <f>IF(C219="","",B220-B219)</f>
        <v/>
      </c>
      <c r="E219" s="37">
        <f>IF(C219="","",(A219+A220)/2)</f>
        <v/>
      </c>
      <c r="F219" s="25">
        <f>IF(OR(C219="",C219=0),"",D219/C219)</f>
        <v/>
      </c>
      <c r="G219" s="25">
        <f>IF(C219="","",D219/$L$6)</f>
        <v/>
      </c>
      <c r="H219" s="37">
        <f>IF(OR(F219="",F220=""),"",(E219+E220)/2)</f>
        <v/>
      </c>
      <c r="I219" s="25">
        <f>IF(H219="","",(F220-F219)/(E220-E219))</f>
        <v/>
      </c>
      <c r="P219" s="25">
        <f>IF(($L$5-1)&lt;1,"",IF(216&lt;=($L$5-1),E219,INDEX($E$4:$E$603,($L$5-1))))</f>
        <v/>
      </c>
      <c r="Q219" s="25">
        <f>IF(($L$5-1)&lt;1,"",IF(216&lt;=($L$5-1),F219,INDEX($F$4:$F$603,($L$5-1))))</f>
        <v/>
      </c>
      <c r="R219" s="25">
        <f>IF(($L$5-1)&lt;1,"",IF(216&lt;=($L$5-1),G219,INDEX($G$4:$G$603,($L$5-1))))</f>
        <v/>
      </c>
      <c r="S219" s="25">
        <f>IF(($L$5-2)&lt;1,"",IF(216&lt;=($L$5-2),H219,INDEX($H$4:$H$603,($L$5-2))))</f>
        <v/>
      </c>
      <c r="T219" s="25">
        <f>IF(($L$5-2)&lt;1,"",IF(216&lt;=($L$5-2),I219,INDEX($I$4:$I$603,($L$5-2))))</f>
        <v/>
      </c>
    </row>
    <row r="220">
      <c r="A220" s="43" t="n"/>
      <c r="B220" s="43" t="n"/>
      <c r="C220" s="37">
        <f>IF(OR(A220="",A221=""),"",A221-A220)</f>
        <v/>
      </c>
      <c r="D220" s="37">
        <f>IF(C220="","",B221-B220)</f>
        <v/>
      </c>
      <c r="E220" s="37">
        <f>IF(C220="","",(A220+A221)/2)</f>
        <v/>
      </c>
      <c r="F220" s="25">
        <f>IF(OR(C220="",C220=0),"",D220/C220)</f>
        <v/>
      </c>
      <c r="G220" s="25">
        <f>IF(C220="","",D220/$L$6)</f>
        <v/>
      </c>
      <c r="H220" s="37">
        <f>IF(OR(F220="",F221=""),"",(E220+E221)/2)</f>
        <v/>
      </c>
      <c r="I220" s="25">
        <f>IF(H220="","",(F221-F220)/(E221-E220))</f>
        <v/>
      </c>
      <c r="P220" s="25">
        <f>IF(($L$5-1)&lt;1,"",IF(217&lt;=($L$5-1),E220,INDEX($E$4:$E$603,($L$5-1))))</f>
        <v/>
      </c>
      <c r="Q220" s="25">
        <f>IF(($L$5-1)&lt;1,"",IF(217&lt;=($L$5-1),F220,INDEX($F$4:$F$603,($L$5-1))))</f>
        <v/>
      </c>
      <c r="R220" s="25">
        <f>IF(($L$5-1)&lt;1,"",IF(217&lt;=($L$5-1),G220,INDEX($G$4:$G$603,($L$5-1))))</f>
        <v/>
      </c>
      <c r="S220" s="25">
        <f>IF(($L$5-2)&lt;1,"",IF(217&lt;=($L$5-2),H220,INDEX($H$4:$H$603,($L$5-2))))</f>
        <v/>
      </c>
      <c r="T220" s="25">
        <f>IF(($L$5-2)&lt;1,"",IF(217&lt;=($L$5-2),I220,INDEX($I$4:$I$603,($L$5-2))))</f>
        <v/>
      </c>
    </row>
    <row r="221">
      <c r="A221" s="43" t="n"/>
      <c r="B221" s="43" t="n"/>
      <c r="C221" s="37">
        <f>IF(OR(A221="",A222=""),"",A222-A221)</f>
        <v/>
      </c>
      <c r="D221" s="37">
        <f>IF(C221="","",B222-B221)</f>
        <v/>
      </c>
      <c r="E221" s="37">
        <f>IF(C221="","",(A221+A222)/2)</f>
        <v/>
      </c>
      <c r="F221" s="25">
        <f>IF(OR(C221="",C221=0),"",D221/C221)</f>
        <v/>
      </c>
      <c r="G221" s="25">
        <f>IF(C221="","",D221/$L$6)</f>
        <v/>
      </c>
      <c r="H221" s="37">
        <f>IF(OR(F221="",F222=""),"",(E221+E222)/2)</f>
        <v/>
      </c>
      <c r="I221" s="25">
        <f>IF(H221="","",(F222-F221)/(E222-E221))</f>
        <v/>
      </c>
      <c r="P221" s="25">
        <f>IF(($L$5-1)&lt;1,"",IF(218&lt;=($L$5-1),E221,INDEX($E$4:$E$603,($L$5-1))))</f>
        <v/>
      </c>
      <c r="Q221" s="25">
        <f>IF(($L$5-1)&lt;1,"",IF(218&lt;=($L$5-1),F221,INDEX($F$4:$F$603,($L$5-1))))</f>
        <v/>
      </c>
      <c r="R221" s="25">
        <f>IF(($L$5-1)&lt;1,"",IF(218&lt;=($L$5-1),G221,INDEX($G$4:$G$603,($L$5-1))))</f>
        <v/>
      </c>
      <c r="S221" s="25">
        <f>IF(($L$5-2)&lt;1,"",IF(218&lt;=($L$5-2),H221,INDEX($H$4:$H$603,($L$5-2))))</f>
        <v/>
      </c>
      <c r="T221" s="25">
        <f>IF(($L$5-2)&lt;1,"",IF(218&lt;=($L$5-2),I221,INDEX($I$4:$I$603,($L$5-2))))</f>
        <v/>
      </c>
    </row>
    <row r="222">
      <c r="A222" s="43" t="n"/>
      <c r="B222" s="43" t="n"/>
      <c r="C222" s="37">
        <f>IF(OR(A222="",A223=""),"",A223-A222)</f>
        <v/>
      </c>
      <c r="D222" s="37">
        <f>IF(C222="","",B223-B222)</f>
        <v/>
      </c>
      <c r="E222" s="37">
        <f>IF(C222="","",(A222+A223)/2)</f>
        <v/>
      </c>
      <c r="F222" s="25">
        <f>IF(OR(C222="",C222=0),"",D222/C222)</f>
        <v/>
      </c>
      <c r="G222" s="25">
        <f>IF(C222="","",D222/$L$6)</f>
        <v/>
      </c>
      <c r="H222" s="37">
        <f>IF(OR(F222="",F223=""),"",(E222+E223)/2)</f>
        <v/>
      </c>
      <c r="I222" s="25">
        <f>IF(H222="","",(F223-F222)/(E223-E222))</f>
        <v/>
      </c>
      <c r="P222" s="25">
        <f>IF(($L$5-1)&lt;1,"",IF(219&lt;=($L$5-1),E222,INDEX($E$4:$E$603,($L$5-1))))</f>
        <v/>
      </c>
      <c r="Q222" s="25">
        <f>IF(($L$5-1)&lt;1,"",IF(219&lt;=($L$5-1),F222,INDEX($F$4:$F$603,($L$5-1))))</f>
        <v/>
      </c>
      <c r="R222" s="25">
        <f>IF(($L$5-1)&lt;1,"",IF(219&lt;=($L$5-1),G222,INDEX($G$4:$G$603,($L$5-1))))</f>
        <v/>
      </c>
      <c r="S222" s="25">
        <f>IF(($L$5-2)&lt;1,"",IF(219&lt;=($L$5-2),H222,INDEX($H$4:$H$603,($L$5-2))))</f>
        <v/>
      </c>
      <c r="T222" s="25">
        <f>IF(($L$5-2)&lt;1,"",IF(219&lt;=($L$5-2),I222,INDEX($I$4:$I$603,($L$5-2))))</f>
        <v/>
      </c>
    </row>
    <row r="223">
      <c r="A223" s="43" t="n"/>
      <c r="B223" s="43" t="n"/>
      <c r="C223" s="37">
        <f>IF(OR(A223="",A224=""),"",A224-A223)</f>
        <v/>
      </c>
      <c r="D223" s="37">
        <f>IF(C223="","",B224-B223)</f>
        <v/>
      </c>
      <c r="E223" s="37">
        <f>IF(C223="","",(A223+A224)/2)</f>
        <v/>
      </c>
      <c r="F223" s="25">
        <f>IF(OR(C223="",C223=0),"",D223/C223)</f>
        <v/>
      </c>
      <c r="G223" s="25">
        <f>IF(C223="","",D223/$L$6)</f>
        <v/>
      </c>
      <c r="H223" s="37">
        <f>IF(OR(F223="",F224=""),"",(E223+E224)/2)</f>
        <v/>
      </c>
      <c r="I223" s="25">
        <f>IF(H223="","",(F224-F223)/(E224-E223))</f>
        <v/>
      </c>
      <c r="P223" s="25">
        <f>IF(($L$5-1)&lt;1,"",IF(220&lt;=($L$5-1),E223,INDEX($E$4:$E$603,($L$5-1))))</f>
        <v/>
      </c>
      <c r="Q223" s="25">
        <f>IF(($L$5-1)&lt;1,"",IF(220&lt;=($L$5-1),F223,INDEX($F$4:$F$603,($L$5-1))))</f>
        <v/>
      </c>
      <c r="R223" s="25">
        <f>IF(($L$5-1)&lt;1,"",IF(220&lt;=($L$5-1),G223,INDEX($G$4:$G$603,($L$5-1))))</f>
        <v/>
      </c>
      <c r="S223" s="25">
        <f>IF(($L$5-2)&lt;1,"",IF(220&lt;=($L$5-2),H223,INDEX($H$4:$H$603,($L$5-2))))</f>
        <v/>
      </c>
      <c r="T223" s="25">
        <f>IF(($L$5-2)&lt;1,"",IF(220&lt;=($L$5-2),I223,INDEX($I$4:$I$603,($L$5-2))))</f>
        <v/>
      </c>
    </row>
    <row r="224">
      <c r="A224" s="43" t="n"/>
      <c r="B224" s="43" t="n"/>
      <c r="C224" s="37">
        <f>IF(OR(A224="",A225=""),"",A225-A224)</f>
        <v/>
      </c>
      <c r="D224" s="37">
        <f>IF(C224="","",B225-B224)</f>
        <v/>
      </c>
      <c r="E224" s="37">
        <f>IF(C224="","",(A224+A225)/2)</f>
        <v/>
      </c>
      <c r="F224" s="25">
        <f>IF(OR(C224="",C224=0),"",D224/C224)</f>
        <v/>
      </c>
      <c r="G224" s="25">
        <f>IF(C224="","",D224/$L$6)</f>
        <v/>
      </c>
      <c r="H224" s="37">
        <f>IF(OR(F224="",F225=""),"",(E224+E225)/2)</f>
        <v/>
      </c>
      <c r="I224" s="25">
        <f>IF(H224="","",(F225-F224)/(E225-E224))</f>
        <v/>
      </c>
      <c r="P224" s="25">
        <f>IF(($L$5-1)&lt;1,"",IF(221&lt;=($L$5-1),E224,INDEX($E$4:$E$603,($L$5-1))))</f>
        <v/>
      </c>
      <c r="Q224" s="25">
        <f>IF(($L$5-1)&lt;1,"",IF(221&lt;=($L$5-1),F224,INDEX($F$4:$F$603,($L$5-1))))</f>
        <v/>
      </c>
      <c r="R224" s="25">
        <f>IF(($L$5-1)&lt;1,"",IF(221&lt;=($L$5-1),G224,INDEX($G$4:$G$603,($L$5-1))))</f>
        <v/>
      </c>
      <c r="S224" s="25">
        <f>IF(($L$5-2)&lt;1,"",IF(221&lt;=($L$5-2),H224,INDEX($H$4:$H$603,($L$5-2))))</f>
        <v/>
      </c>
      <c r="T224" s="25">
        <f>IF(($L$5-2)&lt;1,"",IF(221&lt;=($L$5-2),I224,INDEX($I$4:$I$603,($L$5-2))))</f>
        <v/>
      </c>
    </row>
    <row r="225">
      <c r="A225" s="43" t="n"/>
      <c r="B225" s="43" t="n"/>
      <c r="C225" s="37">
        <f>IF(OR(A225="",A226=""),"",A226-A225)</f>
        <v/>
      </c>
      <c r="D225" s="37">
        <f>IF(C225="","",B226-B225)</f>
        <v/>
      </c>
      <c r="E225" s="37">
        <f>IF(C225="","",(A225+A226)/2)</f>
        <v/>
      </c>
      <c r="F225" s="25">
        <f>IF(OR(C225="",C225=0),"",D225/C225)</f>
        <v/>
      </c>
      <c r="G225" s="25">
        <f>IF(C225="","",D225/$L$6)</f>
        <v/>
      </c>
      <c r="H225" s="37">
        <f>IF(OR(F225="",F226=""),"",(E225+E226)/2)</f>
        <v/>
      </c>
      <c r="I225" s="25">
        <f>IF(H225="","",(F226-F225)/(E226-E225))</f>
        <v/>
      </c>
      <c r="P225" s="25">
        <f>IF(($L$5-1)&lt;1,"",IF(222&lt;=($L$5-1),E225,INDEX($E$4:$E$603,($L$5-1))))</f>
        <v/>
      </c>
      <c r="Q225" s="25">
        <f>IF(($L$5-1)&lt;1,"",IF(222&lt;=($L$5-1),F225,INDEX($F$4:$F$603,($L$5-1))))</f>
        <v/>
      </c>
      <c r="R225" s="25">
        <f>IF(($L$5-1)&lt;1,"",IF(222&lt;=($L$5-1),G225,INDEX($G$4:$G$603,($L$5-1))))</f>
        <v/>
      </c>
      <c r="S225" s="25">
        <f>IF(($L$5-2)&lt;1,"",IF(222&lt;=($L$5-2),H225,INDEX($H$4:$H$603,($L$5-2))))</f>
        <v/>
      </c>
      <c r="T225" s="25">
        <f>IF(($L$5-2)&lt;1,"",IF(222&lt;=($L$5-2),I225,INDEX($I$4:$I$603,($L$5-2))))</f>
        <v/>
      </c>
    </row>
    <row r="226">
      <c r="A226" s="43" t="n"/>
      <c r="B226" s="43" t="n"/>
      <c r="C226" s="37">
        <f>IF(OR(A226="",A227=""),"",A227-A226)</f>
        <v/>
      </c>
      <c r="D226" s="37">
        <f>IF(C226="","",B227-B226)</f>
        <v/>
      </c>
      <c r="E226" s="37">
        <f>IF(C226="","",(A226+A227)/2)</f>
        <v/>
      </c>
      <c r="F226" s="25">
        <f>IF(OR(C226="",C226=0),"",D226/C226)</f>
        <v/>
      </c>
      <c r="G226" s="25">
        <f>IF(C226="","",D226/$L$6)</f>
        <v/>
      </c>
      <c r="H226" s="37">
        <f>IF(OR(F226="",F227=""),"",(E226+E227)/2)</f>
        <v/>
      </c>
      <c r="I226" s="25">
        <f>IF(H226="","",(F227-F226)/(E227-E226))</f>
        <v/>
      </c>
      <c r="P226" s="25">
        <f>IF(($L$5-1)&lt;1,"",IF(223&lt;=($L$5-1),E226,INDEX($E$4:$E$603,($L$5-1))))</f>
        <v/>
      </c>
      <c r="Q226" s="25">
        <f>IF(($L$5-1)&lt;1,"",IF(223&lt;=($L$5-1),F226,INDEX($F$4:$F$603,($L$5-1))))</f>
        <v/>
      </c>
      <c r="R226" s="25">
        <f>IF(($L$5-1)&lt;1,"",IF(223&lt;=($L$5-1),G226,INDEX($G$4:$G$603,($L$5-1))))</f>
        <v/>
      </c>
      <c r="S226" s="25">
        <f>IF(($L$5-2)&lt;1,"",IF(223&lt;=($L$5-2),H226,INDEX($H$4:$H$603,($L$5-2))))</f>
        <v/>
      </c>
      <c r="T226" s="25">
        <f>IF(($L$5-2)&lt;1,"",IF(223&lt;=($L$5-2),I226,INDEX($I$4:$I$603,($L$5-2))))</f>
        <v/>
      </c>
    </row>
    <row r="227">
      <c r="A227" s="43" t="n"/>
      <c r="B227" s="43" t="n"/>
      <c r="C227" s="37">
        <f>IF(OR(A227="",A228=""),"",A228-A227)</f>
        <v/>
      </c>
      <c r="D227" s="37">
        <f>IF(C227="","",B228-B227)</f>
        <v/>
      </c>
      <c r="E227" s="37">
        <f>IF(C227="","",(A227+A228)/2)</f>
        <v/>
      </c>
      <c r="F227" s="25">
        <f>IF(OR(C227="",C227=0),"",D227/C227)</f>
        <v/>
      </c>
      <c r="G227" s="25">
        <f>IF(C227="","",D227/$L$6)</f>
        <v/>
      </c>
      <c r="H227" s="37">
        <f>IF(OR(F227="",F228=""),"",(E227+E228)/2)</f>
        <v/>
      </c>
      <c r="I227" s="25">
        <f>IF(H227="","",(F228-F227)/(E228-E227))</f>
        <v/>
      </c>
      <c r="P227" s="25">
        <f>IF(($L$5-1)&lt;1,"",IF(224&lt;=($L$5-1),E227,INDEX($E$4:$E$603,($L$5-1))))</f>
        <v/>
      </c>
      <c r="Q227" s="25">
        <f>IF(($L$5-1)&lt;1,"",IF(224&lt;=($L$5-1),F227,INDEX($F$4:$F$603,($L$5-1))))</f>
        <v/>
      </c>
      <c r="R227" s="25">
        <f>IF(($L$5-1)&lt;1,"",IF(224&lt;=($L$5-1),G227,INDEX($G$4:$G$603,($L$5-1))))</f>
        <v/>
      </c>
      <c r="S227" s="25">
        <f>IF(($L$5-2)&lt;1,"",IF(224&lt;=($L$5-2),H227,INDEX($H$4:$H$603,($L$5-2))))</f>
        <v/>
      </c>
      <c r="T227" s="25">
        <f>IF(($L$5-2)&lt;1,"",IF(224&lt;=($L$5-2),I227,INDEX($I$4:$I$603,($L$5-2))))</f>
        <v/>
      </c>
    </row>
    <row r="228">
      <c r="A228" s="43" t="n"/>
      <c r="B228" s="43" t="n"/>
      <c r="C228" s="37">
        <f>IF(OR(A228="",A229=""),"",A229-A228)</f>
        <v/>
      </c>
      <c r="D228" s="37">
        <f>IF(C228="","",B229-B228)</f>
        <v/>
      </c>
      <c r="E228" s="37">
        <f>IF(C228="","",(A228+A229)/2)</f>
        <v/>
      </c>
      <c r="F228" s="25">
        <f>IF(OR(C228="",C228=0),"",D228/C228)</f>
        <v/>
      </c>
      <c r="G228" s="25">
        <f>IF(C228="","",D228/$L$6)</f>
        <v/>
      </c>
      <c r="H228" s="37">
        <f>IF(OR(F228="",F229=""),"",(E228+E229)/2)</f>
        <v/>
      </c>
      <c r="I228" s="25">
        <f>IF(H228="","",(F229-F228)/(E229-E228))</f>
        <v/>
      </c>
      <c r="P228" s="25">
        <f>IF(($L$5-1)&lt;1,"",IF(225&lt;=($L$5-1),E228,INDEX($E$4:$E$603,($L$5-1))))</f>
        <v/>
      </c>
      <c r="Q228" s="25">
        <f>IF(($L$5-1)&lt;1,"",IF(225&lt;=($L$5-1),F228,INDEX($F$4:$F$603,($L$5-1))))</f>
        <v/>
      </c>
      <c r="R228" s="25">
        <f>IF(($L$5-1)&lt;1,"",IF(225&lt;=($L$5-1),G228,INDEX($G$4:$G$603,($L$5-1))))</f>
        <v/>
      </c>
      <c r="S228" s="25">
        <f>IF(($L$5-2)&lt;1,"",IF(225&lt;=($L$5-2),H228,INDEX($H$4:$H$603,($L$5-2))))</f>
        <v/>
      </c>
      <c r="T228" s="25">
        <f>IF(($L$5-2)&lt;1,"",IF(225&lt;=($L$5-2),I228,INDEX($I$4:$I$603,($L$5-2))))</f>
        <v/>
      </c>
    </row>
    <row r="229">
      <c r="A229" s="43" t="n"/>
      <c r="B229" s="43" t="n"/>
      <c r="C229" s="37">
        <f>IF(OR(A229="",A230=""),"",A230-A229)</f>
        <v/>
      </c>
      <c r="D229" s="37">
        <f>IF(C229="","",B230-B229)</f>
        <v/>
      </c>
      <c r="E229" s="37">
        <f>IF(C229="","",(A229+A230)/2)</f>
        <v/>
      </c>
      <c r="F229" s="25">
        <f>IF(OR(C229="",C229=0),"",D229/C229)</f>
        <v/>
      </c>
      <c r="G229" s="25">
        <f>IF(C229="","",D229/$L$6)</f>
        <v/>
      </c>
      <c r="H229" s="37">
        <f>IF(OR(F229="",F230=""),"",(E229+E230)/2)</f>
        <v/>
      </c>
      <c r="I229" s="25">
        <f>IF(H229="","",(F230-F229)/(E230-E229))</f>
        <v/>
      </c>
      <c r="P229" s="25">
        <f>IF(($L$5-1)&lt;1,"",IF(226&lt;=($L$5-1),E229,INDEX($E$4:$E$603,($L$5-1))))</f>
        <v/>
      </c>
      <c r="Q229" s="25">
        <f>IF(($L$5-1)&lt;1,"",IF(226&lt;=($L$5-1),F229,INDEX($F$4:$F$603,($L$5-1))))</f>
        <v/>
      </c>
      <c r="R229" s="25">
        <f>IF(($L$5-1)&lt;1,"",IF(226&lt;=($L$5-1),G229,INDEX($G$4:$G$603,($L$5-1))))</f>
        <v/>
      </c>
      <c r="S229" s="25">
        <f>IF(($L$5-2)&lt;1,"",IF(226&lt;=($L$5-2),H229,INDEX($H$4:$H$603,($L$5-2))))</f>
        <v/>
      </c>
      <c r="T229" s="25">
        <f>IF(($L$5-2)&lt;1,"",IF(226&lt;=($L$5-2),I229,INDEX($I$4:$I$603,($L$5-2))))</f>
        <v/>
      </c>
    </row>
    <row r="230">
      <c r="A230" s="43" t="n"/>
      <c r="B230" s="43" t="n"/>
      <c r="C230" s="37">
        <f>IF(OR(A230="",A231=""),"",A231-A230)</f>
        <v/>
      </c>
      <c r="D230" s="37">
        <f>IF(C230="","",B231-B230)</f>
        <v/>
      </c>
      <c r="E230" s="37">
        <f>IF(C230="","",(A230+A231)/2)</f>
        <v/>
      </c>
      <c r="F230" s="25">
        <f>IF(OR(C230="",C230=0),"",D230/C230)</f>
        <v/>
      </c>
      <c r="G230" s="25">
        <f>IF(C230="","",D230/$L$6)</f>
        <v/>
      </c>
      <c r="H230" s="37">
        <f>IF(OR(F230="",F231=""),"",(E230+E231)/2)</f>
        <v/>
      </c>
      <c r="I230" s="25">
        <f>IF(H230="","",(F231-F230)/(E231-E230))</f>
        <v/>
      </c>
      <c r="P230" s="25">
        <f>IF(($L$5-1)&lt;1,"",IF(227&lt;=($L$5-1),E230,INDEX($E$4:$E$603,($L$5-1))))</f>
        <v/>
      </c>
      <c r="Q230" s="25">
        <f>IF(($L$5-1)&lt;1,"",IF(227&lt;=($L$5-1),F230,INDEX($F$4:$F$603,($L$5-1))))</f>
        <v/>
      </c>
      <c r="R230" s="25">
        <f>IF(($L$5-1)&lt;1,"",IF(227&lt;=($L$5-1),G230,INDEX($G$4:$G$603,($L$5-1))))</f>
        <v/>
      </c>
      <c r="S230" s="25">
        <f>IF(($L$5-2)&lt;1,"",IF(227&lt;=($L$5-2),H230,INDEX($H$4:$H$603,($L$5-2))))</f>
        <v/>
      </c>
      <c r="T230" s="25">
        <f>IF(($L$5-2)&lt;1,"",IF(227&lt;=($L$5-2),I230,INDEX($I$4:$I$603,($L$5-2))))</f>
        <v/>
      </c>
    </row>
    <row r="231">
      <c r="A231" s="43" t="n"/>
      <c r="B231" s="43" t="n"/>
      <c r="C231" s="37">
        <f>IF(OR(A231="",A232=""),"",A232-A231)</f>
        <v/>
      </c>
      <c r="D231" s="37">
        <f>IF(C231="","",B232-B231)</f>
        <v/>
      </c>
      <c r="E231" s="37">
        <f>IF(C231="","",(A231+A232)/2)</f>
        <v/>
      </c>
      <c r="F231" s="25">
        <f>IF(OR(C231="",C231=0),"",D231/C231)</f>
        <v/>
      </c>
      <c r="G231" s="25">
        <f>IF(C231="","",D231/$L$6)</f>
        <v/>
      </c>
      <c r="H231" s="37">
        <f>IF(OR(F231="",F232=""),"",(E231+E232)/2)</f>
        <v/>
      </c>
      <c r="I231" s="25">
        <f>IF(H231="","",(F232-F231)/(E232-E231))</f>
        <v/>
      </c>
      <c r="P231" s="25">
        <f>IF(($L$5-1)&lt;1,"",IF(228&lt;=($L$5-1),E231,INDEX($E$4:$E$603,($L$5-1))))</f>
        <v/>
      </c>
      <c r="Q231" s="25">
        <f>IF(($L$5-1)&lt;1,"",IF(228&lt;=($L$5-1),F231,INDEX($F$4:$F$603,($L$5-1))))</f>
        <v/>
      </c>
      <c r="R231" s="25">
        <f>IF(($L$5-1)&lt;1,"",IF(228&lt;=($L$5-1),G231,INDEX($G$4:$G$603,($L$5-1))))</f>
        <v/>
      </c>
      <c r="S231" s="25">
        <f>IF(($L$5-2)&lt;1,"",IF(228&lt;=($L$5-2),H231,INDEX($H$4:$H$603,($L$5-2))))</f>
        <v/>
      </c>
      <c r="T231" s="25">
        <f>IF(($L$5-2)&lt;1,"",IF(228&lt;=($L$5-2),I231,INDEX($I$4:$I$603,($L$5-2))))</f>
        <v/>
      </c>
    </row>
    <row r="232">
      <c r="A232" s="43" t="n"/>
      <c r="B232" s="43" t="n"/>
      <c r="C232" s="37">
        <f>IF(OR(A232="",A233=""),"",A233-A232)</f>
        <v/>
      </c>
      <c r="D232" s="37">
        <f>IF(C232="","",B233-B232)</f>
        <v/>
      </c>
      <c r="E232" s="37">
        <f>IF(C232="","",(A232+A233)/2)</f>
        <v/>
      </c>
      <c r="F232" s="25">
        <f>IF(OR(C232="",C232=0),"",D232/C232)</f>
        <v/>
      </c>
      <c r="G232" s="25">
        <f>IF(C232="","",D232/$L$6)</f>
        <v/>
      </c>
      <c r="H232" s="37">
        <f>IF(OR(F232="",F233=""),"",(E232+E233)/2)</f>
        <v/>
      </c>
      <c r="I232" s="25">
        <f>IF(H232="","",(F233-F232)/(E233-E232))</f>
        <v/>
      </c>
      <c r="P232" s="25">
        <f>IF(($L$5-1)&lt;1,"",IF(229&lt;=($L$5-1),E232,INDEX($E$4:$E$603,($L$5-1))))</f>
        <v/>
      </c>
      <c r="Q232" s="25">
        <f>IF(($L$5-1)&lt;1,"",IF(229&lt;=($L$5-1),F232,INDEX($F$4:$F$603,($L$5-1))))</f>
        <v/>
      </c>
      <c r="R232" s="25">
        <f>IF(($L$5-1)&lt;1,"",IF(229&lt;=($L$5-1),G232,INDEX($G$4:$G$603,($L$5-1))))</f>
        <v/>
      </c>
      <c r="S232" s="25">
        <f>IF(($L$5-2)&lt;1,"",IF(229&lt;=($L$5-2),H232,INDEX($H$4:$H$603,($L$5-2))))</f>
        <v/>
      </c>
      <c r="T232" s="25">
        <f>IF(($L$5-2)&lt;1,"",IF(229&lt;=($L$5-2),I232,INDEX($I$4:$I$603,($L$5-2))))</f>
        <v/>
      </c>
    </row>
    <row r="233">
      <c r="A233" s="43" t="n"/>
      <c r="B233" s="43" t="n"/>
      <c r="C233" s="37">
        <f>IF(OR(A233="",A234=""),"",A234-A233)</f>
        <v/>
      </c>
      <c r="D233" s="37">
        <f>IF(C233="","",B234-B233)</f>
        <v/>
      </c>
      <c r="E233" s="37">
        <f>IF(C233="","",(A233+A234)/2)</f>
        <v/>
      </c>
      <c r="F233" s="25">
        <f>IF(OR(C233="",C233=0),"",D233/C233)</f>
        <v/>
      </c>
      <c r="G233" s="25">
        <f>IF(C233="","",D233/$L$6)</f>
        <v/>
      </c>
      <c r="H233" s="37">
        <f>IF(OR(F233="",F234=""),"",(E233+E234)/2)</f>
        <v/>
      </c>
      <c r="I233" s="25">
        <f>IF(H233="","",(F234-F233)/(E234-E233))</f>
        <v/>
      </c>
      <c r="P233" s="25">
        <f>IF(($L$5-1)&lt;1,"",IF(230&lt;=($L$5-1),E233,INDEX($E$4:$E$603,($L$5-1))))</f>
        <v/>
      </c>
      <c r="Q233" s="25">
        <f>IF(($L$5-1)&lt;1,"",IF(230&lt;=($L$5-1),F233,INDEX($F$4:$F$603,($L$5-1))))</f>
        <v/>
      </c>
      <c r="R233" s="25">
        <f>IF(($L$5-1)&lt;1,"",IF(230&lt;=($L$5-1),G233,INDEX($G$4:$G$603,($L$5-1))))</f>
        <v/>
      </c>
      <c r="S233" s="25">
        <f>IF(($L$5-2)&lt;1,"",IF(230&lt;=($L$5-2),H233,INDEX($H$4:$H$603,($L$5-2))))</f>
        <v/>
      </c>
      <c r="T233" s="25">
        <f>IF(($L$5-2)&lt;1,"",IF(230&lt;=($L$5-2),I233,INDEX($I$4:$I$603,($L$5-2))))</f>
        <v/>
      </c>
    </row>
    <row r="234">
      <c r="A234" s="43" t="n"/>
      <c r="B234" s="43" t="n"/>
      <c r="C234" s="37">
        <f>IF(OR(A234="",A235=""),"",A235-A234)</f>
        <v/>
      </c>
      <c r="D234" s="37">
        <f>IF(C234="","",B235-B234)</f>
        <v/>
      </c>
      <c r="E234" s="37">
        <f>IF(C234="","",(A234+A235)/2)</f>
        <v/>
      </c>
      <c r="F234" s="25">
        <f>IF(OR(C234="",C234=0),"",D234/C234)</f>
        <v/>
      </c>
      <c r="G234" s="25">
        <f>IF(C234="","",D234/$L$6)</f>
        <v/>
      </c>
      <c r="H234" s="37">
        <f>IF(OR(F234="",F235=""),"",(E234+E235)/2)</f>
        <v/>
      </c>
      <c r="I234" s="25">
        <f>IF(H234="","",(F235-F234)/(E235-E234))</f>
        <v/>
      </c>
      <c r="P234" s="25">
        <f>IF(($L$5-1)&lt;1,"",IF(231&lt;=($L$5-1),E234,INDEX($E$4:$E$603,($L$5-1))))</f>
        <v/>
      </c>
      <c r="Q234" s="25">
        <f>IF(($L$5-1)&lt;1,"",IF(231&lt;=($L$5-1),F234,INDEX($F$4:$F$603,($L$5-1))))</f>
        <v/>
      </c>
      <c r="R234" s="25">
        <f>IF(($L$5-1)&lt;1,"",IF(231&lt;=($L$5-1),G234,INDEX($G$4:$G$603,($L$5-1))))</f>
        <v/>
      </c>
      <c r="S234" s="25">
        <f>IF(($L$5-2)&lt;1,"",IF(231&lt;=($L$5-2),H234,INDEX($H$4:$H$603,($L$5-2))))</f>
        <v/>
      </c>
      <c r="T234" s="25">
        <f>IF(($L$5-2)&lt;1,"",IF(231&lt;=($L$5-2),I234,INDEX($I$4:$I$603,($L$5-2))))</f>
        <v/>
      </c>
    </row>
    <row r="235">
      <c r="A235" s="43" t="n"/>
      <c r="B235" s="43" t="n"/>
      <c r="C235" s="37">
        <f>IF(OR(A235="",A236=""),"",A236-A235)</f>
        <v/>
      </c>
      <c r="D235" s="37">
        <f>IF(C235="","",B236-B235)</f>
        <v/>
      </c>
      <c r="E235" s="37">
        <f>IF(C235="","",(A235+A236)/2)</f>
        <v/>
      </c>
      <c r="F235" s="25">
        <f>IF(OR(C235="",C235=0),"",D235/C235)</f>
        <v/>
      </c>
      <c r="G235" s="25">
        <f>IF(C235="","",D235/$L$6)</f>
        <v/>
      </c>
      <c r="H235" s="37">
        <f>IF(OR(F235="",F236=""),"",(E235+E236)/2)</f>
        <v/>
      </c>
      <c r="I235" s="25">
        <f>IF(H235="","",(F236-F235)/(E236-E235))</f>
        <v/>
      </c>
      <c r="P235" s="25">
        <f>IF(($L$5-1)&lt;1,"",IF(232&lt;=($L$5-1),E235,INDEX($E$4:$E$603,($L$5-1))))</f>
        <v/>
      </c>
      <c r="Q235" s="25">
        <f>IF(($L$5-1)&lt;1,"",IF(232&lt;=($L$5-1),F235,INDEX($F$4:$F$603,($L$5-1))))</f>
        <v/>
      </c>
      <c r="R235" s="25">
        <f>IF(($L$5-1)&lt;1,"",IF(232&lt;=($L$5-1),G235,INDEX($G$4:$G$603,($L$5-1))))</f>
        <v/>
      </c>
      <c r="S235" s="25">
        <f>IF(($L$5-2)&lt;1,"",IF(232&lt;=($L$5-2),H235,INDEX($H$4:$H$603,($L$5-2))))</f>
        <v/>
      </c>
      <c r="T235" s="25">
        <f>IF(($L$5-2)&lt;1,"",IF(232&lt;=($L$5-2),I235,INDEX($I$4:$I$603,($L$5-2))))</f>
        <v/>
      </c>
    </row>
    <row r="236">
      <c r="A236" s="43" t="n"/>
      <c r="B236" s="43" t="n"/>
      <c r="C236" s="37">
        <f>IF(OR(A236="",A237=""),"",A237-A236)</f>
        <v/>
      </c>
      <c r="D236" s="37">
        <f>IF(C236="","",B237-B236)</f>
        <v/>
      </c>
      <c r="E236" s="37">
        <f>IF(C236="","",(A236+A237)/2)</f>
        <v/>
      </c>
      <c r="F236" s="25">
        <f>IF(OR(C236="",C236=0),"",D236/C236)</f>
        <v/>
      </c>
      <c r="G236" s="25">
        <f>IF(C236="","",D236/$L$6)</f>
        <v/>
      </c>
      <c r="H236" s="37">
        <f>IF(OR(F236="",F237=""),"",(E236+E237)/2)</f>
        <v/>
      </c>
      <c r="I236" s="25">
        <f>IF(H236="","",(F237-F236)/(E237-E236))</f>
        <v/>
      </c>
      <c r="P236" s="25">
        <f>IF(($L$5-1)&lt;1,"",IF(233&lt;=($L$5-1),E236,INDEX($E$4:$E$603,($L$5-1))))</f>
        <v/>
      </c>
      <c r="Q236" s="25">
        <f>IF(($L$5-1)&lt;1,"",IF(233&lt;=($L$5-1),F236,INDEX($F$4:$F$603,($L$5-1))))</f>
        <v/>
      </c>
      <c r="R236" s="25">
        <f>IF(($L$5-1)&lt;1,"",IF(233&lt;=($L$5-1),G236,INDEX($G$4:$G$603,($L$5-1))))</f>
        <v/>
      </c>
      <c r="S236" s="25">
        <f>IF(($L$5-2)&lt;1,"",IF(233&lt;=($L$5-2),H236,INDEX($H$4:$H$603,($L$5-2))))</f>
        <v/>
      </c>
      <c r="T236" s="25">
        <f>IF(($L$5-2)&lt;1,"",IF(233&lt;=($L$5-2),I236,INDEX($I$4:$I$603,($L$5-2))))</f>
        <v/>
      </c>
    </row>
    <row r="237">
      <c r="A237" s="43" t="n"/>
      <c r="B237" s="43" t="n"/>
      <c r="C237" s="37">
        <f>IF(OR(A237="",A238=""),"",A238-A237)</f>
        <v/>
      </c>
      <c r="D237" s="37">
        <f>IF(C237="","",B238-B237)</f>
        <v/>
      </c>
      <c r="E237" s="37">
        <f>IF(C237="","",(A237+A238)/2)</f>
        <v/>
      </c>
      <c r="F237" s="25">
        <f>IF(OR(C237="",C237=0),"",D237/C237)</f>
        <v/>
      </c>
      <c r="G237" s="25">
        <f>IF(C237="","",D237/$L$6)</f>
        <v/>
      </c>
      <c r="H237" s="37">
        <f>IF(OR(F237="",F238=""),"",(E237+E238)/2)</f>
        <v/>
      </c>
      <c r="I237" s="25">
        <f>IF(H237="","",(F238-F237)/(E238-E237))</f>
        <v/>
      </c>
      <c r="P237" s="25">
        <f>IF(($L$5-1)&lt;1,"",IF(234&lt;=($L$5-1),E237,INDEX($E$4:$E$603,($L$5-1))))</f>
        <v/>
      </c>
      <c r="Q237" s="25">
        <f>IF(($L$5-1)&lt;1,"",IF(234&lt;=($L$5-1),F237,INDEX($F$4:$F$603,($L$5-1))))</f>
        <v/>
      </c>
      <c r="R237" s="25">
        <f>IF(($L$5-1)&lt;1,"",IF(234&lt;=($L$5-1),G237,INDEX($G$4:$G$603,($L$5-1))))</f>
        <v/>
      </c>
      <c r="S237" s="25">
        <f>IF(($L$5-2)&lt;1,"",IF(234&lt;=($L$5-2),H237,INDEX($H$4:$H$603,($L$5-2))))</f>
        <v/>
      </c>
      <c r="T237" s="25">
        <f>IF(($L$5-2)&lt;1,"",IF(234&lt;=($L$5-2),I237,INDEX($I$4:$I$603,($L$5-2))))</f>
        <v/>
      </c>
    </row>
    <row r="238">
      <c r="A238" s="43" t="n"/>
      <c r="B238" s="43" t="n"/>
      <c r="C238" s="37">
        <f>IF(OR(A238="",A239=""),"",A239-A238)</f>
        <v/>
      </c>
      <c r="D238" s="37">
        <f>IF(C238="","",B239-B238)</f>
        <v/>
      </c>
      <c r="E238" s="37">
        <f>IF(C238="","",(A238+A239)/2)</f>
        <v/>
      </c>
      <c r="F238" s="25">
        <f>IF(OR(C238="",C238=0),"",D238/C238)</f>
        <v/>
      </c>
      <c r="G238" s="25">
        <f>IF(C238="","",D238/$L$6)</f>
        <v/>
      </c>
      <c r="H238" s="37">
        <f>IF(OR(F238="",F239=""),"",(E238+E239)/2)</f>
        <v/>
      </c>
      <c r="I238" s="25">
        <f>IF(H238="","",(F239-F238)/(E239-E238))</f>
        <v/>
      </c>
      <c r="P238" s="25">
        <f>IF(($L$5-1)&lt;1,"",IF(235&lt;=($L$5-1),E238,INDEX($E$4:$E$603,($L$5-1))))</f>
        <v/>
      </c>
      <c r="Q238" s="25">
        <f>IF(($L$5-1)&lt;1,"",IF(235&lt;=($L$5-1),F238,INDEX($F$4:$F$603,($L$5-1))))</f>
        <v/>
      </c>
      <c r="R238" s="25">
        <f>IF(($L$5-1)&lt;1,"",IF(235&lt;=($L$5-1),G238,INDEX($G$4:$G$603,($L$5-1))))</f>
        <v/>
      </c>
      <c r="S238" s="25">
        <f>IF(($L$5-2)&lt;1,"",IF(235&lt;=($L$5-2),H238,INDEX($H$4:$H$603,($L$5-2))))</f>
        <v/>
      </c>
      <c r="T238" s="25">
        <f>IF(($L$5-2)&lt;1,"",IF(235&lt;=($L$5-2),I238,INDEX($I$4:$I$603,($L$5-2))))</f>
        <v/>
      </c>
    </row>
    <row r="239">
      <c r="A239" s="43" t="n"/>
      <c r="B239" s="43" t="n"/>
      <c r="C239" s="37">
        <f>IF(OR(A239="",A240=""),"",A240-A239)</f>
        <v/>
      </c>
      <c r="D239" s="37">
        <f>IF(C239="","",B240-B239)</f>
        <v/>
      </c>
      <c r="E239" s="37">
        <f>IF(C239="","",(A239+A240)/2)</f>
        <v/>
      </c>
      <c r="F239" s="25">
        <f>IF(OR(C239="",C239=0),"",D239/C239)</f>
        <v/>
      </c>
      <c r="G239" s="25">
        <f>IF(C239="","",D239/$L$6)</f>
        <v/>
      </c>
      <c r="H239" s="37">
        <f>IF(OR(F239="",F240=""),"",(E239+E240)/2)</f>
        <v/>
      </c>
      <c r="I239" s="25">
        <f>IF(H239="","",(F240-F239)/(E240-E239))</f>
        <v/>
      </c>
      <c r="P239" s="25">
        <f>IF(($L$5-1)&lt;1,"",IF(236&lt;=($L$5-1),E239,INDEX($E$4:$E$603,($L$5-1))))</f>
        <v/>
      </c>
      <c r="Q239" s="25">
        <f>IF(($L$5-1)&lt;1,"",IF(236&lt;=($L$5-1),F239,INDEX($F$4:$F$603,($L$5-1))))</f>
        <v/>
      </c>
      <c r="R239" s="25">
        <f>IF(($L$5-1)&lt;1,"",IF(236&lt;=($L$5-1),G239,INDEX($G$4:$G$603,($L$5-1))))</f>
        <v/>
      </c>
      <c r="S239" s="25">
        <f>IF(($L$5-2)&lt;1,"",IF(236&lt;=($L$5-2),H239,INDEX($H$4:$H$603,($L$5-2))))</f>
        <v/>
      </c>
      <c r="T239" s="25">
        <f>IF(($L$5-2)&lt;1,"",IF(236&lt;=($L$5-2),I239,INDEX($I$4:$I$603,($L$5-2))))</f>
        <v/>
      </c>
    </row>
    <row r="240">
      <c r="A240" s="43" t="n"/>
      <c r="B240" s="43" t="n"/>
      <c r="C240" s="37">
        <f>IF(OR(A240="",A241=""),"",A241-A240)</f>
        <v/>
      </c>
      <c r="D240" s="37">
        <f>IF(C240="","",B241-B240)</f>
        <v/>
      </c>
      <c r="E240" s="37">
        <f>IF(C240="","",(A240+A241)/2)</f>
        <v/>
      </c>
      <c r="F240" s="25">
        <f>IF(OR(C240="",C240=0),"",D240/C240)</f>
        <v/>
      </c>
      <c r="G240" s="25">
        <f>IF(C240="","",D240/$L$6)</f>
        <v/>
      </c>
      <c r="H240" s="37">
        <f>IF(OR(F240="",F241=""),"",(E240+E241)/2)</f>
        <v/>
      </c>
      <c r="I240" s="25">
        <f>IF(H240="","",(F241-F240)/(E241-E240))</f>
        <v/>
      </c>
      <c r="P240" s="25">
        <f>IF(($L$5-1)&lt;1,"",IF(237&lt;=($L$5-1),E240,INDEX($E$4:$E$603,($L$5-1))))</f>
        <v/>
      </c>
      <c r="Q240" s="25">
        <f>IF(($L$5-1)&lt;1,"",IF(237&lt;=($L$5-1),F240,INDEX($F$4:$F$603,($L$5-1))))</f>
        <v/>
      </c>
      <c r="R240" s="25">
        <f>IF(($L$5-1)&lt;1,"",IF(237&lt;=($L$5-1),G240,INDEX($G$4:$G$603,($L$5-1))))</f>
        <v/>
      </c>
      <c r="S240" s="25">
        <f>IF(($L$5-2)&lt;1,"",IF(237&lt;=($L$5-2),H240,INDEX($H$4:$H$603,($L$5-2))))</f>
        <v/>
      </c>
      <c r="T240" s="25">
        <f>IF(($L$5-2)&lt;1,"",IF(237&lt;=($L$5-2),I240,INDEX($I$4:$I$603,($L$5-2))))</f>
        <v/>
      </c>
    </row>
    <row r="241">
      <c r="A241" s="43" t="n"/>
      <c r="B241" s="43" t="n"/>
      <c r="C241" s="37">
        <f>IF(OR(A241="",A242=""),"",A242-A241)</f>
        <v/>
      </c>
      <c r="D241" s="37">
        <f>IF(C241="","",B242-B241)</f>
        <v/>
      </c>
      <c r="E241" s="37">
        <f>IF(C241="","",(A241+A242)/2)</f>
        <v/>
      </c>
      <c r="F241" s="25">
        <f>IF(OR(C241="",C241=0),"",D241/C241)</f>
        <v/>
      </c>
      <c r="G241" s="25">
        <f>IF(C241="","",D241/$L$6)</f>
        <v/>
      </c>
      <c r="H241" s="37">
        <f>IF(OR(F241="",F242=""),"",(E241+E242)/2)</f>
        <v/>
      </c>
      <c r="I241" s="25">
        <f>IF(H241="","",(F242-F241)/(E242-E241))</f>
        <v/>
      </c>
      <c r="P241" s="25">
        <f>IF(($L$5-1)&lt;1,"",IF(238&lt;=($L$5-1),E241,INDEX($E$4:$E$603,($L$5-1))))</f>
        <v/>
      </c>
      <c r="Q241" s="25">
        <f>IF(($L$5-1)&lt;1,"",IF(238&lt;=($L$5-1),F241,INDEX($F$4:$F$603,($L$5-1))))</f>
        <v/>
      </c>
      <c r="R241" s="25">
        <f>IF(($L$5-1)&lt;1,"",IF(238&lt;=($L$5-1),G241,INDEX($G$4:$G$603,($L$5-1))))</f>
        <v/>
      </c>
      <c r="S241" s="25">
        <f>IF(($L$5-2)&lt;1,"",IF(238&lt;=($L$5-2),H241,INDEX($H$4:$H$603,($L$5-2))))</f>
        <v/>
      </c>
      <c r="T241" s="25">
        <f>IF(($L$5-2)&lt;1,"",IF(238&lt;=($L$5-2),I241,INDEX($I$4:$I$603,($L$5-2))))</f>
        <v/>
      </c>
    </row>
    <row r="242">
      <c r="A242" s="43" t="n"/>
      <c r="B242" s="43" t="n"/>
      <c r="C242" s="37">
        <f>IF(OR(A242="",A243=""),"",A243-A242)</f>
        <v/>
      </c>
      <c r="D242" s="37">
        <f>IF(C242="","",B243-B242)</f>
        <v/>
      </c>
      <c r="E242" s="37">
        <f>IF(C242="","",(A242+A243)/2)</f>
        <v/>
      </c>
      <c r="F242" s="25">
        <f>IF(OR(C242="",C242=0),"",D242/C242)</f>
        <v/>
      </c>
      <c r="G242" s="25">
        <f>IF(C242="","",D242/$L$6)</f>
        <v/>
      </c>
      <c r="H242" s="37">
        <f>IF(OR(F242="",F243=""),"",(E242+E243)/2)</f>
        <v/>
      </c>
      <c r="I242" s="25">
        <f>IF(H242="","",(F243-F242)/(E243-E242))</f>
        <v/>
      </c>
      <c r="P242" s="25">
        <f>IF(($L$5-1)&lt;1,"",IF(239&lt;=($L$5-1),E242,INDEX($E$4:$E$603,($L$5-1))))</f>
        <v/>
      </c>
      <c r="Q242" s="25">
        <f>IF(($L$5-1)&lt;1,"",IF(239&lt;=($L$5-1),F242,INDEX($F$4:$F$603,($L$5-1))))</f>
        <v/>
      </c>
      <c r="R242" s="25">
        <f>IF(($L$5-1)&lt;1,"",IF(239&lt;=($L$5-1),G242,INDEX($G$4:$G$603,($L$5-1))))</f>
        <v/>
      </c>
      <c r="S242" s="25">
        <f>IF(($L$5-2)&lt;1,"",IF(239&lt;=($L$5-2),H242,INDEX($H$4:$H$603,($L$5-2))))</f>
        <v/>
      </c>
      <c r="T242" s="25">
        <f>IF(($L$5-2)&lt;1,"",IF(239&lt;=($L$5-2),I242,INDEX($I$4:$I$603,($L$5-2))))</f>
        <v/>
      </c>
    </row>
    <row r="243">
      <c r="A243" s="43" t="n"/>
      <c r="B243" s="43" t="n"/>
      <c r="C243" s="37">
        <f>IF(OR(A243="",A244=""),"",A244-A243)</f>
        <v/>
      </c>
      <c r="D243" s="37">
        <f>IF(C243="","",B244-B243)</f>
        <v/>
      </c>
      <c r="E243" s="37">
        <f>IF(C243="","",(A243+A244)/2)</f>
        <v/>
      </c>
      <c r="F243" s="25">
        <f>IF(OR(C243="",C243=0),"",D243/C243)</f>
        <v/>
      </c>
      <c r="G243" s="25">
        <f>IF(C243="","",D243/$L$6)</f>
        <v/>
      </c>
      <c r="H243" s="37">
        <f>IF(OR(F243="",F244=""),"",(E243+E244)/2)</f>
        <v/>
      </c>
      <c r="I243" s="25">
        <f>IF(H243="","",(F244-F243)/(E244-E243))</f>
        <v/>
      </c>
      <c r="P243" s="25">
        <f>IF(($L$5-1)&lt;1,"",IF(240&lt;=($L$5-1),E243,INDEX($E$4:$E$603,($L$5-1))))</f>
        <v/>
      </c>
      <c r="Q243" s="25">
        <f>IF(($L$5-1)&lt;1,"",IF(240&lt;=($L$5-1),F243,INDEX($F$4:$F$603,($L$5-1))))</f>
        <v/>
      </c>
      <c r="R243" s="25">
        <f>IF(($L$5-1)&lt;1,"",IF(240&lt;=($L$5-1),G243,INDEX($G$4:$G$603,($L$5-1))))</f>
        <v/>
      </c>
      <c r="S243" s="25">
        <f>IF(($L$5-2)&lt;1,"",IF(240&lt;=($L$5-2),H243,INDEX($H$4:$H$603,($L$5-2))))</f>
        <v/>
      </c>
      <c r="T243" s="25">
        <f>IF(($L$5-2)&lt;1,"",IF(240&lt;=($L$5-2),I243,INDEX($I$4:$I$603,($L$5-2))))</f>
        <v/>
      </c>
    </row>
    <row r="244">
      <c r="A244" s="43" t="n"/>
      <c r="B244" s="43" t="n"/>
      <c r="C244" s="37">
        <f>IF(OR(A244="",A245=""),"",A245-A244)</f>
        <v/>
      </c>
      <c r="D244" s="37">
        <f>IF(C244="","",B245-B244)</f>
        <v/>
      </c>
      <c r="E244" s="37">
        <f>IF(C244="","",(A244+A245)/2)</f>
        <v/>
      </c>
      <c r="F244" s="25">
        <f>IF(OR(C244="",C244=0),"",D244/C244)</f>
        <v/>
      </c>
      <c r="G244" s="25">
        <f>IF(C244="","",D244/$L$6)</f>
        <v/>
      </c>
      <c r="H244" s="37">
        <f>IF(OR(F244="",F245=""),"",(E244+E245)/2)</f>
        <v/>
      </c>
      <c r="I244" s="25">
        <f>IF(H244="","",(F245-F244)/(E245-E244))</f>
        <v/>
      </c>
      <c r="P244" s="25">
        <f>IF(($L$5-1)&lt;1,"",IF(241&lt;=($L$5-1),E244,INDEX($E$4:$E$603,($L$5-1))))</f>
        <v/>
      </c>
      <c r="Q244" s="25">
        <f>IF(($L$5-1)&lt;1,"",IF(241&lt;=($L$5-1),F244,INDEX($F$4:$F$603,($L$5-1))))</f>
        <v/>
      </c>
      <c r="R244" s="25">
        <f>IF(($L$5-1)&lt;1,"",IF(241&lt;=($L$5-1),G244,INDEX($G$4:$G$603,($L$5-1))))</f>
        <v/>
      </c>
      <c r="S244" s="25">
        <f>IF(($L$5-2)&lt;1,"",IF(241&lt;=($L$5-2),H244,INDEX($H$4:$H$603,($L$5-2))))</f>
        <v/>
      </c>
      <c r="T244" s="25">
        <f>IF(($L$5-2)&lt;1,"",IF(241&lt;=($L$5-2),I244,INDEX($I$4:$I$603,($L$5-2))))</f>
        <v/>
      </c>
    </row>
    <row r="245">
      <c r="A245" s="43" t="n"/>
      <c r="B245" s="43" t="n"/>
      <c r="C245" s="37">
        <f>IF(OR(A245="",A246=""),"",A246-A245)</f>
        <v/>
      </c>
      <c r="D245" s="37">
        <f>IF(C245="","",B246-B245)</f>
        <v/>
      </c>
      <c r="E245" s="37">
        <f>IF(C245="","",(A245+A246)/2)</f>
        <v/>
      </c>
      <c r="F245" s="25">
        <f>IF(OR(C245="",C245=0),"",D245/C245)</f>
        <v/>
      </c>
      <c r="G245" s="25">
        <f>IF(C245="","",D245/$L$6)</f>
        <v/>
      </c>
      <c r="H245" s="37">
        <f>IF(OR(F245="",F246=""),"",(E245+E246)/2)</f>
        <v/>
      </c>
      <c r="I245" s="25">
        <f>IF(H245="","",(F246-F245)/(E246-E245))</f>
        <v/>
      </c>
      <c r="P245" s="25">
        <f>IF(($L$5-1)&lt;1,"",IF(242&lt;=($L$5-1),E245,INDEX($E$4:$E$603,($L$5-1))))</f>
        <v/>
      </c>
      <c r="Q245" s="25">
        <f>IF(($L$5-1)&lt;1,"",IF(242&lt;=($L$5-1),F245,INDEX($F$4:$F$603,($L$5-1))))</f>
        <v/>
      </c>
      <c r="R245" s="25">
        <f>IF(($L$5-1)&lt;1,"",IF(242&lt;=($L$5-1),G245,INDEX($G$4:$G$603,($L$5-1))))</f>
        <v/>
      </c>
      <c r="S245" s="25">
        <f>IF(($L$5-2)&lt;1,"",IF(242&lt;=($L$5-2),H245,INDEX($H$4:$H$603,($L$5-2))))</f>
        <v/>
      </c>
      <c r="T245" s="25">
        <f>IF(($L$5-2)&lt;1,"",IF(242&lt;=($L$5-2),I245,INDEX($I$4:$I$603,($L$5-2))))</f>
        <v/>
      </c>
    </row>
    <row r="246">
      <c r="A246" s="43" t="n"/>
      <c r="B246" s="43" t="n"/>
      <c r="C246" s="37">
        <f>IF(OR(A246="",A247=""),"",A247-A246)</f>
        <v/>
      </c>
      <c r="D246" s="37">
        <f>IF(C246="","",B247-B246)</f>
        <v/>
      </c>
      <c r="E246" s="37">
        <f>IF(C246="","",(A246+A247)/2)</f>
        <v/>
      </c>
      <c r="F246" s="25">
        <f>IF(OR(C246="",C246=0),"",D246/C246)</f>
        <v/>
      </c>
      <c r="G246" s="25">
        <f>IF(C246="","",D246/$L$6)</f>
        <v/>
      </c>
      <c r="H246" s="37">
        <f>IF(OR(F246="",F247=""),"",(E246+E247)/2)</f>
        <v/>
      </c>
      <c r="I246" s="25">
        <f>IF(H246="","",(F247-F246)/(E247-E246))</f>
        <v/>
      </c>
      <c r="P246" s="25">
        <f>IF(($L$5-1)&lt;1,"",IF(243&lt;=($L$5-1),E246,INDEX($E$4:$E$603,($L$5-1))))</f>
        <v/>
      </c>
      <c r="Q246" s="25">
        <f>IF(($L$5-1)&lt;1,"",IF(243&lt;=($L$5-1),F246,INDEX($F$4:$F$603,($L$5-1))))</f>
        <v/>
      </c>
      <c r="R246" s="25">
        <f>IF(($L$5-1)&lt;1,"",IF(243&lt;=($L$5-1),G246,INDEX($G$4:$G$603,($L$5-1))))</f>
        <v/>
      </c>
      <c r="S246" s="25">
        <f>IF(($L$5-2)&lt;1,"",IF(243&lt;=($L$5-2),H246,INDEX($H$4:$H$603,($L$5-2))))</f>
        <v/>
      </c>
      <c r="T246" s="25">
        <f>IF(($L$5-2)&lt;1,"",IF(243&lt;=($L$5-2),I246,INDEX($I$4:$I$603,($L$5-2))))</f>
        <v/>
      </c>
    </row>
    <row r="247">
      <c r="A247" s="43" t="n"/>
      <c r="B247" s="43" t="n"/>
      <c r="C247" s="37">
        <f>IF(OR(A247="",A248=""),"",A248-A247)</f>
        <v/>
      </c>
      <c r="D247" s="37">
        <f>IF(C247="","",B248-B247)</f>
        <v/>
      </c>
      <c r="E247" s="37">
        <f>IF(C247="","",(A247+A248)/2)</f>
        <v/>
      </c>
      <c r="F247" s="25">
        <f>IF(OR(C247="",C247=0),"",D247/C247)</f>
        <v/>
      </c>
      <c r="G247" s="25">
        <f>IF(C247="","",D247/$L$6)</f>
        <v/>
      </c>
      <c r="H247" s="37">
        <f>IF(OR(F247="",F248=""),"",(E247+E248)/2)</f>
        <v/>
      </c>
      <c r="I247" s="25">
        <f>IF(H247="","",(F248-F247)/(E248-E247))</f>
        <v/>
      </c>
      <c r="P247" s="25">
        <f>IF(($L$5-1)&lt;1,"",IF(244&lt;=($L$5-1),E247,INDEX($E$4:$E$603,($L$5-1))))</f>
        <v/>
      </c>
      <c r="Q247" s="25">
        <f>IF(($L$5-1)&lt;1,"",IF(244&lt;=($L$5-1),F247,INDEX($F$4:$F$603,($L$5-1))))</f>
        <v/>
      </c>
      <c r="R247" s="25">
        <f>IF(($L$5-1)&lt;1,"",IF(244&lt;=($L$5-1),G247,INDEX($G$4:$G$603,($L$5-1))))</f>
        <v/>
      </c>
      <c r="S247" s="25">
        <f>IF(($L$5-2)&lt;1,"",IF(244&lt;=($L$5-2),H247,INDEX($H$4:$H$603,($L$5-2))))</f>
        <v/>
      </c>
      <c r="T247" s="25">
        <f>IF(($L$5-2)&lt;1,"",IF(244&lt;=($L$5-2),I247,INDEX($I$4:$I$603,($L$5-2))))</f>
        <v/>
      </c>
    </row>
    <row r="248">
      <c r="A248" s="43" t="n"/>
      <c r="B248" s="43" t="n"/>
      <c r="C248" s="37">
        <f>IF(OR(A248="",A249=""),"",A249-A248)</f>
        <v/>
      </c>
      <c r="D248" s="37">
        <f>IF(C248="","",B249-B248)</f>
        <v/>
      </c>
      <c r="E248" s="37">
        <f>IF(C248="","",(A248+A249)/2)</f>
        <v/>
      </c>
      <c r="F248" s="25">
        <f>IF(OR(C248="",C248=0),"",D248/C248)</f>
        <v/>
      </c>
      <c r="G248" s="25">
        <f>IF(C248="","",D248/$L$6)</f>
        <v/>
      </c>
      <c r="H248" s="37">
        <f>IF(OR(F248="",F249=""),"",(E248+E249)/2)</f>
        <v/>
      </c>
      <c r="I248" s="25">
        <f>IF(H248="","",(F249-F248)/(E249-E248))</f>
        <v/>
      </c>
      <c r="P248" s="25">
        <f>IF(($L$5-1)&lt;1,"",IF(245&lt;=($L$5-1),E248,INDEX($E$4:$E$603,($L$5-1))))</f>
        <v/>
      </c>
      <c r="Q248" s="25">
        <f>IF(($L$5-1)&lt;1,"",IF(245&lt;=($L$5-1),F248,INDEX($F$4:$F$603,($L$5-1))))</f>
        <v/>
      </c>
      <c r="R248" s="25">
        <f>IF(($L$5-1)&lt;1,"",IF(245&lt;=($L$5-1),G248,INDEX($G$4:$G$603,($L$5-1))))</f>
        <v/>
      </c>
      <c r="S248" s="25">
        <f>IF(($L$5-2)&lt;1,"",IF(245&lt;=($L$5-2),H248,INDEX($H$4:$H$603,($L$5-2))))</f>
        <v/>
      </c>
      <c r="T248" s="25">
        <f>IF(($L$5-2)&lt;1,"",IF(245&lt;=($L$5-2),I248,INDEX($I$4:$I$603,($L$5-2))))</f>
        <v/>
      </c>
    </row>
    <row r="249">
      <c r="A249" s="43" t="n"/>
      <c r="B249" s="43" t="n"/>
      <c r="C249" s="37">
        <f>IF(OR(A249="",A250=""),"",A250-A249)</f>
        <v/>
      </c>
      <c r="D249" s="37">
        <f>IF(C249="","",B250-B249)</f>
        <v/>
      </c>
      <c r="E249" s="37">
        <f>IF(C249="","",(A249+A250)/2)</f>
        <v/>
      </c>
      <c r="F249" s="25">
        <f>IF(OR(C249="",C249=0),"",D249/C249)</f>
        <v/>
      </c>
      <c r="G249" s="25">
        <f>IF(C249="","",D249/$L$6)</f>
        <v/>
      </c>
      <c r="H249" s="37">
        <f>IF(OR(F249="",F250=""),"",(E249+E250)/2)</f>
        <v/>
      </c>
      <c r="I249" s="25">
        <f>IF(H249="","",(F250-F249)/(E250-E249))</f>
        <v/>
      </c>
      <c r="P249" s="25">
        <f>IF(($L$5-1)&lt;1,"",IF(246&lt;=($L$5-1),E249,INDEX($E$4:$E$603,($L$5-1))))</f>
        <v/>
      </c>
      <c r="Q249" s="25">
        <f>IF(($L$5-1)&lt;1,"",IF(246&lt;=($L$5-1),F249,INDEX($F$4:$F$603,($L$5-1))))</f>
        <v/>
      </c>
      <c r="R249" s="25">
        <f>IF(($L$5-1)&lt;1,"",IF(246&lt;=($L$5-1),G249,INDEX($G$4:$G$603,($L$5-1))))</f>
        <v/>
      </c>
      <c r="S249" s="25">
        <f>IF(($L$5-2)&lt;1,"",IF(246&lt;=($L$5-2),H249,INDEX($H$4:$H$603,($L$5-2))))</f>
        <v/>
      </c>
      <c r="T249" s="25">
        <f>IF(($L$5-2)&lt;1,"",IF(246&lt;=($L$5-2),I249,INDEX($I$4:$I$603,($L$5-2))))</f>
        <v/>
      </c>
    </row>
    <row r="250">
      <c r="A250" s="43" t="n"/>
      <c r="B250" s="43" t="n"/>
      <c r="C250" s="37">
        <f>IF(OR(A250="",A251=""),"",A251-A250)</f>
        <v/>
      </c>
      <c r="D250" s="37">
        <f>IF(C250="","",B251-B250)</f>
        <v/>
      </c>
      <c r="E250" s="37">
        <f>IF(C250="","",(A250+A251)/2)</f>
        <v/>
      </c>
      <c r="F250" s="25">
        <f>IF(OR(C250="",C250=0),"",D250/C250)</f>
        <v/>
      </c>
      <c r="G250" s="25">
        <f>IF(C250="","",D250/$L$6)</f>
        <v/>
      </c>
      <c r="H250" s="37">
        <f>IF(OR(F250="",F251=""),"",(E250+E251)/2)</f>
        <v/>
      </c>
      <c r="I250" s="25">
        <f>IF(H250="","",(F251-F250)/(E251-E250))</f>
        <v/>
      </c>
      <c r="P250" s="25">
        <f>IF(($L$5-1)&lt;1,"",IF(247&lt;=($L$5-1),E250,INDEX($E$4:$E$603,($L$5-1))))</f>
        <v/>
      </c>
      <c r="Q250" s="25">
        <f>IF(($L$5-1)&lt;1,"",IF(247&lt;=($L$5-1),F250,INDEX($F$4:$F$603,($L$5-1))))</f>
        <v/>
      </c>
      <c r="R250" s="25">
        <f>IF(($L$5-1)&lt;1,"",IF(247&lt;=($L$5-1),G250,INDEX($G$4:$G$603,($L$5-1))))</f>
        <v/>
      </c>
      <c r="S250" s="25">
        <f>IF(($L$5-2)&lt;1,"",IF(247&lt;=($L$5-2),H250,INDEX($H$4:$H$603,($L$5-2))))</f>
        <v/>
      </c>
      <c r="T250" s="25">
        <f>IF(($L$5-2)&lt;1,"",IF(247&lt;=($L$5-2),I250,INDEX($I$4:$I$603,($L$5-2))))</f>
        <v/>
      </c>
    </row>
    <row r="251">
      <c r="A251" s="43" t="n"/>
      <c r="B251" s="43" t="n"/>
      <c r="C251" s="37">
        <f>IF(OR(A251="",A252=""),"",A252-A251)</f>
        <v/>
      </c>
      <c r="D251" s="37">
        <f>IF(C251="","",B252-B251)</f>
        <v/>
      </c>
      <c r="E251" s="37">
        <f>IF(C251="","",(A251+A252)/2)</f>
        <v/>
      </c>
      <c r="F251" s="25">
        <f>IF(OR(C251="",C251=0),"",D251/C251)</f>
        <v/>
      </c>
      <c r="G251" s="25">
        <f>IF(C251="","",D251/$L$6)</f>
        <v/>
      </c>
      <c r="H251" s="37">
        <f>IF(OR(F251="",F252=""),"",(E251+E252)/2)</f>
        <v/>
      </c>
      <c r="I251" s="25">
        <f>IF(H251="","",(F252-F251)/(E252-E251))</f>
        <v/>
      </c>
      <c r="P251" s="25">
        <f>IF(($L$5-1)&lt;1,"",IF(248&lt;=($L$5-1),E251,INDEX($E$4:$E$603,($L$5-1))))</f>
        <v/>
      </c>
      <c r="Q251" s="25">
        <f>IF(($L$5-1)&lt;1,"",IF(248&lt;=($L$5-1),F251,INDEX($F$4:$F$603,($L$5-1))))</f>
        <v/>
      </c>
      <c r="R251" s="25">
        <f>IF(($L$5-1)&lt;1,"",IF(248&lt;=($L$5-1),G251,INDEX($G$4:$G$603,($L$5-1))))</f>
        <v/>
      </c>
      <c r="S251" s="25">
        <f>IF(($L$5-2)&lt;1,"",IF(248&lt;=($L$5-2),H251,INDEX($H$4:$H$603,($L$5-2))))</f>
        <v/>
      </c>
      <c r="T251" s="25">
        <f>IF(($L$5-2)&lt;1,"",IF(248&lt;=($L$5-2),I251,INDEX($I$4:$I$603,($L$5-2))))</f>
        <v/>
      </c>
    </row>
    <row r="252">
      <c r="A252" s="43" t="n"/>
      <c r="B252" s="43" t="n"/>
      <c r="C252" s="37">
        <f>IF(OR(A252="",A253=""),"",A253-A252)</f>
        <v/>
      </c>
      <c r="D252" s="37">
        <f>IF(C252="","",B253-B252)</f>
        <v/>
      </c>
      <c r="E252" s="37">
        <f>IF(C252="","",(A252+A253)/2)</f>
        <v/>
      </c>
      <c r="F252" s="25">
        <f>IF(OR(C252="",C252=0),"",D252/C252)</f>
        <v/>
      </c>
      <c r="G252" s="25">
        <f>IF(C252="","",D252/$L$6)</f>
        <v/>
      </c>
      <c r="H252" s="37">
        <f>IF(OR(F252="",F253=""),"",(E252+E253)/2)</f>
        <v/>
      </c>
      <c r="I252" s="25">
        <f>IF(H252="","",(F253-F252)/(E253-E252))</f>
        <v/>
      </c>
      <c r="P252" s="25">
        <f>IF(($L$5-1)&lt;1,"",IF(249&lt;=($L$5-1),E252,INDEX($E$4:$E$603,($L$5-1))))</f>
        <v/>
      </c>
      <c r="Q252" s="25">
        <f>IF(($L$5-1)&lt;1,"",IF(249&lt;=($L$5-1),F252,INDEX($F$4:$F$603,($L$5-1))))</f>
        <v/>
      </c>
      <c r="R252" s="25">
        <f>IF(($L$5-1)&lt;1,"",IF(249&lt;=($L$5-1),G252,INDEX($G$4:$G$603,($L$5-1))))</f>
        <v/>
      </c>
      <c r="S252" s="25">
        <f>IF(($L$5-2)&lt;1,"",IF(249&lt;=($L$5-2),H252,INDEX($H$4:$H$603,($L$5-2))))</f>
        <v/>
      </c>
      <c r="T252" s="25">
        <f>IF(($L$5-2)&lt;1,"",IF(249&lt;=($L$5-2),I252,INDEX($I$4:$I$603,($L$5-2))))</f>
        <v/>
      </c>
    </row>
    <row r="253">
      <c r="A253" s="43" t="n"/>
      <c r="B253" s="43" t="n"/>
      <c r="C253" s="37">
        <f>IF(OR(A253="",A254=""),"",A254-A253)</f>
        <v/>
      </c>
      <c r="D253" s="37">
        <f>IF(C253="","",B254-B253)</f>
        <v/>
      </c>
      <c r="E253" s="37">
        <f>IF(C253="","",(A253+A254)/2)</f>
        <v/>
      </c>
      <c r="F253" s="25">
        <f>IF(OR(C253="",C253=0),"",D253/C253)</f>
        <v/>
      </c>
      <c r="G253" s="25">
        <f>IF(C253="","",D253/$L$6)</f>
        <v/>
      </c>
      <c r="H253" s="37">
        <f>IF(OR(F253="",F254=""),"",(E253+E254)/2)</f>
        <v/>
      </c>
      <c r="I253" s="25">
        <f>IF(H253="","",(F254-F253)/(E254-E253))</f>
        <v/>
      </c>
      <c r="P253" s="25">
        <f>IF(($L$5-1)&lt;1,"",IF(250&lt;=($L$5-1),E253,INDEX($E$4:$E$603,($L$5-1))))</f>
        <v/>
      </c>
      <c r="Q253" s="25">
        <f>IF(($L$5-1)&lt;1,"",IF(250&lt;=($L$5-1),F253,INDEX($F$4:$F$603,($L$5-1))))</f>
        <v/>
      </c>
      <c r="R253" s="25">
        <f>IF(($L$5-1)&lt;1,"",IF(250&lt;=($L$5-1),G253,INDEX($G$4:$G$603,($L$5-1))))</f>
        <v/>
      </c>
      <c r="S253" s="25">
        <f>IF(($L$5-2)&lt;1,"",IF(250&lt;=($L$5-2),H253,INDEX($H$4:$H$603,($L$5-2))))</f>
        <v/>
      </c>
      <c r="T253" s="25">
        <f>IF(($L$5-2)&lt;1,"",IF(250&lt;=($L$5-2),I253,INDEX($I$4:$I$603,($L$5-2))))</f>
        <v/>
      </c>
    </row>
    <row r="254">
      <c r="A254" s="43" t="n"/>
      <c r="B254" s="43" t="n"/>
      <c r="C254" s="37">
        <f>IF(OR(A254="",A255=""),"",A255-A254)</f>
        <v/>
      </c>
      <c r="D254" s="37">
        <f>IF(C254="","",B255-B254)</f>
        <v/>
      </c>
      <c r="E254" s="37">
        <f>IF(C254="","",(A254+A255)/2)</f>
        <v/>
      </c>
      <c r="F254" s="25">
        <f>IF(OR(C254="",C254=0),"",D254/C254)</f>
        <v/>
      </c>
      <c r="G254" s="25">
        <f>IF(C254="","",D254/$L$6)</f>
        <v/>
      </c>
      <c r="H254" s="37">
        <f>IF(OR(F254="",F255=""),"",(E254+E255)/2)</f>
        <v/>
      </c>
      <c r="I254" s="25">
        <f>IF(H254="","",(F255-F254)/(E255-E254))</f>
        <v/>
      </c>
      <c r="P254" s="25">
        <f>IF(($L$5-1)&lt;1,"",IF(251&lt;=($L$5-1),E254,INDEX($E$4:$E$603,($L$5-1))))</f>
        <v/>
      </c>
      <c r="Q254" s="25">
        <f>IF(($L$5-1)&lt;1,"",IF(251&lt;=($L$5-1),F254,INDEX($F$4:$F$603,($L$5-1))))</f>
        <v/>
      </c>
      <c r="R254" s="25">
        <f>IF(($L$5-1)&lt;1,"",IF(251&lt;=($L$5-1),G254,INDEX($G$4:$G$603,($L$5-1))))</f>
        <v/>
      </c>
      <c r="S254" s="25">
        <f>IF(($L$5-2)&lt;1,"",IF(251&lt;=($L$5-2),H254,INDEX($H$4:$H$603,($L$5-2))))</f>
        <v/>
      </c>
      <c r="T254" s="25">
        <f>IF(($L$5-2)&lt;1,"",IF(251&lt;=($L$5-2),I254,INDEX($I$4:$I$603,($L$5-2))))</f>
        <v/>
      </c>
    </row>
    <row r="255">
      <c r="A255" s="43" t="n"/>
      <c r="B255" s="43" t="n"/>
      <c r="C255" s="37">
        <f>IF(OR(A255="",A256=""),"",A256-A255)</f>
        <v/>
      </c>
      <c r="D255" s="37">
        <f>IF(C255="","",B256-B255)</f>
        <v/>
      </c>
      <c r="E255" s="37">
        <f>IF(C255="","",(A255+A256)/2)</f>
        <v/>
      </c>
      <c r="F255" s="25">
        <f>IF(OR(C255="",C255=0),"",D255/C255)</f>
        <v/>
      </c>
      <c r="G255" s="25">
        <f>IF(C255="","",D255/$L$6)</f>
        <v/>
      </c>
      <c r="H255" s="37">
        <f>IF(OR(F255="",F256=""),"",(E255+E256)/2)</f>
        <v/>
      </c>
      <c r="I255" s="25">
        <f>IF(H255="","",(F256-F255)/(E256-E255))</f>
        <v/>
      </c>
      <c r="P255" s="25">
        <f>IF(($L$5-1)&lt;1,"",IF(252&lt;=($L$5-1),E255,INDEX($E$4:$E$603,($L$5-1))))</f>
        <v/>
      </c>
      <c r="Q255" s="25">
        <f>IF(($L$5-1)&lt;1,"",IF(252&lt;=($L$5-1),F255,INDEX($F$4:$F$603,($L$5-1))))</f>
        <v/>
      </c>
      <c r="R255" s="25">
        <f>IF(($L$5-1)&lt;1,"",IF(252&lt;=($L$5-1),G255,INDEX($G$4:$G$603,($L$5-1))))</f>
        <v/>
      </c>
      <c r="S255" s="25">
        <f>IF(($L$5-2)&lt;1,"",IF(252&lt;=($L$5-2),H255,INDEX($H$4:$H$603,($L$5-2))))</f>
        <v/>
      </c>
      <c r="T255" s="25">
        <f>IF(($L$5-2)&lt;1,"",IF(252&lt;=($L$5-2),I255,INDEX($I$4:$I$603,($L$5-2))))</f>
        <v/>
      </c>
    </row>
    <row r="256">
      <c r="A256" s="43" t="n"/>
      <c r="B256" s="43" t="n"/>
      <c r="C256" s="37">
        <f>IF(OR(A256="",A257=""),"",A257-A256)</f>
        <v/>
      </c>
      <c r="D256" s="37">
        <f>IF(C256="","",B257-B256)</f>
        <v/>
      </c>
      <c r="E256" s="37">
        <f>IF(C256="","",(A256+A257)/2)</f>
        <v/>
      </c>
      <c r="F256" s="25">
        <f>IF(OR(C256="",C256=0),"",D256/C256)</f>
        <v/>
      </c>
      <c r="G256" s="25">
        <f>IF(C256="","",D256/$L$6)</f>
        <v/>
      </c>
      <c r="H256" s="37">
        <f>IF(OR(F256="",F257=""),"",(E256+E257)/2)</f>
        <v/>
      </c>
      <c r="I256" s="25">
        <f>IF(H256="","",(F257-F256)/(E257-E256))</f>
        <v/>
      </c>
      <c r="P256" s="25">
        <f>IF(($L$5-1)&lt;1,"",IF(253&lt;=($L$5-1),E256,INDEX($E$4:$E$603,($L$5-1))))</f>
        <v/>
      </c>
      <c r="Q256" s="25">
        <f>IF(($L$5-1)&lt;1,"",IF(253&lt;=($L$5-1),F256,INDEX($F$4:$F$603,($L$5-1))))</f>
        <v/>
      </c>
      <c r="R256" s="25">
        <f>IF(($L$5-1)&lt;1,"",IF(253&lt;=($L$5-1),G256,INDEX($G$4:$G$603,($L$5-1))))</f>
        <v/>
      </c>
      <c r="S256" s="25">
        <f>IF(($L$5-2)&lt;1,"",IF(253&lt;=($L$5-2),H256,INDEX($H$4:$H$603,($L$5-2))))</f>
        <v/>
      </c>
      <c r="T256" s="25">
        <f>IF(($L$5-2)&lt;1,"",IF(253&lt;=($L$5-2),I256,INDEX($I$4:$I$603,($L$5-2))))</f>
        <v/>
      </c>
    </row>
    <row r="257">
      <c r="A257" s="43" t="n"/>
      <c r="B257" s="43" t="n"/>
      <c r="C257" s="37">
        <f>IF(OR(A257="",A258=""),"",A258-A257)</f>
        <v/>
      </c>
      <c r="D257" s="37">
        <f>IF(C257="","",B258-B257)</f>
        <v/>
      </c>
      <c r="E257" s="37">
        <f>IF(C257="","",(A257+A258)/2)</f>
        <v/>
      </c>
      <c r="F257" s="25">
        <f>IF(OR(C257="",C257=0),"",D257/C257)</f>
        <v/>
      </c>
      <c r="G257" s="25">
        <f>IF(C257="","",D257/$L$6)</f>
        <v/>
      </c>
      <c r="H257" s="37">
        <f>IF(OR(F257="",F258=""),"",(E257+E258)/2)</f>
        <v/>
      </c>
      <c r="I257" s="25">
        <f>IF(H257="","",(F258-F257)/(E258-E257))</f>
        <v/>
      </c>
      <c r="P257" s="25">
        <f>IF(($L$5-1)&lt;1,"",IF(254&lt;=($L$5-1),E257,INDEX($E$4:$E$603,($L$5-1))))</f>
        <v/>
      </c>
      <c r="Q257" s="25">
        <f>IF(($L$5-1)&lt;1,"",IF(254&lt;=($L$5-1),F257,INDEX($F$4:$F$603,($L$5-1))))</f>
        <v/>
      </c>
      <c r="R257" s="25">
        <f>IF(($L$5-1)&lt;1,"",IF(254&lt;=($L$5-1),G257,INDEX($G$4:$G$603,($L$5-1))))</f>
        <v/>
      </c>
      <c r="S257" s="25">
        <f>IF(($L$5-2)&lt;1,"",IF(254&lt;=($L$5-2),H257,INDEX($H$4:$H$603,($L$5-2))))</f>
        <v/>
      </c>
      <c r="T257" s="25">
        <f>IF(($L$5-2)&lt;1,"",IF(254&lt;=($L$5-2),I257,INDEX($I$4:$I$603,($L$5-2))))</f>
        <v/>
      </c>
    </row>
    <row r="258">
      <c r="A258" s="43" t="n"/>
      <c r="B258" s="43" t="n"/>
      <c r="C258" s="37">
        <f>IF(OR(A258="",A259=""),"",A259-A258)</f>
        <v/>
      </c>
      <c r="D258" s="37">
        <f>IF(C258="","",B259-B258)</f>
        <v/>
      </c>
      <c r="E258" s="37">
        <f>IF(C258="","",(A258+A259)/2)</f>
        <v/>
      </c>
      <c r="F258" s="25">
        <f>IF(OR(C258="",C258=0),"",D258/C258)</f>
        <v/>
      </c>
      <c r="G258" s="25">
        <f>IF(C258="","",D258/$L$6)</f>
        <v/>
      </c>
      <c r="H258" s="37">
        <f>IF(OR(F258="",F259=""),"",(E258+E259)/2)</f>
        <v/>
      </c>
      <c r="I258" s="25">
        <f>IF(H258="","",(F259-F258)/(E259-E258))</f>
        <v/>
      </c>
      <c r="P258" s="25">
        <f>IF(($L$5-1)&lt;1,"",IF(255&lt;=($L$5-1),E258,INDEX($E$4:$E$603,($L$5-1))))</f>
        <v/>
      </c>
      <c r="Q258" s="25">
        <f>IF(($L$5-1)&lt;1,"",IF(255&lt;=($L$5-1),F258,INDEX($F$4:$F$603,($L$5-1))))</f>
        <v/>
      </c>
      <c r="R258" s="25">
        <f>IF(($L$5-1)&lt;1,"",IF(255&lt;=($L$5-1),G258,INDEX($G$4:$G$603,($L$5-1))))</f>
        <v/>
      </c>
      <c r="S258" s="25">
        <f>IF(($L$5-2)&lt;1,"",IF(255&lt;=($L$5-2),H258,INDEX($H$4:$H$603,($L$5-2))))</f>
        <v/>
      </c>
      <c r="T258" s="25">
        <f>IF(($L$5-2)&lt;1,"",IF(255&lt;=($L$5-2),I258,INDEX($I$4:$I$603,($L$5-2))))</f>
        <v/>
      </c>
    </row>
    <row r="259">
      <c r="A259" s="43" t="n"/>
      <c r="B259" s="43" t="n"/>
      <c r="C259" s="37">
        <f>IF(OR(A259="",A260=""),"",A260-A259)</f>
        <v/>
      </c>
      <c r="D259" s="37">
        <f>IF(C259="","",B260-B259)</f>
        <v/>
      </c>
      <c r="E259" s="37">
        <f>IF(C259="","",(A259+A260)/2)</f>
        <v/>
      </c>
      <c r="F259" s="25">
        <f>IF(OR(C259="",C259=0),"",D259/C259)</f>
        <v/>
      </c>
      <c r="G259" s="25">
        <f>IF(C259="","",D259/$L$6)</f>
        <v/>
      </c>
      <c r="H259" s="37">
        <f>IF(OR(F259="",F260=""),"",(E259+E260)/2)</f>
        <v/>
      </c>
      <c r="I259" s="25">
        <f>IF(H259="","",(F260-F259)/(E260-E259))</f>
        <v/>
      </c>
      <c r="P259" s="25">
        <f>IF(($L$5-1)&lt;1,"",IF(256&lt;=($L$5-1),E259,INDEX($E$4:$E$603,($L$5-1))))</f>
        <v/>
      </c>
      <c r="Q259" s="25">
        <f>IF(($L$5-1)&lt;1,"",IF(256&lt;=($L$5-1),F259,INDEX($F$4:$F$603,($L$5-1))))</f>
        <v/>
      </c>
      <c r="R259" s="25">
        <f>IF(($L$5-1)&lt;1,"",IF(256&lt;=($L$5-1),G259,INDEX($G$4:$G$603,($L$5-1))))</f>
        <v/>
      </c>
      <c r="S259" s="25">
        <f>IF(($L$5-2)&lt;1,"",IF(256&lt;=($L$5-2),H259,INDEX($H$4:$H$603,($L$5-2))))</f>
        <v/>
      </c>
      <c r="T259" s="25">
        <f>IF(($L$5-2)&lt;1,"",IF(256&lt;=($L$5-2),I259,INDEX($I$4:$I$603,($L$5-2))))</f>
        <v/>
      </c>
    </row>
    <row r="260">
      <c r="A260" s="43" t="n"/>
      <c r="B260" s="43" t="n"/>
      <c r="C260" s="37">
        <f>IF(OR(A260="",A261=""),"",A261-A260)</f>
        <v/>
      </c>
      <c r="D260" s="37">
        <f>IF(C260="","",B261-B260)</f>
        <v/>
      </c>
      <c r="E260" s="37">
        <f>IF(C260="","",(A260+A261)/2)</f>
        <v/>
      </c>
      <c r="F260" s="25">
        <f>IF(OR(C260="",C260=0),"",D260/C260)</f>
        <v/>
      </c>
      <c r="G260" s="25">
        <f>IF(C260="","",D260/$L$6)</f>
        <v/>
      </c>
      <c r="H260" s="37">
        <f>IF(OR(F260="",F261=""),"",(E260+E261)/2)</f>
        <v/>
      </c>
      <c r="I260" s="25">
        <f>IF(H260="","",(F261-F260)/(E261-E260))</f>
        <v/>
      </c>
      <c r="P260" s="25">
        <f>IF(($L$5-1)&lt;1,"",IF(257&lt;=($L$5-1),E260,INDEX($E$4:$E$603,($L$5-1))))</f>
        <v/>
      </c>
      <c r="Q260" s="25">
        <f>IF(($L$5-1)&lt;1,"",IF(257&lt;=($L$5-1),F260,INDEX($F$4:$F$603,($L$5-1))))</f>
        <v/>
      </c>
      <c r="R260" s="25">
        <f>IF(($L$5-1)&lt;1,"",IF(257&lt;=($L$5-1),G260,INDEX($G$4:$G$603,($L$5-1))))</f>
        <v/>
      </c>
      <c r="S260" s="25">
        <f>IF(($L$5-2)&lt;1,"",IF(257&lt;=($L$5-2),H260,INDEX($H$4:$H$603,($L$5-2))))</f>
        <v/>
      </c>
      <c r="T260" s="25">
        <f>IF(($L$5-2)&lt;1,"",IF(257&lt;=($L$5-2),I260,INDEX($I$4:$I$603,($L$5-2))))</f>
        <v/>
      </c>
    </row>
    <row r="261">
      <c r="A261" s="43" t="n"/>
      <c r="B261" s="43" t="n"/>
      <c r="C261" s="37">
        <f>IF(OR(A261="",A262=""),"",A262-A261)</f>
        <v/>
      </c>
      <c r="D261" s="37">
        <f>IF(C261="","",B262-B261)</f>
        <v/>
      </c>
      <c r="E261" s="37">
        <f>IF(C261="","",(A261+A262)/2)</f>
        <v/>
      </c>
      <c r="F261" s="25">
        <f>IF(OR(C261="",C261=0),"",D261/C261)</f>
        <v/>
      </c>
      <c r="G261" s="25">
        <f>IF(C261="","",D261/$L$6)</f>
        <v/>
      </c>
      <c r="H261" s="37">
        <f>IF(OR(F261="",F262=""),"",(E261+E262)/2)</f>
        <v/>
      </c>
      <c r="I261" s="25">
        <f>IF(H261="","",(F262-F261)/(E262-E261))</f>
        <v/>
      </c>
      <c r="P261" s="25">
        <f>IF(($L$5-1)&lt;1,"",IF(258&lt;=($L$5-1),E261,INDEX($E$4:$E$603,($L$5-1))))</f>
        <v/>
      </c>
      <c r="Q261" s="25">
        <f>IF(($L$5-1)&lt;1,"",IF(258&lt;=($L$5-1),F261,INDEX($F$4:$F$603,($L$5-1))))</f>
        <v/>
      </c>
      <c r="R261" s="25">
        <f>IF(($L$5-1)&lt;1,"",IF(258&lt;=($L$5-1),G261,INDEX($G$4:$G$603,($L$5-1))))</f>
        <v/>
      </c>
      <c r="S261" s="25">
        <f>IF(($L$5-2)&lt;1,"",IF(258&lt;=($L$5-2),H261,INDEX($H$4:$H$603,($L$5-2))))</f>
        <v/>
      </c>
      <c r="T261" s="25">
        <f>IF(($L$5-2)&lt;1,"",IF(258&lt;=($L$5-2),I261,INDEX($I$4:$I$603,($L$5-2))))</f>
        <v/>
      </c>
    </row>
    <row r="262">
      <c r="A262" s="43" t="n"/>
      <c r="B262" s="43" t="n"/>
      <c r="C262" s="37">
        <f>IF(OR(A262="",A263=""),"",A263-A262)</f>
        <v/>
      </c>
      <c r="D262" s="37">
        <f>IF(C262="","",B263-B262)</f>
        <v/>
      </c>
      <c r="E262" s="37">
        <f>IF(C262="","",(A262+A263)/2)</f>
        <v/>
      </c>
      <c r="F262" s="25">
        <f>IF(OR(C262="",C262=0),"",D262/C262)</f>
        <v/>
      </c>
      <c r="G262" s="25">
        <f>IF(C262="","",D262/$L$6)</f>
        <v/>
      </c>
      <c r="H262" s="37">
        <f>IF(OR(F262="",F263=""),"",(E262+E263)/2)</f>
        <v/>
      </c>
      <c r="I262" s="25">
        <f>IF(H262="","",(F263-F262)/(E263-E262))</f>
        <v/>
      </c>
      <c r="P262" s="25">
        <f>IF(($L$5-1)&lt;1,"",IF(259&lt;=($L$5-1),E262,INDEX($E$4:$E$603,($L$5-1))))</f>
        <v/>
      </c>
      <c r="Q262" s="25">
        <f>IF(($L$5-1)&lt;1,"",IF(259&lt;=($L$5-1),F262,INDEX($F$4:$F$603,($L$5-1))))</f>
        <v/>
      </c>
      <c r="R262" s="25">
        <f>IF(($L$5-1)&lt;1,"",IF(259&lt;=($L$5-1),G262,INDEX($G$4:$G$603,($L$5-1))))</f>
        <v/>
      </c>
      <c r="S262" s="25">
        <f>IF(($L$5-2)&lt;1,"",IF(259&lt;=($L$5-2),H262,INDEX($H$4:$H$603,($L$5-2))))</f>
        <v/>
      </c>
      <c r="T262" s="25">
        <f>IF(($L$5-2)&lt;1,"",IF(259&lt;=($L$5-2),I262,INDEX($I$4:$I$603,($L$5-2))))</f>
        <v/>
      </c>
    </row>
    <row r="263">
      <c r="A263" s="43" t="n"/>
      <c r="B263" s="43" t="n"/>
      <c r="C263" s="37">
        <f>IF(OR(A263="",A264=""),"",A264-A263)</f>
        <v/>
      </c>
      <c r="D263" s="37">
        <f>IF(C263="","",B264-B263)</f>
        <v/>
      </c>
      <c r="E263" s="37">
        <f>IF(C263="","",(A263+A264)/2)</f>
        <v/>
      </c>
      <c r="F263" s="25">
        <f>IF(OR(C263="",C263=0),"",D263/C263)</f>
        <v/>
      </c>
      <c r="G263" s="25">
        <f>IF(C263="","",D263/$L$6)</f>
        <v/>
      </c>
      <c r="H263" s="37">
        <f>IF(OR(F263="",F264=""),"",(E263+E264)/2)</f>
        <v/>
      </c>
      <c r="I263" s="25">
        <f>IF(H263="","",(F264-F263)/(E264-E263))</f>
        <v/>
      </c>
      <c r="P263" s="25">
        <f>IF(($L$5-1)&lt;1,"",IF(260&lt;=($L$5-1),E263,INDEX($E$4:$E$603,($L$5-1))))</f>
        <v/>
      </c>
      <c r="Q263" s="25">
        <f>IF(($L$5-1)&lt;1,"",IF(260&lt;=($L$5-1),F263,INDEX($F$4:$F$603,($L$5-1))))</f>
        <v/>
      </c>
      <c r="R263" s="25">
        <f>IF(($L$5-1)&lt;1,"",IF(260&lt;=($L$5-1),G263,INDEX($G$4:$G$603,($L$5-1))))</f>
        <v/>
      </c>
      <c r="S263" s="25">
        <f>IF(($L$5-2)&lt;1,"",IF(260&lt;=($L$5-2),H263,INDEX($H$4:$H$603,($L$5-2))))</f>
        <v/>
      </c>
      <c r="T263" s="25">
        <f>IF(($L$5-2)&lt;1,"",IF(260&lt;=($L$5-2),I263,INDEX($I$4:$I$603,($L$5-2))))</f>
        <v/>
      </c>
    </row>
    <row r="264">
      <c r="A264" s="43" t="n"/>
      <c r="B264" s="43" t="n"/>
      <c r="C264" s="37">
        <f>IF(OR(A264="",A265=""),"",A265-A264)</f>
        <v/>
      </c>
      <c r="D264" s="37">
        <f>IF(C264="","",B265-B264)</f>
        <v/>
      </c>
      <c r="E264" s="37">
        <f>IF(C264="","",(A264+A265)/2)</f>
        <v/>
      </c>
      <c r="F264" s="25">
        <f>IF(OR(C264="",C264=0),"",D264/C264)</f>
        <v/>
      </c>
      <c r="G264" s="25">
        <f>IF(C264="","",D264/$L$6)</f>
        <v/>
      </c>
      <c r="H264" s="37">
        <f>IF(OR(F264="",F265=""),"",(E264+E265)/2)</f>
        <v/>
      </c>
      <c r="I264" s="25">
        <f>IF(H264="","",(F265-F264)/(E265-E264))</f>
        <v/>
      </c>
      <c r="P264" s="25">
        <f>IF(($L$5-1)&lt;1,"",IF(261&lt;=($L$5-1),E264,INDEX($E$4:$E$603,($L$5-1))))</f>
        <v/>
      </c>
      <c r="Q264" s="25">
        <f>IF(($L$5-1)&lt;1,"",IF(261&lt;=($L$5-1),F264,INDEX($F$4:$F$603,($L$5-1))))</f>
        <v/>
      </c>
      <c r="R264" s="25">
        <f>IF(($L$5-1)&lt;1,"",IF(261&lt;=($L$5-1),G264,INDEX($G$4:$G$603,($L$5-1))))</f>
        <v/>
      </c>
      <c r="S264" s="25">
        <f>IF(($L$5-2)&lt;1,"",IF(261&lt;=($L$5-2),H264,INDEX($H$4:$H$603,($L$5-2))))</f>
        <v/>
      </c>
      <c r="T264" s="25">
        <f>IF(($L$5-2)&lt;1,"",IF(261&lt;=($L$5-2),I264,INDEX($I$4:$I$603,($L$5-2))))</f>
        <v/>
      </c>
    </row>
    <row r="265">
      <c r="A265" s="43" t="n"/>
      <c r="B265" s="43" t="n"/>
      <c r="C265" s="37">
        <f>IF(OR(A265="",A266=""),"",A266-A265)</f>
        <v/>
      </c>
      <c r="D265" s="37">
        <f>IF(C265="","",B266-B265)</f>
        <v/>
      </c>
      <c r="E265" s="37">
        <f>IF(C265="","",(A265+A266)/2)</f>
        <v/>
      </c>
      <c r="F265" s="25">
        <f>IF(OR(C265="",C265=0),"",D265/C265)</f>
        <v/>
      </c>
      <c r="G265" s="25">
        <f>IF(C265="","",D265/$L$6)</f>
        <v/>
      </c>
      <c r="H265" s="37">
        <f>IF(OR(F265="",F266=""),"",(E265+E266)/2)</f>
        <v/>
      </c>
      <c r="I265" s="25">
        <f>IF(H265="","",(F266-F265)/(E266-E265))</f>
        <v/>
      </c>
      <c r="P265" s="25">
        <f>IF(($L$5-1)&lt;1,"",IF(262&lt;=($L$5-1),E265,INDEX($E$4:$E$603,($L$5-1))))</f>
        <v/>
      </c>
      <c r="Q265" s="25">
        <f>IF(($L$5-1)&lt;1,"",IF(262&lt;=($L$5-1),F265,INDEX($F$4:$F$603,($L$5-1))))</f>
        <v/>
      </c>
      <c r="R265" s="25">
        <f>IF(($L$5-1)&lt;1,"",IF(262&lt;=($L$5-1),G265,INDEX($G$4:$G$603,($L$5-1))))</f>
        <v/>
      </c>
      <c r="S265" s="25">
        <f>IF(($L$5-2)&lt;1,"",IF(262&lt;=($L$5-2),H265,INDEX($H$4:$H$603,($L$5-2))))</f>
        <v/>
      </c>
      <c r="T265" s="25">
        <f>IF(($L$5-2)&lt;1,"",IF(262&lt;=($L$5-2),I265,INDEX($I$4:$I$603,($L$5-2))))</f>
        <v/>
      </c>
    </row>
    <row r="266">
      <c r="A266" s="43" t="n"/>
      <c r="B266" s="43" t="n"/>
      <c r="C266" s="37">
        <f>IF(OR(A266="",A267=""),"",A267-A266)</f>
        <v/>
      </c>
      <c r="D266" s="37">
        <f>IF(C266="","",B267-B266)</f>
        <v/>
      </c>
      <c r="E266" s="37">
        <f>IF(C266="","",(A266+A267)/2)</f>
        <v/>
      </c>
      <c r="F266" s="25">
        <f>IF(OR(C266="",C266=0),"",D266/C266)</f>
        <v/>
      </c>
      <c r="G266" s="25">
        <f>IF(C266="","",D266/$L$6)</f>
        <v/>
      </c>
      <c r="H266" s="37">
        <f>IF(OR(F266="",F267=""),"",(E266+E267)/2)</f>
        <v/>
      </c>
      <c r="I266" s="25">
        <f>IF(H266="","",(F267-F266)/(E267-E266))</f>
        <v/>
      </c>
      <c r="P266" s="25">
        <f>IF(($L$5-1)&lt;1,"",IF(263&lt;=($L$5-1),E266,INDEX($E$4:$E$603,($L$5-1))))</f>
        <v/>
      </c>
      <c r="Q266" s="25">
        <f>IF(($L$5-1)&lt;1,"",IF(263&lt;=($L$5-1),F266,INDEX($F$4:$F$603,($L$5-1))))</f>
        <v/>
      </c>
      <c r="R266" s="25">
        <f>IF(($L$5-1)&lt;1,"",IF(263&lt;=($L$5-1),G266,INDEX($G$4:$G$603,($L$5-1))))</f>
        <v/>
      </c>
      <c r="S266" s="25">
        <f>IF(($L$5-2)&lt;1,"",IF(263&lt;=($L$5-2),H266,INDEX($H$4:$H$603,($L$5-2))))</f>
        <v/>
      </c>
      <c r="T266" s="25">
        <f>IF(($L$5-2)&lt;1,"",IF(263&lt;=($L$5-2),I266,INDEX($I$4:$I$603,($L$5-2))))</f>
        <v/>
      </c>
    </row>
    <row r="267">
      <c r="A267" s="43" t="n"/>
      <c r="B267" s="43" t="n"/>
      <c r="C267" s="37">
        <f>IF(OR(A267="",A268=""),"",A268-A267)</f>
        <v/>
      </c>
      <c r="D267" s="37">
        <f>IF(C267="","",B268-B267)</f>
        <v/>
      </c>
      <c r="E267" s="37">
        <f>IF(C267="","",(A267+A268)/2)</f>
        <v/>
      </c>
      <c r="F267" s="25">
        <f>IF(OR(C267="",C267=0),"",D267/C267)</f>
        <v/>
      </c>
      <c r="G267" s="25">
        <f>IF(C267="","",D267/$L$6)</f>
        <v/>
      </c>
      <c r="H267" s="37">
        <f>IF(OR(F267="",F268=""),"",(E267+E268)/2)</f>
        <v/>
      </c>
      <c r="I267" s="25">
        <f>IF(H267="","",(F268-F267)/(E268-E267))</f>
        <v/>
      </c>
      <c r="P267" s="25">
        <f>IF(($L$5-1)&lt;1,"",IF(264&lt;=($L$5-1),E267,INDEX($E$4:$E$603,($L$5-1))))</f>
        <v/>
      </c>
      <c r="Q267" s="25">
        <f>IF(($L$5-1)&lt;1,"",IF(264&lt;=($L$5-1),F267,INDEX($F$4:$F$603,($L$5-1))))</f>
        <v/>
      </c>
      <c r="R267" s="25">
        <f>IF(($L$5-1)&lt;1,"",IF(264&lt;=($L$5-1),G267,INDEX($G$4:$G$603,($L$5-1))))</f>
        <v/>
      </c>
      <c r="S267" s="25">
        <f>IF(($L$5-2)&lt;1,"",IF(264&lt;=($L$5-2),H267,INDEX($H$4:$H$603,($L$5-2))))</f>
        <v/>
      </c>
      <c r="T267" s="25">
        <f>IF(($L$5-2)&lt;1,"",IF(264&lt;=($L$5-2),I267,INDEX($I$4:$I$603,($L$5-2))))</f>
        <v/>
      </c>
    </row>
    <row r="268">
      <c r="A268" s="43" t="n"/>
      <c r="B268" s="43" t="n"/>
      <c r="C268" s="37">
        <f>IF(OR(A268="",A269=""),"",A269-A268)</f>
        <v/>
      </c>
      <c r="D268" s="37">
        <f>IF(C268="","",B269-B268)</f>
        <v/>
      </c>
      <c r="E268" s="37">
        <f>IF(C268="","",(A268+A269)/2)</f>
        <v/>
      </c>
      <c r="F268" s="25">
        <f>IF(OR(C268="",C268=0),"",D268/C268)</f>
        <v/>
      </c>
      <c r="G268" s="25">
        <f>IF(C268="","",D268/$L$6)</f>
        <v/>
      </c>
      <c r="H268" s="37">
        <f>IF(OR(F268="",F269=""),"",(E268+E269)/2)</f>
        <v/>
      </c>
      <c r="I268" s="25">
        <f>IF(H268="","",(F269-F268)/(E269-E268))</f>
        <v/>
      </c>
      <c r="P268" s="25">
        <f>IF(($L$5-1)&lt;1,"",IF(265&lt;=($L$5-1),E268,INDEX($E$4:$E$603,($L$5-1))))</f>
        <v/>
      </c>
      <c r="Q268" s="25">
        <f>IF(($L$5-1)&lt;1,"",IF(265&lt;=($L$5-1),F268,INDEX($F$4:$F$603,($L$5-1))))</f>
        <v/>
      </c>
      <c r="R268" s="25">
        <f>IF(($L$5-1)&lt;1,"",IF(265&lt;=($L$5-1),G268,INDEX($G$4:$G$603,($L$5-1))))</f>
        <v/>
      </c>
      <c r="S268" s="25">
        <f>IF(($L$5-2)&lt;1,"",IF(265&lt;=($L$5-2),H268,INDEX($H$4:$H$603,($L$5-2))))</f>
        <v/>
      </c>
      <c r="T268" s="25">
        <f>IF(($L$5-2)&lt;1,"",IF(265&lt;=($L$5-2),I268,INDEX($I$4:$I$603,($L$5-2))))</f>
        <v/>
      </c>
    </row>
    <row r="269">
      <c r="A269" s="43" t="n"/>
      <c r="B269" s="43" t="n"/>
      <c r="C269" s="37">
        <f>IF(OR(A269="",A270=""),"",A270-A269)</f>
        <v/>
      </c>
      <c r="D269" s="37">
        <f>IF(C269="","",B270-B269)</f>
        <v/>
      </c>
      <c r="E269" s="37">
        <f>IF(C269="","",(A269+A270)/2)</f>
        <v/>
      </c>
      <c r="F269" s="25">
        <f>IF(OR(C269="",C269=0),"",D269/C269)</f>
        <v/>
      </c>
      <c r="G269" s="25">
        <f>IF(C269="","",D269/$L$6)</f>
        <v/>
      </c>
      <c r="H269" s="37">
        <f>IF(OR(F269="",F270=""),"",(E269+E270)/2)</f>
        <v/>
      </c>
      <c r="I269" s="25">
        <f>IF(H269="","",(F270-F269)/(E270-E269))</f>
        <v/>
      </c>
      <c r="P269" s="25">
        <f>IF(($L$5-1)&lt;1,"",IF(266&lt;=($L$5-1),E269,INDEX($E$4:$E$603,($L$5-1))))</f>
        <v/>
      </c>
      <c r="Q269" s="25">
        <f>IF(($L$5-1)&lt;1,"",IF(266&lt;=($L$5-1),F269,INDEX($F$4:$F$603,($L$5-1))))</f>
        <v/>
      </c>
      <c r="R269" s="25">
        <f>IF(($L$5-1)&lt;1,"",IF(266&lt;=($L$5-1),G269,INDEX($G$4:$G$603,($L$5-1))))</f>
        <v/>
      </c>
      <c r="S269" s="25">
        <f>IF(($L$5-2)&lt;1,"",IF(266&lt;=($L$5-2),H269,INDEX($H$4:$H$603,($L$5-2))))</f>
        <v/>
      </c>
      <c r="T269" s="25">
        <f>IF(($L$5-2)&lt;1,"",IF(266&lt;=($L$5-2),I269,INDEX($I$4:$I$603,($L$5-2))))</f>
        <v/>
      </c>
    </row>
    <row r="270">
      <c r="A270" s="43" t="n"/>
      <c r="B270" s="43" t="n"/>
      <c r="C270" s="37">
        <f>IF(OR(A270="",A271=""),"",A271-A270)</f>
        <v/>
      </c>
      <c r="D270" s="37">
        <f>IF(C270="","",B271-B270)</f>
        <v/>
      </c>
      <c r="E270" s="37">
        <f>IF(C270="","",(A270+A271)/2)</f>
        <v/>
      </c>
      <c r="F270" s="25">
        <f>IF(OR(C270="",C270=0),"",D270/C270)</f>
        <v/>
      </c>
      <c r="G270" s="25">
        <f>IF(C270="","",D270/$L$6)</f>
        <v/>
      </c>
      <c r="H270" s="37">
        <f>IF(OR(F270="",F271=""),"",(E270+E271)/2)</f>
        <v/>
      </c>
      <c r="I270" s="25">
        <f>IF(H270="","",(F271-F270)/(E271-E270))</f>
        <v/>
      </c>
      <c r="P270" s="25">
        <f>IF(($L$5-1)&lt;1,"",IF(267&lt;=($L$5-1),E270,INDEX($E$4:$E$603,($L$5-1))))</f>
        <v/>
      </c>
      <c r="Q270" s="25">
        <f>IF(($L$5-1)&lt;1,"",IF(267&lt;=($L$5-1),F270,INDEX($F$4:$F$603,($L$5-1))))</f>
        <v/>
      </c>
      <c r="R270" s="25">
        <f>IF(($L$5-1)&lt;1,"",IF(267&lt;=($L$5-1),G270,INDEX($G$4:$G$603,($L$5-1))))</f>
        <v/>
      </c>
      <c r="S270" s="25">
        <f>IF(($L$5-2)&lt;1,"",IF(267&lt;=($L$5-2),H270,INDEX($H$4:$H$603,($L$5-2))))</f>
        <v/>
      </c>
      <c r="T270" s="25">
        <f>IF(($L$5-2)&lt;1,"",IF(267&lt;=($L$5-2),I270,INDEX($I$4:$I$603,($L$5-2))))</f>
        <v/>
      </c>
    </row>
    <row r="271">
      <c r="A271" s="43" t="n"/>
      <c r="B271" s="43" t="n"/>
      <c r="C271" s="37">
        <f>IF(OR(A271="",A272=""),"",A272-A271)</f>
        <v/>
      </c>
      <c r="D271" s="37">
        <f>IF(C271="","",B272-B271)</f>
        <v/>
      </c>
      <c r="E271" s="37">
        <f>IF(C271="","",(A271+A272)/2)</f>
        <v/>
      </c>
      <c r="F271" s="25">
        <f>IF(OR(C271="",C271=0),"",D271/C271)</f>
        <v/>
      </c>
      <c r="G271" s="25">
        <f>IF(C271="","",D271/$L$6)</f>
        <v/>
      </c>
      <c r="H271" s="37">
        <f>IF(OR(F271="",F272=""),"",(E271+E272)/2)</f>
        <v/>
      </c>
      <c r="I271" s="25">
        <f>IF(H271="","",(F272-F271)/(E272-E271))</f>
        <v/>
      </c>
      <c r="P271" s="25">
        <f>IF(($L$5-1)&lt;1,"",IF(268&lt;=($L$5-1),E271,INDEX($E$4:$E$603,($L$5-1))))</f>
        <v/>
      </c>
      <c r="Q271" s="25">
        <f>IF(($L$5-1)&lt;1,"",IF(268&lt;=($L$5-1),F271,INDEX($F$4:$F$603,($L$5-1))))</f>
        <v/>
      </c>
      <c r="R271" s="25">
        <f>IF(($L$5-1)&lt;1,"",IF(268&lt;=($L$5-1),G271,INDEX($G$4:$G$603,($L$5-1))))</f>
        <v/>
      </c>
      <c r="S271" s="25">
        <f>IF(($L$5-2)&lt;1,"",IF(268&lt;=($L$5-2),H271,INDEX($H$4:$H$603,($L$5-2))))</f>
        <v/>
      </c>
      <c r="T271" s="25">
        <f>IF(($L$5-2)&lt;1,"",IF(268&lt;=($L$5-2),I271,INDEX($I$4:$I$603,($L$5-2))))</f>
        <v/>
      </c>
    </row>
    <row r="272">
      <c r="A272" s="43" t="n"/>
      <c r="B272" s="43" t="n"/>
      <c r="C272" s="37">
        <f>IF(OR(A272="",A273=""),"",A273-A272)</f>
        <v/>
      </c>
      <c r="D272" s="37">
        <f>IF(C272="","",B273-B272)</f>
        <v/>
      </c>
      <c r="E272" s="37">
        <f>IF(C272="","",(A272+A273)/2)</f>
        <v/>
      </c>
      <c r="F272" s="25">
        <f>IF(OR(C272="",C272=0),"",D272/C272)</f>
        <v/>
      </c>
      <c r="G272" s="25">
        <f>IF(C272="","",D272/$L$6)</f>
        <v/>
      </c>
      <c r="H272" s="37">
        <f>IF(OR(F272="",F273=""),"",(E272+E273)/2)</f>
        <v/>
      </c>
      <c r="I272" s="25">
        <f>IF(H272="","",(F273-F272)/(E273-E272))</f>
        <v/>
      </c>
      <c r="P272" s="25">
        <f>IF(($L$5-1)&lt;1,"",IF(269&lt;=($L$5-1),E272,INDEX($E$4:$E$603,($L$5-1))))</f>
        <v/>
      </c>
      <c r="Q272" s="25">
        <f>IF(($L$5-1)&lt;1,"",IF(269&lt;=($L$5-1),F272,INDEX($F$4:$F$603,($L$5-1))))</f>
        <v/>
      </c>
      <c r="R272" s="25">
        <f>IF(($L$5-1)&lt;1,"",IF(269&lt;=($L$5-1),G272,INDEX($G$4:$G$603,($L$5-1))))</f>
        <v/>
      </c>
      <c r="S272" s="25">
        <f>IF(($L$5-2)&lt;1,"",IF(269&lt;=($L$5-2),H272,INDEX($H$4:$H$603,($L$5-2))))</f>
        <v/>
      </c>
      <c r="T272" s="25">
        <f>IF(($L$5-2)&lt;1,"",IF(269&lt;=($L$5-2),I272,INDEX($I$4:$I$603,($L$5-2))))</f>
        <v/>
      </c>
    </row>
    <row r="273">
      <c r="A273" s="43" t="n"/>
      <c r="B273" s="43" t="n"/>
      <c r="C273" s="37">
        <f>IF(OR(A273="",A274=""),"",A274-A273)</f>
        <v/>
      </c>
      <c r="D273" s="37">
        <f>IF(C273="","",B274-B273)</f>
        <v/>
      </c>
      <c r="E273" s="37">
        <f>IF(C273="","",(A273+A274)/2)</f>
        <v/>
      </c>
      <c r="F273" s="25">
        <f>IF(OR(C273="",C273=0),"",D273/C273)</f>
        <v/>
      </c>
      <c r="G273" s="25">
        <f>IF(C273="","",D273/$L$6)</f>
        <v/>
      </c>
      <c r="H273" s="37">
        <f>IF(OR(F273="",F274=""),"",(E273+E274)/2)</f>
        <v/>
      </c>
      <c r="I273" s="25">
        <f>IF(H273="","",(F274-F273)/(E274-E273))</f>
        <v/>
      </c>
      <c r="P273" s="25">
        <f>IF(($L$5-1)&lt;1,"",IF(270&lt;=($L$5-1),E273,INDEX($E$4:$E$603,($L$5-1))))</f>
        <v/>
      </c>
      <c r="Q273" s="25">
        <f>IF(($L$5-1)&lt;1,"",IF(270&lt;=($L$5-1),F273,INDEX($F$4:$F$603,($L$5-1))))</f>
        <v/>
      </c>
      <c r="R273" s="25">
        <f>IF(($L$5-1)&lt;1,"",IF(270&lt;=($L$5-1),G273,INDEX($G$4:$G$603,($L$5-1))))</f>
        <v/>
      </c>
      <c r="S273" s="25">
        <f>IF(($L$5-2)&lt;1,"",IF(270&lt;=($L$5-2),H273,INDEX($H$4:$H$603,($L$5-2))))</f>
        <v/>
      </c>
      <c r="T273" s="25">
        <f>IF(($L$5-2)&lt;1,"",IF(270&lt;=($L$5-2),I273,INDEX($I$4:$I$603,($L$5-2))))</f>
        <v/>
      </c>
    </row>
    <row r="274">
      <c r="A274" s="43" t="n"/>
      <c r="B274" s="43" t="n"/>
      <c r="C274" s="37">
        <f>IF(OR(A274="",A275=""),"",A275-A274)</f>
        <v/>
      </c>
      <c r="D274" s="37">
        <f>IF(C274="","",B275-B274)</f>
        <v/>
      </c>
      <c r="E274" s="37">
        <f>IF(C274="","",(A274+A275)/2)</f>
        <v/>
      </c>
      <c r="F274" s="25">
        <f>IF(OR(C274="",C274=0),"",D274/C274)</f>
        <v/>
      </c>
      <c r="G274" s="25">
        <f>IF(C274="","",D274/$L$6)</f>
        <v/>
      </c>
      <c r="H274" s="37">
        <f>IF(OR(F274="",F275=""),"",(E274+E275)/2)</f>
        <v/>
      </c>
      <c r="I274" s="25">
        <f>IF(H274="","",(F275-F274)/(E275-E274))</f>
        <v/>
      </c>
      <c r="P274" s="25">
        <f>IF(($L$5-1)&lt;1,"",IF(271&lt;=($L$5-1),E274,INDEX($E$4:$E$603,($L$5-1))))</f>
        <v/>
      </c>
      <c r="Q274" s="25">
        <f>IF(($L$5-1)&lt;1,"",IF(271&lt;=($L$5-1),F274,INDEX($F$4:$F$603,($L$5-1))))</f>
        <v/>
      </c>
      <c r="R274" s="25">
        <f>IF(($L$5-1)&lt;1,"",IF(271&lt;=($L$5-1),G274,INDEX($G$4:$G$603,($L$5-1))))</f>
        <v/>
      </c>
      <c r="S274" s="25">
        <f>IF(($L$5-2)&lt;1,"",IF(271&lt;=($L$5-2),H274,INDEX($H$4:$H$603,($L$5-2))))</f>
        <v/>
      </c>
      <c r="T274" s="25">
        <f>IF(($L$5-2)&lt;1,"",IF(271&lt;=($L$5-2),I274,INDEX($I$4:$I$603,($L$5-2))))</f>
        <v/>
      </c>
    </row>
    <row r="275">
      <c r="A275" s="43" t="n"/>
      <c r="B275" s="43" t="n"/>
      <c r="C275" s="37">
        <f>IF(OR(A275="",A276=""),"",A276-A275)</f>
        <v/>
      </c>
      <c r="D275" s="37">
        <f>IF(C275="","",B276-B275)</f>
        <v/>
      </c>
      <c r="E275" s="37">
        <f>IF(C275="","",(A275+A276)/2)</f>
        <v/>
      </c>
      <c r="F275" s="25">
        <f>IF(OR(C275="",C275=0),"",D275/C275)</f>
        <v/>
      </c>
      <c r="G275" s="25">
        <f>IF(C275="","",D275/$L$6)</f>
        <v/>
      </c>
      <c r="H275" s="37">
        <f>IF(OR(F275="",F276=""),"",(E275+E276)/2)</f>
        <v/>
      </c>
      <c r="I275" s="25">
        <f>IF(H275="","",(F276-F275)/(E276-E275))</f>
        <v/>
      </c>
      <c r="P275" s="25">
        <f>IF(($L$5-1)&lt;1,"",IF(272&lt;=($L$5-1),E275,INDEX($E$4:$E$603,($L$5-1))))</f>
        <v/>
      </c>
      <c r="Q275" s="25">
        <f>IF(($L$5-1)&lt;1,"",IF(272&lt;=($L$5-1),F275,INDEX($F$4:$F$603,($L$5-1))))</f>
        <v/>
      </c>
      <c r="R275" s="25">
        <f>IF(($L$5-1)&lt;1,"",IF(272&lt;=($L$5-1),G275,INDEX($G$4:$G$603,($L$5-1))))</f>
        <v/>
      </c>
      <c r="S275" s="25">
        <f>IF(($L$5-2)&lt;1,"",IF(272&lt;=($L$5-2),H275,INDEX($H$4:$H$603,($L$5-2))))</f>
        <v/>
      </c>
      <c r="T275" s="25">
        <f>IF(($L$5-2)&lt;1,"",IF(272&lt;=($L$5-2),I275,INDEX($I$4:$I$603,($L$5-2))))</f>
        <v/>
      </c>
    </row>
    <row r="276">
      <c r="A276" s="43" t="n"/>
      <c r="B276" s="43" t="n"/>
      <c r="C276" s="37">
        <f>IF(OR(A276="",A277=""),"",A277-A276)</f>
        <v/>
      </c>
      <c r="D276" s="37">
        <f>IF(C276="","",B277-B276)</f>
        <v/>
      </c>
      <c r="E276" s="37">
        <f>IF(C276="","",(A276+A277)/2)</f>
        <v/>
      </c>
      <c r="F276" s="25">
        <f>IF(OR(C276="",C276=0),"",D276/C276)</f>
        <v/>
      </c>
      <c r="G276" s="25">
        <f>IF(C276="","",D276/$L$6)</f>
        <v/>
      </c>
      <c r="H276" s="37">
        <f>IF(OR(F276="",F277=""),"",(E276+E277)/2)</f>
        <v/>
      </c>
      <c r="I276" s="25">
        <f>IF(H276="","",(F277-F276)/(E277-E276))</f>
        <v/>
      </c>
      <c r="P276" s="25">
        <f>IF(($L$5-1)&lt;1,"",IF(273&lt;=($L$5-1),E276,INDEX($E$4:$E$603,($L$5-1))))</f>
        <v/>
      </c>
      <c r="Q276" s="25">
        <f>IF(($L$5-1)&lt;1,"",IF(273&lt;=($L$5-1),F276,INDEX($F$4:$F$603,($L$5-1))))</f>
        <v/>
      </c>
      <c r="R276" s="25">
        <f>IF(($L$5-1)&lt;1,"",IF(273&lt;=($L$5-1),G276,INDEX($G$4:$G$603,($L$5-1))))</f>
        <v/>
      </c>
      <c r="S276" s="25">
        <f>IF(($L$5-2)&lt;1,"",IF(273&lt;=($L$5-2),H276,INDEX($H$4:$H$603,($L$5-2))))</f>
        <v/>
      </c>
      <c r="T276" s="25">
        <f>IF(($L$5-2)&lt;1,"",IF(273&lt;=($L$5-2),I276,INDEX($I$4:$I$603,($L$5-2))))</f>
        <v/>
      </c>
    </row>
    <row r="277">
      <c r="A277" s="43" t="n"/>
      <c r="B277" s="43" t="n"/>
      <c r="C277" s="37">
        <f>IF(OR(A277="",A278=""),"",A278-A277)</f>
        <v/>
      </c>
      <c r="D277" s="37">
        <f>IF(C277="","",B278-B277)</f>
        <v/>
      </c>
      <c r="E277" s="37">
        <f>IF(C277="","",(A277+A278)/2)</f>
        <v/>
      </c>
      <c r="F277" s="25">
        <f>IF(OR(C277="",C277=0),"",D277/C277)</f>
        <v/>
      </c>
      <c r="G277" s="25">
        <f>IF(C277="","",D277/$L$6)</f>
        <v/>
      </c>
      <c r="H277" s="37">
        <f>IF(OR(F277="",F278=""),"",(E277+E278)/2)</f>
        <v/>
      </c>
      <c r="I277" s="25">
        <f>IF(H277="","",(F278-F277)/(E278-E277))</f>
        <v/>
      </c>
      <c r="P277" s="25">
        <f>IF(($L$5-1)&lt;1,"",IF(274&lt;=($L$5-1),E277,INDEX($E$4:$E$603,($L$5-1))))</f>
        <v/>
      </c>
      <c r="Q277" s="25">
        <f>IF(($L$5-1)&lt;1,"",IF(274&lt;=($L$5-1),F277,INDEX($F$4:$F$603,($L$5-1))))</f>
        <v/>
      </c>
      <c r="R277" s="25">
        <f>IF(($L$5-1)&lt;1,"",IF(274&lt;=($L$5-1),G277,INDEX($G$4:$G$603,($L$5-1))))</f>
        <v/>
      </c>
      <c r="S277" s="25">
        <f>IF(($L$5-2)&lt;1,"",IF(274&lt;=($L$5-2),H277,INDEX($H$4:$H$603,($L$5-2))))</f>
        <v/>
      </c>
      <c r="T277" s="25">
        <f>IF(($L$5-2)&lt;1,"",IF(274&lt;=($L$5-2),I277,INDEX($I$4:$I$603,($L$5-2))))</f>
        <v/>
      </c>
    </row>
    <row r="278">
      <c r="A278" s="43" t="n"/>
      <c r="B278" s="43" t="n"/>
      <c r="C278" s="37">
        <f>IF(OR(A278="",A279=""),"",A279-A278)</f>
        <v/>
      </c>
      <c r="D278" s="37">
        <f>IF(C278="","",B279-B278)</f>
        <v/>
      </c>
      <c r="E278" s="37">
        <f>IF(C278="","",(A278+A279)/2)</f>
        <v/>
      </c>
      <c r="F278" s="25">
        <f>IF(OR(C278="",C278=0),"",D278/C278)</f>
        <v/>
      </c>
      <c r="G278" s="25">
        <f>IF(C278="","",D278/$L$6)</f>
        <v/>
      </c>
      <c r="H278" s="37">
        <f>IF(OR(F278="",F279=""),"",(E278+E279)/2)</f>
        <v/>
      </c>
      <c r="I278" s="25">
        <f>IF(H278="","",(F279-F278)/(E279-E278))</f>
        <v/>
      </c>
      <c r="P278" s="25">
        <f>IF(($L$5-1)&lt;1,"",IF(275&lt;=($L$5-1),E278,INDEX($E$4:$E$603,($L$5-1))))</f>
        <v/>
      </c>
      <c r="Q278" s="25">
        <f>IF(($L$5-1)&lt;1,"",IF(275&lt;=($L$5-1),F278,INDEX($F$4:$F$603,($L$5-1))))</f>
        <v/>
      </c>
      <c r="R278" s="25">
        <f>IF(($L$5-1)&lt;1,"",IF(275&lt;=($L$5-1),G278,INDEX($G$4:$G$603,($L$5-1))))</f>
        <v/>
      </c>
      <c r="S278" s="25">
        <f>IF(($L$5-2)&lt;1,"",IF(275&lt;=($L$5-2),H278,INDEX($H$4:$H$603,($L$5-2))))</f>
        <v/>
      </c>
      <c r="T278" s="25">
        <f>IF(($L$5-2)&lt;1,"",IF(275&lt;=($L$5-2),I278,INDEX($I$4:$I$603,($L$5-2))))</f>
        <v/>
      </c>
    </row>
    <row r="279">
      <c r="A279" s="43" t="n"/>
      <c r="B279" s="43" t="n"/>
      <c r="C279" s="37">
        <f>IF(OR(A279="",A280=""),"",A280-A279)</f>
        <v/>
      </c>
      <c r="D279" s="37">
        <f>IF(C279="","",B280-B279)</f>
        <v/>
      </c>
      <c r="E279" s="37">
        <f>IF(C279="","",(A279+A280)/2)</f>
        <v/>
      </c>
      <c r="F279" s="25">
        <f>IF(OR(C279="",C279=0),"",D279/C279)</f>
        <v/>
      </c>
      <c r="G279" s="25">
        <f>IF(C279="","",D279/$L$6)</f>
        <v/>
      </c>
      <c r="H279" s="37">
        <f>IF(OR(F279="",F280=""),"",(E279+E280)/2)</f>
        <v/>
      </c>
      <c r="I279" s="25">
        <f>IF(H279="","",(F280-F279)/(E280-E279))</f>
        <v/>
      </c>
      <c r="P279" s="25">
        <f>IF(($L$5-1)&lt;1,"",IF(276&lt;=($L$5-1),E279,INDEX($E$4:$E$603,($L$5-1))))</f>
        <v/>
      </c>
      <c r="Q279" s="25">
        <f>IF(($L$5-1)&lt;1,"",IF(276&lt;=($L$5-1),F279,INDEX($F$4:$F$603,($L$5-1))))</f>
        <v/>
      </c>
      <c r="R279" s="25">
        <f>IF(($L$5-1)&lt;1,"",IF(276&lt;=($L$5-1),G279,INDEX($G$4:$G$603,($L$5-1))))</f>
        <v/>
      </c>
      <c r="S279" s="25">
        <f>IF(($L$5-2)&lt;1,"",IF(276&lt;=($L$5-2),H279,INDEX($H$4:$H$603,($L$5-2))))</f>
        <v/>
      </c>
      <c r="T279" s="25">
        <f>IF(($L$5-2)&lt;1,"",IF(276&lt;=($L$5-2),I279,INDEX($I$4:$I$603,($L$5-2))))</f>
        <v/>
      </c>
    </row>
    <row r="280">
      <c r="A280" s="43" t="n"/>
      <c r="B280" s="43" t="n"/>
      <c r="C280" s="37">
        <f>IF(OR(A280="",A281=""),"",A281-A280)</f>
        <v/>
      </c>
      <c r="D280" s="37">
        <f>IF(C280="","",B281-B280)</f>
        <v/>
      </c>
      <c r="E280" s="37">
        <f>IF(C280="","",(A280+A281)/2)</f>
        <v/>
      </c>
      <c r="F280" s="25">
        <f>IF(OR(C280="",C280=0),"",D280/C280)</f>
        <v/>
      </c>
      <c r="G280" s="25">
        <f>IF(C280="","",D280/$L$6)</f>
        <v/>
      </c>
      <c r="H280" s="37">
        <f>IF(OR(F280="",F281=""),"",(E280+E281)/2)</f>
        <v/>
      </c>
      <c r="I280" s="25">
        <f>IF(H280="","",(F281-F280)/(E281-E280))</f>
        <v/>
      </c>
      <c r="P280" s="25">
        <f>IF(($L$5-1)&lt;1,"",IF(277&lt;=($L$5-1),E280,INDEX($E$4:$E$603,($L$5-1))))</f>
        <v/>
      </c>
      <c r="Q280" s="25">
        <f>IF(($L$5-1)&lt;1,"",IF(277&lt;=($L$5-1),F280,INDEX($F$4:$F$603,($L$5-1))))</f>
        <v/>
      </c>
      <c r="R280" s="25">
        <f>IF(($L$5-1)&lt;1,"",IF(277&lt;=($L$5-1),G280,INDEX($G$4:$G$603,($L$5-1))))</f>
        <v/>
      </c>
      <c r="S280" s="25">
        <f>IF(($L$5-2)&lt;1,"",IF(277&lt;=($L$5-2),H280,INDEX($H$4:$H$603,($L$5-2))))</f>
        <v/>
      </c>
      <c r="T280" s="25">
        <f>IF(($L$5-2)&lt;1,"",IF(277&lt;=($L$5-2),I280,INDEX($I$4:$I$603,($L$5-2))))</f>
        <v/>
      </c>
    </row>
    <row r="281">
      <c r="A281" s="43" t="n"/>
      <c r="B281" s="43" t="n"/>
      <c r="C281" s="37">
        <f>IF(OR(A281="",A282=""),"",A282-A281)</f>
        <v/>
      </c>
      <c r="D281" s="37">
        <f>IF(C281="","",B282-B281)</f>
        <v/>
      </c>
      <c r="E281" s="37">
        <f>IF(C281="","",(A281+A282)/2)</f>
        <v/>
      </c>
      <c r="F281" s="25">
        <f>IF(OR(C281="",C281=0),"",D281/C281)</f>
        <v/>
      </c>
      <c r="G281" s="25">
        <f>IF(C281="","",D281/$L$6)</f>
        <v/>
      </c>
      <c r="H281" s="37">
        <f>IF(OR(F281="",F282=""),"",(E281+E282)/2)</f>
        <v/>
      </c>
      <c r="I281" s="25">
        <f>IF(H281="","",(F282-F281)/(E282-E281))</f>
        <v/>
      </c>
      <c r="P281" s="25">
        <f>IF(($L$5-1)&lt;1,"",IF(278&lt;=($L$5-1),E281,INDEX($E$4:$E$603,($L$5-1))))</f>
        <v/>
      </c>
      <c r="Q281" s="25">
        <f>IF(($L$5-1)&lt;1,"",IF(278&lt;=($L$5-1),F281,INDEX($F$4:$F$603,($L$5-1))))</f>
        <v/>
      </c>
      <c r="R281" s="25">
        <f>IF(($L$5-1)&lt;1,"",IF(278&lt;=($L$5-1),G281,INDEX($G$4:$G$603,($L$5-1))))</f>
        <v/>
      </c>
      <c r="S281" s="25">
        <f>IF(($L$5-2)&lt;1,"",IF(278&lt;=($L$5-2),H281,INDEX($H$4:$H$603,($L$5-2))))</f>
        <v/>
      </c>
      <c r="T281" s="25">
        <f>IF(($L$5-2)&lt;1,"",IF(278&lt;=($L$5-2),I281,INDEX($I$4:$I$603,($L$5-2))))</f>
        <v/>
      </c>
    </row>
    <row r="282">
      <c r="A282" s="43" t="n"/>
      <c r="B282" s="43" t="n"/>
      <c r="C282" s="37">
        <f>IF(OR(A282="",A283=""),"",A283-A282)</f>
        <v/>
      </c>
      <c r="D282" s="37">
        <f>IF(C282="","",B283-B282)</f>
        <v/>
      </c>
      <c r="E282" s="37">
        <f>IF(C282="","",(A282+A283)/2)</f>
        <v/>
      </c>
      <c r="F282" s="25">
        <f>IF(OR(C282="",C282=0),"",D282/C282)</f>
        <v/>
      </c>
      <c r="G282" s="25">
        <f>IF(C282="","",D282/$L$6)</f>
        <v/>
      </c>
      <c r="H282" s="37">
        <f>IF(OR(F282="",F283=""),"",(E282+E283)/2)</f>
        <v/>
      </c>
      <c r="I282" s="25">
        <f>IF(H282="","",(F283-F282)/(E283-E282))</f>
        <v/>
      </c>
      <c r="P282" s="25">
        <f>IF(($L$5-1)&lt;1,"",IF(279&lt;=($L$5-1),E282,INDEX($E$4:$E$603,($L$5-1))))</f>
        <v/>
      </c>
      <c r="Q282" s="25">
        <f>IF(($L$5-1)&lt;1,"",IF(279&lt;=($L$5-1),F282,INDEX($F$4:$F$603,($L$5-1))))</f>
        <v/>
      </c>
      <c r="R282" s="25">
        <f>IF(($L$5-1)&lt;1,"",IF(279&lt;=($L$5-1),G282,INDEX($G$4:$G$603,($L$5-1))))</f>
        <v/>
      </c>
      <c r="S282" s="25">
        <f>IF(($L$5-2)&lt;1,"",IF(279&lt;=($L$5-2),H282,INDEX($H$4:$H$603,($L$5-2))))</f>
        <v/>
      </c>
      <c r="T282" s="25">
        <f>IF(($L$5-2)&lt;1,"",IF(279&lt;=($L$5-2),I282,INDEX($I$4:$I$603,($L$5-2))))</f>
        <v/>
      </c>
    </row>
    <row r="283">
      <c r="A283" s="43" t="n"/>
      <c r="B283" s="43" t="n"/>
      <c r="C283" s="37">
        <f>IF(OR(A283="",A284=""),"",A284-A283)</f>
        <v/>
      </c>
      <c r="D283" s="37">
        <f>IF(C283="","",B284-B283)</f>
        <v/>
      </c>
      <c r="E283" s="37">
        <f>IF(C283="","",(A283+A284)/2)</f>
        <v/>
      </c>
      <c r="F283" s="25">
        <f>IF(OR(C283="",C283=0),"",D283/C283)</f>
        <v/>
      </c>
      <c r="G283" s="25">
        <f>IF(C283="","",D283/$L$6)</f>
        <v/>
      </c>
      <c r="H283" s="37">
        <f>IF(OR(F283="",F284=""),"",(E283+E284)/2)</f>
        <v/>
      </c>
      <c r="I283" s="25">
        <f>IF(H283="","",(F284-F283)/(E284-E283))</f>
        <v/>
      </c>
      <c r="P283" s="25">
        <f>IF(($L$5-1)&lt;1,"",IF(280&lt;=($L$5-1),E283,INDEX($E$4:$E$603,($L$5-1))))</f>
        <v/>
      </c>
      <c r="Q283" s="25">
        <f>IF(($L$5-1)&lt;1,"",IF(280&lt;=($L$5-1),F283,INDEX($F$4:$F$603,($L$5-1))))</f>
        <v/>
      </c>
      <c r="R283" s="25">
        <f>IF(($L$5-1)&lt;1,"",IF(280&lt;=($L$5-1),G283,INDEX($G$4:$G$603,($L$5-1))))</f>
        <v/>
      </c>
      <c r="S283" s="25">
        <f>IF(($L$5-2)&lt;1,"",IF(280&lt;=($L$5-2),H283,INDEX($H$4:$H$603,($L$5-2))))</f>
        <v/>
      </c>
      <c r="T283" s="25">
        <f>IF(($L$5-2)&lt;1,"",IF(280&lt;=($L$5-2),I283,INDEX($I$4:$I$603,($L$5-2))))</f>
        <v/>
      </c>
    </row>
    <row r="284">
      <c r="A284" s="43" t="n"/>
      <c r="B284" s="43" t="n"/>
      <c r="C284" s="37">
        <f>IF(OR(A284="",A285=""),"",A285-A284)</f>
        <v/>
      </c>
      <c r="D284" s="37">
        <f>IF(C284="","",B285-B284)</f>
        <v/>
      </c>
      <c r="E284" s="37">
        <f>IF(C284="","",(A284+A285)/2)</f>
        <v/>
      </c>
      <c r="F284" s="25">
        <f>IF(OR(C284="",C284=0),"",D284/C284)</f>
        <v/>
      </c>
      <c r="G284" s="25">
        <f>IF(C284="","",D284/$L$6)</f>
        <v/>
      </c>
      <c r="H284" s="37">
        <f>IF(OR(F284="",F285=""),"",(E284+E285)/2)</f>
        <v/>
      </c>
      <c r="I284" s="25">
        <f>IF(H284="","",(F285-F284)/(E285-E284))</f>
        <v/>
      </c>
      <c r="P284" s="25">
        <f>IF(($L$5-1)&lt;1,"",IF(281&lt;=($L$5-1),E284,INDEX($E$4:$E$603,($L$5-1))))</f>
        <v/>
      </c>
      <c r="Q284" s="25">
        <f>IF(($L$5-1)&lt;1,"",IF(281&lt;=($L$5-1),F284,INDEX($F$4:$F$603,($L$5-1))))</f>
        <v/>
      </c>
      <c r="R284" s="25">
        <f>IF(($L$5-1)&lt;1,"",IF(281&lt;=($L$5-1),G284,INDEX($G$4:$G$603,($L$5-1))))</f>
        <v/>
      </c>
      <c r="S284" s="25">
        <f>IF(($L$5-2)&lt;1,"",IF(281&lt;=($L$5-2),H284,INDEX($H$4:$H$603,($L$5-2))))</f>
        <v/>
      </c>
      <c r="T284" s="25">
        <f>IF(($L$5-2)&lt;1,"",IF(281&lt;=($L$5-2),I284,INDEX($I$4:$I$603,($L$5-2))))</f>
        <v/>
      </c>
    </row>
    <row r="285">
      <c r="A285" s="43" t="n"/>
      <c r="B285" s="43" t="n"/>
      <c r="C285" s="37">
        <f>IF(OR(A285="",A286=""),"",A286-A285)</f>
        <v/>
      </c>
      <c r="D285" s="37">
        <f>IF(C285="","",B286-B285)</f>
        <v/>
      </c>
      <c r="E285" s="37">
        <f>IF(C285="","",(A285+A286)/2)</f>
        <v/>
      </c>
      <c r="F285" s="25">
        <f>IF(OR(C285="",C285=0),"",D285/C285)</f>
        <v/>
      </c>
      <c r="G285" s="25">
        <f>IF(C285="","",D285/$L$6)</f>
        <v/>
      </c>
      <c r="H285" s="37">
        <f>IF(OR(F285="",F286=""),"",(E285+E286)/2)</f>
        <v/>
      </c>
      <c r="I285" s="25">
        <f>IF(H285="","",(F286-F285)/(E286-E285))</f>
        <v/>
      </c>
      <c r="P285" s="25">
        <f>IF(($L$5-1)&lt;1,"",IF(282&lt;=($L$5-1),E285,INDEX($E$4:$E$603,($L$5-1))))</f>
        <v/>
      </c>
      <c r="Q285" s="25">
        <f>IF(($L$5-1)&lt;1,"",IF(282&lt;=($L$5-1),F285,INDEX($F$4:$F$603,($L$5-1))))</f>
        <v/>
      </c>
      <c r="R285" s="25">
        <f>IF(($L$5-1)&lt;1,"",IF(282&lt;=($L$5-1),G285,INDEX($G$4:$G$603,($L$5-1))))</f>
        <v/>
      </c>
      <c r="S285" s="25">
        <f>IF(($L$5-2)&lt;1,"",IF(282&lt;=($L$5-2),H285,INDEX($H$4:$H$603,($L$5-2))))</f>
        <v/>
      </c>
      <c r="T285" s="25">
        <f>IF(($L$5-2)&lt;1,"",IF(282&lt;=($L$5-2),I285,INDEX($I$4:$I$603,($L$5-2))))</f>
        <v/>
      </c>
    </row>
    <row r="286">
      <c r="A286" s="43" t="n"/>
      <c r="B286" s="43" t="n"/>
      <c r="C286" s="37">
        <f>IF(OR(A286="",A287=""),"",A287-A286)</f>
        <v/>
      </c>
      <c r="D286" s="37">
        <f>IF(C286="","",B287-B286)</f>
        <v/>
      </c>
      <c r="E286" s="37">
        <f>IF(C286="","",(A286+A287)/2)</f>
        <v/>
      </c>
      <c r="F286" s="25">
        <f>IF(OR(C286="",C286=0),"",D286/C286)</f>
        <v/>
      </c>
      <c r="G286" s="25">
        <f>IF(C286="","",D286/$L$6)</f>
        <v/>
      </c>
      <c r="H286" s="37">
        <f>IF(OR(F286="",F287=""),"",(E286+E287)/2)</f>
        <v/>
      </c>
      <c r="I286" s="25">
        <f>IF(H286="","",(F287-F286)/(E287-E286))</f>
        <v/>
      </c>
      <c r="P286" s="25">
        <f>IF(($L$5-1)&lt;1,"",IF(283&lt;=($L$5-1),E286,INDEX($E$4:$E$603,($L$5-1))))</f>
        <v/>
      </c>
      <c r="Q286" s="25">
        <f>IF(($L$5-1)&lt;1,"",IF(283&lt;=($L$5-1),F286,INDEX($F$4:$F$603,($L$5-1))))</f>
        <v/>
      </c>
      <c r="R286" s="25">
        <f>IF(($L$5-1)&lt;1,"",IF(283&lt;=($L$5-1),G286,INDEX($G$4:$G$603,($L$5-1))))</f>
        <v/>
      </c>
      <c r="S286" s="25">
        <f>IF(($L$5-2)&lt;1,"",IF(283&lt;=($L$5-2),H286,INDEX($H$4:$H$603,($L$5-2))))</f>
        <v/>
      </c>
      <c r="T286" s="25">
        <f>IF(($L$5-2)&lt;1,"",IF(283&lt;=($L$5-2),I286,INDEX($I$4:$I$603,($L$5-2))))</f>
        <v/>
      </c>
    </row>
    <row r="287">
      <c r="A287" s="43" t="n"/>
      <c r="B287" s="43" t="n"/>
      <c r="C287" s="37">
        <f>IF(OR(A287="",A288=""),"",A288-A287)</f>
        <v/>
      </c>
      <c r="D287" s="37">
        <f>IF(C287="","",B288-B287)</f>
        <v/>
      </c>
      <c r="E287" s="37">
        <f>IF(C287="","",(A287+A288)/2)</f>
        <v/>
      </c>
      <c r="F287" s="25">
        <f>IF(OR(C287="",C287=0),"",D287/C287)</f>
        <v/>
      </c>
      <c r="G287" s="25">
        <f>IF(C287="","",D287/$L$6)</f>
        <v/>
      </c>
      <c r="H287" s="37">
        <f>IF(OR(F287="",F288=""),"",(E287+E288)/2)</f>
        <v/>
      </c>
      <c r="I287" s="25">
        <f>IF(H287="","",(F288-F287)/(E288-E287))</f>
        <v/>
      </c>
      <c r="P287" s="25">
        <f>IF(($L$5-1)&lt;1,"",IF(284&lt;=($L$5-1),E287,INDEX($E$4:$E$603,($L$5-1))))</f>
        <v/>
      </c>
      <c r="Q287" s="25">
        <f>IF(($L$5-1)&lt;1,"",IF(284&lt;=($L$5-1),F287,INDEX($F$4:$F$603,($L$5-1))))</f>
        <v/>
      </c>
      <c r="R287" s="25">
        <f>IF(($L$5-1)&lt;1,"",IF(284&lt;=($L$5-1),G287,INDEX($G$4:$G$603,($L$5-1))))</f>
        <v/>
      </c>
      <c r="S287" s="25">
        <f>IF(($L$5-2)&lt;1,"",IF(284&lt;=($L$5-2),H287,INDEX($H$4:$H$603,($L$5-2))))</f>
        <v/>
      </c>
      <c r="T287" s="25">
        <f>IF(($L$5-2)&lt;1,"",IF(284&lt;=($L$5-2),I287,INDEX($I$4:$I$603,($L$5-2))))</f>
        <v/>
      </c>
    </row>
    <row r="288">
      <c r="A288" s="43" t="n"/>
      <c r="B288" s="43" t="n"/>
      <c r="C288" s="37">
        <f>IF(OR(A288="",A289=""),"",A289-A288)</f>
        <v/>
      </c>
      <c r="D288" s="37">
        <f>IF(C288="","",B289-B288)</f>
        <v/>
      </c>
      <c r="E288" s="37">
        <f>IF(C288="","",(A288+A289)/2)</f>
        <v/>
      </c>
      <c r="F288" s="25">
        <f>IF(OR(C288="",C288=0),"",D288/C288)</f>
        <v/>
      </c>
      <c r="G288" s="25">
        <f>IF(C288="","",D288/$L$6)</f>
        <v/>
      </c>
      <c r="H288" s="37">
        <f>IF(OR(F288="",F289=""),"",(E288+E289)/2)</f>
        <v/>
      </c>
      <c r="I288" s="25">
        <f>IF(H288="","",(F289-F288)/(E289-E288))</f>
        <v/>
      </c>
      <c r="P288" s="25">
        <f>IF(($L$5-1)&lt;1,"",IF(285&lt;=($L$5-1),E288,INDEX($E$4:$E$603,($L$5-1))))</f>
        <v/>
      </c>
      <c r="Q288" s="25">
        <f>IF(($L$5-1)&lt;1,"",IF(285&lt;=($L$5-1),F288,INDEX($F$4:$F$603,($L$5-1))))</f>
        <v/>
      </c>
      <c r="R288" s="25">
        <f>IF(($L$5-1)&lt;1,"",IF(285&lt;=($L$5-1),G288,INDEX($G$4:$G$603,($L$5-1))))</f>
        <v/>
      </c>
      <c r="S288" s="25">
        <f>IF(($L$5-2)&lt;1,"",IF(285&lt;=($L$5-2),H288,INDEX($H$4:$H$603,($L$5-2))))</f>
        <v/>
      </c>
      <c r="T288" s="25">
        <f>IF(($L$5-2)&lt;1,"",IF(285&lt;=($L$5-2),I288,INDEX($I$4:$I$603,($L$5-2))))</f>
        <v/>
      </c>
    </row>
    <row r="289">
      <c r="A289" s="43" t="n"/>
      <c r="B289" s="43" t="n"/>
      <c r="C289" s="37">
        <f>IF(OR(A289="",A290=""),"",A290-A289)</f>
        <v/>
      </c>
      <c r="D289" s="37">
        <f>IF(C289="","",B290-B289)</f>
        <v/>
      </c>
      <c r="E289" s="37">
        <f>IF(C289="","",(A289+A290)/2)</f>
        <v/>
      </c>
      <c r="F289" s="25">
        <f>IF(OR(C289="",C289=0),"",D289/C289)</f>
        <v/>
      </c>
      <c r="G289" s="25">
        <f>IF(C289="","",D289/$L$6)</f>
        <v/>
      </c>
      <c r="H289" s="37">
        <f>IF(OR(F289="",F290=""),"",(E289+E290)/2)</f>
        <v/>
      </c>
      <c r="I289" s="25">
        <f>IF(H289="","",(F290-F289)/(E290-E289))</f>
        <v/>
      </c>
      <c r="P289" s="25">
        <f>IF(($L$5-1)&lt;1,"",IF(286&lt;=($L$5-1),E289,INDEX($E$4:$E$603,($L$5-1))))</f>
        <v/>
      </c>
      <c r="Q289" s="25">
        <f>IF(($L$5-1)&lt;1,"",IF(286&lt;=($L$5-1),F289,INDEX($F$4:$F$603,($L$5-1))))</f>
        <v/>
      </c>
      <c r="R289" s="25">
        <f>IF(($L$5-1)&lt;1,"",IF(286&lt;=($L$5-1),G289,INDEX($G$4:$G$603,($L$5-1))))</f>
        <v/>
      </c>
      <c r="S289" s="25">
        <f>IF(($L$5-2)&lt;1,"",IF(286&lt;=($L$5-2),H289,INDEX($H$4:$H$603,($L$5-2))))</f>
        <v/>
      </c>
      <c r="T289" s="25">
        <f>IF(($L$5-2)&lt;1,"",IF(286&lt;=($L$5-2),I289,INDEX($I$4:$I$603,($L$5-2))))</f>
        <v/>
      </c>
    </row>
    <row r="290">
      <c r="A290" s="43" t="n"/>
      <c r="B290" s="43" t="n"/>
      <c r="C290" s="37">
        <f>IF(OR(A290="",A291=""),"",A291-A290)</f>
        <v/>
      </c>
      <c r="D290" s="37">
        <f>IF(C290="","",B291-B290)</f>
        <v/>
      </c>
      <c r="E290" s="37">
        <f>IF(C290="","",(A290+A291)/2)</f>
        <v/>
      </c>
      <c r="F290" s="25">
        <f>IF(OR(C290="",C290=0),"",D290/C290)</f>
        <v/>
      </c>
      <c r="G290" s="25">
        <f>IF(C290="","",D290/$L$6)</f>
        <v/>
      </c>
      <c r="H290" s="37">
        <f>IF(OR(F290="",F291=""),"",(E290+E291)/2)</f>
        <v/>
      </c>
      <c r="I290" s="25">
        <f>IF(H290="","",(F291-F290)/(E291-E290))</f>
        <v/>
      </c>
      <c r="P290" s="25">
        <f>IF(($L$5-1)&lt;1,"",IF(287&lt;=($L$5-1),E290,INDEX($E$4:$E$603,($L$5-1))))</f>
        <v/>
      </c>
      <c r="Q290" s="25">
        <f>IF(($L$5-1)&lt;1,"",IF(287&lt;=($L$5-1),F290,INDEX($F$4:$F$603,($L$5-1))))</f>
        <v/>
      </c>
      <c r="R290" s="25">
        <f>IF(($L$5-1)&lt;1,"",IF(287&lt;=($L$5-1),G290,INDEX($G$4:$G$603,($L$5-1))))</f>
        <v/>
      </c>
      <c r="S290" s="25">
        <f>IF(($L$5-2)&lt;1,"",IF(287&lt;=($L$5-2),H290,INDEX($H$4:$H$603,($L$5-2))))</f>
        <v/>
      </c>
      <c r="T290" s="25">
        <f>IF(($L$5-2)&lt;1,"",IF(287&lt;=($L$5-2),I290,INDEX($I$4:$I$603,($L$5-2))))</f>
        <v/>
      </c>
    </row>
    <row r="291">
      <c r="A291" s="43" t="n"/>
      <c r="B291" s="43" t="n"/>
      <c r="C291" s="37">
        <f>IF(OR(A291="",A292=""),"",A292-A291)</f>
        <v/>
      </c>
      <c r="D291" s="37">
        <f>IF(C291="","",B292-B291)</f>
        <v/>
      </c>
      <c r="E291" s="37">
        <f>IF(C291="","",(A291+A292)/2)</f>
        <v/>
      </c>
      <c r="F291" s="25">
        <f>IF(OR(C291="",C291=0),"",D291/C291)</f>
        <v/>
      </c>
      <c r="G291" s="25">
        <f>IF(C291="","",D291/$L$6)</f>
        <v/>
      </c>
      <c r="H291" s="37">
        <f>IF(OR(F291="",F292=""),"",(E291+E292)/2)</f>
        <v/>
      </c>
      <c r="I291" s="25">
        <f>IF(H291="","",(F292-F291)/(E292-E291))</f>
        <v/>
      </c>
      <c r="P291" s="25">
        <f>IF(($L$5-1)&lt;1,"",IF(288&lt;=($L$5-1),E291,INDEX($E$4:$E$603,($L$5-1))))</f>
        <v/>
      </c>
      <c r="Q291" s="25">
        <f>IF(($L$5-1)&lt;1,"",IF(288&lt;=($L$5-1),F291,INDEX($F$4:$F$603,($L$5-1))))</f>
        <v/>
      </c>
      <c r="R291" s="25">
        <f>IF(($L$5-1)&lt;1,"",IF(288&lt;=($L$5-1),G291,INDEX($G$4:$G$603,($L$5-1))))</f>
        <v/>
      </c>
      <c r="S291" s="25">
        <f>IF(($L$5-2)&lt;1,"",IF(288&lt;=($L$5-2),H291,INDEX($H$4:$H$603,($L$5-2))))</f>
        <v/>
      </c>
      <c r="T291" s="25">
        <f>IF(($L$5-2)&lt;1,"",IF(288&lt;=($L$5-2),I291,INDEX($I$4:$I$603,($L$5-2))))</f>
        <v/>
      </c>
    </row>
    <row r="292">
      <c r="A292" s="43" t="n"/>
      <c r="B292" s="43" t="n"/>
      <c r="C292" s="37">
        <f>IF(OR(A292="",A293=""),"",A293-A292)</f>
        <v/>
      </c>
      <c r="D292" s="37">
        <f>IF(C292="","",B293-B292)</f>
        <v/>
      </c>
      <c r="E292" s="37">
        <f>IF(C292="","",(A292+A293)/2)</f>
        <v/>
      </c>
      <c r="F292" s="25">
        <f>IF(OR(C292="",C292=0),"",D292/C292)</f>
        <v/>
      </c>
      <c r="G292" s="25">
        <f>IF(C292="","",D292/$L$6)</f>
        <v/>
      </c>
      <c r="H292" s="37">
        <f>IF(OR(F292="",F293=""),"",(E292+E293)/2)</f>
        <v/>
      </c>
      <c r="I292" s="25">
        <f>IF(H292="","",(F293-F292)/(E293-E292))</f>
        <v/>
      </c>
      <c r="P292" s="25">
        <f>IF(($L$5-1)&lt;1,"",IF(289&lt;=($L$5-1),E292,INDEX($E$4:$E$603,($L$5-1))))</f>
        <v/>
      </c>
      <c r="Q292" s="25">
        <f>IF(($L$5-1)&lt;1,"",IF(289&lt;=($L$5-1),F292,INDEX($F$4:$F$603,($L$5-1))))</f>
        <v/>
      </c>
      <c r="R292" s="25">
        <f>IF(($L$5-1)&lt;1,"",IF(289&lt;=($L$5-1),G292,INDEX($G$4:$G$603,($L$5-1))))</f>
        <v/>
      </c>
      <c r="S292" s="25">
        <f>IF(($L$5-2)&lt;1,"",IF(289&lt;=($L$5-2),H292,INDEX($H$4:$H$603,($L$5-2))))</f>
        <v/>
      </c>
      <c r="T292" s="25">
        <f>IF(($L$5-2)&lt;1,"",IF(289&lt;=($L$5-2),I292,INDEX($I$4:$I$603,($L$5-2))))</f>
        <v/>
      </c>
    </row>
    <row r="293">
      <c r="A293" s="43" t="n"/>
      <c r="B293" s="43" t="n"/>
      <c r="C293" s="37">
        <f>IF(OR(A293="",A294=""),"",A294-A293)</f>
        <v/>
      </c>
      <c r="D293" s="37">
        <f>IF(C293="","",B294-B293)</f>
        <v/>
      </c>
      <c r="E293" s="37">
        <f>IF(C293="","",(A293+A294)/2)</f>
        <v/>
      </c>
      <c r="F293" s="25">
        <f>IF(OR(C293="",C293=0),"",D293/C293)</f>
        <v/>
      </c>
      <c r="G293" s="25">
        <f>IF(C293="","",D293/$L$6)</f>
        <v/>
      </c>
      <c r="H293" s="37">
        <f>IF(OR(F293="",F294=""),"",(E293+E294)/2)</f>
        <v/>
      </c>
      <c r="I293" s="25">
        <f>IF(H293="","",(F294-F293)/(E294-E293))</f>
        <v/>
      </c>
      <c r="P293" s="25">
        <f>IF(($L$5-1)&lt;1,"",IF(290&lt;=($L$5-1),E293,INDEX($E$4:$E$603,($L$5-1))))</f>
        <v/>
      </c>
      <c r="Q293" s="25">
        <f>IF(($L$5-1)&lt;1,"",IF(290&lt;=($L$5-1),F293,INDEX($F$4:$F$603,($L$5-1))))</f>
        <v/>
      </c>
      <c r="R293" s="25">
        <f>IF(($L$5-1)&lt;1,"",IF(290&lt;=($L$5-1),G293,INDEX($G$4:$G$603,($L$5-1))))</f>
        <v/>
      </c>
      <c r="S293" s="25">
        <f>IF(($L$5-2)&lt;1,"",IF(290&lt;=($L$5-2),H293,INDEX($H$4:$H$603,($L$5-2))))</f>
        <v/>
      </c>
      <c r="T293" s="25">
        <f>IF(($L$5-2)&lt;1,"",IF(290&lt;=($L$5-2),I293,INDEX($I$4:$I$603,($L$5-2))))</f>
        <v/>
      </c>
    </row>
    <row r="294">
      <c r="A294" s="43" t="n"/>
      <c r="B294" s="43" t="n"/>
      <c r="C294" s="37">
        <f>IF(OR(A294="",A295=""),"",A295-A294)</f>
        <v/>
      </c>
      <c r="D294" s="37">
        <f>IF(C294="","",B295-B294)</f>
        <v/>
      </c>
      <c r="E294" s="37">
        <f>IF(C294="","",(A294+A295)/2)</f>
        <v/>
      </c>
      <c r="F294" s="25">
        <f>IF(OR(C294="",C294=0),"",D294/C294)</f>
        <v/>
      </c>
      <c r="G294" s="25">
        <f>IF(C294="","",D294/$L$6)</f>
        <v/>
      </c>
      <c r="H294" s="37">
        <f>IF(OR(F294="",F295=""),"",(E294+E295)/2)</f>
        <v/>
      </c>
      <c r="I294" s="25">
        <f>IF(H294="","",(F295-F294)/(E295-E294))</f>
        <v/>
      </c>
      <c r="P294" s="25">
        <f>IF(($L$5-1)&lt;1,"",IF(291&lt;=($L$5-1),E294,INDEX($E$4:$E$603,($L$5-1))))</f>
        <v/>
      </c>
      <c r="Q294" s="25">
        <f>IF(($L$5-1)&lt;1,"",IF(291&lt;=($L$5-1),F294,INDEX($F$4:$F$603,($L$5-1))))</f>
        <v/>
      </c>
      <c r="R294" s="25">
        <f>IF(($L$5-1)&lt;1,"",IF(291&lt;=($L$5-1),G294,INDEX($G$4:$G$603,($L$5-1))))</f>
        <v/>
      </c>
      <c r="S294" s="25">
        <f>IF(($L$5-2)&lt;1,"",IF(291&lt;=($L$5-2),H294,INDEX($H$4:$H$603,($L$5-2))))</f>
        <v/>
      </c>
      <c r="T294" s="25">
        <f>IF(($L$5-2)&lt;1,"",IF(291&lt;=($L$5-2),I294,INDEX($I$4:$I$603,($L$5-2))))</f>
        <v/>
      </c>
    </row>
    <row r="295">
      <c r="A295" s="43" t="n"/>
      <c r="B295" s="43" t="n"/>
      <c r="C295" s="37">
        <f>IF(OR(A295="",A296=""),"",A296-A295)</f>
        <v/>
      </c>
      <c r="D295" s="37">
        <f>IF(C295="","",B296-B295)</f>
        <v/>
      </c>
      <c r="E295" s="37">
        <f>IF(C295="","",(A295+A296)/2)</f>
        <v/>
      </c>
      <c r="F295" s="25">
        <f>IF(OR(C295="",C295=0),"",D295/C295)</f>
        <v/>
      </c>
      <c r="G295" s="25">
        <f>IF(C295="","",D295/$L$6)</f>
        <v/>
      </c>
      <c r="H295" s="37">
        <f>IF(OR(F295="",F296=""),"",(E295+E296)/2)</f>
        <v/>
      </c>
      <c r="I295" s="25">
        <f>IF(H295="","",(F296-F295)/(E296-E295))</f>
        <v/>
      </c>
      <c r="P295" s="25">
        <f>IF(($L$5-1)&lt;1,"",IF(292&lt;=($L$5-1),E295,INDEX($E$4:$E$603,($L$5-1))))</f>
        <v/>
      </c>
      <c r="Q295" s="25">
        <f>IF(($L$5-1)&lt;1,"",IF(292&lt;=($L$5-1),F295,INDEX($F$4:$F$603,($L$5-1))))</f>
        <v/>
      </c>
      <c r="R295" s="25">
        <f>IF(($L$5-1)&lt;1,"",IF(292&lt;=($L$5-1),G295,INDEX($G$4:$G$603,($L$5-1))))</f>
        <v/>
      </c>
      <c r="S295" s="25">
        <f>IF(($L$5-2)&lt;1,"",IF(292&lt;=($L$5-2),H295,INDEX($H$4:$H$603,($L$5-2))))</f>
        <v/>
      </c>
      <c r="T295" s="25">
        <f>IF(($L$5-2)&lt;1,"",IF(292&lt;=($L$5-2),I295,INDEX($I$4:$I$603,($L$5-2))))</f>
        <v/>
      </c>
    </row>
    <row r="296">
      <c r="A296" s="43" t="n"/>
      <c r="B296" s="43" t="n"/>
      <c r="C296" s="37">
        <f>IF(OR(A296="",A297=""),"",A297-A296)</f>
        <v/>
      </c>
      <c r="D296" s="37">
        <f>IF(C296="","",B297-B296)</f>
        <v/>
      </c>
      <c r="E296" s="37">
        <f>IF(C296="","",(A296+A297)/2)</f>
        <v/>
      </c>
      <c r="F296" s="25">
        <f>IF(OR(C296="",C296=0),"",D296/C296)</f>
        <v/>
      </c>
      <c r="G296" s="25">
        <f>IF(C296="","",D296/$L$6)</f>
        <v/>
      </c>
      <c r="H296" s="37">
        <f>IF(OR(F296="",F297=""),"",(E296+E297)/2)</f>
        <v/>
      </c>
      <c r="I296" s="25">
        <f>IF(H296="","",(F297-F296)/(E297-E296))</f>
        <v/>
      </c>
      <c r="P296" s="25">
        <f>IF(($L$5-1)&lt;1,"",IF(293&lt;=($L$5-1),E296,INDEX($E$4:$E$603,($L$5-1))))</f>
        <v/>
      </c>
      <c r="Q296" s="25">
        <f>IF(($L$5-1)&lt;1,"",IF(293&lt;=($L$5-1),F296,INDEX($F$4:$F$603,($L$5-1))))</f>
        <v/>
      </c>
      <c r="R296" s="25">
        <f>IF(($L$5-1)&lt;1,"",IF(293&lt;=($L$5-1),G296,INDEX($G$4:$G$603,($L$5-1))))</f>
        <v/>
      </c>
      <c r="S296" s="25">
        <f>IF(($L$5-2)&lt;1,"",IF(293&lt;=($L$5-2),H296,INDEX($H$4:$H$603,($L$5-2))))</f>
        <v/>
      </c>
      <c r="T296" s="25">
        <f>IF(($L$5-2)&lt;1,"",IF(293&lt;=($L$5-2),I296,INDEX($I$4:$I$603,($L$5-2))))</f>
        <v/>
      </c>
    </row>
    <row r="297">
      <c r="A297" s="43" t="n"/>
      <c r="B297" s="43" t="n"/>
      <c r="C297" s="37">
        <f>IF(OR(A297="",A298=""),"",A298-A297)</f>
        <v/>
      </c>
      <c r="D297" s="37">
        <f>IF(C297="","",B298-B297)</f>
        <v/>
      </c>
      <c r="E297" s="37">
        <f>IF(C297="","",(A297+A298)/2)</f>
        <v/>
      </c>
      <c r="F297" s="25">
        <f>IF(OR(C297="",C297=0),"",D297/C297)</f>
        <v/>
      </c>
      <c r="G297" s="25">
        <f>IF(C297="","",D297/$L$6)</f>
        <v/>
      </c>
      <c r="H297" s="37">
        <f>IF(OR(F297="",F298=""),"",(E297+E298)/2)</f>
        <v/>
      </c>
      <c r="I297" s="25">
        <f>IF(H297="","",(F298-F297)/(E298-E297))</f>
        <v/>
      </c>
      <c r="P297" s="25">
        <f>IF(($L$5-1)&lt;1,"",IF(294&lt;=($L$5-1),E297,INDEX($E$4:$E$603,($L$5-1))))</f>
        <v/>
      </c>
      <c r="Q297" s="25">
        <f>IF(($L$5-1)&lt;1,"",IF(294&lt;=($L$5-1),F297,INDEX($F$4:$F$603,($L$5-1))))</f>
        <v/>
      </c>
      <c r="R297" s="25">
        <f>IF(($L$5-1)&lt;1,"",IF(294&lt;=($L$5-1),G297,INDEX($G$4:$G$603,($L$5-1))))</f>
        <v/>
      </c>
      <c r="S297" s="25">
        <f>IF(($L$5-2)&lt;1,"",IF(294&lt;=($L$5-2),H297,INDEX($H$4:$H$603,($L$5-2))))</f>
        <v/>
      </c>
      <c r="T297" s="25">
        <f>IF(($L$5-2)&lt;1,"",IF(294&lt;=($L$5-2),I297,INDEX($I$4:$I$603,($L$5-2))))</f>
        <v/>
      </c>
    </row>
    <row r="298">
      <c r="A298" s="43" t="n"/>
      <c r="B298" s="43" t="n"/>
      <c r="C298" s="37">
        <f>IF(OR(A298="",A299=""),"",A299-A298)</f>
        <v/>
      </c>
      <c r="D298" s="37">
        <f>IF(C298="","",B299-B298)</f>
        <v/>
      </c>
      <c r="E298" s="37">
        <f>IF(C298="","",(A298+A299)/2)</f>
        <v/>
      </c>
      <c r="F298" s="25">
        <f>IF(OR(C298="",C298=0),"",D298/C298)</f>
        <v/>
      </c>
      <c r="G298" s="25">
        <f>IF(C298="","",D298/$L$6)</f>
        <v/>
      </c>
      <c r="H298" s="37">
        <f>IF(OR(F298="",F299=""),"",(E298+E299)/2)</f>
        <v/>
      </c>
      <c r="I298" s="25">
        <f>IF(H298="","",(F299-F298)/(E299-E298))</f>
        <v/>
      </c>
      <c r="P298" s="25">
        <f>IF(($L$5-1)&lt;1,"",IF(295&lt;=($L$5-1),E298,INDEX($E$4:$E$603,($L$5-1))))</f>
        <v/>
      </c>
      <c r="Q298" s="25">
        <f>IF(($L$5-1)&lt;1,"",IF(295&lt;=($L$5-1),F298,INDEX($F$4:$F$603,($L$5-1))))</f>
        <v/>
      </c>
      <c r="R298" s="25">
        <f>IF(($L$5-1)&lt;1,"",IF(295&lt;=($L$5-1),G298,INDEX($G$4:$G$603,($L$5-1))))</f>
        <v/>
      </c>
      <c r="S298" s="25">
        <f>IF(($L$5-2)&lt;1,"",IF(295&lt;=($L$5-2),H298,INDEX($H$4:$H$603,($L$5-2))))</f>
        <v/>
      </c>
      <c r="T298" s="25">
        <f>IF(($L$5-2)&lt;1,"",IF(295&lt;=($L$5-2),I298,INDEX($I$4:$I$603,($L$5-2))))</f>
        <v/>
      </c>
    </row>
    <row r="299">
      <c r="A299" s="43" t="n"/>
      <c r="B299" s="43" t="n"/>
      <c r="C299" s="37">
        <f>IF(OR(A299="",A300=""),"",A300-A299)</f>
        <v/>
      </c>
      <c r="D299" s="37">
        <f>IF(C299="","",B300-B299)</f>
        <v/>
      </c>
      <c r="E299" s="37">
        <f>IF(C299="","",(A299+A300)/2)</f>
        <v/>
      </c>
      <c r="F299" s="25">
        <f>IF(OR(C299="",C299=0),"",D299/C299)</f>
        <v/>
      </c>
      <c r="G299" s="25">
        <f>IF(C299="","",D299/$L$6)</f>
        <v/>
      </c>
      <c r="H299" s="37">
        <f>IF(OR(F299="",F300=""),"",(E299+E300)/2)</f>
        <v/>
      </c>
      <c r="I299" s="25">
        <f>IF(H299="","",(F300-F299)/(E300-E299))</f>
        <v/>
      </c>
      <c r="P299" s="25">
        <f>IF(($L$5-1)&lt;1,"",IF(296&lt;=($L$5-1),E299,INDEX($E$4:$E$603,($L$5-1))))</f>
        <v/>
      </c>
      <c r="Q299" s="25">
        <f>IF(($L$5-1)&lt;1,"",IF(296&lt;=($L$5-1),F299,INDEX($F$4:$F$603,($L$5-1))))</f>
        <v/>
      </c>
      <c r="R299" s="25">
        <f>IF(($L$5-1)&lt;1,"",IF(296&lt;=($L$5-1),G299,INDEX($G$4:$G$603,($L$5-1))))</f>
        <v/>
      </c>
      <c r="S299" s="25">
        <f>IF(($L$5-2)&lt;1,"",IF(296&lt;=($L$5-2),H299,INDEX($H$4:$H$603,($L$5-2))))</f>
        <v/>
      </c>
      <c r="T299" s="25">
        <f>IF(($L$5-2)&lt;1,"",IF(296&lt;=($L$5-2),I299,INDEX($I$4:$I$603,($L$5-2))))</f>
        <v/>
      </c>
    </row>
    <row r="300">
      <c r="A300" s="43" t="n"/>
      <c r="B300" s="43" t="n"/>
      <c r="C300" s="37">
        <f>IF(OR(A300="",A301=""),"",A301-A300)</f>
        <v/>
      </c>
      <c r="D300" s="37">
        <f>IF(C300="","",B301-B300)</f>
        <v/>
      </c>
      <c r="E300" s="37">
        <f>IF(C300="","",(A300+A301)/2)</f>
        <v/>
      </c>
      <c r="F300" s="25">
        <f>IF(OR(C300="",C300=0),"",D300/C300)</f>
        <v/>
      </c>
      <c r="G300" s="25">
        <f>IF(C300="","",D300/$L$6)</f>
        <v/>
      </c>
      <c r="H300" s="37">
        <f>IF(OR(F300="",F301=""),"",(E300+E301)/2)</f>
        <v/>
      </c>
      <c r="I300" s="25">
        <f>IF(H300="","",(F301-F300)/(E301-E300))</f>
        <v/>
      </c>
      <c r="P300" s="25">
        <f>IF(($L$5-1)&lt;1,"",IF(297&lt;=($L$5-1),E300,INDEX($E$4:$E$603,($L$5-1))))</f>
        <v/>
      </c>
      <c r="Q300" s="25">
        <f>IF(($L$5-1)&lt;1,"",IF(297&lt;=($L$5-1),F300,INDEX($F$4:$F$603,($L$5-1))))</f>
        <v/>
      </c>
      <c r="R300" s="25">
        <f>IF(($L$5-1)&lt;1,"",IF(297&lt;=($L$5-1),G300,INDEX($G$4:$G$603,($L$5-1))))</f>
        <v/>
      </c>
      <c r="S300" s="25">
        <f>IF(($L$5-2)&lt;1,"",IF(297&lt;=($L$5-2),H300,INDEX($H$4:$H$603,($L$5-2))))</f>
        <v/>
      </c>
      <c r="T300" s="25">
        <f>IF(($L$5-2)&lt;1,"",IF(297&lt;=($L$5-2),I300,INDEX($I$4:$I$603,($L$5-2))))</f>
        <v/>
      </c>
    </row>
    <row r="301">
      <c r="A301" s="43" t="n"/>
      <c r="B301" s="43" t="n"/>
      <c r="C301" s="37">
        <f>IF(OR(A301="",A302=""),"",A302-A301)</f>
        <v/>
      </c>
      <c r="D301" s="37">
        <f>IF(C301="","",B302-B301)</f>
        <v/>
      </c>
      <c r="E301" s="37">
        <f>IF(C301="","",(A301+A302)/2)</f>
        <v/>
      </c>
      <c r="F301" s="25">
        <f>IF(OR(C301="",C301=0),"",D301/C301)</f>
        <v/>
      </c>
      <c r="G301" s="25">
        <f>IF(C301="","",D301/$L$6)</f>
        <v/>
      </c>
      <c r="H301" s="37">
        <f>IF(OR(F301="",F302=""),"",(E301+E302)/2)</f>
        <v/>
      </c>
      <c r="I301" s="25">
        <f>IF(H301="","",(F302-F301)/(E302-E301))</f>
        <v/>
      </c>
      <c r="P301" s="25">
        <f>IF(($L$5-1)&lt;1,"",IF(298&lt;=($L$5-1),E301,INDEX($E$4:$E$603,($L$5-1))))</f>
        <v/>
      </c>
      <c r="Q301" s="25">
        <f>IF(($L$5-1)&lt;1,"",IF(298&lt;=($L$5-1),F301,INDEX($F$4:$F$603,($L$5-1))))</f>
        <v/>
      </c>
      <c r="R301" s="25">
        <f>IF(($L$5-1)&lt;1,"",IF(298&lt;=($L$5-1),G301,INDEX($G$4:$G$603,($L$5-1))))</f>
        <v/>
      </c>
      <c r="S301" s="25">
        <f>IF(($L$5-2)&lt;1,"",IF(298&lt;=($L$5-2),H301,INDEX($H$4:$H$603,($L$5-2))))</f>
        <v/>
      </c>
      <c r="T301" s="25">
        <f>IF(($L$5-2)&lt;1,"",IF(298&lt;=($L$5-2),I301,INDEX($I$4:$I$603,($L$5-2))))</f>
        <v/>
      </c>
    </row>
    <row r="302">
      <c r="A302" s="43" t="n"/>
      <c r="B302" s="43" t="n"/>
      <c r="C302" s="37">
        <f>IF(OR(A302="",A303=""),"",A303-A302)</f>
        <v/>
      </c>
      <c r="D302" s="37">
        <f>IF(C302="","",B303-B302)</f>
        <v/>
      </c>
      <c r="E302" s="37">
        <f>IF(C302="","",(A302+A303)/2)</f>
        <v/>
      </c>
      <c r="F302" s="25">
        <f>IF(OR(C302="",C302=0),"",D302/C302)</f>
        <v/>
      </c>
      <c r="G302" s="25">
        <f>IF(C302="","",D302/$L$6)</f>
        <v/>
      </c>
      <c r="H302" s="37">
        <f>IF(OR(F302="",F303=""),"",(E302+E303)/2)</f>
        <v/>
      </c>
      <c r="I302" s="25">
        <f>IF(H302="","",(F303-F302)/(E303-E302))</f>
        <v/>
      </c>
      <c r="P302" s="25">
        <f>IF(($L$5-1)&lt;1,"",IF(299&lt;=($L$5-1),E302,INDEX($E$4:$E$603,($L$5-1))))</f>
        <v/>
      </c>
      <c r="Q302" s="25">
        <f>IF(($L$5-1)&lt;1,"",IF(299&lt;=($L$5-1),F302,INDEX($F$4:$F$603,($L$5-1))))</f>
        <v/>
      </c>
      <c r="R302" s="25">
        <f>IF(($L$5-1)&lt;1,"",IF(299&lt;=($L$5-1),G302,INDEX($G$4:$G$603,($L$5-1))))</f>
        <v/>
      </c>
      <c r="S302" s="25">
        <f>IF(($L$5-2)&lt;1,"",IF(299&lt;=($L$5-2),H302,INDEX($H$4:$H$603,($L$5-2))))</f>
        <v/>
      </c>
      <c r="T302" s="25">
        <f>IF(($L$5-2)&lt;1,"",IF(299&lt;=($L$5-2),I302,INDEX($I$4:$I$603,($L$5-2))))</f>
        <v/>
      </c>
    </row>
    <row r="303">
      <c r="A303" s="43" t="n"/>
      <c r="B303" s="43" t="n"/>
      <c r="C303" s="37">
        <f>IF(OR(A303="",A304=""),"",A304-A303)</f>
        <v/>
      </c>
      <c r="D303" s="37">
        <f>IF(C303="","",B304-B303)</f>
        <v/>
      </c>
      <c r="E303" s="37">
        <f>IF(C303="","",(A303+A304)/2)</f>
        <v/>
      </c>
      <c r="F303" s="25">
        <f>IF(OR(C303="",C303=0),"",D303/C303)</f>
        <v/>
      </c>
      <c r="G303" s="25">
        <f>IF(C303="","",D303/$L$6)</f>
        <v/>
      </c>
      <c r="H303" s="37">
        <f>IF(OR(F303="",F304=""),"",(E303+E304)/2)</f>
        <v/>
      </c>
      <c r="I303" s="25">
        <f>IF(H303="","",(F304-F303)/(E304-E303))</f>
        <v/>
      </c>
      <c r="P303" s="25">
        <f>IF(($L$5-1)&lt;1,"",IF(300&lt;=($L$5-1),E303,INDEX($E$4:$E$603,($L$5-1))))</f>
        <v/>
      </c>
      <c r="Q303" s="25">
        <f>IF(($L$5-1)&lt;1,"",IF(300&lt;=($L$5-1),F303,INDEX($F$4:$F$603,($L$5-1))))</f>
        <v/>
      </c>
      <c r="R303" s="25">
        <f>IF(($L$5-1)&lt;1,"",IF(300&lt;=($L$5-1),G303,INDEX($G$4:$G$603,($L$5-1))))</f>
        <v/>
      </c>
      <c r="S303" s="25">
        <f>IF(($L$5-2)&lt;1,"",IF(300&lt;=($L$5-2),H303,INDEX($H$4:$H$603,($L$5-2))))</f>
        <v/>
      </c>
      <c r="T303" s="25">
        <f>IF(($L$5-2)&lt;1,"",IF(300&lt;=($L$5-2),I303,INDEX($I$4:$I$603,($L$5-2))))</f>
        <v/>
      </c>
    </row>
    <row r="304">
      <c r="A304" s="43" t="n"/>
      <c r="B304" s="43" t="n"/>
      <c r="C304" s="37">
        <f>IF(OR(A304="",A305=""),"",A305-A304)</f>
        <v/>
      </c>
      <c r="D304" s="37">
        <f>IF(C304="","",B305-B304)</f>
        <v/>
      </c>
      <c r="E304" s="37">
        <f>IF(C304="","",(A304+A305)/2)</f>
        <v/>
      </c>
      <c r="F304" s="25">
        <f>IF(OR(C304="",C304=0),"",D304/C304)</f>
        <v/>
      </c>
      <c r="G304" s="25">
        <f>IF(C304="","",D304/$L$6)</f>
        <v/>
      </c>
      <c r="H304" s="37">
        <f>IF(OR(F304="",F305=""),"",(E304+E305)/2)</f>
        <v/>
      </c>
      <c r="I304" s="25">
        <f>IF(H304="","",(F305-F304)/(E305-E304))</f>
        <v/>
      </c>
      <c r="P304" s="25">
        <f>IF(($L$5-1)&lt;1,"",IF(301&lt;=($L$5-1),E304,INDEX($E$4:$E$603,($L$5-1))))</f>
        <v/>
      </c>
      <c r="Q304" s="25">
        <f>IF(($L$5-1)&lt;1,"",IF(301&lt;=($L$5-1),F304,INDEX($F$4:$F$603,($L$5-1))))</f>
        <v/>
      </c>
      <c r="R304" s="25">
        <f>IF(($L$5-1)&lt;1,"",IF(301&lt;=($L$5-1),G304,INDEX($G$4:$G$603,($L$5-1))))</f>
        <v/>
      </c>
      <c r="S304" s="25">
        <f>IF(($L$5-2)&lt;1,"",IF(301&lt;=($L$5-2),H304,INDEX($H$4:$H$603,($L$5-2))))</f>
        <v/>
      </c>
      <c r="T304" s="25">
        <f>IF(($L$5-2)&lt;1,"",IF(301&lt;=($L$5-2),I304,INDEX($I$4:$I$603,($L$5-2))))</f>
        <v/>
      </c>
    </row>
    <row r="305">
      <c r="A305" s="43" t="n"/>
      <c r="B305" s="43" t="n"/>
      <c r="C305" s="37">
        <f>IF(OR(A305="",A306=""),"",A306-A305)</f>
        <v/>
      </c>
      <c r="D305" s="37">
        <f>IF(C305="","",B306-B305)</f>
        <v/>
      </c>
      <c r="E305" s="37">
        <f>IF(C305="","",(A305+A306)/2)</f>
        <v/>
      </c>
      <c r="F305" s="25">
        <f>IF(OR(C305="",C305=0),"",D305/C305)</f>
        <v/>
      </c>
      <c r="G305" s="25">
        <f>IF(C305="","",D305/$L$6)</f>
        <v/>
      </c>
      <c r="H305" s="37">
        <f>IF(OR(F305="",F306=""),"",(E305+E306)/2)</f>
        <v/>
      </c>
      <c r="I305" s="25">
        <f>IF(H305="","",(F306-F305)/(E306-E305))</f>
        <v/>
      </c>
      <c r="P305" s="25">
        <f>IF(($L$5-1)&lt;1,"",IF(302&lt;=($L$5-1),E305,INDEX($E$4:$E$603,($L$5-1))))</f>
        <v/>
      </c>
      <c r="Q305" s="25">
        <f>IF(($L$5-1)&lt;1,"",IF(302&lt;=($L$5-1),F305,INDEX($F$4:$F$603,($L$5-1))))</f>
        <v/>
      </c>
      <c r="R305" s="25">
        <f>IF(($L$5-1)&lt;1,"",IF(302&lt;=($L$5-1),G305,INDEX($G$4:$G$603,($L$5-1))))</f>
        <v/>
      </c>
      <c r="S305" s="25">
        <f>IF(($L$5-2)&lt;1,"",IF(302&lt;=($L$5-2),H305,INDEX($H$4:$H$603,($L$5-2))))</f>
        <v/>
      </c>
      <c r="T305" s="25">
        <f>IF(($L$5-2)&lt;1,"",IF(302&lt;=($L$5-2),I305,INDEX($I$4:$I$603,($L$5-2))))</f>
        <v/>
      </c>
    </row>
    <row r="306">
      <c r="A306" s="43" t="n"/>
      <c r="B306" s="43" t="n"/>
      <c r="C306" s="37">
        <f>IF(OR(A306="",A307=""),"",A307-A306)</f>
        <v/>
      </c>
      <c r="D306" s="37">
        <f>IF(C306="","",B307-B306)</f>
        <v/>
      </c>
      <c r="E306" s="37">
        <f>IF(C306="","",(A306+A307)/2)</f>
        <v/>
      </c>
      <c r="F306" s="25">
        <f>IF(OR(C306="",C306=0),"",D306/C306)</f>
        <v/>
      </c>
      <c r="G306" s="25">
        <f>IF(C306="","",D306/$L$6)</f>
        <v/>
      </c>
      <c r="H306" s="37">
        <f>IF(OR(F306="",F307=""),"",(E306+E307)/2)</f>
        <v/>
      </c>
      <c r="I306" s="25">
        <f>IF(H306="","",(F307-F306)/(E307-E306))</f>
        <v/>
      </c>
      <c r="P306" s="25">
        <f>IF(($L$5-1)&lt;1,"",IF(303&lt;=($L$5-1),E306,INDEX($E$4:$E$603,($L$5-1))))</f>
        <v/>
      </c>
      <c r="Q306" s="25">
        <f>IF(($L$5-1)&lt;1,"",IF(303&lt;=($L$5-1),F306,INDEX($F$4:$F$603,($L$5-1))))</f>
        <v/>
      </c>
      <c r="R306" s="25">
        <f>IF(($L$5-1)&lt;1,"",IF(303&lt;=($L$5-1),G306,INDEX($G$4:$G$603,($L$5-1))))</f>
        <v/>
      </c>
      <c r="S306" s="25">
        <f>IF(($L$5-2)&lt;1,"",IF(303&lt;=($L$5-2),H306,INDEX($H$4:$H$603,($L$5-2))))</f>
        <v/>
      </c>
      <c r="T306" s="25">
        <f>IF(($L$5-2)&lt;1,"",IF(303&lt;=($L$5-2),I306,INDEX($I$4:$I$603,($L$5-2))))</f>
        <v/>
      </c>
    </row>
    <row r="307">
      <c r="A307" s="43" t="n"/>
      <c r="B307" s="43" t="n"/>
      <c r="C307" s="37">
        <f>IF(OR(A307="",A308=""),"",A308-A307)</f>
        <v/>
      </c>
      <c r="D307" s="37">
        <f>IF(C307="","",B308-B307)</f>
        <v/>
      </c>
      <c r="E307" s="37">
        <f>IF(C307="","",(A307+A308)/2)</f>
        <v/>
      </c>
      <c r="F307" s="25">
        <f>IF(OR(C307="",C307=0),"",D307/C307)</f>
        <v/>
      </c>
      <c r="G307" s="25">
        <f>IF(C307="","",D307/$L$6)</f>
        <v/>
      </c>
      <c r="H307" s="37">
        <f>IF(OR(F307="",F308=""),"",(E307+E308)/2)</f>
        <v/>
      </c>
      <c r="I307" s="25">
        <f>IF(H307="","",(F308-F307)/(E308-E307))</f>
        <v/>
      </c>
      <c r="P307" s="25">
        <f>IF(($L$5-1)&lt;1,"",IF(304&lt;=($L$5-1),E307,INDEX($E$4:$E$603,($L$5-1))))</f>
        <v/>
      </c>
      <c r="Q307" s="25">
        <f>IF(($L$5-1)&lt;1,"",IF(304&lt;=($L$5-1),F307,INDEX($F$4:$F$603,($L$5-1))))</f>
        <v/>
      </c>
      <c r="R307" s="25">
        <f>IF(($L$5-1)&lt;1,"",IF(304&lt;=($L$5-1),G307,INDEX($G$4:$G$603,($L$5-1))))</f>
        <v/>
      </c>
      <c r="S307" s="25">
        <f>IF(($L$5-2)&lt;1,"",IF(304&lt;=($L$5-2),H307,INDEX($H$4:$H$603,($L$5-2))))</f>
        <v/>
      </c>
      <c r="T307" s="25">
        <f>IF(($L$5-2)&lt;1,"",IF(304&lt;=($L$5-2),I307,INDEX($I$4:$I$603,($L$5-2))))</f>
        <v/>
      </c>
    </row>
    <row r="308">
      <c r="A308" s="43" t="n"/>
      <c r="B308" s="43" t="n"/>
      <c r="C308" s="37">
        <f>IF(OR(A308="",A309=""),"",A309-A308)</f>
        <v/>
      </c>
      <c r="D308" s="37">
        <f>IF(C308="","",B309-B308)</f>
        <v/>
      </c>
      <c r="E308" s="37">
        <f>IF(C308="","",(A308+A309)/2)</f>
        <v/>
      </c>
      <c r="F308" s="25">
        <f>IF(OR(C308="",C308=0),"",D308/C308)</f>
        <v/>
      </c>
      <c r="G308" s="25">
        <f>IF(C308="","",D308/$L$6)</f>
        <v/>
      </c>
      <c r="H308" s="37">
        <f>IF(OR(F308="",F309=""),"",(E308+E309)/2)</f>
        <v/>
      </c>
      <c r="I308" s="25">
        <f>IF(H308="","",(F309-F308)/(E309-E308))</f>
        <v/>
      </c>
      <c r="P308" s="25">
        <f>IF(($L$5-1)&lt;1,"",IF(305&lt;=($L$5-1),E308,INDEX($E$4:$E$603,($L$5-1))))</f>
        <v/>
      </c>
      <c r="Q308" s="25">
        <f>IF(($L$5-1)&lt;1,"",IF(305&lt;=($L$5-1),F308,INDEX($F$4:$F$603,($L$5-1))))</f>
        <v/>
      </c>
      <c r="R308" s="25">
        <f>IF(($L$5-1)&lt;1,"",IF(305&lt;=($L$5-1),G308,INDEX($G$4:$G$603,($L$5-1))))</f>
        <v/>
      </c>
      <c r="S308" s="25">
        <f>IF(($L$5-2)&lt;1,"",IF(305&lt;=($L$5-2),H308,INDEX($H$4:$H$603,($L$5-2))))</f>
        <v/>
      </c>
      <c r="T308" s="25">
        <f>IF(($L$5-2)&lt;1,"",IF(305&lt;=($L$5-2),I308,INDEX($I$4:$I$603,($L$5-2))))</f>
        <v/>
      </c>
    </row>
    <row r="309">
      <c r="A309" s="43" t="n"/>
      <c r="B309" s="43" t="n"/>
      <c r="C309" s="37">
        <f>IF(OR(A309="",A310=""),"",A310-A309)</f>
        <v/>
      </c>
      <c r="D309" s="37">
        <f>IF(C309="","",B310-B309)</f>
        <v/>
      </c>
      <c r="E309" s="37">
        <f>IF(C309="","",(A309+A310)/2)</f>
        <v/>
      </c>
      <c r="F309" s="25">
        <f>IF(OR(C309="",C309=0),"",D309/C309)</f>
        <v/>
      </c>
      <c r="G309" s="25">
        <f>IF(C309="","",D309/$L$6)</f>
        <v/>
      </c>
      <c r="H309" s="37">
        <f>IF(OR(F309="",F310=""),"",(E309+E310)/2)</f>
        <v/>
      </c>
      <c r="I309" s="25">
        <f>IF(H309="","",(F310-F309)/(E310-E309))</f>
        <v/>
      </c>
      <c r="P309" s="25">
        <f>IF(($L$5-1)&lt;1,"",IF(306&lt;=($L$5-1),E309,INDEX($E$4:$E$603,($L$5-1))))</f>
        <v/>
      </c>
      <c r="Q309" s="25">
        <f>IF(($L$5-1)&lt;1,"",IF(306&lt;=($L$5-1),F309,INDEX($F$4:$F$603,($L$5-1))))</f>
        <v/>
      </c>
      <c r="R309" s="25">
        <f>IF(($L$5-1)&lt;1,"",IF(306&lt;=($L$5-1),G309,INDEX($G$4:$G$603,($L$5-1))))</f>
        <v/>
      </c>
      <c r="S309" s="25">
        <f>IF(($L$5-2)&lt;1,"",IF(306&lt;=($L$5-2),H309,INDEX($H$4:$H$603,($L$5-2))))</f>
        <v/>
      </c>
      <c r="T309" s="25">
        <f>IF(($L$5-2)&lt;1,"",IF(306&lt;=($L$5-2),I309,INDEX($I$4:$I$603,($L$5-2))))</f>
        <v/>
      </c>
    </row>
    <row r="310">
      <c r="A310" s="43" t="n"/>
      <c r="B310" s="43" t="n"/>
      <c r="C310" s="37">
        <f>IF(OR(A310="",A311=""),"",A311-A310)</f>
        <v/>
      </c>
      <c r="D310" s="37">
        <f>IF(C310="","",B311-B310)</f>
        <v/>
      </c>
      <c r="E310" s="37">
        <f>IF(C310="","",(A310+A311)/2)</f>
        <v/>
      </c>
      <c r="F310" s="25">
        <f>IF(OR(C310="",C310=0),"",D310/C310)</f>
        <v/>
      </c>
      <c r="G310" s="25">
        <f>IF(C310="","",D310/$L$6)</f>
        <v/>
      </c>
      <c r="H310" s="37">
        <f>IF(OR(F310="",F311=""),"",(E310+E311)/2)</f>
        <v/>
      </c>
      <c r="I310" s="25">
        <f>IF(H310="","",(F311-F310)/(E311-E310))</f>
        <v/>
      </c>
      <c r="P310" s="25">
        <f>IF(($L$5-1)&lt;1,"",IF(307&lt;=($L$5-1),E310,INDEX($E$4:$E$603,($L$5-1))))</f>
        <v/>
      </c>
      <c r="Q310" s="25">
        <f>IF(($L$5-1)&lt;1,"",IF(307&lt;=($L$5-1),F310,INDEX($F$4:$F$603,($L$5-1))))</f>
        <v/>
      </c>
      <c r="R310" s="25">
        <f>IF(($L$5-1)&lt;1,"",IF(307&lt;=($L$5-1),G310,INDEX($G$4:$G$603,($L$5-1))))</f>
        <v/>
      </c>
      <c r="S310" s="25">
        <f>IF(($L$5-2)&lt;1,"",IF(307&lt;=($L$5-2),H310,INDEX($H$4:$H$603,($L$5-2))))</f>
        <v/>
      </c>
      <c r="T310" s="25">
        <f>IF(($L$5-2)&lt;1,"",IF(307&lt;=($L$5-2),I310,INDEX($I$4:$I$603,($L$5-2))))</f>
        <v/>
      </c>
    </row>
    <row r="311">
      <c r="A311" s="43" t="n"/>
      <c r="B311" s="43" t="n"/>
      <c r="C311" s="37">
        <f>IF(OR(A311="",A312=""),"",A312-A311)</f>
        <v/>
      </c>
      <c r="D311" s="37">
        <f>IF(C311="","",B312-B311)</f>
        <v/>
      </c>
      <c r="E311" s="37">
        <f>IF(C311="","",(A311+A312)/2)</f>
        <v/>
      </c>
      <c r="F311" s="25">
        <f>IF(OR(C311="",C311=0),"",D311/C311)</f>
        <v/>
      </c>
      <c r="G311" s="25">
        <f>IF(C311="","",D311/$L$6)</f>
        <v/>
      </c>
      <c r="H311" s="37">
        <f>IF(OR(F311="",F312=""),"",(E311+E312)/2)</f>
        <v/>
      </c>
      <c r="I311" s="25">
        <f>IF(H311="","",(F312-F311)/(E312-E311))</f>
        <v/>
      </c>
      <c r="P311" s="25">
        <f>IF(($L$5-1)&lt;1,"",IF(308&lt;=($L$5-1),E311,INDEX($E$4:$E$603,($L$5-1))))</f>
        <v/>
      </c>
      <c r="Q311" s="25">
        <f>IF(($L$5-1)&lt;1,"",IF(308&lt;=($L$5-1),F311,INDEX($F$4:$F$603,($L$5-1))))</f>
        <v/>
      </c>
      <c r="R311" s="25">
        <f>IF(($L$5-1)&lt;1,"",IF(308&lt;=($L$5-1),G311,INDEX($G$4:$G$603,($L$5-1))))</f>
        <v/>
      </c>
      <c r="S311" s="25">
        <f>IF(($L$5-2)&lt;1,"",IF(308&lt;=($L$5-2),H311,INDEX($H$4:$H$603,($L$5-2))))</f>
        <v/>
      </c>
      <c r="T311" s="25">
        <f>IF(($L$5-2)&lt;1,"",IF(308&lt;=($L$5-2),I311,INDEX($I$4:$I$603,($L$5-2))))</f>
        <v/>
      </c>
    </row>
    <row r="312">
      <c r="A312" s="43" t="n"/>
      <c r="B312" s="43" t="n"/>
      <c r="C312" s="37">
        <f>IF(OR(A312="",A313=""),"",A313-A312)</f>
        <v/>
      </c>
      <c r="D312" s="37">
        <f>IF(C312="","",B313-B312)</f>
        <v/>
      </c>
      <c r="E312" s="37">
        <f>IF(C312="","",(A312+A313)/2)</f>
        <v/>
      </c>
      <c r="F312" s="25">
        <f>IF(OR(C312="",C312=0),"",D312/C312)</f>
        <v/>
      </c>
      <c r="G312" s="25">
        <f>IF(C312="","",D312/$L$6)</f>
        <v/>
      </c>
      <c r="H312" s="37">
        <f>IF(OR(F312="",F313=""),"",(E312+E313)/2)</f>
        <v/>
      </c>
      <c r="I312" s="25">
        <f>IF(H312="","",(F313-F312)/(E313-E312))</f>
        <v/>
      </c>
      <c r="P312" s="25">
        <f>IF(($L$5-1)&lt;1,"",IF(309&lt;=($L$5-1),E312,INDEX($E$4:$E$603,($L$5-1))))</f>
        <v/>
      </c>
      <c r="Q312" s="25">
        <f>IF(($L$5-1)&lt;1,"",IF(309&lt;=($L$5-1),F312,INDEX($F$4:$F$603,($L$5-1))))</f>
        <v/>
      </c>
      <c r="R312" s="25">
        <f>IF(($L$5-1)&lt;1,"",IF(309&lt;=($L$5-1),G312,INDEX($G$4:$G$603,($L$5-1))))</f>
        <v/>
      </c>
      <c r="S312" s="25">
        <f>IF(($L$5-2)&lt;1,"",IF(309&lt;=($L$5-2),H312,INDEX($H$4:$H$603,($L$5-2))))</f>
        <v/>
      </c>
      <c r="T312" s="25">
        <f>IF(($L$5-2)&lt;1,"",IF(309&lt;=($L$5-2),I312,INDEX($I$4:$I$603,($L$5-2))))</f>
        <v/>
      </c>
    </row>
    <row r="313">
      <c r="A313" s="43" t="n"/>
      <c r="B313" s="43" t="n"/>
      <c r="C313" s="37">
        <f>IF(OR(A313="",A314=""),"",A314-A313)</f>
        <v/>
      </c>
      <c r="D313" s="37">
        <f>IF(C313="","",B314-B313)</f>
        <v/>
      </c>
      <c r="E313" s="37">
        <f>IF(C313="","",(A313+A314)/2)</f>
        <v/>
      </c>
      <c r="F313" s="25">
        <f>IF(OR(C313="",C313=0),"",D313/C313)</f>
        <v/>
      </c>
      <c r="G313" s="25">
        <f>IF(C313="","",D313/$L$6)</f>
        <v/>
      </c>
      <c r="H313" s="37">
        <f>IF(OR(F313="",F314=""),"",(E313+E314)/2)</f>
        <v/>
      </c>
      <c r="I313" s="25">
        <f>IF(H313="","",(F314-F313)/(E314-E313))</f>
        <v/>
      </c>
      <c r="P313" s="25">
        <f>IF(($L$5-1)&lt;1,"",IF(310&lt;=($L$5-1),E313,INDEX($E$4:$E$603,($L$5-1))))</f>
        <v/>
      </c>
      <c r="Q313" s="25">
        <f>IF(($L$5-1)&lt;1,"",IF(310&lt;=($L$5-1),F313,INDEX($F$4:$F$603,($L$5-1))))</f>
        <v/>
      </c>
      <c r="R313" s="25">
        <f>IF(($L$5-1)&lt;1,"",IF(310&lt;=($L$5-1),G313,INDEX($G$4:$G$603,($L$5-1))))</f>
        <v/>
      </c>
      <c r="S313" s="25">
        <f>IF(($L$5-2)&lt;1,"",IF(310&lt;=($L$5-2),H313,INDEX($H$4:$H$603,($L$5-2))))</f>
        <v/>
      </c>
      <c r="T313" s="25">
        <f>IF(($L$5-2)&lt;1,"",IF(310&lt;=($L$5-2),I313,INDEX($I$4:$I$603,($L$5-2))))</f>
        <v/>
      </c>
    </row>
    <row r="314">
      <c r="A314" s="43" t="n"/>
      <c r="B314" s="43" t="n"/>
      <c r="C314" s="37">
        <f>IF(OR(A314="",A315=""),"",A315-A314)</f>
        <v/>
      </c>
      <c r="D314" s="37">
        <f>IF(C314="","",B315-B314)</f>
        <v/>
      </c>
      <c r="E314" s="37">
        <f>IF(C314="","",(A314+A315)/2)</f>
        <v/>
      </c>
      <c r="F314" s="25">
        <f>IF(OR(C314="",C314=0),"",D314/C314)</f>
        <v/>
      </c>
      <c r="G314" s="25">
        <f>IF(C314="","",D314/$L$6)</f>
        <v/>
      </c>
      <c r="H314" s="37">
        <f>IF(OR(F314="",F315=""),"",(E314+E315)/2)</f>
        <v/>
      </c>
      <c r="I314" s="25">
        <f>IF(H314="","",(F315-F314)/(E315-E314))</f>
        <v/>
      </c>
      <c r="P314" s="25">
        <f>IF(($L$5-1)&lt;1,"",IF(311&lt;=($L$5-1),E314,INDEX($E$4:$E$603,($L$5-1))))</f>
        <v/>
      </c>
      <c r="Q314" s="25">
        <f>IF(($L$5-1)&lt;1,"",IF(311&lt;=($L$5-1),F314,INDEX($F$4:$F$603,($L$5-1))))</f>
        <v/>
      </c>
      <c r="R314" s="25">
        <f>IF(($L$5-1)&lt;1,"",IF(311&lt;=($L$5-1),G314,INDEX($G$4:$G$603,($L$5-1))))</f>
        <v/>
      </c>
      <c r="S314" s="25">
        <f>IF(($L$5-2)&lt;1,"",IF(311&lt;=($L$5-2),H314,INDEX($H$4:$H$603,($L$5-2))))</f>
        <v/>
      </c>
      <c r="T314" s="25">
        <f>IF(($L$5-2)&lt;1,"",IF(311&lt;=($L$5-2),I314,INDEX($I$4:$I$603,($L$5-2))))</f>
        <v/>
      </c>
    </row>
    <row r="315">
      <c r="A315" s="43" t="n"/>
      <c r="B315" s="43" t="n"/>
      <c r="C315" s="37">
        <f>IF(OR(A315="",A316=""),"",A316-A315)</f>
        <v/>
      </c>
      <c r="D315" s="37">
        <f>IF(C315="","",B316-B315)</f>
        <v/>
      </c>
      <c r="E315" s="37">
        <f>IF(C315="","",(A315+A316)/2)</f>
        <v/>
      </c>
      <c r="F315" s="25">
        <f>IF(OR(C315="",C315=0),"",D315/C315)</f>
        <v/>
      </c>
      <c r="G315" s="25">
        <f>IF(C315="","",D315/$L$6)</f>
        <v/>
      </c>
      <c r="H315" s="37">
        <f>IF(OR(F315="",F316=""),"",(E315+E316)/2)</f>
        <v/>
      </c>
      <c r="I315" s="25">
        <f>IF(H315="","",(F316-F315)/(E316-E315))</f>
        <v/>
      </c>
      <c r="P315" s="25">
        <f>IF(($L$5-1)&lt;1,"",IF(312&lt;=($L$5-1),E315,INDEX($E$4:$E$603,($L$5-1))))</f>
        <v/>
      </c>
      <c r="Q315" s="25">
        <f>IF(($L$5-1)&lt;1,"",IF(312&lt;=($L$5-1),F315,INDEX($F$4:$F$603,($L$5-1))))</f>
        <v/>
      </c>
      <c r="R315" s="25">
        <f>IF(($L$5-1)&lt;1,"",IF(312&lt;=($L$5-1),G315,INDEX($G$4:$G$603,($L$5-1))))</f>
        <v/>
      </c>
      <c r="S315" s="25">
        <f>IF(($L$5-2)&lt;1,"",IF(312&lt;=($L$5-2),H315,INDEX($H$4:$H$603,($L$5-2))))</f>
        <v/>
      </c>
      <c r="T315" s="25">
        <f>IF(($L$5-2)&lt;1,"",IF(312&lt;=($L$5-2),I315,INDEX($I$4:$I$603,($L$5-2))))</f>
        <v/>
      </c>
    </row>
    <row r="316">
      <c r="A316" s="43" t="n"/>
      <c r="B316" s="43" t="n"/>
      <c r="C316" s="37">
        <f>IF(OR(A316="",A317=""),"",A317-A316)</f>
        <v/>
      </c>
      <c r="D316" s="37">
        <f>IF(C316="","",B317-B316)</f>
        <v/>
      </c>
      <c r="E316" s="37">
        <f>IF(C316="","",(A316+A317)/2)</f>
        <v/>
      </c>
      <c r="F316" s="25">
        <f>IF(OR(C316="",C316=0),"",D316/C316)</f>
        <v/>
      </c>
      <c r="G316" s="25">
        <f>IF(C316="","",D316/$L$6)</f>
        <v/>
      </c>
      <c r="H316" s="37">
        <f>IF(OR(F316="",F317=""),"",(E316+E317)/2)</f>
        <v/>
      </c>
      <c r="I316" s="25">
        <f>IF(H316="","",(F317-F316)/(E317-E316))</f>
        <v/>
      </c>
      <c r="P316" s="25">
        <f>IF(($L$5-1)&lt;1,"",IF(313&lt;=($L$5-1),E316,INDEX($E$4:$E$603,($L$5-1))))</f>
        <v/>
      </c>
      <c r="Q316" s="25">
        <f>IF(($L$5-1)&lt;1,"",IF(313&lt;=($L$5-1),F316,INDEX($F$4:$F$603,($L$5-1))))</f>
        <v/>
      </c>
      <c r="R316" s="25">
        <f>IF(($L$5-1)&lt;1,"",IF(313&lt;=($L$5-1),G316,INDEX($G$4:$G$603,($L$5-1))))</f>
        <v/>
      </c>
      <c r="S316" s="25">
        <f>IF(($L$5-2)&lt;1,"",IF(313&lt;=($L$5-2),H316,INDEX($H$4:$H$603,($L$5-2))))</f>
        <v/>
      </c>
      <c r="T316" s="25">
        <f>IF(($L$5-2)&lt;1,"",IF(313&lt;=($L$5-2),I316,INDEX($I$4:$I$603,($L$5-2))))</f>
        <v/>
      </c>
    </row>
    <row r="317">
      <c r="A317" s="43" t="n"/>
      <c r="B317" s="43" t="n"/>
      <c r="C317" s="37">
        <f>IF(OR(A317="",A318=""),"",A318-A317)</f>
        <v/>
      </c>
      <c r="D317" s="37">
        <f>IF(C317="","",B318-B317)</f>
        <v/>
      </c>
      <c r="E317" s="37">
        <f>IF(C317="","",(A317+A318)/2)</f>
        <v/>
      </c>
      <c r="F317" s="25">
        <f>IF(OR(C317="",C317=0),"",D317/C317)</f>
        <v/>
      </c>
      <c r="G317" s="25">
        <f>IF(C317="","",D317/$L$6)</f>
        <v/>
      </c>
      <c r="H317" s="37">
        <f>IF(OR(F317="",F318=""),"",(E317+E318)/2)</f>
        <v/>
      </c>
      <c r="I317" s="25">
        <f>IF(H317="","",(F318-F317)/(E318-E317))</f>
        <v/>
      </c>
      <c r="P317" s="25">
        <f>IF(($L$5-1)&lt;1,"",IF(314&lt;=($L$5-1),E317,INDEX($E$4:$E$603,($L$5-1))))</f>
        <v/>
      </c>
      <c r="Q317" s="25">
        <f>IF(($L$5-1)&lt;1,"",IF(314&lt;=($L$5-1),F317,INDEX($F$4:$F$603,($L$5-1))))</f>
        <v/>
      </c>
      <c r="R317" s="25">
        <f>IF(($L$5-1)&lt;1,"",IF(314&lt;=($L$5-1),G317,INDEX($G$4:$G$603,($L$5-1))))</f>
        <v/>
      </c>
      <c r="S317" s="25">
        <f>IF(($L$5-2)&lt;1,"",IF(314&lt;=($L$5-2),H317,INDEX($H$4:$H$603,($L$5-2))))</f>
        <v/>
      </c>
      <c r="T317" s="25">
        <f>IF(($L$5-2)&lt;1,"",IF(314&lt;=($L$5-2),I317,INDEX($I$4:$I$603,($L$5-2))))</f>
        <v/>
      </c>
    </row>
    <row r="318">
      <c r="A318" s="43" t="n"/>
      <c r="B318" s="43" t="n"/>
      <c r="C318" s="37">
        <f>IF(OR(A318="",A319=""),"",A319-A318)</f>
        <v/>
      </c>
      <c r="D318" s="37">
        <f>IF(C318="","",B319-B318)</f>
        <v/>
      </c>
      <c r="E318" s="37">
        <f>IF(C318="","",(A318+A319)/2)</f>
        <v/>
      </c>
      <c r="F318" s="25">
        <f>IF(OR(C318="",C318=0),"",D318/C318)</f>
        <v/>
      </c>
      <c r="G318" s="25">
        <f>IF(C318="","",D318/$L$6)</f>
        <v/>
      </c>
      <c r="H318" s="37">
        <f>IF(OR(F318="",F319=""),"",(E318+E319)/2)</f>
        <v/>
      </c>
      <c r="I318" s="25">
        <f>IF(H318="","",(F319-F318)/(E319-E318))</f>
        <v/>
      </c>
      <c r="P318" s="25">
        <f>IF(($L$5-1)&lt;1,"",IF(315&lt;=($L$5-1),E318,INDEX($E$4:$E$603,($L$5-1))))</f>
        <v/>
      </c>
      <c r="Q318" s="25">
        <f>IF(($L$5-1)&lt;1,"",IF(315&lt;=($L$5-1),F318,INDEX($F$4:$F$603,($L$5-1))))</f>
        <v/>
      </c>
      <c r="R318" s="25">
        <f>IF(($L$5-1)&lt;1,"",IF(315&lt;=($L$5-1),G318,INDEX($G$4:$G$603,($L$5-1))))</f>
        <v/>
      </c>
      <c r="S318" s="25">
        <f>IF(($L$5-2)&lt;1,"",IF(315&lt;=($L$5-2),H318,INDEX($H$4:$H$603,($L$5-2))))</f>
        <v/>
      </c>
      <c r="T318" s="25">
        <f>IF(($L$5-2)&lt;1,"",IF(315&lt;=($L$5-2),I318,INDEX($I$4:$I$603,($L$5-2))))</f>
        <v/>
      </c>
    </row>
    <row r="319">
      <c r="A319" s="43" t="n"/>
      <c r="B319" s="43" t="n"/>
      <c r="C319" s="37">
        <f>IF(OR(A319="",A320=""),"",A320-A319)</f>
        <v/>
      </c>
      <c r="D319" s="37">
        <f>IF(C319="","",B320-B319)</f>
        <v/>
      </c>
      <c r="E319" s="37">
        <f>IF(C319="","",(A319+A320)/2)</f>
        <v/>
      </c>
      <c r="F319" s="25">
        <f>IF(OR(C319="",C319=0),"",D319/C319)</f>
        <v/>
      </c>
      <c r="G319" s="25">
        <f>IF(C319="","",D319/$L$6)</f>
        <v/>
      </c>
      <c r="H319" s="37">
        <f>IF(OR(F319="",F320=""),"",(E319+E320)/2)</f>
        <v/>
      </c>
      <c r="I319" s="25">
        <f>IF(H319="","",(F320-F319)/(E320-E319))</f>
        <v/>
      </c>
      <c r="P319" s="25">
        <f>IF(($L$5-1)&lt;1,"",IF(316&lt;=($L$5-1),E319,INDEX($E$4:$E$603,($L$5-1))))</f>
        <v/>
      </c>
      <c r="Q319" s="25">
        <f>IF(($L$5-1)&lt;1,"",IF(316&lt;=($L$5-1),F319,INDEX($F$4:$F$603,($L$5-1))))</f>
        <v/>
      </c>
      <c r="R319" s="25">
        <f>IF(($L$5-1)&lt;1,"",IF(316&lt;=($L$5-1),G319,INDEX($G$4:$G$603,($L$5-1))))</f>
        <v/>
      </c>
      <c r="S319" s="25">
        <f>IF(($L$5-2)&lt;1,"",IF(316&lt;=($L$5-2),H319,INDEX($H$4:$H$603,($L$5-2))))</f>
        <v/>
      </c>
      <c r="T319" s="25">
        <f>IF(($L$5-2)&lt;1,"",IF(316&lt;=($L$5-2),I319,INDEX($I$4:$I$603,($L$5-2))))</f>
        <v/>
      </c>
    </row>
    <row r="320">
      <c r="A320" s="43" t="n"/>
      <c r="B320" s="43" t="n"/>
      <c r="C320" s="37">
        <f>IF(OR(A320="",A321=""),"",A321-A320)</f>
        <v/>
      </c>
      <c r="D320" s="37">
        <f>IF(C320="","",B321-B320)</f>
        <v/>
      </c>
      <c r="E320" s="37">
        <f>IF(C320="","",(A320+A321)/2)</f>
        <v/>
      </c>
      <c r="F320" s="25">
        <f>IF(OR(C320="",C320=0),"",D320/C320)</f>
        <v/>
      </c>
      <c r="G320" s="25">
        <f>IF(C320="","",D320/$L$6)</f>
        <v/>
      </c>
      <c r="H320" s="37">
        <f>IF(OR(F320="",F321=""),"",(E320+E321)/2)</f>
        <v/>
      </c>
      <c r="I320" s="25">
        <f>IF(H320="","",(F321-F320)/(E321-E320))</f>
        <v/>
      </c>
      <c r="P320" s="25">
        <f>IF(($L$5-1)&lt;1,"",IF(317&lt;=($L$5-1),E320,INDEX($E$4:$E$603,($L$5-1))))</f>
        <v/>
      </c>
      <c r="Q320" s="25">
        <f>IF(($L$5-1)&lt;1,"",IF(317&lt;=($L$5-1),F320,INDEX($F$4:$F$603,($L$5-1))))</f>
        <v/>
      </c>
      <c r="R320" s="25">
        <f>IF(($L$5-1)&lt;1,"",IF(317&lt;=($L$5-1),G320,INDEX($G$4:$G$603,($L$5-1))))</f>
        <v/>
      </c>
      <c r="S320" s="25">
        <f>IF(($L$5-2)&lt;1,"",IF(317&lt;=($L$5-2),H320,INDEX($H$4:$H$603,($L$5-2))))</f>
        <v/>
      </c>
      <c r="T320" s="25">
        <f>IF(($L$5-2)&lt;1,"",IF(317&lt;=($L$5-2),I320,INDEX($I$4:$I$603,($L$5-2))))</f>
        <v/>
      </c>
    </row>
    <row r="321">
      <c r="A321" s="43" t="n"/>
      <c r="B321" s="43" t="n"/>
      <c r="C321" s="37">
        <f>IF(OR(A321="",A322=""),"",A322-A321)</f>
        <v/>
      </c>
      <c r="D321" s="37">
        <f>IF(C321="","",B322-B321)</f>
        <v/>
      </c>
      <c r="E321" s="37">
        <f>IF(C321="","",(A321+A322)/2)</f>
        <v/>
      </c>
      <c r="F321" s="25">
        <f>IF(OR(C321="",C321=0),"",D321/C321)</f>
        <v/>
      </c>
      <c r="G321" s="25">
        <f>IF(C321="","",D321/$L$6)</f>
        <v/>
      </c>
      <c r="H321" s="37">
        <f>IF(OR(F321="",F322=""),"",(E321+E322)/2)</f>
        <v/>
      </c>
      <c r="I321" s="25">
        <f>IF(H321="","",(F322-F321)/(E322-E321))</f>
        <v/>
      </c>
      <c r="P321" s="25">
        <f>IF(($L$5-1)&lt;1,"",IF(318&lt;=($L$5-1),E321,INDEX($E$4:$E$603,($L$5-1))))</f>
        <v/>
      </c>
      <c r="Q321" s="25">
        <f>IF(($L$5-1)&lt;1,"",IF(318&lt;=($L$5-1),F321,INDEX($F$4:$F$603,($L$5-1))))</f>
        <v/>
      </c>
      <c r="R321" s="25">
        <f>IF(($L$5-1)&lt;1,"",IF(318&lt;=($L$5-1),G321,INDEX($G$4:$G$603,($L$5-1))))</f>
        <v/>
      </c>
      <c r="S321" s="25">
        <f>IF(($L$5-2)&lt;1,"",IF(318&lt;=($L$5-2),H321,INDEX($H$4:$H$603,($L$5-2))))</f>
        <v/>
      </c>
      <c r="T321" s="25">
        <f>IF(($L$5-2)&lt;1,"",IF(318&lt;=($L$5-2),I321,INDEX($I$4:$I$603,($L$5-2))))</f>
        <v/>
      </c>
    </row>
    <row r="322">
      <c r="A322" s="43" t="n"/>
      <c r="B322" s="43" t="n"/>
      <c r="C322" s="37">
        <f>IF(OR(A322="",A323=""),"",A323-A322)</f>
        <v/>
      </c>
      <c r="D322" s="37">
        <f>IF(C322="","",B323-B322)</f>
        <v/>
      </c>
      <c r="E322" s="37">
        <f>IF(C322="","",(A322+A323)/2)</f>
        <v/>
      </c>
      <c r="F322" s="25">
        <f>IF(OR(C322="",C322=0),"",D322/C322)</f>
        <v/>
      </c>
      <c r="G322" s="25">
        <f>IF(C322="","",D322/$L$6)</f>
        <v/>
      </c>
      <c r="H322" s="37">
        <f>IF(OR(F322="",F323=""),"",(E322+E323)/2)</f>
        <v/>
      </c>
      <c r="I322" s="25">
        <f>IF(H322="","",(F323-F322)/(E323-E322))</f>
        <v/>
      </c>
      <c r="P322" s="25">
        <f>IF(($L$5-1)&lt;1,"",IF(319&lt;=($L$5-1),E322,INDEX($E$4:$E$603,($L$5-1))))</f>
        <v/>
      </c>
      <c r="Q322" s="25">
        <f>IF(($L$5-1)&lt;1,"",IF(319&lt;=($L$5-1),F322,INDEX($F$4:$F$603,($L$5-1))))</f>
        <v/>
      </c>
      <c r="R322" s="25">
        <f>IF(($L$5-1)&lt;1,"",IF(319&lt;=($L$5-1),G322,INDEX($G$4:$G$603,($L$5-1))))</f>
        <v/>
      </c>
      <c r="S322" s="25">
        <f>IF(($L$5-2)&lt;1,"",IF(319&lt;=($L$5-2),H322,INDEX($H$4:$H$603,($L$5-2))))</f>
        <v/>
      </c>
      <c r="T322" s="25">
        <f>IF(($L$5-2)&lt;1,"",IF(319&lt;=($L$5-2),I322,INDEX($I$4:$I$603,($L$5-2))))</f>
        <v/>
      </c>
    </row>
    <row r="323">
      <c r="A323" s="43" t="n"/>
      <c r="B323" s="43" t="n"/>
      <c r="C323" s="37">
        <f>IF(OR(A323="",A324=""),"",A324-A323)</f>
        <v/>
      </c>
      <c r="D323" s="37">
        <f>IF(C323="","",B324-B323)</f>
        <v/>
      </c>
      <c r="E323" s="37">
        <f>IF(C323="","",(A323+A324)/2)</f>
        <v/>
      </c>
      <c r="F323" s="25">
        <f>IF(OR(C323="",C323=0),"",D323/C323)</f>
        <v/>
      </c>
      <c r="G323" s="25">
        <f>IF(C323="","",D323/$L$6)</f>
        <v/>
      </c>
      <c r="H323" s="37">
        <f>IF(OR(F323="",F324=""),"",(E323+E324)/2)</f>
        <v/>
      </c>
      <c r="I323" s="25">
        <f>IF(H323="","",(F324-F323)/(E324-E323))</f>
        <v/>
      </c>
      <c r="P323" s="25">
        <f>IF(($L$5-1)&lt;1,"",IF(320&lt;=($L$5-1),E323,INDEX($E$4:$E$603,($L$5-1))))</f>
        <v/>
      </c>
      <c r="Q323" s="25">
        <f>IF(($L$5-1)&lt;1,"",IF(320&lt;=($L$5-1),F323,INDEX($F$4:$F$603,($L$5-1))))</f>
        <v/>
      </c>
      <c r="R323" s="25">
        <f>IF(($L$5-1)&lt;1,"",IF(320&lt;=($L$5-1),G323,INDEX($G$4:$G$603,($L$5-1))))</f>
        <v/>
      </c>
      <c r="S323" s="25">
        <f>IF(($L$5-2)&lt;1,"",IF(320&lt;=($L$5-2),H323,INDEX($H$4:$H$603,($L$5-2))))</f>
        <v/>
      </c>
      <c r="T323" s="25">
        <f>IF(($L$5-2)&lt;1,"",IF(320&lt;=($L$5-2),I323,INDEX($I$4:$I$603,($L$5-2))))</f>
        <v/>
      </c>
    </row>
    <row r="324">
      <c r="A324" s="43" t="n"/>
      <c r="B324" s="43" t="n"/>
      <c r="C324" s="37">
        <f>IF(OR(A324="",A325=""),"",A325-A324)</f>
        <v/>
      </c>
      <c r="D324" s="37">
        <f>IF(C324="","",B325-B324)</f>
        <v/>
      </c>
      <c r="E324" s="37">
        <f>IF(C324="","",(A324+A325)/2)</f>
        <v/>
      </c>
      <c r="F324" s="25">
        <f>IF(OR(C324="",C324=0),"",D324/C324)</f>
        <v/>
      </c>
      <c r="G324" s="25">
        <f>IF(C324="","",D324/$L$6)</f>
        <v/>
      </c>
      <c r="H324" s="37">
        <f>IF(OR(F324="",F325=""),"",(E324+E325)/2)</f>
        <v/>
      </c>
      <c r="I324" s="25">
        <f>IF(H324="","",(F325-F324)/(E325-E324))</f>
        <v/>
      </c>
      <c r="P324" s="25">
        <f>IF(($L$5-1)&lt;1,"",IF(321&lt;=($L$5-1),E324,INDEX($E$4:$E$603,($L$5-1))))</f>
        <v/>
      </c>
      <c r="Q324" s="25">
        <f>IF(($L$5-1)&lt;1,"",IF(321&lt;=($L$5-1),F324,INDEX($F$4:$F$603,($L$5-1))))</f>
        <v/>
      </c>
      <c r="R324" s="25">
        <f>IF(($L$5-1)&lt;1,"",IF(321&lt;=($L$5-1),G324,INDEX($G$4:$G$603,($L$5-1))))</f>
        <v/>
      </c>
      <c r="S324" s="25">
        <f>IF(($L$5-2)&lt;1,"",IF(321&lt;=($L$5-2),H324,INDEX($H$4:$H$603,($L$5-2))))</f>
        <v/>
      </c>
      <c r="T324" s="25">
        <f>IF(($L$5-2)&lt;1,"",IF(321&lt;=($L$5-2),I324,INDEX($I$4:$I$603,($L$5-2))))</f>
        <v/>
      </c>
    </row>
    <row r="325">
      <c r="A325" s="43" t="n"/>
      <c r="B325" s="43" t="n"/>
      <c r="C325" s="37">
        <f>IF(OR(A325="",A326=""),"",A326-A325)</f>
        <v/>
      </c>
      <c r="D325" s="37">
        <f>IF(C325="","",B326-B325)</f>
        <v/>
      </c>
      <c r="E325" s="37">
        <f>IF(C325="","",(A325+A326)/2)</f>
        <v/>
      </c>
      <c r="F325" s="25">
        <f>IF(OR(C325="",C325=0),"",D325/C325)</f>
        <v/>
      </c>
      <c r="G325" s="25">
        <f>IF(C325="","",D325/$L$6)</f>
        <v/>
      </c>
      <c r="H325" s="37">
        <f>IF(OR(F325="",F326=""),"",(E325+E326)/2)</f>
        <v/>
      </c>
      <c r="I325" s="25">
        <f>IF(H325="","",(F326-F325)/(E326-E325))</f>
        <v/>
      </c>
      <c r="P325" s="25">
        <f>IF(($L$5-1)&lt;1,"",IF(322&lt;=($L$5-1),E325,INDEX($E$4:$E$603,($L$5-1))))</f>
        <v/>
      </c>
      <c r="Q325" s="25">
        <f>IF(($L$5-1)&lt;1,"",IF(322&lt;=($L$5-1),F325,INDEX($F$4:$F$603,($L$5-1))))</f>
        <v/>
      </c>
      <c r="R325" s="25">
        <f>IF(($L$5-1)&lt;1,"",IF(322&lt;=($L$5-1),G325,INDEX($G$4:$G$603,($L$5-1))))</f>
        <v/>
      </c>
      <c r="S325" s="25">
        <f>IF(($L$5-2)&lt;1,"",IF(322&lt;=($L$5-2),H325,INDEX($H$4:$H$603,($L$5-2))))</f>
        <v/>
      </c>
      <c r="T325" s="25">
        <f>IF(($L$5-2)&lt;1,"",IF(322&lt;=($L$5-2),I325,INDEX($I$4:$I$603,($L$5-2))))</f>
        <v/>
      </c>
    </row>
    <row r="326">
      <c r="A326" s="43" t="n"/>
      <c r="B326" s="43" t="n"/>
      <c r="C326" s="37">
        <f>IF(OR(A326="",A327=""),"",A327-A326)</f>
        <v/>
      </c>
      <c r="D326" s="37">
        <f>IF(C326="","",B327-B326)</f>
        <v/>
      </c>
      <c r="E326" s="37">
        <f>IF(C326="","",(A326+A327)/2)</f>
        <v/>
      </c>
      <c r="F326" s="25">
        <f>IF(OR(C326="",C326=0),"",D326/C326)</f>
        <v/>
      </c>
      <c r="G326" s="25">
        <f>IF(C326="","",D326/$L$6)</f>
        <v/>
      </c>
      <c r="H326" s="37">
        <f>IF(OR(F326="",F327=""),"",(E326+E327)/2)</f>
        <v/>
      </c>
      <c r="I326" s="25">
        <f>IF(H326="","",(F327-F326)/(E327-E326))</f>
        <v/>
      </c>
      <c r="P326" s="25">
        <f>IF(($L$5-1)&lt;1,"",IF(323&lt;=($L$5-1),E326,INDEX($E$4:$E$603,($L$5-1))))</f>
        <v/>
      </c>
      <c r="Q326" s="25">
        <f>IF(($L$5-1)&lt;1,"",IF(323&lt;=($L$5-1),F326,INDEX($F$4:$F$603,($L$5-1))))</f>
        <v/>
      </c>
      <c r="R326" s="25">
        <f>IF(($L$5-1)&lt;1,"",IF(323&lt;=($L$5-1),G326,INDEX($G$4:$G$603,($L$5-1))))</f>
        <v/>
      </c>
      <c r="S326" s="25">
        <f>IF(($L$5-2)&lt;1,"",IF(323&lt;=($L$5-2),H326,INDEX($H$4:$H$603,($L$5-2))))</f>
        <v/>
      </c>
      <c r="T326" s="25">
        <f>IF(($L$5-2)&lt;1,"",IF(323&lt;=($L$5-2),I326,INDEX($I$4:$I$603,($L$5-2))))</f>
        <v/>
      </c>
    </row>
    <row r="327">
      <c r="A327" s="43" t="n"/>
      <c r="B327" s="43" t="n"/>
      <c r="C327" s="37">
        <f>IF(OR(A327="",A328=""),"",A328-A327)</f>
        <v/>
      </c>
      <c r="D327" s="37">
        <f>IF(C327="","",B328-B327)</f>
        <v/>
      </c>
      <c r="E327" s="37">
        <f>IF(C327="","",(A327+A328)/2)</f>
        <v/>
      </c>
      <c r="F327" s="25">
        <f>IF(OR(C327="",C327=0),"",D327/C327)</f>
        <v/>
      </c>
      <c r="G327" s="25">
        <f>IF(C327="","",D327/$L$6)</f>
        <v/>
      </c>
      <c r="H327" s="37">
        <f>IF(OR(F327="",F328=""),"",(E327+E328)/2)</f>
        <v/>
      </c>
      <c r="I327" s="25">
        <f>IF(H327="","",(F328-F327)/(E328-E327))</f>
        <v/>
      </c>
      <c r="P327" s="25">
        <f>IF(($L$5-1)&lt;1,"",IF(324&lt;=($L$5-1),E327,INDEX($E$4:$E$603,($L$5-1))))</f>
        <v/>
      </c>
      <c r="Q327" s="25">
        <f>IF(($L$5-1)&lt;1,"",IF(324&lt;=($L$5-1),F327,INDEX($F$4:$F$603,($L$5-1))))</f>
        <v/>
      </c>
      <c r="R327" s="25">
        <f>IF(($L$5-1)&lt;1,"",IF(324&lt;=($L$5-1),G327,INDEX($G$4:$G$603,($L$5-1))))</f>
        <v/>
      </c>
      <c r="S327" s="25">
        <f>IF(($L$5-2)&lt;1,"",IF(324&lt;=($L$5-2),H327,INDEX($H$4:$H$603,($L$5-2))))</f>
        <v/>
      </c>
      <c r="T327" s="25">
        <f>IF(($L$5-2)&lt;1,"",IF(324&lt;=($L$5-2),I327,INDEX($I$4:$I$603,($L$5-2))))</f>
        <v/>
      </c>
    </row>
    <row r="328">
      <c r="A328" s="43" t="n"/>
      <c r="B328" s="43" t="n"/>
      <c r="C328" s="37">
        <f>IF(OR(A328="",A329=""),"",A329-A328)</f>
        <v/>
      </c>
      <c r="D328" s="37">
        <f>IF(C328="","",B329-B328)</f>
        <v/>
      </c>
      <c r="E328" s="37">
        <f>IF(C328="","",(A328+A329)/2)</f>
        <v/>
      </c>
      <c r="F328" s="25">
        <f>IF(OR(C328="",C328=0),"",D328/C328)</f>
        <v/>
      </c>
      <c r="G328" s="25">
        <f>IF(C328="","",D328/$L$6)</f>
        <v/>
      </c>
      <c r="H328" s="37">
        <f>IF(OR(F328="",F329=""),"",(E328+E329)/2)</f>
        <v/>
      </c>
      <c r="I328" s="25">
        <f>IF(H328="","",(F329-F328)/(E329-E328))</f>
        <v/>
      </c>
      <c r="P328" s="25">
        <f>IF(($L$5-1)&lt;1,"",IF(325&lt;=($L$5-1),E328,INDEX($E$4:$E$603,($L$5-1))))</f>
        <v/>
      </c>
      <c r="Q328" s="25">
        <f>IF(($L$5-1)&lt;1,"",IF(325&lt;=($L$5-1),F328,INDEX($F$4:$F$603,($L$5-1))))</f>
        <v/>
      </c>
      <c r="R328" s="25">
        <f>IF(($L$5-1)&lt;1,"",IF(325&lt;=($L$5-1),G328,INDEX($G$4:$G$603,($L$5-1))))</f>
        <v/>
      </c>
      <c r="S328" s="25">
        <f>IF(($L$5-2)&lt;1,"",IF(325&lt;=($L$5-2),H328,INDEX($H$4:$H$603,($L$5-2))))</f>
        <v/>
      </c>
      <c r="T328" s="25">
        <f>IF(($L$5-2)&lt;1,"",IF(325&lt;=($L$5-2),I328,INDEX($I$4:$I$603,($L$5-2))))</f>
        <v/>
      </c>
    </row>
    <row r="329">
      <c r="A329" s="43" t="n"/>
      <c r="B329" s="43" t="n"/>
      <c r="C329" s="37">
        <f>IF(OR(A329="",A330=""),"",A330-A329)</f>
        <v/>
      </c>
      <c r="D329" s="37">
        <f>IF(C329="","",B330-B329)</f>
        <v/>
      </c>
      <c r="E329" s="37">
        <f>IF(C329="","",(A329+A330)/2)</f>
        <v/>
      </c>
      <c r="F329" s="25">
        <f>IF(OR(C329="",C329=0),"",D329/C329)</f>
        <v/>
      </c>
      <c r="G329" s="25">
        <f>IF(C329="","",D329/$L$6)</f>
        <v/>
      </c>
      <c r="H329" s="37">
        <f>IF(OR(F329="",F330=""),"",(E329+E330)/2)</f>
        <v/>
      </c>
      <c r="I329" s="25">
        <f>IF(H329="","",(F330-F329)/(E330-E329))</f>
        <v/>
      </c>
      <c r="P329" s="25">
        <f>IF(($L$5-1)&lt;1,"",IF(326&lt;=($L$5-1),E329,INDEX($E$4:$E$603,($L$5-1))))</f>
        <v/>
      </c>
      <c r="Q329" s="25">
        <f>IF(($L$5-1)&lt;1,"",IF(326&lt;=($L$5-1),F329,INDEX($F$4:$F$603,($L$5-1))))</f>
        <v/>
      </c>
      <c r="R329" s="25">
        <f>IF(($L$5-1)&lt;1,"",IF(326&lt;=($L$5-1),G329,INDEX($G$4:$G$603,($L$5-1))))</f>
        <v/>
      </c>
      <c r="S329" s="25">
        <f>IF(($L$5-2)&lt;1,"",IF(326&lt;=($L$5-2),H329,INDEX($H$4:$H$603,($L$5-2))))</f>
        <v/>
      </c>
      <c r="T329" s="25">
        <f>IF(($L$5-2)&lt;1,"",IF(326&lt;=($L$5-2),I329,INDEX($I$4:$I$603,($L$5-2))))</f>
        <v/>
      </c>
    </row>
    <row r="330">
      <c r="A330" s="43" t="n"/>
      <c r="B330" s="43" t="n"/>
      <c r="C330" s="37">
        <f>IF(OR(A330="",A331=""),"",A331-A330)</f>
        <v/>
      </c>
      <c r="D330" s="37">
        <f>IF(C330="","",B331-B330)</f>
        <v/>
      </c>
      <c r="E330" s="37">
        <f>IF(C330="","",(A330+A331)/2)</f>
        <v/>
      </c>
      <c r="F330" s="25">
        <f>IF(OR(C330="",C330=0),"",D330/C330)</f>
        <v/>
      </c>
      <c r="G330" s="25">
        <f>IF(C330="","",D330/$L$6)</f>
        <v/>
      </c>
      <c r="H330" s="37">
        <f>IF(OR(F330="",F331=""),"",(E330+E331)/2)</f>
        <v/>
      </c>
      <c r="I330" s="25">
        <f>IF(H330="","",(F331-F330)/(E331-E330))</f>
        <v/>
      </c>
      <c r="P330" s="25">
        <f>IF(($L$5-1)&lt;1,"",IF(327&lt;=($L$5-1),E330,INDEX($E$4:$E$603,($L$5-1))))</f>
        <v/>
      </c>
      <c r="Q330" s="25">
        <f>IF(($L$5-1)&lt;1,"",IF(327&lt;=($L$5-1),F330,INDEX($F$4:$F$603,($L$5-1))))</f>
        <v/>
      </c>
      <c r="R330" s="25">
        <f>IF(($L$5-1)&lt;1,"",IF(327&lt;=($L$5-1),G330,INDEX($G$4:$G$603,($L$5-1))))</f>
        <v/>
      </c>
      <c r="S330" s="25">
        <f>IF(($L$5-2)&lt;1,"",IF(327&lt;=($L$5-2),H330,INDEX($H$4:$H$603,($L$5-2))))</f>
        <v/>
      </c>
      <c r="T330" s="25">
        <f>IF(($L$5-2)&lt;1,"",IF(327&lt;=($L$5-2),I330,INDEX($I$4:$I$603,($L$5-2))))</f>
        <v/>
      </c>
    </row>
    <row r="331">
      <c r="A331" s="43" t="n"/>
      <c r="B331" s="43" t="n"/>
      <c r="C331" s="37">
        <f>IF(OR(A331="",A332=""),"",A332-A331)</f>
        <v/>
      </c>
      <c r="D331" s="37">
        <f>IF(C331="","",B332-B331)</f>
        <v/>
      </c>
      <c r="E331" s="37">
        <f>IF(C331="","",(A331+A332)/2)</f>
        <v/>
      </c>
      <c r="F331" s="25">
        <f>IF(OR(C331="",C331=0),"",D331/C331)</f>
        <v/>
      </c>
      <c r="G331" s="25">
        <f>IF(C331="","",D331/$L$6)</f>
        <v/>
      </c>
      <c r="H331" s="37">
        <f>IF(OR(F331="",F332=""),"",(E331+E332)/2)</f>
        <v/>
      </c>
      <c r="I331" s="25">
        <f>IF(H331="","",(F332-F331)/(E332-E331))</f>
        <v/>
      </c>
      <c r="P331" s="25">
        <f>IF(($L$5-1)&lt;1,"",IF(328&lt;=($L$5-1),E331,INDEX($E$4:$E$603,($L$5-1))))</f>
        <v/>
      </c>
      <c r="Q331" s="25">
        <f>IF(($L$5-1)&lt;1,"",IF(328&lt;=($L$5-1),F331,INDEX($F$4:$F$603,($L$5-1))))</f>
        <v/>
      </c>
      <c r="R331" s="25">
        <f>IF(($L$5-1)&lt;1,"",IF(328&lt;=($L$5-1),G331,INDEX($G$4:$G$603,($L$5-1))))</f>
        <v/>
      </c>
      <c r="S331" s="25">
        <f>IF(($L$5-2)&lt;1,"",IF(328&lt;=($L$5-2),H331,INDEX($H$4:$H$603,($L$5-2))))</f>
        <v/>
      </c>
      <c r="T331" s="25">
        <f>IF(($L$5-2)&lt;1,"",IF(328&lt;=($L$5-2),I331,INDEX($I$4:$I$603,($L$5-2))))</f>
        <v/>
      </c>
    </row>
    <row r="332">
      <c r="A332" s="43" t="n"/>
      <c r="B332" s="43" t="n"/>
      <c r="C332" s="37">
        <f>IF(OR(A332="",A333=""),"",A333-A332)</f>
        <v/>
      </c>
      <c r="D332" s="37">
        <f>IF(C332="","",B333-B332)</f>
        <v/>
      </c>
      <c r="E332" s="37">
        <f>IF(C332="","",(A332+A333)/2)</f>
        <v/>
      </c>
      <c r="F332" s="25">
        <f>IF(OR(C332="",C332=0),"",D332/C332)</f>
        <v/>
      </c>
      <c r="G332" s="25">
        <f>IF(C332="","",D332/$L$6)</f>
        <v/>
      </c>
      <c r="H332" s="37">
        <f>IF(OR(F332="",F333=""),"",(E332+E333)/2)</f>
        <v/>
      </c>
      <c r="I332" s="25">
        <f>IF(H332="","",(F333-F332)/(E333-E332))</f>
        <v/>
      </c>
      <c r="P332" s="25">
        <f>IF(($L$5-1)&lt;1,"",IF(329&lt;=($L$5-1),E332,INDEX($E$4:$E$603,($L$5-1))))</f>
        <v/>
      </c>
      <c r="Q332" s="25">
        <f>IF(($L$5-1)&lt;1,"",IF(329&lt;=($L$5-1),F332,INDEX($F$4:$F$603,($L$5-1))))</f>
        <v/>
      </c>
      <c r="R332" s="25">
        <f>IF(($L$5-1)&lt;1,"",IF(329&lt;=($L$5-1),G332,INDEX($G$4:$G$603,($L$5-1))))</f>
        <v/>
      </c>
      <c r="S332" s="25">
        <f>IF(($L$5-2)&lt;1,"",IF(329&lt;=($L$5-2),H332,INDEX($H$4:$H$603,($L$5-2))))</f>
        <v/>
      </c>
      <c r="T332" s="25">
        <f>IF(($L$5-2)&lt;1,"",IF(329&lt;=($L$5-2),I332,INDEX($I$4:$I$603,($L$5-2))))</f>
        <v/>
      </c>
    </row>
    <row r="333">
      <c r="A333" s="43" t="n"/>
      <c r="B333" s="43" t="n"/>
      <c r="C333" s="37">
        <f>IF(OR(A333="",A334=""),"",A334-A333)</f>
        <v/>
      </c>
      <c r="D333" s="37">
        <f>IF(C333="","",B334-B333)</f>
        <v/>
      </c>
      <c r="E333" s="37">
        <f>IF(C333="","",(A333+A334)/2)</f>
        <v/>
      </c>
      <c r="F333" s="25">
        <f>IF(OR(C333="",C333=0),"",D333/C333)</f>
        <v/>
      </c>
      <c r="G333" s="25">
        <f>IF(C333="","",D333/$L$6)</f>
        <v/>
      </c>
      <c r="H333" s="37">
        <f>IF(OR(F333="",F334=""),"",(E333+E334)/2)</f>
        <v/>
      </c>
      <c r="I333" s="25">
        <f>IF(H333="","",(F334-F333)/(E334-E333))</f>
        <v/>
      </c>
      <c r="P333" s="25">
        <f>IF(($L$5-1)&lt;1,"",IF(330&lt;=($L$5-1),E333,INDEX($E$4:$E$603,($L$5-1))))</f>
        <v/>
      </c>
      <c r="Q333" s="25">
        <f>IF(($L$5-1)&lt;1,"",IF(330&lt;=($L$5-1),F333,INDEX($F$4:$F$603,($L$5-1))))</f>
        <v/>
      </c>
      <c r="R333" s="25">
        <f>IF(($L$5-1)&lt;1,"",IF(330&lt;=($L$5-1),G333,INDEX($G$4:$G$603,($L$5-1))))</f>
        <v/>
      </c>
      <c r="S333" s="25">
        <f>IF(($L$5-2)&lt;1,"",IF(330&lt;=($L$5-2),H333,INDEX($H$4:$H$603,($L$5-2))))</f>
        <v/>
      </c>
      <c r="T333" s="25">
        <f>IF(($L$5-2)&lt;1,"",IF(330&lt;=($L$5-2),I333,INDEX($I$4:$I$603,($L$5-2))))</f>
        <v/>
      </c>
    </row>
    <row r="334">
      <c r="A334" s="43" t="n"/>
      <c r="B334" s="43" t="n"/>
      <c r="C334" s="37">
        <f>IF(OR(A334="",A335=""),"",A335-A334)</f>
        <v/>
      </c>
      <c r="D334" s="37">
        <f>IF(C334="","",B335-B334)</f>
        <v/>
      </c>
      <c r="E334" s="37">
        <f>IF(C334="","",(A334+A335)/2)</f>
        <v/>
      </c>
      <c r="F334" s="25">
        <f>IF(OR(C334="",C334=0),"",D334/C334)</f>
        <v/>
      </c>
      <c r="G334" s="25">
        <f>IF(C334="","",D334/$L$6)</f>
        <v/>
      </c>
      <c r="H334" s="37">
        <f>IF(OR(F334="",F335=""),"",(E334+E335)/2)</f>
        <v/>
      </c>
      <c r="I334" s="25">
        <f>IF(H334="","",(F335-F334)/(E335-E334))</f>
        <v/>
      </c>
      <c r="P334" s="25">
        <f>IF(($L$5-1)&lt;1,"",IF(331&lt;=($L$5-1),E334,INDEX($E$4:$E$603,($L$5-1))))</f>
        <v/>
      </c>
      <c r="Q334" s="25">
        <f>IF(($L$5-1)&lt;1,"",IF(331&lt;=($L$5-1),F334,INDEX($F$4:$F$603,($L$5-1))))</f>
        <v/>
      </c>
      <c r="R334" s="25">
        <f>IF(($L$5-1)&lt;1,"",IF(331&lt;=($L$5-1),G334,INDEX($G$4:$G$603,($L$5-1))))</f>
        <v/>
      </c>
      <c r="S334" s="25">
        <f>IF(($L$5-2)&lt;1,"",IF(331&lt;=($L$5-2),H334,INDEX($H$4:$H$603,($L$5-2))))</f>
        <v/>
      </c>
      <c r="T334" s="25">
        <f>IF(($L$5-2)&lt;1,"",IF(331&lt;=($L$5-2),I334,INDEX($I$4:$I$603,($L$5-2))))</f>
        <v/>
      </c>
    </row>
    <row r="335">
      <c r="A335" s="43" t="n"/>
      <c r="B335" s="43" t="n"/>
      <c r="C335" s="37">
        <f>IF(OR(A335="",A336=""),"",A336-A335)</f>
        <v/>
      </c>
      <c r="D335" s="37">
        <f>IF(C335="","",B336-B335)</f>
        <v/>
      </c>
      <c r="E335" s="37">
        <f>IF(C335="","",(A335+A336)/2)</f>
        <v/>
      </c>
      <c r="F335" s="25">
        <f>IF(OR(C335="",C335=0),"",D335/C335)</f>
        <v/>
      </c>
      <c r="G335" s="25">
        <f>IF(C335="","",D335/$L$6)</f>
        <v/>
      </c>
      <c r="H335" s="37">
        <f>IF(OR(F335="",F336=""),"",(E335+E336)/2)</f>
        <v/>
      </c>
      <c r="I335" s="25">
        <f>IF(H335="","",(F336-F335)/(E336-E335))</f>
        <v/>
      </c>
      <c r="P335" s="25">
        <f>IF(($L$5-1)&lt;1,"",IF(332&lt;=($L$5-1),E335,INDEX($E$4:$E$603,($L$5-1))))</f>
        <v/>
      </c>
      <c r="Q335" s="25">
        <f>IF(($L$5-1)&lt;1,"",IF(332&lt;=($L$5-1),F335,INDEX($F$4:$F$603,($L$5-1))))</f>
        <v/>
      </c>
      <c r="R335" s="25">
        <f>IF(($L$5-1)&lt;1,"",IF(332&lt;=($L$5-1),G335,INDEX($G$4:$G$603,($L$5-1))))</f>
        <v/>
      </c>
      <c r="S335" s="25">
        <f>IF(($L$5-2)&lt;1,"",IF(332&lt;=($L$5-2),H335,INDEX($H$4:$H$603,($L$5-2))))</f>
        <v/>
      </c>
      <c r="T335" s="25">
        <f>IF(($L$5-2)&lt;1,"",IF(332&lt;=($L$5-2),I335,INDEX($I$4:$I$603,($L$5-2))))</f>
        <v/>
      </c>
    </row>
    <row r="336">
      <c r="A336" s="43" t="n"/>
      <c r="B336" s="43" t="n"/>
      <c r="C336" s="37">
        <f>IF(OR(A336="",A337=""),"",A337-A336)</f>
        <v/>
      </c>
      <c r="D336" s="37">
        <f>IF(C336="","",B337-B336)</f>
        <v/>
      </c>
      <c r="E336" s="37">
        <f>IF(C336="","",(A336+A337)/2)</f>
        <v/>
      </c>
      <c r="F336" s="25">
        <f>IF(OR(C336="",C336=0),"",D336/C336)</f>
        <v/>
      </c>
      <c r="G336" s="25">
        <f>IF(C336="","",D336/$L$6)</f>
        <v/>
      </c>
      <c r="H336" s="37">
        <f>IF(OR(F336="",F337=""),"",(E336+E337)/2)</f>
        <v/>
      </c>
      <c r="I336" s="25">
        <f>IF(H336="","",(F337-F336)/(E337-E336))</f>
        <v/>
      </c>
      <c r="P336" s="25">
        <f>IF(($L$5-1)&lt;1,"",IF(333&lt;=($L$5-1),E336,INDEX($E$4:$E$603,($L$5-1))))</f>
        <v/>
      </c>
      <c r="Q336" s="25">
        <f>IF(($L$5-1)&lt;1,"",IF(333&lt;=($L$5-1),F336,INDEX($F$4:$F$603,($L$5-1))))</f>
        <v/>
      </c>
      <c r="R336" s="25">
        <f>IF(($L$5-1)&lt;1,"",IF(333&lt;=($L$5-1),G336,INDEX($G$4:$G$603,($L$5-1))))</f>
        <v/>
      </c>
      <c r="S336" s="25">
        <f>IF(($L$5-2)&lt;1,"",IF(333&lt;=($L$5-2),H336,INDEX($H$4:$H$603,($L$5-2))))</f>
        <v/>
      </c>
      <c r="T336" s="25">
        <f>IF(($L$5-2)&lt;1,"",IF(333&lt;=($L$5-2),I336,INDEX($I$4:$I$603,($L$5-2))))</f>
        <v/>
      </c>
    </row>
    <row r="337">
      <c r="A337" s="43" t="n"/>
      <c r="B337" s="43" t="n"/>
      <c r="C337" s="37">
        <f>IF(OR(A337="",A338=""),"",A338-A337)</f>
        <v/>
      </c>
      <c r="D337" s="37">
        <f>IF(C337="","",B338-B337)</f>
        <v/>
      </c>
      <c r="E337" s="37">
        <f>IF(C337="","",(A337+A338)/2)</f>
        <v/>
      </c>
      <c r="F337" s="25">
        <f>IF(OR(C337="",C337=0),"",D337/C337)</f>
        <v/>
      </c>
      <c r="G337" s="25">
        <f>IF(C337="","",D337/$L$6)</f>
        <v/>
      </c>
      <c r="H337" s="37">
        <f>IF(OR(F337="",F338=""),"",(E337+E338)/2)</f>
        <v/>
      </c>
      <c r="I337" s="25">
        <f>IF(H337="","",(F338-F337)/(E338-E337))</f>
        <v/>
      </c>
      <c r="P337" s="25">
        <f>IF(($L$5-1)&lt;1,"",IF(334&lt;=($L$5-1),E337,INDEX($E$4:$E$603,($L$5-1))))</f>
        <v/>
      </c>
      <c r="Q337" s="25">
        <f>IF(($L$5-1)&lt;1,"",IF(334&lt;=($L$5-1),F337,INDEX($F$4:$F$603,($L$5-1))))</f>
        <v/>
      </c>
      <c r="R337" s="25">
        <f>IF(($L$5-1)&lt;1,"",IF(334&lt;=($L$5-1),G337,INDEX($G$4:$G$603,($L$5-1))))</f>
        <v/>
      </c>
      <c r="S337" s="25">
        <f>IF(($L$5-2)&lt;1,"",IF(334&lt;=($L$5-2),H337,INDEX($H$4:$H$603,($L$5-2))))</f>
        <v/>
      </c>
      <c r="T337" s="25">
        <f>IF(($L$5-2)&lt;1,"",IF(334&lt;=($L$5-2),I337,INDEX($I$4:$I$603,($L$5-2))))</f>
        <v/>
      </c>
    </row>
    <row r="338">
      <c r="A338" s="43" t="n"/>
      <c r="B338" s="43" t="n"/>
      <c r="C338" s="37">
        <f>IF(OR(A338="",A339=""),"",A339-A338)</f>
        <v/>
      </c>
      <c r="D338" s="37">
        <f>IF(C338="","",B339-B338)</f>
        <v/>
      </c>
      <c r="E338" s="37">
        <f>IF(C338="","",(A338+A339)/2)</f>
        <v/>
      </c>
      <c r="F338" s="25">
        <f>IF(OR(C338="",C338=0),"",D338/C338)</f>
        <v/>
      </c>
      <c r="G338" s="25">
        <f>IF(C338="","",D338/$L$6)</f>
        <v/>
      </c>
      <c r="H338" s="37">
        <f>IF(OR(F338="",F339=""),"",(E338+E339)/2)</f>
        <v/>
      </c>
      <c r="I338" s="25">
        <f>IF(H338="","",(F339-F338)/(E339-E338))</f>
        <v/>
      </c>
      <c r="P338" s="25">
        <f>IF(($L$5-1)&lt;1,"",IF(335&lt;=($L$5-1),E338,INDEX($E$4:$E$603,($L$5-1))))</f>
        <v/>
      </c>
      <c r="Q338" s="25">
        <f>IF(($L$5-1)&lt;1,"",IF(335&lt;=($L$5-1),F338,INDEX($F$4:$F$603,($L$5-1))))</f>
        <v/>
      </c>
      <c r="R338" s="25">
        <f>IF(($L$5-1)&lt;1,"",IF(335&lt;=($L$5-1),G338,INDEX($G$4:$G$603,($L$5-1))))</f>
        <v/>
      </c>
      <c r="S338" s="25">
        <f>IF(($L$5-2)&lt;1,"",IF(335&lt;=($L$5-2),H338,INDEX($H$4:$H$603,($L$5-2))))</f>
        <v/>
      </c>
      <c r="T338" s="25">
        <f>IF(($L$5-2)&lt;1,"",IF(335&lt;=($L$5-2),I338,INDEX($I$4:$I$603,($L$5-2))))</f>
        <v/>
      </c>
    </row>
    <row r="339">
      <c r="A339" s="43" t="n"/>
      <c r="B339" s="43" t="n"/>
      <c r="C339" s="37">
        <f>IF(OR(A339="",A340=""),"",A340-A339)</f>
        <v/>
      </c>
      <c r="D339" s="37">
        <f>IF(C339="","",B340-B339)</f>
        <v/>
      </c>
      <c r="E339" s="37">
        <f>IF(C339="","",(A339+A340)/2)</f>
        <v/>
      </c>
      <c r="F339" s="25">
        <f>IF(OR(C339="",C339=0),"",D339/C339)</f>
        <v/>
      </c>
      <c r="G339" s="25">
        <f>IF(C339="","",D339/$L$6)</f>
        <v/>
      </c>
      <c r="H339" s="37">
        <f>IF(OR(F339="",F340=""),"",(E339+E340)/2)</f>
        <v/>
      </c>
      <c r="I339" s="25">
        <f>IF(H339="","",(F340-F339)/(E340-E339))</f>
        <v/>
      </c>
      <c r="P339" s="25">
        <f>IF(($L$5-1)&lt;1,"",IF(336&lt;=($L$5-1),E339,INDEX($E$4:$E$603,($L$5-1))))</f>
        <v/>
      </c>
      <c r="Q339" s="25">
        <f>IF(($L$5-1)&lt;1,"",IF(336&lt;=($L$5-1),F339,INDEX($F$4:$F$603,($L$5-1))))</f>
        <v/>
      </c>
      <c r="R339" s="25">
        <f>IF(($L$5-1)&lt;1,"",IF(336&lt;=($L$5-1),G339,INDEX($G$4:$G$603,($L$5-1))))</f>
        <v/>
      </c>
      <c r="S339" s="25">
        <f>IF(($L$5-2)&lt;1,"",IF(336&lt;=($L$5-2),H339,INDEX($H$4:$H$603,($L$5-2))))</f>
        <v/>
      </c>
      <c r="T339" s="25">
        <f>IF(($L$5-2)&lt;1,"",IF(336&lt;=($L$5-2),I339,INDEX($I$4:$I$603,($L$5-2))))</f>
        <v/>
      </c>
    </row>
    <row r="340">
      <c r="A340" s="43" t="n"/>
      <c r="B340" s="43" t="n"/>
      <c r="C340" s="37">
        <f>IF(OR(A340="",A341=""),"",A341-A340)</f>
        <v/>
      </c>
      <c r="D340" s="37">
        <f>IF(C340="","",B341-B340)</f>
        <v/>
      </c>
      <c r="E340" s="37">
        <f>IF(C340="","",(A340+A341)/2)</f>
        <v/>
      </c>
      <c r="F340" s="25">
        <f>IF(OR(C340="",C340=0),"",D340/C340)</f>
        <v/>
      </c>
      <c r="G340" s="25">
        <f>IF(C340="","",D340/$L$6)</f>
        <v/>
      </c>
      <c r="H340" s="37">
        <f>IF(OR(F340="",F341=""),"",(E340+E341)/2)</f>
        <v/>
      </c>
      <c r="I340" s="25">
        <f>IF(H340="","",(F341-F340)/(E341-E340))</f>
        <v/>
      </c>
      <c r="P340" s="25">
        <f>IF(($L$5-1)&lt;1,"",IF(337&lt;=($L$5-1),E340,INDEX($E$4:$E$603,($L$5-1))))</f>
        <v/>
      </c>
      <c r="Q340" s="25">
        <f>IF(($L$5-1)&lt;1,"",IF(337&lt;=($L$5-1),F340,INDEX($F$4:$F$603,($L$5-1))))</f>
        <v/>
      </c>
      <c r="R340" s="25">
        <f>IF(($L$5-1)&lt;1,"",IF(337&lt;=($L$5-1),G340,INDEX($G$4:$G$603,($L$5-1))))</f>
        <v/>
      </c>
      <c r="S340" s="25">
        <f>IF(($L$5-2)&lt;1,"",IF(337&lt;=($L$5-2),H340,INDEX($H$4:$H$603,($L$5-2))))</f>
        <v/>
      </c>
      <c r="T340" s="25">
        <f>IF(($L$5-2)&lt;1,"",IF(337&lt;=($L$5-2),I340,INDEX($I$4:$I$603,($L$5-2))))</f>
        <v/>
      </c>
    </row>
    <row r="341">
      <c r="A341" s="43" t="n"/>
      <c r="B341" s="43" t="n"/>
      <c r="C341" s="37">
        <f>IF(OR(A341="",A342=""),"",A342-A341)</f>
        <v/>
      </c>
      <c r="D341" s="37">
        <f>IF(C341="","",B342-B341)</f>
        <v/>
      </c>
      <c r="E341" s="37">
        <f>IF(C341="","",(A341+A342)/2)</f>
        <v/>
      </c>
      <c r="F341" s="25">
        <f>IF(OR(C341="",C341=0),"",D341/C341)</f>
        <v/>
      </c>
      <c r="G341" s="25">
        <f>IF(C341="","",D341/$L$6)</f>
        <v/>
      </c>
      <c r="H341" s="37">
        <f>IF(OR(F341="",F342=""),"",(E341+E342)/2)</f>
        <v/>
      </c>
      <c r="I341" s="25">
        <f>IF(H341="","",(F342-F341)/(E342-E341))</f>
        <v/>
      </c>
      <c r="P341" s="25">
        <f>IF(($L$5-1)&lt;1,"",IF(338&lt;=($L$5-1),E341,INDEX($E$4:$E$603,($L$5-1))))</f>
        <v/>
      </c>
      <c r="Q341" s="25">
        <f>IF(($L$5-1)&lt;1,"",IF(338&lt;=($L$5-1),F341,INDEX($F$4:$F$603,($L$5-1))))</f>
        <v/>
      </c>
      <c r="R341" s="25">
        <f>IF(($L$5-1)&lt;1,"",IF(338&lt;=($L$5-1),G341,INDEX($G$4:$G$603,($L$5-1))))</f>
        <v/>
      </c>
      <c r="S341" s="25">
        <f>IF(($L$5-2)&lt;1,"",IF(338&lt;=($L$5-2),H341,INDEX($H$4:$H$603,($L$5-2))))</f>
        <v/>
      </c>
      <c r="T341" s="25">
        <f>IF(($L$5-2)&lt;1,"",IF(338&lt;=($L$5-2),I341,INDEX($I$4:$I$603,($L$5-2))))</f>
        <v/>
      </c>
    </row>
    <row r="342">
      <c r="A342" s="43" t="n"/>
      <c r="B342" s="43" t="n"/>
      <c r="C342" s="37">
        <f>IF(OR(A342="",A343=""),"",A343-A342)</f>
        <v/>
      </c>
      <c r="D342" s="37">
        <f>IF(C342="","",B343-B342)</f>
        <v/>
      </c>
      <c r="E342" s="37">
        <f>IF(C342="","",(A342+A343)/2)</f>
        <v/>
      </c>
      <c r="F342" s="25">
        <f>IF(OR(C342="",C342=0),"",D342/C342)</f>
        <v/>
      </c>
      <c r="G342" s="25">
        <f>IF(C342="","",D342/$L$6)</f>
        <v/>
      </c>
      <c r="H342" s="37">
        <f>IF(OR(F342="",F343=""),"",(E342+E343)/2)</f>
        <v/>
      </c>
      <c r="I342" s="25">
        <f>IF(H342="","",(F343-F342)/(E343-E342))</f>
        <v/>
      </c>
      <c r="P342" s="25">
        <f>IF(($L$5-1)&lt;1,"",IF(339&lt;=($L$5-1),E342,INDEX($E$4:$E$603,($L$5-1))))</f>
        <v/>
      </c>
      <c r="Q342" s="25">
        <f>IF(($L$5-1)&lt;1,"",IF(339&lt;=($L$5-1),F342,INDEX($F$4:$F$603,($L$5-1))))</f>
        <v/>
      </c>
      <c r="R342" s="25">
        <f>IF(($L$5-1)&lt;1,"",IF(339&lt;=($L$5-1),G342,INDEX($G$4:$G$603,($L$5-1))))</f>
        <v/>
      </c>
      <c r="S342" s="25">
        <f>IF(($L$5-2)&lt;1,"",IF(339&lt;=($L$5-2),H342,INDEX($H$4:$H$603,($L$5-2))))</f>
        <v/>
      </c>
      <c r="T342" s="25">
        <f>IF(($L$5-2)&lt;1,"",IF(339&lt;=($L$5-2),I342,INDEX($I$4:$I$603,($L$5-2))))</f>
        <v/>
      </c>
    </row>
    <row r="343">
      <c r="A343" s="43" t="n"/>
      <c r="B343" s="43" t="n"/>
      <c r="C343" s="37">
        <f>IF(OR(A343="",A344=""),"",A344-A343)</f>
        <v/>
      </c>
      <c r="D343" s="37">
        <f>IF(C343="","",B344-B343)</f>
        <v/>
      </c>
      <c r="E343" s="37">
        <f>IF(C343="","",(A343+A344)/2)</f>
        <v/>
      </c>
      <c r="F343" s="25">
        <f>IF(OR(C343="",C343=0),"",D343/C343)</f>
        <v/>
      </c>
      <c r="G343" s="25">
        <f>IF(C343="","",D343/$L$6)</f>
        <v/>
      </c>
      <c r="H343" s="37">
        <f>IF(OR(F343="",F344=""),"",(E343+E344)/2)</f>
        <v/>
      </c>
      <c r="I343" s="25">
        <f>IF(H343="","",(F344-F343)/(E344-E343))</f>
        <v/>
      </c>
      <c r="P343" s="25">
        <f>IF(($L$5-1)&lt;1,"",IF(340&lt;=($L$5-1),E343,INDEX($E$4:$E$603,($L$5-1))))</f>
        <v/>
      </c>
      <c r="Q343" s="25">
        <f>IF(($L$5-1)&lt;1,"",IF(340&lt;=($L$5-1),F343,INDEX($F$4:$F$603,($L$5-1))))</f>
        <v/>
      </c>
      <c r="R343" s="25">
        <f>IF(($L$5-1)&lt;1,"",IF(340&lt;=($L$5-1),G343,INDEX($G$4:$G$603,($L$5-1))))</f>
        <v/>
      </c>
      <c r="S343" s="25">
        <f>IF(($L$5-2)&lt;1,"",IF(340&lt;=($L$5-2),H343,INDEX($H$4:$H$603,($L$5-2))))</f>
        <v/>
      </c>
      <c r="T343" s="25">
        <f>IF(($L$5-2)&lt;1,"",IF(340&lt;=($L$5-2),I343,INDEX($I$4:$I$603,($L$5-2))))</f>
        <v/>
      </c>
    </row>
    <row r="344">
      <c r="A344" s="43" t="n"/>
      <c r="B344" s="43" t="n"/>
      <c r="C344" s="37">
        <f>IF(OR(A344="",A345=""),"",A345-A344)</f>
        <v/>
      </c>
      <c r="D344" s="37">
        <f>IF(C344="","",B345-B344)</f>
        <v/>
      </c>
      <c r="E344" s="37">
        <f>IF(C344="","",(A344+A345)/2)</f>
        <v/>
      </c>
      <c r="F344" s="25">
        <f>IF(OR(C344="",C344=0),"",D344/C344)</f>
        <v/>
      </c>
      <c r="G344" s="25">
        <f>IF(C344="","",D344/$L$6)</f>
        <v/>
      </c>
      <c r="H344" s="37">
        <f>IF(OR(F344="",F345=""),"",(E344+E345)/2)</f>
        <v/>
      </c>
      <c r="I344" s="25">
        <f>IF(H344="","",(F345-F344)/(E345-E344))</f>
        <v/>
      </c>
      <c r="P344" s="25">
        <f>IF(($L$5-1)&lt;1,"",IF(341&lt;=($L$5-1),E344,INDEX($E$4:$E$603,($L$5-1))))</f>
        <v/>
      </c>
      <c r="Q344" s="25">
        <f>IF(($L$5-1)&lt;1,"",IF(341&lt;=($L$5-1),F344,INDEX($F$4:$F$603,($L$5-1))))</f>
        <v/>
      </c>
      <c r="R344" s="25">
        <f>IF(($L$5-1)&lt;1,"",IF(341&lt;=($L$5-1),G344,INDEX($G$4:$G$603,($L$5-1))))</f>
        <v/>
      </c>
      <c r="S344" s="25">
        <f>IF(($L$5-2)&lt;1,"",IF(341&lt;=($L$5-2),H344,INDEX($H$4:$H$603,($L$5-2))))</f>
        <v/>
      </c>
      <c r="T344" s="25">
        <f>IF(($L$5-2)&lt;1,"",IF(341&lt;=($L$5-2),I344,INDEX($I$4:$I$603,($L$5-2))))</f>
        <v/>
      </c>
    </row>
    <row r="345">
      <c r="A345" s="43" t="n"/>
      <c r="B345" s="43" t="n"/>
      <c r="C345" s="37">
        <f>IF(OR(A345="",A346=""),"",A346-A345)</f>
        <v/>
      </c>
      <c r="D345" s="37">
        <f>IF(C345="","",B346-B345)</f>
        <v/>
      </c>
      <c r="E345" s="37">
        <f>IF(C345="","",(A345+A346)/2)</f>
        <v/>
      </c>
      <c r="F345" s="25">
        <f>IF(OR(C345="",C345=0),"",D345/C345)</f>
        <v/>
      </c>
      <c r="G345" s="25">
        <f>IF(C345="","",D345/$L$6)</f>
        <v/>
      </c>
      <c r="H345" s="37">
        <f>IF(OR(F345="",F346=""),"",(E345+E346)/2)</f>
        <v/>
      </c>
      <c r="I345" s="25">
        <f>IF(H345="","",(F346-F345)/(E346-E345))</f>
        <v/>
      </c>
      <c r="P345" s="25">
        <f>IF(($L$5-1)&lt;1,"",IF(342&lt;=($L$5-1),E345,INDEX($E$4:$E$603,($L$5-1))))</f>
        <v/>
      </c>
      <c r="Q345" s="25">
        <f>IF(($L$5-1)&lt;1,"",IF(342&lt;=($L$5-1),F345,INDEX($F$4:$F$603,($L$5-1))))</f>
        <v/>
      </c>
      <c r="R345" s="25">
        <f>IF(($L$5-1)&lt;1,"",IF(342&lt;=($L$5-1),G345,INDEX($G$4:$G$603,($L$5-1))))</f>
        <v/>
      </c>
      <c r="S345" s="25">
        <f>IF(($L$5-2)&lt;1,"",IF(342&lt;=($L$5-2),H345,INDEX($H$4:$H$603,($L$5-2))))</f>
        <v/>
      </c>
      <c r="T345" s="25">
        <f>IF(($L$5-2)&lt;1,"",IF(342&lt;=($L$5-2),I345,INDEX($I$4:$I$603,($L$5-2))))</f>
        <v/>
      </c>
    </row>
    <row r="346">
      <c r="A346" s="43" t="n"/>
      <c r="B346" s="43" t="n"/>
      <c r="C346" s="37">
        <f>IF(OR(A346="",A347=""),"",A347-A346)</f>
        <v/>
      </c>
      <c r="D346" s="37">
        <f>IF(C346="","",B347-B346)</f>
        <v/>
      </c>
      <c r="E346" s="37">
        <f>IF(C346="","",(A346+A347)/2)</f>
        <v/>
      </c>
      <c r="F346" s="25">
        <f>IF(OR(C346="",C346=0),"",D346/C346)</f>
        <v/>
      </c>
      <c r="G346" s="25">
        <f>IF(C346="","",D346/$L$6)</f>
        <v/>
      </c>
      <c r="H346" s="37">
        <f>IF(OR(F346="",F347=""),"",(E346+E347)/2)</f>
        <v/>
      </c>
      <c r="I346" s="25">
        <f>IF(H346="","",(F347-F346)/(E347-E346))</f>
        <v/>
      </c>
      <c r="P346" s="25">
        <f>IF(($L$5-1)&lt;1,"",IF(343&lt;=($L$5-1),E346,INDEX($E$4:$E$603,($L$5-1))))</f>
        <v/>
      </c>
      <c r="Q346" s="25">
        <f>IF(($L$5-1)&lt;1,"",IF(343&lt;=($L$5-1),F346,INDEX($F$4:$F$603,($L$5-1))))</f>
        <v/>
      </c>
      <c r="R346" s="25">
        <f>IF(($L$5-1)&lt;1,"",IF(343&lt;=($L$5-1),G346,INDEX($G$4:$G$603,($L$5-1))))</f>
        <v/>
      </c>
      <c r="S346" s="25">
        <f>IF(($L$5-2)&lt;1,"",IF(343&lt;=($L$5-2),H346,INDEX($H$4:$H$603,($L$5-2))))</f>
        <v/>
      </c>
      <c r="T346" s="25">
        <f>IF(($L$5-2)&lt;1,"",IF(343&lt;=($L$5-2),I346,INDEX($I$4:$I$603,($L$5-2))))</f>
        <v/>
      </c>
    </row>
    <row r="347">
      <c r="A347" s="43" t="n"/>
      <c r="B347" s="43" t="n"/>
      <c r="C347" s="37">
        <f>IF(OR(A347="",A348=""),"",A348-A347)</f>
        <v/>
      </c>
      <c r="D347" s="37">
        <f>IF(C347="","",B348-B347)</f>
        <v/>
      </c>
      <c r="E347" s="37">
        <f>IF(C347="","",(A347+A348)/2)</f>
        <v/>
      </c>
      <c r="F347" s="25">
        <f>IF(OR(C347="",C347=0),"",D347/C347)</f>
        <v/>
      </c>
      <c r="G347" s="25">
        <f>IF(C347="","",D347/$L$6)</f>
        <v/>
      </c>
      <c r="H347" s="37">
        <f>IF(OR(F347="",F348=""),"",(E347+E348)/2)</f>
        <v/>
      </c>
      <c r="I347" s="25">
        <f>IF(H347="","",(F348-F347)/(E348-E347))</f>
        <v/>
      </c>
      <c r="P347" s="25">
        <f>IF(($L$5-1)&lt;1,"",IF(344&lt;=($L$5-1),E347,INDEX($E$4:$E$603,($L$5-1))))</f>
        <v/>
      </c>
      <c r="Q347" s="25">
        <f>IF(($L$5-1)&lt;1,"",IF(344&lt;=($L$5-1),F347,INDEX($F$4:$F$603,($L$5-1))))</f>
        <v/>
      </c>
      <c r="R347" s="25">
        <f>IF(($L$5-1)&lt;1,"",IF(344&lt;=($L$5-1),G347,INDEX($G$4:$G$603,($L$5-1))))</f>
        <v/>
      </c>
      <c r="S347" s="25">
        <f>IF(($L$5-2)&lt;1,"",IF(344&lt;=($L$5-2),H347,INDEX($H$4:$H$603,($L$5-2))))</f>
        <v/>
      </c>
      <c r="T347" s="25">
        <f>IF(($L$5-2)&lt;1,"",IF(344&lt;=($L$5-2),I347,INDEX($I$4:$I$603,($L$5-2))))</f>
        <v/>
      </c>
    </row>
    <row r="348">
      <c r="A348" s="43" t="n"/>
      <c r="B348" s="43" t="n"/>
      <c r="C348" s="37">
        <f>IF(OR(A348="",A349=""),"",A349-A348)</f>
        <v/>
      </c>
      <c r="D348" s="37">
        <f>IF(C348="","",B349-B348)</f>
        <v/>
      </c>
      <c r="E348" s="37">
        <f>IF(C348="","",(A348+A349)/2)</f>
        <v/>
      </c>
      <c r="F348" s="25">
        <f>IF(OR(C348="",C348=0),"",D348/C348)</f>
        <v/>
      </c>
      <c r="G348" s="25">
        <f>IF(C348="","",D348/$L$6)</f>
        <v/>
      </c>
      <c r="H348" s="37">
        <f>IF(OR(F348="",F349=""),"",(E348+E349)/2)</f>
        <v/>
      </c>
      <c r="I348" s="25">
        <f>IF(H348="","",(F349-F348)/(E349-E348))</f>
        <v/>
      </c>
      <c r="P348" s="25">
        <f>IF(($L$5-1)&lt;1,"",IF(345&lt;=($L$5-1),E348,INDEX($E$4:$E$603,($L$5-1))))</f>
        <v/>
      </c>
      <c r="Q348" s="25">
        <f>IF(($L$5-1)&lt;1,"",IF(345&lt;=($L$5-1),F348,INDEX($F$4:$F$603,($L$5-1))))</f>
        <v/>
      </c>
      <c r="R348" s="25">
        <f>IF(($L$5-1)&lt;1,"",IF(345&lt;=($L$5-1),G348,INDEX($G$4:$G$603,($L$5-1))))</f>
        <v/>
      </c>
      <c r="S348" s="25">
        <f>IF(($L$5-2)&lt;1,"",IF(345&lt;=($L$5-2),H348,INDEX($H$4:$H$603,($L$5-2))))</f>
        <v/>
      </c>
      <c r="T348" s="25">
        <f>IF(($L$5-2)&lt;1,"",IF(345&lt;=($L$5-2),I348,INDEX($I$4:$I$603,($L$5-2))))</f>
        <v/>
      </c>
    </row>
    <row r="349">
      <c r="A349" s="43" t="n"/>
      <c r="B349" s="43" t="n"/>
      <c r="C349" s="37">
        <f>IF(OR(A349="",A350=""),"",A350-A349)</f>
        <v/>
      </c>
      <c r="D349" s="37">
        <f>IF(C349="","",B350-B349)</f>
        <v/>
      </c>
      <c r="E349" s="37">
        <f>IF(C349="","",(A349+A350)/2)</f>
        <v/>
      </c>
      <c r="F349" s="25">
        <f>IF(OR(C349="",C349=0),"",D349/C349)</f>
        <v/>
      </c>
      <c r="G349" s="25">
        <f>IF(C349="","",D349/$L$6)</f>
        <v/>
      </c>
      <c r="H349" s="37">
        <f>IF(OR(F349="",F350=""),"",(E349+E350)/2)</f>
        <v/>
      </c>
      <c r="I349" s="25">
        <f>IF(H349="","",(F350-F349)/(E350-E349))</f>
        <v/>
      </c>
      <c r="P349" s="25">
        <f>IF(($L$5-1)&lt;1,"",IF(346&lt;=($L$5-1),E349,INDEX($E$4:$E$603,($L$5-1))))</f>
        <v/>
      </c>
      <c r="Q349" s="25">
        <f>IF(($L$5-1)&lt;1,"",IF(346&lt;=($L$5-1),F349,INDEX($F$4:$F$603,($L$5-1))))</f>
        <v/>
      </c>
      <c r="R349" s="25">
        <f>IF(($L$5-1)&lt;1,"",IF(346&lt;=($L$5-1),G349,INDEX($G$4:$G$603,($L$5-1))))</f>
        <v/>
      </c>
      <c r="S349" s="25">
        <f>IF(($L$5-2)&lt;1,"",IF(346&lt;=($L$5-2),H349,INDEX($H$4:$H$603,($L$5-2))))</f>
        <v/>
      </c>
      <c r="T349" s="25">
        <f>IF(($L$5-2)&lt;1,"",IF(346&lt;=($L$5-2),I349,INDEX($I$4:$I$603,($L$5-2))))</f>
        <v/>
      </c>
    </row>
    <row r="350">
      <c r="A350" s="43" t="n"/>
      <c r="B350" s="43" t="n"/>
      <c r="C350" s="37">
        <f>IF(OR(A350="",A351=""),"",A351-A350)</f>
        <v/>
      </c>
      <c r="D350" s="37">
        <f>IF(C350="","",B351-B350)</f>
        <v/>
      </c>
      <c r="E350" s="37">
        <f>IF(C350="","",(A350+A351)/2)</f>
        <v/>
      </c>
      <c r="F350" s="25">
        <f>IF(OR(C350="",C350=0),"",D350/C350)</f>
        <v/>
      </c>
      <c r="G350" s="25">
        <f>IF(C350="","",D350/$L$6)</f>
        <v/>
      </c>
      <c r="H350" s="37">
        <f>IF(OR(F350="",F351=""),"",(E350+E351)/2)</f>
        <v/>
      </c>
      <c r="I350" s="25">
        <f>IF(H350="","",(F351-F350)/(E351-E350))</f>
        <v/>
      </c>
      <c r="P350" s="25">
        <f>IF(($L$5-1)&lt;1,"",IF(347&lt;=($L$5-1),E350,INDEX($E$4:$E$603,($L$5-1))))</f>
        <v/>
      </c>
      <c r="Q350" s="25">
        <f>IF(($L$5-1)&lt;1,"",IF(347&lt;=($L$5-1),F350,INDEX($F$4:$F$603,($L$5-1))))</f>
        <v/>
      </c>
      <c r="R350" s="25">
        <f>IF(($L$5-1)&lt;1,"",IF(347&lt;=($L$5-1),G350,INDEX($G$4:$G$603,($L$5-1))))</f>
        <v/>
      </c>
      <c r="S350" s="25">
        <f>IF(($L$5-2)&lt;1,"",IF(347&lt;=($L$5-2),H350,INDEX($H$4:$H$603,($L$5-2))))</f>
        <v/>
      </c>
      <c r="T350" s="25">
        <f>IF(($L$5-2)&lt;1,"",IF(347&lt;=($L$5-2),I350,INDEX($I$4:$I$603,($L$5-2))))</f>
        <v/>
      </c>
    </row>
    <row r="351">
      <c r="A351" s="43" t="n"/>
      <c r="B351" s="43" t="n"/>
      <c r="C351" s="37">
        <f>IF(OR(A351="",A352=""),"",A352-A351)</f>
        <v/>
      </c>
      <c r="D351" s="37">
        <f>IF(C351="","",B352-B351)</f>
        <v/>
      </c>
      <c r="E351" s="37">
        <f>IF(C351="","",(A351+A352)/2)</f>
        <v/>
      </c>
      <c r="F351" s="25">
        <f>IF(OR(C351="",C351=0),"",D351/C351)</f>
        <v/>
      </c>
      <c r="G351" s="25">
        <f>IF(C351="","",D351/$L$6)</f>
        <v/>
      </c>
      <c r="H351" s="37">
        <f>IF(OR(F351="",F352=""),"",(E351+E352)/2)</f>
        <v/>
      </c>
      <c r="I351" s="25">
        <f>IF(H351="","",(F352-F351)/(E352-E351))</f>
        <v/>
      </c>
      <c r="P351" s="25">
        <f>IF(($L$5-1)&lt;1,"",IF(348&lt;=($L$5-1),E351,INDEX($E$4:$E$603,($L$5-1))))</f>
        <v/>
      </c>
      <c r="Q351" s="25">
        <f>IF(($L$5-1)&lt;1,"",IF(348&lt;=($L$5-1),F351,INDEX($F$4:$F$603,($L$5-1))))</f>
        <v/>
      </c>
      <c r="R351" s="25">
        <f>IF(($L$5-1)&lt;1,"",IF(348&lt;=($L$5-1),G351,INDEX($G$4:$G$603,($L$5-1))))</f>
        <v/>
      </c>
      <c r="S351" s="25">
        <f>IF(($L$5-2)&lt;1,"",IF(348&lt;=($L$5-2),H351,INDEX($H$4:$H$603,($L$5-2))))</f>
        <v/>
      </c>
      <c r="T351" s="25">
        <f>IF(($L$5-2)&lt;1,"",IF(348&lt;=($L$5-2),I351,INDEX($I$4:$I$603,($L$5-2))))</f>
        <v/>
      </c>
    </row>
    <row r="352">
      <c r="A352" s="43" t="n"/>
      <c r="B352" s="43" t="n"/>
      <c r="C352" s="37">
        <f>IF(OR(A352="",A353=""),"",A353-A352)</f>
        <v/>
      </c>
      <c r="D352" s="37">
        <f>IF(C352="","",B353-B352)</f>
        <v/>
      </c>
      <c r="E352" s="37">
        <f>IF(C352="","",(A352+A353)/2)</f>
        <v/>
      </c>
      <c r="F352" s="25">
        <f>IF(OR(C352="",C352=0),"",D352/C352)</f>
        <v/>
      </c>
      <c r="G352" s="25">
        <f>IF(C352="","",D352/$L$6)</f>
        <v/>
      </c>
      <c r="H352" s="37">
        <f>IF(OR(F352="",F353=""),"",(E352+E353)/2)</f>
        <v/>
      </c>
      <c r="I352" s="25">
        <f>IF(H352="","",(F353-F352)/(E353-E352))</f>
        <v/>
      </c>
      <c r="P352" s="25">
        <f>IF(($L$5-1)&lt;1,"",IF(349&lt;=($L$5-1),E352,INDEX($E$4:$E$603,($L$5-1))))</f>
        <v/>
      </c>
      <c r="Q352" s="25">
        <f>IF(($L$5-1)&lt;1,"",IF(349&lt;=($L$5-1),F352,INDEX($F$4:$F$603,($L$5-1))))</f>
        <v/>
      </c>
      <c r="R352" s="25">
        <f>IF(($L$5-1)&lt;1,"",IF(349&lt;=($L$5-1),G352,INDEX($G$4:$G$603,($L$5-1))))</f>
        <v/>
      </c>
      <c r="S352" s="25">
        <f>IF(($L$5-2)&lt;1,"",IF(349&lt;=($L$5-2),H352,INDEX($H$4:$H$603,($L$5-2))))</f>
        <v/>
      </c>
      <c r="T352" s="25">
        <f>IF(($L$5-2)&lt;1,"",IF(349&lt;=($L$5-2),I352,INDEX($I$4:$I$603,($L$5-2))))</f>
        <v/>
      </c>
    </row>
    <row r="353">
      <c r="A353" s="43" t="n"/>
      <c r="B353" s="43" t="n"/>
      <c r="C353" s="37">
        <f>IF(OR(A353="",A354=""),"",A354-A353)</f>
        <v/>
      </c>
      <c r="D353" s="37">
        <f>IF(C353="","",B354-B353)</f>
        <v/>
      </c>
      <c r="E353" s="37">
        <f>IF(C353="","",(A353+A354)/2)</f>
        <v/>
      </c>
      <c r="F353" s="25">
        <f>IF(OR(C353="",C353=0),"",D353/C353)</f>
        <v/>
      </c>
      <c r="G353" s="25">
        <f>IF(C353="","",D353/$L$6)</f>
        <v/>
      </c>
      <c r="H353" s="37">
        <f>IF(OR(F353="",F354=""),"",(E353+E354)/2)</f>
        <v/>
      </c>
      <c r="I353" s="25">
        <f>IF(H353="","",(F354-F353)/(E354-E353))</f>
        <v/>
      </c>
      <c r="P353" s="25">
        <f>IF(($L$5-1)&lt;1,"",IF(350&lt;=($L$5-1),E353,INDEX($E$4:$E$603,($L$5-1))))</f>
        <v/>
      </c>
      <c r="Q353" s="25">
        <f>IF(($L$5-1)&lt;1,"",IF(350&lt;=($L$5-1),F353,INDEX($F$4:$F$603,($L$5-1))))</f>
        <v/>
      </c>
      <c r="R353" s="25">
        <f>IF(($L$5-1)&lt;1,"",IF(350&lt;=($L$5-1),G353,INDEX($G$4:$G$603,($L$5-1))))</f>
        <v/>
      </c>
      <c r="S353" s="25">
        <f>IF(($L$5-2)&lt;1,"",IF(350&lt;=($L$5-2),H353,INDEX($H$4:$H$603,($L$5-2))))</f>
        <v/>
      </c>
      <c r="T353" s="25">
        <f>IF(($L$5-2)&lt;1,"",IF(350&lt;=($L$5-2),I353,INDEX($I$4:$I$603,($L$5-2))))</f>
        <v/>
      </c>
    </row>
    <row r="354">
      <c r="A354" s="43" t="n"/>
      <c r="B354" s="43" t="n"/>
      <c r="C354" s="37">
        <f>IF(OR(A354="",A355=""),"",A355-A354)</f>
        <v/>
      </c>
      <c r="D354" s="37">
        <f>IF(C354="","",B355-B354)</f>
        <v/>
      </c>
      <c r="E354" s="37">
        <f>IF(C354="","",(A354+A355)/2)</f>
        <v/>
      </c>
      <c r="F354" s="25">
        <f>IF(OR(C354="",C354=0),"",D354/C354)</f>
        <v/>
      </c>
      <c r="G354" s="25">
        <f>IF(C354="","",D354/$L$6)</f>
        <v/>
      </c>
      <c r="H354" s="37">
        <f>IF(OR(F354="",F355=""),"",(E354+E355)/2)</f>
        <v/>
      </c>
      <c r="I354" s="25">
        <f>IF(H354="","",(F355-F354)/(E355-E354))</f>
        <v/>
      </c>
      <c r="P354" s="25">
        <f>IF(($L$5-1)&lt;1,"",IF(351&lt;=($L$5-1),E354,INDEX($E$4:$E$603,($L$5-1))))</f>
        <v/>
      </c>
      <c r="Q354" s="25">
        <f>IF(($L$5-1)&lt;1,"",IF(351&lt;=($L$5-1),F354,INDEX($F$4:$F$603,($L$5-1))))</f>
        <v/>
      </c>
      <c r="R354" s="25">
        <f>IF(($L$5-1)&lt;1,"",IF(351&lt;=($L$5-1),G354,INDEX($G$4:$G$603,($L$5-1))))</f>
        <v/>
      </c>
      <c r="S354" s="25">
        <f>IF(($L$5-2)&lt;1,"",IF(351&lt;=($L$5-2),H354,INDEX($H$4:$H$603,($L$5-2))))</f>
        <v/>
      </c>
      <c r="T354" s="25">
        <f>IF(($L$5-2)&lt;1,"",IF(351&lt;=($L$5-2),I354,INDEX($I$4:$I$603,($L$5-2))))</f>
        <v/>
      </c>
    </row>
    <row r="355">
      <c r="A355" s="43" t="n"/>
      <c r="B355" s="43" t="n"/>
      <c r="C355" s="37">
        <f>IF(OR(A355="",A356=""),"",A356-A355)</f>
        <v/>
      </c>
      <c r="D355" s="37">
        <f>IF(C355="","",B356-B355)</f>
        <v/>
      </c>
      <c r="E355" s="37">
        <f>IF(C355="","",(A355+A356)/2)</f>
        <v/>
      </c>
      <c r="F355" s="25">
        <f>IF(OR(C355="",C355=0),"",D355/C355)</f>
        <v/>
      </c>
      <c r="G355" s="25">
        <f>IF(C355="","",D355/$L$6)</f>
        <v/>
      </c>
      <c r="H355" s="37">
        <f>IF(OR(F355="",F356=""),"",(E355+E356)/2)</f>
        <v/>
      </c>
      <c r="I355" s="25">
        <f>IF(H355="","",(F356-F355)/(E356-E355))</f>
        <v/>
      </c>
      <c r="P355" s="25">
        <f>IF(($L$5-1)&lt;1,"",IF(352&lt;=($L$5-1),E355,INDEX($E$4:$E$603,($L$5-1))))</f>
        <v/>
      </c>
      <c r="Q355" s="25">
        <f>IF(($L$5-1)&lt;1,"",IF(352&lt;=($L$5-1),F355,INDEX($F$4:$F$603,($L$5-1))))</f>
        <v/>
      </c>
      <c r="R355" s="25">
        <f>IF(($L$5-1)&lt;1,"",IF(352&lt;=($L$5-1),G355,INDEX($G$4:$G$603,($L$5-1))))</f>
        <v/>
      </c>
      <c r="S355" s="25">
        <f>IF(($L$5-2)&lt;1,"",IF(352&lt;=($L$5-2),H355,INDEX($H$4:$H$603,($L$5-2))))</f>
        <v/>
      </c>
      <c r="T355" s="25">
        <f>IF(($L$5-2)&lt;1,"",IF(352&lt;=($L$5-2),I355,INDEX($I$4:$I$603,($L$5-2))))</f>
        <v/>
      </c>
    </row>
    <row r="356">
      <c r="A356" s="43" t="n"/>
      <c r="B356" s="43" t="n"/>
      <c r="C356" s="37">
        <f>IF(OR(A356="",A357=""),"",A357-A356)</f>
        <v/>
      </c>
      <c r="D356" s="37">
        <f>IF(C356="","",B357-B356)</f>
        <v/>
      </c>
      <c r="E356" s="37">
        <f>IF(C356="","",(A356+A357)/2)</f>
        <v/>
      </c>
      <c r="F356" s="25">
        <f>IF(OR(C356="",C356=0),"",D356/C356)</f>
        <v/>
      </c>
      <c r="G356" s="25">
        <f>IF(C356="","",D356/$L$6)</f>
        <v/>
      </c>
      <c r="H356" s="37">
        <f>IF(OR(F356="",F357=""),"",(E356+E357)/2)</f>
        <v/>
      </c>
      <c r="I356" s="25">
        <f>IF(H356="","",(F357-F356)/(E357-E356))</f>
        <v/>
      </c>
      <c r="P356" s="25">
        <f>IF(($L$5-1)&lt;1,"",IF(353&lt;=($L$5-1),E356,INDEX($E$4:$E$603,($L$5-1))))</f>
        <v/>
      </c>
      <c r="Q356" s="25">
        <f>IF(($L$5-1)&lt;1,"",IF(353&lt;=($L$5-1),F356,INDEX($F$4:$F$603,($L$5-1))))</f>
        <v/>
      </c>
      <c r="R356" s="25">
        <f>IF(($L$5-1)&lt;1,"",IF(353&lt;=($L$5-1),G356,INDEX($G$4:$G$603,($L$5-1))))</f>
        <v/>
      </c>
      <c r="S356" s="25">
        <f>IF(($L$5-2)&lt;1,"",IF(353&lt;=($L$5-2),H356,INDEX($H$4:$H$603,($L$5-2))))</f>
        <v/>
      </c>
      <c r="T356" s="25">
        <f>IF(($L$5-2)&lt;1,"",IF(353&lt;=($L$5-2),I356,INDEX($I$4:$I$603,($L$5-2))))</f>
        <v/>
      </c>
    </row>
    <row r="357">
      <c r="A357" s="43" t="n"/>
      <c r="B357" s="43" t="n"/>
      <c r="C357" s="37">
        <f>IF(OR(A357="",A358=""),"",A358-A357)</f>
        <v/>
      </c>
      <c r="D357" s="37">
        <f>IF(C357="","",B358-B357)</f>
        <v/>
      </c>
      <c r="E357" s="37">
        <f>IF(C357="","",(A357+A358)/2)</f>
        <v/>
      </c>
      <c r="F357" s="25">
        <f>IF(OR(C357="",C357=0),"",D357/C357)</f>
        <v/>
      </c>
      <c r="G357" s="25">
        <f>IF(C357="","",D357/$L$6)</f>
        <v/>
      </c>
      <c r="H357" s="37">
        <f>IF(OR(F357="",F358=""),"",(E357+E358)/2)</f>
        <v/>
      </c>
      <c r="I357" s="25">
        <f>IF(H357="","",(F358-F357)/(E358-E357))</f>
        <v/>
      </c>
      <c r="P357" s="25">
        <f>IF(($L$5-1)&lt;1,"",IF(354&lt;=($L$5-1),E357,INDEX($E$4:$E$603,($L$5-1))))</f>
        <v/>
      </c>
      <c r="Q357" s="25">
        <f>IF(($L$5-1)&lt;1,"",IF(354&lt;=($L$5-1),F357,INDEX($F$4:$F$603,($L$5-1))))</f>
        <v/>
      </c>
      <c r="R357" s="25">
        <f>IF(($L$5-1)&lt;1,"",IF(354&lt;=($L$5-1),G357,INDEX($G$4:$G$603,($L$5-1))))</f>
        <v/>
      </c>
      <c r="S357" s="25">
        <f>IF(($L$5-2)&lt;1,"",IF(354&lt;=($L$5-2),H357,INDEX($H$4:$H$603,($L$5-2))))</f>
        <v/>
      </c>
      <c r="T357" s="25">
        <f>IF(($L$5-2)&lt;1,"",IF(354&lt;=($L$5-2),I357,INDEX($I$4:$I$603,($L$5-2))))</f>
        <v/>
      </c>
    </row>
    <row r="358">
      <c r="A358" s="43" t="n"/>
      <c r="B358" s="43" t="n"/>
      <c r="C358" s="37">
        <f>IF(OR(A358="",A359=""),"",A359-A358)</f>
        <v/>
      </c>
      <c r="D358" s="37">
        <f>IF(C358="","",B359-B358)</f>
        <v/>
      </c>
      <c r="E358" s="37">
        <f>IF(C358="","",(A358+A359)/2)</f>
        <v/>
      </c>
      <c r="F358" s="25">
        <f>IF(OR(C358="",C358=0),"",D358/C358)</f>
        <v/>
      </c>
      <c r="G358" s="25">
        <f>IF(C358="","",D358/$L$6)</f>
        <v/>
      </c>
      <c r="H358" s="37">
        <f>IF(OR(F358="",F359=""),"",(E358+E359)/2)</f>
        <v/>
      </c>
      <c r="I358" s="25">
        <f>IF(H358="","",(F359-F358)/(E359-E358))</f>
        <v/>
      </c>
      <c r="P358" s="25">
        <f>IF(($L$5-1)&lt;1,"",IF(355&lt;=($L$5-1),E358,INDEX($E$4:$E$603,($L$5-1))))</f>
        <v/>
      </c>
      <c r="Q358" s="25">
        <f>IF(($L$5-1)&lt;1,"",IF(355&lt;=($L$5-1),F358,INDEX($F$4:$F$603,($L$5-1))))</f>
        <v/>
      </c>
      <c r="R358" s="25">
        <f>IF(($L$5-1)&lt;1,"",IF(355&lt;=($L$5-1),G358,INDEX($G$4:$G$603,($L$5-1))))</f>
        <v/>
      </c>
      <c r="S358" s="25">
        <f>IF(($L$5-2)&lt;1,"",IF(355&lt;=($L$5-2),H358,INDEX($H$4:$H$603,($L$5-2))))</f>
        <v/>
      </c>
      <c r="T358" s="25">
        <f>IF(($L$5-2)&lt;1,"",IF(355&lt;=($L$5-2),I358,INDEX($I$4:$I$603,($L$5-2))))</f>
        <v/>
      </c>
    </row>
    <row r="359">
      <c r="A359" s="43" t="n"/>
      <c r="B359" s="43" t="n"/>
      <c r="C359" s="37">
        <f>IF(OR(A359="",A360=""),"",A360-A359)</f>
        <v/>
      </c>
      <c r="D359" s="37">
        <f>IF(C359="","",B360-B359)</f>
        <v/>
      </c>
      <c r="E359" s="37">
        <f>IF(C359="","",(A359+A360)/2)</f>
        <v/>
      </c>
      <c r="F359" s="25">
        <f>IF(OR(C359="",C359=0),"",D359/C359)</f>
        <v/>
      </c>
      <c r="G359" s="25">
        <f>IF(C359="","",D359/$L$6)</f>
        <v/>
      </c>
      <c r="H359" s="37">
        <f>IF(OR(F359="",F360=""),"",(E359+E360)/2)</f>
        <v/>
      </c>
      <c r="I359" s="25">
        <f>IF(H359="","",(F360-F359)/(E360-E359))</f>
        <v/>
      </c>
      <c r="P359" s="25">
        <f>IF(($L$5-1)&lt;1,"",IF(356&lt;=($L$5-1),E359,INDEX($E$4:$E$603,($L$5-1))))</f>
        <v/>
      </c>
      <c r="Q359" s="25">
        <f>IF(($L$5-1)&lt;1,"",IF(356&lt;=($L$5-1),F359,INDEX($F$4:$F$603,($L$5-1))))</f>
        <v/>
      </c>
      <c r="R359" s="25">
        <f>IF(($L$5-1)&lt;1,"",IF(356&lt;=($L$5-1),G359,INDEX($G$4:$G$603,($L$5-1))))</f>
        <v/>
      </c>
      <c r="S359" s="25">
        <f>IF(($L$5-2)&lt;1,"",IF(356&lt;=($L$5-2),H359,INDEX($H$4:$H$603,($L$5-2))))</f>
        <v/>
      </c>
      <c r="T359" s="25">
        <f>IF(($L$5-2)&lt;1,"",IF(356&lt;=($L$5-2),I359,INDEX($I$4:$I$603,($L$5-2))))</f>
        <v/>
      </c>
    </row>
    <row r="360">
      <c r="A360" s="43" t="n"/>
      <c r="B360" s="43" t="n"/>
      <c r="C360" s="37">
        <f>IF(OR(A360="",A361=""),"",A361-A360)</f>
        <v/>
      </c>
      <c r="D360" s="37">
        <f>IF(C360="","",B361-B360)</f>
        <v/>
      </c>
      <c r="E360" s="37">
        <f>IF(C360="","",(A360+A361)/2)</f>
        <v/>
      </c>
      <c r="F360" s="25">
        <f>IF(OR(C360="",C360=0),"",D360/C360)</f>
        <v/>
      </c>
      <c r="G360" s="25">
        <f>IF(C360="","",D360/$L$6)</f>
        <v/>
      </c>
      <c r="H360" s="37">
        <f>IF(OR(F360="",F361=""),"",(E360+E361)/2)</f>
        <v/>
      </c>
      <c r="I360" s="25">
        <f>IF(H360="","",(F361-F360)/(E361-E360))</f>
        <v/>
      </c>
      <c r="P360" s="25">
        <f>IF(($L$5-1)&lt;1,"",IF(357&lt;=($L$5-1),E360,INDEX($E$4:$E$603,($L$5-1))))</f>
        <v/>
      </c>
      <c r="Q360" s="25">
        <f>IF(($L$5-1)&lt;1,"",IF(357&lt;=($L$5-1),F360,INDEX($F$4:$F$603,($L$5-1))))</f>
        <v/>
      </c>
      <c r="R360" s="25">
        <f>IF(($L$5-1)&lt;1,"",IF(357&lt;=($L$5-1),G360,INDEX($G$4:$G$603,($L$5-1))))</f>
        <v/>
      </c>
      <c r="S360" s="25">
        <f>IF(($L$5-2)&lt;1,"",IF(357&lt;=($L$5-2),H360,INDEX($H$4:$H$603,($L$5-2))))</f>
        <v/>
      </c>
      <c r="T360" s="25">
        <f>IF(($L$5-2)&lt;1,"",IF(357&lt;=($L$5-2),I360,INDEX($I$4:$I$603,($L$5-2))))</f>
        <v/>
      </c>
    </row>
    <row r="361">
      <c r="A361" s="43" t="n"/>
      <c r="B361" s="43" t="n"/>
      <c r="C361" s="37">
        <f>IF(OR(A361="",A362=""),"",A362-A361)</f>
        <v/>
      </c>
      <c r="D361" s="37">
        <f>IF(C361="","",B362-B361)</f>
        <v/>
      </c>
      <c r="E361" s="37">
        <f>IF(C361="","",(A361+A362)/2)</f>
        <v/>
      </c>
      <c r="F361" s="25">
        <f>IF(OR(C361="",C361=0),"",D361/C361)</f>
        <v/>
      </c>
      <c r="G361" s="25">
        <f>IF(C361="","",D361/$L$6)</f>
        <v/>
      </c>
      <c r="H361" s="37">
        <f>IF(OR(F361="",F362=""),"",(E361+E362)/2)</f>
        <v/>
      </c>
      <c r="I361" s="25">
        <f>IF(H361="","",(F362-F361)/(E362-E361))</f>
        <v/>
      </c>
      <c r="P361" s="25">
        <f>IF(($L$5-1)&lt;1,"",IF(358&lt;=($L$5-1),E361,INDEX($E$4:$E$603,($L$5-1))))</f>
        <v/>
      </c>
      <c r="Q361" s="25">
        <f>IF(($L$5-1)&lt;1,"",IF(358&lt;=($L$5-1),F361,INDEX($F$4:$F$603,($L$5-1))))</f>
        <v/>
      </c>
      <c r="R361" s="25">
        <f>IF(($L$5-1)&lt;1,"",IF(358&lt;=($L$5-1),G361,INDEX($G$4:$G$603,($L$5-1))))</f>
        <v/>
      </c>
      <c r="S361" s="25">
        <f>IF(($L$5-2)&lt;1,"",IF(358&lt;=($L$5-2),H361,INDEX($H$4:$H$603,($L$5-2))))</f>
        <v/>
      </c>
      <c r="T361" s="25">
        <f>IF(($L$5-2)&lt;1,"",IF(358&lt;=($L$5-2),I361,INDEX($I$4:$I$603,($L$5-2))))</f>
        <v/>
      </c>
    </row>
    <row r="362">
      <c r="A362" s="43" t="n"/>
      <c r="B362" s="43" t="n"/>
      <c r="C362" s="37">
        <f>IF(OR(A362="",A363=""),"",A363-A362)</f>
        <v/>
      </c>
      <c r="D362" s="37">
        <f>IF(C362="","",B363-B362)</f>
        <v/>
      </c>
      <c r="E362" s="37">
        <f>IF(C362="","",(A362+A363)/2)</f>
        <v/>
      </c>
      <c r="F362" s="25">
        <f>IF(OR(C362="",C362=0),"",D362/C362)</f>
        <v/>
      </c>
      <c r="G362" s="25">
        <f>IF(C362="","",D362/$L$6)</f>
        <v/>
      </c>
      <c r="H362" s="37">
        <f>IF(OR(F362="",F363=""),"",(E362+E363)/2)</f>
        <v/>
      </c>
      <c r="I362" s="25">
        <f>IF(H362="","",(F363-F362)/(E363-E362))</f>
        <v/>
      </c>
      <c r="P362" s="25">
        <f>IF(($L$5-1)&lt;1,"",IF(359&lt;=($L$5-1),E362,INDEX($E$4:$E$603,($L$5-1))))</f>
        <v/>
      </c>
      <c r="Q362" s="25">
        <f>IF(($L$5-1)&lt;1,"",IF(359&lt;=($L$5-1),F362,INDEX($F$4:$F$603,($L$5-1))))</f>
        <v/>
      </c>
      <c r="R362" s="25">
        <f>IF(($L$5-1)&lt;1,"",IF(359&lt;=($L$5-1),G362,INDEX($G$4:$G$603,($L$5-1))))</f>
        <v/>
      </c>
      <c r="S362" s="25">
        <f>IF(($L$5-2)&lt;1,"",IF(359&lt;=($L$5-2),H362,INDEX($H$4:$H$603,($L$5-2))))</f>
        <v/>
      </c>
      <c r="T362" s="25">
        <f>IF(($L$5-2)&lt;1,"",IF(359&lt;=($L$5-2),I362,INDEX($I$4:$I$603,($L$5-2))))</f>
        <v/>
      </c>
    </row>
    <row r="363">
      <c r="A363" s="43" t="n"/>
      <c r="B363" s="43" t="n"/>
      <c r="C363" s="37">
        <f>IF(OR(A363="",A364=""),"",A364-A363)</f>
        <v/>
      </c>
      <c r="D363" s="37">
        <f>IF(C363="","",B364-B363)</f>
        <v/>
      </c>
      <c r="E363" s="37">
        <f>IF(C363="","",(A363+A364)/2)</f>
        <v/>
      </c>
      <c r="F363" s="25">
        <f>IF(OR(C363="",C363=0),"",D363/C363)</f>
        <v/>
      </c>
      <c r="G363" s="25">
        <f>IF(C363="","",D363/$L$6)</f>
        <v/>
      </c>
      <c r="H363" s="37">
        <f>IF(OR(F363="",F364=""),"",(E363+E364)/2)</f>
        <v/>
      </c>
      <c r="I363" s="25">
        <f>IF(H363="","",(F364-F363)/(E364-E363))</f>
        <v/>
      </c>
      <c r="P363" s="25">
        <f>IF(($L$5-1)&lt;1,"",IF(360&lt;=($L$5-1),E363,INDEX($E$4:$E$603,($L$5-1))))</f>
        <v/>
      </c>
      <c r="Q363" s="25">
        <f>IF(($L$5-1)&lt;1,"",IF(360&lt;=($L$5-1),F363,INDEX($F$4:$F$603,($L$5-1))))</f>
        <v/>
      </c>
      <c r="R363" s="25">
        <f>IF(($L$5-1)&lt;1,"",IF(360&lt;=($L$5-1),G363,INDEX($G$4:$G$603,($L$5-1))))</f>
        <v/>
      </c>
      <c r="S363" s="25">
        <f>IF(($L$5-2)&lt;1,"",IF(360&lt;=($L$5-2),H363,INDEX($H$4:$H$603,($L$5-2))))</f>
        <v/>
      </c>
      <c r="T363" s="25">
        <f>IF(($L$5-2)&lt;1,"",IF(360&lt;=($L$5-2),I363,INDEX($I$4:$I$603,($L$5-2))))</f>
        <v/>
      </c>
    </row>
    <row r="364">
      <c r="A364" s="43" t="n"/>
      <c r="B364" s="43" t="n"/>
      <c r="C364" s="37">
        <f>IF(OR(A364="",A365=""),"",A365-A364)</f>
        <v/>
      </c>
      <c r="D364" s="37">
        <f>IF(C364="","",B365-B364)</f>
        <v/>
      </c>
      <c r="E364" s="37">
        <f>IF(C364="","",(A364+A365)/2)</f>
        <v/>
      </c>
      <c r="F364" s="25">
        <f>IF(OR(C364="",C364=0),"",D364/C364)</f>
        <v/>
      </c>
      <c r="G364" s="25">
        <f>IF(C364="","",D364/$L$6)</f>
        <v/>
      </c>
      <c r="H364" s="37">
        <f>IF(OR(F364="",F365=""),"",(E364+E365)/2)</f>
        <v/>
      </c>
      <c r="I364" s="25">
        <f>IF(H364="","",(F365-F364)/(E365-E364))</f>
        <v/>
      </c>
      <c r="P364" s="25">
        <f>IF(($L$5-1)&lt;1,"",IF(361&lt;=($L$5-1),E364,INDEX($E$4:$E$603,($L$5-1))))</f>
        <v/>
      </c>
      <c r="Q364" s="25">
        <f>IF(($L$5-1)&lt;1,"",IF(361&lt;=($L$5-1),F364,INDEX($F$4:$F$603,($L$5-1))))</f>
        <v/>
      </c>
      <c r="R364" s="25">
        <f>IF(($L$5-1)&lt;1,"",IF(361&lt;=($L$5-1),G364,INDEX($G$4:$G$603,($L$5-1))))</f>
        <v/>
      </c>
      <c r="S364" s="25">
        <f>IF(($L$5-2)&lt;1,"",IF(361&lt;=($L$5-2),H364,INDEX($H$4:$H$603,($L$5-2))))</f>
        <v/>
      </c>
      <c r="T364" s="25">
        <f>IF(($L$5-2)&lt;1,"",IF(361&lt;=($L$5-2),I364,INDEX($I$4:$I$603,($L$5-2))))</f>
        <v/>
      </c>
    </row>
    <row r="365">
      <c r="A365" s="43" t="n"/>
      <c r="B365" s="43" t="n"/>
      <c r="C365" s="37">
        <f>IF(OR(A365="",A366=""),"",A366-A365)</f>
        <v/>
      </c>
      <c r="D365" s="37">
        <f>IF(C365="","",B366-B365)</f>
        <v/>
      </c>
      <c r="E365" s="37">
        <f>IF(C365="","",(A365+A366)/2)</f>
        <v/>
      </c>
      <c r="F365" s="25">
        <f>IF(OR(C365="",C365=0),"",D365/C365)</f>
        <v/>
      </c>
      <c r="G365" s="25">
        <f>IF(C365="","",D365/$L$6)</f>
        <v/>
      </c>
      <c r="H365" s="37">
        <f>IF(OR(F365="",F366=""),"",(E365+E366)/2)</f>
        <v/>
      </c>
      <c r="I365" s="25">
        <f>IF(H365="","",(F366-F365)/(E366-E365))</f>
        <v/>
      </c>
      <c r="P365" s="25">
        <f>IF(($L$5-1)&lt;1,"",IF(362&lt;=($L$5-1),E365,INDEX($E$4:$E$603,($L$5-1))))</f>
        <v/>
      </c>
      <c r="Q365" s="25">
        <f>IF(($L$5-1)&lt;1,"",IF(362&lt;=($L$5-1),F365,INDEX($F$4:$F$603,($L$5-1))))</f>
        <v/>
      </c>
      <c r="R365" s="25">
        <f>IF(($L$5-1)&lt;1,"",IF(362&lt;=($L$5-1),G365,INDEX($G$4:$G$603,($L$5-1))))</f>
        <v/>
      </c>
      <c r="S365" s="25">
        <f>IF(($L$5-2)&lt;1,"",IF(362&lt;=($L$5-2),H365,INDEX($H$4:$H$603,($L$5-2))))</f>
        <v/>
      </c>
      <c r="T365" s="25">
        <f>IF(($L$5-2)&lt;1,"",IF(362&lt;=($L$5-2),I365,INDEX($I$4:$I$603,($L$5-2))))</f>
        <v/>
      </c>
    </row>
    <row r="366">
      <c r="A366" s="43" t="n"/>
      <c r="B366" s="43" t="n"/>
      <c r="C366" s="37">
        <f>IF(OR(A366="",A367=""),"",A367-A366)</f>
        <v/>
      </c>
      <c r="D366" s="37">
        <f>IF(C366="","",B367-B366)</f>
        <v/>
      </c>
      <c r="E366" s="37">
        <f>IF(C366="","",(A366+A367)/2)</f>
        <v/>
      </c>
      <c r="F366" s="25">
        <f>IF(OR(C366="",C366=0),"",D366/C366)</f>
        <v/>
      </c>
      <c r="G366" s="25">
        <f>IF(C366="","",D366/$L$6)</f>
        <v/>
      </c>
      <c r="H366" s="37">
        <f>IF(OR(F366="",F367=""),"",(E366+E367)/2)</f>
        <v/>
      </c>
      <c r="I366" s="25">
        <f>IF(H366="","",(F367-F366)/(E367-E366))</f>
        <v/>
      </c>
      <c r="P366" s="25">
        <f>IF(($L$5-1)&lt;1,"",IF(363&lt;=($L$5-1),E366,INDEX($E$4:$E$603,($L$5-1))))</f>
        <v/>
      </c>
      <c r="Q366" s="25">
        <f>IF(($L$5-1)&lt;1,"",IF(363&lt;=($L$5-1),F366,INDEX($F$4:$F$603,($L$5-1))))</f>
        <v/>
      </c>
      <c r="R366" s="25">
        <f>IF(($L$5-1)&lt;1,"",IF(363&lt;=($L$5-1),G366,INDEX($G$4:$G$603,($L$5-1))))</f>
        <v/>
      </c>
      <c r="S366" s="25">
        <f>IF(($L$5-2)&lt;1,"",IF(363&lt;=($L$5-2),H366,INDEX($H$4:$H$603,($L$5-2))))</f>
        <v/>
      </c>
      <c r="T366" s="25">
        <f>IF(($L$5-2)&lt;1,"",IF(363&lt;=($L$5-2),I366,INDEX($I$4:$I$603,($L$5-2))))</f>
        <v/>
      </c>
    </row>
    <row r="367">
      <c r="A367" s="43" t="n"/>
      <c r="B367" s="43" t="n"/>
      <c r="C367" s="37">
        <f>IF(OR(A367="",A368=""),"",A368-A367)</f>
        <v/>
      </c>
      <c r="D367" s="37">
        <f>IF(C367="","",B368-B367)</f>
        <v/>
      </c>
      <c r="E367" s="37">
        <f>IF(C367="","",(A367+A368)/2)</f>
        <v/>
      </c>
      <c r="F367" s="25">
        <f>IF(OR(C367="",C367=0),"",D367/C367)</f>
        <v/>
      </c>
      <c r="G367" s="25">
        <f>IF(C367="","",D367/$L$6)</f>
        <v/>
      </c>
      <c r="H367" s="37">
        <f>IF(OR(F367="",F368=""),"",(E367+E368)/2)</f>
        <v/>
      </c>
      <c r="I367" s="25">
        <f>IF(H367="","",(F368-F367)/(E368-E367))</f>
        <v/>
      </c>
      <c r="P367" s="25">
        <f>IF(($L$5-1)&lt;1,"",IF(364&lt;=($L$5-1),E367,INDEX($E$4:$E$603,($L$5-1))))</f>
        <v/>
      </c>
      <c r="Q367" s="25">
        <f>IF(($L$5-1)&lt;1,"",IF(364&lt;=($L$5-1),F367,INDEX($F$4:$F$603,($L$5-1))))</f>
        <v/>
      </c>
      <c r="R367" s="25">
        <f>IF(($L$5-1)&lt;1,"",IF(364&lt;=($L$5-1),G367,INDEX($G$4:$G$603,($L$5-1))))</f>
        <v/>
      </c>
      <c r="S367" s="25">
        <f>IF(($L$5-2)&lt;1,"",IF(364&lt;=($L$5-2),H367,INDEX($H$4:$H$603,($L$5-2))))</f>
        <v/>
      </c>
      <c r="T367" s="25">
        <f>IF(($L$5-2)&lt;1,"",IF(364&lt;=($L$5-2),I367,INDEX($I$4:$I$603,($L$5-2))))</f>
        <v/>
      </c>
    </row>
    <row r="368">
      <c r="A368" s="43" t="n"/>
      <c r="B368" s="43" t="n"/>
      <c r="C368" s="37">
        <f>IF(OR(A368="",A369=""),"",A369-A368)</f>
        <v/>
      </c>
      <c r="D368" s="37">
        <f>IF(C368="","",B369-B368)</f>
        <v/>
      </c>
      <c r="E368" s="37">
        <f>IF(C368="","",(A368+A369)/2)</f>
        <v/>
      </c>
      <c r="F368" s="25">
        <f>IF(OR(C368="",C368=0),"",D368/C368)</f>
        <v/>
      </c>
      <c r="G368" s="25">
        <f>IF(C368="","",D368/$L$6)</f>
        <v/>
      </c>
      <c r="H368" s="37">
        <f>IF(OR(F368="",F369=""),"",(E368+E369)/2)</f>
        <v/>
      </c>
      <c r="I368" s="25">
        <f>IF(H368="","",(F369-F368)/(E369-E368))</f>
        <v/>
      </c>
      <c r="P368" s="25">
        <f>IF(($L$5-1)&lt;1,"",IF(365&lt;=($L$5-1),E368,INDEX($E$4:$E$603,($L$5-1))))</f>
        <v/>
      </c>
      <c r="Q368" s="25">
        <f>IF(($L$5-1)&lt;1,"",IF(365&lt;=($L$5-1),F368,INDEX($F$4:$F$603,($L$5-1))))</f>
        <v/>
      </c>
      <c r="R368" s="25">
        <f>IF(($L$5-1)&lt;1,"",IF(365&lt;=($L$5-1),G368,INDEX($G$4:$G$603,($L$5-1))))</f>
        <v/>
      </c>
      <c r="S368" s="25">
        <f>IF(($L$5-2)&lt;1,"",IF(365&lt;=($L$5-2),H368,INDEX($H$4:$H$603,($L$5-2))))</f>
        <v/>
      </c>
      <c r="T368" s="25">
        <f>IF(($L$5-2)&lt;1,"",IF(365&lt;=($L$5-2),I368,INDEX($I$4:$I$603,($L$5-2))))</f>
        <v/>
      </c>
    </row>
    <row r="369">
      <c r="A369" s="43" t="n"/>
      <c r="B369" s="43" t="n"/>
      <c r="C369" s="37">
        <f>IF(OR(A369="",A370=""),"",A370-A369)</f>
        <v/>
      </c>
      <c r="D369" s="37">
        <f>IF(C369="","",B370-B369)</f>
        <v/>
      </c>
      <c r="E369" s="37">
        <f>IF(C369="","",(A369+A370)/2)</f>
        <v/>
      </c>
      <c r="F369" s="25">
        <f>IF(OR(C369="",C369=0),"",D369/C369)</f>
        <v/>
      </c>
      <c r="G369" s="25">
        <f>IF(C369="","",D369/$L$6)</f>
        <v/>
      </c>
      <c r="H369" s="37">
        <f>IF(OR(F369="",F370=""),"",(E369+E370)/2)</f>
        <v/>
      </c>
      <c r="I369" s="25">
        <f>IF(H369="","",(F370-F369)/(E370-E369))</f>
        <v/>
      </c>
      <c r="P369" s="25">
        <f>IF(($L$5-1)&lt;1,"",IF(366&lt;=($L$5-1),E369,INDEX($E$4:$E$603,($L$5-1))))</f>
        <v/>
      </c>
      <c r="Q369" s="25">
        <f>IF(($L$5-1)&lt;1,"",IF(366&lt;=($L$5-1),F369,INDEX($F$4:$F$603,($L$5-1))))</f>
        <v/>
      </c>
      <c r="R369" s="25">
        <f>IF(($L$5-1)&lt;1,"",IF(366&lt;=($L$5-1),G369,INDEX($G$4:$G$603,($L$5-1))))</f>
        <v/>
      </c>
      <c r="S369" s="25">
        <f>IF(($L$5-2)&lt;1,"",IF(366&lt;=($L$5-2),H369,INDEX($H$4:$H$603,($L$5-2))))</f>
        <v/>
      </c>
      <c r="T369" s="25">
        <f>IF(($L$5-2)&lt;1,"",IF(366&lt;=($L$5-2),I369,INDEX($I$4:$I$603,($L$5-2))))</f>
        <v/>
      </c>
    </row>
    <row r="370">
      <c r="A370" s="43" t="n"/>
      <c r="B370" s="43" t="n"/>
      <c r="C370" s="37">
        <f>IF(OR(A370="",A371=""),"",A371-A370)</f>
        <v/>
      </c>
      <c r="D370" s="37">
        <f>IF(C370="","",B371-B370)</f>
        <v/>
      </c>
      <c r="E370" s="37">
        <f>IF(C370="","",(A370+A371)/2)</f>
        <v/>
      </c>
      <c r="F370" s="25">
        <f>IF(OR(C370="",C370=0),"",D370/C370)</f>
        <v/>
      </c>
      <c r="G370" s="25">
        <f>IF(C370="","",D370/$L$6)</f>
        <v/>
      </c>
      <c r="H370" s="37">
        <f>IF(OR(F370="",F371=""),"",(E370+E371)/2)</f>
        <v/>
      </c>
      <c r="I370" s="25">
        <f>IF(H370="","",(F371-F370)/(E371-E370))</f>
        <v/>
      </c>
      <c r="P370" s="25">
        <f>IF(($L$5-1)&lt;1,"",IF(367&lt;=($L$5-1),E370,INDEX($E$4:$E$603,($L$5-1))))</f>
        <v/>
      </c>
      <c r="Q370" s="25">
        <f>IF(($L$5-1)&lt;1,"",IF(367&lt;=($L$5-1),F370,INDEX($F$4:$F$603,($L$5-1))))</f>
        <v/>
      </c>
      <c r="R370" s="25">
        <f>IF(($L$5-1)&lt;1,"",IF(367&lt;=($L$5-1),G370,INDEX($G$4:$G$603,($L$5-1))))</f>
        <v/>
      </c>
      <c r="S370" s="25">
        <f>IF(($L$5-2)&lt;1,"",IF(367&lt;=($L$5-2),H370,INDEX($H$4:$H$603,($L$5-2))))</f>
        <v/>
      </c>
      <c r="T370" s="25">
        <f>IF(($L$5-2)&lt;1,"",IF(367&lt;=($L$5-2),I370,INDEX($I$4:$I$603,($L$5-2))))</f>
        <v/>
      </c>
    </row>
    <row r="371">
      <c r="A371" s="43" t="n"/>
      <c r="B371" s="43" t="n"/>
      <c r="C371" s="37">
        <f>IF(OR(A371="",A372=""),"",A372-A371)</f>
        <v/>
      </c>
      <c r="D371" s="37">
        <f>IF(C371="","",B372-B371)</f>
        <v/>
      </c>
      <c r="E371" s="37">
        <f>IF(C371="","",(A371+A372)/2)</f>
        <v/>
      </c>
      <c r="F371" s="25">
        <f>IF(OR(C371="",C371=0),"",D371/C371)</f>
        <v/>
      </c>
      <c r="G371" s="25">
        <f>IF(C371="","",D371/$L$6)</f>
        <v/>
      </c>
      <c r="H371" s="37">
        <f>IF(OR(F371="",F372=""),"",(E371+E372)/2)</f>
        <v/>
      </c>
      <c r="I371" s="25">
        <f>IF(H371="","",(F372-F371)/(E372-E371))</f>
        <v/>
      </c>
      <c r="P371" s="25">
        <f>IF(($L$5-1)&lt;1,"",IF(368&lt;=($L$5-1),E371,INDEX($E$4:$E$603,($L$5-1))))</f>
        <v/>
      </c>
      <c r="Q371" s="25">
        <f>IF(($L$5-1)&lt;1,"",IF(368&lt;=($L$5-1),F371,INDEX($F$4:$F$603,($L$5-1))))</f>
        <v/>
      </c>
      <c r="R371" s="25">
        <f>IF(($L$5-1)&lt;1,"",IF(368&lt;=($L$5-1),G371,INDEX($G$4:$G$603,($L$5-1))))</f>
        <v/>
      </c>
      <c r="S371" s="25">
        <f>IF(($L$5-2)&lt;1,"",IF(368&lt;=($L$5-2),H371,INDEX($H$4:$H$603,($L$5-2))))</f>
        <v/>
      </c>
      <c r="T371" s="25">
        <f>IF(($L$5-2)&lt;1,"",IF(368&lt;=($L$5-2),I371,INDEX($I$4:$I$603,($L$5-2))))</f>
        <v/>
      </c>
    </row>
    <row r="372">
      <c r="A372" s="43" t="n"/>
      <c r="B372" s="43" t="n"/>
      <c r="C372" s="37">
        <f>IF(OR(A372="",A373=""),"",A373-A372)</f>
        <v/>
      </c>
      <c r="D372" s="37">
        <f>IF(C372="","",B373-B372)</f>
        <v/>
      </c>
      <c r="E372" s="37">
        <f>IF(C372="","",(A372+A373)/2)</f>
        <v/>
      </c>
      <c r="F372" s="25">
        <f>IF(OR(C372="",C372=0),"",D372/C372)</f>
        <v/>
      </c>
      <c r="G372" s="25">
        <f>IF(C372="","",D372/$L$6)</f>
        <v/>
      </c>
      <c r="H372" s="37">
        <f>IF(OR(F372="",F373=""),"",(E372+E373)/2)</f>
        <v/>
      </c>
      <c r="I372" s="25">
        <f>IF(H372="","",(F373-F372)/(E373-E372))</f>
        <v/>
      </c>
      <c r="P372" s="25">
        <f>IF(($L$5-1)&lt;1,"",IF(369&lt;=($L$5-1),E372,INDEX($E$4:$E$603,($L$5-1))))</f>
        <v/>
      </c>
      <c r="Q372" s="25">
        <f>IF(($L$5-1)&lt;1,"",IF(369&lt;=($L$5-1),F372,INDEX($F$4:$F$603,($L$5-1))))</f>
        <v/>
      </c>
      <c r="R372" s="25">
        <f>IF(($L$5-1)&lt;1,"",IF(369&lt;=($L$5-1),G372,INDEX($G$4:$G$603,($L$5-1))))</f>
        <v/>
      </c>
      <c r="S372" s="25">
        <f>IF(($L$5-2)&lt;1,"",IF(369&lt;=($L$5-2),H372,INDEX($H$4:$H$603,($L$5-2))))</f>
        <v/>
      </c>
      <c r="T372" s="25">
        <f>IF(($L$5-2)&lt;1,"",IF(369&lt;=($L$5-2),I372,INDEX($I$4:$I$603,($L$5-2))))</f>
        <v/>
      </c>
    </row>
    <row r="373">
      <c r="A373" s="43" t="n"/>
      <c r="B373" s="43" t="n"/>
      <c r="C373" s="37">
        <f>IF(OR(A373="",A374=""),"",A374-A373)</f>
        <v/>
      </c>
      <c r="D373" s="37">
        <f>IF(C373="","",B374-B373)</f>
        <v/>
      </c>
      <c r="E373" s="37">
        <f>IF(C373="","",(A373+A374)/2)</f>
        <v/>
      </c>
      <c r="F373" s="25">
        <f>IF(OR(C373="",C373=0),"",D373/C373)</f>
        <v/>
      </c>
      <c r="G373" s="25">
        <f>IF(C373="","",D373/$L$6)</f>
        <v/>
      </c>
      <c r="H373" s="37">
        <f>IF(OR(F373="",F374=""),"",(E373+E374)/2)</f>
        <v/>
      </c>
      <c r="I373" s="25">
        <f>IF(H373="","",(F374-F373)/(E374-E373))</f>
        <v/>
      </c>
      <c r="P373" s="25">
        <f>IF(($L$5-1)&lt;1,"",IF(370&lt;=($L$5-1),E373,INDEX($E$4:$E$603,($L$5-1))))</f>
        <v/>
      </c>
      <c r="Q373" s="25">
        <f>IF(($L$5-1)&lt;1,"",IF(370&lt;=($L$5-1),F373,INDEX($F$4:$F$603,($L$5-1))))</f>
        <v/>
      </c>
      <c r="R373" s="25">
        <f>IF(($L$5-1)&lt;1,"",IF(370&lt;=($L$5-1),G373,INDEX($G$4:$G$603,($L$5-1))))</f>
        <v/>
      </c>
      <c r="S373" s="25">
        <f>IF(($L$5-2)&lt;1,"",IF(370&lt;=($L$5-2),H373,INDEX($H$4:$H$603,($L$5-2))))</f>
        <v/>
      </c>
      <c r="T373" s="25">
        <f>IF(($L$5-2)&lt;1,"",IF(370&lt;=($L$5-2),I373,INDEX($I$4:$I$603,($L$5-2))))</f>
        <v/>
      </c>
    </row>
    <row r="374">
      <c r="A374" s="43" t="n"/>
      <c r="B374" s="43" t="n"/>
      <c r="C374" s="37">
        <f>IF(OR(A374="",A375=""),"",A375-A374)</f>
        <v/>
      </c>
      <c r="D374" s="37">
        <f>IF(C374="","",B375-B374)</f>
        <v/>
      </c>
      <c r="E374" s="37">
        <f>IF(C374="","",(A374+A375)/2)</f>
        <v/>
      </c>
      <c r="F374" s="25">
        <f>IF(OR(C374="",C374=0),"",D374/C374)</f>
        <v/>
      </c>
      <c r="G374" s="25">
        <f>IF(C374="","",D374/$L$6)</f>
        <v/>
      </c>
      <c r="H374" s="37">
        <f>IF(OR(F374="",F375=""),"",(E374+E375)/2)</f>
        <v/>
      </c>
      <c r="I374" s="25">
        <f>IF(H374="","",(F375-F374)/(E375-E374))</f>
        <v/>
      </c>
      <c r="P374" s="25">
        <f>IF(($L$5-1)&lt;1,"",IF(371&lt;=($L$5-1),E374,INDEX($E$4:$E$603,($L$5-1))))</f>
        <v/>
      </c>
      <c r="Q374" s="25">
        <f>IF(($L$5-1)&lt;1,"",IF(371&lt;=($L$5-1),F374,INDEX($F$4:$F$603,($L$5-1))))</f>
        <v/>
      </c>
      <c r="R374" s="25">
        <f>IF(($L$5-1)&lt;1,"",IF(371&lt;=($L$5-1),G374,INDEX($G$4:$G$603,($L$5-1))))</f>
        <v/>
      </c>
      <c r="S374" s="25">
        <f>IF(($L$5-2)&lt;1,"",IF(371&lt;=($L$5-2),H374,INDEX($H$4:$H$603,($L$5-2))))</f>
        <v/>
      </c>
      <c r="T374" s="25">
        <f>IF(($L$5-2)&lt;1,"",IF(371&lt;=($L$5-2),I374,INDEX($I$4:$I$603,($L$5-2))))</f>
        <v/>
      </c>
    </row>
    <row r="375">
      <c r="A375" s="43" t="n"/>
      <c r="B375" s="43" t="n"/>
      <c r="C375" s="37">
        <f>IF(OR(A375="",A376=""),"",A376-A375)</f>
        <v/>
      </c>
      <c r="D375" s="37">
        <f>IF(C375="","",B376-B375)</f>
        <v/>
      </c>
      <c r="E375" s="37">
        <f>IF(C375="","",(A375+A376)/2)</f>
        <v/>
      </c>
      <c r="F375" s="25">
        <f>IF(OR(C375="",C375=0),"",D375/C375)</f>
        <v/>
      </c>
      <c r="G375" s="25">
        <f>IF(C375="","",D375/$L$6)</f>
        <v/>
      </c>
      <c r="H375" s="37">
        <f>IF(OR(F375="",F376=""),"",(E375+E376)/2)</f>
        <v/>
      </c>
      <c r="I375" s="25">
        <f>IF(H375="","",(F376-F375)/(E376-E375))</f>
        <v/>
      </c>
      <c r="P375" s="25">
        <f>IF(($L$5-1)&lt;1,"",IF(372&lt;=($L$5-1),E375,INDEX($E$4:$E$603,($L$5-1))))</f>
        <v/>
      </c>
      <c r="Q375" s="25">
        <f>IF(($L$5-1)&lt;1,"",IF(372&lt;=($L$5-1),F375,INDEX($F$4:$F$603,($L$5-1))))</f>
        <v/>
      </c>
      <c r="R375" s="25">
        <f>IF(($L$5-1)&lt;1,"",IF(372&lt;=($L$5-1),G375,INDEX($G$4:$G$603,($L$5-1))))</f>
        <v/>
      </c>
      <c r="S375" s="25">
        <f>IF(($L$5-2)&lt;1,"",IF(372&lt;=($L$5-2),H375,INDEX($H$4:$H$603,($L$5-2))))</f>
        <v/>
      </c>
      <c r="T375" s="25">
        <f>IF(($L$5-2)&lt;1,"",IF(372&lt;=($L$5-2),I375,INDEX($I$4:$I$603,($L$5-2))))</f>
        <v/>
      </c>
    </row>
    <row r="376">
      <c r="A376" s="43" t="n"/>
      <c r="B376" s="43" t="n"/>
      <c r="C376" s="37">
        <f>IF(OR(A376="",A377=""),"",A377-A376)</f>
        <v/>
      </c>
      <c r="D376" s="37">
        <f>IF(C376="","",B377-B376)</f>
        <v/>
      </c>
      <c r="E376" s="37">
        <f>IF(C376="","",(A376+A377)/2)</f>
        <v/>
      </c>
      <c r="F376" s="25">
        <f>IF(OR(C376="",C376=0),"",D376/C376)</f>
        <v/>
      </c>
      <c r="G376" s="25">
        <f>IF(C376="","",D376/$L$6)</f>
        <v/>
      </c>
      <c r="H376" s="37">
        <f>IF(OR(F376="",F377=""),"",(E376+E377)/2)</f>
        <v/>
      </c>
      <c r="I376" s="25">
        <f>IF(H376="","",(F377-F376)/(E377-E376))</f>
        <v/>
      </c>
      <c r="P376" s="25">
        <f>IF(($L$5-1)&lt;1,"",IF(373&lt;=($L$5-1),E376,INDEX($E$4:$E$603,($L$5-1))))</f>
        <v/>
      </c>
      <c r="Q376" s="25">
        <f>IF(($L$5-1)&lt;1,"",IF(373&lt;=($L$5-1),F376,INDEX($F$4:$F$603,($L$5-1))))</f>
        <v/>
      </c>
      <c r="R376" s="25">
        <f>IF(($L$5-1)&lt;1,"",IF(373&lt;=($L$5-1),G376,INDEX($G$4:$G$603,($L$5-1))))</f>
        <v/>
      </c>
      <c r="S376" s="25">
        <f>IF(($L$5-2)&lt;1,"",IF(373&lt;=($L$5-2),H376,INDEX($H$4:$H$603,($L$5-2))))</f>
        <v/>
      </c>
      <c r="T376" s="25">
        <f>IF(($L$5-2)&lt;1,"",IF(373&lt;=($L$5-2),I376,INDEX($I$4:$I$603,($L$5-2))))</f>
        <v/>
      </c>
    </row>
    <row r="377">
      <c r="A377" s="43" t="n"/>
      <c r="B377" s="43" t="n"/>
      <c r="C377" s="37">
        <f>IF(OR(A377="",A378=""),"",A378-A377)</f>
        <v/>
      </c>
      <c r="D377" s="37">
        <f>IF(C377="","",B378-B377)</f>
        <v/>
      </c>
      <c r="E377" s="37">
        <f>IF(C377="","",(A377+A378)/2)</f>
        <v/>
      </c>
      <c r="F377" s="25">
        <f>IF(OR(C377="",C377=0),"",D377/C377)</f>
        <v/>
      </c>
      <c r="G377" s="25">
        <f>IF(C377="","",D377/$L$6)</f>
        <v/>
      </c>
      <c r="H377" s="37">
        <f>IF(OR(F377="",F378=""),"",(E377+E378)/2)</f>
        <v/>
      </c>
      <c r="I377" s="25">
        <f>IF(H377="","",(F378-F377)/(E378-E377))</f>
        <v/>
      </c>
      <c r="P377" s="25">
        <f>IF(($L$5-1)&lt;1,"",IF(374&lt;=($L$5-1),E377,INDEX($E$4:$E$603,($L$5-1))))</f>
        <v/>
      </c>
      <c r="Q377" s="25">
        <f>IF(($L$5-1)&lt;1,"",IF(374&lt;=($L$5-1),F377,INDEX($F$4:$F$603,($L$5-1))))</f>
        <v/>
      </c>
      <c r="R377" s="25">
        <f>IF(($L$5-1)&lt;1,"",IF(374&lt;=($L$5-1),G377,INDEX($G$4:$G$603,($L$5-1))))</f>
        <v/>
      </c>
      <c r="S377" s="25">
        <f>IF(($L$5-2)&lt;1,"",IF(374&lt;=($L$5-2),H377,INDEX($H$4:$H$603,($L$5-2))))</f>
        <v/>
      </c>
      <c r="T377" s="25">
        <f>IF(($L$5-2)&lt;1,"",IF(374&lt;=($L$5-2),I377,INDEX($I$4:$I$603,($L$5-2))))</f>
        <v/>
      </c>
    </row>
    <row r="378">
      <c r="A378" s="43" t="n"/>
      <c r="B378" s="43" t="n"/>
      <c r="C378" s="37">
        <f>IF(OR(A378="",A379=""),"",A379-A378)</f>
        <v/>
      </c>
      <c r="D378" s="37">
        <f>IF(C378="","",B379-B378)</f>
        <v/>
      </c>
      <c r="E378" s="37">
        <f>IF(C378="","",(A378+A379)/2)</f>
        <v/>
      </c>
      <c r="F378" s="25">
        <f>IF(OR(C378="",C378=0),"",D378/C378)</f>
        <v/>
      </c>
      <c r="G378" s="25">
        <f>IF(C378="","",D378/$L$6)</f>
        <v/>
      </c>
      <c r="H378" s="37">
        <f>IF(OR(F378="",F379=""),"",(E378+E379)/2)</f>
        <v/>
      </c>
      <c r="I378" s="25">
        <f>IF(H378="","",(F379-F378)/(E379-E378))</f>
        <v/>
      </c>
      <c r="P378" s="25">
        <f>IF(($L$5-1)&lt;1,"",IF(375&lt;=($L$5-1),E378,INDEX($E$4:$E$603,($L$5-1))))</f>
        <v/>
      </c>
      <c r="Q378" s="25">
        <f>IF(($L$5-1)&lt;1,"",IF(375&lt;=($L$5-1),F378,INDEX($F$4:$F$603,($L$5-1))))</f>
        <v/>
      </c>
      <c r="R378" s="25">
        <f>IF(($L$5-1)&lt;1,"",IF(375&lt;=($L$5-1),G378,INDEX($G$4:$G$603,($L$5-1))))</f>
        <v/>
      </c>
      <c r="S378" s="25">
        <f>IF(($L$5-2)&lt;1,"",IF(375&lt;=($L$5-2),H378,INDEX($H$4:$H$603,($L$5-2))))</f>
        <v/>
      </c>
      <c r="T378" s="25">
        <f>IF(($L$5-2)&lt;1,"",IF(375&lt;=($L$5-2),I378,INDEX($I$4:$I$603,($L$5-2))))</f>
        <v/>
      </c>
    </row>
    <row r="379">
      <c r="A379" s="43" t="n"/>
      <c r="B379" s="43" t="n"/>
      <c r="C379" s="37">
        <f>IF(OR(A379="",A380=""),"",A380-A379)</f>
        <v/>
      </c>
      <c r="D379" s="37">
        <f>IF(C379="","",B380-B379)</f>
        <v/>
      </c>
      <c r="E379" s="37">
        <f>IF(C379="","",(A379+A380)/2)</f>
        <v/>
      </c>
      <c r="F379" s="25">
        <f>IF(OR(C379="",C379=0),"",D379/C379)</f>
        <v/>
      </c>
      <c r="G379" s="25">
        <f>IF(C379="","",D379/$L$6)</f>
        <v/>
      </c>
      <c r="H379" s="37">
        <f>IF(OR(F379="",F380=""),"",(E379+E380)/2)</f>
        <v/>
      </c>
      <c r="I379" s="25">
        <f>IF(H379="","",(F380-F379)/(E380-E379))</f>
        <v/>
      </c>
      <c r="P379" s="25">
        <f>IF(($L$5-1)&lt;1,"",IF(376&lt;=($L$5-1),E379,INDEX($E$4:$E$603,($L$5-1))))</f>
        <v/>
      </c>
      <c r="Q379" s="25">
        <f>IF(($L$5-1)&lt;1,"",IF(376&lt;=($L$5-1),F379,INDEX($F$4:$F$603,($L$5-1))))</f>
        <v/>
      </c>
      <c r="R379" s="25">
        <f>IF(($L$5-1)&lt;1,"",IF(376&lt;=($L$5-1),G379,INDEX($G$4:$G$603,($L$5-1))))</f>
        <v/>
      </c>
      <c r="S379" s="25">
        <f>IF(($L$5-2)&lt;1,"",IF(376&lt;=($L$5-2),H379,INDEX($H$4:$H$603,($L$5-2))))</f>
        <v/>
      </c>
      <c r="T379" s="25">
        <f>IF(($L$5-2)&lt;1,"",IF(376&lt;=($L$5-2),I379,INDEX($I$4:$I$603,($L$5-2))))</f>
        <v/>
      </c>
    </row>
    <row r="380">
      <c r="A380" s="43" t="n"/>
      <c r="B380" s="43" t="n"/>
      <c r="C380" s="37">
        <f>IF(OR(A380="",A381=""),"",A381-A380)</f>
        <v/>
      </c>
      <c r="D380" s="37">
        <f>IF(C380="","",B381-B380)</f>
        <v/>
      </c>
      <c r="E380" s="37">
        <f>IF(C380="","",(A380+A381)/2)</f>
        <v/>
      </c>
      <c r="F380" s="25">
        <f>IF(OR(C380="",C380=0),"",D380/C380)</f>
        <v/>
      </c>
      <c r="G380" s="25">
        <f>IF(C380="","",D380/$L$6)</f>
        <v/>
      </c>
      <c r="H380" s="37">
        <f>IF(OR(F380="",F381=""),"",(E380+E381)/2)</f>
        <v/>
      </c>
      <c r="I380" s="25">
        <f>IF(H380="","",(F381-F380)/(E381-E380))</f>
        <v/>
      </c>
      <c r="P380" s="25">
        <f>IF(($L$5-1)&lt;1,"",IF(377&lt;=($L$5-1),E380,INDEX($E$4:$E$603,($L$5-1))))</f>
        <v/>
      </c>
      <c r="Q380" s="25">
        <f>IF(($L$5-1)&lt;1,"",IF(377&lt;=($L$5-1),F380,INDEX($F$4:$F$603,($L$5-1))))</f>
        <v/>
      </c>
      <c r="R380" s="25">
        <f>IF(($L$5-1)&lt;1,"",IF(377&lt;=($L$5-1),G380,INDEX($G$4:$G$603,($L$5-1))))</f>
        <v/>
      </c>
      <c r="S380" s="25">
        <f>IF(($L$5-2)&lt;1,"",IF(377&lt;=($L$5-2),H380,INDEX($H$4:$H$603,($L$5-2))))</f>
        <v/>
      </c>
      <c r="T380" s="25">
        <f>IF(($L$5-2)&lt;1,"",IF(377&lt;=($L$5-2),I380,INDEX($I$4:$I$603,($L$5-2))))</f>
        <v/>
      </c>
    </row>
    <row r="381">
      <c r="A381" s="43" t="n"/>
      <c r="B381" s="43" t="n"/>
      <c r="C381" s="37">
        <f>IF(OR(A381="",A382=""),"",A382-A381)</f>
        <v/>
      </c>
      <c r="D381" s="37">
        <f>IF(C381="","",B382-B381)</f>
        <v/>
      </c>
      <c r="E381" s="37">
        <f>IF(C381="","",(A381+A382)/2)</f>
        <v/>
      </c>
      <c r="F381" s="25">
        <f>IF(OR(C381="",C381=0),"",D381/C381)</f>
        <v/>
      </c>
      <c r="G381" s="25">
        <f>IF(C381="","",D381/$L$6)</f>
        <v/>
      </c>
      <c r="H381" s="37">
        <f>IF(OR(F381="",F382=""),"",(E381+E382)/2)</f>
        <v/>
      </c>
      <c r="I381" s="25">
        <f>IF(H381="","",(F382-F381)/(E382-E381))</f>
        <v/>
      </c>
      <c r="P381" s="25">
        <f>IF(($L$5-1)&lt;1,"",IF(378&lt;=($L$5-1),E381,INDEX($E$4:$E$603,($L$5-1))))</f>
        <v/>
      </c>
      <c r="Q381" s="25">
        <f>IF(($L$5-1)&lt;1,"",IF(378&lt;=($L$5-1),F381,INDEX($F$4:$F$603,($L$5-1))))</f>
        <v/>
      </c>
      <c r="R381" s="25">
        <f>IF(($L$5-1)&lt;1,"",IF(378&lt;=($L$5-1),G381,INDEX($G$4:$G$603,($L$5-1))))</f>
        <v/>
      </c>
      <c r="S381" s="25">
        <f>IF(($L$5-2)&lt;1,"",IF(378&lt;=($L$5-2),H381,INDEX($H$4:$H$603,($L$5-2))))</f>
        <v/>
      </c>
      <c r="T381" s="25">
        <f>IF(($L$5-2)&lt;1,"",IF(378&lt;=($L$5-2),I381,INDEX($I$4:$I$603,($L$5-2))))</f>
        <v/>
      </c>
    </row>
    <row r="382">
      <c r="A382" s="43" t="n"/>
      <c r="B382" s="43" t="n"/>
      <c r="C382" s="37">
        <f>IF(OR(A382="",A383=""),"",A383-A382)</f>
        <v/>
      </c>
      <c r="D382" s="37">
        <f>IF(C382="","",B383-B382)</f>
        <v/>
      </c>
      <c r="E382" s="37">
        <f>IF(C382="","",(A382+A383)/2)</f>
        <v/>
      </c>
      <c r="F382" s="25">
        <f>IF(OR(C382="",C382=0),"",D382/C382)</f>
        <v/>
      </c>
      <c r="G382" s="25">
        <f>IF(C382="","",D382/$L$6)</f>
        <v/>
      </c>
      <c r="H382" s="37">
        <f>IF(OR(F382="",F383=""),"",(E382+E383)/2)</f>
        <v/>
      </c>
      <c r="I382" s="25">
        <f>IF(H382="","",(F383-F382)/(E383-E382))</f>
        <v/>
      </c>
      <c r="P382" s="25">
        <f>IF(($L$5-1)&lt;1,"",IF(379&lt;=($L$5-1),E382,INDEX($E$4:$E$603,($L$5-1))))</f>
        <v/>
      </c>
      <c r="Q382" s="25">
        <f>IF(($L$5-1)&lt;1,"",IF(379&lt;=($L$5-1),F382,INDEX($F$4:$F$603,($L$5-1))))</f>
        <v/>
      </c>
      <c r="R382" s="25">
        <f>IF(($L$5-1)&lt;1,"",IF(379&lt;=($L$5-1),G382,INDEX($G$4:$G$603,($L$5-1))))</f>
        <v/>
      </c>
      <c r="S382" s="25">
        <f>IF(($L$5-2)&lt;1,"",IF(379&lt;=($L$5-2),H382,INDEX($H$4:$H$603,($L$5-2))))</f>
        <v/>
      </c>
      <c r="T382" s="25">
        <f>IF(($L$5-2)&lt;1,"",IF(379&lt;=($L$5-2),I382,INDEX($I$4:$I$603,($L$5-2))))</f>
        <v/>
      </c>
    </row>
    <row r="383">
      <c r="A383" s="43" t="n"/>
      <c r="B383" s="43" t="n"/>
      <c r="C383" s="37">
        <f>IF(OR(A383="",A384=""),"",A384-A383)</f>
        <v/>
      </c>
      <c r="D383" s="37">
        <f>IF(C383="","",B384-B383)</f>
        <v/>
      </c>
      <c r="E383" s="37">
        <f>IF(C383="","",(A383+A384)/2)</f>
        <v/>
      </c>
      <c r="F383" s="25">
        <f>IF(OR(C383="",C383=0),"",D383/C383)</f>
        <v/>
      </c>
      <c r="G383" s="25">
        <f>IF(C383="","",D383/$L$6)</f>
        <v/>
      </c>
      <c r="H383" s="37">
        <f>IF(OR(F383="",F384=""),"",(E383+E384)/2)</f>
        <v/>
      </c>
      <c r="I383" s="25">
        <f>IF(H383="","",(F384-F383)/(E384-E383))</f>
        <v/>
      </c>
      <c r="P383" s="25">
        <f>IF(($L$5-1)&lt;1,"",IF(380&lt;=($L$5-1),E383,INDEX($E$4:$E$603,($L$5-1))))</f>
        <v/>
      </c>
      <c r="Q383" s="25">
        <f>IF(($L$5-1)&lt;1,"",IF(380&lt;=($L$5-1),F383,INDEX($F$4:$F$603,($L$5-1))))</f>
        <v/>
      </c>
      <c r="R383" s="25">
        <f>IF(($L$5-1)&lt;1,"",IF(380&lt;=($L$5-1),G383,INDEX($G$4:$G$603,($L$5-1))))</f>
        <v/>
      </c>
      <c r="S383" s="25">
        <f>IF(($L$5-2)&lt;1,"",IF(380&lt;=($L$5-2),H383,INDEX($H$4:$H$603,($L$5-2))))</f>
        <v/>
      </c>
      <c r="T383" s="25">
        <f>IF(($L$5-2)&lt;1,"",IF(380&lt;=($L$5-2),I383,INDEX($I$4:$I$603,($L$5-2))))</f>
        <v/>
      </c>
    </row>
    <row r="384">
      <c r="A384" s="43" t="n"/>
      <c r="B384" s="43" t="n"/>
      <c r="C384" s="37">
        <f>IF(OR(A384="",A385=""),"",A385-A384)</f>
        <v/>
      </c>
      <c r="D384" s="37">
        <f>IF(C384="","",B385-B384)</f>
        <v/>
      </c>
      <c r="E384" s="37">
        <f>IF(C384="","",(A384+A385)/2)</f>
        <v/>
      </c>
      <c r="F384" s="25">
        <f>IF(OR(C384="",C384=0),"",D384/C384)</f>
        <v/>
      </c>
      <c r="G384" s="25">
        <f>IF(C384="","",D384/$L$6)</f>
        <v/>
      </c>
      <c r="H384" s="37">
        <f>IF(OR(F384="",F385=""),"",(E384+E385)/2)</f>
        <v/>
      </c>
      <c r="I384" s="25">
        <f>IF(H384="","",(F385-F384)/(E385-E384))</f>
        <v/>
      </c>
      <c r="P384" s="25">
        <f>IF(($L$5-1)&lt;1,"",IF(381&lt;=($L$5-1),E384,INDEX($E$4:$E$603,($L$5-1))))</f>
        <v/>
      </c>
      <c r="Q384" s="25">
        <f>IF(($L$5-1)&lt;1,"",IF(381&lt;=($L$5-1),F384,INDEX($F$4:$F$603,($L$5-1))))</f>
        <v/>
      </c>
      <c r="R384" s="25">
        <f>IF(($L$5-1)&lt;1,"",IF(381&lt;=($L$5-1),G384,INDEX($G$4:$G$603,($L$5-1))))</f>
        <v/>
      </c>
      <c r="S384" s="25">
        <f>IF(($L$5-2)&lt;1,"",IF(381&lt;=($L$5-2),H384,INDEX($H$4:$H$603,($L$5-2))))</f>
        <v/>
      </c>
      <c r="T384" s="25">
        <f>IF(($L$5-2)&lt;1,"",IF(381&lt;=($L$5-2),I384,INDEX($I$4:$I$603,($L$5-2))))</f>
        <v/>
      </c>
    </row>
    <row r="385">
      <c r="A385" s="43" t="n"/>
      <c r="B385" s="43" t="n"/>
      <c r="C385" s="37">
        <f>IF(OR(A385="",A386=""),"",A386-A385)</f>
        <v/>
      </c>
      <c r="D385" s="37">
        <f>IF(C385="","",B386-B385)</f>
        <v/>
      </c>
      <c r="E385" s="37">
        <f>IF(C385="","",(A385+A386)/2)</f>
        <v/>
      </c>
      <c r="F385" s="25">
        <f>IF(OR(C385="",C385=0),"",D385/C385)</f>
        <v/>
      </c>
      <c r="G385" s="25">
        <f>IF(C385="","",D385/$L$6)</f>
        <v/>
      </c>
      <c r="H385" s="37">
        <f>IF(OR(F385="",F386=""),"",(E385+E386)/2)</f>
        <v/>
      </c>
      <c r="I385" s="25">
        <f>IF(H385="","",(F386-F385)/(E386-E385))</f>
        <v/>
      </c>
      <c r="P385" s="25">
        <f>IF(($L$5-1)&lt;1,"",IF(382&lt;=($L$5-1),E385,INDEX($E$4:$E$603,($L$5-1))))</f>
        <v/>
      </c>
      <c r="Q385" s="25">
        <f>IF(($L$5-1)&lt;1,"",IF(382&lt;=($L$5-1),F385,INDEX($F$4:$F$603,($L$5-1))))</f>
        <v/>
      </c>
      <c r="R385" s="25">
        <f>IF(($L$5-1)&lt;1,"",IF(382&lt;=($L$5-1),G385,INDEX($G$4:$G$603,($L$5-1))))</f>
        <v/>
      </c>
      <c r="S385" s="25">
        <f>IF(($L$5-2)&lt;1,"",IF(382&lt;=($L$5-2),H385,INDEX($H$4:$H$603,($L$5-2))))</f>
        <v/>
      </c>
      <c r="T385" s="25">
        <f>IF(($L$5-2)&lt;1,"",IF(382&lt;=($L$5-2),I385,INDEX($I$4:$I$603,($L$5-2))))</f>
        <v/>
      </c>
    </row>
    <row r="386">
      <c r="A386" s="43" t="n"/>
      <c r="B386" s="43" t="n"/>
      <c r="C386" s="37">
        <f>IF(OR(A386="",A387=""),"",A387-A386)</f>
        <v/>
      </c>
      <c r="D386" s="37">
        <f>IF(C386="","",B387-B386)</f>
        <v/>
      </c>
      <c r="E386" s="37">
        <f>IF(C386="","",(A386+A387)/2)</f>
        <v/>
      </c>
      <c r="F386" s="25">
        <f>IF(OR(C386="",C386=0),"",D386/C386)</f>
        <v/>
      </c>
      <c r="G386" s="25">
        <f>IF(C386="","",D386/$L$6)</f>
        <v/>
      </c>
      <c r="H386" s="37">
        <f>IF(OR(F386="",F387=""),"",(E386+E387)/2)</f>
        <v/>
      </c>
      <c r="I386" s="25">
        <f>IF(H386="","",(F387-F386)/(E387-E386))</f>
        <v/>
      </c>
      <c r="P386" s="25">
        <f>IF(($L$5-1)&lt;1,"",IF(383&lt;=($L$5-1),E386,INDEX($E$4:$E$603,($L$5-1))))</f>
        <v/>
      </c>
      <c r="Q386" s="25">
        <f>IF(($L$5-1)&lt;1,"",IF(383&lt;=($L$5-1),F386,INDEX($F$4:$F$603,($L$5-1))))</f>
        <v/>
      </c>
      <c r="R386" s="25">
        <f>IF(($L$5-1)&lt;1,"",IF(383&lt;=($L$5-1),G386,INDEX($G$4:$G$603,($L$5-1))))</f>
        <v/>
      </c>
      <c r="S386" s="25">
        <f>IF(($L$5-2)&lt;1,"",IF(383&lt;=($L$5-2),H386,INDEX($H$4:$H$603,($L$5-2))))</f>
        <v/>
      </c>
      <c r="T386" s="25">
        <f>IF(($L$5-2)&lt;1,"",IF(383&lt;=($L$5-2),I386,INDEX($I$4:$I$603,($L$5-2))))</f>
        <v/>
      </c>
    </row>
    <row r="387">
      <c r="A387" s="43" t="n"/>
      <c r="B387" s="43" t="n"/>
      <c r="C387" s="37">
        <f>IF(OR(A387="",A388=""),"",A388-A387)</f>
        <v/>
      </c>
      <c r="D387" s="37">
        <f>IF(C387="","",B388-B387)</f>
        <v/>
      </c>
      <c r="E387" s="37">
        <f>IF(C387="","",(A387+A388)/2)</f>
        <v/>
      </c>
      <c r="F387" s="25">
        <f>IF(OR(C387="",C387=0),"",D387/C387)</f>
        <v/>
      </c>
      <c r="G387" s="25">
        <f>IF(C387="","",D387/$L$6)</f>
        <v/>
      </c>
      <c r="H387" s="37">
        <f>IF(OR(F387="",F388=""),"",(E387+E388)/2)</f>
        <v/>
      </c>
      <c r="I387" s="25">
        <f>IF(H387="","",(F388-F387)/(E388-E387))</f>
        <v/>
      </c>
      <c r="P387" s="25">
        <f>IF(($L$5-1)&lt;1,"",IF(384&lt;=($L$5-1),E387,INDEX($E$4:$E$603,($L$5-1))))</f>
        <v/>
      </c>
      <c r="Q387" s="25">
        <f>IF(($L$5-1)&lt;1,"",IF(384&lt;=($L$5-1),F387,INDEX($F$4:$F$603,($L$5-1))))</f>
        <v/>
      </c>
      <c r="R387" s="25">
        <f>IF(($L$5-1)&lt;1,"",IF(384&lt;=($L$5-1),G387,INDEX($G$4:$G$603,($L$5-1))))</f>
        <v/>
      </c>
      <c r="S387" s="25">
        <f>IF(($L$5-2)&lt;1,"",IF(384&lt;=($L$5-2),H387,INDEX($H$4:$H$603,($L$5-2))))</f>
        <v/>
      </c>
      <c r="T387" s="25">
        <f>IF(($L$5-2)&lt;1,"",IF(384&lt;=($L$5-2),I387,INDEX($I$4:$I$603,($L$5-2))))</f>
        <v/>
      </c>
    </row>
    <row r="388">
      <c r="A388" s="43" t="n"/>
      <c r="B388" s="43" t="n"/>
      <c r="C388" s="37">
        <f>IF(OR(A388="",A389=""),"",A389-A388)</f>
        <v/>
      </c>
      <c r="D388" s="37">
        <f>IF(C388="","",B389-B388)</f>
        <v/>
      </c>
      <c r="E388" s="37">
        <f>IF(C388="","",(A388+A389)/2)</f>
        <v/>
      </c>
      <c r="F388" s="25">
        <f>IF(OR(C388="",C388=0),"",D388/C388)</f>
        <v/>
      </c>
      <c r="G388" s="25">
        <f>IF(C388="","",D388/$L$6)</f>
        <v/>
      </c>
      <c r="H388" s="37">
        <f>IF(OR(F388="",F389=""),"",(E388+E389)/2)</f>
        <v/>
      </c>
      <c r="I388" s="25">
        <f>IF(H388="","",(F389-F388)/(E389-E388))</f>
        <v/>
      </c>
      <c r="P388" s="25">
        <f>IF(($L$5-1)&lt;1,"",IF(385&lt;=($L$5-1),E388,INDEX($E$4:$E$603,($L$5-1))))</f>
        <v/>
      </c>
      <c r="Q388" s="25">
        <f>IF(($L$5-1)&lt;1,"",IF(385&lt;=($L$5-1),F388,INDEX($F$4:$F$603,($L$5-1))))</f>
        <v/>
      </c>
      <c r="R388" s="25">
        <f>IF(($L$5-1)&lt;1,"",IF(385&lt;=($L$5-1),G388,INDEX($G$4:$G$603,($L$5-1))))</f>
        <v/>
      </c>
      <c r="S388" s="25">
        <f>IF(($L$5-2)&lt;1,"",IF(385&lt;=($L$5-2),H388,INDEX($H$4:$H$603,($L$5-2))))</f>
        <v/>
      </c>
      <c r="T388" s="25">
        <f>IF(($L$5-2)&lt;1,"",IF(385&lt;=($L$5-2),I388,INDEX($I$4:$I$603,($L$5-2))))</f>
        <v/>
      </c>
    </row>
    <row r="389">
      <c r="A389" s="43" t="n"/>
      <c r="B389" s="43" t="n"/>
      <c r="C389" s="37">
        <f>IF(OR(A389="",A390=""),"",A390-A389)</f>
        <v/>
      </c>
      <c r="D389" s="37">
        <f>IF(C389="","",B390-B389)</f>
        <v/>
      </c>
      <c r="E389" s="37">
        <f>IF(C389="","",(A389+A390)/2)</f>
        <v/>
      </c>
      <c r="F389" s="25">
        <f>IF(OR(C389="",C389=0),"",D389/C389)</f>
        <v/>
      </c>
      <c r="G389" s="25">
        <f>IF(C389="","",D389/$L$6)</f>
        <v/>
      </c>
      <c r="H389" s="37">
        <f>IF(OR(F389="",F390=""),"",(E389+E390)/2)</f>
        <v/>
      </c>
      <c r="I389" s="25">
        <f>IF(H389="","",(F390-F389)/(E390-E389))</f>
        <v/>
      </c>
      <c r="P389" s="25">
        <f>IF(($L$5-1)&lt;1,"",IF(386&lt;=($L$5-1),E389,INDEX($E$4:$E$603,($L$5-1))))</f>
        <v/>
      </c>
      <c r="Q389" s="25">
        <f>IF(($L$5-1)&lt;1,"",IF(386&lt;=($L$5-1),F389,INDEX($F$4:$F$603,($L$5-1))))</f>
        <v/>
      </c>
      <c r="R389" s="25">
        <f>IF(($L$5-1)&lt;1,"",IF(386&lt;=($L$5-1),G389,INDEX($G$4:$G$603,($L$5-1))))</f>
        <v/>
      </c>
      <c r="S389" s="25">
        <f>IF(($L$5-2)&lt;1,"",IF(386&lt;=($L$5-2),H389,INDEX($H$4:$H$603,($L$5-2))))</f>
        <v/>
      </c>
      <c r="T389" s="25">
        <f>IF(($L$5-2)&lt;1,"",IF(386&lt;=($L$5-2),I389,INDEX($I$4:$I$603,($L$5-2))))</f>
        <v/>
      </c>
    </row>
    <row r="390">
      <c r="A390" s="43" t="n"/>
      <c r="B390" s="43" t="n"/>
      <c r="C390" s="37">
        <f>IF(OR(A390="",A391=""),"",A391-A390)</f>
        <v/>
      </c>
      <c r="D390" s="37">
        <f>IF(C390="","",B391-B390)</f>
        <v/>
      </c>
      <c r="E390" s="37">
        <f>IF(C390="","",(A390+A391)/2)</f>
        <v/>
      </c>
      <c r="F390" s="25">
        <f>IF(OR(C390="",C390=0),"",D390/C390)</f>
        <v/>
      </c>
      <c r="G390" s="25">
        <f>IF(C390="","",D390/$L$6)</f>
        <v/>
      </c>
      <c r="H390" s="37">
        <f>IF(OR(F390="",F391=""),"",(E390+E391)/2)</f>
        <v/>
      </c>
      <c r="I390" s="25">
        <f>IF(H390="","",(F391-F390)/(E391-E390))</f>
        <v/>
      </c>
      <c r="P390" s="25">
        <f>IF(($L$5-1)&lt;1,"",IF(387&lt;=($L$5-1),E390,INDEX($E$4:$E$603,($L$5-1))))</f>
        <v/>
      </c>
      <c r="Q390" s="25">
        <f>IF(($L$5-1)&lt;1,"",IF(387&lt;=($L$5-1),F390,INDEX($F$4:$F$603,($L$5-1))))</f>
        <v/>
      </c>
      <c r="R390" s="25">
        <f>IF(($L$5-1)&lt;1,"",IF(387&lt;=($L$5-1),G390,INDEX($G$4:$G$603,($L$5-1))))</f>
        <v/>
      </c>
      <c r="S390" s="25">
        <f>IF(($L$5-2)&lt;1,"",IF(387&lt;=($L$5-2),H390,INDEX($H$4:$H$603,($L$5-2))))</f>
        <v/>
      </c>
      <c r="T390" s="25">
        <f>IF(($L$5-2)&lt;1,"",IF(387&lt;=($L$5-2),I390,INDEX($I$4:$I$603,($L$5-2))))</f>
        <v/>
      </c>
    </row>
    <row r="391">
      <c r="A391" s="43" t="n"/>
      <c r="B391" s="43" t="n"/>
      <c r="C391" s="37">
        <f>IF(OR(A391="",A392=""),"",A392-A391)</f>
        <v/>
      </c>
      <c r="D391" s="37">
        <f>IF(C391="","",B392-B391)</f>
        <v/>
      </c>
      <c r="E391" s="37">
        <f>IF(C391="","",(A391+A392)/2)</f>
        <v/>
      </c>
      <c r="F391" s="25">
        <f>IF(OR(C391="",C391=0),"",D391/C391)</f>
        <v/>
      </c>
      <c r="G391" s="25">
        <f>IF(C391="","",D391/$L$6)</f>
        <v/>
      </c>
      <c r="H391" s="37">
        <f>IF(OR(F391="",F392=""),"",(E391+E392)/2)</f>
        <v/>
      </c>
      <c r="I391" s="25">
        <f>IF(H391="","",(F392-F391)/(E392-E391))</f>
        <v/>
      </c>
      <c r="P391" s="25">
        <f>IF(($L$5-1)&lt;1,"",IF(388&lt;=($L$5-1),E391,INDEX($E$4:$E$603,($L$5-1))))</f>
        <v/>
      </c>
      <c r="Q391" s="25">
        <f>IF(($L$5-1)&lt;1,"",IF(388&lt;=($L$5-1),F391,INDEX($F$4:$F$603,($L$5-1))))</f>
        <v/>
      </c>
      <c r="R391" s="25">
        <f>IF(($L$5-1)&lt;1,"",IF(388&lt;=($L$5-1),G391,INDEX($G$4:$G$603,($L$5-1))))</f>
        <v/>
      </c>
      <c r="S391" s="25">
        <f>IF(($L$5-2)&lt;1,"",IF(388&lt;=($L$5-2),H391,INDEX($H$4:$H$603,($L$5-2))))</f>
        <v/>
      </c>
      <c r="T391" s="25">
        <f>IF(($L$5-2)&lt;1,"",IF(388&lt;=($L$5-2),I391,INDEX($I$4:$I$603,($L$5-2))))</f>
        <v/>
      </c>
    </row>
    <row r="392">
      <c r="A392" s="43" t="n"/>
      <c r="B392" s="43" t="n"/>
      <c r="C392" s="37">
        <f>IF(OR(A392="",A393=""),"",A393-A392)</f>
        <v/>
      </c>
      <c r="D392" s="37">
        <f>IF(C392="","",B393-B392)</f>
        <v/>
      </c>
      <c r="E392" s="37">
        <f>IF(C392="","",(A392+A393)/2)</f>
        <v/>
      </c>
      <c r="F392" s="25">
        <f>IF(OR(C392="",C392=0),"",D392/C392)</f>
        <v/>
      </c>
      <c r="G392" s="25">
        <f>IF(C392="","",D392/$L$6)</f>
        <v/>
      </c>
      <c r="H392" s="37">
        <f>IF(OR(F392="",F393=""),"",(E392+E393)/2)</f>
        <v/>
      </c>
      <c r="I392" s="25">
        <f>IF(H392="","",(F393-F392)/(E393-E392))</f>
        <v/>
      </c>
      <c r="P392" s="25">
        <f>IF(($L$5-1)&lt;1,"",IF(389&lt;=($L$5-1),E392,INDEX($E$4:$E$603,($L$5-1))))</f>
        <v/>
      </c>
      <c r="Q392" s="25">
        <f>IF(($L$5-1)&lt;1,"",IF(389&lt;=($L$5-1),F392,INDEX($F$4:$F$603,($L$5-1))))</f>
        <v/>
      </c>
      <c r="R392" s="25">
        <f>IF(($L$5-1)&lt;1,"",IF(389&lt;=($L$5-1),G392,INDEX($G$4:$G$603,($L$5-1))))</f>
        <v/>
      </c>
      <c r="S392" s="25">
        <f>IF(($L$5-2)&lt;1,"",IF(389&lt;=($L$5-2),H392,INDEX($H$4:$H$603,($L$5-2))))</f>
        <v/>
      </c>
      <c r="T392" s="25">
        <f>IF(($L$5-2)&lt;1,"",IF(389&lt;=($L$5-2),I392,INDEX($I$4:$I$603,($L$5-2))))</f>
        <v/>
      </c>
    </row>
    <row r="393">
      <c r="A393" s="43" t="n"/>
      <c r="B393" s="43" t="n"/>
      <c r="C393" s="37">
        <f>IF(OR(A393="",A394=""),"",A394-A393)</f>
        <v/>
      </c>
      <c r="D393" s="37">
        <f>IF(C393="","",B394-B393)</f>
        <v/>
      </c>
      <c r="E393" s="37">
        <f>IF(C393="","",(A393+A394)/2)</f>
        <v/>
      </c>
      <c r="F393" s="25">
        <f>IF(OR(C393="",C393=0),"",D393/C393)</f>
        <v/>
      </c>
      <c r="G393" s="25">
        <f>IF(C393="","",D393/$L$6)</f>
        <v/>
      </c>
      <c r="H393" s="37">
        <f>IF(OR(F393="",F394=""),"",(E393+E394)/2)</f>
        <v/>
      </c>
      <c r="I393" s="25">
        <f>IF(H393="","",(F394-F393)/(E394-E393))</f>
        <v/>
      </c>
      <c r="P393" s="25">
        <f>IF(($L$5-1)&lt;1,"",IF(390&lt;=($L$5-1),E393,INDEX($E$4:$E$603,($L$5-1))))</f>
        <v/>
      </c>
      <c r="Q393" s="25">
        <f>IF(($L$5-1)&lt;1,"",IF(390&lt;=($L$5-1),F393,INDEX($F$4:$F$603,($L$5-1))))</f>
        <v/>
      </c>
      <c r="R393" s="25">
        <f>IF(($L$5-1)&lt;1,"",IF(390&lt;=($L$5-1),G393,INDEX($G$4:$G$603,($L$5-1))))</f>
        <v/>
      </c>
      <c r="S393" s="25">
        <f>IF(($L$5-2)&lt;1,"",IF(390&lt;=($L$5-2),H393,INDEX($H$4:$H$603,($L$5-2))))</f>
        <v/>
      </c>
      <c r="T393" s="25">
        <f>IF(($L$5-2)&lt;1,"",IF(390&lt;=($L$5-2),I393,INDEX($I$4:$I$603,($L$5-2))))</f>
        <v/>
      </c>
    </row>
    <row r="394">
      <c r="A394" s="43" t="n"/>
      <c r="B394" s="43" t="n"/>
      <c r="C394" s="37">
        <f>IF(OR(A394="",A395=""),"",A395-A394)</f>
        <v/>
      </c>
      <c r="D394" s="37">
        <f>IF(C394="","",B395-B394)</f>
        <v/>
      </c>
      <c r="E394" s="37">
        <f>IF(C394="","",(A394+A395)/2)</f>
        <v/>
      </c>
      <c r="F394" s="25">
        <f>IF(OR(C394="",C394=0),"",D394/C394)</f>
        <v/>
      </c>
      <c r="G394" s="25">
        <f>IF(C394="","",D394/$L$6)</f>
        <v/>
      </c>
      <c r="H394" s="37">
        <f>IF(OR(F394="",F395=""),"",(E394+E395)/2)</f>
        <v/>
      </c>
      <c r="I394" s="25">
        <f>IF(H394="","",(F395-F394)/(E395-E394))</f>
        <v/>
      </c>
      <c r="P394" s="25">
        <f>IF(($L$5-1)&lt;1,"",IF(391&lt;=($L$5-1),E394,INDEX($E$4:$E$603,($L$5-1))))</f>
        <v/>
      </c>
      <c r="Q394" s="25">
        <f>IF(($L$5-1)&lt;1,"",IF(391&lt;=($L$5-1),F394,INDEX($F$4:$F$603,($L$5-1))))</f>
        <v/>
      </c>
      <c r="R394" s="25">
        <f>IF(($L$5-1)&lt;1,"",IF(391&lt;=($L$5-1),G394,INDEX($G$4:$G$603,($L$5-1))))</f>
        <v/>
      </c>
      <c r="S394" s="25">
        <f>IF(($L$5-2)&lt;1,"",IF(391&lt;=($L$5-2),H394,INDEX($H$4:$H$603,($L$5-2))))</f>
        <v/>
      </c>
      <c r="T394" s="25">
        <f>IF(($L$5-2)&lt;1,"",IF(391&lt;=($L$5-2),I394,INDEX($I$4:$I$603,($L$5-2))))</f>
        <v/>
      </c>
    </row>
    <row r="395">
      <c r="A395" s="43" t="n"/>
      <c r="B395" s="43" t="n"/>
      <c r="C395" s="37">
        <f>IF(OR(A395="",A396=""),"",A396-A395)</f>
        <v/>
      </c>
      <c r="D395" s="37">
        <f>IF(C395="","",B396-B395)</f>
        <v/>
      </c>
      <c r="E395" s="37">
        <f>IF(C395="","",(A395+A396)/2)</f>
        <v/>
      </c>
      <c r="F395" s="25">
        <f>IF(OR(C395="",C395=0),"",D395/C395)</f>
        <v/>
      </c>
      <c r="G395" s="25">
        <f>IF(C395="","",D395/$L$6)</f>
        <v/>
      </c>
      <c r="H395" s="37">
        <f>IF(OR(F395="",F396=""),"",(E395+E396)/2)</f>
        <v/>
      </c>
      <c r="I395" s="25">
        <f>IF(H395="","",(F396-F395)/(E396-E395))</f>
        <v/>
      </c>
      <c r="P395" s="25">
        <f>IF(($L$5-1)&lt;1,"",IF(392&lt;=($L$5-1),E395,INDEX($E$4:$E$603,($L$5-1))))</f>
        <v/>
      </c>
      <c r="Q395" s="25">
        <f>IF(($L$5-1)&lt;1,"",IF(392&lt;=($L$5-1),F395,INDEX($F$4:$F$603,($L$5-1))))</f>
        <v/>
      </c>
      <c r="R395" s="25">
        <f>IF(($L$5-1)&lt;1,"",IF(392&lt;=($L$5-1),G395,INDEX($G$4:$G$603,($L$5-1))))</f>
        <v/>
      </c>
      <c r="S395" s="25">
        <f>IF(($L$5-2)&lt;1,"",IF(392&lt;=($L$5-2),H395,INDEX($H$4:$H$603,($L$5-2))))</f>
        <v/>
      </c>
      <c r="T395" s="25">
        <f>IF(($L$5-2)&lt;1,"",IF(392&lt;=($L$5-2),I395,INDEX($I$4:$I$603,($L$5-2))))</f>
        <v/>
      </c>
    </row>
    <row r="396">
      <c r="A396" s="43" t="n"/>
      <c r="B396" s="43" t="n"/>
      <c r="C396" s="37">
        <f>IF(OR(A396="",A397=""),"",A397-A396)</f>
        <v/>
      </c>
      <c r="D396" s="37">
        <f>IF(C396="","",B397-B396)</f>
        <v/>
      </c>
      <c r="E396" s="37">
        <f>IF(C396="","",(A396+A397)/2)</f>
        <v/>
      </c>
      <c r="F396" s="25">
        <f>IF(OR(C396="",C396=0),"",D396/C396)</f>
        <v/>
      </c>
      <c r="G396" s="25">
        <f>IF(C396="","",D396/$L$6)</f>
        <v/>
      </c>
      <c r="H396" s="37">
        <f>IF(OR(F396="",F397=""),"",(E396+E397)/2)</f>
        <v/>
      </c>
      <c r="I396" s="25">
        <f>IF(H396="","",(F397-F396)/(E397-E396))</f>
        <v/>
      </c>
      <c r="P396" s="25">
        <f>IF(($L$5-1)&lt;1,"",IF(393&lt;=($L$5-1),E396,INDEX($E$4:$E$603,($L$5-1))))</f>
        <v/>
      </c>
      <c r="Q396" s="25">
        <f>IF(($L$5-1)&lt;1,"",IF(393&lt;=($L$5-1),F396,INDEX($F$4:$F$603,($L$5-1))))</f>
        <v/>
      </c>
      <c r="R396" s="25">
        <f>IF(($L$5-1)&lt;1,"",IF(393&lt;=($L$5-1),G396,INDEX($G$4:$G$603,($L$5-1))))</f>
        <v/>
      </c>
      <c r="S396" s="25">
        <f>IF(($L$5-2)&lt;1,"",IF(393&lt;=($L$5-2),H396,INDEX($H$4:$H$603,($L$5-2))))</f>
        <v/>
      </c>
      <c r="T396" s="25">
        <f>IF(($L$5-2)&lt;1,"",IF(393&lt;=($L$5-2),I396,INDEX($I$4:$I$603,($L$5-2))))</f>
        <v/>
      </c>
    </row>
    <row r="397">
      <c r="A397" s="43" t="n"/>
      <c r="B397" s="43" t="n"/>
      <c r="C397" s="37">
        <f>IF(OR(A397="",A398=""),"",A398-A397)</f>
        <v/>
      </c>
      <c r="D397" s="37">
        <f>IF(C397="","",B398-B397)</f>
        <v/>
      </c>
      <c r="E397" s="37">
        <f>IF(C397="","",(A397+A398)/2)</f>
        <v/>
      </c>
      <c r="F397" s="25">
        <f>IF(OR(C397="",C397=0),"",D397/C397)</f>
        <v/>
      </c>
      <c r="G397" s="25">
        <f>IF(C397="","",D397/$L$6)</f>
        <v/>
      </c>
      <c r="H397" s="37">
        <f>IF(OR(F397="",F398=""),"",(E397+E398)/2)</f>
        <v/>
      </c>
      <c r="I397" s="25">
        <f>IF(H397="","",(F398-F397)/(E398-E397))</f>
        <v/>
      </c>
      <c r="P397" s="25">
        <f>IF(($L$5-1)&lt;1,"",IF(394&lt;=($L$5-1),E397,INDEX($E$4:$E$603,($L$5-1))))</f>
        <v/>
      </c>
      <c r="Q397" s="25">
        <f>IF(($L$5-1)&lt;1,"",IF(394&lt;=($L$5-1),F397,INDEX($F$4:$F$603,($L$5-1))))</f>
        <v/>
      </c>
      <c r="R397" s="25">
        <f>IF(($L$5-1)&lt;1,"",IF(394&lt;=($L$5-1),G397,INDEX($G$4:$G$603,($L$5-1))))</f>
        <v/>
      </c>
      <c r="S397" s="25">
        <f>IF(($L$5-2)&lt;1,"",IF(394&lt;=($L$5-2),H397,INDEX($H$4:$H$603,($L$5-2))))</f>
        <v/>
      </c>
      <c r="T397" s="25">
        <f>IF(($L$5-2)&lt;1,"",IF(394&lt;=($L$5-2),I397,INDEX($I$4:$I$603,($L$5-2))))</f>
        <v/>
      </c>
    </row>
    <row r="398">
      <c r="A398" s="43" t="n"/>
      <c r="B398" s="43" t="n"/>
      <c r="C398" s="37">
        <f>IF(OR(A398="",A399=""),"",A399-A398)</f>
        <v/>
      </c>
      <c r="D398" s="37">
        <f>IF(C398="","",B399-B398)</f>
        <v/>
      </c>
      <c r="E398" s="37">
        <f>IF(C398="","",(A398+A399)/2)</f>
        <v/>
      </c>
      <c r="F398" s="25">
        <f>IF(OR(C398="",C398=0),"",D398/C398)</f>
        <v/>
      </c>
      <c r="G398" s="25">
        <f>IF(C398="","",D398/$L$6)</f>
        <v/>
      </c>
      <c r="H398" s="37">
        <f>IF(OR(F398="",F399=""),"",(E398+E399)/2)</f>
        <v/>
      </c>
      <c r="I398" s="25">
        <f>IF(H398="","",(F399-F398)/(E399-E398))</f>
        <v/>
      </c>
      <c r="P398" s="25">
        <f>IF(($L$5-1)&lt;1,"",IF(395&lt;=($L$5-1),E398,INDEX($E$4:$E$603,($L$5-1))))</f>
        <v/>
      </c>
      <c r="Q398" s="25">
        <f>IF(($L$5-1)&lt;1,"",IF(395&lt;=($L$5-1),F398,INDEX($F$4:$F$603,($L$5-1))))</f>
        <v/>
      </c>
      <c r="R398" s="25">
        <f>IF(($L$5-1)&lt;1,"",IF(395&lt;=($L$5-1),G398,INDEX($G$4:$G$603,($L$5-1))))</f>
        <v/>
      </c>
      <c r="S398" s="25">
        <f>IF(($L$5-2)&lt;1,"",IF(395&lt;=($L$5-2),H398,INDEX($H$4:$H$603,($L$5-2))))</f>
        <v/>
      </c>
      <c r="T398" s="25">
        <f>IF(($L$5-2)&lt;1,"",IF(395&lt;=($L$5-2),I398,INDEX($I$4:$I$603,($L$5-2))))</f>
        <v/>
      </c>
    </row>
    <row r="399">
      <c r="A399" s="43" t="n"/>
      <c r="B399" s="43" t="n"/>
      <c r="C399" s="37">
        <f>IF(OR(A399="",A400=""),"",A400-A399)</f>
        <v/>
      </c>
      <c r="D399" s="37">
        <f>IF(C399="","",B400-B399)</f>
        <v/>
      </c>
      <c r="E399" s="37">
        <f>IF(C399="","",(A399+A400)/2)</f>
        <v/>
      </c>
      <c r="F399" s="25">
        <f>IF(OR(C399="",C399=0),"",D399/C399)</f>
        <v/>
      </c>
      <c r="G399" s="25">
        <f>IF(C399="","",D399/$L$6)</f>
        <v/>
      </c>
      <c r="H399" s="37">
        <f>IF(OR(F399="",F400=""),"",(E399+E400)/2)</f>
        <v/>
      </c>
      <c r="I399" s="25">
        <f>IF(H399="","",(F400-F399)/(E400-E399))</f>
        <v/>
      </c>
      <c r="P399" s="25">
        <f>IF(($L$5-1)&lt;1,"",IF(396&lt;=($L$5-1),E399,INDEX($E$4:$E$603,($L$5-1))))</f>
        <v/>
      </c>
      <c r="Q399" s="25">
        <f>IF(($L$5-1)&lt;1,"",IF(396&lt;=($L$5-1),F399,INDEX($F$4:$F$603,($L$5-1))))</f>
        <v/>
      </c>
      <c r="R399" s="25">
        <f>IF(($L$5-1)&lt;1,"",IF(396&lt;=($L$5-1),G399,INDEX($G$4:$G$603,($L$5-1))))</f>
        <v/>
      </c>
      <c r="S399" s="25">
        <f>IF(($L$5-2)&lt;1,"",IF(396&lt;=($L$5-2),H399,INDEX($H$4:$H$603,($L$5-2))))</f>
        <v/>
      </c>
      <c r="T399" s="25">
        <f>IF(($L$5-2)&lt;1,"",IF(396&lt;=($L$5-2),I399,INDEX($I$4:$I$603,($L$5-2))))</f>
        <v/>
      </c>
    </row>
    <row r="400">
      <c r="A400" s="43" t="n"/>
      <c r="B400" s="43" t="n"/>
      <c r="C400" s="37">
        <f>IF(OR(A400="",A401=""),"",A401-A400)</f>
        <v/>
      </c>
      <c r="D400" s="37">
        <f>IF(C400="","",B401-B400)</f>
        <v/>
      </c>
      <c r="E400" s="37">
        <f>IF(C400="","",(A400+A401)/2)</f>
        <v/>
      </c>
      <c r="F400" s="25">
        <f>IF(OR(C400="",C400=0),"",D400/C400)</f>
        <v/>
      </c>
      <c r="G400" s="25">
        <f>IF(C400="","",D400/$L$6)</f>
        <v/>
      </c>
      <c r="H400" s="37">
        <f>IF(OR(F400="",F401=""),"",(E400+E401)/2)</f>
        <v/>
      </c>
      <c r="I400" s="25">
        <f>IF(H400="","",(F401-F400)/(E401-E400))</f>
        <v/>
      </c>
      <c r="P400" s="25">
        <f>IF(($L$5-1)&lt;1,"",IF(397&lt;=($L$5-1),E400,INDEX($E$4:$E$603,($L$5-1))))</f>
        <v/>
      </c>
      <c r="Q400" s="25">
        <f>IF(($L$5-1)&lt;1,"",IF(397&lt;=($L$5-1),F400,INDEX($F$4:$F$603,($L$5-1))))</f>
        <v/>
      </c>
      <c r="R400" s="25">
        <f>IF(($L$5-1)&lt;1,"",IF(397&lt;=($L$5-1),G400,INDEX($G$4:$G$603,($L$5-1))))</f>
        <v/>
      </c>
      <c r="S400" s="25">
        <f>IF(($L$5-2)&lt;1,"",IF(397&lt;=($L$5-2),H400,INDEX($H$4:$H$603,($L$5-2))))</f>
        <v/>
      </c>
      <c r="T400" s="25">
        <f>IF(($L$5-2)&lt;1,"",IF(397&lt;=($L$5-2),I400,INDEX($I$4:$I$603,($L$5-2))))</f>
        <v/>
      </c>
    </row>
    <row r="401">
      <c r="A401" s="43" t="n"/>
      <c r="B401" s="43" t="n"/>
      <c r="C401" s="37">
        <f>IF(OR(A401="",A402=""),"",A402-A401)</f>
        <v/>
      </c>
      <c r="D401" s="37">
        <f>IF(C401="","",B402-B401)</f>
        <v/>
      </c>
      <c r="E401" s="37">
        <f>IF(C401="","",(A401+A402)/2)</f>
        <v/>
      </c>
      <c r="F401" s="25">
        <f>IF(OR(C401="",C401=0),"",D401/C401)</f>
        <v/>
      </c>
      <c r="G401" s="25">
        <f>IF(C401="","",D401/$L$6)</f>
        <v/>
      </c>
      <c r="H401" s="37">
        <f>IF(OR(F401="",F402=""),"",(E401+E402)/2)</f>
        <v/>
      </c>
      <c r="I401" s="25">
        <f>IF(H401="","",(F402-F401)/(E402-E401))</f>
        <v/>
      </c>
      <c r="P401" s="25">
        <f>IF(($L$5-1)&lt;1,"",IF(398&lt;=($L$5-1),E401,INDEX($E$4:$E$603,($L$5-1))))</f>
        <v/>
      </c>
      <c r="Q401" s="25">
        <f>IF(($L$5-1)&lt;1,"",IF(398&lt;=($L$5-1),F401,INDEX($F$4:$F$603,($L$5-1))))</f>
        <v/>
      </c>
      <c r="R401" s="25">
        <f>IF(($L$5-1)&lt;1,"",IF(398&lt;=($L$5-1),G401,INDEX($G$4:$G$603,($L$5-1))))</f>
        <v/>
      </c>
      <c r="S401" s="25">
        <f>IF(($L$5-2)&lt;1,"",IF(398&lt;=($L$5-2),H401,INDEX($H$4:$H$603,($L$5-2))))</f>
        <v/>
      </c>
      <c r="T401" s="25">
        <f>IF(($L$5-2)&lt;1,"",IF(398&lt;=($L$5-2),I401,INDEX($I$4:$I$603,($L$5-2))))</f>
        <v/>
      </c>
    </row>
    <row r="402">
      <c r="A402" s="43" t="n"/>
      <c r="B402" s="43" t="n"/>
      <c r="C402" s="37">
        <f>IF(OR(A402="",A403=""),"",A403-A402)</f>
        <v/>
      </c>
      <c r="D402" s="37">
        <f>IF(C402="","",B403-B402)</f>
        <v/>
      </c>
      <c r="E402" s="37">
        <f>IF(C402="","",(A402+A403)/2)</f>
        <v/>
      </c>
      <c r="F402" s="25">
        <f>IF(OR(C402="",C402=0),"",D402/C402)</f>
        <v/>
      </c>
      <c r="G402" s="25">
        <f>IF(C402="","",D402/$L$6)</f>
        <v/>
      </c>
      <c r="H402" s="37">
        <f>IF(OR(F402="",F403=""),"",(E402+E403)/2)</f>
        <v/>
      </c>
      <c r="I402" s="25">
        <f>IF(H402="","",(F403-F402)/(E403-E402))</f>
        <v/>
      </c>
      <c r="P402" s="25">
        <f>IF(($L$5-1)&lt;1,"",IF(399&lt;=($L$5-1),E402,INDEX($E$4:$E$603,($L$5-1))))</f>
        <v/>
      </c>
      <c r="Q402" s="25">
        <f>IF(($L$5-1)&lt;1,"",IF(399&lt;=($L$5-1),F402,INDEX($F$4:$F$603,($L$5-1))))</f>
        <v/>
      </c>
      <c r="R402" s="25">
        <f>IF(($L$5-1)&lt;1,"",IF(399&lt;=($L$5-1),G402,INDEX($G$4:$G$603,($L$5-1))))</f>
        <v/>
      </c>
      <c r="S402" s="25">
        <f>IF(($L$5-2)&lt;1,"",IF(399&lt;=($L$5-2),H402,INDEX($H$4:$H$603,($L$5-2))))</f>
        <v/>
      </c>
      <c r="T402" s="25">
        <f>IF(($L$5-2)&lt;1,"",IF(399&lt;=($L$5-2),I402,INDEX($I$4:$I$603,($L$5-2))))</f>
        <v/>
      </c>
    </row>
    <row r="403">
      <c r="A403" s="43" t="n"/>
      <c r="B403" s="43" t="n"/>
      <c r="C403" s="37">
        <f>IF(OR(A403="",A404=""),"",A404-A403)</f>
        <v/>
      </c>
      <c r="D403" s="37">
        <f>IF(C403="","",B404-B403)</f>
        <v/>
      </c>
      <c r="E403" s="37">
        <f>IF(C403="","",(A403+A404)/2)</f>
        <v/>
      </c>
      <c r="F403" s="25">
        <f>IF(OR(C403="",C403=0),"",D403/C403)</f>
        <v/>
      </c>
      <c r="G403" s="25">
        <f>IF(C403="","",D403/$L$6)</f>
        <v/>
      </c>
      <c r="H403" s="37">
        <f>IF(OR(F403="",F404=""),"",(E403+E404)/2)</f>
        <v/>
      </c>
      <c r="I403" s="25">
        <f>IF(H403="","",(F404-F403)/(E404-E403))</f>
        <v/>
      </c>
      <c r="P403" s="25">
        <f>IF(($L$5-1)&lt;1,"",IF(400&lt;=($L$5-1),E403,INDEX($E$4:$E$603,($L$5-1))))</f>
        <v/>
      </c>
      <c r="Q403" s="25">
        <f>IF(($L$5-1)&lt;1,"",IF(400&lt;=($L$5-1),F403,INDEX($F$4:$F$603,($L$5-1))))</f>
        <v/>
      </c>
      <c r="R403" s="25">
        <f>IF(($L$5-1)&lt;1,"",IF(400&lt;=($L$5-1),G403,INDEX($G$4:$G$603,($L$5-1))))</f>
        <v/>
      </c>
      <c r="S403" s="25">
        <f>IF(($L$5-2)&lt;1,"",IF(400&lt;=($L$5-2),H403,INDEX($H$4:$H$603,($L$5-2))))</f>
        <v/>
      </c>
      <c r="T403" s="25">
        <f>IF(($L$5-2)&lt;1,"",IF(400&lt;=($L$5-2),I403,INDEX($I$4:$I$603,($L$5-2))))</f>
        <v/>
      </c>
    </row>
    <row r="404">
      <c r="A404" s="43" t="n"/>
      <c r="B404" s="43" t="n"/>
      <c r="C404" s="37">
        <f>IF(OR(A404="",A405=""),"",A405-A404)</f>
        <v/>
      </c>
      <c r="D404" s="37">
        <f>IF(C404="","",B405-B404)</f>
        <v/>
      </c>
      <c r="E404" s="37">
        <f>IF(C404="","",(A404+A405)/2)</f>
        <v/>
      </c>
      <c r="F404" s="25">
        <f>IF(OR(C404="",C404=0),"",D404/C404)</f>
        <v/>
      </c>
      <c r="G404" s="25">
        <f>IF(C404="","",D404/$L$6)</f>
        <v/>
      </c>
      <c r="H404" s="37">
        <f>IF(OR(F404="",F405=""),"",(E404+E405)/2)</f>
        <v/>
      </c>
      <c r="I404" s="25">
        <f>IF(H404="","",(F405-F404)/(E405-E404))</f>
        <v/>
      </c>
      <c r="P404" s="25">
        <f>IF(($L$5-1)&lt;1,"",IF(401&lt;=($L$5-1),E404,INDEX($E$4:$E$603,($L$5-1))))</f>
        <v/>
      </c>
      <c r="Q404" s="25">
        <f>IF(($L$5-1)&lt;1,"",IF(401&lt;=($L$5-1),F404,INDEX($F$4:$F$603,($L$5-1))))</f>
        <v/>
      </c>
      <c r="R404" s="25">
        <f>IF(($L$5-1)&lt;1,"",IF(401&lt;=($L$5-1),G404,INDEX($G$4:$G$603,($L$5-1))))</f>
        <v/>
      </c>
      <c r="S404" s="25">
        <f>IF(($L$5-2)&lt;1,"",IF(401&lt;=($L$5-2),H404,INDEX($H$4:$H$603,($L$5-2))))</f>
        <v/>
      </c>
      <c r="T404" s="25">
        <f>IF(($L$5-2)&lt;1,"",IF(401&lt;=($L$5-2),I404,INDEX($I$4:$I$603,($L$5-2))))</f>
        <v/>
      </c>
    </row>
    <row r="405">
      <c r="A405" s="43" t="n"/>
      <c r="B405" s="43" t="n"/>
      <c r="C405" s="37">
        <f>IF(OR(A405="",A406=""),"",A406-A405)</f>
        <v/>
      </c>
      <c r="D405" s="37">
        <f>IF(C405="","",B406-B405)</f>
        <v/>
      </c>
      <c r="E405" s="37">
        <f>IF(C405="","",(A405+A406)/2)</f>
        <v/>
      </c>
      <c r="F405" s="25">
        <f>IF(OR(C405="",C405=0),"",D405/C405)</f>
        <v/>
      </c>
      <c r="G405" s="25">
        <f>IF(C405="","",D405/$L$6)</f>
        <v/>
      </c>
      <c r="H405" s="37">
        <f>IF(OR(F405="",F406=""),"",(E405+E406)/2)</f>
        <v/>
      </c>
      <c r="I405" s="25">
        <f>IF(H405="","",(F406-F405)/(E406-E405))</f>
        <v/>
      </c>
      <c r="P405" s="25">
        <f>IF(($L$5-1)&lt;1,"",IF(402&lt;=($L$5-1),E405,INDEX($E$4:$E$603,($L$5-1))))</f>
        <v/>
      </c>
      <c r="Q405" s="25">
        <f>IF(($L$5-1)&lt;1,"",IF(402&lt;=($L$5-1),F405,INDEX($F$4:$F$603,($L$5-1))))</f>
        <v/>
      </c>
      <c r="R405" s="25">
        <f>IF(($L$5-1)&lt;1,"",IF(402&lt;=($L$5-1),G405,INDEX($G$4:$G$603,($L$5-1))))</f>
        <v/>
      </c>
      <c r="S405" s="25">
        <f>IF(($L$5-2)&lt;1,"",IF(402&lt;=($L$5-2),H405,INDEX($H$4:$H$603,($L$5-2))))</f>
        <v/>
      </c>
      <c r="T405" s="25">
        <f>IF(($L$5-2)&lt;1,"",IF(402&lt;=($L$5-2),I405,INDEX($I$4:$I$603,($L$5-2))))</f>
        <v/>
      </c>
    </row>
    <row r="406">
      <c r="A406" s="43" t="n"/>
      <c r="B406" s="43" t="n"/>
      <c r="C406" s="37">
        <f>IF(OR(A406="",A407=""),"",A407-A406)</f>
        <v/>
      </c>
      <c r="D406" s="37">
        <f>IF(C406="","",B407-B406)</f>
        <v/>
      </c>
      <c r="E406" s="37">
        <f>IF(C406="","",(A406+A407)/2)</f>
        <v/>
      </c>
      <c r="F406" s="25">
        <f>IF(OR(C406="",C406=0),"",D406/C406)</f>
        <v/>
      </c>
      <c r="G406" s="25">
        <f>IF(C406="","",D406/$L$6)</f>
        <v/>
      </c>
      <c r="H406" s="37">
        <f>IF(OR(F406="",F407=""),"",(E406+E407)/2)</f>
        <v/>
      </c>
      <c r="I406" s="25">
        <f>IF(H406="","",(F407-F406)/(E407-E406))</f>
        <v/>
      </c>
      <c r="P406" s="25">
        <f>IF(($L$5-1)&lt;1,"",IF(403&lt;=($L$5-1),E406,INDEX($E$4:$E$603,($L$5-1))))</f>
        <v/>
      </c>
      <c r="Q406" s="25">
        <f>IF(($L$5-1)&lt;1,"",IF(403&lt;=($L$5-1),F406,INDEX($F$4:$F$603,($L$5-1))))</f>
        <v/>
      </c>
      <c r="R406" s="25">
        <f>IF(($L$5-1)&lt;1,"",IF(403&lt;=($L$5-1),G406,INDEX($G$4:$G$603,($L$5-1))))</f>
        <v/>
      </c>
      <c r="S406" s="25">
        <f>IF(($L$5-2)&lt;1,"",IF(403&lt;=($L$5-2),H406,INDEX($H$4:$H$603,($L$5-2))))</f>
        <v/>
      </c>
      <c r="T406" s="25">
        <f>IF(($L$5-2)&lt;1,"",IF(403&lt;=($L$5-2),I406,INDEX($I$4:$I$603,($L$5-2))))</f>
        <v/>
      </c>
    </row>
    <row r="407">
      <c r="A407" s="43" t="n"/>
      <c r="B407" s="43" t="n"/>
      <c r="C407" s="37">
        <f>IF(OR(A407="",A408=""),"",A408-A407)</f>
        <v/>
      </c>
      <c r="D407" s="37">
        <f>IF(C407="","",B408-B407)</f>
        <v/>
      </c>
      <c r="E407" s="37">
        <f>IF(C407="","",(A407+A408)/2)</f>
        <v/>
      </c>
      <c r="F407" s="25">
        <f>IF(OR(C407="",C407=0),"",D407/C407)</f>
        <v/>
      </c>
      <c r="G407" s="25">
        <f>IF(C407="","",D407/$L$6)</f>
        <v/>
      </c>
      <c r="H407" s="37">
        <f>IF(OR(F407="",F408=""),"",(E407+E408)/2)</f>
        <v/>
      </c>
      <c r="I407" s="25">
        <f>IF(H407="","",(F408-F407)/(E408-E407))</f>
        <v/>
      </c>
      <c r="P407" s="25">
        <f>IF(($L$5-1)&lt;1,"",IF(404&lt;=($L$5-1),E407,INDEX($E$4:$E$603,($L$5-1))))</f>
        <v/>
      </c>
      <c r="Q407" s="25">
        <f>IF(($L$5-1)&lt;1,"",IF(404&lt;=($L$5-1),F407,INDEX($F$4:$F$603,($L$5-1))))</f>
        <v/>
      </c>
      <c r="R407" s="25">
        <f>IF(($L$5-1)&lt;1,"",IF(404&lt;=($L$5-1),G407,INDEX($G$4:$G$603,($L$5-1))))</f>
        <v/>
      </c>
      <c r="S407" s="25">
        <f>IF(($L$5-2)&lt;1,"",IF(404&lt;=($L$5-2),H407,INDEX($H$4:$H$603,($L$5-2))))</f>
        <v/>
      </c>
      <c r="T407" s="25">
        <f>IF(($L$5-2)&lt;1,"",IF(404&lt;=($L$5-2),I407,INDEX($I$4:$I$603,($L$5-2))))</f>
        <v/>
      </c>
    </row>
    <row r="408">
      <c r="A408" s="43" t="n"/>
      <c r="B408" s="43" t="n"/>
      <c r="C408" s="37">
        <f>IF(OR(A408="",A409=""),"",A409-A408)</f>
        <v/>
      </c>
      <c r="D408" s="37">
        <f>IF(C408="","",B409-B408)</f>
        <v/>
      </c>
      <c r="E408" s="37">
        <f>IF(C408="","",(A408+A409)/2)</f>
        <v/>
      </c>
      <c r="F408" s="25">
        <f>IF(OR(C408="",C408=0),"",D408/C408)</f>
        <v/>
      </c>
      <c r="G408" s="25">
        <f>IF(C408="","",D408/$L$6)</f>
        <v/>
      </c>
      <c r="H408" s="37">
        <f>IF(OR(F408="",F409=""),"",(E408+E409)/2)</f>
        <v/>
      </c>
      <c r="I408" s="25">
        <f>IF(H408="","",(F409-F408)/(E409-E408))</f>
        <v/>
      </c>
      <c r="P408" s="25">
        <f>IF(($L$5-1)&lt;1,"",IF(405&lt;=($L$5-1),E408,INDEX($E$4:$E$603,($L$5-1))))</f>
        <v/>
      </c>
      <c r="Q408" s="25">
        <f>IF(($L$5-1)&lt;1,"",IF(405&lt;=($L$5-1),F408,INDEX($F$4:$F$603,($L$5-1))))</f>
        <v/>
      </c>
      <c r="R408" s="25">
        <f>IF(($L$5-1)&lt;1,"",IF(405&lt;=($L$5-1),G408,INDEX($G$4:$G$603,($L$5-1))))</f>
        <v/>
      </c>
      <c r="S408" s="25">
        <f>IF(($L$5-2)&lt;1,"",IF(405&lt;=($L$5-2),H408,INDEX($H$4:$H$603,($L$5-2))))</f>
        <v/>
      </c>
      <c r="T408" s="25">
        <f>IF(($L$5-2)&lt;1,"",IF(405&lt;=($L$5-2),I408,INDEX($I$4:$I$603,($L$5-2))))</f>
        <v/>
      </c>
    </row>
    <row r="409">
      <c r="A409" s="43" t="n"/>
      <c r="B409" s="43" t="n"/>
      <c r="C409" s="37">
        <f>IF(OR(A409="",A410=""),"",A410-A409)</f>
        <v/>
      </c>
      <c r="D409" s="37">
        <f>IF(C409="","",B410-B409)</f>
        <v/>
      </c>
      <c r="E409" s="37">
        <f>IF(C409="","",(A409+A410)/2)</f>
        <v/>
      </c>
      <c r="F409" s="25">
        <f>IF(OR(C409="",C409=0),"",D409/C409)</f>
        <v/>
      </c>
      <c r="G409" s="25">
        <f>IF(C409="","",D409/$L$6)</f>
        <v/>
      </c>
      <c r="H409" s="37">
        <f>IF(OR(F409="",F410=""),"",(E409+E410)/2)</f>
        <v/>
      </c>
      <c r="I409" s="25">
        <f>IF(H409="","",(F410-F409)/(E410-E409))</f>
        <v/>
      </c>
      <c r="P409" s="25">
        <f>IF(($L$5-1)&lt;1,"",IF(406&lt;=($L$5-1),E409,INDEX($E$4:$E$603,($L$5-1))))</f>
        <v/>
      </c>
      <c r="Q409" s="25">
        <f>IF(($L$5-1)&lt;1,"",IF(406&lt;=($L$5-1),F409,INDEX($F$4:$F$603,($L$5-1))))</f>
        <v/>
      </c>
      <c r="R409" s="25">
        <f>IF(($L$5-1)&lt;1,"",IF(406&lt;=($L$5-1),G409,INDEX($G$4:$G$603,($L$5-1))))</f>
        <v/>
      </c>
      <c r="S409" s="25">
        <f>IF(($L$5-2)&lt;1,"",IF(406&lt;=($L$5-2),H409,INDEX($H$4:$H$603,($L$5-2))))</f>
        <v/>
      </c>
      <c r="T409" s="25">
        <f>IF(($L$5-2)&lt;1,"",IF(406&lt;=($L$5-2),I409,INDEX($I$4:$I$603,($L$5-2))))</f>
        <v/>
      </c>
    </row>
    <row r="410">
      <c r="A410" s="43" t="n"/>
      <c r="B410" s="43" t="n"/>
      <c r="C410" s="37">
        <f>IF(OR(A410="",A411=""),"",A411-A410)</f>
        <v/>
      </c>
      <c r="D410" s="37">
        <f>IF(C410="","",B411-B410)</f>
        <v/>
      </c>
      <c r="E410" s="37">
        <f>IF(C410="","",(A410+A411)/2)</f>
        <v/>
      </c>
      <c r="F410" s="25">
        <f>IF(OR(C410="",C410=0),"",D410/C410)</f>
        <v/>
      </c>
      <c r="G410" s="25">
        <f>IF(C410="","",D410/$L$6)</f>
        <v/>
      </c>
      <c r="H410" s="37">
        <f>IF(OR(F410="",F411=""),"",(E410+E411)/2)</f>
        <v/>
      </c>
      <c r="I410" s="25">
        <f>IF(H410="","",(F411-F410)/(E411-E410))</f>
        <v/>
      </c>
      <c r="P410" s="25">
        <f>IF(($L$5-1)&lt;1,"",IF(407&lt;=($L$5-1),E410,INDEX($E$4:$E$603,($L$5-1))))</f>
        <v/>
      </c>
      <c r="Q410" s="25">
        <f>IF(($L$5-1)&lt;1,"",IF(407&lt;=($L$5-1),F410,INDEX($F$4:$F$603,($L$5-1))))</f>
        <v/>
      </c>
      <c r="R410" s="25">
        <f>IF(($L$5-1)&lt;1,"",IF(407&lt;=($L$5-1),G410,INDEX($G$4:$G$603,($L$5-1))))</f>
        <v/>
      </c>
      <c r="S410" s="25">
        <f>IF(($L$5-2)&lt;1,"",IF(407&lt;=($L$5-2),H410,INDEX($H$4:$H$603,($L$5-2))))</f>
        <v/>
      </c>
      <c r="T410" s="25">
        <f>IF(($L$5-2)&lt;1,"",IF(407&lt;=($L$5-2),I410,INDEX($I$4:$I$603,($L$5-2))))</f>
        <v/>
      </c>
    </row>
    <row r="411">
      <c r="A411" s="43" t="n"/>
      <c r="B411" s="43" t="n"/>
      <c r="C411" s="37">
        <f>IF(OR(A411="",A412=""),"",A412-A411)</f>
        <v/>
      </c>
      <c r="D411" s="37">
        <f>IF(C411="","",B412-B411)</f>
        <v/>
      </c>
      <c r="E411" s="37">
        <f>IF(C411="","",(A411+A412)/2)</f>
        <v/>
      </c>
      <c r="F411" s="25">
        <f>IF(OR(C411="",C411=0),"",D411/C411)</f>
        <v/>
      </c>
      <c r="G411" s="25">
        <f>IF(C411="","",D411/$L$6)</f>
        <v/>
      </c>
      <c r="H411" s="37">
        <f>IF(OR(F411="",F412=""),"",(E411+E412)/2)</f>
        <v/>
      </c>
      <c r="I411" s="25">
        <f>IF(H411="","",(F412-F411)/(E412-E411))</f>
        <v/>
      </c>
      <c r="P411" s="25">
        <f>IF(($L$5-1)&lt;1,"",IF(408&lt;=($L$5-1),E411,INDEX($E$4:$E$603,($L$5-1))))</f>
        <v/>
      </c>
      <c r="Q411" s="25">
        <f>IF(($L$5-1)&lt;1,"",IF(408&lt;=($L$5-1),F411,INDEX($F$4:$F$603,($L$5-1))))</f>
        <v/>
      </c>
      <c r="R411" s="25">
        <f>IF(($L$5-1)&lt;1,"",IF(408&lt;=($L$5-1),G411,INDEX($G$4:$G$603,($L$5-1))))</f>
        <v/>
      </c>
      <c r="S411" s="25">
        <f>IF(($L$5-2)&lt;1,"",IF(408&lt;=($L$5-2),H411,INDEX($H$4:$H$603,($L$5-2))))</f>
        <v/>
      </c>
      <c r="T411" s="25">
        <f>IF(($L$5-2)&lt;1,"",IF(408&lt;=($L$5-2),I411,INDEX($I$4:$I$603,($L$5-2))))</f>
        <v/>
      </c>
    </row>
    <row r="412">
      <c r="A412" s="43" t="n"/>
      <c r="B412" s="43" t="n"/>
      <c r="C412" s="37">
        <f>IF(OR(A412="",A413=""),"",A413-A412)</f>
        <v/>
      </c>
      <c r="D412" s="37">
        <f>IF(C412="","",B413-B412)</f>
        <v/>
      </c>
      <c r="E412" s="37">
        <f>IF(C412="","",(A412+A413)/2)</f>
        <v/>
      </c>
      <c r="F412" s="25">
        <f>IF(OR(C412="",C412=0),"",D412/C412)</f>
        <v/>
      </c>
      <c r="G412" s="25">
        <f>IF(C412="","",D412/$L$6)</f>
        <v/>
      </c>
      <c r="H412" s="37">
        <f>IF(OR(F412="",F413=""),"",(E412+E413)/2)</f>
        <v/>
      </c>
      <c r="I412" s="25">
        <f>IF(H412="","",(F413-F412)/(E413-E412))</f>
        <v/>
      </c>
      <c r="P412" s="25">
        <f>IF(($L$5-1)&lt;1,"",IF(409&lt;=($L$5-1),E412,INDEX($E$4:$E$603,($L$5-1))))</f>
        <v/>
      </c>
      <c r="Q412" s="25">
        <f>IF(($L$5-1)&lt;1,"",IF(409&lt;=($L$5-1),F412,INDEX($F$4:$F$603,($L$5-1))))</f>
        <v/>
      </c>
      <c r="R412" s="25">
        <f>IF(($L$5-1)&lt;1,"",IF(409&lt;=($L$5-1),G412,INDEX($G$4:$G$603,($L$5-1))))</f>
        <v/>
      </c>
      <c r="S412" s="25">
        <f>IF(($L$5-2)&lt;1,"",IF(409&lt;=($L$5-2),H412,INDEX($H$4:$H$603,($L$5-2))))</f>
        <v/>
      </c>
      <c r="T412" s="25">
        <f>IF(($L$5-2)&lt;1,"",IF(409&lt;=($L$5-2),I412,INDEX($I$4:$I$603,($L$5-2))))</f>
        <v/>
      </c>
    </row>
    <row r="413">
      <c r="A413" s="43" t="n"/>
      <c r="B413" s="43" t="n"/>
      <c r="C413" s="37">
        <f>IF(OR(A413="",A414=""),"",A414-A413)</f>
        <v/>
      </c>
      <c r="D413" s="37">
        <f>IF(C413="","",B414-B413)</f>
        <v/>
      </c>
      <c r="E413" s="37">
        <f>IF(C413="","",(A413+A414)/2)</f>
        <v/>
      </c>
      <c r="F413" s="25">
        <f>IF(OR(C413="",C413=0),"",D413/C413)</f>
        <v/>
      </c>
      <c r="G413" s="25">
        <f>IF(C413="","",D413/$L$6)</f>
        <v/>
      </c>
      <c r="H413" s="37">
        <f>IF(OR(F413="",F414=""),"",(E413+E414)/2)</f>
        <v/>
      </c>
      <c r="I413" s="25">
        <f>IF(H413="","",(F414-F413)/(E414-E413))</f>
        <v/>
      </c>
      <c r="P413" s="25">
        <f>IF(($L$5-1)&lt;1,"",IF(410&lt;=($L$5-1),E413,INDEX($E$4:$E$603,($L$5-1))))</f>
        <v/>
      </c>
      <c r="Q413" s="25">
        <f>IF(($L$5-1)&lt;1,"",IF(410&lt;=($L$5-1),F413,INDEX($F$4:$F$603,($L$5-1))))</f>
        <v/>
      </c>
      <c r="R413" s="25">
        <f>IF(($L$5-1)&lt;1,"",IF(410&lt;=($L$5-1),G413,INDEX($G$4:$G$603,($L$5-1))))</f>
        <v/>
      </c>
      <c r="S413" s="25">
        <f>IF(($L$5-2)&lt;1,"",IF(410&lt;=($L$5-2),H413,INDEX($H$4:$H$603,($L$5-2))))</f>
        <v/>
      </c>
      <c r="T413" s="25">
        <f>IF(($L$5-2)&lt;1,"",IF(410&lt;=($L$5-2),I413,INDEX($I$4:$I$603,($L$5-2))))</f>
        <v/>
      </c>
    </row>
    <row r="414">
      <c r="A414" s="43" t="n"/>
      <c r="B414" s="43" t="n"/>
      <c r="C414" s="37">
        <f>IF(OR(A414="",A415=""),"",A415-A414)</f>
        <v/>
      </c>
      <c r="D414" s="37">
        <f>IF(C414="","",B415-B414)</f>
        <v/>
      </c>
      <c r="E414" s="37">
        <f>IF(C414="","",(A414+A415)/2)</f>
        <v/>
      </c>
      <c r="F414" s="25">
        <f>IF(OR(C414="",C414=0),"",D414/C414)</f>
        <v/>
      </c>
      <c r="G414" s="25">
        <f>IF(C414="","",D414/$L$6)</f>
        <v/>
      </c>
      <c r="H414" s="37">
        <f>IF(OR(F414="",F415=""),"",(E414+E415)/2)</f>
        <v/>
      </c>
      <c r="I414" s="25">
        <f>IF(H414="","",(F415-F414)/(E415-E414))</f>
        <v/>
      </c>
      <c r="P414" s="25">
        <f>IF(($L$5-1)&lt;1,"",IF(411&lt;=($L$5-1),E414,INDEX($E$4:$E$603,($L$5-1))))</f>
        <v/>
      </c>
      <c r="Q414" s="25">
        <f>IF(($L$5-1)&lt;1,"",IF(411&lt;=($L$5-1),F414,INDEX($F$4:$F$603,($L$5-1))))</f>
        <v/>
      </c>
      <c r="R414" s="25">
        <f>IF(($L$5-1)&lt;1,"",IF(411&lt;=($L$5-1),G414,INDEX($G$4:$G$603,($L$5-1))))</f>
        <v/>
      </c>
      <c r="S414" s="25">
        <f>IF(($L$5-2)&lt;1,"",IF(411&lt;=($L$5-2),H414,INDEX($H$4:$H$603,($L$5-2))))</f>
        <v/>
      </c>
      <c r="T414" s="25">
        <f>IF(($L$5-2)&lt;1,"",IF(411&lt;=($L$5-2),I414,INDEX($I$4:$I$603,($L$5-2))))</f>
        <v/>
      </c>
    </row>
    <row r="415">
      <c r="A415" s="43" t="n"/>
      <c r="B415" s="43" t="n"/>
      <c r="C415" s="37">
        <f>IF(OR(A415="",A416=""),"",A416-A415)</f>
        <v/>
      </c>
      <c r="D415" s="37">
        <f>IF(C415="","",B416-B415)</f>
        <v/>
      </c>
      <c r="E415" s="37">
        <f>IF(C415="","",(A415+A416)/2)</f>
        <v/>
      </c>
      <c r="F415" s="25">
        <f>IF(OR(C415="",C415=0),"",D415/C415)</f>
        <v/>
      </c>
      <c r="G415" s="25">
        <f>IF(C415="","",D415/$L$6)</f>
        <v/>
      </c>
      <c r="H415" s="37">
        <f>IF(OR(F415="",F416=""),"",(E415+E416)/2)</f>
        <v/>
      </c>
      <c r="I415" s="25">
        <f>IF(H415="","",(F416-F415)/(E416-E415))</f>
        <v/>
      </c>
      <c r="P415" s="25">
        <f>IF(($L$5-1)&lt;1,"",IF(412&lt;=($L$5-1),E415,INDEX($E$4:$E$603,($L$5-1))))</f>
        <v/>
      </c>
      <c r="Q415" s="25">
        <f>IF(($L$5-1)&lt;1,"",IF(412&lt;=($L$5-1),F415,INDEX($F$4:$F$603,($L$5-1))))</f>
        <v/>
      </c>
      <c r="R415" s="25">
        <f>IF(($L$5-1)&lt;1,"",IF(412&lt;=($L$5-1),G415,INDEX($G$4:$G$603,($L$5-1))))</f>
        <v/>
      </c>
      <c r="S415" s="25">
        <f>IF(($L$5-2)&lt;1,"",IF(412&lt;=($L$5-2),H415,INDEX($H$4:$H$603,($L$5-2))))</f>
        <v/>
      </c>
      <c r="T415" s="25">
        <f>IF(($L$5-2)&lt;1,"",IF(412&lt;=($L$5-2),I415,INDEX($I$4:$I$603,($L$5-2))))</f>
        <v/>
      </c>
    </row>
    <row r="416">
      <c r="A416" s="43" t="n"/>
      <c r="B416" s="43" t="n"/>
      <c r="C416" s="37">
        <f>IF(OR(A416="",A417=""),"",A417-A416)</f>
        <v/>
      </c>
      <c r="D416" s="37">
        <f>IF(C416="","",B417-B416)</f>
        <v/>
      </c>
      <c r="E416" s="37">
        <f>IF(C416="","",(A416+A417)/2)</f>
        <v/>
      </c>
      <c r="F416" s="25">
        <f>IF(OR(C416="",C416=0),"",D416/C416)</f>
        <v/>
      </c>
      <c r="G416" s="25">
        <f>IF(C416="","",D416/$L$6)</f>
        <v/>
      </c>
      <c r="H416" s="37">
        <f>IF(OR(F416="",F417=""),"",(E416+E417)/2)</f>
        <v/>
      </c>
      <c r="I416" s="25">
        <f>IF(H416="","",(F417-F416)/(E417-E416))</f>
        <v/>
      </c>
      <c r="P416" s="25">
        <f>IF(($L$5-1)&lt;1,"",IF(413&lt;=($L$5-1),E416,INDEX($E$4:$E$603,($L$5-1))))</f>
        <v/>
      </c>
      <c r="Q416" s="25">
        <f>IF(($L$5-1)&lt;1,"",IF(413&lt;=($L$5-1),F416,INDEX($F$4:$F$603,($L$5-1))))</f>
        <v/>
      </c>
      <c r="R416" s="25">
        <f>IF(($L$5-1)&lt;1,"",IF(413&lt;=($L$5-1),G416,INDEX($G$4:$G$603,($L$5-1))))</f>
        <v/>
      </c>
      <c r="S416" s="25">
        <f>IF(($L$5-2)&lt;1,"",IF(413&lt;=($L$5-2),H416,INDEX($H$4:$H$603,($L$5-2))))</f>
        <v/>
      </c>
      <c r="T416" s="25">
        <f>IF(($L$5-2)&lt;1,"",IF(413&lt;=($L$5-2),I416,INDEX($I$4:$I$603,($L$5-2))))</f>
        <v/>
      </c>
    </row>
    <row r="417">
      <c r="A417" s="43" t="n"/>
      <c r="B417" s="43" t="n"/>
      <c r="C417" s="37">
        <f>IF(OR(A417="",A418=""),"",A418-A417)</f>
        <v/>
      </c>
      <c r="D417" s="37">
        <f>IF(C417="","",B418-B417)</f>
        <v/>
      </c>
      <c r="E417" s="37">
        <f>IF(C417="","",(A417+A418)/2)</f>
        <v/>
      </c>
      <c r="F417" s="25">
        <f>IF(OR(C417="",C417=0),"",D417/C417)</f>
        <v/>
      </c>
      <c r="G417" s="25">
        <f>IF(C417="","",D417/$L$6)</f>
        <v/>
      </c>
      <c r="H417" s="37">
        <f>IF(OR(F417="",F418=""),"",(E417+E418)/2)</f>
        <v/>
      </c>
      <c r="I417" s="25">
        <f>IF(H417="","",(F418-F417)/(E418-E417))</f>
        <v/>
      </c>
      <c r="P417" s="25">
        <f>IF(($L$5-1)&lt;1,"",IF(414&lt;=($L$5-1),E417,INDEX($E$4:$E$603,($L$5-1))))</f>
        <v/>
      </c>
      <c r="Q417" s="25">
        <f>IF(($L$5-1)&lt;1,"",IF(414&lt;=($L$5-1),F417,INDEX($F$4:$F$603,($L$5-1))))</f>
        <v/>
      </c>
      <c r="R417" s="25">
        <f>IF(($L$5-1)&lt;1,"",IF(414&lt;=($L$5-1),G417,INDEX($G$4:$G$603,($L$5-1))))</f>
        <v/>
      </c>
      <c r="S417" s="25">
        <f>IF(($L$5-2)&lt;1,"",IF(414&lt;=($L$5-2),H417,INDEX($H$4:$H$603,($L$5-2))))</f>
        <v/>
      </c>
      <c r="T417" s="25">
        <f>IF(($L$5-2)&lt;1,"",IF(414&lt;=($L$5-2),I417,INDEX($I$4:$I$603,($L$5-2))))</f>
        <v/>
      </c>
    </row>
    <row r="418">
      <c r="A418" s="43" t="n"/>
      <c r="B418" s="43" t="n"/>
      <c r="C418" s="37">
        <f>IF(OR(A418="",A419=""),"",A419-A418)</f>
        <v/>
      </c>
      <c r="D418" s="37">
        <f>IF(C418="","",B419-B418)</f>
        <v/>
      </c>
      <c r="E418" s="37">
        <f>IF(C418="","",(A418+A419)/2)</f>
        <v/>
      </c>
      <c r="F418" s="25">
        <f>IF(OR(C418="",C418=0),"",D418/C418)</f>
        <v/>
      </c>
      <c r="G418" s="25">
        <f>IF(C418="","",D418/$L$6)</f>
        <v/>
      </c>
      <c r="H418" s="37">
        <f>IF(OR(F418="",F419=""),"",(E418+E419)/2)</f>
        <v/>
      </c>
      <c r="I418" s="25">
        <f>IF(H418="","",(F419-F418)/(E419-E418))</f>
        <v/>
      </c>
      <c r="P418" s="25">
        <f>IF(($L$5-1)&lt;1,"",IF(415&lt;=($L$5-1),E418,INDEX($E$4:$E$603,($L$5-1))))</f>
        <v/>
      </c>
      <c r="Q418" s="25">
        <f>IF(($L$5-1)&lt;1,"",IF(415&lt;=($L$5-1),F418,INDEX($F$4:$F$603,($L$5-1))))</f>
        <v/>
      </c>
      <c r="R418" s="25">
        <f>IF(($L$5-1)&lt;1,"",IF(415&lt;=($L$5-1),G418,INDEX($G$4:$G$603,($L$5-1))))</f>
        <v/>
      </c>
      <c r="S418" s="25">
        <f>IF(($L$5-2)&lt;1,"",IF(415&lt;=($L$5-2),H418,INDEX($H$4:$H$603,($L$5-2))))</f>
        <v/>
      </c>
      <c r="T418" s="25">
        <f>IF(($L$5-2)&lt;1,"",IF(415&lt;=($L$5-2),I418,INDEX($I$4:$I$603,($L$5-2))))</f>
        <v/>
      </c>
    </row>
    <row r="419">
      <c r="A419" s="43" t="n"/>
      <c r="B419" s="43" t="n"/>
      <c r="C419" s="37">
        <f>IF(OR(A419="",A420=""),"",A420-A419)</f>
        <v/>
      </c>
      <c r="D419" s="37">
        <f>IF(C419="","",B420-B419)</f>
        <v/>
      </c>
      <c r="E419" s="37">
        <f>IF(C419="","",(A419+A420)/2)</f>
        <v/>
      </c>
      <c r="F419" s="25">
        <f>IF(OR(C419="",C419=0),"",D419/C419)</f>
        <v/>
      </c>
      <c r="G419" s="25">
        <f>IF(C419="","",D419/$L$6)</f>
        <v/>
      </c>
      <c r="H419" s="37">
        <f>IF(OR(F419="",F420=""),"",(E419+E420)/2)</f>
        <v/>
      </c>
      <c r="I419" s="25">
        <f>IF(H419="","",(F420-F419)/(E420-E419))</f>
        <v/>
      </c>
      <c r="P419" s="25">
        <f>IF(($L$5-1)&lt;1,"",IF(416&lt;=($L$5-1),E419,INDEX($E$4:$E$603,($L$5-1))))</f>
        <v/>
      </c>
      <c r="Q419" s="25">
        <f>IF(($L$5-1)&lt;1,"",IF(416&lt;=($L$5-1),F419,INDEX($F$4:$F$603,($L$5-1))))</f>
        <v/>
      </c>
      <c r="R419" s="25">
        <f>IF(($L$5-1)&lt;1,"",IF(416&lt;=($L$5-1),G419,INDEX($G$4:$G$603,($L$5-1))))</f>
        <v/>
      </c>
      <c r="S419" s="25">
        <f>IF(($L$5-2)&lt;1,"",IF(416&lt;=($L$5-2),H419,INDEX($H$4:$H$603,($L$5-2))))</f>
        <v/>
      </c>
      <c r="T419" s="25">
        <f>IF(($L$5-2)&lt;1,"",IF(416&lt;=($L$5-2),I419,INDEX($I$4:$I$603,($L$5-2))))</f>
        <v/>
      </c>
    </row>
    <row r="420">
      <c r="A420" s="43" t="n"/>
      <c r="B420" s="43" t="n"/>
      <c r="C420" s="37">
        <f>IF(OR(A420="",A421=""),"",A421-A420)</f>
        <v/>
      </c>
      <c r="D420" s="37">
        <f>IF(C420="","",B421-B420)</f>
        <v/>
      </c>
      <c r="E420" s="37">
        <f>IF(C420="","",(A420+A421)/2)</f>
        <v/>
      </c>
      <c r="F420" s="25">
        <f>IF(OR(C420="",C420=0),"",D420/C420)</f>
        <v/>
      </c>
      <c r="G420" s="25">
        <f>IF(C420="","",D420/$L$6)</f>
        <v/>
      </c>
      <c r="H420" s="37">
        <f>IF(OR(F420="",F421=""),"",(E420+E421)/2)</f>
        <v/>
      </c>
      <c r="I420" s="25">
        <f>IF(H420="","",(F421-F420)/(E421-E420))</f>
        <v/>
      </c>
      <c r="P420" s="25">
        <f>IF(($L$5-1)&lt;1,"",IF(417&lt;=($L$5-1),E420,INDEX($E$4:$E$603,($L$5-1))))</f>
        <v/>
      </c>
      <c r="Q420" s="25">
        <f>IF(($L$5-1)&lt;1,"",IF(417&lt;=($L$5-1),F420,INDEX($F$4:$F$603,($L$5-1))))</f>
        <v/>
      </c>
      <c r="R420" s="25">
        <f>IF(($L$5-1)&lt;1,"",IF(417&lt;=($L$5-1),G420,INDEX($G$4:$G$603,($L$5-1))))</f>
        <v/>
      </c>
      <c r="S420" s="25">
        <f>IF(($L$5-2)&lt;1,"",IF(417&lt;=($L$5-2),H420,INDEX($H$4:$H$603,($L$5-2))))</f>
        <v/>
      </c>
      <c r="T420" s="25">
        <f>IF(($L$5-2)&lt;1,"",IF(417&lt;=($L$5-2),I420,INDEX($I$4:$I$603,($L$5-2))))</f>
        <v/>
      </c>
    </row>
    <row r="421">
      <c r="A421" s="43" t="n"/>
      <c r="B421" s="43" t="n"/>
      <c r="C421" s="37">
        <f>IF(OR(A421="",A422=""),"",A422-A421)</f>
        <v/>
      </c>
      <c r="D421" s="37">
        <f>IF(C421="","",B422-B421)</f>
        <v/>
      </c>
      <c r="E421" s="37">
        <f>IF(C421="","",(A421+A422)/2)</f>
        <v/>
      </c>
      <c r="F421" s="25">
        <f>IF(OR(C421="",C421=0),"",D421/C421)</f>
        <v/>
      </c>
      <c r="G421" s="25">
        <f>IF(C421="","",D421/$L$6)</f>
        <v/>
      </c>
      <c r="H421" s="37">
        <f>IF(OR(F421="",F422=""),"",(E421+E422)/2)</f>
        <v/>
      </c>
      <c r="I421" s="25">
        <f>IF(H421="","",(F422-F421)/(E422-E421))</f>
        <v/>
      </c>
      <c r="P421" s="25">
        <f>IF(($L$5-1)&lt;1,"",IF(418&lt;=($L$5-1),E421,INDEX($E$4:$E$603,($L$5-1))))</f>
        <v/>
      </c>
      <c r="Q421" s="25">
        <f>IF(($L$5-1)&lt;1,"",IF(418&lt;=($L$5-1),F421,INDEX($F$4:$F$603,($L$5-1))))</f>
        <v/>
      </c>
      <c r="R421" s="25">
        <f>IF(($L$5-1)&lt;1,"",IF(418&lt;=($L$5-1),G421,INDEX($G$4:$G$603,($L$5-1))))</f>
        <v/>
      </c>
      <c r="S421" s="25">
        <f>IF(($L$5-2)&lt;1,"",IF(418&lt;=($L$5-2),H421,INDEX($H$4:$H$603,($L$5-2))))</f>
        <v/>
      </c>
      <c r="T421" s="25">
        <f>IF(($L$5-2)&lt;1,"",IF(418&lt;=($L$5-2),I421,INDEX($I$4:$I$603,($L$5-2))))</f>
        <v/>
      </c>
    </row>
    <row r="422">
      <c r="A422" s="43" t="n"/>
      <c r="B422" s="43" t="n"/>
      <c r="C422" s="37">
        <f>IF(OR(A422="",A423=""),"",A423-A422)</f>
        <v/>
      </c>
      <c r="D422" s="37">
        <f>IF(C422="","",B423-B422)</f>
        <v/>
      </c>
      <c r="E422" s="37">
        <f>IF(C422="","",(A422+A423)/2)</f>
        <v/>
      </c>
      <c r="F422" s="25">
        <f>IF(OR(C422="",C422=0),"",D422/C422)</f>
        <v/>
      </c>
      <c r="G422" s="25">
        <f>IF(C422="","",D422/$L$6)</f>
        <v/>
      </c>
      <c r="H422" s="37">
        <f>IF(OR(F422="",F423=""),"",(E422+E423)/2)</f>
        <v/>
      </c>
      <c r="I422" s="25">
        <f>IF(H422="","",(F423-F422)/(E423-E422))</f>
        <v/>
      </c>
      <c r="P422" s="25">
        <f>IF(($L$5-1)&lt;1,"",IF(419&lt;=($L$5-1),E422,INDEX($E$4:$E$603,($L$5-1))))</f>
        <v/>
      </c>
      <c r="Q422" s="25">
        <f>IF(($L$5-1)&lt;1,"",IF(419&lt;=($L$5-1),F422,INDEX($F$4:$F$603,($L$5-1))))</f>
        <v/>
      </c>
      <c r="R422" s="25">
        <f>IF(($L$5-1)&lt;1,"",IF(419&lt;=($L$5-1),G422,INDEX($G$4:$G$603,($L$5-1))))</f>
        <v/>
      </c>
      <c r="S422" s="25">
        <f>IF(($L$5-2)&lt;1,"",IF(419&lt;=($L$5-2),H422,INDEX($H$4:$H$603,($L$5-2))))</f>
        <v/>
      </c>
      <c r="T422" s="25">
        <f>IF(($L$5-2)&lt;1,"",IF(419&lt;=($L$5-2),I422,INDEX($I$4:$I$603,($L$5-2))))</f>
        <v/>
      </c>
    </row>
    <row r="423">
      <c r="A423" s="43" t="n"/>
      <c r="B423" s="43" t="n"/>
      <c r="C423" s="37">
        <f>IF(OR(A423="",A424=""),"",A424-A423)</f>
        <v/>
      </c>
      <c r="D423" s="37">
        <f>IF(C423="","",B424-B423)</f>
        <v/>
      </c>
      <c r="E423" s="37">
        <f>IF(C423="","",(A423+A424)/2)</f>
        <v/>
      </c>
      <c r="F423" s="25">
        <f>IF(OR(C423="",C423=0),"",D423/C423)</f>
        <v/>
      </c>
      <c r="G423" s="25">
        <f>IF(C423="","",D423/$L$6)</f>
        <v/>
      </c>
      <c r="H423" s="37">
        <f>IF(OR(F423="",F424=""),"",(E423+E424)/2)</f>
        <v/>
      </c>
      <c r="I423" s="25">
        <f>IF(H423="","",(F424-F423)/(E424-E423))</f>
        <v/>
      </c>
      <c r="P423" s="25">
        <f>IF(($L$5-1)&lt;1,"",IF(420&lt;=($L$5-1),E423,INDEX($E$4:$E$603,($L$5-1))))</f>
        <v/>
      </c>
      <c r="Q423" s="25">
        <f>IF(($L$5-1)&lt;1,"",IF(420&lt;=($L$5-1),F423,INDEX($F$4:$F$603,($L$5-1))))</f>
        <v/>
      </c>
      <c r="R423" s="25">
        <f>IF(($L$5-1)&lt;1,"",IF(420&lt;=($L$5-1),G423,INDEX($G$4:$G$603,($L$5-1))))</f>
        <v/>
      </c>
      <c r="S423" s="25">
        <f>IF(($L$5-2)&lt;1,"",IF(420&lt;=($L$5-2),H423,INDEX($H$4:$H$603,($L$5-2))))</f>
        <v/>
      </c>
      <c r="T423" s="25">
        <f>IF(($L$5-2)&lt;1,"",IF(420&lt;=($L$5-2),I423,INDEX($I$4:$I$603,($L$5-2))))</f>
        <v/>
      </c>
    </row>
    <row r="424">
      <c r="A424" s="43" t="n"/>
      <c r="B424" s="43" t="n"/>
      <c r="C424" s="37">
        <f>IF(OR(A424="",A425=""),"",A425-A424)</f>
        <v/>
      </c>
      <c r="D424" s="37">
        <f>IF(C424="","",B425-B424)</f>
        <v/>
      </c>
      <c r="E424" s="37">
        <f>IF(C424="","",(A424+A425)/2)</f>
        <v/>
      </c>
      <c r="F424" s="25">
        <f>IF(OR(C424="",C424=0),"",D424/C424)</f>
        <v/>
      </c>
      <c r="G424" s="25">
        <f>IF(C424="","",D424/$L$6)</f>
        <v/>
      </c>
      <c r="H424" s="37">
        <f>IF(OR(F424="",F425=""),"",(E424+E425)/2)</f>
        <v/>
      </c>
      <c r="I424" s="25">
        <f>IF(H424="","",(F425-F424)/(E425-E424))</f>
        <v/>
      </c>
      <c r="P424" s="25">
        <f>IF(($L$5-1)&lt;1,"",IF(421&lt;=($L$5-1),E424,INDEX($E$4:$E$603,($L$5-1))))</f>
        <v/>
      </c>
      <c r="Q424" s="25">
        <f>IF(($L$5-1)&lt;1,"",IF(421&lt;=($L$5-1),F424,INDEX($F$4:$F$603,($L$5-1))))</f>
        <v/>
      </c>
      <c r="R424" s="25">
        <f>IF(($L$5-1)&lt;1,"",IF(421&lt;=($L$5-1),G424,INDEX($G$4:$G$603,($L$5-1))))</f>
        <v/>
      </c>
      <c r="S424" s="25">
        <f>IF(($L$5-2)&lt;1,"",IF(421&lt;=($L$5-2),H424,INDEX($H$4:$H$603,($L$5-2))))</f>
        <v/>
      </c>
      <c r="T424" s="25">
        <f>IF(($L$5-2)&lt;1,"",IF(421&lt;=($L$5-2),I424,INDEX($I$4:$I$603,($L$5-2))))</f>
        <v/>
      </c>
    </row>
    <row r="425">
      <c r="A425" s="43" t="n"/>
      <c r="B425" s="43" t="n"/>
      <c r="C425" s="37">
        <f>IF(OR(A425="",A426=""),"",A426-A425)</f>
        <v/>
      </c>
      <c r="D425" s="37">
        <f>IF(C425="","",B426-B425)</f>
        <v/>
      </c>
      <c r="E425" s="37">
        <f>IF(C425="","",(A425+A426)/2)</f>
        <v/>
      </c>
      <c r="F425" s="25">
        <f>IF(OR(C425="",C425=0),"",D425/C425)</f>
        <v/>
      </c>
      <c r="G425" s="25">
        <f>IF(C425="","",D425/$L$6)</f>
        <v/>
      </c>
      <c r="H425" s="37">
        <f>IF(OR(F425="",F426=""),"",(E425+E426)/2)</f>
        <v/>
      </c>
      <c r="I425" s="25">
        <f>IF(H425="","",(F426-F425)/(E426-E425))</f>
        <v/>
      </c>
      <c r="P425" s="25">
        <f>IF(($L$5-1)&lt;1,"",IF(422&lt;=($L$5-1),E425,INDEX($E$4:$E$603,($L$5-1))))</f>
        <v/>
      </c>
      <c r="Q425" s="25">
        <f>IF(($L$5-1)&lt;1,"",IF(422&lt;=($L$5-1),F425,INDEX($F$4:$F$603,($L$5-1))))</f>
        <v/>
      </c>
      <c r="R425" s="25">
        <f>IF(($L$5-1)&lt;1,"",IF(422&lt;=($L$5-1),G425,INDEX($G$4:$G$603,($L$5-1))))</f>
        <v/>
      </c>
      <c r="S425" s="25">
        <f>IF(($L$5-2)&lt;1,"",IF(422&lt;=($L$5-2),H425,INDEX($H$4:$H$603,($L$5-2))))</f>
        <v/>
      </c>
      <c r="T425" s="25">
        <f>IF(($L$5-2)&lt;1,"",IF(422&lt;=($L$5-2),I425,INDEX($I$4:$I$603,($L$5-2))))</f>
        <v/>
      </c>
    </row>
    <row r="426">
      <c r="A426" s="43" t="n"/>
      <c r="B426" s="43" t="n"/>
      <c r="C426" s="37">
        <f>IF(OR(A426="",A427=""),"",A427-A426)</f>
        <v/>
      </c>
      <c r="D426" s="37">
        <f>IF(C426="","",B427-B426)</f>
        <v/>
      </c>
      <c r="E426" s="37">
        <f>IF(C426="","",(A426+A427)/2)</f>
        <v/>
      </c>
      <c r="F426" s="25">
        <f>IF(OR(C426="",C426=0),"",D426/C426)</f>
        <v/>
      </c>
      <c r="G426" s="25">
        <f>IF(C426="","",D426/$L$6)</f>
        <v/>
      </c>
      <c r="H426" s="37">
        <f>IF(OR(F426="",F427=""),"",(E426+E427)/2)</f>
        <v/>
      </c>
      <c r="I426" s="25">
        <f>IF(H426="","",(F427-F426)/(E427-E426))</f>
        <v/>
      </c>
      <c r="P426" s="25">
        <f>IF(($L$5-1)&lt;1,"",IF(423&lt;=($L$5-1),E426,INDEX($E$4:$E$603,($L$5-1))))</f>
        <v/>
      </c>
      <c r="Q426" s="25">
        <f>IF(($L$5-1)&lt;1,"",IF(423&lt;=($L$5-1),F426,INDEX($F$4:$F$603,($L$5-1))))</f>
        <v/>
      </c>
      <c r="R426" s="25">
        <f>IF(($L$5-1)&lt;1,"",IF(423&lt;=($L$5-1),G426,INDEX($G$4:$G$603,($L$5-1))))</f>
        <v/>
      </c>
      <c r="S426" s="25">
        <f>IF(($L$5-2)&lt;1,"",IF(423&lt;=($L$5-2),H426,INDEX($H$4:$H$603,($L$5-2))))</f>
        <v/>
      </c>
      <c r="T426" s="25">
        <f>IF(($L$5-2)&lt;1,"",IF(423&lt;=($L$5-2),I426,INDEX($I$4:$I$603,($L$5-2))))</f>
        <v/>
      </c>
    </row>
    <row r="427">
      <c r="A427" s="43" t="n"/>
      <c r="B427" s="43" t="n"/>
      <c r="C427" s="37">
        <f>IF(OR(A427="",A428=""),"",A428-A427)</f>
        <v/>
      </c>
      <c r="D427" s="37">
        <f>IF(C427="","",B428-B427)</f>
        <v/>
      </c>
      <c r="E427" s="37">
        <f>IF(C427="","",(A427+A428)/2)</f>
        <v/>
      </c>
      <c r="F427" s="25">
        <f>IF(OR(C427="",C427=0),"",D427/C427)</f>
        <v/>
      </c>
      <c r="G427" s="25">
        <f>IF(C427="","",D427/$L$6)</f>
        <v/>
      </c>
      <c r="H427" s="37">
        <f>IF(OR(F427="",F428=""),"",(E427+E428)/2)</f>
        <v/>
      </c>
      <c r="I427" s="25">
        <f>IF(H427="","",(F428-F427)/(E428-E427))</f>
        <v/>
      </c>
      <c r="P427" s="25">
        <f>IF(($L$5-1)&lt;1,"",IF(424&lt;=($L$5-1),E427,INDEX($E$4:$E$603,($L$5-1))))</f>
        <v/>
      </c>
      <c r="Q427" s="25">
        <f>IF(($L$5-1)&lt;1,"",IF(424&lt;=($L$5-1),F427,INDEX($F$4:$F$603,($L$5-1))))</f>
        <v/>
      </c>
      <c r="R427" s="25">
        <f>IF(($L$5-1)&lt;1,"",IF(424&lt;=($L$5-1),G427,INDEX($G$4:$G$603,($L$5-1))))</f>
        <v/>
      </c>
      <c r="S427" s="25">
        <f>IF(($L$5-2)&lt;1,"",IF(424&lt;=($L$5-2),H427,INDEX($H$4:$H$603,($L$5-2))))</f>
        <v/>
      </c>
      <c r="T427" s="25">
        <f>IF(($L$5-2)&lt;1,"",IF(424&lt;=($L$5-2),I427,INDEX($I$4:$I$603,($L$5-2))))</f>
        <v/>
      </c>
    </row>
    <row r="428">
      <c r="A428" s="43" t="n"/>
      <c r="B428" s="43" t="n"/>
      <c r="C428" s="37">
        <f>IF(OR(A428="",A429=""),"",A429-A428)</f>
        <v/>
      </c>
      <c r="D428" s="37">
        <f>IF(C428="","",B429-B428)</f>
        <v/>
      </c>
      <c r="E428" s="37">
        <f>IF(C428="","",(A428+A429)/2)</f>
        <v/>
      </c>
      <c r="F428" s="25">
        <f>IF(OR(C428="",C428=0),"",D428/C428)</f>
        <v/>
      </c>
      <c r="G428" s="25">
        <f>IF(C428="","",D428/$L$6)</f>
        <v/>
      </c>
      <c r="H428" s="37">
        <f>IF(OR(F428="",F429=""),"",(E428+E429)/2)</f>
        <v/>
      </c>
      <c r="I428" s="25">
        <f>IF(H428="","",(F429-F428)/(E429-E428))</f>
        <v/>
      </c>
      <c r="P428" s="25">
        <f>IF(($L$5-1)&lt;1,"",IF(425&lt;=($L$5-1),E428,INDEX($E$4:$E$603,($L$5-1))))</f>
        <v/>
      </c>
      <c r="Q428" s="25">
        <f>IF(($L$5-1)&lt;1,"",IF(425&lt;=($L$5-1),F428,INDEX($F$4:$F$603,($L$5-1))))</f>
        <v/>
      </c>
      <c r="R428" s="25">
        <f>IF(($L$5-1)&lt;1,"",IF(425&lt;=($L$5-1),G428,INDEX($G$4:$G$603,($L$5-1))))</f>
        <v/>
      </c>
      <c r="S428" s="25">
        <f>IF(($L$5-2)&lt;1,"",IF(425&lt;=($L$5-2),H428,INDEX($H$4:$H$603,($L$5-2))))</f>
        <v/>
      </c>
      <c r="T428" s="25">
        <f>IF(($L$5-2)&lt;1,"",IF(425&lt;=($L$5-2),I428,INDEX($I$4:$I$603,($L$5-2))))</f>
        <v/>
      </c>
    </row>
    <row r="429">
      <c r="A429" s="43" t="n"/>
      <c r="B429" s="43" t="n"/>
      <c r="C429" s="37">
        <f>IF(OR(A429="",A430=""),"",A430-A429)</f>
        <v/>
      </c>
      <c r="D429" s="37">
        <f>IF(C429="","",B430-B429)</f>
        <v/>
      </c>
      <c r="E429" s="37">
        <f>IF(C429="","",(A429+A430)/2)</f>
        <v/>
      </c>
      <c r="F429" s="25">
        <f>IF(OR(C429="",C429=0),"",D429/C429)</f>
        <v/>
      </c>
      <c r="G429" s="25">
        <f>IF(C429="","",D429/$L$6)</f>
        <v/>
      </c>
      <c r="H429" s="37">
        <f>IF(OR(F429="",F430=""),"",(E429+E430)/2)</f>
        <v/>
      </c>
      <c r="I429" s="25">
        <f>IF(H429="","",(F430-F429)/(E430-E429))</f>
        <v/>
      </c>
      <c r="P429" s="25">
        <f>IF(($L$5-1)&lt;1,"",IF(426&lt;=($L$5-1),E429,INDEX($E$4:$E$603,($L$5-1))))</f>
        <v/>
      </c>
      <c r="Q429" s="25">
        <f>IF(($L$5-1)&lt;1,"",IF(426&lt;=($L$5-1),F429,INDEX($F$4:$F$603,($L$5-1))))</f>
        <v/>
      </c>
      <c r="R429" s="25">
        <f>IF(($L$5-1)&lt;1,"",IF(426&lt;=($L$5-1),G429,INDEX($G$4:$G$603,($L$5-1))))</f>
        <v/>
      </c>
      <c r="S429" s="25">
        <f>IF(($L$5-2)&lt;1,"",IF(426&lt;=($L$5-2),H429,INDEX($H$4:$H$603,($L$5-2))))</f>
        <v/>
      </c>
      <c r="T429" s="25">
        <f>IF(($L$5-2)&lt;1,"",IF(426&lt;=($L$5-2),I429,INDEX($I$4:$I$603,($L$5-2))))</f>
        <v/>
      </c>
    </row>
    <row r="430">
      <c r="A430" s="43" t="n"/>
      <c r="B430" s="43" t="n"/>
      <c r="C430" s="37">
        <f>IF(OR(A430="",A431=""),"",A431-A430)</f>
        <v/>
      </c>
      <c r="D430" s="37">
        <f>IF(C430="","",B431-B430)</f>
        <v/>
      </c>
      <c r="E430" s="37">
        <f>IF(C430="","",(A430+A431)/2)</f>
        <v/>
      </c>
      <c r="F430" s="25">
        <f>IF(OR(C430="",C430=0),"",D430/C430)</f>
        <v/>
      </c>
      <c r="G430" s="25">
        <f>IF(C430="","",D430/$L$6)</f>
        <v/>
      </c>
      <c r="H430" s="37">
        <f>IF(OR(F430="",F431=""),"",(E430+E431)/2)</f>
        <v/>
      </c>
      <c r="I430" s="25">
        <f>IF(H430="","",(F431-F430)/(E431-E430))</f>
        <v/>
      </c>
      <c r="P430" s="25">
        <f>IF(($L$5-1)&lt;1,"",IF(427&lt;=($L$5-1),E430,INDEX($E$4:$E$603,($L$5-1))))</f>
        <v/>
      </c>
      <c r="Q430" s="25">
        <f>IF(($L$5-1)&lt;1,"",IF(427&lt;=($L$5-1),F430,INDEX($F$4:$F$603,($L$5-1))))</f>
        <v/>
      </c>
      <c r="R430" s="25">
        <f>IF(($L$5-1)&lt;1,"",IF(427&lt;=($L$5-1),G430,INDEX($G$4:$G$603,($L$5-1))))</f>
        <v/>
      </c>
      <c r="S430" s="25">
        <f>IF(($L$5-2)&lt;1,"",IF(427&lt;=($L$5-2),H430,INDEX($H$4:$H$603,($L$5-2))))</f>
        <v/>
      </c>
      <c r="T430" s="25">
        <f>IF(($L$5-2)&lt;1,"",IF(427&lt;=($L$5-2),I430,INDEX($I$4:$I$603,($L$5-2))))</f>
        <v/>
      </c>
    </row>
    <row r="431">
      <c r="A431" s="43" t="n"/>
      <c r="B431" s="43" t="n"/>
      <c r="C431" s="37">
        <f>IF(OR(A431="",A432=""),"",A432-A431)</f>
        <v/>
      </c>
      <c r="D431" s="37">
        <f>IF(C431="","",B432-B431)</f>
        <v/>
      </c>
      <c r="E431" s="37">
        <f>IF(C431="","",(A431+A432)/2)</f>
        <v/>
      </c>
      <c r="F431" s="25">
        <f>IF(OR(C431="",C431=0),"",D431/C431)</f>
        <v/>
      </c>
      <c r="G431" s="25">
        <f>IF(C431="","",D431/$L$6)</f>
        <v/>
      </c>
      <c r="H431" s="37">
        <f>IF(OR(F431="",F432=""),"",(E431+E432)/2)</f>
        <v/>
      </c>
      <c r="I431" s="25">
        <f>IF(H431="","",(F432-F431)/(E432-E431))</f>
        <v/>
      </c>
      <c r="P431" s="25">
        <f>IF(($L$5-1)&lt;1,"",IF(428&lt;=($L$5-1),E431,INDEX($E$4:$E$603,($L$5-1))))</f>
        <v/>
      </c>
      <c r="Q431" s="25">
        <f>IF(($L$5-1)&lt;1,"",IF(428&lt;=($L$5-1),F431,INDEX($F$4:$F$603,($L$5-1))))</f>
        <v/>
      </c>
      <c r="R431" s="25">
        <f>IF(($L$5-1)&lt;1,"",IF(428&lt;=($L$5-1),G431,INDEX($G$4:$G$603,($L$5-1))))</f>
        <v/>
      </c>
      <c r="S431" s="25">
        <f>IF(($L$5-2)&lt;1,"",IF(428&lt;=($L$5-2),H431,INDEX($H$4:$H$603,($L$5-2))))</f>
        <v/>
      </c>
      <c r="T431" s="25">
        <f>IF(($L$5-2)&lt;1,"",IF(428&lt;=($L$5-2),I431,INDEX($I$4:$I$603,($L$5-2))))</f>
        <v/>
      </c>
    </row>
    <row r="432">
      <c r="A432" s="43" t="n"/>
      <c r="B432" s="43" t="n"/>
      <c r="C432" s="37">
        <f>IF(OR(A432="",A433=""),"",A433-A432)</f>
        <v/>
      </c>
      <c r="D432" s="37">
        <f>IF(C432="","",B433-B432)</f>
        <v/>
      </c>
      <c r="E432" s="37">
        <f>IF(C432="","",(A432+A433)/2)</f>
        <v/>
      </c>
      <c r="F432" s="25">
        <f>IF(OR(C432="",C432=0),"",D432/C432)</f>
        <v/>
      </c>
      <c r="G432" s="25">
        <f>IF(C432="","",D432/$L$6)</f>
        <v/>
      </c>
      <c r="H432" s="37">
        <f>IF(OR(F432="",F433=""),"",(E432+E433)/2)</f>
        <v/>
      </c>
      <c r="I432" s="25">
        <f>IF(H432="","",(F433-F432)/(E433-E432))</f>
        <v/>
      </c>
      <c r="P432" s="25">
        <f>IF(($L$5-1)&lt;1,"",IF(429&lt;=($L$5-1),E432,INDEX($E$4:$E$603,($L$5-1))))</f>
        <v/>
      </c>
      <c r="Q432" s="25">
        <f>IF(($L$5-1)&lt;1,"",IF(429&lt;=($L$5-1),F432,INDEX($F$4:$F$603,($L$5-1))))</f>
        <v/>
      </c>
      <c r="R432" s="25">
        <f>IF(($L$5-1)&lt;1,"",IF(429&lt;=($L$5-1),G432,INDEX($G$4:$G$603,($L$5-1))))</f>
        <v/>
      </c>
      <c r="S432" s="25">
        <f>IF(($L$5-2)&lt;1,"",IF(429&lt;=($L$5-2),H432,INDEX($H$4:$H$603,($L$5-2))))</f>
        <v/>
      </c>
      <c r="T432" s="25">
        <f>IF(($L$5-2)&lt;1,"",IF(429&lt;=($L$5-2),I432,INDEX($I$4:$I$603,($L$5-2))))</f>
        <v/>
      </c>
    </row>
    <row r="433">
      <c r="A433" s="43" t="n"/>
      <c r="B433" s="43" t="n"/>
      <c r="C433" s="37">
        <f>IF(OR(A433="",A434=""),"",A434-A433)</f>
        <v/>
      </c>
      <c r="D433" s="37">
        <f>IF(C433="","",B434-B433)</f>
        <v/>
      </c>
      <c r="E433" s="37">
        <f>IF(C433="","",(A433+A434)/2)</f>
        <v/>
      </c>
      <c r="F433" s="25">
        <f>IF(OR(C433="",C433=0),"",D433/C433)</f>
        <v/>
      </c>
      <c r="G433" s="25">
        <f>IF(C433="","",D433/$L$6)</f>
        <v/>
      </c>
      <c r="H433" s="37">
        <f>IF(OR(F433="",F434=""),"",(E433+E434)/2)</f>
        <v/>
      </c>
      <c r="I433" s="25">
        <f>IF(H433="","",(F434-F433)/(E434-E433))</f>
        <v/>
      </c>
      <c r="P433" s="25">
        <f>IF(($L$5-1)&lt;1,"",IF(430&lt;=($L$5-1),E433,INDEX($E$4:$E$603,($L$5-1))))</f>
        <v/>
      </c>
      <c r="Q433" s="25">
        <f>IF(($L$5-1)&lt;1,"",IF(430&lt;=($L$5-1),F433,INDEX($F$4:$F$603,($L$5-1))))</f>
        <v/>
      </c>
      <c r="R433" s="25">
        <f>IF(($L$5-1)&lt;1,"",IF(430&lt;=($L$5-1),G433,INDEX($G$4:$G$603,($L$5-1))))</f>
        <v/>
      </c>
      <c r="S433" s="25">
        <f>IF(($L$5-2)&lt;1,"",IF(430&lt;=($L$5-2),H433,INDEX($H$4:$H$603,($L$5-2))))</f>
        <v/>
      </c>
      <c r="T433" s="25">
        <f>IF(($L$5-2)&lt;1,"",IF(430&lt;=($L$5-2),I433,INDEX($I$4:$I$603,($L$5-2))))</f>
        <v/>
      </c>
    </row>
    <row r="434">
      <c r="A434" s="43" t="n"/>
      <c r="B434" s="43" t="n"/>
      <c r="C434" s="37">
        <f>IF(OR(A434="",A435=""),"",A435-A434)</f>
        <v/>
      </c>
      <c r="D434" s="37">
        <f>IF(C434="","",B435-B434)</f>
        <v/>
      </c>
      <c r="E434" s="37">
        <f>IF(C434="","",(A434+A435)/2)</f>
        <v/>
      </c>
      <c r="F434" s="25">
        <f>IF(OR(C434="",C434=0),"",D434/C434)</f>
        <v/>
      </c>
      <c r="G434" s="25">
        <f>IF(C434="","",D434/$L$6)</f>
        <v/>
      </c>
      <c r="H434" s="37">
        <f>IF(OR(F434="",F435=""),"",(E434+E435)/2)</f>
        <v/>
      </c>
      <c r="I434" s="25">
        <f>IF(H434="","",(F435-F434)/(E435-E434))</f>
        <v/>
      </c>
      <c r="P434" s="25">
        <f>IF(($L$5-1)&lt;1,"",IF(431&lt;=($L$5-1),E434,INDEX($E$4:$E$603,($L$5-1))))</f>
        <v/>
      </c>
      <c r="Q434" s="25">
        <f>IF(($L$5-1)&lt;1,"",IF(431&lt;=($L$5-1),F434,INDEX($F$4:$F$603,($L$5-1))))</f>
        <v/>
      </c>
      <c r="R434" s="25">
        <f>IF(($L$5-1)&lt;1,"",IF(431&lt;=($L$5-1),G434,INDEX($G$4:$G$603,($L$5-1))))</f>
        <v/>
      </c>
      <c r="S434" s="25">
        <f>IF(($L$5-2)&lt;1,"",IF(431&lt;=($L$5-2),H434,INDEX($H$4:$H$603,($L$5-2))))</f>
        <v/>
      </c>
      <c r="T434" s="25">
        <f>IF(($L$5-2)&lt;1,"",IF(431&lt;=($L$5-2),I434,INDEX($I$4:$I$603,($L$5-2))))</f>
        <v/>
      </c>
    </row>
    <row r="435">
      <c r="A435" s="43" t="n"/>
      <c r="B435" s="43" t="n"/>
      <c r="C435" s="37">
        <f>IF(OR(A435="",A436=""),"",A436-A435)</f>
        <v/>
      </c>
      <c r="D435" s="37">
        <f>IF(C435="","",B436-B435)</f>
        <v/>
      </c>
      <c r="E435" s="37">
        <f>IF(C435="","",(A435+A436)/2)</f>
        <v/>
      </c>
      <c r="F435" s="25">
        <f>IF(OR(C435="",C435=0),"",D435/C435)</f>
        <v/>
      </c>
      <c r="G435" s="25">
        <f>IF(C435="","",D435/$L$6)</f>
        <v/>
      </c>
      <c r="H435" s="37">
        <f>IF(OR(F435="",F436=""),"",(E435+E436)/2)</f>
        <v/>
      </c>
      <c r="I435" s="25">
        <f>IF(H435="","",(F436-F435)/(E436-E435))</f>
        <v/>
      </c>
      <c r="P435" s="25">
        <f>IF(($L$5-1)&lt;1,"",IF(432&lt;=($L$5-1),E435,INDEX($E$4:$E$603,($L$5-1))))</f>
        <v/>
      </c>
      <c r="Q435" s="25">
        <f>IF(($L$5-1)&lt;1,"",IF(432&lt;=($L$5-1),F435,INDEX($F$4:$F$603,($L$5-1))))</f>
        <v/>
      </c>
      <c r="R435" s="25">
        <f>IF(($L$5-1)&lt;1,"",IF(432&lt;=($L$5-1),G435,INDEX($G$4:$G$603,($L$5-1))))</f>
        <v/>
      </c>
      <c r="S435" s="25">
        <f>IF(($L$5-2)&lt;1,"",IF(432&lt;=($L$5-2),H435,INDEX($H$4:$H$603,($L$5-2))))</f>
        <v/>
      </c>
      <c r="T435" s="25">
        <f>IF(($L$5-2)&lt;1,"",IF(432&lt;=($L$5-2),I435,INDEX($I$4:$I$603,($L$5-2))))</f>
        <v/>
      </c>
    </row>
    <row r="436">
      <c r="A436" s="43" t="n"/>
      <c r="B436" s="43" t="n"/>
      <c r="C436" s="37">
        <f>IF(OR(A436="",A437=""),"",A437-A436)</f>
        <v/>
      </c>
      <c r="D436" s="37">
        <f>IF(C436="","",B437-B436)</f>
        <v/>
      </c>
      <c r="E436" s="37">
        <f>IF(C436="","",(A436+A437)/2)</f>
        <v/>
      </c>
      <c r="F436" s="25">
        <f>IF(OR(C436="",C436=0),"",D436/C436)</f>
        <v/>
      </c>
      <c r="G436" s="25">
        <f>IF(C436="","",D436/$L$6)</f>
        <v/>
      </c>
      <c r="H436" s="37">
        <f>IF(OR(F436="",F437=""),"",(E436+E437)/2)</f>
        <v/>
      </c>
      <c r="I436" s="25">
        <f>IF(H436="","",(F437-F436)/(E437-E436))</f>
        <v/>
      </c>
      <c r="P436" s="25">
        <f>IF(($L$5-1)&lt;1,"",IF(433&lt;=($L$5-1),E436,INDEX($E$4:$E$603,($L$5-1))))</f>
        <v/>
      </c>
      <c r="Q436" s="25">
        <f>IF(($L$5-1)&lt;1,"",IF(433&lt;=($L$5-1),F436,INDEX($F$4:$F$603,($L$5-1))))</f>
        <v/>
      </c>
      <c r="R436" s="25">
        <f>IF(($L$5-1)&lt;1,"",IF(433&lt;=($L$5-1),G436,INDEX($G$4:$G$603,($L$5-1))))</f>
        <v/>
      </c>
      <c r="S436" s="25">
        <f>IF(($L$5-2)&lt;1,"",IF(433&lt;=($L$5-2),H436,INDEX($H$4:$H$603,($L$5-2))))</f>
        <v/>
      </c>
      <c r="T436" s="25">
        <f>IF(($L$5-2)&lt;1,"",IF(433&lt;=($L$5-2),I436,INDEX($I$4:$I$603,($L$5-2))))</f>
        <v/>
      </c>
    </row>
    <row r="437">
      <c r="A437" s="43" t="n"/>
      <c r="B437" s="43" t="n"/>
      <c r="C437" s="37">
        <f>IF(OR(A437="",A438=""),"",A438-A437)</f>
        <v/>
      </c>
      <c r="D437" s="37">
        <f>IF(C437="","",B438-B437)</f>
        <v/>
      </c>
      <c r="E437" s="37">
        <f>IF(C437="","",(A437+A438)/2)</f>
        <v/>
      </c>
      <c r="F437" s="25">
        <f>IF(OR(C437="",C437=0),"",D437/C437)</f>
        <v/>
      </c>
      <c r="G437" s="25">
        <f>IF(C437="","",D437/$L$6)</f>
        <v/>
      </c>
      <c r="H437" s="37">
        <f>IF(OR(F437="",F438=""),"",(E437+E438)/2)</f>
        <v/>
      </c>
      <c r="I437" s="25">
        <f>IF(H437="","",(F438-F437)/(E438-E437))</f>
        <v/>
      </c>
      <c r="P437" s="25">
        <f>IF(($L$5-1)&lt;1,"",IF(434&lt;=($L$5-1),E437,INDEX($E$4:$E$603,($L$5-1))))</f>
        <v/>
      </c>
      <c r="Q437" s="25">
        <f>IF(($L$5-1)&lt;1,"",IF(434&lt;=($L$5-1),F437,INDEX($F$4:$F$603,($L$5-1))))</f>
        <v/>
      </c>
      <c r="R437" s="25">
        <f>IF(($L$5-1)&lt;1,"",IF(434&lt;=($L$5-1),G437,INDEX($G$4:$G$603,($L$5-1))))</f>
        <v/>
      </c>
      <c r="S437" s="25">
        <f>IF(($L$5-2)&lt;1,"",IF(434&lt;=($L$5-2),H437,INDEX($H$4:$H$603,($L$5-2))))</f>
        <v/>
      </c>
      <c r="T437" s="25">
        <f>IF(($L$5-2)&lt;1,"",IF(434&lt;=($L$5-2),I437,INDEX($I$4:$I$603,($L$5-2))))</f>
        <v/>
      </c>
    </row>
    <row r="438">
      <c r="A438" s="43" t="n"/>
      <c r="B438" s="43" t="n"/>
      <c r="C438" s="37">
        <f>IF(OR(A438="",A439=""),"",A439-A438)</f>
        <v/>
      </c>
      <c r="D438" s="37">
        <f>IF(C438="","",B439-B438)</f>
        <v/>
      </c>
      <c r="E438" s="37">
        <f>IF(C438="","",(A438+A439)/2)</f>
        <v/>
      </c>
      <c r="F438" s="25">
        <f>IF(OR(C438="",C438=0),"",D438/C438)</f>
        <v/>
      </c>
      <c r="G438" s="25">
        <f>IF(C438="","",D438/$L$6)</f>
        <v/>
      </c>
      <c r="H438" s="37">
        <f>IF(OR(F438="",F439=""),"",(E438+E439)/2)</f>
        <v/>
      </c>
      <c r="I438" s="25">
        <f>IF(H438="","",(F439-F438)/(E439-E438))</f>
        <v/>
      </c>
      <c r="P438" s="25">
        <f>IF(($L$5-1)&lt;1,"",IF(435&lt;=($L$5-1),E438,INDEX($E$4:$E$603,($L$5-1))))</f>
        <v/>
      </c>
      <c r="Q438" s="25">
        <f>IF(($L$5-1)&lt;1,"",IF(435&lt;=($L$5-1),F438,INDEX($F$4:$F$603,($L$5-1))))</f>
        <v/>
      </c>
      <c r="R438" s="25">
        <f>IF(($L$5-1)&lt;1,"",IF(435&lt;=($L$5-1),G438,INDEX($G$4:$G$603,($L$5-1))))</f>
        <v/>
      </c>
      <c r="S438" s="25">
        <f>IF(($L$5-2)&lt;1,"",IF(435&lt;=($L$5-2),H438,INDEX($H$4:$H$603,($L$5-2))))</f>
        <v/>
      </c>
      <c r="T438" s="25">
        <f>IF(($L$5-2)&lt;1,"",IF(435&lt;=($L$5-2),I438,INDEX($I$4:$I$603,($L$5-2))))</f>
        <v/>
      </c>
    </row>
    <row r="439">
      <c r="A439" s="43" t="n"/>
      <c r="B439" s="43" t="n"/>
      <c r="C439" s="37">
        <f>IF(OR(A439="",A440=""),"",A440-A439)</f>
        <v/>
      </c>
      <c r="D439" s="37">
        <f>IF(C439="","",B440-B439)</f>
        <v/>
      </c>
      <c r="E439" s="37">
        <f>IF(C439="","",(A439+A440)/2)</f>
        <v/>
      </c>
      <c r="F439" s="25">
        <f>IF(OR(C439="",C439=0),"",D439/C439)</f>
        <v/>
      </c>
      <c r="G439" s="25">
        <f>IF(C439="","",D439/$L$6)</f>
        <v/>
      </c>
      <c r="H439" s="37">
        <f>IF(OR(F439="",F440=""),"",(E439+E440)/2)</f>
        <v/>
      </c>
      <c r="I439" s="25">
        <f>IF(H439="","",(F440-F439)/(E440-E439))</f>
        <v/>
      </c>
      <c r="P439" s="25">
        <f>IF(($L$5-1)&lt;1,"",IF(436&lt;=($L$5-1),E439,INDEX($E$4:$E$603,($L$5-1))))</f>
        <v/>
      </c>
      <c r="Q439" s="25">
        <f>IF(($L$5-1)&lt;1,"",IF(436&lt;=($L$5-1),F439,INDEX($F$4:$F$603,($L$5-1))))</f>
        <v/>
      </c>
      <c r="R439" s="25">
        <f>IF(($L$5-1)&lt;1,"",IF(436&lt;=($L$5-1),G439,INDEX($G$4:$G$603,($L$5-1))))</f>
        <v/>
      </c>
      <c r="S439" s="25">
        <f>IF(($L$5-2)&lt;1,"",IF(436&lt;=($L$5-2),H439,INDEX($H$4:$H$603,($L$5-2))))</f>
        <v/>
      </c>
      <c r="T439" s="25">
        <f>IF(($L$5-2)&lt;1,"",IF(436&lt;=($L$5-2),I439,INDEX($I$4:$I$603,($L$5-2))))</f>
        <v/>
      </c>
    </row>
    <row r="440">
      <c r="A440" s="43" t="n"/>
      <c r="B440" s="43" t="n"/>
      <c r="C440" s="37">
        <f>IF(OR(A440="",A441=""),"",A441-A440)</f>
        <v/>
      </c>
      <c r="D440" s="37">
        <f>IF(C440="","",B441-B440)</f>
        <v/>
      </c>
      <c r="E440" s="37">
        <f>IF(C440="","",(A440+A441)/2)</f>
        <v/>
      </c>
      <c r="F440" s="25">
        <f>IF(OR(C440="",C440=0),"",D440/C440)</f>
        <v/>
      </c>
      <c r="G440" s="25">
        <f>IF(C440="","",D440/$L$6)</f>
        <v/>
      </c>
      <c r="H440" s="37">
        <f>IF(OR(F440="",F441=""),"",(E440+E441)/2)</f>
        <v/>
      </c>
      <c r="I440" s="25">
        <f>IF(H440="","",(F441-F440)/(E441-E440))</f>
        <v/>
      </c>
      <c r="P440" s="25">
        <f>IF(($L$5-1)&lt;1,"",IF(437&lt;=($L$5-1),E440,INDEX($E$4:$E$603,($L$5-1))))</f>
        <v/>
      </c>
      <c r="Q440" s="25">
        <f>IF(($L$5-1)&lt;1,"",IF(437&lt;=($L$5-1),F440,INDEX($F$4:$F$603,($L$5-1))))</f>
        <v/>
      </c>
      <c r="R440" s="25">
        <f>IF(($L$5-1)&lt;1,"",IF(437&lt;=($L$5-1),G440,INDEX($G$4:$G$603,($L$5-1))))</f>
        <v/>
      </c>
      <c r="S440" s="25">
        <f>IF(($L$5-2)&lt;1,"",IF(437&lt;=($L$5-2),H440,INDEX($H$4:$H$603,($L$5-2))))</f>
        <v/>
      </c>
      <c r="T440" s="25">
        <f>IF(($L$5-2)&lt;1,"",IF(437&lt;=($L$5-2),I440,INDEX($I$4:$I$603,($L$5-2))))</f>
        <v/>
      </c>
    </row>
    <row r="441">
      <c r="A441" s="43" t="n"/>
      <c r="B441" s="43" t="n"/>
      <c r="C441" s="37">
        <f>IF(OR(A441="",A442=""),"",A442-A441)</f>
        <v/>
      </c>
      <c r="D441" s="37">
        <f>IF(C441="","",B442-B441)</f>
        <v/>
      </c>
      <c r="E441" s="37">
        <f>IF(C441="","",(A441+A442)/2)</f>
        <v/>
      </c>
      <c r="F441" s="25">
        <f>IF(OR(C441="",C441=0),"",D441/C441)</f>
        <v/>
      </c>
      <c r="G441" s="25">
        <f>IF(C441="","",D441/$L$6)</f>
        <v/>
      </c>
      <c r="H441" s="37">
        <f>IF(OR(F441="",F442=""),"",(E441+E442)/2)</f>
        <v/>
      </c>
      <c r="I441" s="25">
        <f>IF(H441="","",(F442-F441)/(E442-E441))</f>
        <v/>
      </c>
      <c r="P441" s="25">
        <f>IF(($L$5-1)&lt;1,"",IF(438&lt;=($L$5-1),E441,INDEX($E$4:$E$603,($L$5-1))))</f>
        <v/>
      </c>
      <c r="Q441" s="25">
        <f>IF(($L$5-1)&lt;1,"",IF(438&lt;=($L$5-1),F441,INDEX($F$4:$F$603,($L$5-1))))</f>
        <v/>
      </c>
      <c r="R441" s="25">
        <f>IF(($L$5-1)&lt;1,"",IF(438&lt;=($L$5-1),G441,INDEX($G$4:$G$603,($L$5-1))))</f>
        <v/>
      </c>
      <c r="S441" s="25">
        <f>IF(($L$5-2)&lt;1,"",IF(438&lt;=($L$5-2),H441,INDEX($H$4:$H$603,($L$5-2))))</f>
        <v/>
      </c>
      <c r="T441" s="25">
        <f>IF(($L$5-2)&lt;1,"",IF(438&lt;=($L$5-2),I441,INDEX($I$4:$I$603,($L$5-2))))</f>
        <v/>
      </c>
    </row>
    <row r="442">
      <c r="A442" s="43" t="n"/>
      <c r="B442" s="43" t="n"/>
      <c r="C442" s="37">
        <f>IF(OR(A442="",A443=""),"",A443-A442)</f>
        <v/>
      </c>
      <c r="D442" s="37">
        <f>IF(C442="","",B443-B442)</f>
        <v/>
      </c>
      <c r="E442" s="37">
        <f>IF(C442="","",(A442+A443)/2)</f>
        <v/>
      </c>
      <c r="F442" s="25">
        <f>IF(OR(C442="",C442=0),"",D442/C442)</f>
        <v/>
      </c>
      <c r="G442" s="25">
        <f>IF(C442="","",D442/$L$6)</f>
        <v/>
      </c>
      <c r="H442" s="37">
        <f>IF(OR(F442="",F443=""),"",(E442+E443)/2)</f>
        <v/>
      </c>
      <c r="I442" s="25">
        <f>IF(H442="","",(F443-F442)/(E443-E442))</f>
        <v/>
      </c>
      <c r="P442" s="25">
        <f>IF(($L$5-1)&lt;1,"",IF(439&lt;=($L$5-1),E442,INDEX($E$4:$E$603,($L$5-1))))</f>
        <v/>
      </c>
      <c r="Q442" s="25">
        <f>IF(($L$5-1)&lt;1,"",IF(439&lt;=($L$5-1),F442,INDEX($F$4:$F$603,($L$5-1))))</f>
        <v/>
      </c>
      <c r="R442" s="25">
        <f>IF(($L$5-1)&lt;1,"",IF(439&lt;=($L$5-1),G442,INDEX($G$4:$G$603,($L$5-1))))</f>
        <v/>
      </c>
      <c r="S442" s="25">
        <f>IF(($L$5-2)&lt;1,"",IF(439&lt;=($L$5-2),H442,INDEX($H$4:$H$603,($L$5-2))))</f>
        <v/>
      </c>
      <c r="T442" s="25">
        <f>IF(($L$5-2)&lt;1,"",IF(439&lt;=($L$5-2),I442,INDEX($I$4:$I$603,($L$5-2))))</f>
        <v/>
      </c>
    </row>
    <row r="443">
      <c r="A443" s="43" t="n"/>
      <c r="B443" s="43" t="n"/>
      <c r="C443" s="37">
        <f>IF(OR(A443="",A444=""),"",A444-A443)</f>
        <v/>
      </c>
      <c r="D443" s="37">
        <f>IF(C443="","",B444-B443)</f>
        <v/>
      </c>
      <c r="E443" s="37">
        <f>IF(C443="","",(A443+A444)/2)</f>
        <v/>
      </c>
      <c r="F443" s="25">
        <f>IF(OR(C443="",C443=0),"",D443/C443)</f>
        <v/>
      </c>
      <c r="G443" s="25">
        <f>IF(C443="","",D443/$L$6)</f>
        <v/>
      </c>
      <c r="H443" s="37">
        <f>IF(OR(F443="",F444=""),"",(E443+E444)/2)</f>
        <v/>
      </c>
      <c r="I443" s="25">
        <f>IF(H443="","",(F444-F443)/(E444-E443))</f>
        <v/>
      </c>
      <c r="P443" s="25">
        <f>IF(($L$5-1)&lt;1,"",IF(440&lt;=($L$5-1),E443,INDEX($E$4:$E$603,($L$5-1))))</f>
        <v/>
      </c>
      <c r="Q443" s="25">
        <f>IF(($L$5-1)&lt;1,"",IF(440&lt;=($L$5-1),F443,INDEX($F$4:$F$603,($L$5-1))))</f>
        <v/>
      </c>
      <c r="R443" s="25">
        <f>IF(($L$5-1)&lt;1,"",IF(440&lt;=($L$5-1),G443,INDEX($G$4:$G$603,($L$5-1))))</f>
        <v/>
      </c>
      <c r="S443" s="25">
        <f>IF(($L$5-2)&lt;1,"",IF(440&lt;=($L$5-2),H443,INDEX($H$4:$H$603,($L$5-2))))</f>
        <v/>
      </c>
      <c r="T443" s="25">
        <f>IF(($L$5-2)&lt;1,"",IF(440&lt;=($L$5-2),I443,INDEX($I$4:$I$603,($L$5-2))))</f>
        <v/>
      </c>
    </row>
    <row r="444">
      <c r="A444" s="43" t="n"/>
      <c r="B444" s="43" t="n"/>
      <c r="C444" s="37">
        <f>IF(OR(A444="",A445=""),"",A445-A444)</f>
        <v/>
      </c>
      <c r="D444" s="37">
        <f>IF(C444="","",B445-B444)</f>
        <v/>
      </c>
      <c r="E444" s="37">
        <f>IF(C444="","",(A444+A445)/2)</f>
        <v/>
      </c>
      <c r="F444" s="25">
        <f>IF(OR(C444="",C444=0),"",D444/C444)</f>
        <v/>
      </c>
      <c r="G444" s="25">
        <f>IF(C444="","",D444/$L$6)</f>
        <v/>
      </c>
      <c r="H444" s="37">
        <f>IF(OR(F444="",F445=""),"",(E444+E445)/2)</f>
        <v/>
      </c>
      <c r="I444" s="25">
        <f>IF(H444="","",(F445-F444)/(E445-E444))</f>
        <v/>
      </c>
      <c r="P444" s="25">
        <f>IF(($L$5-1)&lt;1,"",IF(441&lt;=($L$5-1),E444,INDEX($E$4:$E$603,($L$5-1))))</f>
        <v/>
      </c>
      <c r="Q444" s="25">
        <f>IF(($L$5-1)&lt;1,"",IF(441&lt;=($L$5-1),F444,INDEX($F$4:$F$603,($L$5-1))))</f>
        <v/>
      </c>
      <c r="R444" s="25">
        <f>IF(($L$5-1)&lt;1,"",IF(441&lt;=($L$5-1),G444,INDEX($G$4:$G$603,($L$5-1))))</f>
        <v/>
      </c>
      <c r="S444" s="25">
        <f>IF(($L$5-2)&lt;1,"",IF(441&lt;=($L$5-2),H444,INDEX($H$4:$H$603,($L$5-2))))</f>
        <v/>
      </c>
      <c r="T444" s="25">
        <f>IF(($L$5-2)&lt;1,"",IF(441&lt;=($L$5-2),I444,INDEX($I$4:$I$603,($L$5-2))))</f>
        <v/>
      </c>
    </row>
    <row r="445">
      <c r="A445" s="43" t="n"/>
      <c r="B445" s="43" t="n"/>
      <c r="C445" s="37">
        <f>IF(OR(A445="",A446=""),"",A446-A445)</f>
        <v/>
      </c>
      <c r="D445" s="37">
        <f>IF(C445="","",B446-B445)</f>
        <v/>
      </c>
      <c r="E445" s="37">
        <f>IF(C445="","",(A445+A446)/2)</f>
        <v/>
      </c>
      <c r="F445" s="25">
        <f>IF(OR(C445="",C445=0),"",D445/C445)</f>
        <v/>
      </c>
      <c r="G445" s="25">
        <f>IF(C445="","",D445/$L$6)</f>
        <v/>
      </c>
      <c r="H445" s="37">
        <f>IF(OR(F445="",F446=""),"",(E445+E446)/2)</f>
        <v/>
      </c>
      <c r="I445" s="25">
        <f>IF(H445="","",(F446-F445)/(E446-E445))</f>
        <v/>
      </c>
      <c r="P445" s="25">
        <f>IF(($L$5-1)&lt;1,"",IF(442&lt;=($L$5-1),E445,INDEX($E$4:$E$603,($L$5-1))))</f>
        <v/>
      </c>
      <c r="Q445" s="25">
        <f>IF(($L$5-1)&lt;1,"",IF(442&lt;=($L$5-1),F445,INDEX($F$4:$F$603,($L$5-1))))</f>
        <v/>
      </c>
      <c r="R445" s="25">
        <f>IF(($L$5-1)&lt;1,"",IF(442&lt;=($L$5-1),G445,INDEX($G$4:$G$603,($L$5-1))))</f>
        <v/>
      </c>
      <c r="S445" s="25">
        <f>IF(($L$5-2)&lt;1,"",IF(442&lt;=($L$5-2),H445,INDEX($H$4:$H$603,($L$5-2))))</f>
        <v/>
      </c>
      <c r="T445" s="25">
        <f>IF(($L$5-2)&lt;1,"",IF(442&lt;=($L$5-2),I445,INDEX($I$4:$I$603,($L$5-2))))</f>
        <v/>
      </c>
    </row>
    <row r="446">
      <c r="A446" s="43" t="n"/>
      <c r="B446" s="43" t="n"/>
      <c r="C446" s="37">
        <f>IF(OR(A446="",A447=""),"",A447-A446)</f>
        <v/>
      </c>
      <c r="D446" s="37">
        <f>IF(C446="","",B447-B446)</f>
        <v/>
      </c>
      <c r="E446" s="37">
        <f>IF(C446="","",(A446+A447)/2)</f>
        <v/>
      </c>
      <c r="F446" s="25">
        <f>IF(OR(C446="",C446=0),"",D446/C446)</f>
        <v/>
      </c>
      <c r="G446" s="25">
        <f>IF(C446="","",D446/$L$6)</f>
        <v/>
      </c>
      <c r="H446" s="37">
        <f>IF(OR(F446="",F447=""),"",(E446+E447)/2)</f>
        <v/>
      </c>
      <c r="I446" s="25">
        <f>IF(H446="","",(F447-F446)/(E447-E446))</f>
        <v/>
      </c>
      <c r="P446" s="25">
        <f>IF(($L$5-1)&lt;1,"",IF(443&lt;=($L$5-1),E446,INDEX($E$4:$E$603,($L$5-1))))</f>
        <v/>
      </c>
      <c r="Q446" s="25">
        <f>IF(($L$5-1)&lt;1,"",IF(443&lt;=($L$5-1),F446,INDEX($F$4:$F$603,($L$5-1))))</f>
        <v/>
      </c>
      <c r="R446" s="25">
        <f>IF(($L$5-1)&lt;1,"",IF(443&lt;=($L$5-1),G446,INDEX($G$4:$G$603,($L$5-1))))</f>
        <v/>
      </c>
      <c r="S446" s="25">
        <f>IF(($L$5-2)&lt;1,"",IF(443&lt;=($L$5-2),H446,INDEX($H$4:$H$603,($L$5-2))))</f>
        <v/>
      </c>
      <c r="T446" s="25">
        <f>IF(($L$5-2)&lt;1,"",IF(443&lt;=($L$5-2),I446,INDEX($I$4:$I$603,($L$5-2))))</f>
        <v/>
      </c>
    </row>
    <row r="447">
      <c r="A447" s="43" t="n"/>
      <c r="B447" s="43" t="n"/>
      <c r="C447" s="37">
        <f>IF(OR(A447="",A448=""),"",A448-A447)</f>
        <v/>
      </c>
      <c r="D447" s="37">
        <f>IF(C447="","",B448-B447)</f>
        <v/>
      </c>
      <c r="E447" s="37">
        <f>IF(C447="","",(A447+A448)/2)</f>
        <v/>
      </c>
      <c r="F447" s="25">
        <f>IF(OR(C447="",C447=0),"",D447/C447)</f>
        <v/>
      </c>
      <c r="G447" s="25">
        <f>IF(C447="","",D447/$L$6)</f>
        <v/>
      </c>
      <c r="H447" s="37">
        <f>IF(OR(F447="",F448=""),"",(E447+E448)/2)</f>
        <v/>
      </c>
      <c r="I447" s="25">
        <f>IF(H447="","",(F448-F447)/(E448-E447))</f>
        <v/>
      </c>
      <c r="P447" s="25">
        <f>IF(($L$5-1)&lt;1,"",IF(444&lt;=($L$5-1),E447,INDEX($E$4:$E$603,($L$5-1))))</f>
        <v/>
      </c>
      <c r="Q447" s="25">
        <f>IF(($L$5-1)&lt;1,"",IF(444&lt;=($L$5-1),F447,INDEX($F$4:$F$603,($L$5-1))))</f>
        <v/>
      </c>
      <c r="R447" s="25">
        <f>IF(($L$5-1)&lt;1,"",IF(444&lt;=($L$5-1),G447,INDEX($G$4:$G$603,($L$5-1))))</f>
        <v/>
      </c>
      <c r="S447" s="25">
        <f>IF(($L$5-2)&lt;1,"",IF(444&lt;=($L$5-2),H447,INDEX($H$4:$H$603,($L$5-2))))</f>
        <v/>
      </c>
      <c r="T447" s="25">
        <f>IF(($L$5-2)&lt;1,"",IF(444&lt;=($L$5-2),I447,INDEX($I$4:$I$603,($L$5-2))))</f>
        <v/>
      </c>
    </row>
    <row r="448">
      <c r="A448" s="43" t="n"/>
      <c r="B448" s="43" t="n"/>
      <c r="C448" s="37">
        <f>IF(OR(A448="",A449=""),"",A449-A448)</f>
        <v/>
      </c>
      <c r="D448" s="37">
        <f>IF(C448="","",B449-B448)</f>
        <v/>
      </c>
      <c r="E448" s="37">
        <f>IF(C448="","",(A448+A449)/2)</f>
        <v/>
      </c>
      <c r="F448" s="25">
        <f>IF(OR(C448="",C448=0),"",D448/C448)</f>
        <v/>
      </c>
      <c r="G448" s="25">
        <f>IF(C448="","",D448/$L$6)</f>
        <v/>
      </c>
      <c r="H448" s="37">
        <f>IF(OR(F448="",F449=""),"",(E448+E449)/2)</f>
        <v/>
      </c>
      <c r="I448" s="25">
        <f>IF(H448="","",(F449-F448)/(E449-E448))</f>
        <v/>
      </c>
      <c r="P448" s="25">
        <f>IF(($L$5-1)&lt;1,"",IF(445&lt;=($L$5-1),E448,INDEX($E$4:$E$603,($L$5-1))))</f>
        <v/>
      </c>
      <c r="Q448" s="25">
        <f>IF(($L$5-1)&lt;1,"",IF(445&lt;=($L$5-1),F448,INDEX($F$4:$F$603,($L$5-1))))</f>
        <v/>
      </c>
      <c r="R448" s="25">
        <f>IF(($L$5-1)&lt;1,"",IF(445&lt;=($L$5-1),G448,INDEX($G$4:$G$603,($L$5-1))))</f>
        <v/>
      </c>
      <c r="S448" s="25">
        <f>IF(($L$5-2)&lt;1,"",IF(445&lt;=($L$5-2),H448,INDEX($H$4:$H$603,($L$5-2))))</f>
        <v/>
      </c>
      <c r="T448" s="25">
        <f>IF(($L$5-2)&lt;1,"",IF(445&lt;=($L$5-2),I448,INDEX($I$4:$I$603,($L$5-2))))</f>
        <v/>
      </c>
    </row>
    <row r="449">
      <c r="A449" s="43" t="n"/>
      <c r="B449" s="43" t="n"/>
      <c r="C449" s="37">
        <f>IF(OR(A449="",A450=""),"",A450-A449)</f>
        <v/>
      </c>
      <c r="D449" s="37">
        <f>IF(C449="","",B450-B449)</f>
        <v/>
      </c>
      <c r="E449" s="37">
        <f>IF(C449="","",(A449+A450)/2)</f>
        <v/>
      </c>
      <c r="F449" s="25">
        <f>IF(OR(C449="",C449=0),"",D449/C449)</f>
        <v/>
      </c>
      <c r="G449" s="25">
        <f>IF(C449="","",D449/$L$6)</f>
        <v/>
      </c>
      <c r="H449" s="37">
        <f>IF(OR(F449="",F450=""),"",(E449+E450)/2)</f>
        <v/>
      </c>
      <c r="I449" s="25">
        <f>IF(H449="","",(F450-F449)/(E450-E449))</f>
        <v/>
      </c>
      <c r="P449" s="25">
        <f>IF(($L$5-1)&lt;1,"",IF(446&lt;=($L$5-1),E449,INDEX($E$4:$E$603,($L$5-1))))</f>
        <v/>
      </c>
      <c r="Q449" s="25">
        <f>IF(($L$5-1)&lt;1,"",IF(446&lt;=($L$5-1),F449,INDEX($F$4:$F$603,($L$5-1))))</f>
        <v/>
      </c>
      <c r="R449" s="25">
        <f>IF(($L$5-1)&lt;1,"",IF(446&lt;=($L$5-1),G449,INDEX($G$4:$G$603,($L$5-1))))</f>
        <v/>
      </c>
      <c r="S449" s="25">
        <f>IF(($L$5-2)&lt;1,"",IF(446&lt;=($L$5-2),H449,INDEX($H$4:$H$603,($L$5-2))))</f>
        <v/>
      </c>
      <c r="T449" s="25">
        <f>IF(($L$5-2)&lt;1,"",IF(446&lt;=($L$5-2),I449,INDEX($I$4:$I$603,($L$5-2))))</f>
        <v/>
      </c>
    </row>
    <row r="450">
      <c r="A450" s="43" t="n"/>
      <c r="B450" s="43" t="n"/>
      <c r="C450" s="37">
        <f>IF(OR(A450="",A451=""),"",A451-A450)</f>
        <v/>
      </c>
      <c r="D450" s="37">
        <f>IF(C450="","",B451-B450)</f>
        <v/>
      </c>
      <c r="E450" s="37">
        <f>IF(C450="","",(A450+A451)/2)</f>
        <v/>
      </c>
      <c r="F450" s="25">
        <f>IF(OR(C450="",C450=0),"",D450/C450)</f>
        <v/>
      </c>
      <c r="G450" s="25">
        <f>IF(C450="","",D450/$L$6)</f>
        <v/>
      </c>
      <c r="H450" s="37">
        <f>IF(OR(F450="",F451=""),"",(E450+E451)/2)</f>
        <v/>
      </c>
      <c r="I450" s="25">
        <f>IF(H450="","",(F451-F450)/(E451-E450))</f>
        <v/>
      </c>
      <c r="P450" s="25">
        <f>IF(($L$5-1)&lt;1,"",IF(447&lt;=($L$5-1),E450,INDEX($E$4:$E$603,($L$5-1))))</f>
        <v/>
      </c>
      <c r="Q450" s="25">
        <f>IF(($L$5-1)&lt;1,"",IF(447&lt;=($L$5-1),F450,INDEX($F$4:$F$603,($L$5-1))))</f>
        <v/>
      </c>
      <c r="R450" s="25">
        <f>IF(($L$5-1)&lt;1,"",IF(447&lt;=($L$5-1),G450,INDEX($G$4:$G$603,($L$5-1))))</f>
        <v/>
      </c>
      <c r="S450" s="25">
        <f>IF(($L$5-2)&lt;1,"",IF(447&lt;=($L$5-2),H450,INDEX($H$4:$H$603,($L$5-2))))</f>
        <v/>
      </c>
      <c r="T450" s="25">
        <f>IF(($L$5-2)&lt;1,"",IF(447&lt;=($L$5-2),I450,INDEX($I$4:$I$603,($L$5-2))))</f>
        <v/>
      </c>
    </row>
    <row r="451">
      <c r="A451" s="43" t="n"/>
      <c r="B451" s="43" t="n"/>
      <c r="C451" s="37">
        <f>IF(OR(A451="",A452=""),"",A452-A451)</f>
        <v/>
      </c>
      <c r="D451" s="37">
        <f>IF(C451="","",B452-B451)</f>
        <v/>
      </c>
      <c r="E451" s="37">
        <f>IF(C451="","",(A451+A452)/2)</f>
        <v/>
      </c>
      <c r="F451" s="25">
        <f>IF(OR(C451="",C451=0),"",D451/C451)</f>
        <v/>
      </c>
      <c r="G451" s="25">
        <f>IF(C451="","",D451/$L$6)</f>
        <v/>
      </c>
      <c r="H451" s="37">
        <f>IF(OR(F451="",F452=""),"",(E451+E452)/2)</f>
        <v/>
      </c>
      <c r="I451" s="25">
        <f>IF(H451="","",(F452-F451)/(E452-E451))</f>
        <v/>
      </c>
      <c r="P451" s="25">
        <f>IF(($L$5-1)&lt;1,"",IF(448&lt;=($L$5-1),E451,INDEX($E$4:$E$603,($L$5-1))))</f>
        <v/>
      </c>
      <c r="Q451" s="25">
        <f>IF(($L$5-1)&lt;1,"",IF(448&lt;=($L$5-1),F451,INDEX($F$4:$F$603,($L$5-1))))</f>
        <v/>
      </c>
      <c r="R451" s="25">
        <f>IF(($L$5-1)&lt;1,"",IF(448&lt;=($L$5-1),G451,INDEX($G$4:$G$603,($L$5-1))))</f>
        <v/>
      </c>
      <c r="S451" s="25">
        <f>IF(($L$5-2)&lt;1,"",IF(448&lt;=($L$5-2),H451,INDEX($H$4:$H$603,($L$5-2))))</f>
        <v/>
      </c>
      <c r="T451" s="25">
        <f>IF(($L$5-2)&lt;1,"",IF(448&lt;=($L$5-2),I451,INDEX($I$4:$I$603,($L$5-2))))</f>
        <v/>
      </c>
    </row>
    <row r="452">
      <c r="A452" s="43" t="n"/>
      <c r="B452" s="43" t="n"/>
      <c r="C452" s="37">
        <f>IF(OR(A452="",A453=""),"",A453-A452)</f>
        <v/>
      </c>
      <c r="D452" s="37">
        <f>IF(C452="","",B453-B452)</f>
        <v/>
      </c>
      <c r="E452" s="37">
        <f>IF(C452="","",(A452+A453)/2)</f>
        <v/>
      </c>
      <c r="F452" s="25">
        <f>IF(OR(C452="",C452=0),"",D452/C452)</f>
        <v/>
      </c>
      <c r="G452" s="25">
        <f>IF(C452="","",D452/$L$6)</f>
        <v/>
      </c>
      <c r="H452" s="37">
        <f>IF(OR(F452="",F453=""),"",(E452+E453)/2)</f>
        <v/>
      </c>
      <c r="I452" s="25">
        <f>IF(H452="","",(F453-F452)/(E453-E452))</f>
        <v/>
      </c>
      <c r="P452" s="25">
        <f>IF(($L$5-1)&lt;1,"",IF(449&lt;=($L$5-1),E452,INDEX($E$4:$E$603,($L$5-1))))</f>
        <v/>
      </c>
      <c r="Q452" s="25">
        <f>IF(($L$5-1)&lt;1,"",IF(449&lt;=($L$5-1),F452,INDEX($F$4:$F$603,($L$5-1))))</f>
        <v/>
      </c>
      <c r="R452" s="25">
        <f>IF(($L$5-1)&lt;1,"",IF(449&lt;=($L$5-1),G452,INDEX($G$4:$G$603,($L$5-1))))</f>
        <v/>
      </c>
      <c r="S452" s="25">
        <f>IF(($L$5-2)&lt;1,"",IF(449&lt;=($L$5-2),H452,INDEX($H$4:$H$603,($L$5-2))))</f>
        <v/>
      </c>
      <c r="T452" s="25">
        <f>IF(($L$5-2)&lt;1,"",IF(449&lt;=($L$5-2),I452,INDEX($I$4:$I$603,($L$5-2))))</f>
        <v/>
      </c>
    </row>
    <row r="453">
      <c r="A453" s="43" t="n"/>
      <c r="B453" s="43" t="n"/>
      <c r="C453" s="37">
        <f>IF(OR(A453="",A454=""),"",A454-A453)</f>
        <v/>
      </c>
      <c r="D453" s="37">
        <f>IF(C453="","",B454-B453)</f>
        <v/>
      </c>
      <c r="E453" s="37">
        <f>IF(C453="","",(A453+A454)/2)</f>
        <v/>
      </c>
      <c r="F453" s="25">
        <f>IF(OR(C453="",C453=0),"",D453/C453)</f>
        <v/>
      </c>
      <c r="G453" s="25">
        <f>IF(C453="","",D453/$L$6)</f>
        <v/>
      </c>
      <c r="H453" s="37">
        <f>IF(OR(F453="",F454=""),"",(E453+E454)/2)</f>
        <v/>
      </c>
      <c r="I453" s="25">
        <f>IF(H453="","",(F454-F453)/(E454-E453))</f>
        <v/>
      </c>
      <c r="P453" s="25">
        <f>IF(($L$5-1)&lt;1,"",IF(450&lt;=($L$5-1),E453,INDEX($E$4:$E$603,($L$5-1))))</f>
        <v/>
      </c>
      <c r="Q453" s="25">
        <f>IF(($L$5-1)&lt;1,"",IF(450&lt;=($L$5-1),F453,INDEX($F$4:$F$603,($L$5-1))))</f>
        <v/>
      </c>
      <c r="R453" s="25">
        <f>IF(($L$5-1)&lt;1,"",IF(450&lt;=($L$5-1),G453,INDEX($G$4:$G$603,($L$5-1))))</f>
        <v/>
      </c>
      <c r="S453" s="25">
        <f>IF(($L$5-2)&lt;1,"",IF(450&lt;=($L$5-2),H453,INDEX($H$4:$H$603,($L$5-2))))</f>
        <v/>
      </c>
      <c r="T453" s="25">
        <f>IF(($L$5-2)&lt;1,"",IF(450&lt;=($L$5-2),I453,INDEX($I$4:$I$603,($L$5-2))))</f>
        <v/>
      </c>
    </row>
    <row r="454">
      <c r="A454" s="43" t="n"/>
      <c r="B454" s="43" t="n"/>
      <c r="C454" s="37">
        <f>IF(OR(A454="",A455=""),"",A455-A454)</f>
        <v/>
      </c>
      <c r="D454" s="37">
        <f>IF(C454="","",B455-B454)</f>
        <v/>
      </c>
      <c r="E454" s="37">
        <f>IF(C454="","",(A454+A455)/2)</f>
        <v/>
      </c>
      <c r="F454" s="25">
        <f>IF(OR(C454="",C454=0),"",D454/C454)</f>
        <v/>
      </c>
      <c r="G454" s="25">
        <f>IF(C454="","",D454/$L$6)</f>
        <v/>
      </c>
      <c r="H454" s="37">
        <f>IF(OR(F454="",F455=""),"",(E454+E455)/2)</f>
        <v/>
      </c>
      <c r="I454" s="25">
        <f>IF(H454="","",(F455-F454)/(E455-E454))</f>
        <v/>
      </c>
      <c r="P454" s="25">
        <f>IF(($L$5-1)&lt;1,"",IF(451&lt;=($L$5-1),E454,INDEX($E$4:$E$603,($L$5-1))))</f>
        <v/>
      </c>
      <c r="Q454" s="25">
        <f>IF(($L$5-1)&lt;1,"",IF(451&lt;=($L$5-1),F454,INDEX($F$4:$F$603,($L$5-1))))</f>
        <v/>
      </c>
      <c r="R454" s="25">
        <f>IF(($L$5-1)&lt;1,"",IF(451&lt;=($L$5-1),G454,INDEX($G$4:$G$603,($L$5-1))))</f>
        <v/>
      </c>
      <c r="S454" s="25">
        <f>IF(($L$5-2)&lt;1,"",IF(451&lt;=($L$5-2),H454,INDEX($H$4:$H$603,($L$5-2))))</f>
        <v/>
      </c>
      <c r="T454" s="25">
        <f>IF(($L$5-2)&lt;1,"",IF(451&lt;=($L$5-2),I454,INDEX($I$4:$I$603,($L$5-2))))</f>
        <v/>
      </c>
    </row>
    <row r="455">
      <c r="A455" s="43" t="n"/>
      <c r="B455" s="43" t="n"/>
      <c r="C455" s="37">
        <f>IF(OR(A455="",A456=""),"",A456-A455)</f>
        <v/>
      </c>
      <c r="D455" s="37">
        <f>IF(C455="","",B456-B455)</f>
        <v/>
      </c>
      <c r="E455" s="37">
        <f>IF(C455="","",(A455+A456)/2)</f>
        <v/>
      </c>
      <c r="F455" s="25">
        <f>IF(OR(C455="",C455=0),"",D455/C455)</f>
        <v/>
      </c>
      <c r="G455" s="25">
        <f>IF(C455="","",D455/$L$6)</f>
        <v/>
      </c>
      <c r="H455" s="37">
        <f>IF(OR(F455="",F456=""),"",(E455+E456)/2)</f>
        <v/>
      </c>
      <c r="I455" s="25">
        <f>IF(H455="","",(F456-F455)/(E456-E455))</f>
        <v/>
      </c>
      <c r="P455" s="25">
        <f>IF(($L$5-1)&lt;1,"",IF(452&lt;=($L$5-1),E455,INDEX($E$4:$E$603,($L$5-1))))</f>
        <v/>
      </c>
      <c r="Q455" s="25">
        <f>IF(($L$5-1)&lt;1,"",IF(452&lt;=($L$5-1),F455,INDEX($F$4:$F$603,($L$5-1))))</f>
        <v/>
      </c>
      <c r="R455" s="25">
        <f>IF(($L$5-1)&lt;1,"",IF(452&lt;=($L$5-1),G455,INDEX($G$4:$G$603,($L$5-1))))</f>
        <v/>
      </c>
      <c r="S455" s="25">
        <f>IF(($L$5-2)&lt;1,"",IF(452&lt;=($L$5-2),H455,INDEX($H$4:$H$603,($L$5-2))))</f>
        <v/>
      </c>
      <c r="T455" s="25">
        <f>IF(($L$5-2)&lt;1,"",IF(452&lt;=($L$5-2),I455,INDEX($I$4:$I$603,($L$5-2))))</f>
        <v/>
      </c>
    </row>
    <row r="456">
      <c r="A456" s="43" t="n"/>
      <c r="B456" s="43" t="n"/>
      <c r="C456" s="37">
        <f>IF(OR(A456="",A457=""),"",A457-A456)</f>
        <v/>
      </c>
      <c r="D456" s="37">
        <f>IF(C456="","",B457-B456)</f>
        <v/>
      </c>
      <c r="E456" s="37">
        <f>IF(C456="","",(A456+A457)/2)</f>
        <v/>
      </c>
      <c r="F456" s="25">
        <f>IF(OR(C456="",C456=0),"",D456/C456)</f>
        <v/>
      </c>
      <c r="G456" s="25">
        <f>IF(C456="","",D456/$L$6)</f>
        <v/>
      </c>
      <c r="H456" s="37">
        <f>IF(OR(F456="",F457=""),"",(E456+E457)/2)</f>
        <v/>
      </c>
      <c r="I456" s="25">
        <f>IF(H456="","",(F457-F456)/(E457-E456))</f>
        <v/>
      </c>
      <c r="P456" s="25">
        <f>IF(($L$5-1)&lt;1,"",IF(453&lt;=($L$5-1),E456,INDEX($E$4:$E$603,($L$5-1))))</f>
        <v/>
      </c>
      <c r="Q456" s="25">
        <f>IF(($L$5-1)&lt;1,"",IF(453&lt;=($L$5-1),F456,INDEX($F$4:$F$603,($L$5-1))))</f>
        <v/>
      </c>
      <c r="R456" s="25">
        <f>IF(($L$5-1)&lt;1,"",IF(453&lt;=($L$5-1),G456,INDEX($G$4:$G$603,($L$5-1))))</f>
        <v/>
      </c>
      <c r="S456" s="25">
        <f>IF(($L$5-2)&lt;1,"",IF(453&lt;=($L$5-2),H456,INDEX($H$4:$H$603,($L$5-2))))</f>
        <v/>
      </c>
      <c r="T456" s="25">
        <f>IF(($L$5-2)&lt;1,"",IF(453&lt;=($L$5-2),I456,INDEX($I$4:$I$603,($L$5-2))))</f>
        <v/>
      </c>
    </row>
    <row r="457">
      <c r="A457" s="43" t="n"/>
      <c r="B457" s="43" t="n"/>
      <c r="C457" s="37">
        <f>IF(OR(A457="",A458=""),"",A458-A457)</f>
        <v/>
      </c>
      <c r="D457" s="37">
        <f>IF(C457="","",B458-B457)</f>
        <v/>
      </c>
      <c r="E457" s="37">
        <f>IF(C457="","",(A457+A458)/2)</f>
        <v/>
      </c>
      <c r="F457" s="25">
        <f>IF(OR(C457="",C457=0),"",D457/C457)</f>
        <v/>
      </c>
      <c r="G457" s="25">
        <f>IF(C457="","",D457/$L$6)</f>
        <v/>
      </c>
      <c r="H457" s="37">
        <f>IF(OR(F457="",F458=""),"",(E457+E458)/2)</f>
        <v/>
      </c>
      <c r="I457" s="25">
        <f>IF(H457="","",(F458-F457)/(E458-E457))</f>
        <v/>
      </c>
      <c r="P457" s="25">
        <f>IF(($L$5-1)&lt;1,"",IF(454&lt;=($L$5-1),E457,INDEX($E$4:$E$603,($L$5-1))))</f>
        <v/>
      </c>
      <c r="Q457" s="25">
        <f>IF(($L$5-1)&lt;1,"",IF(454&lt;=($L$5-1),F457,INDEX($F$4:$F$603,($L$5-1))))</f>
        <v/>
      </c>
      <c r="R457" s="25">
        <f>IF(($L$5-1)&lt;1,"",IF(454&lt;=($L$5-1),G457,INDEX($G$4:$G$603,($L$5-1))))</f>
        <v/>
      </c>
      <c r="S457" s="25">
        <f>IF(($L$5-2)&lt;1,"",IF(454&lt;=($L$5-2),H457,INDEX($H$4:$H$603,($L$5-2))))</f>
        <v/>
      </c>
      <c r="T457" s="25">
        <f>IF(($L$5-2)&lt;1,"",IF(454&lt;=($L$5-2),I457,INDEX($I$4:$I$603,($L$5-2))))</f>
        <v/>
      </c>
    </row>
    <row r="458">
      <c r="A458" s="43" t="n"/>
      <c r="B458" s="43" t="n"/>
      <c r="C458" s="37">
        <f>IF(OR(A458="",A459=""),"",A459-A458)</f>
        <v/>
      </c>
      <c r="D458" s="37">
        <f>IF(C458="","",B459-B458)</f>
        <v/>
      </c>
      <c r="E458" s="37">
        <f>IF(C458="","",(A458+A459)/2)</f>
        <v/>
      </c>
      <c r="F458" s="25">
        <f>IF(OR(C458="",C458=0),"",D458/C458)</f>
        <v/>
      </c>
      <c r="G458" s="25">
        <f>IF(C458="","",D458/$L$6)</f>
        <v/>
      </c>
      <c r="H458" s="37">
        <f>IF(OR(F458="",F459=""),"",(E458+E459)/2)</f>
        <v/>
      </c>
      <c r="I458" s="25">
        <f>IF(H458="","",(F459-F458)/(E459-E458))</f>
        <v/>
      </c>
      <c r="P458" s="25">
        <f>IF(($L$5-1)&lt;1,"",IF(455&lt;=($L$5-1),E458,INDEX($E$4:$E$603,($L$5-1))))</f>
        <v/>
      </c>
      <c r="Q458" s="25">
        <f>IF(($L$5-1)&lt;1,"",IF(455&lt;=($L$5-1),F458,INDEX($F$4:$F$603,($L$5-1))))</f>
        <v/>
      </c>
      <c r="R458" s="25">
        <f>IF(($L$5-1)&lt;1,"",IF(455&lt;=($L$5-1),G458,INDEX($G$4:$G$603,($L$5-1))))</f>
        <v/>
      </c>
      <c r="S458" s="25">
        <f>IF(($L$5-2)&lt;1,"",IF(455&lt;=($L$5-2),H458,INDEX($H$4:$H$603,($L$5-2))))</f>
        <v/>
      </c>
      <c r="T458" s="25">
        <f>IF(($L$5-2)&lt;1,"",IF(455&lt;=($L$5-2),I458,INDEX($I$4:$I$603,($L$5-2))))</f>
        <v/>
      </c>
    </row>
    <row r="459">
      <c r="A459" s="43" t="n"/>
      <c r="B459" s="43" t="n"/>
      <c r="C459" s="37">
        <f>IF(OR(A459="",A460=""),"",A460-A459)</f>
        <v/>
      </c>
      <c r="D459" s="37">
        <f>IF(C459="","",B460-B459)</f>
        <v/>
      </c>
      <c r="E459" s="37">
        <f>IF(C459="","",(A459+A460)/2)</f>
        <v/>
      </c>
      <c r="F459" s="25">
        <f>IF(OR(C459="",C459=0),"",D459/C459)</f>
        <v/>
      </c>
      <c r="G459" s="25">
        <f>IF(C459="","",D459/$L$6)</f>
        <v/>
      </c>
      <c r="H459" s="37">
        <f>IF(OR(F459="",F460=""),"",(E459+E460)/2)</f>
        <v/>
      </c>
      <c r="I459" s="25">
        <f>IF(H459="","",(F460-F459)/(E460-E459))</f>
        <v/>
      </c>
      <c r="P459" s="25">
        <f>IF(($L$5-1)&lt;1,"",IF(456&lt;=($L$5-1),E459,INDEX($E$4:$E$603,($L$5-1))))</f>
        <v/>
      </c>
      <c r="Q459" s="25">
        <f>IF(($L$5-1)&lt;1,"",IF(456&lt;=($L$5-1),F459,INDEX($F$4:$F$603,($L$5-1))))</f>
        <v/>
      </c>
      <c r="R459" s="25">
        <f>IF(($L$5-1)&lt;1,"",IF(456&lt;=($L$5-1),G459,INDEX($G$4:$G$603,($L$5-1))))</f>
        <v/>
      </c>
      <c r="S459" s="25">
        <f>IF(($L$5-2)&lt;1,"",IF(456&lt;=($L$5-2),H459,INDEX($H$4:$H$603,($L$5-2))))</f>
        <v/>
      </c>
      <c r="T459" s="25">
        <f>IF(($L$5-2)&lt;1,"",IF(456&lt;=($L$5-2),I459,INDEX($I$4:$I$603,($L$5-2))))</f>
        <v/>
      </c>
    </row>
    <row r="460">
      <c r="A460" s="43" t="n"/>
      <c r="B460" s="43" t="n"/>
      <c r="C460" s="37">
        <f>IF(OR(A460="",A461=""),"",A461-A460)</f>
        <v/>
      </c>
      <c r="D460" s="37">
        <f>IF(C460="","",B461-B460)</f>
        <v/>
      </c>
      <c r="E460" s="37">
        <f>IF(C460="","",(A460+A461)/2)</f>
        <v/>
      </c>
      <c r="F460" s="25">
        <f>IF(OR(C460="",C460=0),"",D460/C460)</f>
        <v/>
      </c>
      <c r="G460" s="25">
        <f>IF(C460="","",D460/$L$6)</f>
        <v/>
      </c>
      <c r="H460" s="37">
        <f>IF(OR(F460="",F461=""),"",(E460+E461)/2)</f>
        <v/>
      </c>
      <c r="I460" s="25">
        <f>IF(H460="","",(F461-F460)/(E461-E460))</f>
        <v/>
      </c>
      <c r="P460" s="25">
        <f>IF(($L$5-1)&lt;1,"",IF(457&lt;=($L$5-1),E460,INDEX($E$4:$E$603,($L$5-1))))</f>
        <v/>
      </c>
      <c r="Q460" s="25">
        <f>IF(($L$5-1)&lt;1,"",IF(457&lt;=($L$5-1),F460,INDEX($F$4:$F$603,($L$5-1))))</f>
        <v/>
      </c>
      <c r="R460" s="25">
        <f>IF(($L$5-1)&lt;1,"",IF(457&lt;=($L$5-1),G460,INDEX($G$4:$G$603,($L$5-1))))</f>
        <v/>
      </c>
      <c r="S460" s="25">
        <f>IF(($L$5-2)&lt;1,"",IF(457&lt;=($L$5-2),H460,INDEX($H$4:$H$603,($L$5-2))))</f>
        <v/>
      </c>
      <c r="T460" s="25">
        <f>IF(($L$5-2)&lt;1,"",IF(457&lt;=($L$5-2),I460,INDEX($I$4:$I$603,($L$5-2))))</f>
        <v/>
      </c>
    </row>
    <row r="461">
      <c r="A461" s="43" t="n"/>
      <c r="B461" s="43" t="n"/>
      <c r="C461" s="37">
        <f>IF(OR(A461="",A462=""),"",A462-A461)</f>
        <v/>
      </c>
      <c r="D461" s="37">
        <f>IF(C461="","",B462-B461)</f>
        <v/>
      </c>
      <c r="E461" s="37">
        <f>IF(C461="","",(A461+A462)/2)</f>
        <v/>
      </c>
      <c r="F461" s="25">
        <f>IF(OR(C461="",C461=0),"",D461/C461)</f>
        <v/>
      </c>
      <c r="G461" s="25">
        <f>IF(C461="","",D461/$L$6)</f>
        <v/>
      </c>
      <c r="H461" s="37">
        <f>IF(OR(F461="",F462=""),"",(E461+E462)/2)</f>
        <v/>
      </c>
      <c r="I461" s="25">
        <f>IF(H461="","",(F462-F461)/(E462-E461))</f>
        <v/>
      </c>
      <c r="P461" s="25">
        <f>IF(($L$5-1)&lt;1,"",IF(458&lt;=($L$5-1),E461,INDEX($E$4:$E$603,($L$5-1))))</f>
        <v/>
      </c>
      <c r="Q461" s="25">
        <f>IF(($L$5-1)&lt;1,"",IF(458&lt;=($L$5-1),F461,INDEX($F$4:$F$603,($L$5-1))))</f>
        <v/>
      </c>
      <c r="R461" s="25">
        <f>IF(($L$5-1)&lt;1,"",IF(458&lt;=($L$5-1),G461,INDEX($G$4:$G$603,($L$5-1))))</f>
        <v/>
      </c>
      <c r="S461" s="25">
        <f>IF(($L$5-2)&lt;1,"",IF(458&lt;=($L$5-2),H461,INDEX($H$4:$H$603,($L$5-2))))</f>
        <v/>
      </c>
      <c r="T461" s="25">
        <f>IF(($L$5-2)&lt;1,"",IF(458&lt;=($L$5-2),I461,INDEX($I$4:$I$603,($L$5-2))))</f>
        <v/>
      </c>
    </row>
    <row r="462">
      <c r="A462" s="43" t="n"/>
      <c r="B462" s="43" t="n"/>
      <c r="C462" s="37">
        <f>IF(OR(A462="",A463=""),"",A463-A462)</f>
        <v/>
      </c>
      <c r="D462" s="37">
        <f>IF(C462="","",B463-B462)</f>
        <v/>
      </c>
      <c r="E462" s="37">
        <f>IF(C462="","",(A462+A463)/2)</f>
        <v/>
      </c>
      <c r="F462" s="25">
        <f>IF(OR(C462="",C462=0),"",D462/C462)</f>
        <v/>
      </c>
      <c r="G462" s="25">
        <f>IF(C462="","",D462/$L$6)</f>
        <v/>
      </c>
      <c r="H462" s="37">
        <f>IF(OR(F462="",F463=""),"",(E462+E463)/2)</f>
        <v/>
      </c>
      <c r="I462" s="25">
        <f>IF(H462="","",(F463-F462)/(E463-E462))</f>
        <v/>
      </c>
      <c r="P462" s="25">
        <f>IF(($L$5-1)&lt;1,"",IF(459&lt;=($L$5-1),E462,INDEX($E$4:$E$603,($L$5-1))))</f>
        <v/>
      </c>
      <c r="Q462" s="25">
        <f>IF(($L$5-1)&lt;1,"",IF(459&lt;=($L$5-1),F462,INDEX($F$4:$F$603,($L$5-1))))</f>
        <v/>
      </c>
      <c r="R462" s="25">
        <f>IF(($L$5-1)&lt;1,"",IF(459&lt;=($L$5-1),G462,INDEX($G$4:$G$603,($L$5-1))))</f>
        <v/>
      </c>
      <c r="S462" s="25">
        <f>IF(($L$5-2)&lt;1,"",IF(459&lt;=($L$5-2),H462,INDEX($H$4:$H$603,($L$5-2))))</f>
        <v/>
      </c>
      <c r="T462" s="25">
        <f>IF(($L$5-2)&lt;1,"",IF(459&lt;=($L$5-2),I462,INDEX($I$4:$I$603,($L$5-2))))</f>
        <v/>
      </c>
    </row>
    <row r="463">
      <c r="A463" s="43" t="n"/>
      <c r="B463" s="43" t="n"/>
      <c r="C463" s="37">
        <f>IF(OR(A463="",A464=""),"",A464-A463)</f>
        <v/>
      </c>
      <c r="D463" s="37">
        <f>IF(C463="","",B464-B463)</f>
        <v/>
      </c>
      <c r="E463" s="37">
        <f>IF(C463="","",(A463+A464)/2)</f>
        <v/>
      </c>
      <c r="F463" s="25">
        <f>IF(OR(C463="",C463=0),"",D463/C463)</f>
        <v/>
      </c>
      <c r="G463" s="25">
        <f>IF(C463="","",D463/$L$6)</f>
        <v/>
      </c>
      <c r="H463" s="37">
        <f>IF(OR(F463="",F464=""),"",(E463+E464)/2)</f>
        <v/>
      </c>
      <c r="I463" s="25">
        <f>IF(H463="","",(F464-F463)/(E464-E463))</f>
        <v/>
      </c>
      <c r="P463" s="25">
        <f>IF(($L$5-1)&lt;1,"",IF(460&lt;=($L$5-1),E463,INDEX($E$4:$E$603,($L$5-1))))</f>
        <v/>
      </c>
      <c r="Q463" s="25">
        <f>IF(($L$5-1)&lt;1,"",IF(460&lt;=($L$5-1),F463,INDEX($F$4:$F$603,($L$5-1))))</f>
        <v/>
      </c>
      <c r="R463" s="25">
        <f>IF(($L$5-1)&lt;1,"",IF(460&lt;=($L$5-1),G463,INDEX($G$4:$G$603,($L$5-1))))</f>
        <v/>
      </c>
      <c r="S463" s="25">
        <f>IF(($L$5-2)&lt;1,"",IF(460&lt;=($L$5-2),H463,INDEX($H$4:$H$603,($L$5-2))))</f>
        <v/>
      </c>
      <c r="T463" s="25">
        <f>IF(($L$5-2)&lt;1,"",IF(460&lt;=($L$5-2),I463,INDEX($I$4:$I$603,($L$5-2))))</f>
        <v/>
      </c>
    </row>
    <row r="464">
      <c r="A464" s="43" t="n"/>
      <c r="B464" s="43" t="n"/>
      <c r="C464" s="37">
        <f>IF(OR(A464="",A465=""),"",A465-A464)</f>
        <v/>
      </c>
      <c r="D464" s="37">
        <f>IF(C464="","",B465-B464)</f>
        <v/>
      </c>
      <c r="E464" s="37">
        <f>IF(C464="","",(A464+A465)/2)</f>
        <v/>
      </c>
      <c r="F464" s="25">
        <f>IF(OR(C464="",C464=0),"",D464/C464)</f>
        <v/>
      </c>
      <c r="G464" s="25">
        <f>IF(C464="","",D464/$L$6)</f>
        <v/>
      </c>
      <c r="H464" s="37">
        <f>IF(OR(F464="",F465=""),"",(E464+E465)/2)</f>
        <v/>
      </c>
      <c r="I464" s="25">
        <f>IF(H464="","",(F465-F464)/(E465-E464))</f>
        <v/>
      </c>
      <c r="P464" s="25">
        <f>IF(($L$5-1)&lt;1,"",IF(461&lt;=($L$5-1),E464,INDEX($E$4:$E$603,($L$5-1))))</f>
        <v/>
      </c>
      <c r="Q464" s="25">
        <f>IF(($L$5-1)&lt;1,"",IF(461&lt;=($L$5-1),F464,INDEX($F$4:$F$603,($L$5-1))))</f>
        <v/>
      </c>
      <c r="R464" s="25">
        <f>IF(($L$5-1)&lt;1,"",IF(461&lt;=($L$5-1),G464,INDEX($G$4:$G$603,($L$5-1))))</f>
        <v/>
      </c>
      <c r="S464" s="25">
        <f>IF(($L$5-2)&lt;1,"",IF(461&lt;=($L$5-2),H464,INDEX($H$4:$H$603,($L$5-2))))</f>
        <v/>
      </c>
      <c r="T464" s="25">
        <f>IF(($L$5-2)&lt;1,"",IF(461&lt;=($L$5-2),I464,INDEX($I$4:$I$603,($L$5-2))))</f>
        <v/>
      </c>
    </row>
    <row r="465">
      <c r="A465" s="43" t="n"/>
      <c r="B465" s="43" t="n"/>
      <c r="C465" s="37">
        <f>IF(OR(A465="",A466=""),"",A466-A465)</f>
        <v/>
      </c>
      <c r="D465" s="37">
        <f>IF(C465="","",B466-B465)</f>
        <v/>
      </c>
      <c r="E465" s="37">
        <f>IF(C465="","",(A465+A466)/2)</f>
        <v/>
      </c>
      <c r="F465" s="25">
        <f>IF(OR(C465="",C465=0),"",D465/C465)</f>
        <v/>
      </c>
      <c r="G465" s="25">
        <f>IF(C465="","",D465/$L$6)</f>
        <v/>
      </c>
      <c r="H465" s="37">
        <f>IF(OR(F465="",F466=""),"",(E465+E466)/2)</f>
        <v/>
      </c>
      <c r="I465" s="25">
        <f>IF(H465="","",(F466-F465)/(E466-E465))</f>
        <v/>
      </c>
      <c r="P465" s="25">
        <f>IF(($L$5-1)&lt;1,"",IF(462&lt;=($L$5-1),E465,INDEX($E$4:$E$603,($L$5-1))))</f>
        <v/>
      </c>
      <c r="Q465" s="25">
        <f>IF(($L$5-1)&lt;1,"",IF(462&lt;=($L$5-1),F465,INDEX($F$4:$F$603,($L$5-1))))</f>
        <v/>
      </c>
      <c r="R465" s="25">
        <f>IF(($L$5-1)&lt;1,"",IF(462&lt;=($L$5-1),G465,INDEX($G$4:$G$603,($L$5-1))))</f>
        <v/>
      </c>
      <c r="S465" s="25">
        <f>IF(($L$5-2)&lt;1,"",IF(462&lt;=($L$5-2),H465,INDEX($H$4:$H$603,($L$5-2))))</f>
        <v/>
      </c>
      <c r="T465" s="25">
        <f>IF(($L$5-2)&lt;1,"",IF(462&lt;=($L$5-2),I465,INDEX($I$4:$I$603,($L$5-2))))</f>
        <v/>
      </c>
    </row>
    <row r="466">
      <c r="A466" s="43" t="n"/>
      <c r="B466" s="43" t="n"/>
      <c r="C466" s="37">
        <f>IF(OR(A466="",A467=""),"",A467-A466)</f>
        <v/>
      </c>
      <c r="D466" s="37">
        <f>IF(C466="","",B467-B466)</f>
        <v/>
      </c>
      <c r="E466" s="37">
        <f>IF(C466="","",(A466+A467)/2)</f>
        <v/>
      </c>
      <c r="F466" s="25">
        <f>IF(OR(C466="",C466=0),"",D466/C466)</f>
        <v/>
      </c>
      <c r="G466" s="25">
        <f>IF(C466="","",D466/$L$6)</f>
        <v/>
      </c>
      <c r="H466" s="37">
        <f>IF(OR(F466="",F467=""),"",(E466+E467)/2)</f>
        <v/>
      </c>
      <c r="I466" s="25">
        <f>IF(H466="","",(F467-F466)/(E467-E466))</f>
        <v/>
      </c>
      <c r="P466" s="25">
        <f>IF(($L$5-1)&lt;1,"",IF(463&lt;=($L$5-1),E466,INDEX($E$4:$E$603,($L$5-1))))</f>
        <v/>
      </c>
      <c r="Q466" s="25">
        <f>IF(($L$5-1)&lt;1,"",IF(463&lt;=($L$5-1),F466,INDEX($F$4:$F$603,($L$5-1))))</f>
        <v/>
      </c>
      <c r="R466" s="25">
        <f>IF(($L$5-1)&lt;1,"",IF(463&lt;=($L$5-1),G466,INDEX($G$4:$G$603,($L$5-1))))</f>
        <v/>
      </c>
      <c r="S466" s="25">
        <f>IF(($L$5-2)&lt;1,"",IF(463&lt;=($L$5-2),H466,INDEX($H$4:$H$603,($L$5-2))))</f>
        <v/>
      </c>
      <c r="T466" s="25">
        <f>IF(($L$5-2)&lt;1,"",IF(463&lt;=($L$5-2),I466,INDEX($I$4:$I$603,($L$5-2))))</f>
        <v/>
      </c>
    </row>
    <row r="467">
      <c r="A467" s="43" t="n"/>
      <c r="B467" s="43" t="n"/>
      <c r="C467" s="37">
        <f>IF(OR(A467="",A468=""),"",A468-A467)</f>
        <v/>
      </c>
      <c r="D467" s="37">
        <f>IF(C467="","",B468-B467)</f>
        <v/>
      </c>
      <c r="E467" s="37">
        <f>IF(C467="","",(A467+A468)/2)</f>
        <v/>
      </c>
      <c r="F467" s="25">
        <f>IF(OR(C467="",C467=0),"",D467/C467)</f>
        <v/>
      </c>
      <c r="G467" s="25">
        <f>IF(C467="","",D467/$L$6)</f>
        <v/>
      </c>
      <c r="H467" s="37">
        <f>IF(OR(F467="",F468=""),"",(E467+E468)/2)</f>
        <v/>
      </c>
      <c r="I467" s="25">
        <f>IF(H467="","",(F468-F467)/(E468-E467))</f>
        <v/>
      </c>
      <c r="P467" s="25">
        <f>IF(($L$5-1)&lt;1,"",IF(464&lt;=($L$5-1),E467,INDEX($E$4:$E$603,($L$5-1))))</f>
        <v/>
      </c>
      <c r="Q467" s="25">
        <f>IF(($L$5-1)&lt;1,"",IF(464&lt;=($L$5-1),F467,INDEX($F$4:$F$603,($L$5-1))))</f>
        <v/>
      </c>
      <c r="R467" s="25">
        <f>IF(($L$5-1)&lt;1,"",IF(464&lt;=($L$5-1),G467,INDEX($G$4:$G$603,($L$5-1))))</f>
        <v/>
      </c>
      <c r="S467" s="25">
        <f>IF(($L$5-2)&lt;1,"",IF(464&lt;=($L$5-2),H467,INDEX($H$4:$H$603,($L$5-2))))</f>
        <v/>
      </c>
      <c r="T467" s="25">
        <f>IF(($L$5-2)&lt;1,"",IF(464&lt;=($L$5-2),I467,INDEX($I$4:$I$603,($L$5-2))))</f>
        <v/>
      </c>
    </row>
    <row r="468">
      <c r="A468" s="43" t="n"/>
      <c r="B468" s="43" t="n"/>
      <c r="C468" s="37">
        <f>IF(OR(A468="",A469=""),"",A469-A468)</f>
        <v/>
      </c>
      <c r="D468" s="37">
        <f>IF(C468="","",B469-B468)</f>
        <v/>
      </c>
      <c r="E468" s="37">
        <f>IF(C468="","",(A468+A469)/2)</f>
        <v/>
      </c>
      <c r="F468" s="25">
        <f>IF(OR(C468="",C468=0),"",D468/C468)</f>
        <v/>
      </c>
      <c r="G468" s="25">
        <f>IF(C468="","",D468/$L$6)</f>
        <v/>
      </c>
      <c r="H468" s="37">
        <f>IF(OR(F468="",F469=""),"",(E468+E469)/2)</f>
        <v/>
      </c>
      <c r="I468" s="25">
        <f>IF(H468="","",(F469-F468)/(E469-E468))</f>
        <v/>
      </c>
      <c r="P468" s="25">
        <f>IF(($L$5-1)&lt;1,"",IF(465&lt;=($L$5-1),E468,INDEX($E$4:$E$603,($L$5-1))))</f>
        <v/>
      </c>
      <c r="Q468" s="25">
        <f>IF(($L$5-1)&lt;1,"",IF(465&lt;=($L$5-1),F468,INDEX($F$4:$F$603,($L$5-1))))</f>
        <v/>
      </c>
      <c r="R468" s="25">
        <f>IF(($L$5-1)&lt;1,"",IF(465&lt;=($L$5-1),G468,INDEX($G$4:$G$603,($L$5-1))))</f>
        <v/>
      </c>
      <c r="S468" s="25">
        <f>IF(($L$5-2)&lt;1,"",IF(465&lt;=($L$5-2),H468,INDEX($H$4:$H$603,($L$5-2))))</f>
        <v/>
      </c>
      <c r="T468" s="25">
        <f>IF(($L$5-2)&lt;1,"",IF(465&lt;=($L$5-2),I468,INDEX($I$4:$I$603,($L$5-2))))</f>
        <v/>
      </c>
    </row>
    <row r="469">
      <c r="A469" s="43" t="n"/>
      <c r="B469" s="43" t="n"/>
      <c r="C469" s="37">
        <f>IF(OR(A469="",A470=""),"",A470-A469)</f>
        <v/>
      </c>
      <c r="D469" s="37">
        <f>IF(C469="","",B470-B469)</f>
        <v/>
      </c>
      <c r="E469" s="37">
        <f>IF(C469="","",(A469+A470)/2)</f>
        <v/>
      </c>
      <c r="F469" s="25">
        <f>IF(OR(C469="",C469=0),"",D469/C469)</f>
        <v/>
      </c>
      <c r="G469" s="25">
        <f>IF(C469="","",D469/$L$6)</f>
        <v/>
      </c>
      <c r="H469" s="37">
        <f>IF(OR(F469="",F470=""),"",(E469+E470)/2)</f>
        <v/>
      </c>
      <c r="I469" s="25">
        <f>IF(H469="","",(F470-F469)/(E470-E469))</f>
        <v/>
      </c>
      <c r="P469" s="25">
        <f>IF(($L$5-1)&lt;1,"",IF(466&lt;=($L$5-1),E469,INDEX($E$4:$E$603,($L$5-1))))</f>
        <v/>
      </c>
      <c r="Q469" s="25">
        <f>IF(($L$5-1)&lt;1,"",IF(466&lt;=($L$5-1),F469,INDEX($F$4:$F$603,($L$5-1))))</f>
        <v/>
      </c>
      <c r="R469" s="25">
        <f>IF(($L$5-1)&lt;1,"",IF(466&lt;=($L$5-1),G469,INDEX($G$4:$G$603,($L$5-1))))</f>
        <v/>
      </c>
      <c r="S469" s="25">
        <f>IF(($L$5-2)&lt;1,"",IF(466&lt;=($L$5-2),H469,INDEX($H$4:$H$603,($L$5-2))))</f>
        <v/>
      </c>
      <c r="T469" s="25">
        <f>IF(($L$5-2)&lt;1,"",IF(466&lt;=($L$5-2),I469,INDEX($I$4:$I$603,($L$5-2))))</f>
        <v/>
      </c>
    </row>
    <row r="470">
      <c r="A470" s="43" t="n"/>
      <c r="B470" s="43" t="n"/>
      <c r="C470" s="37">
        <f>IF(OR(A470="",A471=""),"",A471-A470)</f>
        <v/>
      </c>
      <c r="D470" s="37">
        <f>IF(C470="","",B471-B470)</f>
        <v/>
      </c>
      <c r="E470" s="37">
        <f>IF(C470="","",(A470+A471)/2)</f>
        <v/>
      </c>
      <c r="F470" s="25">
        <f>IF(OR(C470="",C470=0),"",D470/C470)</f>
        <v/>
      </c>
      <c r="G470" s="25">
        <f>IF(C470="","",D470/$L$6)</f>
        <v/>
      </c>
      <c r="H470" s="37">
        <f>IF(OR(F470="",F471=""),"",(E470+E471)/2)</f>
        <v/>
      </c>
      <c r="I470" s="25">
        <f>IF(H470="","",(F471-F470)/(E471-E470))</f>
        <v/>
      </c>
      <c r="P470" s="25">
        <f>IF(($L$5-1)&lt;1,"",IF(467&lt;=($L$5-1),E470,INDEX($E$4:$E$603,($L$5-1))))</f>
        <v/>
      </c>
      <c r="Q470" s="25">
        <f>IF(($L$5-1)&lt;1,"",IF(467&lt;=($L$5-1),F470,INDEX($F$4:$F$603,($L$5-1))))</f>
        <v/>
      </c>
      <c r="R470" s="25">
        <f>IF(($L$5-1)&lt;1,"",IF(467&lt;=($L$5-1),G470,INDEX($G$4:$G$603,($L$5-1))))</f>
        <v/>
      </c>
      <c r="S470" s="25">
        <f>IF(($L$5-2)&lt;1,"",IF(467&lt;=($L$5-2),H470,INDEX($H$4:$H$603,($L$5-2))))</f>
        <v/>
      </c>
      <c r="T470" s="25">
        <f>IF(($L$5-2)&lt;1,"",IF(467&lt;=($L$5-2),I470,INDEX($I$4:$I$603,($L$5-2))))</f>
        <v/>
      </c>
    </row>
    <row r="471">
      <c r="A471" s="43" t="n"/>
      <c r="B471" s="43" t="n"/>
      <c r="C471" s="37">
        <f>IF(OR(A471="",A472=""),"",A472-A471)</f>
        <v/>
      </c>
      <c r="D471" s="37">
        <f>IF(C471="","",B472-B471)</f>
        <v/>
      </c>
      <c r="E471" s="37">
        <f>IF(C471="","",(A471+A472)/2)</f>
        <v/>
      </c>
      <c r="F471" s="25">
        <f>IF(OR(C471="",C471=0),"",D471/C471)</f>
        <v/>
      </c>
      <c r="G471" s="25">
        <f>IF(C471="","",D471/$L$6)</f>
        <v/>
      </c>
      <c r="H471" s="37">
        <f>IF(OR(F471="",F472=""),"",(E471+E472)/2)</f>
        <v/>
      </c>
      <c r="I471" s="25">
        <f>IF(H471="","",(F472-F471)/(E472-E471))</f>
        <v/>
      </c>
      <c r="P471" s="25">
        <f>IF(($L$5-1)&lt;1,"",IF(468&lt;=($L$5-1),E471,INDEX($E$4:$E$603,($L$5-1))))</f>
        <v/>
      </c>
      <c r="Q471" s="25">
        <f>IF(($L$5-1)&lt;1,"",IF(468&lt;=($L$5-1),F471,INDEX($F$4:$F$603,($L$5-1))))</f>
        <v/>
      </c>
      <c r="R471" s="25">
        <f>IF(($L$5-1)&lt;1,"",IF(468&lt;=($L$5-1),G471,INDEX($G$4:$G$603,($L$5-1))))</f>
        <v/>
      </c>
      <c r="S471" s="25">
        <f>IF(($L$5-2)&lt;1,"",IF(468&lt;=($L$5-2),H471,INDEX($H$4:$H$603,($L$5-2))))</f>
        <v/>
      </c>
      <c r="T471" s="25">
        <f>IF(($L$5-2)&lt;1,"",IF(468&lt;=($L$5-2),I471,INDEX($I$4:$I$603,($L$5-2))))</f>
        <v/>
      </c>
    </row>
    <row r="472">
      <c r="A472" s="43" t="n"/>
      <c r="B472" s="43" t="n"/>
      <c r="C472" s="37">
        <f>IF(OR(A472="",A473=""),"",A473-A472)</f>
        <v/>
      </c>
      <c r="D472" s="37">
        <f>IF(C472="","",B473-B472)</f>
        <v/>
      </c>
      <c r="E472" s="37">
        <f>IF(C472="","",(A472+A473)/2)</f>
        <v/>
      </c>
      <c r="F472" s="25">
        <f>IF(OR(C472="",C472=0),"",D472/C472)</f>
        <v/>
      </c>
      <c r="G472" s="25">
        <f>IF(C472="","",D472/$L$6)</f>
        <v/>
      </c>
      <c r="H472" s="37">
        <f>IF(OR(F472="",F473=""),"",(E472+E473)/2)</f>
        <v/>
      </c>
      <c r="I472" s="25">
        <f>IF(H472="","",(F473-F472)/(E473-E472))</f>
        <v/>
      </c>
      <c r="P472" s="25">
        <f>IF(($L$5-1)&lt;1,"",IF(469&lt;=($L$5-1),E472,INDEX($E$4:$E$603,($L$5-1))))</f>
        <v/>
      </c>
      <c r="Q472" s="25">
        <f>IF(($L$5-1)&lt;1,"",IF(469&lt;=($L$5-1),F472,INDEX($F$4:$F$603,($L$5-1))))</f>
        <v/>
      </c>
      <c r="R472" s="25">
        <f>IF(($L$5-1)&lt;1,"",IF(469&lt;=($L$5-1),G472,INDEX($G$4:$G$603,($L$5-1))))</f>
        <v/>
      </c>
      <c r="S472" s="25">
        <f>IF(($L$5-2)&lt;1,"",IF(469&lt;=($L$5-2),H472,INDEX($H$4:$H$603,($L$5-2))))</f>
        <v/>
      </c>
      <c r="T472" s="25">
        <f>IF(($L$5-2)&lt;1,"",IF(469&lt;=($L$5-2),I472,INDEX($I$4:$I$603,($L$5-2))))</f>
        <v/>
      </c>
    </row>
    <row r="473">
      <c r="A473" s="43" t="n"/>
      <c r="B473" s="43" t="n"/>
      <c r="C473" s="37">
        <f>IF(OR(A473="",A474=""),"",A474-A473)</f>
        <v/>
      </c>
      <c r="D473" s="37">
        <f>IF(C473="","",B474-B473)</f>
        <v/>
      </c>
      <c r="E473" s="37">
        <f>IF(C473="","",(A473+A474)/2)</f>
        <v/>
      </c>
      <c r="F473" s="25">
        <f>IF(OR(C473="",C473=0),"",D473/C473)</f>
        <v/>
      </c>
      <c r="G473" s="25">
        <f>IF(C473="","",D473/$L$6)</f>
        <v/>
      </c>
      <c r="H473" s="37">
        <f>IF(OR(F473="",F474=""),"",(E473+E474)/2)</f>
        <v/>
      </c>
      <c r="I473" s="25">
        <f>IF(H473="","",(F474-F473)/(E474-E473))</f>
        <v/>
      </c>
      <c r="P473" s="25">
        <f>IF(($L$5-1)&lt;1,"",IF(470&lt;=($L$5-1),E473,INDEX($E$4:$E$603,($L$5-1))))</f>
        <v/>
      </c>
      <c r="Q473" s="25">
        <f>IF(($L$5-1)&lt;1,"",IF(470&lt;=($L$5-1),F473,INDEX($F$4:$F$603,($L$5-1))))</f>
        <v/>
      </c>
      <c r="R473" s="25">
        <f>IF(($L$5-1)&lt;1,"",IF(470&lt;=($L$5-1),G473,INDEX($G$4:$G$603,($L$5-1))))</f>
        <v/>
      </c>
      <c r="S473" s="25">
        <f>IF(($L$5-2)&lt;1,"",IF(470&lt;=($L$5-2),H473,INDEX($H$4:$H$603,($L$5-2))))</f>
        <v/>
      </c>
      <c r="T473" s="25">
        <f>IF(($L$5-2)&lt;1,"",IF(470&lt;=($L$5-2),I473,INDEX($I$4:$I$603,($L$5-2))))</f>
        <v/>
      </c>
    </row>
    <row r="474">
      <c r="A474" s="43" t="n"/>
      <c r="B474" s="43" t="n"/>
      <c r="C474" s="37">
        <f>IF(OR(A474="",A475=""),"",A475-A474)</f>
        <v/>
      </c>
      <c r="D474" s="37">
        <f>IF(C474="","",B475-B474)</f>
        <v/>
      </c>
      <c r="E474" s="37">
        <f>IF(C474="","",(A474+A475)/2)</f>
        <v/>
      </c>
      <c r="F474" s="25">
        <f>IF(OR(C474="",C474=0),"",D474/C474)</f>
        <v/>
      </c>
      <c r="G474" s="25">
        <f>IF(C474="","",D474/$L$6)</f>
        <v/>
      </c>
      <c r="H474" s="37">
        <f>IF(OR(F474="",F475=""),"",(E474+E475)/2)</f>
        <v/>
      </c>
      <c r="I474" s="25">
        <f>IF(H474="","",(F475-F474)/(E475-E474))</f>
        <v/>
      </c>
      <c r="P474" s="25">
        <f>IF(($L$5-1)&lt;1,"",IF(471&lt;=($L$5-1),E474,INDEX($E$4:$E$603,($L$5-1))))</f>
        <v/>
      </c>
      <c r="Q474" s="25">
        <f>IF(($L$5-1)&lt;1,"",IF(471&lt;=($L$5-1),F474,INDEX($F$4:$F$603,($L$5-1))))</f>
        <v/>
      </c>
      <c r="R474" s="25">
        <f>IF(($L$5-1)&lt;1,"",IF(471&lt;=($L$5-1),G474,INDEX($G$4:$G$603,($L$5-1))))</f>
        <v/>
      </c>
      <c r="S474" s="25">
        <f>IF(($L$5-2)&lt;1,"",IF(471&lt;=($L$5-2),H474,INDEX($H$4:$H$603,($L$5-2))))</f>
        <v/>
      </c>
      <c r="T474" s="25">
        <f>IF(($L$5-2)&lt;1,"",IF(471&lt;=($L$5-2),I474,INDEX($I$4:$I$603,($L$5-2))))</f>
        <v/>
      </c>
    </row>
    <row r="475">
      <c r="A475" s="43" t="n"/>
      <c r="B475" s="43" t="n"/>
      <c r="C475" s="37">
        <f>IF(OR(A475="",A476=""),"",A476-A475)</f>
        <v/>
      </c>
      <c r="D475" s="37">
        <f>IF(C475="","",B476-B475)</f>
        <v/>
      </c>
      <c r="E475" s="37">
        <f>IF(C475="","",(A475+A476)/2)</f>
        <v/>
      </c>
      <c r="F475" s="25">
        <f>IF(OR(C475="",C475=0),"",D475/C475)</f>
        <v/>
      </c>
      <c r="G475" s="25">
        <f>IF(C475="","",D475/$L$6)</f>
        <v/>
      </c>
      <c r="H475" s="37">
        <f>IF(OR(F475="",F476=""),"",(E475+E476)/2)</f>
        <v/>
      </c>
      <c r="I475" s="25">
        <f>IF(H475="","",(F476-F475)/(E476-E475))</f>
        <v/>
      </c>
      <c r="P475" s="25">
        <f>IF(($L$5-1)&lt;1,"",IF(472&lt;=($L$5-1),E475,INDEX($E$4:$E$603,($L$5-1))))</f>
        <v/>
      </c>
      <c r="Q475" s="25">
        <f>IF(($L$5-1)&lt;1,"",IF(472&lt;=($L$5-1),F475,INDEX($F$4:$F$603,($L$5-1))))</f>
        <v/>
      </c>
      <c r="R475" s="25">
        <f>IF(($L$5-1)&lt;1,"",IF(472&lt;=($L$5-1),G475,INDEX($G$4:$G$603,($L$5-1))))</f>
        <v/>
      </c>
      <c r="S475" s="25">
        <f>IF(($L$5-2)&lt;1,"",IF(472&lt;=($L$5-2),H475,INDEX($H$4:$H$603,($L$5-2))))</f>
        <v/>
      </c>
      <c r="T475" s="25">
        <f>IF(($L$5-2)&lt;1,"",IF(472&lt;=($L$5-2),I475,INDEX($I$4:$I$603,($L$5-2))))</f>
        <v/>
      </c>
    </row>
    <row r="476">
      <c r="A476" s="43" t="n"/>
      <c r="B476" s="43" t="n"/>
      <c r="C476" s="37">
        <f>IF(OR(A476="",A477=""),"",A477-A476)</f>
        <v/>
      </c>
      <c r="D476" s="37">
        <f>IF(C476="","",B477-B476)</f>
        <v/>
      </c>
      <c r="E476" s="37">
        <f>IF(C476="","",(A476+A477)/2)</f>
        <v/>
      </c>
      <c r="F476" s="25">
        <f>IF(OR(C476="",C476=0),"",D476/C476)</f>
        <v/>
      </c>
      <c r="G476" s="25">
        <f>IF(C476="","",D476/$L$6)</f>
        <v/>
      </c>
      <c r="H476" s="37">
        <f>IF(OR(F476="",F477=""),"",(E476+E477)/2)</f>
        <v/>
      </c>
      <c r="I476" s="25">
        <f>IF(H476="","",(F477-F476)/(E477-E476))</f>
        <v/>
      </c>
      <c r="P476" s="25">
        <f>IF(($L$5-1)&lt;1,"",IF(473&lt;=($L$5-1),E476,INDEX($E$4:$E$603,($L$5-1))))</f>
        <v/>
      </c>
      <c r="Q476" s="25">
        <f>IF(($L$5-1)&lt;1,"",IF(473&lt;=($L$5-1),F476,INDEX($F$4:$F$603,($L$5-1))))</f>
        <v/>
      </c>
      <c r="R476" s="25">
        <f>IF(($L$5-1)&lt;1,"",IF(473&lt;=($L$5-1),G476,INDEX($G$4:$G$603,($L$5-1))))</f>
        <v/>
      </c>
      <c r="S476" s="25">
        <f>IF(($L$5-2)&lt;1,"",IF(473&lt;=($L$5-2),H476,INDEX($H$4:$H$603,($L$5-2))))</f>
        <v/>
      </c>
      <c r="T476" s="25">
        <f>IF(($L$5-2)&lt;1,"",IF(473&lt;=($L$5-2),I476,INDEX($I$4:$I$603,($L$5-2))))</f>
        <v/>
      </c>
    </row>
    <row r="477">
      <c r="A477" s="43" t="n"/>
      <c r="B477" s="43" t="n"/>
      <c r="C477" s="37">
        <f>IF(OR(A477="",A478=""),"",A478-A477)</f>
        <v/>
      </c>
      <c r="D477" s="37">
        <f>IF(C477="","",B478-B477)</f>
        <v/>
      </c>
      <c r="E477" s="37">
        <f>IF(C477="","",(A477+A478)/2)</f>
        <v/>
      </c>
      <c r="F477" s="25">
        <f>IF(OR(C477="",C477=0),"",D477/C477)</f>
        <v/>
      </c>
      <c r="G477" s="25">
        <f>IF(C477="","",D477/$L$6)</f>
        <v/>
      </c>
      <c r="H477" s="37">
        <f>IF(OR(F477="",F478=""),"",(E477+E478)/2)</f>
        <v/>
      </c>
      <c r="I477" s="25">
        <f>IF(H477="","",(F478-F477)/(E478-E477))</f>
        <v/>
      </c>
      <c r="P477" s="25">
        <f>IF(($L$5-1)&lt;1,"",IF(474&lt;=($L$5-1),E477,INDEX($E$4:$E$603,($L$5-1))))</f>
        <v/>
      </c>
      <c r="Q477" s="25">
        <f>IF(($L$5-1)&lt;1,"",IF(474&lt;=($L$5-1),F477,INDEX($F$4:$F$603,($L$5-1))))</f>
        <v/>
      </c>
      <c r="R477" s="25">
        <f>IF(($L$5-1)&lt;1,"",IF(474&lt;=($L$5-1),G477,INDEX($G$4:$G$603,($L$5-1))))</f>
        <v/>
      </c>
      <c r="S477" s="25">
        <f>IF(($L$5-2)&lt;1,"",IF(474&lt;=($L$5-2),H477,INDEX($H$4:$H$603,($L$5-2))))</f>
        <v/>
      </c>
      <c r="T477" s="25">
        <f>IF(($L$5-2)&lt;1,"",IF(474&lt;=($L$5-2),I477,INDEX($I$4:$I$603,($L$5-2))))</f>
        <v/>
      </c>
    </row>
    <row r="478">
      <c r="A478" s="43" t="n"/>
      <c r="B478" s="43" t="n"/>
      <c r="C478" s="37">
        <f>IF(OR(A478="",A479=""),"",A479-A478)</f>
        <v/>
      </c>
      <c r="D478" s="37">
        <f>IF(C478="","",B479-B478)</f>
        <v/>
      </c>
      <c r="E478" s="37">
        <f>IF(C478="","",(A478+A479)/2)</f>
        <v/>
      </c>
      <c r="F478" s="25">
        <f>IF(OR(C478="",C478=0),"",D478/C478)</f>
        <v/>
      </c>
      <c r="G478" s="25">
        <f>IF(C478="","",D478/$L$6)</f>
        <v/>
      </c>
      <c r="H478" s="37">
        <f>IF(OR(F478="",F479=""),"",(E478+E479)/2)</f>
        <v/>
      </c>
      <c r="I478" s="25">
        <f>IF(H478="","",(F479-F478)/(E479-E478))</f>
        <v/>
      </c>
      <c r="P478" s="25">
        <f>IF(($L$5-1)&lt;1,"",IF(475&lt;=($L$5-1),E478,INDEX($E$4:$E$603,($L$5-1))))</f>
        <v/>
      </c>
      <c r="Q478" s="25">
        <f>IF(($L$5-1)&lt;1,"",IF(475&lt;=($L$5-1),F478,INDEX($F$4:$F$603,($L$5-1))))</f>
        <v/>
      </c>
      <c r="R478" s="25">
        <f>IF(($L$5-1)&lt;1,"",IF(475&lt;=($L$5-1),G478,INDEX($G$4:$G$603,($L$5-1))))</f>
        <v/>
      </c>
      <c r="S478" s="25">
        <f>IF(($L$5-2)&lt;1,"",IF(475&lt;=($L$5-2),H478,INDEX($H$4:$H$603,($L$5-2))))</f>
        <v/>
      </c>
      <c r="T478" s="25">
        <f>IF(($L$5-2)&lt;1,"",IF(475&lt;=($L$5-2),I478,INDEX($I$4:$I$603,($L$5-2))))</f>
        <v/>
      </c>
    </row>
    <row r="479">
      <c r="A479" s="43" t="n"/>
      <c r="B479" s="43" t="n"/>
      <c r="C479" s="37">
        <f>IF(OR(A479="",A480=""),"",A480-A479)</f>
        <v/>
      </c>
      <c r="D479" s="37">
        <f>IF(C479="","",B480-B479)</f>
        <v/>
      </c>
      <c r="E479" s="37">
        <f>IF(C479="","",(A479+A480)/2)</f>
        <v/>
      </c>
      <c r="F479" s="25">
        <f>IF(OR(C479="",C479=0),"",D479/C479)</f>
        <v/>
      </c>
      <c r="G479" s="25">
        <f>IF(C479="","",D479/$L$6)</f>
        <v/>
      </c>
      <c r="H479" s="37">
        <f>IF(OR(F479="",F480=""),"",(E479+E480)/2)</f>
        <v/>
      </c>
      <c r="I479" s="25">
        <f>IF(H479="","",(F480-F479)/(E480-E479))</f>
        <v/>
      </c>
      <c r="P479" s="25">
        <f>IF(($L$5-1)&lt;1,"",IF(476&lt;=($L$5-1),E479,INDEX($E$4:$E$603,($L$5-1))))</f>
        <v/>
      </c>
      <c r="Q479" s="25">
        <f>IF(($L$5-1)&lt;1,"",IF(476&lt;=($L$5-1),F479,INDEX($F$4:$F$603,($L$5-1))))</f>
        <v/>
      </c>
      <c r="R479" s="25">
        <f>IF(($L$5-1)&lt;1,"",IF(476&lt;=($L$5-1),G479,INDEX($G$4:$G$603,($L$5-1))))</f>
        <v/>
      </c>
      <c r="S479" s="25">
        <f>IF(($L$5-2)&lt;1,"",IF(476&lt;=($L$5-2),H479,INDEX($H$4:$H$603,($L$5-2))))</f>
        <v/>
      </c>
      <c r="T479" s="25">
        <f>IF(($L$5-2)&lt;1,"",IF(476&lt;=($L$5-2),I479,INDEX($I$4:$I$603,($L$5-2))))</f>
        <v/>
      </c>
    </row>
    <row r="480">
      <c r="A480" s="43" t="n"/>
      <c r="B480" s="43" t="n"/>
      <c r="C480" s="37">
        <f>IF(OR(A480="",A481=""),"",A481-A480)</f>
        <v/>
      </c>
      <c r="D480" s="37">
        <f>IF(C480="","",B481-B480)</f>
        <v/>
      </c>
      <c r="E480" s="37">
        <f>IF(C480="","",(A480+A481)/2)</f>
        <v/>
      </c>
      <c r="F480" s="25">
        <f>IF(OR(C480="",C480=0),"",D480/C480)</f>
        <v/>
      </c>
      <c r="G480" s="25">
        <f>IF(C480="","",D480/$L$6)</f>
        <v/>
      </c>
      <c r="H480" s="37">
        <f>IF(OR(F480="",F481=""),"",(E480+E481)/2)</f>
        <v/>
      </c>
      <c r="I480" s="25">
        <f>IF(H480="","",(F481-F480)/(E481-E480))</f>
        <v/>
      </c>
      <c r="P480" s="25">
        <f>IF(($L$5-1)&lt;1,"",IF(477&lt;=($L$5-1),E480,INDEX($E$4:$E$603,($L$5-1))))</f>
        <v/>
      </c>
      <c r="Q480" s="25">
        <f>IF(($L$5-1)&lt;1,"",IF(477&lt;=($L$5-1),F480,INDEX($F$4:$F$603,($L$5-1))))</f>
        <v/>
      </c>
      <c r="R480" s="25">
        <f>IF(($L$5-1)&lt;1,"",IF(477&lt;=($L$5-1),G480,INDEX($G$4:$G$603,($L$5-1))))</f>
        <v/>
      </c>
      <c r="S480" s="25">
        <f>IF(($L$5-2)&lt;1,"",IF(477&lt;=($L$5-2),H480,INDEX($H$4:$H$603,($L$5-2))))</f>
        <v/>
      </c>
      <c r="T480" s="25">
        <f>IF(($L$5-2)&lt;1,"",IF(477&lt;=($L$5-2),I480,INDEX($I$4:$I$603,($L$5-2))))</f>
        <v/>
      </c>
    </row>
    <row r="481">
      <c r="A481" s="43" t="n"/>
      <c r="B481" s="43" t="n"/>
      <c r="C481" s="37">
        <f>IF(OR(A481="",A482=""),"",A482-A481)</f>
        <v/>
      </c>
      <c r="D481" s="37">
        <f>IF(C481="","",B482-B481)</f>
        <v/>
      </c>
      <c r="E481" s="37">
        <f>IF(C481="","",(A481+A482)/2)</f>
        <v/>
      </c>
      <c r="F481" s="25">
        <f>IF(OR(C481="",C481=0),"",D481/C481)</f>
        <v/>
      </c>
      <c r="G481" s="25">
        <f>IF(C481="","",D481/$L$6)</f>
        <v/>
      </c>
      <c r="H481" s="37">
        <f>IF(OR(F481="",F482=""),"",(E481+E482)/2)</f>
        <v/>
      </c>
      <c r="I481" s="25">
        <f>IF(H481="","",(F482-F481)/(E482-E481))</f>
        <v/>
      </c>
      <c r="P481" s="25">
        <f>IF(($L$5-1)&lt;1,"",IF(478&lt;=($L$5-1),E481,INDEX($E$4:$E$603,($L$5-1))))</f>
        <v/>
      </c>
      <c r="Q481" s="25">
        <f>IF(($L$5-1)&lt;1,"",IF(478&lt;=($L$5-1),F481,INDEX($F$4:$F$603,($L$5-1))))</f>
        <v/>
      </c>
      <c r="R481" s="25">
        <f>IF(($L$5-1)&lt;1,"",IF(478&lt;=($L$5-1),G481,INDEX($G$4:$G$603,($L$5-1))))</f>
        <v/>
      </c>
      <c r="S481" s="25">
        <f>IF(($L$5-2)&lt;1,"",IF(478&lt;=($L$5-2),H481,INDEX($H$4:$H$603,($L$5-2))))</f>
        <v/>
      </c>
      <c r="T481" s="25">
        <f>IF(($L$5-2)&lt;1,"",IF(478&lt;=($L$5-2),I481,INDEX($I$4:$I$603,($L$5-2))))</f>
        <v/>
      </c>
    </row>
    <row r="482">
      <c r="A482" s="43" t="n"/>
      <c r="B482" s="43" t="n"/>
      <c r="C482" s="37">
        <f>IF(OR(A482="",A483=""),"",A483-A482)</f>
        <v/>
      </c>
      <c r="D482" s="37">
        <f>IF(C482="","",B483-B482)</f>
        <v/>
      </c>
      <c r="E482" s="37">
        <f>IF(C482="","",(A482+A483)/2)</f>
        <v/>
      </c>
      <c r="F482" s="25">
        <f>IF(OR(C482="",C482=0),"",D482/C482)</f>
        <v/>
      </c>
      <c r="G482" s="25">
        <f>IF(C482="","",D482/$L$6)</f>
        <v/>
      </c>
      <c r="H482" s="37">
        <f>IF(OR(F482="",F483=""),"",(E482+E483)/2)</f>
        <v/>
      </c>
      <c r="I482" s="25">
        <f>IF(H482="","",(F483-F482)/(E483-E482))</f>
        <v/>
      </c>
      <c r="P482" s="25">
        <f>IF(($L$5-1)&lt;1,"",IF(479&lt;=($L$5-1),E482,INDEX($E$4:$E$603,($L$5-1))))</f>
        <v/>
      </c>
      <c r="Q482" s="25">
        <f>IF(($L$5-1)&lt;1,"",IF(479&lt;=($L$5-1),F482,INDEX($F$4:$F$603,($L$5-1))))</f>
        <v/>
      </c>
      <c r="R482" s="25">
        <f>IF(($L$5-1)&lt;1,"",IF(479&lt;=($L$5-1),G482,INDEX($G$4:$G$603,($L$5-1))))</f>
        <v/>
      </c>
      <c r="S482" s="25">
        <f>IF(($L$5-2)&lt;1,"",IF(479&lt;=($L$5-2),H482,INDEX($H$4:$H$603,($L$5-2))))</f>
        <v/>
      </c>
      <c r="T482" s="25">
        <f>IF(($L$5-2)&lt;1,"",IF(479&lt;=($L$5-2),I482,INDEX($I$4:$I$603,($L$5-2))))</f>
        <v/>
      </c>
    </row>
    <row r="483">
      <c r="A483" s="43" t="n"/>
      <c r="B483" s="43" t="n"/>
      <c r="C483" s="37">
        <f>IF(OR(A483="",A484=""),"",A484-A483)</f>
        <v/>
      </c>
      <c r="D483" s="37">
        <f>IF(C483="","",B484-B483)</f>
        <v/>
      </c>
      <c r="E483" s="37">
        <f>IF(C483="","",(A483+A484)/2)</f>
        <v/>
      </c>
      <c r="F483" s="25">
        <f>IF(OR(C483="",C483=0),"",D483/C483)</f>
        <v/>
      </c>
      <c r="G483" s="25">
        <f>IF(C483="","",D483/$L$6)</f>
        <v/>
      </c>
      <c r="H483" s="37">
        <f>IF(OR(F483="",F484=""),"",(E483+E484)/2)</f>
        <v/>
      </c>
      <c r="I483" s="25">
        <f>IF(H483="","",(F484-F483)/(E484-E483))</f>
        <v/>
      </c>
      <c r="P483" s="25">
        <f>IF(($L$5-1)&lt;1,"",IF(480&lt;=($L$5-1),E483,INDEX($E$4:$E$603,($L$5-1))))</f>
        <v/>
      </c>
      <c r="Q483" s="25">
        <f>IF(($L$5-1)&lt;1,"",IF(480&lt;=($L$5-1),F483,INDEX($F$4:$F$603,($L$5-1))))</f>
        <v/>
      </c>
      <c r="R483" s="25">
        <f>IF(($L$5-1)&lt;1,"",IF(480&lt;=($L$5-1),G483,INDEX($G$4:$G$603,($L$5-1))))</f>
        <v/>
      </c>
      <c r="S483" s="25">
        <f>IF(($L$5-2)&lt;1,"",IF(480&lt;=($L$5-2),H483,INDEX($H$4:$H$603,($L$5-2))))</f>
        <v/>
      </c>
      <c r="T483" s="25">
        <f>IF(($L$5-2)&lt;1,"",IF(480&lt;=($L$5-2),I483,INDEX($I$4:$I$603,($L$5-2))))</f>
        <v/>
      </c>
    </row>
    <row r="484">
      <c r="A484" s="43" t="n"/>
      <c r="B484" s="43" t="n"/>
      <c r="C484" s="37">
        <f>IF(OR(A484="",A485=""),"",A485-A484)</f>
        <v/>
      </c>
      <c r="D484" s="37">
        <f>IF(C484="","",B485-B484)</f>
        <v/>
      </c>
      <c r="E484" s="37">
        <f>IF(C484="","",(A484+A485)/2)</f>
        <v/>
      </c>
      <c r="F484" s="25">
        <f>IF(OR(C484="",C484=0),"",D484/C484)</f>
        <v/>
      </c>
      <c r="G484" s="25">
        <f>IF(C484="","",D484/$L$6)</f>
        <v/>
      </c>
      <c r="H484" s="37">
        <f>IF(OR(F484="",F485=""),"",(E484+E485)/2)</f>
        <v/>
      </c>
      <c r="I484" s="25">
        <f>IF(H484="","",(F485-F484)/(E485-E484))</f>
        <v/>
      </c>
      <c r="P484" s="25">
        <f>IF(($L$5-1)&lt;1,"",IF(481&lt;=($L$5-1),E484,INDEX($E$4:$E$603,($L$5-1))))</f>
        <v/>
      </c>
      <c r="Q484" s="25">
        <f>IF(($L$5-1)&lt;1,"",IF(481&lt;=($L$5-1),F484,INDEX($F$4:$F$603,($L$5-1))))</f>
        <v/>
      </c>
      <c r="R484" s="25">
        <f>IF(($L$5-1)&lt;1,"",IF(481&lt;=($L$5-1),G484,INDEX($G$4:$G$603,($L$5-1))))</f>
        <v/>
      </c>
      <c r="S484" s="25">
        <f>IF(($L$5-2)&lt;1,"",IF(481&lt;=($L$5-2),H484,INDEX($H$4:$H$603,($L$5-2))))</f>
        <v/>
      </c>
      <c r="T484" s="25">
        <f>IF(($L$5-2)&lt;1,"",IF(481&lt;=($L$5-2),I484,INDEX($I$4:$I$603,($L$5-2))))</f>
        <v/>
      </c>
    </row>
    <row r="485">
      <c r="A485" s="43" t="n"/>
      <c r="B485" s="43" t="n"/>
      <c r="C485" s="37">
        <f>IF(OR(A485="",A486=""),"",A486-A485)</f>
        <v/>
      </c>
      <c r="D485" s="37">
        <f>IF(C485="","",B486-B485)</f>
        <v/>
      </c>
      <c r="E485" s="37">
        <f>IF(C485="","",(A485+A486)/2)</f>
        <v/>
      </c>
      <c r="F485" s="25">
        <f>IF(OR(C485="",C485=0),"",D485/C485)</f>
        <v/>
      </c>
      <c r="G485" s="25">
        <f>IF(C485="","",D485/$L$6)</f>
        <v/>
      </c>
      <c r="H485" s="37">
        <f>IF(OR(F485="",F486=""),"",(E485+E486)/2)</f>
        <v/>
      </c>
      <c r="I485" s="25">
        <f>IF(H485="","",(F486-F485)/(E486-E485))</f>
        <v/>
      </c>
      <c r="P485" s="25">
        <f>IF(($L$5-1)&lt;1,"",IF(482&lt;=($L$5-1),E485,INDEX($E$4:$E$603,($L$5-1))))</f>
        <v/>
      </c>
      <c r="Q485" s="25">
        <f>IF(($L$5-1)&lt;1,"",IF(482&lt;=($L$5-1),F485,INDEX($F$4:$F$603,($L$5-1))))</f>
        <v/>
      </c>
      <c r="R485" s="25">
        <f>IF(($L$5-1)&lt;1,"",IF(482&lt;=($L$5-1),G485,INDEX($G$4:$G$603,($L$5-1))))</f>
        <v/>
      </c>
      <c r="S485" s="25">
        <f>IF(($L$5-2)&lt;1,"",IF(482&lt;=($L$5-2),H485,INDEX($H$4:$H$603,($L$5-2))))</f>
        <v/>
      </c>
      <c r="T485" s="25">
        <f>IF(($L$5-2)&lt;1,"",IF(482&lt;=($L$5-2),I485,INDEX($I$4:$I$603,($L$5-2))))</f>
        <v/>
      </c>
    </row>
    <row r="486">
      <c r="A486" s="43" t="n"/>
      <c r="B486" s="43" t="n"/>
      <c r="C486" s="37">
        <f>IF(OR(A486="",A487=""),"",A487-A486)</f>
        <v/>
      </c>
      <c r="D486" s="37">
        <f>IF(C486="","",B487-B486)</f>
        <v/>
      </c>
      <c r="E486" s="37">
        <f>IF(C486="","",(A486+A487)/2)</f>
        <v/>
      </c>
      <c r="F486" s="25">
        <f>IF(OR(C486="",C486=0),"",D486/C486)</f>
        <v/>
      </c>
      <c r="G486" s="25">
        <f>IF(C486="","",D486/$L$6)</f>
        <v/>
      </c>
      <c r="H486" s="37">
        <f>IF(OR(F486="",F487=""),"",(E486+E487)/2)</f>
        <v/>
      </c>
      <c r="I486" s="25">
        <f>IF(H486="","",(F487-F486)/(E487-E486))</f>
        <v/>
      </c>
      <c r="P486" s="25">
        <f>IF(($L$5-1)&lt;1,"",IF(483&lt;=($L$5-1),E486,INDEX($E$4:$E$603,($L$5-1))))</f>
        <v/>
      </c>
      <c r="Q486" s="25">
        <f>IF(($L$5-1)&lt;1,"",IF(483&lt;=($L$5-1),F486,INDEX($F$4:$F$603,($L$5-1))))</f>
        <v/>
      </c>
      <c r="R486" s="25">
        <f>IF(($L$5-1)&lt;1,"",IF(483&lt;=($L$5-1),G486,INDEX($G$4:$G$603,($L$5-1))))</f>
        <v/>
      </c>
      <c r="S486" s="25">
        <f>IF(($L$5-2)&lt;1,"",IF(483&lt;=($L$5-2),H486,INDEX($H$4:$H$603,($L$5-2))))</f>
        <v/>
      </c>
      <c r="T486" s="25">
        <f>IF(($L$5-2)&lt;1,"",IF(483&lt;=($L$5-2),I486,INDEX($I$4:$I$603,($L$5-2))))</f>
        <v/>
      </c>
    </row>
    <row r="487">
      <c r="A487" s="43" t="n"/>
      <c r="B487" s="43" t="n"/>
      <c r="C487" s="37">
        <f>IF(OR(A487="",A488=""),"",A488-A487)</f>
        <v/>
      </c>
      <c r="D487" s="37">
        <f>IF(C487="","",B488-B487)</f>
        <v/>
      </c>
      <c r="E487" s="37">
        <f>IF(C487="","",(A487+A488)/2)</f>
        <v/>
      </c>
      <c r="F487" s="25">
        <f>IF(OR(C487="",C487=0),"",D487/C487)</f>
        <v/>
      </c>
      <c r="G487" s="25">
        <f>IF(C487="","",D487/$L$6)</f>
        <v/>
      </c>
      <c r="H487" s="37">
        <f>IF(OR(F487="",F488=""),"",(E487+E488)/2)</f>
        <v/>
      </c>
      <c r="I487" s="25">
        <f>IF(H487="","",(F488-F487)/(E488-E487))</f>
        <v/>
      </c>
      <c r="P487" s="25">
        <f>IF(($L$5-1)&lt;1,"",IF(484&lt;=($L$5-1),E487,INDEX($E$4:$E$603,($L$5-1))))</f>
        <v/>
      </c>
      <c r="Q487" s="25">
        <f>IF(($L$5-1)&lt;1,"",IF(484&lt;=($L$5-1),F487,INDEX($F$4:$F$603,($L$5-1))))</f>
        <v/>
      </c>
      <c r="R487" s="25">
        <f>IF(($L$5-1)&lt;1,"",IF(484&lt;=($L$5-1),G487,INDEX($G$4:$G$603,($L$5-1))))</f>
        <v/>
      </c>
      <c r="S487" s="25">
        <f>IF(($L$5-2)&lt;1,"",IF(484&lt;=($L$5-2),H487,INDEX($H$4:$H$603,($L$5-2))))</f>
        <v/>
      </c>
      <c r="T487" s="25">
        <f>IF(($L$5-2)&lt;1,"",IF(484&lt;=($L$5-2),I487,INDEX($I$4:$I$603,($L$5-2))))</f>
        <v/>
      </c>
    </row>
    <row r="488">
      <c r="A488" s="43" t="n"/>
      <c r="B488" s="43" t="n"/>
      <c r="C488" s="37">
        <f>IF(OR(A488="",A489=""),"",A489-A488)</f>
        <v/>
      </c>
      <c r="D488" s="37">
        <f>IF(C488="","",B489-B488)</f>
        <v/>
      </c>
      <c r="E488" s="37">
        <f>IF(C488="","",(A488+A489)/2)</f>
        <v/>
      </c>
      <c r="F488" s="25">
        <f>IF(OR(C488="",C488=0),"",D488/C488)</f>
        <v/>
      </c>
      <c r="G488" s="25">
        <f>IF(C488="","",D488/$L$6)</f>
        <v/>
      </c>
      <c r="H488" s="37">
        <f>IF(OR(F488="",F489=""),"",(E488+E489)/2)</f>
        <v/>
      </c>
      <c r="I488" s="25">
        <f>IF(H488="","",(F489-F488)/(E489-E488))</f>
        <v/>
      </c>
      <c r="P488" s="25">
        <f>IF(($L$5-1)&lt;1,"",IF(485&lt;=($L$5-1),E488,INDEX($E$4:$E$603,($L$5-1))))</f>
        <v/>
      </c>
      <c r="Q488" s="25">
        <f>IF(($L$5-1)&lt;1,"",IF(485&lt;=($L$5-1),F488,INDEX($F$4:$F$603,($L$5-1))))</f>
        <v/>
      </c>
      <c r="R488" s="25">
        <f>IF(($L$5-1)&lt;1,"",IF(485&lt;=($L$5-1),G488,INDEX($G$4:$G$603,($L$5-1))))</f>
        <v/>
      </c>
      <c r="S488" s="25">
        <f>IF(($L$5-2)&lt;1,"",IF(485&lt;=($L$5-2),H488,INDEX($H$4:$H$603,($L$5-2))))</f>
        <v/>
      </c>
      <c r="T488" s="25">
        <f>IF(($L$5-2)&lt;1,"",IF(485&lt;=($L$5-2),I488,INDEX($I$4:$I$603,($L$5-2))))</f>
        <v/>
      </c>
    </row>
    <row r="489">
      <c r="A489" s="43" t="n"/>
      <c r="B489" s="43" t="n"/>
      <c r="C489" s="37">
        <f>IF(OR(A489="",A490=""),"",A490-A489)</f>
        <v/>
      </c>
      <c r="D489" s="37">
        <f>IF(C489="","",B490-B489)</f>
        <v/>
      </c>
      <c r="E489" s="37">
        <f>IF(C489="","",(A489+A490)/2)</f>
        <v/>
      </c>
      <c r="F489" s="25">
        <f>IF(OR(C489="",C489=0),"",D489/C489)</f>
        <v/>
      </c>
      <c r="G489" s="25">
        <f>IF(C489="","",D489/$L$6)</f>
        <v/>
      </c>
      <c r="H489" s="37">
        <f>IF(OR(F489="",F490=""),"",(E489+E490)/2)</f>
        <v/>
      </c>
      <c r="I489" s="25">
        <f>IF(H489="","",(F490-F489)/(E490-E489))</f>
        <v/>
      </c>
      <c r="P489" s="25">
        <f>IF(($L$5-1)&lt;1,"",IF(486&lt;=($L$5-1),E489,INDEX($E$4:$E$603,($L$5-1))))</f>
        <v/>
      </c>
      <c r="Q489" s="25">
        <f>IF(($L$5-1)&lt;1,"",IF(486&lt;=($L$5-1),F489,INDEX($F$4:$F$603,($L$5-1))))</f>
        <v/>
      </c>
      <c r="R489" s="25">
        <f>IF(($L$5-1)&lt;1,"",IF(486&lt;=($L$5-1),G489,INDEX($G$4:$G$603,($L$5-1))))</f>
        <v/>
      </c>
      <c r="S489" s="25">
        <f>IF(($L$5-2)&lt;1,"",IF(486&lt;=($L$5-2),H489,INDEX($H$4:$H$603,($L$5-2))))</f>
        <v/>
      </c>
      <c r="T489" s="25">
        <f>IF(($L$5-2)&lt;1,"",IF(486&lt;=($L$5-2),I489,INDEX($I$4:$I$603,($L$5-2))))</f>
        <v/>
      </c>
    </row>
    <row r="490">
      <c r="A490" s="43" t="n"/>
      <c r="B490" s="43" t="n"/>
      <c r="C490" s="37">
        <f>IF(OR(A490="",A491=""),"",A491-A490)</f>
        <v/>
      </c>
      <c r="D490" s="37">
        <f>IF(C490="","",B491-B490)</f>
        <v/>
      </c>
      <c r="E490" s="37">
        <f>IF(C490="","",(A490+A491)/2)</f>
        <v/>
      </c>
      <c r="F490" s="25">
        <f>IF(OR(C490="",C490=0),"",D490/C490)</f>
        <v/>
      </c>
      <c r="G490" s="25">
        <f>IF(C490="","",D490/$L$6)</f>
        <v/>
      </c>
      <c r="H490" s="37">
        <f>IF(OR(F490="",F491=""),"",(E490+E491)/2)</f>
        <v/>
      </c>
      <c r="I490" s="25">
        <f>IF(H490="","",(F491-F490)/(E491-E490))</f>
        <v/>
      </c>
      <c r="P490" s="25">
        <f>IF(($L$5-1)&lt;1,"",IF(487&lt;=($L$5-1),E490,INDEX($E$4:$E$603,($L$5-1))))</f>
        <v/>
      </c>
      <c r="Q490" s="25">
        <f>IF(($L$5-1)&lt;1,"",IF(487&lt;=($L$5-1),F490,INDEX($F$4:$F$603,($L$5-1))))</f>
        <v/>
      </c>
      <c r="R490" s="25">
        <f>IF(($L$5-1)&lt;1,"",IF(487&lt;=($L$5-1),G490,INDEX($G$4:$G$603,($L$5-1))))</f>
        <v/>
      </c>
      <c r="S490" s="25">
        <f>IF(($L$5-2)&lt;1,"",IF(487&lt;=($L$5-2),H490,INDEX($H$4:$H$603,($L$5-2))))</f>
        <v/>
      </c>
      <c r="T490" s="25">
        <f>IF(($L$5-2)&lt;1,"",IF(487&lt;=($L$5-2),I490,INDEX($I$4:$I$603,($L$5-2))))</f>
        <v/>
      </c>
    </row>
    <row r="491">
      <c r="A491" s="43" t="n"/>
      <c r="B491" s="43" t="n"/>
      <c r="C491" s="37">
        <f>IF(OR(A491="",A492=""),"",A492-A491)</f>
        <v/>
      </c>
      <c r="D491" s="37">
        <f>IF(C491="","",B492-B491)</f>
        <v/>
      </c>
      <c r="E491" s="37">
        <f>IF(C491="","",(A491+A492)/2)</f>
        <v/>
      </c>
      <c r="F491" s="25">
        <f>IF(OR(C491="",C491=0),"",D491/C491)</f>
        <v/>
      </c>
      <c r="G491" s="25">
        <f>IF(C491="","",D491/$L$6)</f>
        <v/>
      </c>
      <c r="H491" s="37">
        <f>IF(OR(F491="",F492=""),"",(E491+E492)/2)</f>
        <v/>
      </c>
      <c r="I491" s="25">
        <f>IF(H491="","",(F492-F491)/(E492-E491))</f>
        <v/>
      </c>
      <c r="P491" s="25">
        <f>IF(($L$5-1)&lt;1,"",IF(488&lt;=($L$5-1),E491,INDEX($E$4:$E$603,($L$5-1))))</f>
        <v/>
      </c>
      <c r="Q491" s="25">
        <f>IF(($L$5-1)&lt;1,"",IF(488&lt;=($L$5-1),F491,INDEX($F$4:$F$603,($L$5-1))))</f>
        <v/>
      </c>
      <c r="R491" s="25">
        <f>IF(($L$5-1)&lt;1,"",IF(488&lt;=($L$5-1),G491,INDEX($G$4:$G$603,($L$5-1))))</f>
        <v/>
      </c>
      <c r="S491" s="25">
        <f>IF(($L$5-2)&lt;1,"",IF(488&lt;=($L$5-2),H491,INDEX($H$4:$H$603,($L$5-2))))</f>
        <v/>
      </c>
      <c r="T491" s="25">
        <f>IF(($L$5-2)&lt;1,"",IF(488&lt;=($L$5-2),I491,INDEX($I$4:$I$603,($L$5-2))))</f>
        <v/>
      </c>
    </row>
    <row r="492">
      <c r="A492" s="43" t="n"/>
      <c r="B492" s="43" t="n"/>
      <c r="C492" s="37">
        <f>IF(OR(A492="",A493=""),"",A493-A492)</f>
        <v/>
      </c>
      <c r="D492" s="37">
        <f>IF(C492="","",B493-B492)</f>
        <v/>
      </c>
      <c r="E492" s="37">
        <f>IF(C492="","",(A492+A493)/2)</f>
        <v/>
      </c>
      <c r="F492" s="25">
        <f>IF(OR(C492="",C492=0),"",D492/C492)</f>
        <v/>
      </c>
      <c r="G492" s="25">
        <f>IF(C492="","",D492/$L$6)</f>
        <v/>
      </c>
      <c r="H492" s="37">
        <f>IF(OR(F492="",F493=""),"",(E492+E493)/2)</f>
        <v/>
      </c>
      <c r="I492" s="25">
        <f>IF(H492="","",(F493-F492)/(E493-E492))</f>
        <v/>
      </c>
      <c r="P492" s="25">
        <f>IF(($L$5-1)&lt;1,"",IF(489&lt;=($L$5-1),E492,INDEX($E$4:$E$603,($L$5-1))))</f>
        <v/>
      </c>
      <c r="Q492" s="25">
        <f>IF(($L$5-1)&lt;1,"",IF(489&lt;=($L$5-1),F492,INDEX($F$4:$F$603,($L$5-1))))</f>
        <v/>
      </c>
      <c r="R492" s="25">
        <f>IF(($L$5-1)&lt;1,"",IF(489&lt;=($L$5-1),G492,INDEX($G$4:$G$603,($L$5-1))))</f>
        <v/>
      </c>
      <c r="S492" s="25">
        <f>IF(($L$5-2)&lt;1,"",IF(489&lt;=($L$5-2),H492,INDEX($H$4:$H$603,($L$5-2))))</f>
        <v/>
      </c>
      <c r="T492" s="25">
        <f>IF(($L$5-2)&lt;1,"",IF(489&lt;=($L$5-2),I492,INDEX($I$4:$I$603,($L$5-2))))</f>
        <v/>
      </c>
    </row>
    <row r="493">
      <c r="A493" s="43" t="n"/>
      <c r="B493" s="43" t="n"/>
      <c r="C493" s="37">
        <f>IF(OR(A493="",A494=""),"",A494-A493)</f>
        <v/>
      </c>
      <c r="D493" s="37">
        <f>IF(C493="","",B494-B493)</f>
        <v/>
      </c>
      <c r="E493" s="37">
        <f>IF(C493="","",(A493+A494)/2)</f>
        <v/>
      </c>
      <c r="F493" s="25">
        <f>IF(OR(C493="",C493=0),"",D493/C493)</f>
        <v/>
      </c>
      <c r="G493" s="25">
        <f>IF(C493="","",D493/$L$6)</f>
        <v/>
      </c>
      <c r="H493" s="37">
        <f>IF(OR(F493="",F494=""),"",(E493+E494)/2)</f>
        <v/>
      </c>
      <c r="I493" s="25">
        <f>IF(H493="","",(F494-F493)/(E494-E493))</f>
        <v/>
      </c>
      <c r="P493" s="25">
        <f>IF(($L$5-1)&lt;1,"",IF(490&lt;=($L$5-1),E493,INDEX($E$4:$E$603,($L$5-1))))</f>
        <v/>
      </c>
      <c r="Q493" s="25">
        <f>IF(($L$5-1)&lt;1,"",IF(490&lt;=($L$5-1),F493,INDEX($F$4:$F$603,($L$5-1))))</f>
        <v/>
      </c>
      <c r="R493" s="25">
        <f>IF(($L$5-1)&lt;1,"",IF(490&lt;=($L$5-1),G493,INDEX($G$4:$G$603,($L$5-1))))</f>
        <v/>
      </c>
      <c r="S493" s="25">
        <f>IF(($L$5-2)&lt;1,"",IF(490&lt;=($L$5-2),H493,INDEX($H$4:$H$603,($L$5-2))))</f>
        <v/>
      </c>
      <c r="T493" s="25">
        <f>IF(($L$5-2)&lt;1,"",IF(490&lt;=($L$5-2),I493,INDEX($I$4:$I$603,($L$5-2))))</f>
        <v/>
      </c>
    </row>
    <row r="494">
      <c r="A494" s="43" t="n"/>
      <c r="B494" s="43" t="n"/>
      <c r="C494" s="37">
        <f>IF(OR(A494="",A495=""),"",A495-A494)</f>
        <v/>
      </c>
      <c r="D494" s="37">
        <f>IF(C494="","",B495-B494)</f>
        <v/>
      </c>
      <c r="E494" s="37">
        <f>IF(C494="","",(A494+A495)/2)</f>
        <v/>
      </c>
      <c r="F494" s="25">
        <f>IF(OR(C494="",C494=0),"",D494/C494)</f>
        <v/>
      </c>
      <c r="G494" s="25">
        <f>IF(C494="","",D494/$L$6)</f>
        <v/>
      </c>
      <c r="H494" s="37">
        <f>IF(OR(F494="",F495=""),"",(E494+E495)/2)</f>
        <v/>
      </c>
      <c r="I494" s="25">
        <f>IF(H494="","",(F495-F494)/(E495-E494))</f>
        <v/>
      </c>
      <c r="P494" s="25">
        <f>IF(($L$5-1)&lt;1,"",IF(491&lt;=($L$5-1),E494,INDEX($E$4:$E$603,($L$5-1))))</f>
        <v/>
      </c>
      <c r="Q494" s="25">
        <f>IF(($L$5-1)&lt;1,"",IF(491&lt;=($L$5-1),F494,INDEX($F$4:$F$603,($L$5-1))))</f>
        <v/>
      </c>
      <c r="R494" s="25">
        <f>IF(($L$5-1)&lt;1,"",IF(491&lt;=($L$5-1),G494,INDEX($G$4:$G$603,($L$5-1))))</f>
        <v/>
      </c>
      <c r="S494" s="25">
        <f>IF(($L$5-2)&lt;1,"",IF(491&lt;=($L$5-2),H494,INDEX($H$4:$H$603,($L$5-2))))</f>
        <v/>
      </c>
      <c r="T494" s="25">
        <f>IF(($L$5-2)&lt;1,"",IF(491&lt;=($L$5-2),I494,INDEX($I$4:$I$603,($L$5-2))))</f>
        <v/>
      </c>
    </row>
    <row r="495">
      <c r="A495" s="43" t="n"/>
      <c r="B495" s="43" t="n"/>
      <c r="C495" s="37">
        <f>IF(OR(A495="",A496=""),"",A496-A495)</f>
        <v/>
      </c>
      <c r="D495" s="37">
        <f>IF(C495="","",B496-B495)</f>
        <v/>
      </c>
      <c r="E495" s="37">
        <f>IF(C495="","",(A495+A496)/2)</f>
        <v/>
      </c>
      <c r="F495" s="25">
        <f>IF(OR(C495="",C495=0),"",D495/C495)</f>
        <v/>
      </c>
      <c r="G495" s="25">
        <f>IF(C495="","",D495/$L$6)</f>
        <v/>
      </c>
      <c r="H495" s="37">
        <f>IF(OR(F495="",F496=""),"",(E495+E496)/2)</f>
        <v/>
      </c>
      <c r="I495" s="25">
        <f>IF(H495="","",(F496-F495)/(E496-E495))</f>
        <v/>
      </c>
      <c r="P495" s="25">
        <f>IF(($L$5-1)&lt;1,"",IF(492&lt;=($L$5-1),E495,INDEX($E$4:$E$603,($L$5-1))))</f>
        <v/>
      </c>
      <c r="Q495" s="25">
        <f>IF(($L$5-1)&lt;1,"",IF(492&lt;=($L$5-1),F495,INDEX($F$4:$F$603,($L$5-1))))</f>
        <v/>
      </c>
      <c r="R495" s="25">
        <f>IF(($L$5-1)&lt;1,"",IF(492&lt;=($L$5-1),G495,INDEX($G$4:$G$603,($L$5-1))))</f>
        <v/>
      </c>
      <c r="S495" s="25">
        <f>IF(($L$5-2)&lt;1,"",IF(492&lt;=($L$5-2),H495,INDEX($H$4:$H$603,($L$5-2))))</f>
        <v/>
      </c>
      <c r="T495" s="25">
        <f>IF(($L$5-2)&lt;1,"",IF(492&lt;=($L$5-2),I495,INDEX($I$4:$I$603,($L$5-2))))</f>
        <v/>
      </c>
    </row>
    <row r="496">
      <c r="A496" s="43" t="n"/>
      <c r="B496" s="43" t="n"/>
      <c r="C496" s="37">
        <f>IF(OR(A496="",A497=""),"",A497-A496)</f>
        <v/>
      </c>
      <c r="D496" s="37">
        <f>IF(C496="","",B497-B496)</f>
        <v/>
      </c>
      <c r="E496" s="37">
        <f>IF(C496="","",(A496+A497)/2)</f>
        <v/>
      </c>
      <c r="F496" s="25">
        <f>IF(OR(C496="",C496=0),"",D496/C496)</f>
        <v/>
      </c>
      <c r="G496" s="25">
        <f>IF(C496="","",D496/$L$6)</f>
        <v/>
      </c>
      <c r="H496" s="37">
        <f>IF(OR(F496="",F497=""),"",(E496+E497)/2)</f>
        <v/>
      </c>
      <c r="I496" s="25">
        <f>IF(H496="","",(F497-F496)/(E497-E496))</f>
        <v/>
      </c>
      <c r="P496" s="25">
        <f>IF(($L$5-1)&lt;1,"",IF(493&lt;=($L$5-1),E496,INDEX($E$4:$E$603,($L$5-1))))</f>
        <v/>
      </c>
      <c r="Q496" s="25">
        <f>IF(($L$5-1)&lt;1,"",IF(493&lt;=($L$5-1),F496,INDEX($F$4:$F$603,($L$5-1))))</f>
        <v/>
      </c>
      <c r="R496" s="25">
        <f>IF(($L$5-1)&lt;1,"",IF(493&lt;=($L$5-1),G496,INDEX($G$4:$G$603,($L$5-1))))</f>
        <v/>
      </c>
      <c r="S496" s="25">
        <f>IF(($L$5-2)&lt;1,"",IF(493&lt;=($L$5-2),H496,INDEX($H$4:$H$603,($L$5-2))))</f>
        <v/>
      </c>
      <c r="T496" s="25">
        <f>IF(($L$5-2)&lt;1,"",IF(493&lt;=($L$5-2),I496,INDEX($I$4:$I$603,($L$5-2))))</f>
        <v/>
      </c>
    </row>
    <row r="497">
      <c r="A497" s="43" t="n"/>
      <c r="B497" s="43" t="n"/>
      <c r="C497" s="37">
        <f>IF(OR(A497="",A498=""),"",A498-A497)</f>
        <v/>
      </c>
      <c r="D497" s="37">
        <f>IF(C497="","",B498-B497)</f>
        <v/>
      </c>
      <c r="E497" s="37">
        <f>IF(C497="","",(A497+A498)/2)</f>
        <v/>
      </c>
      <c r="F497" s="25">
        <f>IF(OR(C497="",C497=0),"",D497/C497)</f>
        <v/>
      </c>
      <c r="G497" s="25">
        <f>IF(C497="","",D497/$L$6)</f>
        <v/>
      </c>
      <c r="H497" s="37">
        <f>IF(OR(F497="",F498=""),"",(E497+E498)/2)</f>
        <v/>
      </c>
      <c r="I497" s="25">
        <f>IF(H497="","",(F498-F497)/(E498-E497))</f>
        <v/>
      </c>
      <c r="P497" s="25">
        <f>IF(($L$5-1)&lt;1,"",IF(494&lt;=($L$5-1),E497,INDEX($E$4:$E$603,($L$5-1))))</f>
        <v/>
      </c>
      <c r="Q497" s="25">
        <f>IF(($L$5-1)&lt;1,"",IF(494&lt;=($L$5-1),F497,INDEX($F$4:$F$603,($L$5-1))))</f>
        <v/>
      </c>
      <c r="R497" s="25">
        <f>IF(($L$5-1)&lt;1,"",IF(494&lt;=($L$5-1),G497,INDEX($G$4:$G$603,($L$5-1))))</f>
        <v/>
      </c>
      <c r="S497" s="25">
        <f>IF(($L$5-2)&lt;1,"",IF(494&lt;=($L$5-2),H497,INDEX($H$4:$H$603,($L$5-2))))</f>
        <v/>
      </c>
      <c r="T497" s="25">
        <f>IF(($L$5-2)&lt;1,"",IF(494&lt;=($L$5-2),I497,INDEX($I$4:$I$603,($L$5-2))))</f>
        <v/>
      </c>
    </row>
    <row r="498">
      <c r="A498" s="43" t="n"/>
      <c r="B498" s="43" t="n"/>
      <c r="C498" s="37">
        <f>IF(OR(A498="",A499=""),"",A499-A498)</f>
        <v/>
      </c>
      <c r="D498" s="37">
        <f>IF(C498="","",B499-B498)</f>
        <v/>
      </c>
      <c r="E498" s="37">
        <f>IF(C498="","",(A498+A499)/2)</f>
        <v/>
      </c>
      <c r="F498" s="25">
        <f>IF(OR(C498="",C498=0),"",D498/C498)</f>
        <v/>
      </c>
      <c r="G498" s="25">
        <f>IF(C498="","",D498/$L$6)</f>
        <v/>
      </c>
      <c r="H498" s="37">
        <f>IF(OR(F498="",F499=""),"",(E498+E499)/2)</f>
        <v/>
      </c>
      <c r="I498" s="25">
        <f>IF(H498="","",(F499-F498)/(E499-E498))</f>
        <v/>
      </c>
      <c r="P498" s="25">
        <f>IF(($L$5-1)&lt;1,"",IF(495&lt;=($L$5-1),E498,INDEX($E$4:$E$603,($L$5-1))))</f>
        <v/>
      </c>
      <c r="Q498" s="25">
        <f>IF(($L$5-1)&lt;1,"",IF(495&lt;=($L$5-1),F498,INDEX($F$4:$F$603,($L$5-1))))</f>
        <v/>
      </c>
      <c r="R498" s="25">
        <f>IF(($L$5-1)&lt;1,"",IF(495&lt;=($L$5-1),G498,INDEX($G$4:$G$603,($L$5-1))))</f>
        <v/>
      </c>
      <c r="S498" s="25">
        <f>IF(($L$5-2)&lt;1,"",IF(495&lt;=($L$5-2),H498,INDEX($H$4:$H$603,($L$5-2))))</f>
        <v/>
      </c>
      <c r="T498" s="25">
        <f>IF(($L$5-2)&lt;1,"",IF(495&lt;=($L$5-2),I498,INDEX($I$4:$I$603,($L$5-2))))</f>
        <v/>
      </c>
    </row>
    <row r="499">
      <c r="A499" s="43" t="n"/>
      <c r="B499" s="43" t="n"/>
      <c r="C499" s="37">
        <f>IF(OR(A499="",A500=""),"",A500-A499)</f>
        <v/>
      </c>
      <c r="D499" s="37">
        <f>IF(C499="","",B500-B499)</f>
        <v/>
      </c>
      <c r="E499" s="37">
        <f>IF(C499="","",(A499+A500)/2)</f>
        <v/>
      </c>
      <c r="F499" s="25">
        <f>IF(OR(C499="",C499=0),"",D499/C499)</f>
        <v/>
      </c>
      <c r="G499" s="25">
        <f>IF(C499="","",D499/$L$6)</f>
        <v/>
      </c>
      <c r="H499" s="37">
        <f>IF(OR(F499="",F500=""),"",(E499+E500)/2)</f>
        <v/>
      </c>
      <c r="I499" s="25">
        <f>IF(H499="","",(F500-F499)/(E500-E499))</f>
        <v/>
      </c>
      <c r="P499" s="25">
        <f>IF(($L$5-1)&lt;1,"",IF(496&lt;=($L$5-1),E499,INDEX($E$4:$E$603,($L$5-1))))</f>
        <v/>
      </c>
      <c r="Q499" s="25">
        <f>IF(($L$5-1)&lt;1,"",IF(496&lt;=($L$5-1),F499,INDEX($F$4:$F$603,($L$5-1))))</f>
        <v/>
      </c>
      <c r="R499" s="25">
        <f>IF(($L$5-1)&lt;1,"",IF(496&lt;=($L$5-1),G499,INDEX($G$4:$G$603,($L$5-1))))</f>
        <v/>
      </c>
      <c r="S499" s="25">
        <f>IF(($L$5-2)&lt;1,"",IF(496&lt;=($L$5-2),H499,INDEX($H$4:$H$603,($L$5-2))))</f>
        <v/>
      </c>
      <c r="T499" s="25">
        <f>IF(($L$5-2)&lt;1,"",IF(496&lt;=($L$5-2),I499,INDEX($I$4:$I$603,($L$5-2))))</f>
        <v/>
      </c>
    </row>
    <row r="500">
      <c r="A500" s="43" t="n"/>
      <c r="B500" s="43" t="n"/>
      <c r="C500" s="37">
        <f>IF(OR(A500="",A501=""),"",A501-A500)</f>
        <v/>
      </c>
      <c r="D500" s="37">
        <f>IF(C500="","",B501-B500)</f>
        <v/>
      </c>
      <c r="E500" s="37">
        <f>IF(C500="","",(A500+A501)/2)</f>
        <v/>
      </c>
      <c r="F500" s="25">
        <f>IF(OR(C500="",C500=0),"",D500/C500)</f>
        <v/>
      </c>
      <c r="G500" s="25">
        <f>IF(C500="","",D500/$L$6)</f>
        <v/>
      </c>
      <c r="H500" s="37">
        <f>IF(OR(F500="",F501=""),"",(E500+E501)/2)</f>
        <v/>
      </c>
      <c r="I500" s="25">
        <f>IF(H500="","",(F501-F500)/(E501-E500))</f>
        <v/>
      </c>
      <c r="P500" s="25">
        <f>IF(($L$5-1)&lt;1,"",IF(497&lt;=($L$5-1),E500,INDEX($E$4:$E$603,($L$5-1))))</f>
        <v/>
      </c>
      <c r="Q500" s="25">
        <f>IF(($L$5-1)&lt;1,"",IF(497&lt;=($L$5-1),F500,INDEX($F$4:$F$603,($L$5-1))))</f>
        <v/>
      </c>
      <c r="R500" s="25">
        <f>IF(($L$5-1)&lt;1,"",IF(497&lt;=($L$5-1),G500,INDEX($G$4:$G$603,($L$5-1))))</f>
        <v/>
      </c>
      <c r="S500" s="25">
        <f>IF(($L$5-2)&lt;1,"",IF(497&lt;=($L$5-2),H500,INDEX($H$4:$H$603,($L$5-2))))</f>
        <v/>
      </c>
      <c r="T500" s="25">
        <f>IF(($L$5-2)&lt;1,"",IF(497&lt;=($L$5-2),I500,INDEX($I$4:$I$603,($L$5-2))))</f>
        <v/>
      </c>
    </row>
    <row r="501">
      <c r="A501" s="43" t="n"/>
      <c r="B501" s="43" t="n"/>
      <c r="C501" s="37">
        <f>IF(OR(A501="",A502=""),"",A502-A501)</f>
        <v/>
      </c>
      <c r="D501" s="37">
        <f>IF(C501="","",B502-B501)</f>
        <v/>
      </c>
      <c r="E501" s="37">
        <f>IF(C501="","",(A501+A502)/2)</f>
        <v/>
      </c>
      <c r="F501" s="25">
        <f>IF(OR(C501="",C501=0),"",D501/C501)</f>
        <v/>
      </c>
      <c r="G501" s="25">
        <f>IF(C501="","",D501/$L$6)</f>
        <v/>
      </c>
      <c r="H501" s="37">
        <f>IF(OR(F501="",F502=""),"",(E501+E502)/2)</f>
        <v/>
      </c>
      <c r="I501" s="25">
        <f>IF(H501="","",(F502-F501)/(E502-E501))</f>
        <v/>
      </c>
      <c r="P501" s="25">
        <f>IF(($L$5-1)&lt;1,"",IF(498&lt;=($L$5-1),E501,INDEX($E$4:$E$603,($L$5-1))))</f>
        <v/>
      </c>
      <c r="Q501" s="25">
        <f>IF(($L$5-1)&lt;1,"",IF(498&lt;=($L$5-1),F501,INDEX($F$4:$F$603,($L$5-1))))</f>
        <v/>
      </c>
      <c r="R501" s="25">
        <f>IF(($L$5-1)&lt;1,"",IF(498&lt;=($L$5-1),G501,INDEX($G$4:$G$603,($L$5-1))))</f>
        <v/>
      </c>
      <c r="S501" s="25">
        <f>IF(($L$5-2)&lt;1,"",IF(498&lt;=($L$5-2),H501,INDEX($H$4:$H$603,($L$5-2))))</f>
        <v/>
      </c>
      <c r="T501" s="25">
        <f>IF(($L$5-2)&lt;1,"",IF(498&lt;=($L$5-2),I501,INDEX($I$4:$I$603,($L$5-2))))</f>
        <v/>
      </c>
    </row>
    <row r="502">
      <c r="A502" s="43" t="n"/>
      <c r="B502" s="43" t="n"/>
      <c r="C502" s="37">
        <f>IF(OR(A502="",A503=""),"",A503-A502)</f>
        <v/>
      </c>
      <c r="D502" s="37">
        <f>IF(C502="","",B503-B502)</f>
        <v/>
      </c>
      <c r="E502" s="37">
        <f>IF(C502="","",(A502+A503)/2)</f>
        <v/>
      </c>
      <c r="F502" s="25">
        <f>IF(OR(C502="",C502=0),"",D502/C502)</f>
        <v/>
      </c>
      <c r="G502" s="25">
        <f>IF(C502="","",D502/$L$6)</f>
        <v/>
      </c>
      <c r="H502" s="37">
        <f>IF(OR(F502="",F503=""),"",(E502+E503)/2)</f>
        <v/>
      </c>
      <c r="I502" s="25">
        <f>IF(H502="","",(F503-F502)/(E503-E502))</f>
        <v/>
      </c>
      <c r="P502" s="25">
        <f>IF(($L$5-1)&lt;1,"",IF(499&lt;=($L$5-1),E502,INDEX($E$4:$E$603,($L$5-1))))</f>
        <v/>
      </c>
      <c r="Q502" s="25">
        <f>IF(($L$5-1)&lt;1,"",IF(499&lt;=($L$5-1),F502,INDEX($F$4:$F$603,($L$5-1))))</f>
        <v/>
      </c>
      <c r="R502" s="25">
        <f>IF(($L$5-1)&lt;1,"",IF(499&lt;=($L$5-1),G502,INDEX($G$4:$G$603,($L$5-1))))</f>
        <v/>
      </c>
      <c r="S502" s="25">
        <f>IF(($L$5-2)&lt;1,"",IF(499&lt;=($L$5-2),H502,INDEX($H$4:$H$603,($L$5-2))))</f>
        <v/>
      </c>
      <c r="T502" s="25">
        <f>IF(($L$5-2)&lt;1,"",IF(499&lt;=($L$5-2),I502,INDEX($I$4:$I$603,($L$5-2))))</f>
        <v/>
      </c>
    </row>
    <row r="503">
      <c r="A503" s="43" t="n"/>
      <c r="B503" s="43" t="n"/>
      <c r="C503" s="37">
        <f>IF(OR(A503="",A504=""),"",A504-A503)</f>
        <v/>
      </c>
      <c r="D503" s="37">
        <f>IF(C503="","",B504-B503)</f>
        <v/>
      </c>
      <c r="E503" s="37">
        <f>IF(C503="","",(A503+A504)/2)</f>
        <v/>
      </c>
      <c r="F503" s="25">
        <f>IF(OR(C503="",C503=0),"",D503/C503)</f>
        <v/>
      </c>
      <c r="G503" s="25">
        <f>IF(C503="","",D503/$L$6)</f>
        <v/>
      </c>
      <c r="H503" s="37">
        <f>IF(OR(F503="",F504=""),"",(E503+E504)/2)</f>
        <v/>
      </c>
      <c r="I503" s="25">
        <f>IF(H503="","",(F504-F503)/(E504-E503))</f>
        <v/>
      </c>
      <c r="P503" s="25">
        <f>IF(($L$5-1)&lt;1,"",IF(500&lt;=($L$5-1),E503,INDEX($E$4:$E$603,($L$5-1))))</f>
        <v/>
      </c>
      <c r="Q503" s="25">
        <f>IF(($L$5-1)&lt;1,"",IF(500&lt;=($L$5-1),F503,INDEX($F$4:$F$603,($L$5-1))))</f>
        <v/>
      </c>
      <c r="R503" s="25">
        <f>IF(($L$5-1)&lt;1,"",IF(500&lt;=($L$5-1),G503,INDEX($G$4:$G$603,($L$5-1))))</f>
        <v/>
      </c>
      <c r="S503" s="25">
        <f>IF(($L$5-2)&lt;1,"",IF(500&lt;=($L$5-2),H503,INDEX($H$4:$H$603,($L$5-2))))</f>
        <v/>
      </c>
      <c r="T503" s="25">
        <f>IF(($L$5-2)&lt;1,"",IF(500&lt;=($L$5-2),I503,INDEX($I$4:$I$603,($L$5-2))))</f>
        <v/>
      </c>
    </row>
    <row r="504">
      <c r="A504" s="43" t="n"/>
      <c r="B504" s="43" t="n"/>
      <c r="C504" s="37">
        <f>IF(OR(A504="",A505=""),"",A505-A504)</f>
        <v/>
      </c>
      <c r="D504" s="37">
        <f>IF(C504="","",B505-B504)</f>
        <v/>
      </c>
      <c r="E504" s="37">
        <f>IF(C504="","",(A504+A505)/2)</f>
        <v/>
      </c>
      <c r="F504" s="25">
        <f>IF(OR(C504="",C504=0),"",D504/C504)</f>
        <v/>
      </c>
      <c r="G504" s="25">
        <f>IF(C504="","",D504/$L$6)</f>
        <v/>
      </c>
      <c r="H504" s="37">
        <f>IF(OR(F504="",F505=""),"",(E504+E505)/2)</f>
        <v/>
      </c>
      <c r="I504" s="25">
        <f>IF(H504="","",(F505-F504)/(E505-E504))</f>
        <v/>
      </c>
      <c r="P504" s="25">
        <f>IF(($L$5-1)&lt;1,"",IF(501&lt;=($L$5-1),E504,INDEX($E$4:$E$603,($L$5-1))))</f>
        <v/>
      </c>
      <c r="Q504" s="25">
        <f>IF(($L$5-1)&lt;1,"",IF(501&lt;=($L$5-1),F504,INDEX($F$4:$F$603,($L$5-1))))</f>
        <v/>
      </c>
      <c r="R504" s="25">
        <f>IF(($L$5-1)&lt;1,"",IF(501&lt;=($L$5-1),G504,INDEX($G$4:$G$603,($L$5-1))))</f>
        <v/>
      </c>
      <c r="S504" s="25">
        <f>IF(($L$5-2)&lt;1,"",IF(501&lt;=($L$5-2),H504,INDEX($H$4:$H$603,($L$5-2))))</f>
        <v/>
      </c>
      <c r="T504" s="25">
        <f>IF(($L$5-2)&lt;1,"",IF(501&lt;=($L$5-2),I504,INDEX($I$4:$I$603,($L$5-2))))</f>
        <v/>
      </c>
    </row>
    <row r="505">
      <c r="A505" s="43" t="n"/>
      <c r="B505" s="43" t="n"/>
      <c r="C505" s="37">
        <f>IF(OR(A505="",A506=""),"",A506-A505)</f>
        <v/>
      </c>
      <c r="D505" s="37">
        <f>IF(C505="","",B506-B505)</f>
        <v/>
      </c>
      <c r="E505" s="37">
        <f>IF(C505="","",(A505+A506)/2)</f>
        <v/>
      </c>
      <c r="F505" s="25">
        <f>IF(OR(C505="",C505=0),"",D505/C505)</f>
        <v/>
      </c>
      <c r="G505" s="25">
        <f>IF(C505="","",D505/$L$6)</f>
        <v/>
      </c>
      <c r="H505" s="37">
        <f>IF(OR(F505="",F506=""),"",(E505+E506)/2)</f>
        <v/>
      </c>
      <c r="I505" s="25">
        <f>IF(H505="","",(F506-F505)/(E506-E505))</f>
        <v/>
      </c>
      <c r="P505" s="25">
        <f>IF(($L$5-1)&lt;1,"",IF(502&lt;=($L$5-1),E505,INDEX($E$4:$E$603,($L$5-1))))</f>
        <v/>
      </c>
      <c r="Q505" s="25">
        <f>IF(($L$5-1)&lt;1,"",IF(502&lt;=($L$5-1),F505,INDEX($F$4:$F$603,($L$5-1))))</f>
        <v/>
      </c>
      <c r="R505" s="25">
        <f>IF(($L$5-1)&lt;1,"",IF(502&lt;=($L$5-1),G505,INDEX($G$4:$G$603,($L$5-1))))</f>
        <v/>
      </c>
      <c r="S505" s="25">
        <f>IF(($L$5-2)&lt;1,"",IF(502&lt;=($L$5-2),H505,INDEX($H$4:$H$603,($L$5-2))))</f>
        <v/>
      </c>
      <c r="T505" s="25">
        <f>IF(($L$5-2)&lt;1,"",IF(502&lt;=($L$5-2),I505,INDEX($I$4:$I$603,($L$5-2))))</f>
        <v/>
      </c>
    </row>
    <row r="506">
      <c r="A506" s="43" t="n"/>
      <c r="B506" s="43" t="n"/>
      <c r="C506" s="37">
        <f>IF(OR(A506="",A507=""),"",A507-A506)</f>
        <v/>
      </c>
      <c r="D506" s="37">
        <f>IF(C506="","",B507-B506)</f>
        <v/>
      </c>
      <c r="E506" s="37">
        <f>IF(C506="","",(A506+A507)/2)</f>
        <v/>
      </c>
      <c r="F506" s="25">
        <f>IF(OR(C506="",C506=0),"",D506/C506)</f>
        <v/>
      </c>
      <c r="G506" s="25">
        <f>IF(C506="","",D506/$L$6)</f>
        <v/>
      </c>
      <c r="H506" s="37">
        <f>IF(OR(F506="",F507=""),"",(E506+E507)/2)</f>
        <v/>
      </c>
      <c r="I506" s="25">
        <f>IF(H506="","",(F507-F506)/(E507-E506))</f>
        <v/>
      </c>
      <c r="P506" s="25">
        <f>IF(($L$5-1)&lt;1,"",IF(503&lt;=($L$5-1),E506,INDEX($E$4:$E$603,($L$5-1))))</f>
        <v/>
      </c>
      <c r="Q506" s="25">
        <f>IF(($L$5-1)&lt;1,"",IF(503&lt;=($L$5-1),F506,INDEX($F$4:$F$603,($L$5-1))))</f>
        <v/>
      </c>
      <c r="R506" s="25">
        <f>IF(($L$5-1)&lt;1,"",IF(503&lt;=($L$5-1),G506,INDEX($G$4:$G$603,($L$5-1))))</f>
        <v/>
      </c>
      <c r="S506" s="25">
        <f>IF(($L$5-2)&lt;1,"",IF(503&lt;=($L$5-2),H506,INDEX($H$4:$H$603,($L$5-2))))</f>
        <v/>
      </c>
      <c r="T506" s="25">
        <f>IF(($L$5-2)&lt;1,"",IF(503&lt;=($L$5-2),I506,INDEX($I$4:$I$603,($L$5-2))))</f>
        <v/>
      </c>
    </row>
    <row r="507">
      <c r="A507" s="43" t="n"/>
      <c r="B507" s="43" t="n"/>
      <c r="C507" s="37">
        <f>IF(OR(A507="",A508=""),"",A508-A507)</f>
        <v/>
      </c>
      <c r="D507" s="37">
        <f>IF(C507="","",B508-B507)</f>
        <v/>
      </c>
      <c r="E507" s="37">
        <f>IF(C507="","",(A507+A508)/2)</f>
        <v/>
      </c>
      <c r="F507" s="25">
        <f>IF(OR(C507="",C507=0),"",D507/C507)</f>
        <v/>
      </c>
      <c r="G507" s="25">
        <f>IF(C507="","",D507/$L$6)</f>
        <v/>
      </c>
      <c r="H507" s="37">
        <f>IF(OR(F507="",F508=""),"",(E507+E508)/2)</f>
        <v/>
      </c>
      <c r="I507" s="25">
        <f>IF(H507="","",(F508-F507)/(E508-E507))</f>
        <v/>
      </c>
      <c r="P507" s="25">
        <f>IF(($L$5-1)&lt;1,"",IF(504&lt;=($L$5-1),E507,INDEX($E$4:$E$603,($L$5-1))))</f>
        <v/>
      </c>
      <c r="Q507" s="25">
        <f>IF(($L$5-1)&lt;1,"",IF(504&lt;=($L$5-1),F507,INDEX($F$4:$F$603,($L$5-1))))</f>
        <v/>
      </c>
      <c r="R507" s="25">
        <f>IF(($L$5-1)&lt;1,"",IF(504&lt;=($L$5-1),G507,INDEX($G$4:$G$603,($L$5-1))))</f>
        <v/>
      </c>
      <c r="S507" s="25">
        <f>IF(($L$5-2)&lt;1,"",IF(504&lt;=($L$5-2),H507,INDEX($H$4:$H$603,($L$5-2))))</f>
        <v/>
      </c>
      <c r="T507" s="25">
        <f>IF(($L$5-2)&lt;1,"",IF(504&lt;=($L$5-2),I507,INDEX($I$4:$I$603,($L$5-2))))</f>
        <v/>
      </c>
    </row>
    <row r="508">
      <c r="A508" s="43" t="n"/>
      <c r="B508" s="43" t="n"/>
      <c r="C508" s="37">
        <f>IF(OR(A508="",A509=""),"",A509-A508)</f>
        <v/>
      </c>
      <c r="D508" s="37">
        <f>IF(C508="","",B509-B508)</f>
        <v/>
      </c>
      <c r="E508" s="37">
        <f>IF(C508="","",(A508+A509)/2)</f>
        <v/>
      </c>
      <c r="F508" s="25">
        <f>IF(OR(C508="",C508=0),"",D508/C508)</f>
        <v/>
      </c>
      <c r="G508" s="25">
        <f>IF(C508="","",D508/$L$6)</f>
        <v/>
      </c>
      <c r="H508" s="37">
        <f>IF(OR(F508="",F509=""),"",(E508+E509)/2)</f>
        <v/>
      </c>
      <c r="I508" s="25">
        <f>IF(H508="","",(F509-F508)/(E509-E508))</f>
        <v/>
      </c>
      <c r="P508" s="25">
        <f>IF(($L$5-1)&lt;1,"",IF(505&lt;=($L$5-1),E508,INDEX($E$4:$E$603,($L$5-1))))</f>
        <v/>
      </c>
      <c r="Q508" s="25">
        <f>IF(($L$5-1)&lt;1,"",IF(505&lt;=($L$5-1),F508,INDEX($F$4:$F$603,($L$5-1))))</f>
        <v/>
      </c>
      <c r="R508" s="25">
        <f>IF(($L$5-1)&lt;1,"",IF(505&lt;=($L$5-1),G508,INDEX($G$4:$G$603,($L$5-1))))</f>
        <v/>
      </c>
      <c r="S508" s="25">
        <f>IF(($L$5-2)&lt;1,"",IF(505&lt;=($L$5-2),H508,INDEX($H$4:$H$603,($L$5-2))))</f>
        <v/>
      </c>
      <c r="T508" s="25">
        <f>IF(($L$5-2)&lt;1,"",IF(505&lt;=($L$5-2),I508,INDEX($I$4:$I$603,($L$5-2))))</f>
        <v/>
      </c>
    </row>
    <row r="509">
      <c r="A509" s="43" t="n"/>
      <c r="B509" s="43" t="n"/>
      <c r="C509" s="37">
        <f>IF(OR(A509="",A510=""),"",A510-A509)</f>
        <v/>
      </c>
      <c r="D509" s="37">
        <f>IF(C509="","",B510-B509)</f>
        <v/>
      </c>
      <c r="E509" s="37">
        <f>IF(C509="","",(A509+A510)/2)</f>
        <v/>
      </c>
      <c r="F509" s="25">
        <f>IF(OR(C509="",C509=0),"",D509/C509)</f>
        <v/>
      </c>
      <c r="G509" s="25">
        <f>IF(C509="","",D509/$L$6)</f>
        <v/>
      </c>
      <c r="H509" s="37">
        <f>IF(OR(F509="",F510=""),"",(E509+E510)/2)</f>
        <v/>
      </c>
      <c r="I509" s="25">
        <f>IF(H509="","",(F510-F509)/(E510-E509))</f>
        <v/>
      </c>
      <c r="P509" s="25">
        <f>IF(($L$5-1)&lt;1,"",IF(506&lt;=($L$5-1),E509,INDEX($E$4:$E$603,($L$5-1))))</f>
        <v/>
      </c>
      <c r="Q509" s="25">
        <f>IF(($L$5-1)&lt;1,"",IF(506&lt;=($L$5-1),F509,INDEX($F$4:$F$603,($L$5-1))))</f>
        <v/>
      </c>
      <c r="R509" s="25">
        <f>IF(($L$5-1)&lt;1,"",IF(506&lt;=($L$5-1),G509,INDEX($G$4:$G$603,($L$5-1))))</f>
        <v/>
      </c>
      <c r="S509" s="25">
        <f>IF(($L$5-2)&lt;1,"",IF(506&lt;=($L$5-2),H509,INDEX($H$4:$H$603,($L$5-2))))</f>
        <v/>
      </c>
      <c r="T509" s="25">
        <f>IF(($L$5-2)&lt;1,"",IF(506&lt;=($L$5-2),I509,INDEX($I$4:$I$603,($L$5-2))))</f>
        <v/>
      </c>
    </row>
    <row r="510">
      <c r="A510" s="43" t="n"/>
      <c r="B510" s="43" t="n"/>
      <c r="C510" s="37">
        <f>IF(OR(A510="",A511=""),"",A511-A510)</f>
        <v/>
      </c>
      <c r="D510" s="37">
        <f>IF(C510="","",B511-B510)</f>
        <v/>
      </c>
      <c r="E510" s="37">
        <f>IF(C510="","",(A510+A511)/2)</f>
        <v/>
      </c>
      <c r="F510" s="25">
        <f>IF(OR(C510="",C510=0),"",D510/C510)</f>
        <v/>
      </c>
      <c r="G510" s="25">
        <f>IF(C510="","",D510/$L$6)</f>
        <v/>
      </c>
      <c r="H510" s="37">
        <f>IF(OR(F510="",F511=""),"",(E510+E511)/2)</f>
        <v/>
      </c>
      <c r="I510" s="25">
        <f>IF(H510="","",(F511-F510)/(E511-E510))</f>
        <v/>
      </c>
      <c r="P510" s="25">
        <f>IF(($L$5-1)&lt;1,"",IF(507&lt;=($L$5-1),E510,INDEX($E$4:$E$603,($L$5-1))))</f>
        <v/>
      </c>
      <c r="Q510" s="25">
        <f>IF(($L$5-1)&lt;1,"",IF(507&lt;=($L$5-1),F510,INDEX($F$4:$F$603,($L$5-1))))</f>
        <v/>
      </c>
      <c r="R510" s="25">
        <f>IF(($L$5-1)&lt;1,"",IF(507&lt;=($L$5-1),G510,INDEX($G$4:$G$603,($L$5-1))))</f>
        <v/>
      </c>
      <c r="S510" s="25">
        <f>IF(($L$5-2)&lt;1,"",IF(507&lt;=($L$5-2),H510,INDEX($H$4:$H$603,($L$5-2))))</f>
        <v/>
      </c>
      <c r="T510" s="25">
        <f>IF(($L$5-2)&lt;1,"",IF(507&lt;=($L$5-2),I510,INDEX($I$4:$I$603,($L$5-2))))</f>
        <v/>
      </c>
    </row>
    <row r="511">
      <c r="A511" s="43" t="n"/>
      <c r="B511" s="43" t="n"/>
      <c r="C511" s="37">
        <f>IF(OR(A511="",A512=""),"",A512-A511)</f>
        <v/>
      </c>
      <c r="D511" s="37">
        <f>IF(C511="","",B512-B511)</f>
        <v/>
      </c>
      <c r="E511" s="37">
        <f>IF(C511="","",(A511+A512)/2)</f>
        <v/>
      </c>
      <c r="F511" s="25">
        <f>IF(OR(C511="",C511=0),"",D511/C511)</f>
        <v/>
      </c>
      <c r="G511" s="25">
        <f>IF(C511="","",D511/$L$6)</f>
        <v/>
      </c>
      <c r="H511" s="37">
        <f>IF(OR(F511="",F512=""),"",(E511+E512)/2)</f>
        <v/>
      </c>
      <c r="I511" s="25">
        <f>IF(H511="","",(F512-F511)/(E512-E511))</f>
        <v/>
      </c>
      <c r="P511" s="25">
        <f>IF(($L$5-1)&lt;1,"",IF(508&lt;=($L$5-1),E511,INDEX($E$4:$E$603,($L$5-1))))</f>
        <v/>
      </c>
      <c r="Q511" s="25">
        <f>IF(($L$5-1)&lt;1,"",IF(508&lt;=($L$5-1),F511,INDEX($F$4:$F$603,($L$5-1))))</f>
        <v/>
      </c>
      <c r="R511" s="25">
        <f>IF(($L$5-1)&lt;1,"",IF(508&lt;=($L$5-1),G511,INDEX($G$4:$G$603,($L$5-1))))</f>
        <v/>
      </c>
      <c r="S511" s="25">
        <f>IF(($L$5-2)&lt;1,"",IF(508&lt;=($L$5-2),H511,INDEX($H$4:$H$603,($L$5-2))))</f>
        <v/>
      </c>
      <c r="T511" s="25">
        <f>IF(($L$5-2)&lt;1,"",IF(508&lt;=($L$5-2),I511,INDEX($I$4:$I$603,($L$5-2))))</f>
        <v/>
      </c>
    </row>
    <row r="512">
      <c r="A512" s="43" t="n"/>
      <c r="B512" s="43" t="n"/>
      <c r="C512" s="37">
        <f>IF(OR(A512="",A513=""),"",A513-A512)</f>
        <v/>
      </c>
      <c r="D512" s="37">
        <f>IF(C512="","",B513-B512)</f>
        <v/>
      </c>
      <c r="E512" s="37">
        <f>IF(C512="","",(A512+A513)/2)</f>
        <v/>
      </c>
      <c r="F512" s="25">
        <f>IF(OR(C512="",C512=0),"",D512/C512)</f>
        <v/>
      </c>
      <c r="G512" s="25">
        <f>IF(C512="","",D512/$L$6)</f>
        <v/>
      </c>
      <c r="H512" s="37">
        <f>IF(OR(F512="",F513=""),"",(E512+E513)/2)</f>
        <v/>
      </c>
      <c r="I512" s="25">
        <f>IF(H512="","",(F513-F512)/(E513-E512))</f>
        <v/>
      </c>
      <c r="P512" s="25">
        <f>IF(($L$5-1)&lt;1,"",IF(509&lt;=($L$5-1),E512,INDEX($E$4:$E$603,($L$5-1))))</f>
        <v/>
      </c>
      <c r="Q512" s="25">
        <f>IF(($L$5-1)&lt;1,"",IF(509&lt;=($L$5-1),F512,INDEX($F$4:$F$603,($L$5-1))))</f>
        <v/>
      </c>
      <c r="R512" s="25">
        <f>IF(($L$5-1)&lt;1,"",IF(509&lt;=($L$5-1),G512,INDEX($G$4:$G$603,($L$5-1))))</f>
        <v/>
      </c>
      <c r="S512" s="25">
        <f>IF(($L$5-2)&lt;1,"",IF(509&lt;=($L$5-2),H512,INDEX($H$4:$H$603,($L$5-2))))</f>
        <v/>
      </c>
      <c r="T512" s="25">
        <f>IF(($L$5-2)&lt;1,"",IF(509&lt;=($L$5-2),I512,INDEX($I$4:$I$603,($L$5-2))))</f>
        <v/>
      </c>
    </row>
    <row r="513">
      <c r="A513" s="43" t="n"/>
      <c r="B513" s="43" t="n"/>
      <c r="C513" s="37">
        <f>IF(OR(A513="",A514=""),"",A514-A513)</f>
        <v/>
      </c>
      <c r="D513" s="37">
        <f>IF(C513="","",B514-B513)</f>
        <v/>
      </c>
      <c r="E513" s="37">
        <f>IF(C513="","",(A513+A514)/2)</f>
        <v/>
      </c>
      <c r="F513" s="25">
        <f>IF(OR(C513="",C513=0),"",D513/C513)</f>
        <v/>
      </c>
      <c r="G513" s="25">
        <f>IF(C513="","",D513/$L$6)</f>
        <v/>
      </c>
      <c r="H513" s="37">
        <f>IF(OR(F513="",F514=""),"",(E513+E514)/2)</f>
        <v/>
      </c>
      <c r="I513" s="25">
        <f>IF(H513="","",(F514-F513)/(E514-E513))</f>
        <v/>
      </c>
      <c r="P513" s="25">
        <f>IF(($L$5-1)&lt;1,"",IF(510&lt;=($L$5-1),E513,INDEX($E$4:$E$603,($L$5-1))))</f>
        <v/>
      </c>
      <c r="Q513" s="25">
        <f>IF(($L$5-1)&lt;1,"",IF(510&lt;=($L$5-1),F513,INDEX($F$4:$F$603,($L$5-1))))</f>
        <v/>
      </c>
      <c r="R513" s="25">
        <f>IF(($L$5-1)&lt;1,"",IF(510&lt;=($L$5-1),G513,INDEX($G$4:$G$603,($L$5-1))))</f>
        <v/>
      </c>
      <c r="S513" s="25">
        <f>IF(($L$5-2)&lt;1,"",IF(510&lt;=($L$5-2),H513,INDEX($H$4:$H$603,($L$5-2))))</f>
        <v/>
      </c>
      <c r="T513" s="25">
        <f>IF(($L$5-2)&lt;1,"",IF(510&lt;=($L$5-2),I513,INDEX($I$4:$I$603,($L$5-2))))</f>
        <v/>
      </c>
    </row>
    <row r="514">
      <c r="A514" s="43" t="n"/>
      <c r="B514" s="43" t="n"/>
      <c r="C514" s="37">
        <f>IF(OR(A514="",A515=""),"",A515-A514)</f>
        <v/>
      </c>
      <c r="D514" s="37">
        <f>IF(C514="","",B515-B514)</f>
        <v/>
      </c>
      <c r="E514" s="37">
        <f>IF(C514="","",(A514+A515)/2)</f>
        <v/>
      </c>
      <c r="F514" s="25">
        <f>IF(OR(C514="",C514=0),"",D514/C514)</f>
        <v/>
      </c>
      <c r="G514" s="25">
        <f>IF(C514="","",D514/$L$6)</f>
        <v/>
      </c>
      <c r="H514" s="37">
        <f>IF(OR(F514="",F515=""),"",(E514+E515)/2)</f>
        <v/>
      </c>
      <c r="I514" s="25">
        <f>IF(H514="","",(F515-F514)/(E515-E514))</f>
        <v/>
      </c>
      <c r="P514" s="25">
        <f>IF(($L$5-1)&lt;1,"",IF(511&lt;=($L$5-1),E514,INDEX($E$4:$E$603,($L$5-1))))</f>
        <v/>
      </c>
      <c r="Q514" s="25">
        <f>IF(($L$5-1)&lt;1,"",IF(511&lt;=($L$5-1),F514,INDEX($F$4:$F$603,($L$5-1))))</f>
        <v/>
      </c>
      <c r="R514" s="25">
        <f>IF(($L$5-1)&lt;1,"",IF(511&lt;=($L$5-1),G514,INDEX($G$4:$G$603,($L$5-1))))</f>
        <v/>
      </c>
      <c r="S514" s="25">
        <f>IF(($L$5-2)&lt;1,"",IF(511&lt;=($L$5-2),H514,INDEX($H$4:$H$603,($L$5-2))))</f>
        <v/>
      </c>
      <c r="T514" s="25">
        <f>IF(($L$5-2)&lt;1,"",IF(511&lt;=($L$5-2),I514,INDEX($I$4:$I$603,($L$5-2))))</f>
        <v/>
      </c>
    </row>
    <row r="515">
      <c r="A515" s="43" t="n"/>
      <c r="B515" s="43" t="n"/>
      <c r="C515" s="37">
        <f>IF(OR(A515="",A516=""),"",A516-A515)</f>
        <v/>
      </c>
      <c r="D515" s="37">
        <f>IF(C515="","",B516-B515)</f>
        <v/>
      </c>
      <c r="E515" s="37">
        <f>IF(C515="","",(A515+A516)/2)</f>
        <v/>
      </c>
      <c r="F515" s="25">
        <f>IF(OR(C515="",C515=0),"",D515/C515)</f>
        <v/>
      </c>
      <c r="G515" s="25">
        <f>IF(C515="","",D515/$L$6)</f>
        <v/>
      </c>
      <c r="H515" s="37">
        <f>IF(OR(F515="",F516=""),"",(E515+E516)/2)</f>
        <v/>
      </c>
      <c r="I515" s="25">
        <f>IF(H515="","",(F516-F515)/(E516-E515))</f>
        <v/>
      </c>
      <c r="P515" s="25">
        <f>IF(($L$5-1)&lt;1,"",IF(512&lt;=($L$5-1),E515,INDEX($E$4:$E$603,($L$5-1))))</f>
        <v/>
      </c>
      <c r="Q515" s="25">
        <f>IF(($L$5-1)&lt;1,"",IF(512&lt;=($L$5-1),F515,INDEX($F$4:$F$603,($L$5-1))))</f>
        <v/>
      </c>
      <c r="R515" s="25">
        <f>IF(($L$5-1)&lt;1,"",IF(512&lt;=($L$5-1),G515,INDEX($G$4:$G$603,($L$5-1))))</f>
        <v/>
      </c>
      <c r="S515" s="25">
        <f>IF(($L$5-2)&lt;1,"",IF(512&lt;=($L$5-2),H515,INDEX($H$4:$H$603,($L$5-2))))</f>
        <v/>
      </c>
      <c r="T515" s="25">
        <f>IF(($L$5-2)&lt;1,"",IF(512&lt;=($L$5-2),I515,INDEX($I$4:$I$603,($L$5-2))))</f>
        <v/>
      </c>
    </row>
    <row r="516">
      <c r="A516" s="43" t="n"/>
      <c r="B516" s="43" t="n"/>
      <c r="C516" s="37">
        <f>IF(OR(A516="",A517=""),"",A517-A516)</f>
        <v/>
      </c>
      <c r="D516" s="37">
        <f>IF(C516="","",B517-B516)</f>
        <v/>
      </c>
      <c r="E516" s="37">
        <f>IF(C516="","",(A516+A517)/2)</f>
        <v/>
      </c>
      <c r="F516" s="25">
        <f>IF(OR(C516="",C516=0),"",D516/C516)</f>
        <v/>
      </c>
      <c r="G516" s="25">
        <f>IF(C516="","",D516/$L$6)</f>
        <v/>
      </c>
      <c r="H516" s="37">
        <f>IF(OR(F516="",F517=""),"",(E516+E517)/2)</f>
        <v/>
      </c>
      <c r="I516" s="25">
        <f>IF(H516="","",(F517-F516)/(E517-E516))</f>
        <v/>
      </c>
      <c r="P516" s="25">
        <f>IF(($L$5-1)&lt;1,"",IF(513&lt;=($L$5-1),E516,INDEX($E$4:$E$603,($L$5-1))))</f>
        <v/>
      </c>
      <c r="Q516" s="25">
        <f>IF(($L$5-1)&lt;1,"",IF(513&lt;=($L$5-1),F516,INDEX($F$4:$F$603,($L$5-1))))</f>
        <v/>
      </c>
      <c r="R516" s="25">
        <f>IF(($L$5-1)&lt;1,"",IF(513&lt;=($L$5-1),G516,INDEX($G$4:$G$603,($L$5-1))))</f>
        <v/>
      </c>
      <c r="S516" s="25">
        <f>IF(($L$5-2)&lt;1,"",IF(513&lt;=($L$5-2),H516,INDEX($H$4:$H$603,($L$5-2))))</f>
        <v/>
      </c>
      <c r="T516" s="25">
        <f>IF(($L$5-2)&lt;1,"",IF(513&lt;=($L$5-2),I516,INDEX($I$4:$I$603,($L$5-2))))</f>
        <v/>
      </c>
    </row>
    <row r="517">
      <c r="A517" s="43" t="n"/>
      <c r="B517" s="43" t="n"/>
      <c r="C517" s="37">
        <f>IF(OR(A517="",A518=""),"",A518-A517)</f>
        <v/>
      </c>
      <c r="D517" s="37">
        <f>IF(C517="","",B518-B517)</f>
        <v/>
      </c>
      <c r="E517" s="37">
        <f>IF(C517="","",(A517+A518)/2)</f>
        <v/>
      </c>
      <c r="F517" s="25">
        <f>IF(OR(C517="",C517=0),"",D517/C517)</f>
        <v/>
      </c>
      <c r="G517" s="25">
        <f>IF(C517="","",D517/$L$6)</f>
        <v/>
      </c>
      <c r="H517" s="37">
        <f>IF(OR(F517="",F518=""),"",(E517+E518)/2)</f>
        <v/>
      </c>
      <c r="I517" s="25">
        <f>IF(H517="","",(F518-F517)/(E518-E517))</f>
        <v/>
      </c>
      <c r="P517" s="25">
        <f>IF(($L$5-1)&lt;1,"",IF(514&lt;=($L$5-1),E517,INDEX($E$4:$E$603,($L$5-1))))</f>
        <v/>
      </c>
      <c r="Q517" s="25">
        <f>IF(($L$5-1)&lt;1,"",IF(514&lt;=($L$5-1),F517,INDEX($F$4:$F$603,($L$5-1))))</f>
        <v/>
      </c>
      <c r="R517" s="25">
        <f>IF(($L$5-1)&lt;1,"",IF(514&lt;=($L$5-1),G517,INDEX($G$4:$G$603,($L$5-1))))</f>
        <v/>
      </c>
      <c r="S517" s="25">
        <f>IF(($L$5-2)&lt;1,"",IF(514&lt;=($L$5-2),H517,INDEX($H$4:$H$603,($L$5-2))))</f>
        <v/>
      </c>
      <c r="T517" s="25">
        <f>IF(($L$5-2)&lt;1,"",IF(514&lt;=($L$5-2),I517,INDEX($I$4:$I$603,($L$5-2))))</f>
        <v/>
      </c>
    </row>
    <row r="518">
      <c r="A518" s="43" t="n"/>
      <c r="B518" s="43" t="n"/>
      <c r="C518" s="37">
        <f>IF(OR(A518="",A519=""),"",A519-A518)</f>
        <v/>
      </c>
      <c r="D518" s="37">
        <f>IF(C518="","",B519-B518)</f>
        <v/>
      </c>
      <c r="E518" s="37">
        <f>IF(C518="","",(A518+A519)/2)</f>
        <v/>
      </c>
      <c r="F518" s="25">
        <f>IF(OR(C518="",C518=0),"",D518/C518)</f>
        <v/>
      </c>
      <c r="G518" s="25">
        <f>IF(C518="","",D518/$L$6)</f>
        <v/>
      </c>
      <c r="H518" s="37">
        <f>IF(OR(F518="",F519=""),"",(E518+E519)/2)</f>
        <v/>
      </c>
      <c r="I518" s="25">
        <f>IF(H518="","",(F519-F518)/(E519-E518))</f>
        <v/>
      </c>
      <c r="P518" s="25">
        <f>IF(($L$5-1)&lt;1,"",IF(515&lt;=($L$5-1),E518,INDEX($E$4:$E$603,($L$5-1))))</f>
        <v/>
      </c>
      <c r="Q518" s="25">
        <f>IF(($L$5-1)&lt;1,"",IF(515&lt;=($L$5-1),F518,INDEX($F$4:$F$603,($L$5-1))))</f>
        <v/>
      </c>
      <c r="R518" s="25">
        <f>IF(($L$5-1)&lt;1,"",IF(515&lt;=($L$5-1),G518,INDEX($G$4:$G$603,($L$5-1))))</f>
        <v/>
      </c>
      <c r="S518" s="25">
        <f>IF(($L$5-2)&lt;1,"",IF(515&lt;=($L$5-2),H518,INDEX($H$4:$H$603,($L$5-2))))</f>
        <v/>
      </c>
      <c r="T518" s="25">
        <f>IF(($L$5-2)&lt;1,"",IF(515&lt;=($L$5-2),I518,INDEX($I$4:$I$603,($L$5-2))))</f>
        <v/>
      </c>
    </row>
    <row r="519">
      <c r="A519" s="43" t="n"/>
      <c r="B519" s="43" t="n"/>
      <c r="C519" s="37">
        <f>IF(OR(A519="",A520=""),"",A520-A519)</f>
        <v/>
      </c>
      <c r="D519" s="37">
        <f>IF(C519="","",B520-B519)</f>
        <v/>
      </c>
      <c r="E519" s="37">
        <f>IF(C519="","",(A519+A520)/2)</f>
        <v/>
      </c>
      <c r="F519" s="25">
        <f>IF(OR(C519="",C519=0),"",D519/C519)</f>
        <v/>
      </c>
      <c r="G519" s="25">
        <f>IF(C519="","",D519/$L$6)</f>
        <v/>
      </c>
      <c r="H519" s="37">
        <f>IF(OR(F519="",F520=""),"",(E519+E520)/2)</f>
        <v/>
      </c>
      <c r="I519" s="25">
        <f>IF(H519="","",(F520-F519)/(E520-E519))</f>
        <v/>
      </c>
      <c r="P519" s="25">
        <f>IF(($L$5-1)&lt;1,"",IF(516&lt;=($L$5-1),E519,INDEX($E$4:$E$603,($L$5-1))))</f>
        <v/>
      </c>
      <c r="Q519" s="25">
        <f>IF(($L$5-1)&lt;1,"",IF(516&lt;=($L$5-1),F519,INDEX($F$4:$F$603,($L$5-1))))</f>
        <v/>
      </c>
      <c r="R519" s="25">
        <f>IF(($L$5-1)&lt;1,"",IF(516&lt;=($L$5-1),G519,INDEX($G$4:$G$603,($L$5-1))))</f>
        <v/>
      </c>
      <c r="S519" s="25">
        <f>IF(($L$5-2)&lt;1,"",IF(516&lt;=($L$5-2),H519,INDEX($H$4:$H$603,($L$5-2))))</f>
        <v/>
      </c>
      <c r="T519" s="25">
        <f>IF(($L$5-2)&lt;1,"",IF(516&lt;=($L$5-2),I519,INDEX($I$4:$I$603,($L$5-2))))</f>
        <v/>
      </c>
    </row>
    <row r="520">
      <c r="A520" s="43" t="n"/>
      <c r="B520" s="43" t="n"/>
      <c r="C520" s="37">
        <f>IF(OR(A520="",A521=""),"",A521-A520)</f>
        <v/>
      </c>
      <c r="D520" s="37">
        <f>IF(C520="","",B521-B520)</f>
        <v/>
      </c>
      <c r="E520" s="37">
        <f>IF(C520="","",(A520+A521)/2)</f>
        <v/>
      </c>
      <c r="F520" s="25">
        <f>IF(OR(C520="",C520=0),"",D520/C520)</f>
        <v/>
      </c>
      <c r="G520" s="25">
        <f>IF(C520="","",D520/$L$6)</f>
        <v/>
      </c>
      <c r="H520" s="37">
        <f>IF(OR(F520="",F521=""),"",(E520+E521)/2)</f>
        <v/>
      </c>
      <c r="I520" s="25">
        <f>IF(H520="","",(F521-F520)/(E521-E520))</f>
        <v/>
      </c>
      <c r="P520" s="25">
        <f>IF(($L$5-1)&lt;1,"",IF(517&lt;=($L$5-1),E520,INDEX($E$4:$E$603,($L$5-1))))</f>
        <v/>
      </c>
      <c r="Q520" s="25">
        <f>IF(($L$5-1)&lt;1,"",IF(517&lt;=($L$5-1),F520,INDEX($F$4:$F$603,($L$5-1))))</f>
        <v/>
      </c>
      <c r="R520" s="25">
        <f>IF(($L$5-1)&lt;1,"",IF(517&lt;=($L$5-1),G520,INDEX($G$4:$G$603,($L$5-1))))</f>
        <v/>
      </c>
      <c r="S520" s="25">
        <f>IF(($L$5-2)&lt;1,"",IF(517&lt;=($L$5-2),H520,INDEX($H$4:$H$603,($L$5-2))))</f>
        <v/>
      </c>
      <c r="T520" s="25">
        <f>IF(($L$5-2)&lt;1,"",IF(517&lt;=($L$5-2),I520,INDEX($I$4:$I$603,($L$5-2))))</f>
        <v/>
      </c>
    </row>
    <row r="521">
      <c r="A521" s="43" t="n"/>
      <c r="B521" s="43" t="n"/>
      <c r="C521" s="37">
        <f>IF(OR(A521="",A522=""),"",A522-A521)</f>
        <v/>
      </c>
      <c r="D521" s="37">
        <f>IF(C521="","",B522-B521)</f>
        <v/>
      </c>
      <c r="E521" s="37">
        <f>IF(C521="","",(A521+A522)/2)</f>
        <v/>
      </c>
      <c r="F521" s="25">
        <f>IF(OR(C521="",C521=0),"",D521/C521)</f>
        <v/>
      </c>
      <c r="G521" s="25">
        <f>IF(C521="","",D521/$L$6)</f>
        <v/>
      </c>
      <c r="H521" s="37">
        <f>IF(OR(F521="",F522=""),"",(E521+E522)/2)</f>
        <v/>
      </c>
      <c r="I521" s="25">
        <f>IF(H521="","",(F522-F521)/(E522-E521))</f>
        <v/>
      </c>
      <c r="P521" s="25">
        <f>IF(($L$5-1)&lt;1,"",IF(518&lt;=($L$5-1),E521,INDEX($E$4:$E$603,($L$5-1))))</f>
        <v/>
      </c>
      <c r="Q521" s="25">
        <f>IF(($L$5-1)&lt;1,"",IF(518&lt;=($L$5-1),F521,INDEX($F$4:$F$603,($L$5-1))))</f>
        <v/>
      </c>
      <c r="R521" s="25">
        <f>IF(($L$5-1)&lt;1,"",IF(518&lt;=($L$5-1),G521,INDEX($G$4:$G$603,($L$5-1))))</f>
        <v/>
      </c>
      <c r="S521" s="25">
        <f>IF(($L$5-2)&lt;1,"",IF(518&lt;=($L$5-2),H521,INDEX($H$4:$H$603,($L$5-2))))</f>
        <v/>
      </c>
      <c r="T521" s="25">
        <f>IF(($L$5-2)&lt;1,"",IF(518&lt;=($L$5-2),I521,INDEX($I$4:$I$603,($L$5-2))))</f>
        <v/>
      </c>
    </row>
    <row r="522">
      <c r="A522" s="43" t="n"/>
      <c r="B522" s="43" t="n"/>
      <c r="C522" s="37">
        <f>IF(OR(A522="",A523=""),"",A523-A522)</f>
        <v/>
      </c>
      <c r="D522" s="37">
        <f>IF(C522="","",B523-B522)</f>
        <v/>
      </c>
      <c r="E522" s="37">
        <f>IF(C522="","",(A522+A523)/2)</f>
        <v/>
      </c>
      <c r="F522" s="25">
        <f>IF(OR(C522="",C522=0),"",D522/C522)</f>
        <v/>
      </c>
      <c r="G522" s="25">
        <f>IF(C522="","",D522/$L$6)</f>
        <v/>
      </c>
      <c r="H522" s="37">
        <f>IF(OR(F522="",F523=""),"",(E522+E523)/2)</f>
        <v/>
      </c>
      <c r="I522" s="25">
        <f>IF(H522="","",(F523-F522)/(E523-E522))</f>
        <v/>
      </c>
      <c r="P522" s="25">
        <f>IF(($L$5-1)&lt;1,"",IF(519&lt;=($L$5-1),E522,INDEX($E$4:$E$603,($L$5-1))))</f>
        <v/>
      </c>
      <c r="Q522" s="25">
        <f>IF(($L$5-1)&lt;1,"",IF(519&lt;=($L$5-1),F522,INDEX($F$4:$F$603,($L$5-1))))</f>
        <v/>
      </c>
      <c r="R522" s="25">
        <f>IF(($L$5-1)&lt;1,"",IF(519&lt;=($L$5-1),G522,INDEX($G$4:$G$603,($L$5-1))))</f>
        <v/>
      </c>
      <c r="S522" s="25">
        <f>IF(($L$5-2)&lt;1,"",IF(519&lt;=($L$5-2),H522,INDEX($H$4:$H$603,($L$5-2))))</f>
        <v/>
      </c>
      <c r="T522" s="25">
        <f>IF(($L$5-2)&lt;1,"",IF(519&lt;=($L$5-2),I522,INDEX($I$4:$I$603,($L$5-2))))</f>
        <v/>
      </c>
    </row>
    <row r="523">
      <c r="A523" s="43" t="n"/>
      <c r="B523" s="43" t="n"/>
      <c r="C523" s="37">
        <f>IF(OR(A523="",A524=""),"",A524-A523)</f>
        <v/>
      </c>
      <c r="D523" s="37">
        <f>IF(C523="","",B524-B523)</f>
        <v/>
      </c>
      <c r="E523" s="37">
        <f>IF(C523="","",(A523+A524)/2)</f>
        <v/>
      </c>
      <c r="F523" s="25">
        <f>IF(OR(C523="",C523=0),"",D523/C523)</f>
        <v/>
      </c>
      <c r="G523" s="25">
        <f>IF(C523="","",D523/$L$6)</f>
        <v/>
      </c>
      <c r="H523" s="37">
        <f>IF(OR(F523="",F524=""),"",(E523+E524)/2)</f>
        <v/>
      </c>
      <c r="I523" s="25">
        <f>IF(H523="","",(F524-F523)/(E524-E523))</f>
        <v/>
      </c>
      <c r="P523" s="25">
        <f>IF(($L$5-1)&lt;1,"",IF(520&lt;=($L$5-1),E523,INDEX($E$4:$E$603,($L$5-1))))</f>
        <v/>
      </c>
      <c r="Q523" s="25">
        <f>IF(($L$5-1)&lt;1,"",IF(520&lt;=($L$5-1),F523,INDEX($F$4:$F$603,($L$5-1))))</f>
        <v/>
      </c>
      <c r="R523" s="25">
        <f>IF(($L$5-1)&lt;1,"",IF(520&lt;=($L$5-1),G523,INDEX($G$4:$G$603,($L$5-1))))</f>
        <v/>
      </c>
      <c r="S523" s="25">
        <f>IF(($L$5-2)&lt;1,"",IF(520&lt;=($L$5-2),H523,INDEX($H$4:$H$603,($L$5-2))))</f>
        <v/>
      </c>
      <c r="T523" s="25">
        <f>IF(($L$5-2)&lt;1,"",IF(520&lt;=($L$5-2),I523,INDEX($I$4:$I$603,($L$5-2))))</f>
        <v/>
      </c>
    </row>
    <row r="524">
      <c r="A524" s="43" t="n"/>
      <c r="B524" s="43" t="n"/>
      <c r="C524" s="37">
        <f>IF(OR(A524="",A525=""),"",A525-A524)</f>
        <v/>
      </c>
      <c r="D524" s="37">
        <f>IF(C524="","",B525-B524)</f>
        <v/>
      </c>
      <c r="E524" s="37">
        <f>IF(C524="","",(A524+A525)/2)</f>
        <v/>
      </c>
      <c r="F524" s="25">
        <f>IF(OR(C524="",C524=0),"",D524/C524)</f>
        <v/>
      </c>
      <c r="G524" s="25">
        <f>IF(C524="","",D524/$L$6)</f>
        <v/>
      </c>
      <c r="H524" s="37">
        <f>IF(OR(F524="",F525=""),"",(E524+E525)/2)</f>
        <v/>
      </c>
      <c r="I524" s="25">
        <f>IF(H524="","",(F525-F524)/(E525-E524))</f>
        <v/>
      </c>
      <c r="P524" s="25">
        <f>IF(($L$5-1)&lt;1,"",IF(521&lt;=($L$5-1),E524,INDEX($E$4:$E$603,($L$5-1))))</f>
        <v/>
      </c>
      <c r="Q524" s="25">
        <f>IF(($L$5-1)&lt;1,"",IF(521&lt;=($L$5-1),F524,INDEX($F$4:$F$603,($L$5-1))))</f>
        <v/>
      </c>
      <c r="R524" s="25">
        <f>IF(($L$5-1)&lt;1,"",IF(521&lt;=($L$5-1),G524,INDEX($G$4:$G$603,($L$5-1))))</f>
        <v/>
      </c>
      <c r="S524" s="25">
        <f>IF(($L$5-2)&lt;1,"",IF(521&lt;=($L$5-2),H524,INDEX($H$4:$H$603,($L$5-2))))</f>
        <v/>
      </c>
      <c r="T524" s="25">
        <f>IF(($L$5-2)&lt;1,"",IF(521&lt;=($L$5-2),I524,INDEX($I$4:$I$603,($L$5-2))))</f>
        <v/>
      </c>
    </row>
    <row r="525">
      <c r="A525" s="43" t="n"/>
      <c r="B525" s="43" t="n"/>
      <c r="C525" s="37">
        <f>IF(OR(A525="",A526=""),"",A526-A525)</f>
        <v/>
      </c>
      <c r="D525" s="37">
        <f>IF(C525="","",B526-B525)</f>
        <v/>
      </c>
      <c r="E525" s="37">
        <f>IF(C525="","",(A525+A526)/2)</f>
        <v/>
      </c>
      <c r="F525" s="25">
        <f>IF(OR(C525="",C525=0),"",D525/C525)</f>
        <v/>
      </c>
      <c r="G525" s="25">
        <f>IF(C525="","",D525/$L$6)</f>
        <v/>
      </c>
      <c r="H525" s="37">
        <f>IF(OR(F525="",F526=""),"",(E525+E526)/2)</f>
        <v/>
      </c>
      <c r="I525" s="25">
        <f>IF(H525="","",(F526-F525)/(E526-E525))</f>
        <v/>
      </c>
      <c r="P525" s="25">
        <f>IF(($L$5-1)&lt;1,"",IF(522&lt;=($L$5-1),E525,INDEX($E$4:$E$603,($L$5-1))))</f>
        <v/>
      </c>
      <c r="Q525" s="25">
        <f>IF(($L$5-1)&lt;1,"",IF(522&lt;=($L$5-1),F525,INDEX($F$4:$F$603,($L$5-1))))</f>
        <v/>
      </c>
      <c r="R525" s="25">
        <f>IF(($L$5-1)&lt;1,"",IF(522&lt;=($L$5-1),G525,INDEX($G$4:$G$603,($L$5-1))))</f>
        <v/>
      </c>
      <c r="S525" s="25">
        <f>IF(($L$5-2)&lt;1,"",IF(522&lt;=($L$5-2),H525,INDEX($H$4:$H$603,($L$5-2))))</f>
        <v/>
      </c>
      <c r="T525" s="25">
        <f>IF(($L$5-2)&lt;1,"",IF(522&lt;=($L$5-2),I525,INDEX($I$4:$I$603,($L$5-2))))</f>
        <v/>
      </c>
    </row>
    <row r="526">
      <c r="A526" s="43" t="n"/>
      <c r="B526" s="43" t="n"/>
      <c r="C526" s="37">
        <f>IF(OR(A526="",A527=""),"",A527-A526)</f>
        <v/>
      </c>
      <c r="D526" s="37">
        <f>IF(C526="","",B527-B526)</f>
        <v/>
      </c>
      <c r="E526" s="37">
        <f>IF(C526="","",(A526+A527)/2)</f>
        <v/>
      </c>
      <c r="F526" s="25">
        <f>IF(OR(C526="",C526=0),"",D526/C526)</f>
        <v/>
      </c>
      <c r="G526" s="25">
        <f>IF(C526="","",D526/$L$6)</f>
        <v/>
      </c>
      <c r="H526" s="37">
        <f>IF(OR(F526="",F527=""),"",(E526+E527)/2)</f>
        <v/>
      </c>
      <c r="I526" s="25">
        <f>IF(H526="","",(F527-F526)/(E527-E526))</f>
        <v/>
      </c>
      <c r="P526" s="25">
        <f>IF(($L$5-1)&lt;1,"",IF(523&lt;=($L$5-1),E526,INDEX($E$4:$E$603,($L$5-1))))</f>
        <v/>
      </c>
      <c r="Q526" s="25">
        <f>IF(($L$5-1)&lt;1,"",IF(523&lt;=($L$5-1),F526,INDEX($F$4:$F$603,($L$5-1))))</f>
        <v/>
      </c>
      <c r="R526" s="25">
        <f>IF(($L$5-1)&lt;1,"",IF(523&lt;=($L$5-1),G526,INDEX($G$4:$G$603,($L$5-1))))</f>
        <v/>
      </c>
      <c r="S526" s="25">
        <f>IF(($L$5-2)&lt;1,"",IF(523&lt;=($L$5-2),H526,INDEX($H$4:$H$603,($L$5-2))))</f>
        <v/>
      </c>
      <c r="T526" s="25">
        <f>IF(($L$5-2)&lt;1,"",IF(523&lt;=($L$5-2),I526,INDEX($I$4:$I$603,($L$5-2))))</f>
        <v/>
      </c>
    </row>
    <row r="527">
      <c r="A527" s="43" t="n"/>
      <c r="B527" s="43" t="n"/>
      <c r="C527" s="37">
        <f>IF(OR(A527="",A528=""),"",A528-A527)</f>
        <v/>
      </c>
      <c r="D527" s="37">
        <f>IF(C527="","",B528-B527)</f>
        <v/>
      </c>
      <c r="E527" s="37">
        <f>IF(C527="","",(A527+A528)/2)</f>
        <v/>
      </c>
      <c r="F527" s="25">
        <f>IF(OR(C527="",C527=0),"",D527/C527)</f>
        <v/>
      </c>
      <c r="G527" s="25">
        <f>IF(C527="","",D527/$L$6)</f>
        <v/>
      </c>
      <c r="H527" s="37">
        <f>IF(OR(F527="",F528=""),"",(E527+E528)/2)</f>
        <v/>
      </c>
      <c r="I527" s="25">
        <f>IF(H527="","",(F528-F527)/(E528-E527))</f>
        <v/>
      </c>
      <c r="P527" s="25">
        <f>IF(($L$5-1)&lt;1,"",IF(524&lt;=($L$5-1),E527,INDEX($E$4:$E$603,($L$5-1))))</f>
        <v/>
      </c>
      <c r="Q527" s="25">
        <f>IF(($L$5-1)&lt;1,"",IF(524&lt;=($L$5-1),F527,INDEX($F$4:$F$603,($L$5-1))))</f>
        <v/>
      </c>
      <c r="R527" s="25">
        <f>IF(($L$5-1)&lt;1,"",IF(524&lt;=($L$5-1),G527,INDEX($G$4:$G$603,($L$5-1))))</f>
        <v/>
      </c>
      <c r="S527" s="25">
        <f>IF(($L$5-2)&lt;1,"",IF(524&lt;=($L$5-2),H527,INDEX($H$4:$H$603,($L$5-2))))</f>
        <v/>
      </c>
      <c r="T527" s="25">
        <f>IF(($L$5-2)&lt;1,"",IF(524&lt;=($L$5-2),I527,INDEX($I$4:$I$603,($L$5-2))))</f>
        <v/>
      </c>
    </row>
    <row r="528">
      <c r="A528" s="43" t="n"/>
      <c r="B528" s="43" t="n"/>
      <c r="C528" s="37">
        <f>IF(OR(A528="",A529=""),"",A529-A528)</f>
        <v/>
      </c>
      <c r="D528" s="37">
        <f>IF(C528="","",B529-B528)</f>
        <v/>
      </c>
      <c r="E528" s="37">
        <f>IF(C528="","",(A528+A529)/2)</f>
        <v/>
      </c>
      <c r="F528" s="25">
        <f>IF(OR(C528="",C528=0),"",D528/C528)</f>
        <v/>
      </c>
      <c r="G528" s="25">
        <f>IF(C528="","",D528/$L$6)</f>
        <v/>
      </c>
      <c r="H528" s="37">
        <f>IF(OR(F528="",F529=""),"",(E528+E529)/2)</f>
        <v/>
      </c>
      <c r="I528" s="25">
        <f>IF(H528="","",(F529-F528)/(E529-E528))</f>
        <v/>
      </c>
      <c r="P528" s="25">
        <f>IF(($L$5-1)&lt;1,"",IF(525&lt;=($L$5-1),E528,INDEX($E$4:$E$603,($L$5-1))))</f>
        <v/>
      </c>
      <c r="Q528" s="25">
        <f>IF(($L$5-1)&lt;1,"",IF(525&lt;=($L$5-1),F528,INDEX($F$4:$F$603,($L$5-1))))</f>
        <v/>
      </c>
      <c r="R528" s="25">
        <f>IF(($L$5-1)&lt;1,"",IF(525&lt;=($L$5-1),G528,INDEX($G$4:$G$603,($L$5-1))))</f>
        <v/>
      </c>
      <c r="S528" s="25">
        <f>IF(($L$5-2)&lt;1,"",IF(525&lt;=($L$5-2),H528,INDEX($H$4:$H$603,($L$5-2))))</f>
        <v/>
      </c>
      <c r="T528" s="25">
        <f>IF(($L$5-2)&lt;1,"",IF(525&lt;=($L$5-2),I528,INDEX($I$4:$I$603,($L$5-2))))</f>
        <v/>
      </c>
    </row>
    <row r="529">
      <c r="A529" s="43" t="n"/>
      <c r="B529" s="43" t="n"/>
      <c r="C529" s="37">
        <f>IF(OR(A529="",A530=""),"",A530-A529)</f>
        <v/>
      </c>
      <c r="D529" s="37">
        <f>IF(C529="","",B530-B529)</f>
        <v/>
      </c>
      <c r="E529" s="37">
        <f>IF(C529="","",(A529+A530)/2)</f>
        <v/>
      </c>
      <c r="F529" s="25">
        <f>IF(OR(C529="",C529=0),"",D529/C529)</f>
        <v/>
      </c>
      <c r="G529" s="25">
        <f>IF(C529="","",D529/$L$6)</f>
        <v/>
      </c>
      <c r="H529" s="37">
        <f>IF(OR(F529="",F530=""),"",(E529+E530)/2)</f>
        <v/>
      </c>
      <c r="I529" s="25">
        <f>IF(H529="","",(F530-F529)/(E530-E529))</f>
        <v/>
      </c>
      <c r="P529" s="25">
        <f>IF(($L$5-1)&lt;1,"",IF(526&lt;=($L$5-1),E529,INDEX($E$4:$E$603,($L$5-1))))</f>
        <v/>
      </c>
      <c r="Q529" s="25">
        <f>IF(($L$5-1)&lt;1,"",IF(526&lt;=($L$5-1),F529,INDEX($F$4:$F$603,($L$5-1))))</f>
        <v/>
      </c>
      <c r="R529" s="25">
        <f>IF(($L$5-1)&lt;1,"",IF(526&lt;=($L$5-1),G529,INDEX($G$4:$G$603,($L$5-1))))</f>
        <v/>
      </c>
      <c r="S529" s="25">
        <f>IF(($L$5-2)&lt;1,"",IF(526&lt;=($L$5-2),H529,INDEX($H$4:$H$603,($L$5-2))))</f>
        <v/>
      </c>
      <c r="T529" s="25">
        <f>IF(($L$5-2)&lt;1,"",IF(526&lt;=($L$5-2),I529,INDEX($I$4:$I$603,($L$5-2))))</f>
        <v/>
      </c>
    </row>
    <row r="530">
      <c r="A530" s="43" t="n"/>
      <c r="B530" s="43" t="n"/>
      <c r="C530" s="37">
        <f>IF(OR(A530="",A531=""),"",A531-A530)</f>
        <v/>
      </c>
      <c r="D530" s="37">
        <f>IF(C530="","",B531-B530)</f>
        <v/>
      </c>
      <c r="E530" s="37">
        <f>IF(C530="","",(A530+A531)/2)</f>
        <v/>
      </c>
      <c r="F530" s="25">
        <f>IF(OR(C530="",C530=0),"",D530/C530)</f>
        <v/>
      </c>
      <c r="G530" s="25">
        <f>IF(C530="","",D530/$L$6)</f>
        <v/>
      </c>
      <c r="H530" s="37">
        <f>IF(OR(F530="",F531=""),"",(E530+E531)/2)</f>
        <v/>
      </c>
      <c r="I530" s="25">
        <f>IF(H530="","",(F531-F530)/(E531-E530))</f>
        <v/>
      </c>
      <c r="P530" s="25">
        <f>IF(($L$5-1)&lt;1,"",IF(527&lt;=($L$5-1),E530,INDEX($E$4:$E$603,($L$5-1))))</f>
        <v/>
      </c>
      <c r="Q530" s="25">
        <f>IF(($L$5-1)&lt;1,"",IF(527&lt;=($L$5-1),F530,INDEX($F$4:$F$603,($L$5-1))))</f>
        <v/>
      </c>
      <c r="R530" s="25">
        <f>IF(($L$5-1)&lt;1,"",IF(527&lt;=($L$5-1),G530,INDEX($G$4:$G$603,($L$5-1))))</f>
        <v/>
      </c>
      <c r="S530" s="25">
        <f>IF(($L$5-2)&lt;1,"",IF(527&lt;=($L$5-2),H530,INDEX($H$4:$H$603,($L$5-2))))</f>
        <v/>
      </c>
      <c r="T530" s="25">
        <f>IF(($L$5-2)&lt;1,"",IF(527&lt;=($L$5-2),I530,INDEX($I$4:$I$603,($L$5-2))))</f>
        <v/>
      </c>
    </row>
    <row r="531">
      <c r="A531" s="43" t="n"/>
      <c r="B531" s="43" t="n"/>
      <c r="C531" s="37">
        <f>IF(OR(A531="",A532=""),"",A532-A531)</f>
        <v/>
      </c>
      <c r="D531" s="37">
        <f>IF(C531="","",B532-B531)</f>
        <v/>
      </c>
      <c r="E531" s="37">
        <f>IF(C531="","",(A531+A532)/2)</f>
        <v/>
      </c>
      <c r="F531" s="25">
        <f>IF(OR(C531="",C531=0),"",D531/C531)</f>
        <v/>
      </c>
      <c r="G531" s="25">
        <f>IF(C531="","",D531/$L$6)</f>
        <v/>
      </c>
      <c r="H531" s="37">
        <f>IF(OR(F531="",F532=""),"",(E531+E532)/2)</f>
        <v/>
      </c>
      <c r="I531" s="25">
        <f>IF(H531="","",(F532-F531)/(E532-E531))</f>
        <v/>
      </c>
      <c r="P531" s="25">
        <f>IF(($L$5-1)&lt;1,"",IF(528&lt;=($L$5-1),E531,INDEX($E$4:$E$603,($L$5-1))))</f>
        <v/>
      </c>
      <c r="Q531" s="25">
        <f>IF(($L$5-1)&lt;1,"",IF(528&lt;=($L$5-1),F531,INDEX($F$4:$F$603,($L$5-1))))</f>
        <v/>
      </c>
      <c r="R531" s="25">
        <f>IF(($L$5-1)&lt;1,"",IF(528&lt;=($L$5-1),G531,INDEX($G$4:$G$603,($L$5-1))))</f>
        <v/>
      </c>
      <c r="S531" s="25">
        <f>IF(($L$5-2)&lt;1,"",IF(528&lt;=($L$5-2),H531,INDEX($H$4:$H$603,($L$5-2))))</f>
        <v/>
      </c>
      <c r="T531" s="25">
        <f>IF(($L$5-2)&lt;1,"",IF(528&lt;=($L$5-2),I531,INDEX($I$4:$I$603,($L$5-2))))</f>
        <v/>
      </c>
    </row>
    <row r="532">
      <c r="A532" s="43" t="n"/>
      <c r="B532" s="43" t="n"/>
      <c r="C532" s="37">
        <f>IF(OR(A532="",A533=""),"",A533-A532)</f>
        <v/>
      </c>
      <c r="D532" s="37">
        <f>IF(C532="","",B533-B532)</f>
        <v/>
      </c>
      <c r="E532" s="37">
        <f>IF(C532="","",(A532+A533)/2)</f>
        <v/>
      </c>
      <c r="F532" s="25">
        <f>IF(OR(C532="",C532=0),"",D532/C532)</f>
        <v/>
      </c>
      <c r="G532" s="25">
        <f>IF(C532="","",D532/$L$6)</f>
        <v/>
      </c>
      <c r="H532" s="37">
        <f>IF(OR(F532="",F533=""),"",(E532+E533)/2)</f>
        <v/>
      </c>
      <c r="I532" s="25">
        <f>IF(H532="","",(F533-F532)/(E533-E532))</f>
        <v/>
      </c>
      <c r="P532" s="25">
        <f>IF(($L$5-1)&lt;1,"",IF(529&lt;=($L$5-1),E532,INDEX($E$4:$E$603,($L$5-1))))</f>
        <v/>
      </c>
      <c r="Q532" s="25">
        <f>IF(($L$5-1)&lt;1,"",IF(529&lt;=($L$5-1),F532,INDEX($F$4:$F$603,($L$5-1))))</f>
        <v/>
      </c>
      <c r="R532" s="25">
        <f>IF(($L$5-1)&lt;1,"",IF(529&lt;=($L$5-1),G532,INDEX($G$4:$G$603,($L$5-1))))</f>
        <v/>
      </c>
      <c r="S532" s="25">
        <f>IF(($L$5-2)&lt;1,"",IF(529&lt;=($L$5-2),H532,INDEX($H$4:$H$603,($L$5-2))))</f>
        <v/>
      </c>
      <c r="T532" s="25">
        <f>IF(($L$5-2)&lt;1,"",IF(529&lt;=($L$5-2),I532,INDEX($I$4:$I$603,($L$5-2))))</f>
        <v/>
      </c>
    </row>
    <row r="533">
      <c r="A533" s="43" t="n"/>
      <c r="B533" s="43" t="n"/>
      <c r="C533" s="37">
        <f>IF(OR(A533="",A534=""),"",A534-A533)</f>
        <v/>
      </c>
      <c r="D533" s="37">
        <f>IF(C533="","",B534-B533)</f>
        <v/>
      </c>
      <c r="E533" s="37">
        <f>IF(C533="","",(A533+A534)/2)</f>
        <v/>
      </c>
      <c r="F533" s="25">
        <f>IF(OR(C533="",C533=0),"",D533/C533)</f>
        <v/>
      </c>
      <c r="G533" s="25">
        <f>IF(C533="","",D533/$L$6)</f>
        <v/>
      </c>
      <c r="H533" s="37">
        <f>IF(OR(F533="",F534=""),"",(E533+E534)/2)</f>
        <v/>
      </c>
      <c r="I533" s="25">
        <f>IF(H533="","",(F534-F533)/(E534-E533))</f>
        <v/>
      </c>
      <c r="P533" s="25">
        <f>IF(($L$5-1)&lt;1,"",IF(530&lt;=($L$5-1),E533,INDEX($E$4:$E$603,($L$5-1))))</f>
        <v/>
      </c>
      <c r="Q533" s="25">
        <f>IF(($L$5-1)&lt;1,"",IF(530&lt;=($L$5-1),F533,INDEX($F$4:$F$603,($L$5-1))))</f>
        <v/>
      </c>
      <c r="R533" s="25">
        <f>IF(($L$5-1)&lt;1,"",IF(530&lt;=($L$5-1),G533,INDEX($G$4:$G$603,($L$5-1))))</f>
        <v/>
      </c>
      <c r="S533" s="25">
        <f>IF(($L$5-2)&lt;1,"",IF(530&lt;=($L$5-2),H533,INDEX($H$4:$H$603,($L$5-2))))</f>
        <v/>
      </c>
      <c r="T533" s="25">
        <f>IF(($L$5-2)&lt;1,"",IF(530&lt;=($L$5-2),I533,INDEX($I$4:$I$603,($L$5-2))))</f>
        <v/>
      </c>
    </row>
    <row r="534">
      <c r="A534" s="43" t="n"/>
      <c r="B534" s="43" t="n"/>
      <c r="C534" s="37">
        <f>IF(OR(A534="",A535=""),"",A535-A534)</f>
        <v/>
      </c>
      <c r="D534" s="37">
        <f>IF(C534="","",B535-B534)</f>
        <v/>
      </c>
      <c r="E534" s="37">
        <f>IF(C534="","",(A534+A535)/2)</f>
        <v/>
      </c>
      <c r="F534" s="25">
        <f>IF(OR(C534="",C534=0),"",D534/C534)</f>
        <v/>
      </c>
      <c r="G534" s="25">
        <f>IF(C534="","",D534/$L$6)</f>
        <v/>
      </c>
      <c r="H534" s="37">
        <f>IF(OR(F534="",F535=""),"",(E534+E535)/2)</f>
        <v/>
      </c>
      <c r="I534" s="25">
        <f>IF(H534="","",(F535-F534)/(E535-E534))</f>
        <v/>
      </c>
      <c r="P534" s="25">
        <f>IF(($L$5-1)&lt;1,"",IF(531&lt;=($L$5-1),E534,INDEX($E$4:$E$603,($L$5-1))))</f>
        <v/>
      </c>
      <c r="Q534" s="25">
        <f>IF(($L$5-1)&lt;1,"",IF(531&lt;=($L$5-1),F534,INDEX($F$4:$F$603,($L$5-1))))</f>
        <v/>
      </c>
      <c r="R534" s="25">
        <f>IF(($L$5-1)&lt;1,"",IF(531&lt;=($L$5-1),G534,INDEX($G$4:$G$603,($L$5-1))))</f>
        <v/>
      </c>
      <c r="S534" s="25">
        <f>IF(($L$5-2)&lt;1,"",IF(531&lt;=($L$5-2),H534,INDEX($H$4:$H$603,($L$5-2))))</f>
        <v/>
      </c>
      <c r="T534" s="25">
        <f>IF(($L$5-2)&lt;1,"",IF(531&lt;=($L$5-2),I534,INDEX($I$4:$I$603,($L$5-2))))</f>
        <v/>
      </c>
    </row>
    <row r="535">
      <c r="A535" s="43" t="n"/>
      <c r="B535" s="43" t="n"/>
      <c r="C535" s="37">
        <f>IF(OR(A535="",A536=""),"",A536-A535)</f>
        <v/>
      </c>
      <c r="D535" s="37">
        <f>IF(C535="","",B536-B535)</f>
        <v/>
      </c>
      <c r="E535" s="37">
        <f>IF(C535="","",(A535+A536)/2)</f>
        <v/>
      </c>
      <c r="F535" s="25">
        <f>IF(OR(C535="",C535=0),"",D535/C535)</f>
        <v/>
      </c>
      <c r="G535" s="25">
        <f>IF(C535="","",D535/$L$6)</f>
        <v/>
      </c>
      <c r="H535" s="37">
        <f>IF(OR(F535="",F536=""),"",(E535+E536)/2)</f>
        <v/>
      </c>
      <c r="I535" s="25">
        <f>IF(H535="","",(F536-F535)/(E536-E535))</f>
        <v/>
      </c>
      <c r="P535" s="25">
        <f>IF(($L$5-1)&lt;1,"",IF(532&lt;=($L$5-1),E535,INDEX($E$4:$E$603,($L$5-1))))</f>
        <v/>
      </c>
      <c r="Q535" s="25">
        <f>IF(($L$5-1)&lt;1,"",IF(532&lt;=($L$5-1),F535,INDEX($F$4:$F$603,($L$5-1))))</f>
        <v/>
      </c>
      <c r="R535" s="25">
        <f>IF(($L$5-1)&lt;1,"",IF(532&lt;=($L$5-1),G535,INDEX($G$4:$G$603,($L$5-1))))</f>
        <v/>
      </c>
      <c r="S535" s="25">
        <f>IF(($L$5-2)&lt;1,"",IF(532&lt;=($L$5-2),H535,INDEX($H$4:$H$603,($L$5-2))))</f>
        <v/>
      </c>
      <c r="T535" s="25">
        <f>IF(($L$5-2)&lt;1,"",IF(532&lt;=($L$5-2),I535,INDEX($I$4:$I$603,($L$5-2))))</f>
        <v/>
      </c>
    </row>
    <row r="536">
      <c r="A536" s="43" t="n"/>
      <c r="B536" s="43" t="n"/>
      <c r="C536" s="37">
        <f>IF(OR(A536="",A537=""),"",A537-A536)</f>
        <v/>
      </c>
      <c r="D536" s="37">
        <f>IF(C536="","",B537-B536)</f>
        <v/>
      </c>
      <c r="E536" s="37">
        <f>IF(C536="","",(A536+A537)/2)</f>
        <v/>
      </c>
      <c r="F536" s="25">
        <f>IF(OR(C536="",C536=0),"",D536/C536)</f>
        <v/>
      </c>
      <c r="G536" s="25">
        <f>IF(C536="","",D536/$L$6)</f>
        <v/>
      </c>
      <c r="H536" s="37">
        <f>IF(OR(F536="",F537=""),"",(E536+E537)/2)</f>
        <v/>
      </c>
      <c r="I536" s="25">
        <f>IF(H536="","",(F537-F536)/(E537-E536))</f>
        <v/>
      </c>
      <c r="P536" s="25">
        <f>IF(($L$5-1)&lt;1,"",IF(533&lt;=($L$5-1),E536,INDEX($E$4:$E$603,($L$5-1))))</f>
        <v/>
      </c>
      <c r="Q536" s="25">
        <f>IF(($L$5-1)&lt;1,"",IF(533&lt;=($L$5-1),F536,INDEX($F$4:$F$603,($L$5-1))))</f>
        <v/>
      </c>
      <c r="R536" s="25">
        <f>IF(($L$5-1)&lt;1,"",IF(533&lt;=($L$5-1),G536,INDEX($G$4:$G$603,($L$5-1))))</f>
        <v/>
      </c>
      <c r="S536" s="25">
        <f>IF(($L$5-2)&lt;1,"",IF(533&lt;=($L$5-2),H536,INDEX($H$4:$H$603,($L$5-2))))</f>
        <v/>
      </c>
      <c r="T536" s="25">
        <f>IF(($L$5-2)&lt;1,"",IF(533&lt;=($L$5-2),I536,INDEX($I$4:$I$603,($L$5-2))))</f>
        <v/>
      </c>
    </row>
    <row r="537">
      <c r="A537" s="43" t="n"/>
      <c r="B537" s="43" t="n"/>
      <c r="C537" s="37">
        <f>IF(OR(A537="",A538=""),"",A538-A537)</f>
        <v/>
      </c>
      <c r="D537" s="37">
        <f>IF(C537="","",B538-B537)</f>
        <v/>
      </c>
      <c r="E537" s="37">
        <f>IF(C537="","",(A537+A538)/2)</f>
        <v/>
      </c>
      <c r="F537" s="25">
        <f>IF(OR(C537="",C537=0),"",D537/C537)</f>
        <v/>
      </c>
      <c r="G537" s="25">
        <f>IF(C537="","",D537/$L$6)</f>
        <v/>
      </c>
      <c r="H537" s="37">
        <f>IF(OR(F537="",F538=""),"",(E537+E538)/2)</f>
        <v/>
      </c>
      <c r="I537" s="25">
        <f>IF(H537="","",(F538-F537)/(E538-E537))</f>
        <v/>
      </c>
      <c r="P537" s="25">
        <f>IF(($L$5-1)&lt;1,"",IF(534&lt;=($L$5-1),E537,INDEX($E$4:$E$603,($L$5-1))))</f>
        <v/>
      </c>
      <c r="Q537" s="25">
        <f>IF(($L$5-1)&lt;1,"",IF(534&lt;=($L$5-1),F537,INDEX($F$4:$F$603,($L$5-1))))</f>
        <v/>
      </c>
      <c r="R537" s="25">
        <f>IF(($L$5-1)&lt;1,"",IF(534&lt;=($L$5-1),G537,INDEX($G$4:$G$603,($L$5-1))))</f>
        <v/>
      </c>
      <c r="S537" s="25">
        <f>IF(($L$5-2)&lt;1,"",IF(534&lt;=($L$5-2),H537,INDEX($H$4:$H$603,($L$5-2))))</f>
        <v/>
      </c>
      <c r="T537" s="25">
        <f>IF(($L$5-2)&lt;1,"",IF(534&lt;=($L$5-2),I537,INDEX($I$4:$I$603,($L$5-2))))</f>
        <v/>
      </c>
    </row>
    <row r="538">
      <c r="A538" s="43" t="n"/>
      <c r="B538" s="43" t="n"/>
      <c r="C538" s="37">
        <f>IF(OR(A538="",A539=""),"",A539-A538)</f>
        <v/>
      </c>
      <c r="D538" s="37">
        <f>IF(C538="","",B539-B538)</f>
        <v/>
      </c>
      <c r="E538" s="37">
        <f>IF(C538="","",(A538+A539)/2)</f>
        <v/>
      </c>
      <c r="F538" s="25">
        <f>IF(OR(C538="",C538=0),"",D538/C538)</f>
        <v/>
      </c>
      <c r="G538" s="25">
        <f>IF(C538="","",D538/$L$6)</f>
        <v/>
      </c>
      <c r="H538" s="37">
        <f>IF(OR(F538="",F539=""),"",(E538+E539)/2)</f>
        <v/>
      </c>
      <c r="I538" s="25">
        <f>IF(H538="","",(F539-F538)/(E539-E538))</f>
        <v/>
      </c>
      <c r="P538" s="25">
        <f>IF(($L$5-1)&lt;1,"",IF(535&lt;=($L$5-1),E538,INDEX($E$4:$E$603,($L$5-1))))</f>
        <v/>
      </c>
      <c r="Q538" s="25">
        <f>IF(($L$5-1)&lt;1,"",IF(535&lt;=($L$5-1),F538,INDEX($F$4:$F$603,($L$5-1))))</f>
        <v/>
      </c>
      <c r="R538" s="25">
        <f>IF(($L$5-1)&lt;1,"",IF(535&lt;=($L$5-1),G538,INDEX($G$4:$G$603,($L$5-1))))</f>
        <v/>
      </c>
      <c r="S538" s="25">
        <f>IF(($L$5-2)&lt;1,"",IF(535&lt;=($L$5-2),H538,INDEX($H$4:$H$603,($L$5-2))))</f>
        <v/>
      </c>
      <c r="T538" s="25">
        <f>IF(($L$5-2)&lt;1,"",IF(535&lt;=($L$5-2),I538,INDEX($I$4:$I$603,($L$5-2))))</f>
        <v/>
      </c>
    </row>
    <row r="539">
      <c r="A539" s="43" t="n"/>
      <c r="B539" s="43" t="n"/>
      <c r="C539" s="37">
        <f>IF(OR(A539="",A540=""),"",A540-A539)</f>
        <v/>
      </c>
      <c r="D539" s="37">
        <f>IF(C539="","",B540-B539)</f>
        <v/>
      </c>
      <c r="E539" s="37">
        <f>IF(C539="","",(A539+A540)/2)</f>
        <v/>
      </c>
      <c r="F539" s="25">
        <f>IF(OR(C539="",C539=0),"",D539/C539)</f>
        <v/>
      </c>
      <c r="G539" s="25">
        <f>IF(C539="","",D539/$L$6)</f>
        <v/>
      </c>
      <c r="H539" s="37">
        <f>IF(OR(F539="",F540=""),"",(E539+E540)/2)</f>
        <v/>
      </c>
      <c r="I539" s="25">
        <f>IF(H539="","",(F540-F539)/(E540-E539))</f>
        <v/>
      </c>
      <c r="P539" s="25">
        <f>IF(($L$5-1)&lt;1,"",IF(536&lt;=($L$5-1),E539,INDEX($E$4:$E$603,($L$5-1))))</f>
        <v/>
      </c>
      <c r="Q539" s="25">
        <f>IF(($L$5-1)&lt;1,"",IF(536&lt;=($L$5-1),F539,INDEX($F$4:$F$603,($L$5-1))))</f>
        <v/>
      </c>
      <c r="R539" s="25">
        <f>IF(($L$5-1)&lt;1,"",IF(536&lt;=($L$5-1),G539,INDEX($G$4:$G$603,($L$5-1))))</f>
        <v/>
      </c>
      <c r="S539" s="25">
        <f>IF(($L$5-2)&lt;1,"",IF(536&lt;=($L$5-2),H539,INDEX($H$4:$H$603,($L$5-2))))</f>
        <v/>
      </c>
      <c r="T539" s="25">
        <f>IF(($L$5-2)&lt;1,"",IF(536&lt;=($L$5-2),I539,INDEX($I$4:$I$603,($L$5-2))))</f>
        <v/>
      </c>
    </row>
    <row r="540">
      <c r="A540" s="43" t="n"/>
      <c r="B540" s="43" t="n"/>
      <c r="C540" s="37">
        <f>IF(OR(A540="",A541=""),"",A541-A540)</f>
        <v/>
      </c>
      <c r="D540" s="37">
        <f>IF(C540="","",B541-B540)</f>
        <v/>
      </c>
      <c r="E540" s="37">
        <f>IF(C540="","",(A540+A541)/2)</f>
        <v/>
      </c>
      <c r="F540" s="25">
        <f>IF(OR(C540="",C540=0),"",D540/C540)</f>
        <v/>
      </c>
      <c r="G540" s="25">
        <f>IF(C540="","",D540/$L$6)</f>
        <v/>
      </c>
      <c r="H540" s="37">
        <f>IF(OR(F540="",F541=""),"",(E540+E541)/2)</f>
        <v/>
      </c>
      <c r="I540" s="25">
        <f>IF(H540="","",(F541-F540)/(E541-E540))</f>
        <v/>
      </c>
      <c r="P540" s="25">
        <f>IF(($L$5-1)&lt;1,"",IF(537&lt;=($L$5-1),E540,INDEX($E$4:$E$603,($L$5-1))))</f>
        <v/>
      </c>
      <c r="Q540" s="25">
        <f>IF(($L$5-1)&lt;1,"",IF(537&lt;=($L$5-1),F540,INDEX($F$4:$F$603,($L$5-1))))</f>
        <v/>
      </c>
      <c r="R540" s="25">
        <f>IF(($L$5-1)&lt;1,"",IF(537&lt;=($L$5-1),G540,INDEX($G$4:$G$603,($L$5-1))))</f>
        <v/>
      </c>
      <c r="S540" s="25">
        <f>IF(($L$5-2)&lt;1,"",IF(537&lt;=($L$5-2),H540,INDEX($H$4:$H$603,($L$5-2))))</f>
        <v/>
      </c>
      <c r="T540" s="25">
        <f>IF(($L$5-2)&lt;1,"",IF(537&lt;=($L$5-2),I540,INDEX($I$4:$I$603,($L$5-2))))</f>
        <v/>
      </c>
    </row>
    <row r="541">
      <c r="A541" s="43" t="n"/>
      <c r="B541" s="43" t="n"/>
      <c r="C541" s="37">
        <f>IF(OR(A541="",A542=""),"",A542-A541)</f>
        <v/>
      </c>
      <c r="D541" s="37">
        <f>IF(C541="","",B542-B541)</f>
        <v/>
      </c>
      <c r="E541" s="37">
        <f>IF(C541="","",(A541+A542)/2)</f>
        <v/>
      </c>
      <c r="F541" s="25">
        <f>IF(OR(C541="",C541=0),"",D541/C541)</f>
        <v/>
      </c>
      <c r="G541" s="25">
        <f>IF(C541="","",D541/$L$6)</f>
        <v/>
      </c>
      <c r="H541" s="37">
        <f>IF(OR(F541="",F542=""),"",(E541+E542)/2)</f>
        <v/>
      </c>
      <c r="I541" s="25">
        <f>IF(H541="","",(F542-F541)/(E542-E541))</f>
        <v/>
      </c>
      <c r="P541" s="25">
        <f>IF(($L$5-1)&lt;1,"",IF(538&lt;=($L$5-1),E541,INDEX($E$4:$E$603,($L$5-1))))</f>
        <v/>
      </c>
      <c r="Q541" s="25">
        <f>IF(($L$5-1)&lt;1,"",IF(538&lt;=($L$5-1),F541,INDEX($F$4:$F$603,($L$5-1))))</f>
        <v/>
      </c>
      <c r="R541" s="25">
        <f>IF(($L$5-1)&lt;1,"",IF(538&lt;=($L$5-1),G541,INDEX($G$4:$G$603,($L$5-1))))</f>
        <v/>
      </c>
      <c r="S541" s="25">
        <f>IF(($L$5-2)&lt;1,"",IF(538&lt;=($L$5-2),H541,INDEX($H$4:$H$603,($L$5-2))))</f>
        <v/>
      </c>
      <c r="T541" s="25">
        <f>IF(($L$5-2)&lt;1,"",IF(538&lt;=($L$5-2),I541,INDEX($I$4:$I$603,($L$5-2))))</f>
        <v/>
      </c>
    </row>
    <row r="542">
      <c r="A542" s="43" t="n"/>
      <c r="B542" s="43" t="n"/>
      <c r="C542" s="37">
        <f>IF(OR(A542="",A543=""),"",A543-A542)</f>
        <v/>
      </c>
      <c r="D542" s="37">
        <f>IF(C542="","",B543-B542)</f>
        <v/>
      </c>
      <c r="E542" s="37">
        <f>IF(C542="","",(A542+A543)/2)</f>
        <v/>
      </c>
      <c r="F542" s="25">
        <f>IF(OR(C542="",C542=0),"",D542/C542)</f>
        <v/>
      </c>
      <c r="G542" s="25">
        <f>IF(C542="","",D542/$L$6)</f>
        <v/>
      </c>
      <c r="H542" s="37">
        <f>IF(OR(F542="",F543=""),"",(E542+E543)/2)</f>
        <v/>
      </c>
      <c r="I542" s="25">
        <f>IF(H542="","",(F543-F542)/(E543-E542))</f>
        <v/>
      </c>
      <c r="P542" s="25">
        <f>IF(($L$5-1)&lt;1,"",IF(539&lt;=($L$5-1),E542,INDEX($E$4:$E$603,($L$5-1))))</f>
        <v/>
      </c>
      <c r="Q542" s="25">
        <f>IF(($L$5-1)&lt;1,"",IF(539&lt;=($L$5-1),F542,INDEX($F$4:$F$603,($L$5-1))))</f>
        <v/>
      </c>
      <c r="R542" s="25">
        <f>IF(($L$5-1)&lt;1,"",IF(539&lt;=($L$5-1),G542,INDEX($G$4:$G$603,($L$5-1))))</f>
        <v/>
      </c>
      <c r="S542" s="25">
        <f>IF(($L$5-2)&lt;1,"",IF(539&lt;=($L$5-2),H542,INDEX($H$4:$H$603,($L$5-2))))</f>
        <v/>
      </c>
      <c r="T542" s="25">
        <f>IF(($L$5-2)&lt;1,"",IF(539&lt;=($L$5-2),I542,INDEX($I$4:$I$603,($L$5-2))))</f>
        <v/>
      </c>
    </row>
    <row r="543">
      <c r="A543" s="43" t="n"/>
      <c r="B543" s="43" t="n"/>
      <c r="C543" s="37">
        <f>IF(OR(A543="",A544=""),"",A544-A543)</f>
        <v/>
      </c>
      <c r="D543" s="37">
        <f>IF(C543="","",B544-B543)</f>
        <v/>
      </c>
      <c r="E543" s="37">
        <f>IF(C543="","",(A543+A544)/2)</f>
        <v/>
      </c>
      <c r="F543" s="25">
        <f>IF(OR(C543="",C543=0),"",D543/C543)</f>
        <v/>
      </c>
      <c r="G543" s="25">
        <f>IF(C543="","",D543/$L$6)</f>
        <v/>
      </c>
      <c r="H543" s="37">
        <f>IF(OR(F543="",F544=""),"",(E543+E544)/2)</f>
        <v/>
      </c>
      <c r="I543" s="25">
        <f>IF(H543="","",(F544-F543)/(E544-E543))</f>
        <v/>
      </c>
      <c r="P543" s="25">
        <f>IF(($L$5-1)&lt;1,"",IF(540&lt;=($L$5-1),E543,INDEX($E$4:$E$603,($L$5-1))))</f>
        <v/>
      </c>
      <c r="Q543" s="25">
        <f>IF(($L$5-1)&lt;1,"",IF(540&lt;=($L$5-1),F543,INDEX($F$4:$F$603,($L$5-1))))</f>
        <v/>
      </c>
      <c r="R543" s="25">
        <f>IF(($L$5-1)&lt;1,"",IF(540&lt;=($L$5-1),G543,INDEX($G$4:$G$603,($L$5-1))))</f>
        <v/>
      </c>
      <c r="S543" s="25">
        <f>IF(($L$5-2)&lt;1,"",IF(540&lt;=($L$5-2),H543,INDEX($H$4:$H$603,($L$5-2))))</f>
        <v/>
      </c>
      <c r="T543" s="25">
        <f>IF(($L$5-2)&lt;1,"",IF(540&lt;=($L$5-2),I543,INDEX($I$4:$I$603,($L$5-2))))</f>
        <v/>
      </c>
    </row>
    <row r="544">
      <c r="A544" s="43" t="n"/>
      <c r="B544" s="43" t="n"/>
      <c r="C544" s="37">
        <f>IF(OR(A544="",A545=""),"",A545-A544)</f>
        <v/>
      </c>
      <c r="D544" s="37">
        <f>IF(C544="","",B545-B544)</f>
        <v/>
      </c>
      <c r="E544" s="37">
        <f>IF(C544="","",(A544+A545)/2)</f>
        <v/>
      </c>
      <c r="F544" s="25">
        <f>IF(OR(C544="",C544=0),"",D544/C544)</f>
        <v/>
      </c>
      <c r="G544" s="25">
        <f>IF(C544="","",D544/$L$6)</f>
        <v/>
      </c>
      <c r="H544" s="37">
        <f>IF(OR(F544="",F545=""),"",(E544+E545)/2)</f>
        <v/>
      </c>
      <c r="I544" s="25">
        <f>IF(H544="","",(F545-F544)/(E545-E544))</f>
        <v/>
      </c>
      <c r="P544" s="25">
        <f>IF(($L$5-1)&lt;1,"",IF(541&lt;=($L$5-1),E544,INDEX($E$4:$E$603,($L$5-1))))</f>
        <v/>
      </c>
      <c r="Q544" s="25">
        <f>IF(($L$5-1)&lt;1,"",IF(541&lt;=($L$5-1),F544,INDEX($F$4:$F$603,($L$5-1))))</f>
        <v/>
      </c>
      <c r="R544" s="25">
        <f>IF(($L$5-1)&lt;1,"",IF(541&lt;=($L$5-1),G544,INDEX($G$4:$G$603,($L$5-1))))</f>
        <v/>
      </c>
      <c r="S544" s="25">
        <f>IF(($L$5-2)&lt;1,"",IF(541&lt;=($L$5-2),H544,INDEX($H$4:$H$603,($L$5-2))))</f>
        <v/>
      </c>
      <c r="T544" s="25">
        <f>IF(($L$5-2)&lt;1,"",IF(541&lt;=($L$5-2),I544,INDEX($I$4:$I$603,($L$5-2))))</f>
        <v/>
      </c>
    </row>
    <row r="545">
      <c r="A545" s="43" t="n"/>
      <c r="B545" s="43" t="n"/>
      <c r="C545" s="37">
        <f>IF(OR(A545="",A546=""),"",A546-A545)</f>
        <v/>
      </c>
      <c r="D545" s="37">
        <f>IF(C545="","",B546-B545)</f>
        <v/>
      </c>
      <c r="E545" s="37">
        <f>IF(C545="","",(A545+A546)/2)</f>
        <v/>
      </c>
      <c r="F545" s="25">
        <f>IF(OR(C545="",C545=0),"",D545/C545)</f>
        <v/>
      </c>
      <c r="G545" s="25">
        <f>IF(C545="","",D545/$L$6)</f>
        <v/>
      </c>
      <c r="H545" s="37">
        <f>IF(OR(F545="",F546=""),"",(E545+E546)/2)</f>
        <v/>
      </c>
      <c r="I545" s="25">
        <f>IF(H545="","",(F546-F545)/(E546-E545))</f>
        <v/>
      </c>
      <c r="P545" s="25">
        <f>IF(($L$5-1)&lt;1,"",IF(542&lt;=($L$5-1),E545,INDEX($E$4:$E$603,($L$5-1))))</f>
        <v/>
      </c>
      <c r="Q545" s="25">
        <f>IF(($L$5-1)&lt;1,"",IF(542&lt;=($L$5-1),F545,INDEX($F$4:$F$603,($L$5-1))))</f>
        <v/>
      </c>
      <c r="R545" s="25">
        <f>IF(($L$5-1)&lt;1,"",IF(542&lt;=($L$5-1),G545,INDEX($G$4:$G$603,($L$5-1))))</f>
        <v/>
      </c>
      <c r="S545" s="25">
        <f>IF(($L$5-2)&lt;1,"",IF(542&lt;=($L$5-2),H545,INDEX($H$4:$H$603,($L$5-2))))</f>
        <v/>
      </c>
      <c r="T545" s="25">
        <f>IF(($L$5-2)&lt;1,"",IF(542&lt;=($L$5-2),I545,INDEX($I$4:$I$603,($L$5-2))))</f>
        <v/>
      </c>
    </row>
    <row r="546">
      <c r="A546" s="43" t="n"/>
      <c r="B546" s="43" t="n"/>
      <c r="C546" s="37">
        <f>IF(OR(A546="",A547=""),"",A547-A546)</f>
        <v/>
      </c>
      <c r="D546" s="37">
        <f>IF(C546="","",B547-B546)</f>
        <v/>
      </c>
      <c r="E546" s="37">
        <f>IF(C546="","",(A546+A547)/2)</f>
        <v/>
      </c>
      <c r="F546" s="25">
        <f>IF(OR(C546="",C546=0),"",D546/C546)</f>
        <v/>
      </c>
      <c r="G546" s="25">
        <f>IF(C546="","",D546/$L$6)</f>
        <v/>
      </c>
      <c r="H546" s="37">
        <f>IF(OR(F546="",F547=""),"",(E546+E547)/2)</f>
        <v/>
      </c>
      <c r="I546" s="25">
        <f>IF(H546="","",(F547-F546)/(E547-E546))</f>
        <v/>
      </c>
      <c r="P546" s="25">
        <f>IF(($L$5-1)&lt;1,"",IF(543&lt;=($L$5-1),E546,INDEX($E$4:$E$603,($L$5-1))))</f>
        <v/>
      </c>
      <c r="Q546" s="25">
        <f>IF(($L$5-1)&lt;1,"",IF(543&lt;=($L$5-1),F546,INDEX($F$4:$F$603,($L$5-1))))</f>
        <v/>
      </c>
      <c r="R546" s="25">
        <f>IF(($L$5-1)&lt;1,"",IF(543&lt;=($L$5-1),G546,INDEX($G$4:$G$603,($L$5-1))))</f>
        <v/>
      </c>
      <c r="S546" s="25">
        <f>IF(($L$5-2)&lt;1,"",IF(543&lt;=($L$5-2),H546,INDEX($H$4:$H$603,($L$5-2))))</f>
        <v/>
      </c>
      <c r="T546" s="25">
        <f>IF(($L$5-2)&lt;1,"",IF(543&lt;=($L$5-2),I546,INDEX($I$4:$I$603,($L$5-2))))</f>
        <v/>
      </c>
    </row>
    <row r="547">
      <c r="A547" s="43" t="n"/>
      <c r="B547" s="43" t="n"/>
      <c r="C547" s="37">
        <f>IF(OR(A547="",A548=""),"",A548-A547)</f>
        <v/>
      </c>
      <c r="D547" s="37">
        <f>IF(C547="","",B548-B547)</f>
        <v/>
      </c>
      <c r="E547" s="37">
        <f>IF(C547="","",(A547+A548)/2)</f>
        <v/>
      </c>
      <c r="F547" s="25">
        <f>IF(OR(C547="",C547=0),"",D547/C547)</f>
        <v/>
      </c>
      <c r="G547" s="25">
        <f>IF(C547="","",D547/$L$6)</f>
        <v/>
      </c>
      <c r="H547" s="37">
        <f>IF(OR(F547="",F548=""),"",(E547+E548)/2)</f>
        <v/>
      </c>
      <c r="I547" s="25">
        <f>IF(H547="","",(F548-F547)/(E548-E547))</f>
        <v/>
      </c>
      <c r="P547" s="25">
        <f>IF(($L$5-1)&lt;1,"",IF(544&lt;=($L$5-1),E547,INDEX($E$4:$E$603,($L$5-1))))</f>
        <v/>
      </c>
      <c r="Q547" s="25">
        <f>IF(($L$5-1)&lt;1,"",IF(544&lt;=($L$5-1),F547,INDEX($F$4:$F$603,($L$5-1))))</f>
        <v/>
      </c>
      <c r="R547" s="25">
        <f>IF(($L$5-1)&lt;1,"",IF(544&lt;=($L$5-1),G547,INDEX($G$4:$G$603,($L$5-1))))</f>
        <v/>
      </c>
      <c r="S547" s="25">
        <f>IF(($L$5-2)&lt;1,"",IF(544&lt;=($L$5-2),H547,INDEX($H$4:$H$603,($L$5-2))))</f>
        <v/>
      </c>
      <c r="T547" s="25">
        <f>IF(($L$5-2)&lt;1,"",IF(544&lt;=($L$5-2),I547,INDEX($I$4:$I$603,($L$5-2))))</f>
        <v/>
      </c>
    </row>
    <row r="548">
      <c r="A548" s="43" t="n"/>
      <c r="B548" s="43" t="n"/>
      <c r="C548" s="37">
        <f>IF(OR(A548="",A549=""),"",A549-A548)</f>
        <v/>
      </c>
      <c r="D548" s="37">
        <f>IF(C548="","",B549-B548)</f>
        <v/>
      </c>
      <c r="E548" s="37">
        <f>IF(C548="","",(A548+A549)/2)</f>
        <v/>
      </c>
      <c r="F548" s="25">
        <f>IF(OR(C548="",C548=0),"",D548/C548)</f>
        <v/>
      </c>
      <c r="G548" s="25">
        <f>IF(C548="","",D548/$L$6)</f>
        <v/>
      </c>
      <c r="H548" s="37">
        <f>IF(OR(F548="",F549=""),"",(E548+E549)/2)</f>
        <v/>
      </c>
      <c r="I548" s="25">
        <f>IF(H548="","",(F549-F548)/(E549-E548))</f>
        <v/>
      </c>
      <c r="P548" s="25">
        <f>IF(($L$5-1)&lt;1,"",IF(545&lt;=($L$5-1),E548,INDEX($E$4:$E$603,($L$5-1))))</f>
        <v/>
      </c>
      <c r="Q548" s="25">
        <f>IF(($L$5-1)&lt;1,"",IF(545&lt;=($L$5-1),F548,INDEX($F$4:$F$603,($L$5-1))))</f>
        <v/>
      </c>
      <c r="R548" s="25">
        <f>IF(($L$5-1)&lt;1,"",IF(545&lt;=($L$5-1),G548,INDEX($G$4:$G$603,($L$5-1))))</f>
        <v/>
      </c>
      <c r="S548" s="25">
        <f>IF(($L$5-2)&lt;1,"",IF(545&lt;=($L$5-2),H548,INDEX($H$4:$H$603,($L$5-2))))</f>
        <v/>
      </c>
      <c r="T548" s="25">
        <f>IF(($L$5-2)&lt;1,"",IF(545&lt;=($L$5-2),I548,INDEX($I$4:$I$603,($L$5-2))))</f>
        <v/>
      </c>
    </row>
    <row r="549">
      <c r="A549" s="43" t="n"/>
      <c r="B549" s="43" t="n"/>
      <c r="C549" s="37">
        <f>IF(OR(A549="",A550=""),"",A550-A549)</f>
        <v/>
      </c>
      <c r="D549" s="37">
        <f>IF(C549="","",B550-B549)</f>
        <v/>
      </c>
      <c r="E549" s="37">
        <f>IF(C549="","",(A549+A550)/2)</f>
        <v/>
      </c>
      <c r="F549" s="25">
        <f>IF(OR(C549="",C549=0),"",D549/C549)</f>
        <v/>
      </c>
      <c r="G549" s="25">
        <f>IF(C549="","",D549/$L$6)</f>
        <v/>
      </c>
      <c r="H549" s="37">
        <f>IF(OR(F549="",F550=""),"",(E549+E550)/2)</f>
        <v/>
      </c>
      <c r="I549" s="25">
        <f>IF(H549="","",(F550-F549)/(E550-E549))</f>
        <v/>
      </c>
      <c r="P549" s="25">
        <f>IF(($L$5-1)&lt;1,"",IF(546&lt;=($L$5-1),E549,INDEX($E$4:$E$603,($L$5-1))))</f>
        <v/>
      </c>
      <c r="Q549" s="25">
        <f>IF(($L$5-1)&lt;1,"",IF(546&lt;=($L$5-1),F549,INDEX($F$4:$F$603,($L$5-1))))</f>
        <v/>
      </c>
      <c r="R549" s="25">
        <f>IF(($L$5-1)&lt;1,"",IF(546&lt;=($L$5-1),G549,INDEX($G$4:$G$603,($L$5-1))))</f>
        <v/>
      </c>
      <c r="S549" s="25">
        <f>IF(($L$5-2)&lt;1,"",IF(546&lt;=($L$5-2),H549,INDEX($H$4:$H$603,($L$5-2))))</f>
        <v/>
      </c>
      <c r="T549" s="25">
        <f>IF(($L$5-2)&lt;1,"",IF(546&lt;=($L$5-2),I549,INDEX($I$4:$I$603,($L$5-2))))</f>
        <v/>
      </c>
    </row>
    <row r="550">
      <c r="A550" s="43" t="n"/>
      <c r="B550" s="43" t="n"/>
      <c r="C550" s="37">
        <f>IF(OR(A550="",A551=""),"",A551-A550)</f>
        <v/>
      </c>
      <c r="D550" s="37">
        <f>IF(C550="","",B551-B550)</f>
        <v/>
      </c>
      <c r="E550" s="37">
        <f>IF(C550="","",(A550+A551)/2)</f>
        <v/>
      </c>
      <c r="F550" s="25">
        <f>IF(OR(C550="",C550=0),"",D550/C550)</f>
        <v/>
      </c>
      <c r="G550" s="25">
        <f>IF(C550="","",D550/$L$6)</f>
        <v/>
      </c>
      <c r="H550" s="37">
        <f>IF(OR(F550="",F551=""),"",(E550+E551)/2)</f>
        <v/>
      </c>
      <c r="I550" s="25">
        <f>IF(H550="","",(F551-F550)/(E551-E550))</f>
        <v/>
      </c>
      <c r="P550" s="25">
        <f>IF(($L$5-1)&lt;1,"",IF(547&lt;=($L$5-1),E550,INDEX($E$4:$E$603,($L$5-1))))</f>
        <v/>
      </c>
      <c r="Q550" s="25">
        <f>IF(($L$5-1)&lt;1,"",IF(547&lt;=($L$5-1),F550,INDEX($F$4:$F$603,($L$5-1))))</f>
        <v/>
      </c>
      <c r="R550" s="25">
        <f>IF(($L$5-1)&lt;1,"",IF(547&lt;=($L$5-1),G550,INDEX($G$4:$G$603,($L$5-1))))</f>
        <v/>
      </c>
      <c r="S550" s="25">
        <f>IF(($L$5-2)&lt;1,"",IF(547&lt;=($L$5-2),H550,INDEX($H$4:$H$603,($L$5-2))))</f>
        <v/>
      </c>
      <c r="T550" s="25">
        <f>IF(($L$5-2)&lt;1,"",IF(547&lt;=($L$5-2),I550,INDEX($I$4:$I$603,($L$5-2))))</f>
        <v/>
      </c>
    </row>
    <row r="551">
      <c r="A551" s="43" t="n"/>
      <c r="B551" s="43" t="n"/>
      <c r="C551" s="37">
        <f>IF(OR(A551="",A552=""),"",A552-A551)</f>
        <v/>
      </c>
      <c r="D551" s="37">
        <f>IF(C551="","",B552-B551)</f>
        <v/>
      </c>
      <c r="E551" s="37">
        <f>IF(C551="","",(A551+A552)/2)</f>
        <v/>
      </c>
      <c r="F551" s="25">
        <f>IF(OR(C551="",C551=0),"",D551/C551)</f>
        <v/>
      </c>
      <c r="G551" s="25">
        <f>IF(C551="","",D551/$L$6)</f>
        <v/>
      </c>
      <c r="H551" s="37">
        <f>IF(OR(F551="",F552=""),"",(E551+E552)/2)</f>
        <v/>
      </c>
      <c r="I551" s="25">
        <f>IF(H551="","",(F552-F551)/(E552-E551))</f>
        <v/>
      </c>
      <c r="P551" s="25">
        <f>IF(($L$5-1)&lt;1,"",IF(548&lt;=($L$5-1),E551,INDEX($E$4:$E$603,($L$5-1))))</f>
        <v/>
      </c>
      <c r="Q551" s="25">
        <f>IF(($L$5-1)&lt;1,"",IF(548&lt;=($L$5-1),F551,INDEX($F$4:$F$603,($L$5-1))))</f>
        <v/>
      </c>
      <c r="R551" s="25">
        <f>IF(($L$5-1)&lt;1,"",IF(548&lt;=($L$5-1),G551,INDEX($G$4:$G$603,($L$5-1))))</f>
        <v/>
      </c>
      <c r="S551" s="25">
        <f>IF(($L$5-2)&lt;1,"",IF(548&lt;=($L$5-2),H551,INDEX($H$4:$H$603,($L$5-2))))</f>
        <v/>
      </c>
      <c r="T551" s="25">
        <f>IF(($L$5-2)&lt;1,"",IF(548&lt;=($L$5-2),I551,INDEX($I$4:$I$603,($L$5-2))))</f>
        <v/>
      </c>
    </row>
    <row r="552">
      <c r="A552" s="43" t="n"/>
      <c r="B552" s="43" t="n"/>
      <c r="C552" s="37">
        <f>IF(OR(A552="",A553=""),"",A553-A552)</f>
        <v/>
      </c>
      <c r="D552" s="37">
        <f>IF(C552="","",B553-B552)</f>
        <v/>
      </c>
      <c r="E552" s="37">
        <f>IF(C552="","",(A552+A553)/2)</f>
        <v/>
      </c>
      <c r="F552" s="25">
        <f>IF(OR(C552="",C552=0),"",D552/C552)</f>
        <v/>
      </c>
      <c r="G552" s="25">
        <f>IF(C552="","",D552/$L$6)</f>
        <v/>
      </c>
      <c r="H552" s="37">
        <f>IF(OR(F552="",F553=""),"",(E552+E553)/2)</f>
        <v/>
      </c>
      <c r="I552" s="25">
        <f>IF(H552="","",(F553-F552)/(E553-E552))</f>
        <v/>
      </c>
      <c r="P552" s="25">
        <f>IF(($L$5-1)&lt;1,"",IF(549&lt;=($L$5-1),E552,INDEX($E$4:$E$603,($L$5-1))))</f>
        <v/>
      </c>
      <c r="Q552" s="25">
        <f>IF(($L$5-1)&lt;1,"",IF(549&lt;=($L$5-1),F552,INDEX($F$4:$F$603,($L$5-1))))</f>
        <v/>
      </c>
      <c r="R552" s="25">
        <f>IF(($L$5-1)&lt;1,"",IF(549&lt;=($L$5-1),G552,INDEX($G$4:$G$603,($L$5-1))))</f>
        <v/>
      </c>
      <c r="S552" s="25">
        <f>IF(($L$5-2)&lt;1,"",IF(549&lt;=($L$5-2),H552,INDEX($H$4:$H$603,($L$5-2))))</f>
        <v/>
      </c>
      <c r="T552" s="25">
        <f>IF(($L$5-2)&lt;1,"",IF(549&lt;=($L$5-2),I552,INDEX($I$4:$I$603,($L$5-2))))</f>
        <v/>
      </c>
    </row>
    <row r="553">
      <c r="A553" s="43" t="n"/>
      <c r="B553" s="43" t="n"/>
      <c r="C553" s="37">
        <f>IF(OR(A553="",A554=""),"",A554-A553)</f>
        <v/>
      </c>
      <c r="D553" s="37">
        <f>IF(C553="","",B554-B553)</f>
        <v/>
      </c>
      <c r="E553" s="37">
        <f>IF(C553="","",(A553+A554)/2)</f>
        <v/>
      </c>
      <c r="F553" s="25">
        <f>IF(OR(C553="",C553=0),"",D553/C553)</f>
        <v/>
      </c>
      <c r="G553" s="25">
        <f>IF(C553="","",D553/$L$6)</f>
        <v/>
      </c>
      <c r="H553" s="37">
        <f>IF(OR(F553="",F554=""),"",(E553+E554)/2)</f>
        <v/>
      </c>
      <c r="I553" s="25">
        <f>IF(H553="","",(F554-F553)/(E554-E553))</f>
        <v/>
      </c>
      <c r="P553" s="25">
        <f>IF(($L$5-1)&lt;1,"",IF(550&lt;=($L$5-1),E553,INDEX($E$4:$E$603,($L$5-1))))</f>
        <v/>
      </c>
      <c r="Q553" s="25">
        <f>IF(($L$5-1)&lt;1,"",IF(550&lt;=($L$5-1),F553,INDEX($F$4:$F$603,($L$5-1))))</f>
        <v/>
      </c>
      <c r="R553" s="25">
        <f>IF(($L$5-1)&lt;1,"",IF(550&lt;=($L$5-1),G553,INDEX($G$4:$G$603,($L$5-1))))</f>
        <v/>
      </c>
      <c r="S553" s="25">
        <f>IF(($L$5-2)&lt;1,"",IF(550&lt;=($L$5-2),H553,INDEX($H$4:$H$603,($L$5-2))))</f>
        <v/>
      </c>
      <c r="T553" s="25">
        <f>IF(($L$5-2)&lt;1,"",IF(550&lt;=($L$5-2),I553,INDEX($I$4:$I$603,($L$5-2))))</f>
        <v/>
      </c>
    </row>
    <row r="554">
      <c r="A554" s="43" t="n"/>
      <c r="B554" s="43" t="n"/>
      <c r="C554" s="37">
        <f>IF(OR(A554="",A555=""),"",A555-A554)</f>
        <v/>
      </c>
      <c r="D554" s="37">
        <f>IF(C554="","",B555-B554)</f>
        <v/>
      </c>
      <c r="E554" s="37">
        <f>IF(C554="","",(A554+A555)/2)</f>
        <v/>
      </c>
      <c r="F554" s="25">
        <f>IF(OR(C554="",C554=0),"",D554/C554)</f>
        <v/>
      </c>
      <c r="G554" s="25">
        <f>IF(C554="","",D554/$L$6)</f>
        <v/>
      </c>
      <c r="H554" s="37">
        <f>IF(OR(F554="",F555=""),"",(E554+E555)/2)</f>
        <v/>
      </c>
      <c r="I554" s="25">
        <f>IF(H554="","",(F555-F554)/(E555-E554))</f>
        <v/>
      </c>
      <c r="P554" s="25">
        <f>IF(($L$5-1)&lt;1,"",IF(551&lt;=($L$5-1),E554,INDEX($E$4:$E$603,($L$5-1))))</f>
        <v/>
      </c>
      <c r="Q554" s="25">
        <f>IF(($L$5-1)&lt;1,"",IF(551&lt;=($L$5-1),F554,INDEX($F$4:$F$603,($L$5-1))))</f>
        <v/>
      </c>
      <c r="R554" s="25">
        <f>IF(($L$5-1)&lt;1,"",IF(551&lt;=($L$5-1),G554,INDEX($G$4:$G$603,($L$5-1))))</f>
        <v/>
      </c>
      <c r="S554" s="25">
        <f>IF(($L$5-2)&lt;1,"",IF(551&lt;=($L$5-2),H554,INDEX($H$4:$H$603,($L$5-2))))</f>
        <v/>
      </c>
      <c r="T554" s="25">
        <f>IF(($L$5-2)&lt;1,"",IF(551&lt;=($L$5-2),I554,INDEX($I$4:$I$603,($L$5-2))))</f>
        <v/>
      </c>
    </row>
    <row r="555">
      <c r="A555" s="43" t="n"/>
      <c r="B555" s="43" t="n"/>
      <c r="C555" s="37">
        <f>IF(OR(A555="",A556=""),"",A556-A555)</f>
        <v/>
      </c>
      <c r="D555" s="37">
        <f>IF(C555="","",B556-B555)</f>
        <v/>
      </c>
      <c r="E555" s="37">
        <f>IF(C555="","",(A555+A556)/2)</f>
        <v/>
      </c>
      <c r="F555" s="25">
        <f>IF(OR(C555="",C555=0),"",D555/C555)</f>
        <v/>
      </c>
      <c r="G555" s="25">
        <f>IF(C555="","",D555/$L$6)</f>
        <v/>
      </c>
      <c r="H555" s="37">
        <f>IF(OR(F555="",F556=""),"",(E555+E556)/2)</f>
        <v/>
      </c>
      <c r="I555" s="25">
        <f>IF(H555="","",(F556-F555)/(E556-E555))</f>
        <v/>
      </c>
      <c r="P555" s="25">
        <f>IF(($L$5-1)&lt;1,"",IF(552&lt;=($L$5-1),E555,INDEX($E$4:$E$603,($L$5-1))))</f>
        <v/>
      </c>
      <c r="Q555" s="25">
        <f>IF(($L$5-1)&lt;1,"",IF(552&lt;=($L$5-1),F555,INDEX($F$4:$F$603,($L$5-1))))</f>
        <v/>
      </c>
      <c r="R555" s="25">
        <f>IF(($L$5-1)&lt;1,"",IF(552&lt;=($L$5-1),G555,INDEX($G$4:$G$603,($L$5-1))))</f>
        <v/>
      </c>
      <c r="S555" s="25">
        <f>IF(($L$5-2)&lt;1,"",IF(552&lt;=($L$5-2),H555,INDEX($H$4:$H$603,($L$5-2))))</f>
        <v/>
      </c>
      <c r="T555" s="25">
        <f>IF(($L$5-2)&lt;1,"",IF(552&lt;=($L$5-2),I555,INDEX($I$4:$I$603,($L$5-2))))</f>
        <v/>
      </c>
    </row>
    <row r="556">
      <c r="A556" s="43" t="n"/>
      <c r="B556" s="43" t="n"/>
      <c r="C556" s="37">
        <f>IF(OR(A556="",A557=""),"",A557-A556)</f>
        <v/>
      </c>
      <c r="D556" s="37">
        <f>IF(C556="","",B557-B556)</f>
        <v/>
      </c>
      <c r="E556" s="37">
        <f>IF(C556="","",(A556+A557)/2)</f>
        <v/>
      </c>
      <c r="F556" s="25">
        <f>IF(OR(C556="",C556=0),"",D556/C556)</f>
        <v/>
      </c>
      <c r="G556" s="25">
        <f>IF(C556="","",D556/$L$6)</f>
        <v/>
      </c>
      <c r="H556" s="37">
        <f>IF(OR(F556="",F557=""),"",(E556+E557)/2)</f>
        <v/>
      </c>
      <c r="I556" s="25">
        <f>IF(H556="","",(F557-F556)/(E557-E556))</f>
        <v/>
      </c>
      <c r="P556" s="25">
        <f>IF(($L$5-1)&lt;1,"",IF(553&lt;=($L$5-1),E556,INDEX($E$4:$E$603,($L$5-1))))</f>
        <v/>
      </c>
      <c r="Q556" s="25">
        <f>IF(($L$5-1)&lt;1,"",IF(553&lt;=($L$5-1),F556,INDEX($F$4:$F$603,($L$5-1))))</f>
        <v/>
      </c>
      <c r="R556" s="25">
        <f>IF(($L$5-1)&lt;1,"",IF(553&lt;=($L$5-1),G556,INDEX($G$4:$G$603,($L$5-1))))</f>
        <v/>
      </c>
      <c r="S556" s="25">
        <f>IF(($L$5-2)&lt;1,"",IF(553&lt;=($L$5-2),H556,INDEX($H$4:$H$603,($L$5-2))))</f>
        <v/>
      </c>
      <c r="T556" s="25">
        <f>IF(($L$5-2)&lt;1,"",IF(553&lt;=($L$5-2),I556,INDEX($I$4:$I$603,($L$5-2))))</f>
        <v/>
      </c>
    </row>
    <row r="557">
      <c r="A557" s="43" t="n"/>
      <c r="B557" s="43" t="n"/>
      <c r="C557" s="37">
        <f>IF(OR(A557="",A558=""),"",A558-A557)</f>
        <v/>
      </c>
      <c r="D557" s="37">
        <f>IF(C557="","",B558-B557)</f>
        <v/>
      </c>
      <c r="E557" s="37">
        <f>IF(C557="","",(A557+A558)/2)</f>
        <v/>
      </c>
      <c r="F557" s="25">
        <f>IF(OR(C557="",C557=0),"",D557/C557)</f>
        <v/>
      </c>
      <c r="G557" s="25">
        <f>IF(C557="","",D557/$L$6)</f>
        <v/>
      </c>
      <c r="H557" s="37">
        <f>IF(OR(F557="",F558=""),"",(E557+E558)/2)</f>
        <v/>
      </c>
      <c r="I557" s="25">
        <f>IF(H557="","",(F558-F557)/(E558-E557))</f>
        <v/>
      </c>
      <c r="P557" s="25">
        <f>IF(($L$5-1)&lt;1,"",IF(554&lt;=($L$5-1),E557,INDEX($E$4:$E$603,($L$5-1))))</f>
        <v/>
      </c>
      <c r="Q557" s="25">
        <f>IF(($L$5-1)&lt;1,"",IF(554&lt;=($L$5-1),F557,INDEX($F$4:$F$603,($L$5-1))))</f>
        <v/>
      </c>
      <c r="R557" s="25">
        <f>IF(($L$5-1)&lt;1,"",IF(554&lt;=($L$5-1),G557,INDEX($G$4:$G$603,($L$5-1))))</f>
        <v/>
      </c>
      <c r="S557" s="25">
        <f>IF(($L$5-2)&lt;1,"",IF(554&lt;=($L$5-2),H557,INDEX($H$4:$H$603,($L$5-2))))</f>
        <v/>
      </c>
      <c r="T557" s="25">
        <f>IF(($L$5-2)&lt;1,"",IF(554&lt;=($L$5-2),I557,INDEX($I$4:$I$603,($L$5-2))))</f>
        <v/>
      </c>
    </row>
    <row r="558">
      <c r="A558" s="43" t="n"/>
      <c r="B558" s="43" t="n"/>
      <c r="C558" s="37">
        <f>IF(OR(A558="",A559=""),"",A559-A558)</f>
        <v/>
      </c>
      <c r="D558" s="37">
        <f>IF(C558="","",B559-B558)</f>
        <v/>
      </c>
      <c r="E558" s="37">
        <f>IF(C558="","",(A558+A559)/2)</f>
        <v/>
      </c>
      <c r="F558" s="25">
        <f>IF(OR(C558="",C558=0),"",D558/C558)</f>
        <v/>
      </c>
      <c r="G558" s="25">
        <f>IF(C558="","",D558/$L$6)</f>
        <v/>
      </c>
      <c r="H558" s="37">
        <f>IF(OR(F558="",F559=""),"",(E558+E559)/2)</f>
        <v/>
      </c>
      <c r="I558" s="25">
        <f>IF(H558="","",(F559-F558)/(E559-E558))</f>
        <v/>
      </c>
      <c r="P558" s="25">
        <f>IF(($L$5-1)&lt;1,"",IF(555&lt;=($L$5-1),E558,INDEX($E$4:$E$603,($L$5-1))))</f>
        <v/>
      </c>
      <c r="Q558" s="25">
        <f>IF(($L$5-1)&lt;1,"",IF(555&lt;=($L$5-1),F558,INDEX($F$4:$F$603,($L$5-1))))</f>
        <v/>
      </c>
      <c r="R558" s="25">
        <f>IF(($L$5-1)&lt;1,"",IF(555&lt;=($L$5-1),G558,INDEX($G$4:$G$603,($L$5-1))))</f>
        <v/>
      </c>
      <c r="S558" s="25">
        <f>IF(($L$5-2)&lt;1,"",IF(555&lt;=($L$5-2),H558,INDEX($H$4:$H$603,($L$5-2))))</f>
        <v/>
      </c>
      <c r="T558" s="25">
        <f>IF(($L$5-2)&lt;1,"",IF(555&lt;=($L$5-2),I558,INDEX($I$4:$I$603,($L$5-2))))</f>
        <v/>
      </c>
    </row>
    <row r="559">
      <c r="A559" s="43" t="n"/>
      <c r="B559" s="43" t="n"/>
      <c r="C559" s="37">
        <f>IF(OR(A559="",A560=""),"",A560-A559)</f>
        <v/>
      </c>
      <c r="D559" s="37">
        <f>IF(C559="","",B560-B559)</f>
        <v/>
      </c>
      <c r="E559" s="37">
        <f>IF(C559="","",(A559+A560)/2)</f>
        <v/>
      </c>
      <c r="F559" s="25">
        <f>IF(OR(C559="",C559=0),"",D559/C559)</f>
        <v/>
      </c>
      <c r="G559" s="25">
        <f>IF(C559="","",D559/$L$6)</f>
        <v/>
      </c>
      <c r="H559" s="37">
        <f>IF(OR(F559="",F560=""),"",(E559+E560)/2)</f>
        <v/>
      </c>
      <c r="I559" s="25">
        <f>IF(H559="","",(F560-F559)/(E560-E559))</f>
        <v/>
      </c>
      <c r="P559" s="25">
        <f>IF(($L$5-1)&lt;1,"",IF(556&lt;=($L$5-1),E559,INDEX($E$4:$E$603,($L$5-1))))</f>
        <v/>
      </c>
      <c r="Q559" s="25">
        <f>IF(($L$5-1)&lt;1,"",IF(556&lt;=($L$5-1),F559,INDEX($F$4:$F$603,($L$5-1))))</f>
        <v/>
      </c>
      <c r="R559" s="25">
        <f>IF(($L$5-1)&lt;1,"",IF(556&lt;=($L$5-1),G559,INDEX($G$4:$G$603,($L$5-1))))</f>
        <v/>
      </c>
      <c r="S559" s="25">
        <f>IF(($L$5-2)&lt;1,"",IF(556&lt;=($L$5-2),H559,INDEX($H$4:$H$603,($L$5-2))))</f>
        <v/>
      </c>
      <c r="T559" s="25">
        <f>IF(($L$5-2)&lt;1,"",IF(556&lt;=($L$5-2),I559,INDEX($I$4:$I$603,($L$5-2))))</f>
        <v/>
      </c>
    </row>
    <row r="560">
      <c r="A560" s="43" t="n"/>
      <c r="B560" s="43" t="n"/>
      <c r="C560" s="37">
        <f>IF(OR(A560="",A561=""),"",A561-A560)</f>
        <v/>
      </c>
      <c r="D560" s="37">
        <f>IF(C560="","",B561-B560)</f>
        <v/>
      </c>
      <c r="E560" s="37">
        <f>IF(C560="","",(A560+A561)/2)</f>
        <v/>
      </c>
      <c r="F560" s="25">
        <f>IF(OR(C560="",C560=0),"",D560/C560)</f>
        <v/>
      </c>
      <c r="G560" s="25">
        <f>IF(C560="","",D560/$L$6)</f>
        <v/>
      </c>
      <c r="H560" s="37">
        <f>IF(OR(F560="",F561=""),"",(E560+E561)/2)</f>
        <v/>
      </c>
      <c r="I560" s="25">
        <f>IF(H560="","",(F561-F560)/(E561-E560))</f>
        <v/>
      </c>
      <c r="P560" s="25">
        <f>IF(($L$5-1)&lt;1,"",IF(557&lt;=($L$5-1),E560,INDEX($E$4:$E$603,($L$5-1))))</f>
        <v/>
      </c>
      <c r="Q560" s="25">
        <f>IF(($L$5-1)&lt;1,"",IF(557&lt;=($L$5-1),F560,INDEX($F$4:$F$603,($L$5-1))))</f>
        <v/>
      </c>
      <c r="R560" s="25">
        <f>IF(($L$5-1)&lt;1,"",IF(557&lt;=($L$5-1),G560,INDEX($G$4:$G$603,($L$5-1))))</f>
        <v/>
      </c>
      <c r="S560" s="25">
        <f>IF(($L$5-2)&lt;1,"",IF(557&lt;=($L$5-2),H560,INDEX($H$4:$H$603,($L$5-2))))</f>
        <v/>
      </c>
      <c r="T560" s="25">
        <f>IF(($L$5-2)&lt;1,"",IF(557&lt;=($L$5-2),I560,INDEX($I$4:$I$603,($L$5-2))))</f>
        <v/>
      </c>
    </row>
    <row r="561">
      <c r="A561" s="43" t="n"/>
      <c r="B561" s="43" t="n"/>
      <c r="C561" s="37">
        <f>IF(OR(A561="",A562=""),"",A562-A561)</f>
        <v/>
      </c>
      <c r="D561" s="37">
        <f>IF(C561="","",B562-B561)</f>
        <v/>
      </c>
      <c r="E561" s="37">
        <f>IF(C561="","",(A561+A562)/2)</f>
        <v/>
      </c>
      <c r="F561" s="25">
        <f>IF(OR(C561="",C561=0),"",D561/C561)</f>
        <v/>
      </c>
      <c r="G561" s="25">
        <f>IF(C561="","",D561/$L$6)</f>
        <v/>
      </c>
      <c r="H561" s="37">
        <f>IF(OR(F561="",F562=""),"",(E561+E562)/2)</f>
        <v/>
      </c>
      <c r="I561" s="25">
        <f>IF(H561="","",(F562-F561)/(E562-E561))</f>
        <v/>
      </c>
      <c r="P561" s="25">
        <f>IF(($L$5-1)&lt;1,"",IF(558&lt;=($L$5-1),E561,INDEX($E$4:$E$603,($L$5-1))))</f>
        <v/>
      </c>
      <c r="Q561" s="25">
        <f>IF(($L$5-1)&lt;1,"",IF(558&lt;=($L$5-1),F561,INDEX($F$4:$F$603,($L$5-1))))</f>
        <v/>
      </c>
      <c r="R561" s="25">
        <f>IF(($L$5-1)&lt;1,"",IF(558&lt;=($L$5-1),G561,INDEX($G$4:$G$603,($L$5-1))))</f>
        <v/>
      </c>
      <c r="S561" s="25">
        <f>IF(($L$5-2)&lt;1,"",IF(558&lt;=($L$5-2),H561,INDEX($H$4:$H$603,($L$5-2))))</f>
        <v/>
      </c>
      <c r="T561" s="25">
        <f>IF(($L$5-2)&lt;1,"",IF(558&lt;=($L$5-2),I561,INDEX($I$4:$I$603,($L$5-2))))</f>
        <v/>
      </c>
    </row>
    <row r="562">
      <c r="A562" s="43" t="n"/>
      <c r="B562" s="43" t="n"/>
      <c r="C562" s="37">
        <f>IF(OR(A562="",A563=""),"",A563-A562)</f>
        <v/>
      </c>
      <c r="D562" s="37">
        <f>IF(C562="","",B563-B562)</f>
        <v/>
      </c>
      <c r="E562" s="37">
        <f>IF(C562="","",(A562+A563)/2)</f>
        <v/>
      </c>
      <c r="F562" s="25">
        <f>IF(OR(C562="",C562=0),"",D562/C562)</f>
        <v/>
      </c>
      <c r="G562" s="25">
        <f>IF(C562="","",D562/$L$6)</f>
        <v/>
      </c>
      <c r="H562" s="37">
        <f>IF(OR(F562="",F563=""),"",(E562+E563)/2)</f>
        <v/>
      </c>
      <c r="I562" s="25">
        <f>IF(H562="","",(F563-F562)/(E563-E562))</f>
        <v/>
      </c>
      <c r="P562" s="25">
        <f>IF(($L$5-1)&lt;1,"",IF(559&lt;=($L$5-1),E562,INDEX($E$4:$E$603,($L$5-1))))</f>
        <v/>
      </c>
      <c r="Q562" s="25">
        <f>IF(($L$5-1)&lt;1,"",IF(559&lt;=($L$5-1),F562,INDEX($F$4:$F$603,($L$5-1))))</f>
        <v/>
      </c>
      <c r="R562" s="25">
        <f>IF(($L$5-1)&lt;1,"",IF(559&lt;=($L$5-1),G562,INDEX($G$4:$G$603,($L$5-1))))</f>
        <v/>
      </c>
      <c r="S562" s="25">
        <f>IF(($L$5-2)&lt;1,"",IF(559&lt;=($L$5-2),H562,INDEX($H$4:$H$603,($L$5-2))))</f>
        <v/>
      </c>
      <c r="T562" s="25">
        <f>IF(($L$5-2)&lt;1,"",IF(559&lt;=($L$5-2),I562,INDEX($I$4:$I$603,($L$5-2))))</f>
        <v/>
      </c>
    </row>
    <row r="563">
      <c r="A563" s="43" t="n"/>
      <c r="B563" s="43" t="n"/>
      <c r="C563" s="37">
        <f>IF(OR(A563="",A564=""),"",A564-A563)</f>
        <v/>
      </c>
      <c r="D563" s="37">
        <f>IF(C563="","",B564-B563)</f>
        <v/>
      </c>
      <c r="E563" s="37">
        <f>IF(C563="","",(A563+A564)/2)</f>
        <v/>
      </c>
      <c r="F563" s="25">
        <f>IF(OR(C563="",C563=0),"",D563/C563)</f>
        <v/>
      </c>
      <c r="G563" s="25">
        <f>IF(C563="","",D563/$L$6)</f>
        <v/>
      </c>
      <c r="H563" s="37">
        <f>IF(OR(F563="",F564=""),"",(E563+E564)/2)</f>
        <v/>
      </c>
      <c r="I563" s="25">
        <f>IF(H563="","",(F564-F563)/(E564-E563))</f>
        <v/>
      </c>
      <c r="P563" s="25">
        <f>IF(($L$5-1)&lt;1,"",IF(560&lt;=($L$5-1),E563,INDEX($E$4:$E$603,($L$5-1))))</f>
        <v/>
      </c>
      <c r="Q563" s="25">
        <f>IF(($L$5-1)&lt;1,"",IF(560&lt;=($L$5-1),F563,INDEX($F$4:$F$603,($L$5-1))))</f>
        <v/>
      </c>
      <c r="R563" s="25">
        <f>IF(($L$5-1)&lt;1,"",IF(560&lt;=($L$5-1),G563,INDEX($G$4:$G$603,($L$5-1))))</f>
        <v/>
      </c>
      <c r="S563" s="25">
        <f>IF(($L$5-2)&lt;1,"",IF(560&lt;=($L$5-2),H563,INDEX($H$4:$H$603,($L$5-2))))</f>
        <v/>
      </c>
      <c r="T563" s="25">
        <f>IF(($L$5-2)&lt;1,"",IF(560&lt;=($L$5-2),I563,INDEX($I$4:$I$603,($L$5-2))))</f>
        <v/>
      </c>
    </row>
    <row r="564">
      <c r="A564" s="43" t="n"/>
      <c r="B564" s="43" t="n"/>
      <c r="C564" s="37">
        <f>IF(OR(A564="",A565=""),"",A565-A564)</f>
        <v/>
      </c>
      <c r="D564" s="37">
        <f>IF(C564="","",B565-B564)</f>
        <v/>
      </c>
      <c r="E564" s="37">
        <f>IF(C564="","",(A564+A565)/2)</f>
        <v/>
      </c>
      <c r="F564" s="25">
        <f>IF(OR(C564="",C564=0),"",D564/C564)</f>
        <v/>
      </c>
      <c r="G564" s="25">
        <f>IF(C564="","",D564/$L$6)</f>
        <v/>
      </c>
      <c r="H564" s="37">
        <f>IF(OR(F564="",F565=""),"",(E564+E565)/2)</f>
        <v/>
      </c>
      <c r="I564" s="25">
        <f>IF(H564="","",(F565-F564)/(E565-E564))</f>
        <v/>
      </c>
      <c r="P564" s="25">
        <f>IF(($L$5-1)&lt;1,"",IF(561&lt;=($L$5-1),E564,INDEX($E$4:$E$603,($L$5-1))))</f>
        <v/>
      </c>
      <c r="Q564" s="25">
        <f>IF(($L$5-1)&lt;1,"",IF(561&lt;=($L$5-1),F564,INDEX($F$4:$F$603,($L$5-1))))</f>
        <v/>
      </c>
      <c r="R564" s="25">
        <f>IF(($L$5-1)&lt;1,"",IF(561&lt;=($L$5-1),G564,INDEX($G$4:$G$603,($L$5-1))))</f>
        <v/>
      </c>
      <c r="S564" s="25">
        <f>IF(($L$5-2)&lt;1,"",IF(561&lt;=($L$5-2),H564,INDEX($H$4:$H$603,($L$5-2))))</f>
        <v/>
      </c>
      <c r="T564" s="25">
        <f>IF(($L$5-2)&lt;1,"",IF(561&lt;=($L$5-2),I564,INDEX($I$4:$I$603,($L$5-2))))</f>
        <v/>
      </c>
    </row>
    <row r="565">
      <c r="A565" s="43" t="n"/>
      <c r="B565" s="43" t="n"/>
      <c r="C565" s="37">
        <f>IF(OR(A565="",A566=""),"",A566-A565)</f>
        <v/>
      </c>
      <c r="D565" s="37">
        <f>IF(C565="","",B566-B565)</f>
        <v/>
      </c>
      <c r="E565" s="37">
        <f>IF(C565="","",(A565+A566)/2)</f>
        <v/>
      </c>
      <c r="F565" s="25">
        <f>IF(OR(C565="",C565=0),"",D565/C565)</f>
        <v/>
      </c>
      <c r="G565" s="25">
        <f>IF(C565="","",D565/$L$6)</f>
        <v/>
      </c>
      <c r="H565" s="37">
        <f>IF(OR(F565="",F566=""),"",(E565+E566)/2)</f>
        <v/>
      </c>
      <c r="I565" s="25">
        <f>IF(H565="","",(F566-F565)/(E566-E565))</f>
        <v/>
      </c>
      <c r="P565" s="25">
        <f>IF(($L$5-1)&lt;1,"",IF(562&lt;=($L$5-1),E565,INDEX($E$4:$E$603,($L$5-1))))</f>
        <v/>
      </c>
      <c r="Q565" s="25">
        <f>IF(($L$5-1)&lt;1,"",IF(562&lt;=($L$5-1),F565,INDEX($F$4:$F$603,($L$5-1))))</f>
        <v/>
      </c>
      <c r="R565" s="25">
        <f>IF(($L$5-1)&lt;1,"",IF(562&lt;=($L$5-1),G565,INDEX($G$4:$G$603,($L$5-1))))</f>
        <v/>
      </c>
      <c r="S565" s="25">
        <f>IF(($L$5-2)&lt;1,"",IF(562&lt;=($L$5-2),H565,INDEX($H$4:$H$603,($L$5-2))))</f>
        <v/>
      </c>
      <c r="T565" s="25">
        <f>IF(($L$5-2)&lt;1,"",IF(562&lt;=($L$5-2),I565,INDEX($I$4:$I$603,($L$5-2))))</f>
        <v/>
      </c>
    </row>
    <row r="566">
      <c r="A566" s="43" t="n"/>
      <c r="B566" s="43" t="n"/>
      <c r="C566" s="37">
        <f>IF(OR(A566="",A567=""),"",A567-A566)</f>
        <v/>
      </c>
      <c r="D566" s="37">
        <f>IF(C566="","",B567-B566)</f>
        <v/>
      </c>
      <c r="E566" s="37">
        <f>IF(C566="","",(A566+A567)/2)</f>
        <v/>
      </c>
      <c r="F566" s="25">
        <f>IF(OR(C566="",C566=0),"",D566/C566)</f>
        <v/>
      </c>
      <c r="G566" s="25">
        <f>IF(C566="","",D566/$L$6)</f>
        <v/>
      </c>
      <c r="H566" s="37">
        <f>IF(OR(F566="",F567=""),"",(E566+E567)/2)</f>
        <v/>
      </c>
      <c r="I566" s="25">
        <f>IF(H566="","",(F567-F566)/(E567-E566))</f>
        <v/>
      </c>
      <c r="P566" s="25">
        <f>IF(($L$5-1)&lt;1,"",IF(563&lt;=($L$5-1),E566,INDEX($E$4:$E$603,($L$5-1))))</f>
        <v/>
      </c>
      <c r="Q566" s="25">
        <f>IF(($L$5-1)&lt;1,"",IF(563&lt;=($L$5-1),F566,INDEX($F$4:$F$603,($L$5-1))))</f>
        <v/>
      </c>
      <c r="R566" s="25">
        <f>IF(($L$5-1)&lt;1,"",IF(563&lt;=($L$5-1),G566,INDEX($G$4:$G$603,($L$5-1))))</f>
        <v/>
      </c>
      <c r="S566" s="25">
        <f>IF(($L$5-2)&lt;1,"",IF(563&lt;=($L$5-2),H566,INDEX($H$4:$H$603,($L$5-2))))</f>
        <v/>
      </c>
      <c r="T566" s="25">
        <f>IF(($L$5-2)&lt;1,"",IF(563&lt;=($L$5-2),I566,INDEX($I$4:$I$603,($L$5-2))))</f>
        <v/>
      </c>
    </row>
    <row r="567">
      <c r="A567" s="43" t="n"/>
      <c r="B567" s="43" t="n"/>
      <c r="C567" s="37">
        <f>IF(OR(A567="",A568=""),"",A568-A567)</f>
        <v/>
      </c>
      <c r="D567" s="37">
        <f>IF(C567="","",B568-B567)</f>
        <v/>
      </c>
      <c r="E567" s="37">
        <f>IF(C567="","",(A567+A568)/2)</f>
        <v/>
      </c>
      <c r="F567" s="25">
        <f>IF(OR(C567="",C567=0),"",D567/C567)</f>
        <v/>
      </c>
      <c r="G567" s="25">
        <f>IF(C567="","",D567/$L$6)</f>
        <v/>
      </c>
      <c r="H567" s="37">
        <f>IF(OR(F567="",F568=""),"",(E567+E568)/2)</f>
        <v/>
      </c>
      <c r="I567" s="25">
        <f>IF(H567="","",(F568-F567)/(E568-E567))</f>
        <v/>
      </c>
      <c r="P567" s="25">
        <f>IF(($L$5-1)&lt;1,"",IF(564&lt;=($L$5-1),E567,INDEX($E$4:$E$603,($L$5-1))))</f>
        <v/>
      </c>
      <c r="Q567" s="25">
        <f>IF(($L$5-1)&lt;1,"",IF(564&lt;=($L$5-1),F567,INDEX($F$4:$F$603,($L$5-1))))</f>
        <v/>
      </c>
      <c r="R567" s="25">
        <f>IF(($L$5-1)&lt;1,"",IF(564&lt;=($L$5-1),G567,INDEX($G$4:$G$603,($L$5-1))))</f>
        <v/>
      </c>
      <c r="S567" s="25">
        <f>IF(($L$5-2)&lt;1,"",IF(564&lt;=($L$5-2),H567,INDEX($H$4:$H$603,($L$5-2))))</f>
        <v/>
      </c>
      <c r="T567" s="25">
        <f>IF(($L$5-2)&lt;1,"",IF(564&lt;=($L$5-2),I567,INDEX($I$4:$I$603,($L$5-2))))</f>
        <v/>
      </c>
    </row>
    <row r="568">
      <c r="A568" s="43" t="n"/>
      <c r="B568" s="43" t="n"/>
      <c r="C568" s="37">
        <f>IF(OR(A568="",A569=""),"",A569-A568)</f>
        <v/>
      </c>
      <c r="D568" s="37">
        <f>IF(C568="","",B569-B568)</f>
        <v/>
      </c>
      <c r="E568" s="37">
        <f>IF(C568="","",(A568+A569)/2)</f>
        <v/>
      </c>
      <c r="F568" s="25">
        <f>IF(OR(C568="",C568=0),"",D568/C568)</f>
        <v/>
      </c>
      <c r="G568" s="25">
        <f>IF(C568="","",D568/$L$6)</f>
        <v/>
      </c>
      <c r="H568" s="37">
        <f>IF(OR(F568="",F569=""),"",(E568+E569)/2)</f>
        <v/>
      </c>
      <c r="I568" s="25">
        <f>IF(H568="","",(F569-F568)/(E569-E568))</f>
        <v/>
      </c>
      <c r="P568" s="25">
        <f>IF(($L$5-1)&lt;1,"",IF(565&lt;=($L$5-1),E568,INDEX($E$4:$E$603,($L$5-1))))</f>
        <v/>
      </c>
      <c r="Q568" s="25">
        <f>IF(($L$5-1)&lt;1,"",IF(565&lt;=($L$5-1),F568,INDEX($F$4:$F$603,($L$5-1))))</f>
        <v/>
      </c>
      <c r="R568" s="25">
        <f>IF(($L$5-1)&lt;1,"",IF(565&lt;=($L$5-1),G568,INDEX($G$4:$G$603,($L$5-1))))</f>
        <v/>
      </c>
      <c r="S568" s="25">
        <f>IF(($L$5-2)&lt;1,"",IF(565&lt;=($L$5-2),H568,INDEX($H$4:$H$603,($L$5-2))))</f>
        <v/>
      </c>
      <c r="T568" s="25">
        <f>IF(($L$5-2)&lt;1,"",IF(565&lt;=($L$5-2),I568,INDEX($I$4:$I$603,($L$5-2))))</f>
        <v/>
      </c>
    </row>
    <row r="569">
      <c r="A569" s="43" t="n"/>
      <c r="B569" s="43" t="n"/>
      <c r="C569" s="37">
        <f>IF(OR(A569="",A570=""),"",A570-A569)</f>
        <v/>
      </c>
      <c r="D569" s="37">
        <f>IF(C569="","",B570-B569)</f>
        <v/>
      </c>
      <c r="E569" s="37">
        <f>IF(C569="","",(A569+A570)/2)</f>
        <v/>
      </c>
      <c r="F569" s="25">
        <f>IF(OR(C569="",C569=0),"",D569/C569)</f>
        <v/>
      </c>
      <c r="G569" s="25">
        <f>IF(C569="","",D569/$L$6)</f>
        <v/>
      </c>
      <c r="H569" s="37">
        <f>IF(OR(F569="",F570=""),"",(E569+E570)/2)</f>
        <v/>
      </c>
      <c r="I569" s="25">
        <f>IF(H569="","",(F570-F569)/(E570-E569))</f>
        <v/>
      </c>
      <c r="P569" s="25">
        <f>IF(($L$5-1)&lt;1,"",IF(566&lt;=($L$5-1),E569,INDEX($E$4:$E$603,($L$5-1))))</f>
        <v/>
      </c>
      <c r="Q569" s="25">
        <f>IF(($L$5-1)&lt;1,"",IF(566&lt;=($L$5-1),F569,INDEX($F$4:$F$603,($L$5-1))))</f>
        <v/>
      </c>
      <c r="R569" s="25">
        <f>IF(($L$5-1)&lt;1,"",IF(566&lt;=($L$5-1),G569,INDEX($G$4:$G$603,($L$5-1))))</f>
        <v/>
      </c>
      <c r="S569" s="25">
        <f>IF(($L$5-2)&lt;1,"",IF(566&lt;=($L$5-2),H569,INDEX($H$4:$H$603,($L$5-2))))</f>
        <v/>
      </c>
      <c r="T569" s="25">
        <f>IF(($L$5-2)&lt;1,"",IF(566&lt;=($L$5-2),I569,INDEX($I$4:$I$603,($L$5-2))))</f>
        <v/>
      </c>
    </row>
    <row r="570">
      <c r="A570" s="43" t="n"/>
      <c r="B570" s="43" t="n"/>
      <c r="C570" s="37">
        <f>IF(OR(A570="",A571=""),"",A571-A570)</f>
        <v/>
      </c>
      <c r="D570" s="37">
        <f>IF(C570="","",B571-B570)</f>
        <v/>
      </c>
      <c r="E570" s="37">
        <f>IF(C570="","",(A570+A571)/2)</f>
        <v/>
      </c>
      <c r="F570" s="25">
        <f>IF(OR(C570="",C570=0),"",D570/C570)</f>
        <v/>
      </c>
      <c r="G570" s="25">
        <f>IF(C570="","",D570/$L$6)</f>
        <v/>
      </c>
      <c r="H570" s="37">
        <f>IF(OR(F570="",F571=""),"",(E570+E571)/2)</f>
        <v/>
      </c>
      <c r="I570" s="25">
        <f>IF(H570="","",(F571-F570)/(E571-E570))</f>
        <v/>
      </c>
      <c r="P570" s="25">
        <f>IF(($L$5-1)&lt;1,"",IF(567&lt;=($L$5-1),E570,INDEX($E$4:$E$603,($L$5-1))))</f>
        <v/>
      </c>
      <c r="Q570" s="25">
        <f>IF(($L$5-1)&lt;1,"",IF(567&lt;=($L$5-1),F570,INDEX($F$4:$F$603,($L$5-1))))</f>
        <v/>
      </c>
      <c r="R570" s="25">
        <f>IF(($L$5-1)&lt;1,"",IF(567&lt;=($L$5-1),G570,INDEX($G$4:$G$603,($L$5-1))))</f>
        <v/>
      </c>
      <c r="S570" s="25">
        <f>IF(($L$5-2)&lt;1,"",IF(567&lt;=($L$5-2),H570,INDEX($H$4:$H$603,($L$5-2))))</f>
        <v/>
      </c>
      <c r="T570" s="25">
        <f>IF(($L$5-2)&lt;1,"",IF(567&lt;=($L$5-2),I570,INDEX($I$4:$I$603,($L$5-2))))</f>
        <v/>
      </c>
    </row>
    <row r="571">
      <c r="A571" s="43" t="n"/>
      <c r="B571" s="43" t="n"/>
      <c r="C571" s="37">
        <f>IF(OR(A571="",A572=""),"",A572-A571)</f>
        <v/>
      </c>
      <c r="D571" s="37">
        <f>IF(C571="","",B572-B571)</f>
        <v/>
      </c>
      <c r="E571" s="37">
        <f>IF(C571="","",(A571+A572)/2)</f>
        <v/>
      </c>
      <c r="F571" s="25">
        <f>IF(OR(C571="",C571=0),"",D571/C571)</f>
        <v/>
      </c>
      <c r="G571" s="25">
        <f>IF(C571="","",D571/$L$6)</f>
        <v/>
      </c>
      <c r="H571" s="37">
        <f>IF(OR(F571="",F572=""),"",(E571+E572)/2)</f>
        <v/>
      </c>
      <c r="I571" s="25">
        <f>IF(H571="","",(F572-F571)/(E572-E571))</f>
        <v/>
      </c>
      <c r="P571" s="25">
        <f>IF(($L$5-1)&lt;1,"",IF(568&lt;=($L$5-1),E571,INDEX($E$4:$E$603,($L$5-1))))</f>
        <v/>
      </c>
      <c r="Q571" s="25">
        <f>IF(($L$5-1)&lt;1,"",IF(568&lt;=($L$5-1),F571,INDEX($F$4:$F$603,($L$5-1))))</f>
        <v/>
      </c>
      <c r="R571" s="25">
        <f>IF(($L$5-1)&lt;1,"",IF(568&lt;=($L$5-1),G571,INDEX($G$4:$G$603,($L$5-1))))</f>
        <v/>
      </c>
      <c r="S571" s="25">
        <f>IF(($L$5-2)&lt;1,"",IF(568&lt;=($L$5-2),H571,INDEX($H$4:$H$603,($L$5-2))))</f>
        <v/>
      </c>
      <c r="T571" s="25">
        <f>IF(($L$5-2)&lt;1,"",IF(568&lt;=($L$5-2),I571,INDEX($I$4:$I$603,($L$5-2))))</f>
        <v/>
      </c>
    </row>
    <row r="572">
      <c r="A572" s="43" t="n"/>
      <c r="B572" s="43" t="n"/>
      <c r="C572" s="37">
        <f>IF(OR(A572="",A573=""),"",A573-A572)</f>
        <v/>
      </c>
      <c r="D572" s="37">
        <f>IF(C572="","",B573-B572)</f>
        <v/>
      </c>
      <c r="E572" s="37">
        <f>IF(C572="","",(A572+A573)/2)</f>
        <v/>
      </c>
      <c r="F572" s="25">
        <f>IF(OR(C572="",C572=0),"",D572/C572)</f>
        <v/>
      </c>
      <c r="G572" s="25">
        <f>IF(C572="","",D572/$L$6)</f>
        <v/>
      </c>
      <c r="H572" s="37">
        <f>IF(OR(F572="",F573=""),"",(E572+E573)/2)</f>
        <v/>
      </c>
      <c r="I572" s="25">
        <f>IF(H572="","",(F573-F572)/(E573-E572))</f>
        <v/>
      </c>
      <c r="P572" s="25">
        <f>IF(($L$5-1)&lt;1,"",IF(569&lt;=($L$5-1),E572,INDEX($E$4:$E$603,($L$5-1))))</f>
        <v/>
      </c>
      <c r="Q572" s="25">
        <f>IF(($L$5-1)&lt;1,"",IF(569&lt;=($L$5-1),F572,INDEX($F$4:$F$603,($L$5-1))))</f>
        <v/>
      </c>
      <c r="R572" s="25">
        <f>IF(($L$5-1)&lt;1,"",IF(569&lt;=($L$5-1),G572,INDEX($G$4:$G$603,($L$5-1))))</f>
        <v/>
      </c>
      <c r="S572" s="25">
        <f>IF(($L$5-2)&lt;1,"",IF(569&lt;=($L$5-2),H572,INDEX($H$4:$H$603,($L$5-2))))</f>
        <v/>
      </c>
      <c r="T572" s="25">
        <f>IF(($L$5-2)&lt;1,"",IF(569&lt;=($L$5-2),I572,INDEX($I$4:$I$603,($L$5-2))))</f>
        <v/>
      </c>
    </row>
    <row r="573">
      <c r="A573" s="43" t="n"/>
      <c r="B573" s="43" t="n"/>
      <c r="C573" s="37">
        <f>IF(OR(A573="",A574=""),"",A574-A573)</f>
        <v/>
      </c>
      <c r="D573" s="37">
        <f>IF(C573="","",B574-B573)</f>
        <v/>
      </c>
      <c r="E573" s="37">
        <f>IF(C573="","",(A573+A574)/2)</f>
        <v/>
      </c>
      <c r="F573" s="25">
        <f>IF(OR(C573="",C573=0),"",D573/C573)</f>
        <v/>
      </c>
      <c r="G573" s="25">
        <f>IF(C573="","",D573/$L$6)</f>
        <v/>
      </c>
      <c r="H573" s="37">
        <f>IF(OR(F573="",F574=""),"",(E573+E574)/2)</f>
        <v/>
      </c>
      <c r="I573" s="25">
        <f>IF(H573="","",(F574-F573)/(E574-E573))</f>
        <v/>
      </c>
      <c r="P573" s="25">
        <f>IF(($L$5-1)&lt;1,"",IF(570&lt;=($L$5-1),E573,INDEX($E$4:$E$603,($L$5-1))))</f>
        <v/>
      </c>
      <c r="Q573" s="25">
        <f>IF(($L$5-1)&lt;1,"",IF(570&lt;=($L$5-1),F573,INDEX($F$4:$F$603,($L$5-1))))</f>
        <v/>
      </c>
      <c r="R573" s="25">
        <f>IF(($L$5-1)&lt;1,"",IF(570&lt;=($L$5-1),G573,INDEX($G$4:$G$603,($L$5-1))))</f>
        <v/>
      </c>
      <c r="S573" s="25">
        <f>IF(($L$5-2)&lt;1,"",IF(570&lt;=($L$5-2),H573,INDEX($H$4:$H$603,($L$5-2))))</f>
        <v/>
      </c>
      <c r="T573" s="25">
        <f>IF(($L$5-2)&lt;1,"",IF(570&lt;=($L$5-2),I573,INDEX($I$4:$I$603,($L$5-2))))</f>
        <v/>
      </c>
    </row>
    <row r="574">
      <c r="A574" s="43" t="n"/>
      <c r="B574" s="43" t="n"/>
      <c r="C574" s="37">
        <f>IF(OR(A574="",A575=""),"",A575-A574)</f>
        <v/>
      </c>
      <c r="D574" s="37">
        <f>IF(C574="","",B575-B574)</f>
        <v/>
      </c>
      <c r="E574" s="37">
        <f>IF(C574="","",(A574+A575)/2)</f>
        <v/>
      </c>
      <c r="F574" s="25">
        <f>IF(OR(C574="",C574=0),"",D574/C574)</f>
        <v/>
      </c>
      <c r="G574" s="25">
        <f>IF(C574="","",D574/$L$6)</f>
        <v/>
      </c>
      <c r="H574" s="37">
        <f>IF(OR(F574="",F575=""),"",(E574+E575)/2)</f>
        <v/>
      </c>
      <c r="I574" s="25">
        <f>IF(H574="","",(F575-F574)/(E575-E574))</f>
        <v/>
      </c>
      <c r="P574" s="25">
        <f>IF(($L$5-1)&lt;1,"",IF(571&lt;=($L$5-1),E574,INDEX($E$4:$E$603,($L$5-1))))</f>
        <v/>
      </c>
      <c r="Q574" s="25">
        <f>IF(($L$5-1)&lt;1,"",IF(571&lt;=($L$5-1),F574,INDEX($F$4:$F$603,($L$5-1))))</f>
        <v/>
      </c>
      <c r="R574" s="25">
        <f>IF(($L$5-1)&lt;1,"",IF(571&lt;=($L$5-1),G574,INDEX($G$4:$G$603,($L$5-1))))</f>
        <v/>
      </c>
      <c r="S574" s="25">
        <f>IF(($L$5-2)&lt;1,"",IF(571&lt;=($L$5-2),H574,INDEX($H$4:$H$603,($L$5-2))))</f>
        <v/>
      </c>
      <c r="T574" s="25">
        <f>IF(($L$5-2)&lt;1,"",IF(571&lt;=($L$5-2),I574,INDEX($I$4:$I$603,($L$5-2))))</f>
        <v/>
      </c>
    </row>
    <row r="575">
      <c r="A575" s="43" t="n"/>
      <c r="B575" s="43" t="n"/>
      <c r="C575" s="37">
        <f>IF(OR(A575="",A576=""),"",A576-A575)</f>
        <v/>
      </c>
      <c r="D575" s="37">
        <f>IF(C575="","",B576-B575)</f>
        <v/>
      </c>
      <c r="E575" s="37">
        <f>IF(C575="","",(A575+A576)/2)</f>
        <v/>
      </c>
      <c r="F575" s="25">
        <f>IF(OR(C575="",C575=0),"",D575/C575)</f>
        <v/>
      </c>
      <c r="G575" s="25">
        <f>IF(C575="","",D575/$L$6)</f>
        <v/>
      </c>
      <c r="H575" s="37">
        <f>IF(OR(F575="",F576=""),"",(E575+E576)/2)</f>
        <v/>
      </c>
      <c r="I575" s="25">
        <f>IF(H575="","",(F576-F575)/(E576-E575))</f>
        <v/>
      </c>
      <c r="P575" s="25">
        <f>IF(($L$5-1)&lt;1,"",IF(572&lt;=($L$5-1),E575,INDEX($E$4:$E$603,($L$5-1))))</f>
        <v/>
      </c>
      <c r="Q575" s="25">
        <f>IF(($L$5-1)&lt;1,"",IF(572&lt;=($L$5-1),F575,INDEX($F$4:$F$603,($L$5-1))))</f>
        <v/>
      </c>
      <c r="R575" s="25">
        <f>IF(($L$5-1)&lt;1,"",IF(572&lt;=($L$5-1),G575,INDEX($G$4:$G$603,($L$5-1))))</f>
        <v/>
      </c>
      <c r="S575" s="25">
        <f>IF(($L$5-2)&lt;1,"",IF(572&lt;=($L$5-2),H575,INDEX($H$4:$H$603,($L$5-2))))</f>
        <v/>
      </c>
      <c r="T575" s="25">
        <f>IF(($L$5-2)&lt;1,"",IF(572&lt;=($L$5-2),I575,INDEX($I$4:$I$603,($L$5-2))))</f>
        <v/>
      </c>
    </row>
    <row r="576">
      <c r="A576" s="43" t="n"/>
      <c r="B576" s="43" t="n"/>
      <c r="C576" s="37">
        <f>IF(OR(A576="",A577=""),"",A577-A576)</f>
        <v/>
      </c>
      <c r="D576" s="37">
        <f>IF(C576="","",B577-B576)</f>
        <v/>
      </c>
      <c r="E576" s="37">
        <f>IF(C576="","",(A576+A577)/2)</f>
        <v/>
      </c>
      <c r="F576" s="25">
        <f>IF(OR(C576="",C576=0),"",D576/C576)</f>
        <v/>
      </c>
      <c r="G576" s="25">
        <f>IF(C576="","",D576/$L$6)</f>
        <v/>
      </c>
      <c r="H576" s="37">
        <f>IF(OR(F576="",F577=""),"",(E576+E577)/2)</f>
        <v/>
      </c>
      <c r="I576" s="25">
        <f>IF(H576="","",(F577-F576)/(E577-E576))</f>
        <v/>
      </c>
      <c r="P576" s="25">
        <f>IF(($L$5-1)&lt;1,"",IF(573&lt;=($L$5-1),E576,INDEX($E$4:$E$603,($L$5-1))))</f>
        <v/>
      </c>
      <c r="Q576" s="25">
        <f>IF(($L$5-1)&lt;1,"",IF(573&lt;=($L$5-1),F576,INDEX($F$4:$F$603,($L$5-1))))</f>
        <v/>
      </c>
      <c r="R576" s="25">
        <f>IF(($L$5-1)&lt;1,"",IF(573&lt;=($L$5-1),G576,INDEX($G$4:$G$603,($L$5-1))))</f>
        <v/>
      </c>
      <c r="S576" s="25">
        <f>IF(($L$5-2)&lt;1,"",IF(573&lt;=($L$5-2),H576,INDEX($H$4:$H$603,($L$5-2))))</f>
        <v/>
      </c>
      <c r="T576" s="25">
        <f>IF(($L$5-2)&lt;1,"",IF(573&lt;=($L$5-2),I576,INDEX($I$4:$I$603,($L$5-2))))</f>
        <v/>
      </c>
    </row>
    <row r="577">
      <c r="A577" s="43" t="n"/>
      <c r="B577" s="43" t="n"/>
      <c r="C577" s="37">
        <f>IF(OR(A577="",A578=""),"",A578-A577)</f>
        <v/>
      </c>
      <c r="D577" s="37">
        <f>IF(C577="","",B578-B577)</f>
        <v/>
      </c>
      <c r="E577" s="37">
        <f>IF(C577="","",(A577+A578)/2)</f>
        <v/>
      </c>
      <c r="F577" s="25">
        <f>IF(OR(C577="",C577=0),"",D577/C577)</f>
        <v/>
      </c>
      <c r="G577" s="25">
        <f>IF(C577="","",D577/$L$6)</f>
        <v/>
      </c>
      <c r="H577" s="37">
        <f>IF(OR(F577="",F578=""),"",(E577+E578)/2)</f>
        <v/>
      </c>
      <c r="I577" s="25">
        <f>IF(H577="","",(F578-F577)/(E578-E577))</f>
        <v/>
      </c>
      <c r="P577" s="25">
        <f>IF(($L$5-1)&lt;1,"",IF(574&lt;=($L$5-1),E577,INDEX($E$4:$E$603,($L$5-1))))</f>
        <v/>
      </c>
      <c r="Q577" s="25">
        <f>IF(($L$5-1)&lt;1,"",IF(574&lt;=($L$5-1),F577,INDEX($F$4:$F$603,($L$5-1))))</f>
        <v/>
      </c>
      <c r="R577" s="25">
        <f>IF(($L$5-1)&lt;1,"",IF(574&lt;=($L$5-1),G577,INDEX($G$4:$G$603,($L$5-1))))</f>
        <v/>
      </c>
      <c r="S577" s="25">
        <f>IF(($L$5-2)&lt;1,"",IF(574&lt;=($L$5-2),H577,INDEX($H$4:$H$603,($L$5-2))))</f>
        <v/>
      </c>
      <c r="T577" s="25">
        <f>IF(($L$5-2)&lt;1,"",IF(574&lt;=($L$5-2),I577,INDEX($I$4:$I$603,($L$5-2))))</f>
        <v/>
      </c>
    </row>
    <row r="578">
      <c r="A578" s="43" t="n"/>
      <c r="B578" s="43" t="n"/>
      <c r="C578" s="37">
        <f>IF(OR(A578="",A579=""),"",A579-A578)</f>
        <v/>
      </c>
      <c r="D578" s="37">
        <f>IF(C578="","",B579-B578)</f>
        <v/>
      </c>
      <c r="E578" s="37">
        <f>IF(C578="","",(A578+A579)/2)</f>
        <v/>
      </c>
      <c r="F578" s="25">
        <f>IF(OR(C578="",C578=0),"",D578/C578)</f>
        <v/>
      </c>
      <c r="G578" s="25">
        <f>IF(C578="","",D578/$L$6)</f>
        <v/>
      </c>
      <c r="H578" s="37">
        <f>IF(OR(F578="",F579=""),"",(E578+E579)/2)</f>
        <v/>
      </c>
      <c r="I578" s="25">
        <f>IF(H578="","",(F579-F578)/(E579-E578))</f>
        <v/>
      </c>
      <c r="P578" s="25">
        <f>IF(($L$5-1)&lt;1,"",IF(575&lt;=($L$5-1),E578,INDEX($E$4:$E$603,($L$5-1))))</f>
        <v/>
      </c>
      <c r="Q578" s="25">
        <f>IF(($L$5-1)&lt;1,"",IF(575&lt;=($L$5-1),F578,INDEX($F$4:$F$603,($L$5-1))))</f>
        <v/>
      </c>
      <c r="R578" s="25">
        <f>IF(($L$5-1)&lt;1,"",IF(575&lt;=($L$5-1),G578,INDEX($G$4:$G$603,($L$5-1))))</f>
        <v/>
      </c>
      <c r="S578" s="25">
        <f>IF(($L$5-2)&lt;1,"",IF(575&lt;=($L$5-2),H578,INDEX($H$4:$H$603,($L$5-2))))</f>
        <v/>
      </c>
      <c r="T578" s="25">
        <f>IF(($L$5-2)&lt;1,"",IF(575&lt;=($L$5-2),I578,INDEX($I$4:$I$603,($L$5-2))))</f>
        <v/>
      </c>
    </row>
    <row r="579">
      <c r="A579" s="43" t="n"/>
      <c r="B579" s="43" t="n"/>
      <c r="C579" s="37">
        <f>IF(OR(A579="",A580=""),"",A580-A579)</f>
        <v/>
      </c>
      <c r="D579" s="37">
        <f>IF(C579="","",B580-B579)</f>
        <v/>
      </c>
      <c r="E579" s="37">
        <f>IF(C579="","",(A579+A580)/2)</f>
        <v/>
      </c>
      <c r="F579" s="25">
        <f>IF(OR(C579="",C579=0),"",D579/C579)</f>
        <v/>
      </c>
      <c r="G579" s="25">
        <f>IF(C579="","",D579/$L$6)</f>
        <v/>
      </c>
      <c r="H579" s="37">
        <f>IF(OR(F579="",F580=""),"",(E579+E580)/2)</f>
        <v/>
      </c>
      <c r="I579" s="25">
        <f>IF(H579="","",(F580-F579)/(E580-E579))</f>
        <v/>
      </c>
      <c r="P579" s="25">
        <f>IF(($L$5-1)&lt;1,"",IF(576&lt;=($L$5-1),E579,INDEX($E$4:$E$603,($L$5-1))))</f>
        <v/>
      </c>
      <c r="Q579" s="25">
        <f>IF(($L$5-1)&lt;1,"",IF(576&lt;=($L$5-1),F579,INDEX($F$4:$F$603,($L$5-1))))</f>
        <v/>
      </c>
      <c r="R579" s="25">
        <f>IF(($L$5-1)&lt;1,"",IF(576&lt;=($L$5-1),G579,INDEX($G$4:$G$603,($L$5-1))))</f>
        <v/>
      </c>
      <c r="S579" s="25">
        <f>IF(($L$5-2)&lt;1,"",IF(576&lt;=($L$5-2),H579,INDEX($H$4:$H$603,($L$5-2))))</f>
        <v/>
      </c>
      <c r="T579" s="25">
        <f>IF(($L$5-2)&lt;1,"",IF(576&lt;=($L$5-2),I579,INDEX($I$4:$I$603,($L$5-2))))</f>
        <v/>
      </c>
    </row>
    <row r="580">
      <c r="A580" s="43" t="n"/>
      <c r="B580" s="43" t="n"/>
      <c r="C580" s="37">
        <f>IF(OR(A580="",A581=""),"",A581-A580)</f>
        <v/>
      </c>
      <c r="D580" s="37">
        <f>IF(C580="","",B581-B580)</f>
        <v/>
      </c>
      <c r="E580" s="37">
        <f>IF(C580="","",(A580+A581)/2)</f>
        <v/>
      </c>
      <c r="F580" s="25">
        <f>IF(OR(C580="",C580=0),"",D580/C580)</f>
        <v/>
      </c>
      <c r="G580" s="25">
        <f>IF(C580="","",D580/$L$6)</f>
        <v/>
      </c>
      <c r="H580" s="37">
        <f>IF(OR(F580="",F581=""),"",(E580+E581)/2)</f>
        <v/>
      </c>
      <c r="I580" s="25">
        <f>IF(H580="","",(F581-F580)/(E581-E580))</f>
        <v/>
      </c>
      <c r="P580" s="25">
        <f>IF(($L$5-1)&lt;1,"",IF(577&lt;=($L$5-1),E580,INDEX($E$4:$E$603,($L$5-1))))</f>
        <v/>
      </c>
      <c r="Q580" s="25">
        <f>IF(($L$5-1)&lt;1,"",IF(577&lt;=($L$5-1),F580,INDEX($F$4:$F$603,($L$5-1))))</f>
        <v/>
      </c>
      <c r="R580" s="25">
        <f>IF(($L$5-1)&lt;1,"",IF(577&lt;=($L$5-1),G580,INDEX($G$4:$G$603,($L$5-1))))</f>
        <v/>
      </c>
      <c r="S580" s="25">
        <f>IF(($L$5-2)&lt;1,"",IF(577&lt;=($L$5-2),H580,INDEX($H$4:$H$603,($L$5-2))))</f>
        <v/>
      </c>
      <c r="T580" s="25">
        <f>IF(($L$5-2)&lt;1,"",IF(577&lt;=($L$5-2),I580,INDEX($I$4:$I$603,($L$5-2))))</f>
        <v/>
      </c>
    </row>
    <row r="581">
      <c r="A581" s="43" t="n"/>
      <c r="B581" s="43" t="n"/>
      <c r="C581" s="37">
        <f>IF(OR(A581="",A582=""),"",A582-A581)</f>
        <v/>
      </c>
      <c r="D581" s="37">
        <f>IF(C581="","",B582-B581)</f>
        <v/>
      </c>
      <c r="E581" s="37">
        <f>IF(C581="","",(A581+A582)/2)</f>
        <v/>
      </c>
      <c r="F581" s="25">
        <f>IF(OR(C581="",C581=0),"",D581/C581)</f>
        <v/>
      </c>
      <c r="G581" s="25">
        <f>IF(C581="","",D581/$L$6)</f>
        <v/>
      </c>
      <c r="H581" s="37">
        <f>IF(OR(F581="",F582=""),"",(E581+E582)/2)</f>
        <v/>
      </c>
      <c r="I581" s="25">
        <f>IF(H581="","",(F582-F581)/(E582-E581))</f>
        <v/>
      </c>
      <c r="P581" s="25">
        <f>IF(($L$5-1)&lt;1,"",IF(578&lt;=($L$5-1),E581,INDEX($E$4:$E$603,($L$5-1))))</f>
        <v/>
      </c>
      <c r="Q581" s="25">
        <f>IF(($L$5-1)&lt;1,"",IF(578&lt;=($L$5-1),F581,INDEX($F$4:$F$603,($L$5-1))))</f>
        <v/>
      </c>
      <c r="R581" s="25">
        <f>IF(($L$5-1)&lt;1,"",IF(578&lt;=($L$5-1),G581,INDEX($G$4:$G$603,($L$5-1))))</f>
        <v/>
      </c>
      <c r="S581" s="25">
        <f>IF(($L$5-2)&lt;1,"",IF(578&lt;=($L$5-2),H581,INDEX($H$4:$H$603,($L$5-2))))</f>
        <v/>
      </c>
      <c r="T581" s="25">
        <f>IF(($L$5-2)&lt;1,"",IF(578&lt;=($L$5-2),I581,INDEX($I$4:$I$603,($L$5-2))))</f>
        <v/>
      </c>
    </row>
    <row r="582">
      <c r="A582" s="43" t="n"/>
      <c r="B582" s="43" t="n"/>
      <c r="C582" s="37">
        <f>IF(OR(A582="",A583=""),"",A583-A582)</f>
        <v/>
      </c>
      <c r="D582" s="37">
        <f>IF(C582="","",B583-B582)</f>
        <v/>
      </c>
      <c r="E582" s="37">
        <f>IF(C582="","",(A582+A583)/2)</f>
        <v/>
      </c>
      <c r="F582" s="25">
        <f>IF(OR(C582="",C582=0),"",D582/C582)</f>
        <v/>
      </c>
      <c r="G582" s="25">
        <f>IF(C582="","",D582/$L$6)</f>
        <v/>
      </c>
      <c r="H582" s="37">
        <f>IF(OR(F582="",F583=""),"",(E582+E583)/2)</f>
        <v/>
      </c>
      <c r="I582" s="25">
        <f>IF(H582="","",(F583-F582)/(E583-E582))</f>
        <v/>
      </c>
      <c r="P582" s="25">
        <f>IF(($L$5-1)&lt;1,"",IF(579&lt;=($L$5-1),E582,INDEX($E$4:$E$603,($L$5-1))))</f>
        <v/>
      </c>
      <c r="Q582" s="25">
        <f>IF(($L$5-1)&lt;1,"",IF(579&lt;=($L$5-1),F582,INDEX($F$4:$F$603,($L$5-1))))</f>
        <v/>
      </c>
      <c r="R582" s="25">
        <f>IF(($L$5-1)&lt;1,"",IF(579&lt;=($L$5-1),G582,INDEX($G$4:$G$603,($L$5-1))))</f>
        <v/>
      </c>
      <c r="S582" s="25">
        <f>IF(($L$5-2)&lt;1,"",IF(579&lt;=($L$5-2),H582,INDEX($H$4:$H$603,($L$5-2))))</f>
        <v/>
      </c>
      <c r="T582" s="25">
        <f>IF(($L$5-2)&lt;1,"",IF(579&lt;=($L$5-2),I582,INDEX($I$4:$I$603,($L$5-2))))</f>
        <v/>
      </c>
    </row>
    <row r="583">
      <c r="A583" s="43" t="n"/>
      <c r="B583" s="43" t="n"/>
      <c r="C583" s="37">
        <f>IF(OR(A583="",A584=""),"",A584-A583)</f>
        <v/>
      </c>
      <c r="D583" s="37">
        <f>IF(C583="","",B584-B583)</f>
        <v/>
      </c>
      <c r="E583" s="37">
        <f>IF(C583="","",(A583+A584)/2)</f>
        <v/>
      </c>
      <c r="F583" s="25">
        <f>IF(OR(C583="",C583=0),"",D583/C583)</f>
        <v/>
      </c>
      <c r="G583" s="25">
        <f>IF(C583="","",D583/$L$6)</f>
        <v/>
      </c>
      <c r="H583" s="37">
        <f>IF(OR(F583="",F584=""),"",(E583+E584)/2)</f>
        <v/>
      </c>
      <c r="I583" s="25">
        <f>IF(H583="","",(F584-F583)/(E584-E583))</f>
        <v/>
      </c>
      <c r="P583" s="25">
        <f>IF(($L$5-1)&lt;1,"",IF(580&lt;=($L$5-1),E583,INDEX($E$4:$E$603,($L$5-1))))</f>
        <v/>
      </c>
      <c r="Q583" s="25">
        <f>IF(($L$5-1)&lt;1,"",IF(580&lt;=($L$5-1),F583,INDEX($F$4:$F$603,($L$5-1))))</f>
        <v/>
      </c>
      <c r="R583" s="25">
        <f>IF(($L$5-1)&lt;1,"",IF(580&lt;=($L$5-1),G583,INDEX($G$4:$G$603,($L$5-1))))</f>
        <v/>
      </c>
      <c r="S583" s="25">
        <f>IF(($L$5-2)&lt;1,"",IF(580&lt;=($L$5-2),H583,INDEX($H$4:$H$603,($L$5-2))))</f>
        <v/>
      </c>
      <c r="T583" s="25">
        <f>IF(($L$5-2)&lt;1,"",IF(580&lt;=($L$5-2),I583,INDEX($I$4:$I$603,($L$5-2))))</f>
        <v/>
      </c>
    </row>
    <row r="584">
      <c r="A584" s="43" t="n"/>
      <c r="B584" s="43" t="n"/>
      <c r="C584" s="37">
        <f>IF(OR(A584="",A585=""),"",A585-A584)</f>
        <v/>
      </c>
      <c r="D584" s="37">
        <f>IF(C584="","",B585-B584)</f>
        <v/>
      </c>
      <c r="E584" s="37">
        <f>IF(C584="","",(A584+A585)/2)</f>
        <v/>
      </c>
      <c r="F584" s="25">
        <f>IF(OR(C584="",C584=0),"",D584/C584)</f>
        <v/>
      </c>
      <c r="G584" s="25">
        <f>IF(C584="","",D584/$L$6)</f>
        <v/>
      </c>
      <c r="H584" s="37">
        <f>IF(OR(F584="",F585=""),"",(E584+E585)/2)</f>
        <v/>
      </c>
      <c r="I584" s="25">
        <f>IF(H584="","",(F585-F584)/(E585-E584))</f>
        <v/>
      </c>
      <c r="P584" s="25">
        <f>IF(($L$5-1)&lt;1,"",IF(581&lt;=($L$5-1),E584,INDEX($E$4:$E$603,($L$5-1))))</f>
        <v/>
      </c>
      <c r="Q584" s="25">
        <f>IF(($L$5-1)&lt;1,"",IF(581&lt;=($L$5-1),F584,INDEX($F$4:$F$603,($L$5-1))))</f>
        <v/>
      </c>
      <c r="R584" s="25">
        <f>IF(($L$5-1)&lt;1,"",IF(581&lt;=($L$5-1),G584,INDEX($G$4:$G$603,($L$5-1))))</f>
        <v/>
      </c>
      <c r="S584" s="25">
        <f>IF(($L$5-2)&lt;1,"",IF(581&lt;=($L$5-2),H584,INDEX($H$4:$H$603,($L$5-2))))</f>
        <v/>
      </c>
      <c r="T584" s="25">
        <f>IF(($L$5-2)&lt;1,"",IF(581&lt;=($L$5-2),I584,INDEX($I$4:$I$603,($L$5-2))))</f>
        <v/>
      </c>
    </row>
    <row r="585">
      <c r="A585" s="43" t="n"/>
      <c r="B585" s="43" t="n"/>
      <c r="C585" s="37">
        <f>IF(OR(A585="",A586=""),"",A586-A585)</f>
        <v/>
      </c>
      <c r="D585" s="37">
        <f>IF(C585="","",B586-B585)</f>
        <v/>
      </c>
      <c r="E585" s="37">
        <f>IF(C585="","",(A585+A586)/2)</f>
        <v/>
      </c>
      <c r="F585" s="25">
        <f>IF(OR(C585="",C585=0),"",D585/C585)</f>
        <v/>
      </c>
      <c r="G585" s="25">
        <f>IF(C585="","",D585/$L$6)</f>
        <v/>
      </c>
      <c r="H585" s="37">
        <f>IF(OR(F585="",F586=""),"",(E585+E586)/2)</f>
        <v/>
      </c>
      <c r="I585" s="25">
        <f>IF(H585="","",(F586-F585)/(E586-E585))</f>
        <v/>
      </c>
      <c r="P585" s="25">
        <f>IF(($L$5-1)&lt;1,"",IF(582&lt;=($L$5-1),E585,INDEX($E$4:$E$603,($L$5-1))))</f>
        <v/>
      </c>
      <c r="Q585" s="25">
        <f>IF(($L$5-1)&lt;1,"",IF(582&lt;=($L$5-1),F585,INDEX($F$4:$F$603,($L$5-1))))</f>
        <v/>
      </c>
      <c r="R585" s="25">
        <f>IF(($L$5-1)&lt;1,"",IF(582&lt;=($L$5-1),G585,INDEX($G$4:$G$603,($L$5-1))))</f>
        <v/>
      </c>
      <c r="S585" s="25">
        <f>IF(($L$5-2)&lt;1,"",IF(582&lt;=($L$5-2),H585,INDEX($H$4:$H$603,($L$5-2))))</f>
        <v/>
      </c>
      <c r="T585" s="25">
        <f>IF(($L$5-2)&lt;1,"",IF(582&lt;=($L$5-2),I585,INDEX($I$4:$I$603,($L$5-2))))</f>
        <v/>
      </c>
    </row>
    <row r="586">
      <c r="A586" s="43" t="n"/>
      <c r="B586" s="43" t="n"/>
      <c r="C586" s="37">
        <f>IF(OR(A586="",A587=""),"",A587-A586)</f>
        <v/>
      </c>
      <c r="D586" s="37">
        <f>IF(C586="","",B587-B586)</f>
        <v/>
      </c>
      <c r="E586" s="37">
        <f>IF(C586="","",(A586+A587)/2)</f>
        <v/>
      </c>
      <c r="F586" s="25">
        <f>IF(OR(C586="",C586=0),"",D586/C586)</f>
        <v/>
      </c>
      <c r="G586" s="25">
        <f>IF(C586="","",D586/$L$6)</f>
        <v/>
      </c>
      <c r="H586" s="37">
        <f>IF(OR(F586="",F587=""),"",(E586+E587)/2)</f>
        <v/>
      </c>
      <c r="I586" s="25">
        <f>IF(H586="","",(F587-F586)/(E587-E586))</f>
        <v/>
      </c>
      <c r="P586" s="25">
        <f>IF(($L$5-1)&lt;1,"",IF(583&lt;=($L$5-1),E586,INDEX($E$4:$E$603,($L$5-1))))</f>
        <v/>
      </c>
      <c r="Q586" s="25">
        <f>IF(($L$5-1)&lt;1,"",IF(583&lt;=($L$5-1),F586,INDEX($F$4:$F$603,($L$5-1))))</f>
        <v/>
      </c>
      <c r="R586" s="25">
        <f>IF(($L$5-1)&lt;1,"",IF(583&lt;=($L$5-1),G586,INDEX($G$4:$G$603,($L$5-1))))</f>
        <v/>
      </c>
      <c r="S586" s="25">
        <f>IF(($L$5-2)&lt;1,"",IF(583&lt;=($L$5-2),H586,INDEX($H$4:$H$603,($L$5-2))))</f>
        <v/>
      </c>
      <c r="T586" s="25">
        <f>IF(($L$5-2)&lt;1,"",IF(583&lt;=($L$5-2),I586,INDEX($I$4:$I$603,($L$5-2))))</f>
        <v/>
      </c>
    </row>
    <row r="587">
      <c r="A587" s="43" t="n"/>
      <c r="B587" s="43" t="n"/>
      <c r="C587" s="37">
        <f>IF(OR(A587="",A588=""),"",A588-A587)</f>
        <v/>
      </c>
      <c r="D587" s="37">
        <f>IF(C587="","",B588-B587)</f>
        <v/>
      </c>
      <c r="E587" s="37">
        <f>IF(C587="","",(A587+A588)/2)</f>
        <v/>
      </c>
      <c r="F587" s="25">
        <f>IF(OR(C587="",C587=0),"",D587/C587)</f>
        <v/>
      </c>
      <c r="G587" s="25">
        <f>IF(C587="","",D587/$L$6)</f>
        <v/>
      </c>
      <c r="H587" s="37">
        <f>IF(OR(F587="",F588=""),"",(E587+E588)/2)</f>
        <v/>
      </c>
      <c r="I587" s="25">
        <f>IF(H587="","",(F588-F587)/(E588-E587))</f>
        <v/>
      </c>
      <c r="P587" s="25">
        <f>IF(($L$5-1)&lt;1,"",IF(584&lt;=($L$5-1),E587,INDEX($E$4:$E$603,($L$5-1))))</f>
        <v/>
      </c>
      <c r="Q587" s="25">
        <f>IF(($L$5-1)&lt;1,"",IF(584&lt;=($L$5-1),F587,INDEX($F$4:$F$603,($L$5-1))))</f>
        <v/>
      </c>
      <c r="R587" s="25">
        <f>IF(($L$5-1)&lt;1,"",IF(584&lt;=($L$5-1),G587,INDEX($G$4:$G$603,($L$5-1))))</f>
        <v/>
      </c>
      <c r="S587" s="25">
        <f>IF(($L$5-2)&lt;1,"",IF(584&lt;=($L$5-2),H587,INDEX($H$4:$H$603,($L$5-2))))</f>
        <v/>
      </c>
      <c r="T587" s="25">
        <f>IF(($L$5-2)&lt;1,"",IF(584&lt;=($L$5-2),I587,INDEX($I$4:$I$603,($L$5-2))))</f>
        <v/>
      </c>
    </row>
    <row r="588">
      <c r="A588" s="43" t="n"/>
      <c r="B588" s="43" t="n"/>
      <c r="C588" s="37">
        <f>IF(OR(A588="",A589=""),"",A589-A588)</f>
        <v/>
      </c>
      <c r="D588" s="37">
        <f>IF(C588="","",B589-B588)</f>
        <v/>
      </c>
      <c r="E588" s="37">
        <f>IF(C588="","",(A588+A589)/2)</f>
        <v/>
      </c>
      <c r="F588" s="25">
        <f>IF(OR(C588="",C588=0),"",D588/C588)</f>
        <v/>
      </c>
      <c r="G588" s="25">
        <f>IF(C588="","",D588/$L$6)</f>
        <v/>
      </c>
      <c r="H588" s="37">
        <f>IF(OR(F588="",F589=""),"",(E588+E589)/2)</f>
        <v/>
      </c>
      <c r="I588" s="25">
        <f>IF(H588="","",(F589-F588)/(E589-E588))</f>
        <v/>
      </c>
      <c r="P588" s="25">
        <f>IF(($L$5-1)&lt;1,"",IF(585&lt;=($L$5-1),E588,INDEX($E$4:$E$603,($L$5-1))))</f>
        <v/>
      </c>
      <c r="Q588" s="25">
        <f>IF(($L$5-1)&lt;1,"",IF(585&lt;=($L$5-1),F588,INDEX($F$4:$F$603,($L$5-1))))</f>
        <v/>
      </c>
      <c r="R588" s="25">
        <f>IF(($L$5-1)&lt;1,"",IF(585&lt;=($L$5-1),G588,INDEX($G$4:$G$603,($L$5-1))))</f>
        <v/>
      </c>
      <c r="S588" s="25">
        <f>IF(($L$5-2)&lt;1,"",IF(585&lt;=($L$5-2),H588,INDEX($H$4:$H$603,($L$5-2))))</f>
        <v/>
      </c>
      <c r="T588" s="25">
        <f>IF(($L$5-2)&lt;1,"",IF(585&lt;=($L$5-2),I588,INDEX($I$4:$I$603,($L$5-2))))</f>
        <v/>
      </c>
    </row>
    <row r="589">
      <c r="A589" s="43" t="n"/>
      <c r="B589" s="43" t="n"/>
      <c r="C589" s="37">
        <f>IF(OR(A589="",A590=""),"",A590-A589)</f>
        <v/>
      </c>
      <c r="D589" s="37">
        <f>IF(C589="","",B590-B589)</f>
        <v/>
      </c>
      <c r="E589" s="37">
        <f>IF(C589="","",(A589+A590)/2)</f>
        <v/>
      </c>
      <c r="F589" s="25">
        <f>IF(OR(C589="",C589=0),"",D589/C589)</f>
        <v/>
      </c>
      <c r="G589" s="25">
        <f>IF(C589="","",D589/$L$6)</f>
        <v/>
      </c>
      <c r="H589" s="37">
        <f>IF(OR(F589="",F590=""),"",(E589+E590)/2)</f>
        <v/>
      </c>
      <c r="I589" s="25">
        <f>IF(H589="","",(F590-F589)/(E590-E589))</f>
        <v/>
      </c>
      <c r="P589" s="25">
        <f>IF(($L$5-1)&lt;1,"",IF(586&lt;=($L$5-1),E589,INDEX($E$4:$E$603,($L$5-1))))</f>
        <v/>
      </c>
      <c r="Q589" s="25">
        <f>IF(($L$5-1)&lt;1,"",IF(586&lt;=($L$5-1),F589,INDEX($F$4:$F$603,($L$5-1))))</f>
        <v/>
      </c>
      <c r="R589" s="25">
        <f>IF(($L$5-1)&lt;1,"",IF(586&lt;=($L$5-1),G589,INDEX($G$4:$G$603,($L$5-1))))</f>
        <v/>
      </c>
      <c r="S589" s="25">
        <f>IF(($L$5-2)&lt;1,"",IF(586&lt;=($L$5-2),H589,INDEX($H$4:$H$603,($L$5-2))))</f>
        <v/>
      </c>
      <c r="T589" s="25">
        <f>IF(($L$5-2)&lt;1,"",IF(586&lt;=($L$5-2),I589,INDEX($I$4:$I$603,($L$5-2))))</f>
        <v/>
      </c>
    </row>
    <row r="590">
      <c r="A590" s="43" t="n"/>
      <c r="B590" s="43" t="n"/>
      <c r="C590" s="37">
        <f>IF(OR(A590="",A591=""),"",A591-A590)</f>
        <v/>
      </c>
      <c r="D590" s="37">
        <f>IF(C590="","",B591-B590)</f>
        <v/>
      </c>
      <c r="E590" s="37">
        <f>IF(C590="","",(A590+A591)/2)</f>
        <v/>
      </c>
      <c r="F590" s="25">
        <f>IF(OR(C590="",C590=0),"",D590/C590)</f>
        <v/>
      </c>
      <c r="G590" s="25">
        <f>IF(C590="","",D590/$L$6)</f>
        <v/>
      </c>
      <c r="H590" s="37">
        <f>IF(OR(F590="",F591=""),"",(E590+E591)/2)</f>
        <v/>
      </c>
      <c r="I590" s="25">
        <f>IF(H590="","",(F591-F590)/(E591-E590))</f>
        <v/>
      </c>
      <c r="P590" s="25">
        <f>IF(($L$5-1)&lt;1,"",IF(587&lt;=($L$5-1),E590,INDEX($E$4:$E$603,($L$5-1))))</f>
        <v/>
      </c>
      <c r="Q590" s="25">
        <f>IF(($L$5-1)&lt;1,"",IF(587&lt;=($L$5-1),F590,INDEX($F$4:$F$603,($L$5-1))))</f>
        <v/>
      </c>
      <c r="R590" s="25">
        <f>IF(($L$5-1)&lt;1,"",IF(587&lt;=($L$5-1),G590,INDEX($G$4:$G$603,($L$5-1))))</f>
        <v/>
      </c>
      <c r="S590" s="25">
        <f>IF(($L$5-2)&lt;1,"",IF(587&lt;=($L$5-2),H590,INDEX($H$4:$H$603,($L$5-2))))</f>
        <v/>
      </c>
      <c r="T590" s="25">
        <f>IF(($L$5-2)&lt;1,"",IF(587&lt;=($L$5-2),I590,INDEX($I$4:$I$603,($L$5-2))))</f>
        <v/>
      </c>
    </row>
    <row r="591">
      <c r="A591" s="43" t="n"/>
      <c r="B591" s="43" t="n"/>
      <c r="C591" s="37">
        <f>IF(OR(A591="",A592=""),"",A592-A591)</f>
        <v/>
      </c>
      <c r="D591" s="37">
        <f>IF(C591="","",B592-B591)</f>
        <v/>
      </c>
      <c r="E591" s="37">
        <f>IF(C591="","",(A591+A592)/2)</f>
        <v/>
      </c>
      <c r="F591" s="25">
        <f>IF(OR(C591="",C591=0),"",D591/C591)</f>
        <v/>
      </c>
      <c r="G591" s="25">
        <f>IF(C591="","",D591/$L$6)</f>
        <v/>
      </c>
      <c r="H591" s="37">
        <f>IF(OR(F591="",F592=""),"",(E591+E592)/2)</f>
        <v/>
      </c>
      <c r="I591" s="25">
        <f>IF(H591="","",(F592-F591)/(E592-E591))</f>
        <v/>
      </c>
      <c r="P591" s="25">
        <f>IF(($L$5-1)&lt;1,"",IF(588&lt;=($L$5-1),E591,INDEX($E$4:$E$603,($L$5-1))))</f>
        <v/>
      </c>
      <c r="Q591" s="25">
        <f>IF(($L$5-1)&lt;1,"",IF(588&lt;=($L$5-1),F591,INDEX($F$4:$F$603,($L$5-1))))</f>
        <v/>
      </c>
      <c r="R591" s="25">
        <f>IF(($L$5-1)&lt;1,"",IF(588&lt;=($L$5-1),G591,INDEX($G$4:$G$603,($L$5-1))))</f>
        <v/>
      </c>
      <c r="S591" s="25">
        <f>IF(($L$5-2)&lt;1,"",IF(588&lt;=($L$5-2),H591,INDEX($H$4:$H$603,($L$5-2))))</f>
        <v/>
      </c>
      <c r="T591" s="25">
        <f>IF(($L$5-2)&lt;1,"",IF(588&lt;=($L$5-2),I591,INDEX($I$4:$I$603,($L$5-2))))</f>
        <v/>
      </c>
    </row>
    <row r="592">
      <c r="A592" s="43" t="n"/>
      <c r="B592" s="43" t="n"/>
      <c r="C592" s="37">
        <f>IF(OR(A592="",A593=""),"",A593-A592)</f>
        <v/>
      </c>
      <c r="D592" s="37">
        <f>IF(C592="","",B593-B592)</f>
        <v/>
      </c>
      <c r="E592" s="37">
        <f>IF(C592="","",(A592+A593)/2)</f>
        <v/>
      </c>
      <c r="F592" s="25">
        <f>IF(OR(C592="",C592=0),"",D592/C592)</f>
        <v/>
      </c>
      <c r="G592" s="25">
        <f>IF(C592="","",D592/$L$6)</f>
        <v/>
      </c>
      <c r="H592" s="37">
        <f>IF(OR(F592="",F593=""),"",(E592+E593)/2)</f>
        <v/>
      </c>
      <c r="I592" s="25">
        <f>IF(H592="","",(F593-F592)/(E593-E592))</f>
        <v/>
      </c>
      <c r="P592" s="25">
        <f>IF(($L$5-1)&lt;1,"",IF(589&lt;=($L$5-1),E592,INDEX($E$4:$E$603,($L$5-1))))</f>
        <v/>
      </c>
      <c r="Q592" s="25">
        <f>IF(($L$5-1)&lt;1,"",IF(589&lt;=($L$5-1),F592,INDEX($F$4:$F$603,($L$5-1))))</f>
        <v/>
      </c>
      <c r="R592" s="25">
        <f>IF(($L$5-1)&lt;1,"",IF(589&lt;=($L$5-1),G592,INDEX($G$4:$G$603,($L$5-1))))</f>
        <v/>
      </c>
      <c r="S592" s="25">
        <f>IF(($L$5-2)&lt;1,"",IF(589&lt;=($L$5-2),H592,INDEX($H$4:$H$603,($L$5-2))))</f>
        <v/>
      </c>
      <c r="T592" s="25">
        <f>IF(($L$5-2)&lt;1,"",IF(589&lt;=($L$5-2),I592,INDEX($I$4:$I$603,($L$5-2))))</f>
        <v/>
      </c>
    </row>
    <row r="593">
      <c r="A593" s="43" t="n"/>
      <c r="B593" s="43" t="n"/>
      <c r="C593" s="37">
        <f>IF(OR(A593="",A594=""),"",A594-A593)</f>
        <v/>
      </c>
      <c r="D593" s="37">
        <f>IF(C593="","",B594-B593)</f>
        <v/>
      </c>
      <c r="E593" s="37">
        <f>IF(C593="","",(A593+A594)/2)</f>
        <v/>
      </c>
      <c r="F593" s="25">
        <f>IF(OR(C593="",C593=0),"",D593/C593)</f>
        <v/>
      </c>
      <c r="G593" s="25">
        <f>IF(C593="","",D593/$L$6)</f>
        <v/>
      </c>
      <c r="H593" s="37">
        <f>IF(OR(F593="",F594=""),"",(E593+E594)/2)</f>
        <v/>
      </c>
      <c r="I593" s="25">
        <f>IF(H593="","",(F594-F593)/(E594-E593))</f>
        <v/>
      </c>
      <c r="P593" s="25">
        <f>IF(($L$5-1)&lt;1,"",IF(590&lt;=($L$5-1),E593,INDEX($E$4:$E$603,($L$5-1))))</f>
        <v/>
      </c>
      <c r="Q593" s="25">
        <f>IF(($L$5-1)&lt;1,"",IF(590&lt;=($L$5-1),F593,INDEX($F$4:$F$603,($L$5-1))))</f>
        <v/>
      </c>
      <c r="R593" s="25">
        <f>IF(($L$5-1)&lt;1,"",IF(590&lt;=($L$5-1),G593,INDEX($G$4:$G$603,($L$5-1))))</f>
        <v/>
      </c>
      <c r="S593" s="25">
        <f>IF(($L$5-2)&lt;1,"",IF(590&lt;=($L$5-2),H593,INDEX($H$4:$H$603,($L$5-2))))</f>
        <v/>
      </c>
      <c r="T593" s="25">
        <f>IF(($L$5-2)&lt;1,"",IF(590&lt;=($L$5-2),I593,INDEX($I$4:$I$603,($L$5-2))))</f>
        <v/>
      </c>
    </row>
    <row r="594">
      <c r="A594" s="43" t="n"/>
      <c r="B594" s="43" t="n"/>
      <c r="C594" s="37">
        <f>IF(OR(A594="",A595=""),"",A595-A594)</f>
        <v/>
      </c>
      <c r="D594" s="37">
        <f>IF(C594="","",B595-B594)</f>
        <v/>
      </c>
      <c r="E594" s="37">
        <f>IF(C594="","",(A594+A595)/2)</f>
        <v/>
      </c>
      <c r="F594" s="25">
        <f>IF(OR(C594="",C594=0),"",D594/C594)</f>
        <v/>
      </c>
      <c r="G594" s="25">
        <f>IF(C594="","",D594/$L$6)</f>
        <v/>
      </c>
      <c r="H594" s="37">
        <f>IF(OR(F594="",F595=""),"",(E594+E595)/2)</f>
        <v/>
      </c>
      <c r="I594" s="25">
        <f>IF(H594="","",(F595-F594)/(E595-E594))</f>
        <v/>
      </c>
      <c r="P594" s="25">
        <f>IF(($L$5-1)&lt;1,"",IF(591&lt;=($L$5-1),E594,INDEX($E$4:$E$603,($L$5-1))))</f>
        <v/>
      </c>
      <c r="Q594" s="25">
        <f>IF(($L$5-1)&lt;1,"",IF(591&lt;=($L$5-1),F594,INDEX($F$4:$F$603,($L$5-1))))</f>
        <v/>
      </c>
      <c r="R594" s="25">
        <f>IF(($L$5-1)&lt;1,"",IF(591&lt;=($L$5-1),G594,INDEX($G$4:$G$603,($L$5-1))))</f>
        <v/>
      </c>
      <c r="S594" s="25">
        <f>IF(($L$5-2)&lt;1,"",IF(591&lt;=($L$5-2),H594,INDEX($H$4:$H$603,($L$5-2))))</f>
        <v/>
      </c>
      <c r="T594" s="25">
        <f>IF(($L$5-2)&lt;1,"",IF(591&lt;=($L$5-2),I594,INDEX($I$4:$I$603,($L$5-2))))</f>
        <v/>
      </c>
    </row>
    <row r="595">
      <c r="A595" s="43" t="n"/>
      <c r="B595" s="43" t="n"/>
      <c r="C595" s="37">
        <f>IF(OR(A595="",A596=""),"",A596-A595)</f>
        <v/>
      </c>
      <c r="D595" s="37">
        <f>IF(C595="","",B596-B595)</f>
        <v/>
      </c>
      <c r="E595" s="37">
        <f>IF(C595="","",(A595+A596)/2)</f>
        <v/>
      </c>
      <c r="F595" s="25">
        <f>IF(OR(C595="",C595=0),"",D595/C595)</f>
        <v/>
      </c>
      <c r="G595" s="25">
        <f>IF(C595="","",D595/$L$6)</f>
        <v/>
      </c>
      <c r="H595" s="37">
        <f>IF(OR(F595="",F596=""),"",(E595+E596)/2)</f>
        <v/>
      </c>
      <c r="I595" s="25">
        <f>IF(H595="","",(F596-F595)/(E596-E595))</f>
        <v/>
      </c>
      <c r="P595" s="25">
        <f>IF(($L$5-1)&lt;1,"",IF(592&lt;=($L$5-1),E595,INDEX($E$4:$E$603,($L$5-1))))</f>
        <v/>
      </c>
      <c r="Q595" s="25">
        <f>IF(($L$5-1)&lt;1,"",IF(592&lt;=($L$5-1),F595,INDEX($F$4:$F$603,($L$5-1))))</f>
        <v/>
      </c>
      <c r="R595" s="25">
        <f>IF(($L$5-1)&lt;1,"",IF(592&lt;=($L$5-1),G595,INDEX($G$4:$G$603,($L$5-1))))</f>
        <v/>
      </c>
      <c r="S595" s="25">
        <f>IF(($L$5-2)&lt;1,"",IF(592&lt;=($L$5-2),H595,INDEX($H$4:$H$603,($L$5-2))))</f>
        <v/>
      </c>
      <c r="T595" s="25">
        <f>IF(($L$5-2)&lt;1,"",IF(592&lt;=($L$5-2),I595,INDEX($I$4:$I$603,($L$5-2))))</f>
        <v/>
      </c>
    </row>
    <row r="596">
      <c r="A596" s="43" t="n"/>
      <c r="B596" s="43" t="n"/>
      <c r="C596" s="37">
        <f>IF(OR(A596="",A597=""),"",A597-A596)</f>
        <v/>
      </c>
      <c r="D596" s="37">
        <f>IF(C596="","",B597-B596)</f>
        <v/>
      </c>
      <c r="E596" s="37">
        <f>IF(C596="","",(A596+A597)/2)</f>
        <v/>
      </c>
      <c r="F596" s="25">
        <f>IF(OR(C596="",C596=0),"",D596/C596)</f>
        <v/>
      </c>
      <c r="G596" s="25">
        <f>IF(C596="","",D596/$L$6)</f>
        <v/>
      </c>
      <c r="H596" s="37">
        <f>IF(OR(F596="",F597=""),"",(E596+E597)/2)</f>
        <v/>
      </c>
      <c r="I596" s="25">
        <f>IF(H596="","",(F597-F596)/(E597-E596))</f>
        <v/>
      </c>
      <c r="P596" s="25">
        <f>IF(($L$5-1)&lt;1,"",IF(593&lt;=($L$5-1),E596,INDEX($E$4:$E$603,($L$5-1))))</f>
        <v/>
      </c>
      <c r="Q596" s="25">
        <f>IF(($L$5-1)&lt;1,"",IF(593&lt;=($L$5-1),F596,INDEX($F$4:$F$603,($L$5-1))))</f>
        <v/>
      </c>
      <c r="R596" s="25">
        <f>IF(($L$5-1)&lt;1,"",IF(593&lt;=($L$5-1),G596,INDEX($G$4:$G$603,($L$5-1))))</f>
        <v/>
      </c>
      <c r="S596" s="25">
        <f>IF(($L$5-2)&lt;1,"",IF(593&lt;=($L$5-2),H596,INDEX($H$4:$H$603,($L$5-2))))</f>
        <v/>
      </c>
      <c r="T596" s="25">
        <f>IF(($L$5-2)&lt;1,"",IF(593&lt;=($L$5-2),I596,INDEX($I$4:$I$603,($L$5-2))))</f>
        <v/>
      </c>
    </row>
    <row r="597">
      <c r="A597" s="43" t="n"/>
      <c r="B597" s="43" t="n"/>
      <c r="C597" s="37">
        <f>IF(OR(A597="",A598=""),"",A598-A597)</f>
        <v/>
      </c>
      <c r="D597" s="37">
        <f>IF(C597="","",B598-B597)</f>
        <v/>
      </c>
      <c r="E597" s="37">
        <f>IF(C597="","",(A597+A598)/2)</f>
        <v/>
      </c>
      <c r="F597" s="25">
        <f>IF(OR(C597="",C597=0),"",D597/C597)</f>
        <v/>
      </c>
      <c r="G597" s="25">
        <f>IF(C597="","",D597/$L$6)</f>
        <v/>
      </c>
      <c r="H597" s="37">
        <f>IF(OR(F597="",F598=""),"",(E597+E598)/2)</f>
        <v/>
      </c>
      <c r="I597" s="25">
        <f>IF(H597="","",(F598-F597)/(E598-E597))</f>
        <v/>
      </c>
      <c r="P597" s="25">
        <f>IF(($L$5-1)&lt;1,"",IF(594&lt;=($L$5-1),E597,INDEX($E$4:$E$603,($L$5-1))))</f>
        <v/>
      </c>
      <c r="Q597" s="25">
        <f>IF(($L$5-1)&lt;1,"",IF(594&lt;=($L$5-1),F597,INDEX($F$4:$F$603,($L$5-1))))</f>
        <v/>
      </c>
      <c r="R597" s="25">
        <f>IF(($L$5-1)&lt;1,"",IF(594&lt;=($L$5-1),G597,INDEX($G$4:$G$603,($L$5-1))))</f>
        <v/>
      </c>
      <c r="S597" s="25">
        <f>IF(($L$5-2)&lt;1,"",IF(594&lt;=($L$5-2),H597,INDEX($H$4:$H$603,($L$5-2))))</f>
        <v/>
      </c>
      <c r="T597" s="25">
        <f>IF(($L$5-2)&lt;1,"",IF(594&lt;=($L$5-2),I597,INDEX($I$4:$I$603,($L$5-2))))</f>
        <v/>
      </c>
    </row>
    <row r="598">
      <c r="A598" s="43" t="n"/>
      <c r="B598" s="43" t="n"/>
      <c r="C598" s="37">
        <f>IF(OR(A598="",A599=""),"",A599-A598)</f>
        <v/>
      </c>
      <c r="D598" s="37">
        <f>IF(C598="","",B599-B598)</f>
        <v/>
      </c>
      <c r="E598" s="37">
        <f>IF(C598="","",(A598+A599)/2)</f>
        <v/>
      </c>
      <c r="F598" s="25">
        <f>IF(OR(C598="",C598=0),"",D598/C598)</f>
        <v/>
      </c>
      <c r="G598" s="25">
        <f>IF(C598="","",D598/$L$6)</f>
        <v/>
      </c>
      <c r="H598" s="37">
        <f>IF(OR(F598="",F599=""),"",(E598+E599)/2)</f>
        <v/>
      </c>
      <c r="I598" s="25">
        <f>IF(H598="","",(F599-F598)/(E599-E598))</f>
        <v/>
      </c>
      <c r="P598" s="25">
        <f>IF(($L$5-1)&lt;1,"",IF(595&lt;=($L$5-1),E598,INDEX($E$4:$E$603,($L$5-1))))</f>
        <v/>
      </c>
      <c r="Q598" s="25">
        <f>IF(($L$5-1)&lt;1,"",IF(595&lt;=($L$5-1),F598,INDEX($F$4:$F$603,($L$5-1))))</f>
        <v/>
      </c>
      <c r="R598" s="25">
        <f>IF(($L$5-1)&lt;1,"",IF(595&lt;=($L$5-1),G598,INDEX($G$4:$G$603,($L$5-1))))</f>
        <v/>
      </c>
      <c r="S598" s="25">
        <f>IF(($L$5-2)&lt;1,"",IF(595&lt;=($L$5-2),H598,INDEX($H$4:$H$603,($L$5-2))))</f>
        <v/>
      </c>
      <c r="T598" s="25">
        <f>IF(($L$5-2)&lt;1,"",IF(595&lt;=($L$5-2),I598,INDEX($I$4:$I$603,($L$5-2))))</f>
        <v/>
      </c>
    </row>
    <row r="599">
      <c r="A599" s="43" t="n"/>
      <c r="B599" s="43" t="n"/>
      <c r="C599" s="37">
        <f>IF(OR(A599="",A600=""),"",A600-A599)</f>
        <v/>
      </c>
      <c r="D599" s="37">
        <f>IF(C599="","",B600-B599)</f>
        <v/>
      </c>
      <c r="E599" s="37">
        <f>IF(C599="","",(A599+A600)/2)</f>
        <v/>
      </c>
      <c r="F599" s="25">
        <f>IF(OR(C599="",C599=0),"",D599/C599)</f>
        <v/>
      </c>
      <c r="G599" s="25">
        <f>IF(C599="","",D599/$L$6)</f>
        <v/>
      </c>
      <c r="H599" s="37">
        <f>IF(OR(F599="",F600=""),"",(E599+E600)/2)</f>
        <v/>
      </c>
      <c r="I599" s="25">
        <f>IF(H599="","",(F600-F599)/(E600-E599))</f>
        <v/>
      </c>
      <c r="P599" s="25">
        <f>IF(($L$5-1)&lt;1,"",IF(596&lt;=($L$5-1),E599,INDEX($E$4:$E$603,($L$5-1))))</f>
        <v/>
      </c>
      <c r="Q599" s="25">
        <f>IF(($L$5-1)&lt;1,"",IF(596&lt;=($L$5-1),F599,INDEX($F$4:$F$603,($L$5-1))))</f>
        <v/>
      </c>
      <c r="R599" s="25">
        <f>IF(($L$5-1)&lt;1,"",IF(596&lt;=($L$5-1),G599,INDEX($G$4:$G$603,($L$5-1))))</f>
        <v/>
      </c>
      <c r="S599" s="25">
        <f>IF(($L$5-2)&lt;1,"",IF(596&lt;=($L$5-2),H599,INDEX($H$4:$H$603,($L$5-2))))</f>
        <v/>
      </c>
      <c r="T599" s="25">
        <f>IF(($L$5-2)&lt;1,"",IF(596&lt;=($L$5-2),I599,INDEX($I$4:$I$603,($L$5-2))))</f>
        <v/>
      </c>
    </row>
    <row r="600">
      <c r="A600" s="43" t="n"/>
      <c r="B600" s="43" t="n"/>
      <c r="C600" s="37">
        <f>IF(OR(A600="",A601=""),"",A601-A600)</f>
        <v/>
      </c>
      <c r="D600" s="37">
        <f>IF(C600="","",B601-B600)</f>
        <v/>
      </c>
      <c r="E600" s="37">
        <f>IF(C600="","",(A600+A601)/2)</f>
        <v/>
      </c>
      <c r="F600" s="25">
        <f>IF(OR(C600="",C600=0),"",D600/C600)</f>
        <v/>
      </c>
      <c r="G600" s="25">
        <f>IF(C600="","",D600/$L$6)</f>
        <v/>
      </c>
      <c r="H600" s="37">
        <f>IF(OR(F600="",F601=""),"",(E600+E601)/2)</f>
        <v/>
      </c>
      <c r="I600" s="25">
        <f>IF(H600="","",(F601-F600)/(E601-E600))</f>
        <v/>
      </c>
      <c r="P600" s="25">
        <f>IF(($L$5-1)&lt;1,"",IF(597&lt;=($L$5-1),E600,INDEX($E$4:$E$603,($L$5-1))))</f>
        <v/>
      </c>
      <c r="Q600" s="25">
        <f>IF(($L$5-1)&lt;1,"",IF(597&lt;=($L$5-1),F600,INDEX($F$4:$F$603,($L$5-1))))</f>
        <v/>
      </c>
      <c r="R600" s="25">
        <f>IF(($L$5-1)&lt;1,"",IF(597&lt;=($L$5-1),G600,INDEX($G$4:$G$603,($L$5-1))))</f>
        <v/>
      </c>
      <c r="S600" s="25">
        <f>IF(($L$5-2)&lt;1,"",IF(597&lt;=($L$5-2),H600,INDEX($H$4:$H$603,($L$5-2))))</f>
        <v/>
      </c>
      <c r="T600" s="25">
        <f>IF(($L$5-2)&lt;1,"",IF(597&lt;=($L$5-2),I600,INDEX($I$4:$I$603,($L$5-2))))</f>
        <v/>
      </c>
    </row>
    <row r="601">
      <c r="A601" s="43" t="n"/>
      <c r="B601" s="43" t="n"/>
      <c r="C601" s="37">
        <f>IF(OR(A601="",A602=""),"",A602-A601)</f>
        <v/>
      </c>
      <c r="D601" s="37">
        <f>IF(C601="","",B602-B601)</f>
        <v/>
      </c>
      <c r="E601" s="37">
        <f>IF(C601="","",(A601+A602)/2)</f>
        <v/>
      </c>
      <c r="F601" s="25">
        <f>IF(OR(C601="",C601=0),"",D601/C601)</f>
        <v/>
      </c>
      <c r="G601" s="25">
        <f>IF(C601="","",D601/$L$6)</f>
        <v/>
      </c>
      <c r="H601" s="37">
        <f>IF(OR(F601="",F602=""),"",(E601+E602)/2)</f>
        <v/>
      </c>
      <c r="I601" s="25">
        <f>IF(H601="","",(F602-F601)/(E602-E601))</f>
        <v/>
      </c>
      <c r="P601" s="25">
        <f>IF(($L$5-1)&lt;1,"",IF(598&lt;=($L$5-1),E601,INDEX($E$4:$E$603,($L$5-1))))</f>
        <v/>
      </c>
      <c r="Q601" s="25">
        <f>IF(($L$5-1)&lt;1,"",IF(598&lt;=($L$5-1),F601,INDEX($F$4:$F$603,($L$5-1))))</f>
        <v/>
      </c>
      <c r="R601" s="25">
        <f>IF(($L$5-1)&lt;1,"",IF(598&lt;=($L$5-1),G601,INDEX($G$4:$G$603,($L$5-1))))</f>
        <v/>
      </c>
      <c r="S601" s="25">
        <f>IF(($L$5-2)&lt;1,"",IF(598&lt;=($L$5-2),H601,INDEX($H$4:$H$603,($L$5-2))))</f>
        <v/>
      </c>
      <c r="T601" s="25">
        <f>IF(($L$5-2)&lt;1,"",IF(598&lt;=($L$5-2),I601,INDEX($I$4:$I$603,($L$5-2))))</f>
        <v/>
      </c>
    </row>
    <row r="602">
      <c r="A602" s="43" t="n"/>
      <c r="B602" s="43" t="n"/>
      <c r="C602" s="37">
        <f>IF(OR(A602="",A603=""),"",A603-A602)</f>
        <v/>
      </c>
      <c r="D602" s="37">
        <f>IF(C602="","",B603-B602)</f>
        <v/>
      </c>
      <c r="E602" s="37">
        <f>IF(C602="","",(A602+A603)/2)</f>
        <v/>
      </c>
      <c r="F602" s="25">
        <f>IF(OR(C602="",C602=0),"",D602/C602)</f>
        <v/>
      </c>
      <c r="G602" s="25">
        <f>IF(C602="","",D602/$L$6)</f>
        <v/>
      </c>
      <c r="H602" s="37">
        <f>IF(OR(F602="",F603=""),"",(E602+E603)/2)</f>
        <v/>
      </c>
      <c r="I602" s="25">
        <f>IF(H602="","",(F603-F602)/(E603-E602))</f>
        <v/>
      </c>
      <c r="P602" s="25">
        <f>IF(($L$5-1)&lt;1,"",IF(599&lt;=($L$5-1),E602,INDEX($E$4:$E$603,($L$5-1))))</f>
        <v/>
      </c>
      <c r="Q602" s="25">
        <f>IF(($L$5-1)&lt;1,"",IF(599&lt;=($L$5-1),F602,INDEX($F$4:$F$603,($L$5-1))))</f>
        <v/>
      </c>
      <c r="R602" s="25">
        <f>IF(($L$5-1)&lt;1,"",IF(599&lt;=($L$5-1),G602,INDEX($G$4:$G$603,($L$5-1))))</f>
        <v/>
      </c>
      <c r="S602" s="25">
        <f>IF(($L$5-2)&lt;1,"",IF(599&lt;=($L$5-2),H602,INDEX($H$4:$H$603,($L$5-2))))</f>
        <v/>
      </c>
      <c r="T602" s="25">
        <f>IF(($L$5-2)&lt;1,"",IF(599&lt;=($L$5-2),I602,INDEX($I$4:$I$603,($L$5-2))))</f>
        <v/>
      </c>
    </row>
    <row r="603">
      <c r="A603" s="43" t="n"/>
      <c r="B603" s="43" t="n"/>
      <c r="C603" s="37">
        <f>IF(OR(A603="",A604=""),"",A604-A603)</f>
        <v/>
      </c>
      <c r="D603" s="37">
        <f>IF(C603="","",B604-B603)</f>
        <v/>
      </c>
      <c r="E603" s="37">
        <f>IF(C603="","",(A603+A604)/2)</f>
        <v/>
      </c>
      <c r="F603" s="25">
        <f>IF(OR(C603="",C603=0),"",D603/C603)</f>
        <v/>
      </c>
      <c r="G603" s="25">
        <f>IF(C603="","",D603/$L$6)</f>
        <v/>
      </c>
      <c r="H603" s="37">
        <f>IF(OR(F603="",F604=""),"",(E603+E604)/2)</f>
        <v/>
      </c>
      <c r="I603" s="25">
        <f>IF(H603="","",(F604-F603)/(E604-E603))</f>
        <v/>
      </c>
      <c r="P603" s="25">
        <f>IF(($L$5-1)&lt;1,"",IF(600&lt;=($L$5-1),E603,INDEX($E$4:$E$603,($L$5-1))))</f>
        <v/>
      </c>
      <c r="Q603" s="25">
        <f>IF(($L$5-1)&lt;1,"",IF(600&lt;=($L$5-1),F603,INDEX($F$4:$F$603,($L$5-1))))</f>
        <v/>
      </c>
      <c r="R603" s="25">
        <f>IF(($L$5-1)&lt;1,"",IF(600&lt;=($L$5-1),G603,INDEX($G$4:$G$603,($L$5-1))))</f>
        <v/>
      </c>
      <c r="S603" s="25">
        <f>IF(($L$5-2)&lt;1,"",IF(600&lt;=($L$5-2),H603,INDEX($H$4:$H$603,($L$5-2))))</f>
        <v/>
      </c>
      <c r="T603" s="25">
        <f>IF(($L$5-2)&lt;1,"",IF(600&lt;=($L$5-2),I603,INDEX($I$4:$I$603,($L$5-2))))</f>
        <v/>
      </c>
    </row>
  </sheetData>
  <mergeCells count="4">
    <mergeCell ref="K90:N90"/>
    <mergeCell ref="W14:Z18"/>
    <mergeCell ref="A2:N2"/>
    <mergeCell ref="K88:N8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Y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6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3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" customWidth="1" min="17" max="17"/>
    <col width="55" customWidth="1" min="18" max="18"/>
  </cols>
  <sheetData>
    <row r="1">
      <c r="A1" s="1" t="inlineStr">
        <is>
          <t>步驟 4　手動 vs PASCO：Bland–Altman、配對 t 檢定、F 檢定</t>
        </is>
      </c>
    </row>
    <row r="2" ht="32" customHeight="1">
      <c r="A2" s="20" t="inlineStr">
        <is>
          <t>同一份樣品、同一位同學，手動滴定和 PASCO 各得一個 % 酸，組成一「配對」。左表依序列出所有配對（從原始數據 R 欄 pair_no 抓）。相關係數 r 高不代表兩法一致——要看差值。</t>
        </is>
      </c>
    </row>
    <row r="3">
      <c r="T3" s="2" t="inlineStr">
        <is>
          <t>圖用輔助數據（自動計算）</t>
        </is>
      </c>
    </row>
    <row r="4" ht="36" customHeight="1">
      <c r="A4" s="9" t="inlineStr">
        <is>
          <t>配對 #</t>
        </is>
      </c>
      <c r="B4" s="9" t="inlineStr">
        <is>
          <t>原始數據列</t>
        </is>
      </c>
      <c r="C4" s="9" t="inlineStr">
        <is>
          <t>sample</t>
        </is>
      </c>
      <c r="D4" s="9" t="inlineStr">
        <is>
          <t>組別</t>
        </is>
      </c>
      <c r="E4" s="9" t="inlineStr">
        <is>
          <t>學生</t>
        </is>
      </c>
      <c r="F4" s="9" t="inlineStr">
        <is>
          <t>手動 % 酸</t>
        </is>
      </c>
      <c r="G4" s="9" t="inlineStr">
        <is>
          <t>PASCO % 酸</t>
        </is>
      </c>
      <c r="H4" s="9" t="inlineStr">
        <is>
          <t>差值
PASCO−手動</t>
        </is>
      </c>
      <c r="I4" s="9" t="inlineStr">
        <is>
          <t>兩法平均</t>
        </is>
      </c>
      <c r="K4" s="3" t="inlineStr">
        <is>
          <t>4-1 Bland–Altman 統計</t>
        </is>
      </c>
      <c r="T4" s="9" t="inlineStr">
        <is>
          <t>平均</t>
        </is>
      </c>
      <c r="U4" s="9" t="inlineStr">
        <is>
          <t>差值</t>
        </is>
      </c>
      <c r="V4" s="9" t="inlineStr">
        <is>
          <t>手動</t>
        </is>
      </c>
      <c r="W4" s="9" t="inlineStr">
        <is>
          <t>PASCO</t>
        </is>
      </c>
      <c r="X4" s="9" t="inlineStr">
        <is>
          <t>線 x</t>
        </is>
      </c>
      <c r="Y4" s="9" t="inlineStr">
        <is>
          <t>線 y</t>
        </is>
      </c>
    </row>
    <row r="5" ht="15" customHeight="1">
      <c r="A5" s="44" t="n">
        <v>1</v>
      </c>
      <c r="B5" s="33">
        <f>IFERROR(MATCH(A5,'1_原始數據'!$R$2:$R$1000,0)+1,"")</f>
        <v/>
      </c>
      <c r="C5" s="13">
        <f>IF($B5="","",INDEX('1_原始數據'!$I$2:$I$1000,$B5-1))</f>
        <v/>
      </c>
      <c r="D5" s="33">
        <f>IF($B5="","",INDEX('1_原始數據'!$A$2:$A$1000,$B5-1))</f>
        <v/>
      </c>
      <c r="E5" s="13">
        <f>IF($B5="","",INDEX('1_原始數據'!$B$2:$B$1000,$B5-1))</f>
        <v/>
      </c>
      <c r="F5" s="11">
        <f>IF($B5="","",INDEX('1_原始數據'!$N$2:$N$1000,$B5-1))</f>
        <v/>
      </c>
      <c r="G5" s="11">
        <f>IF($B5="","",INDEX('1_原始數據'!$O$2:$O$1000,$B5-1))</f>
        <v/>
      </c>
      <c r="H5" s="45">
        <f>IF($B5="","",INDEX('1_原始數據'!$P$2:$P$1000,$B5-1))</f>
        <v/>
      </c>
      <c r="I5" s="11">
        <f>IF($B5="","",INDEX('1_原始數據'!$Q$2:$Q$1000,$B5-1))</f>
        <v/>
      </c>
      <c r="K5" s="10" t="inlineStr">
        <is>
          <t>配對數 n</t>
        </is>
      </c>
      <c r="L5" s="33">
        <f>COUNT(H5:H44)</f>
        <v/>
      </c>
      <c r="R5" s="20" t="inlineStr">
        <is>
          <t>COUNT：有幾個差值。</t>
        </is>
      </c>
      <c r="T5" s="24">
        <f>IF($L$5=0,"",IF(A5&lt;=$L$5,I5,INDEX(I$5:I$44,$L$5)))</f>
        <v/>
      </c>
      <c r="U5" s="24">
        <f>IF($L$5=0,"",IF(A5&lt;=$L$5,H5,INDEX(H$5:H$44,$L$5)))</f>
        <v/>
      </c>
      <c r="V5" s="24">
        <f>IF($L$5=0,"",IF(A5&lt;=$L$5,F5,INDEX(F$5:F$44,$L$5)))</f>
        <v/>
      </c>
      <c r="W5" s="24">
        <f>IF($L$5=0,"",IF(A5&lt;=$L$5,G5,INDEX(G$5:G$44,$L$5)))</f>
        <v/>
      </c>
      <c r="X5" s="16">
        <f>MIN(I5:I44)</f>
        <v/>
      </c>
      <c r="Y5" s="16">
        <f>L6</f>
        <v/>
      </c>
    </row>
    <row r="6" ht="30" customHeight="1">
      <c r="A6" s="44" t="n">
        <v>2</v>
      </c>
      <c r="B6" s="33">
        <f>IFERROR(MATCH(A6,'1_原始數據'!$R$2:$R$1000,0)+1,"")</f>
        <v/>
      </c>
      <c r="C6" s="13">
        <f>IF($B6="","",INDEX('1_原始數據'!$I$2:$I$1000,$B6-1))</f>
        <v/>
      </c>
      <c r="D6" s="33">
        <f>IF($B6="","",INDEX('1_原始數據'!$A$2:$A$1000,$B6-1))</f>
        <v/>
      </c>
      <c r="E6" s="13">
        <f>IF($B6="","",INDEX('1_原始數據'!$B$2:$B$1000,$B6-1))</f>
        <v/>
      </c>
      <c r="F6" s="11">
        <f>IF($B6="","",INDEX('1_原始數據'!$N$2:$N$1000,$B6-1))</f>
        <v/>
      </c>
      <c r="G6" s="11">
        <f>IF($B6="","",INDEX('1_原始數據'!$O$2:$O$1000,$B6-1))</f>
        <v/>
      </c>
      <c r="H6" s="45">
        <f>IF($B6="","",INDEX('1_原始數據'!$P$2:$P$1000,$B6-1))</f>
        <v/>
      </c>
      <c r="I6" s="11">
        <f>IF($B6="","",INDEX('1_原始數據'!$Q$2:$Q$1000,$B6-1))</f>
        <v/>
      </c>
      <c r="K6" s="10" t="inlineStr">
        <is>
          <t>平均差 bias (PASCO − 手動)</t>
        </is>
      </c>
      <c r="L6" s="46">
        <f>AVERAGE(H5:H44)</f>
        <v/>
      </c>
      <c r="R6" s="20" t="inlineStr">
        <is>
          <t>差值的平均。&gt; 0 表示 PASCO 平均比手動高；接近 0 表示沒有系統偏差。</t>
        </is>
      </c>
      <c r="T6" s="24">
        <f>IF($L$5=0,"",IF(A6&lt;=$L$5,I6,INDEX(I$5:I$44,$L$5)))</f>
        <v/>
      </c>
      <c r="U6" s="24">
        <f>IF($L$5=0,"",IF(A6&lt;=$L$5,H6,INDEX(H$5:H$44,$L$5)))</f>
        <v/>
      </c>
      <c r="V6" s="24">
        <f>IF($L$5=0,"",IF(A6&lt;=$L$5,F6,INDEX(F$5:F$44,$L$5)))</f>
        <v/>
      </c>
      <c r="W6" s="24">
        <f>IF($L$5=0,"",IF(A6&lt;=$L$5,G6,INDEX(G$5:G$44,$L$5)))</f>
        <v/>
      </c>
      <c r="X6" s="16">
        <f>MAX(I5:I44)</f>
        <v/>
      </c>
      <c r="Y6" s="16">
        <f>L6</f>
        <v/>
      </c>
    </row>
    <row r="7" ht="15" customHeight="1">
      <c r="A7" s="44" t="n">
        <v>3</v>
      </c>
      <c r="B7" s="33">
        <f>IFERROR(MATCH(A7,'1_原始數據'!$R$2:$R$1000,0)+1,"")</f>
        <v/>
      </c>
      <c r="C7" s="13">
        <f>IF($B7="","",INDEX('1_原始數據'!$I$2:$I$1000,$B7-1))</f>
        <v/>
      </c>
      <c r="D7" s="33">
        <f>IF($B7="","",INDEX('1_原始數據'!$A$2:$A$1000,$B7-1))</f>
        <v/>
      </c>
      <c r="E7" s="13">
        <f>IF($B7="","",INDEX('1_原始數據'!$B$2:$B$1000,$B7-1))</f>
        <v/>
      </c>
      <c r="F7" s="11">
        <f>IF($B7="","",INDEX('1_原始數據'!$N$2:$N$1000,$B7-1))</f>
        <v/>
      </c>
      <c r="G7" s="11">
        <f>IF($B7="","",INDEX('1_原始數據'!$O$2:$O$1000,$B7-1))</f>
        <v/>
      </c>
      <c r="H7" s="45">
        <f>IF($B7="","",INDEX('1_原始數據'!$P$2:$P$1000,$B7-1))</f>
        <v/>
      </c>
      <c r="I7" s="11">
        <f>IF($B7="","",INDEX('1_原始數據'!$Q$2:$Q$1000,$B7-1))</f>
        <v/>
      </c>
      <c r="K7" s="10" t="inlineStr">
        <is>
          <t>差值的 SD</t>
        </is>
      </c>
      <c r="L7" s="11">
        <f>_xlfn.STDEV.S(H5:H44)</f>
        <v/>
      </c>
      <c r="R7" s="20" t="inlineStr">
        <is>
          <t>差值分散多少（STDEV.S，除以 n−1）。</t>
        </is>
      </c>
      <c r="T7" s="24">
        <f>IF($L$5=0,"",IF(A7&lt;=$L$5,I7,INDEX(I$5:I$44,$L$5)))</f>
        <v/>
      </c>
      <c r="U7" s="24">
        <f>IF($L$5=0,"",IF(A7&lt;=$L$5,H7,INDEX(H$5:H$44,$L$5)))</f>
        <v/>
      </c>
      <c r="V7" s="24">
        <f>IF($L$5=0,"",IF(A7&lt;=$L$5,F7,INDEX(F$5:F$44,$L$5)))</f>
        <v/>
      </c>
      <c r="W7" s="24">
        <f>IF($L$5=0,"",IF(A7&lt;=$L$5,G7,INDEX(G$5:G$44,$L$5)))</f>
        <v/>
      </c>
      <c r="X7" s="16">
        <f>MIN(I5:I44)</f>
        <v/>
      </c>
      <c r="Y7" s="16">
        <f>L8</f>
        <v/>
      </c>
    </row>
    <row r="8" ht="30" customHeight="1">
      <c r="A8" s="44" t="n">
        <v>4</v>
      </c>
      <c r="B8" s="33">
        <f>IFERROR(MATCH(A8,'1_原始數據'!$R$2:$R$1000,0)+1,"")</f>
        <v/>
      </c>
      <c r="C8" s="13">
        <f>IF($B8="","",INDEX('1_原始數據'!$I$2:$I$1000,$B8-1))</f>
        <v/>
      </c>
      <c r="D8" s="33">
        <f>IF($B8="","",INDEX('1_原始數據'!$A$2:$A$1000,$B8-1))</f>
        <v/>
      </c>
      <c r="E8" s="13">
        <f>IF($B8="","",INDEX('1_原始數據'!$B$2:$B$1000,$B8-1))</f>
        <v/>
      </c>
      <c r="F8" s="11">
        <f>IF($B8="","",INDEX('1_原始數據'!$N$2:$N$1000,$B8-1))</f>
        <v/>
      </c>
      <c r="G8" s="11">
        <f>IF($B8="","",INDEX('1_原始數據'!$O$2:$O$1000,$B8-1))</f>
        <v/>
      </c>
      <c r="H8" s="45">
        <f>IF($B8="","",INDEX('1_原始數據'!$P$2:$P$1000,$B8-1))</f>
        <v/>
      </c>
      <c r="I8" s="11">
        <f>IF($B8="","",INDEX('1_原始數據'!$Q$2:$Q$1000,$B8-1))</f>
        <v/>
      </c>
      <c r="K8" s="10" t="inlineStr">
        <is>
          <t>一致性界限下限 (bias − 1.96 SD)</t>
        </is>
      </c>
      <c r="L8" s="46">
        <f>L6-1.96*L7</f>
        <v/>
      </c>
      <c r="R8" s="20" t="inlineStr">
        <is>
          <t>95% 一致性界限（limits of agreement, LoA）：大約 95% 的配對差值會落在上下限之間。</t>
        </is>
      </c>
      <c r="T8" s="24">
        <f>IF($L$5=0,"",IF(A8&lt;=$L$5,I8,INDEX(I$5:I$44,$L$5)))</f>
        <v/>
      </c>
      <c r="U8" s="24">
        <f>IF($L$5=0,"",IF(A8&lt;=$L$5,H8,INDEX(H$5:H$44,$L$5)))</f>
        <v/>
      </c>
      <c r="V8" s="24">
        <f>IF($L$5=0,"",IF(A8&lt;=$L$5,F8,INDEX(F$5:F$44,$L$5)))</f>
        <v/>
      </c>
      <c r="W8" s="24">
        <f>IF($L$5=0,"",IF(A8&lt;=$L$5,G8,INDEX(G$5:G$44,$L$5)))</f>
        <v/>
      </c>
      <c r="X8" s="16">
        <f>MAX(I5:I44)</f>
        <v/>
      </c>
      <c r="Y8" s="16">
        <f>L8</f>
        <v/>
      </c>
    </row>
    <row r="9" ht="30" customHeight="1">
      <c r="A9" s="44" t="n">
        <v>5</v>
      </c>
      <c r="B9" s="33">
        <f>IFERROR(MATCH(A9,'1_原始數據'!$R$2:$R$1000,0)+1,"")</f>
        <v/>
      </c>
      <c r="C9" s="13">
        <f>IF($B9="","",INDEX('1_原始數據'!$I$2:$I$1000,$B9-1))</f>
        <v/>
      </c>
      <c r="D9" s="33">
        <f>IF($B9="","",INDEX('1_原始數據'!$A$2:$A$1000,$B9-1))</f>
        <v/>
      </c>
      <c r="E9" s="13">
        <f>IF($B9="","",INDEX('1_原始數據'!$B$2:$B$1000,$B9-1))</f>
        <v/>
      </c>
      <c r="F9" s="11">
        <f>IF($B9="","",INDEX('1_原始數據'!$N$2:$N$1000,$B9-1))</f>
        <v/>
      </c>
      <c r="G9" s="11">
        <f>IF($B9="","",INDEX('1_原始數據'!$O$2:$O$1000,$B9-1))</f>
        <v/>
      </c>
      <c r="H9" s="45">
        <f>IF($B9="","",INDEX('1_原始數據'!$P$2:$P$1000,$B9-1))</f>
        <v/>
      </c>
      <c r="I9" s="11">
        <f>IF($B9="","",INDEX('1_原始數據'!$Q$2:$Q$1000,$B9-1))</f>
        <v/>
      </c>
      <c r="K9" s="10" t="inlineStr">
        <is>
          <t>一致性界限上限 (bias + 1.96 SD)</t>
        </is>
      </c>
      <c r="L9" s="46">
        <f>L6+1.96*L7</f>
        <v/>
      </c>
      <c r="R9" s="20" t="inlineStr">
        <is>
          <t>判斷兩法能否互換：問自己「差這麼多，在食品品管上可以接受嗎？」這是專業判斷，不是統計檢定。</t>
        </is>
      </c>
      <c r="T9" s="24">
        <f>IF($L$5=0,"",IF(A9&lt;=$L$5,I9,INDEX(I$5:I$44,$L$5)))</f>
        <v/>
      </c>
      <c r="U9" s="24">
        <f>IF($L$5=0,"",IF(A9&lt;=$L$5,H9,INDEX(H$5:H$44,$L$5)))</f>
        <v/>
      </c>
      <c r="V9" s="24">
        <f>IF($L$5=0,"",IF(A9&lt;=$L$5,F9,INDEX(F$5:F$44,$L$5)))</f>
        <v/>
      </c>
      <c r="W9" s="24">
        <f>IF($L$5=0,"",IF(A9&lt;=$L$5,G9,INDEX(G$5:G$44,$L$5)))</f>
        <v/>
      </c>
      <c r="X9" s="16">
        <f>MIN(I5:I44)</f>
        <v/>
      </c>
      <c r="Y9" s="16">
        <f>L9</f>
        <v/>
      </c>
    </row>
    <row r="10">
      <c r="A10" s="44" t="n">
        <v>6</v>
      </c>
      <c r="B10" s="33">
        <f>IFERROR(MATCH(A10,'1_原始數據'!$R$2:$R$1000,0)+1,"")</f>
        <v/>
      </c>
      <c r="C10" s="13">
        <f>IF($B10="","",INDEX('1_原始數據'!$I$2:$I$1000,$B10-1))</f>
        <v/>
      </c>
      <c r="D10" s="33">
        <f>IF($B10="","",INDEX('1_原始數據'!$A$2:$A$1000,$B10-1))</f>
        <v/>
      </c>
      <c r="E10" s="13">
        <f>IF($B10="","",INDEX('1_原始數據'!$B$2:$B$1000,$B10-1))</f>
        <v/>
      </c>
      <c r="F10" s="11">
        <f>IF($B10="","",INDEX('1_原始數據'!$N$2:$N$1000,$B10-1))</f>
        <v/>
      </c>
      <c r="G10" s="11">
        <f>IF($B10="","",INDEX('1_原始數據'!$O$2:$O$1000,$B10-1))</f>
        <v/>
      </c>
      <c r="H10" s="45">
        <f>IF($B10="","",INDEX('1_原始數據'!$P$2:$P$1000,$B10-1))</f>
        <v/>
      </c>
      <c r="I10" s="11">
        <f>IF($B10="","",INDEX('1_原始數據'!$Q$2:$Q$1000,$B10-1))</f>
        <v/>
      </c>
      <c r="T10" s="24">
        <f>IF($L$5=0,"",IF(A10&lt;=$L$5,I10,INDEX(I$5:I$44,$L$5)))</f>
        <v/>
      </c>
      <c r="U10" s="24">
        <f>IF($L$5=0,"",IF(A10&lt;=$L$5,H10,INDEX(H$5:H$44,$L$5)))</f>
        <v/>
      </c>
      <c r="V10" s="24">
        <f>IF($L$5=0,"",IF(A10&lt;=$L$5,F10,INDEX(F$5:F$44,$L$5)))</f>
        <v/>
      </c>
      <c r="W10" s="24">
        <f>IF($L$5=0,"",IF(A10&lt;=$L$5,G10,INDEX(G$5:G$44,$L$5)))</f>
        <v/>
      </c>
      <c r="X10" s="16">
        <f>MAX(I5:I44)</f>
        <v/>
      </c>
      <c r="Y10" s="16">
        <f>L9</f>
        <v/>
      </c>
    </row>
    <row r="11" ht="30" customHeight="1">
      <c r="A11" s="44" t="n">
        <v>7</v>
      </c>
      <c r="B11" s="33">
        <f>IFERROR(MATCH(A11,'1_原始數據'!$R$2:$R$1000,0)+1,"")</f>
        <v/>
      </c>
      <c r="C11" s="13">
        <f>IF($B11="","",INDEX('1_原始數據'!$I$2:$I$1000,$B11-1))</f>
        <v/>
      </c>
      <c r="D11" s="33">
        <f>IF($B11="","",INDEX('1_原始數據'!$A$2:$A$1000,$B11-1))</f>
        <v/>
      </c>
      <c r="E11" s="13">
        <f>IF($B11="","",INDEX('1_原始數據'!$B$2:$B$1000,$B11-1))</f>
        <v/>
      </c>
      <c r="F11" s="11">
        <f>IF($B11="","",INDEX('1_原始數據'!$N$2:$N$1000,$B11-1))</f>
        <v/>
      </c>
      <c r="G11" s="11">
        <f>IF($B11="","",INDEX('1_原始數據'!$O$2:$O$1000,$B11-1))</f>
        <v/>
      </c>
      <c r="H11" s="45">
        <f>IF($B11="","",INDEX('1_原始數據'!$P$2:$P$1000,$B11-1))</f>
        <v/>
      </c>
      <c r="I11" s="11">
        <f>IF($B11="","",INDEX('1_原始數據'!$Q$2:$Q$1000,$B11-1))</f>
        <v/>
      </c>
      <c r="K11" s="10" t="inlineStr">
        <is>
          <t>配對 t = bias ÷ (SD/√n)</t>
        </is>
      </c>
      <c r="L11" s="38">
        <f>L6/(L7/SQRT(L5))</f>
        <v/>
      </c>
      <c r="R11" s="20" t="inlineStr">
        <is>
          <t>檢定「平均差是否為 0」。和 NB01 的單樣本 t 檢定一樣，只是對象換成差值。</t>
        </is>
      </c>
      <c r="T11" s="24">
        <f>IF($L$5=0,"",IF(A11&lt;=$L$5,I11,INDEX(I$5:I$44,$L$5)))</f>
        <v/>
      </c>
      <c r="U11" s="24">
        <f>IF($L$5=0,"",IF(A11&lt;=$L$5,H11,INDEX(H$5:H$44,$L$5)))</f>
        <v/>
      </c>
      <c r="V11" s="24">
        <f>IF($L$5=0,"",IF(A11&lt;=$L$5,F11,INDEX(F$5:F$44,$L$5)))</f>
        <v/>
      </c>
      <c r="W11" s="24">
        <f>IF($L$5=0,"",IF(A11&lt;=$L$5,G11,INDEX(G$5:G$44,$L$5)))</f>
        <v/>
      </c>
      <c r="X11" s="16">
        <f>MIN(F5:F44,G5:G44)</f>
        <v/>
      </c>
      <c r="Y11" s="16">
        <f>MIN(F5:F44,G5:G44)</f>
        <v/>
      </c>
    </row>
    <row r="12" ht="30" customHeight="1">
      <c r="A12" s="44" t="n">
        <v>8</v>
      </c>
      <c r="B12" s="33">
        <f>IFERROR(MATCH(A12,'1_原始數據'!$R$2:$R$1000,0)+1,"")</f>
        <v/>
      </c>
      <c r="C12" s="13">
        <f>IF($B12="","",INDEX('1_原始數據'!$I$2:$I$1000,$B12-1))</f>
        <v/>
      </c>
      <c r="D12" s="33">
        <f>IF($B12="","",INDEX('1_原始數據'!$A$2:$A$1000,$B12-1))</f>
        <v/>
      </c>
      <c r="E12" s="13">
        <f>IF($B12="","",INDEX('1_原始數據'!$B$2:$B$1000,$B12-1))</f>
        <v/>
      </c>
      <c r="F12" s="11">
        <f>IF($B12="","",INDEX('1_原始數據'!$N$2:$N$1000,$B12-1))</f>
        <v/>
      </c>
      <c r="G12" s="11">
        <f>IF($B12="","",INDEX('1_原始數據'!$O$2:$O$1000,$B12-1))</f>
        <v/>
      </c>
      <c r="H12" s="45">
        <f>IF($B12="","",INDEX('1_原始數據'!$P$2:$P$1000,$B12-1))</f>
        <v/>
      </c>
      <c r="I12" s="11">
        <f>IF($B12="","",INDEX('1_原始數據'!$Q$2:$Q$1000,$B12-1))</f>
        <v/>
      </c>
      <c r="K12" s="10" t="inlineStr">
        <is>
          <t>p 值（雙尾）</t>
        </is>
      </c>
      <c r="L12" s="11">
        <f>_xlfn.T.DIST.2T(ABS(L11),L5-1)</f>
        <v/>
      </c>
      <c r="R12" s="20" t="inlineStr">
        <is>
          <t>工具箱替代：資料 → 資料分析 → t 檢定：成對母體平均數差異檢定。也可用 =T.TEST(G5:G44,F5:F44,2,1)。</t>
        </is>
      </c>
      <c r="T12" s="24">
        <f>IF($L$5=0,"",IF(A12&lt;=$L$5,I12,INDEX(I$5:I$44,$L$5)))</f>
        <v/>
      </c>
      <c r="U12" s="24">
        <f>IF($L$5=0,"",IF(A12&lt;=$L$5,H12,INDEX(H$5:H$44,$L$5)))</f>
        <v/>
      </c>
      <c r="V12" s="24">
        <f>IF($L$5=0,"",IF(A12&lt;=$L$5,F12,INDEX(F$5:F$44,$L$5)))</f>
        <v/>
      </c>
      <c r="W12" s="24">
        <f>IF($L$5=0,"",IF(A12&lt;=$L$5,G12,INDEX(G$5:G$44,$L$5)))</f>
        <v/>
      </c>
      <c r="X12" s="16">
        <f>MAX(F5:F44,G5:G44)</f>
        <v/>
      </c>
      <c r="Y12" s="16">
        <f>MAX(F5:F44,G5:G44)</f>
        <v/>
      </c>
    </row>
    <row r="13">
      <c r="A13" s="44" t="n">
        <v>9</v>
      </c>
      <c r="B13" s="33">
        <f>IFERROR(MATCH(A13,'1_原始數據'!$R$2:$R$1000,0)+1,"")</f>
        <v/>
      </c>
      <c r="C13" s="13">
        <f>IF($B13="","",INDEX('1_原始數據'!$I$2:$I$1000,$B13-1))</f>
        <v/>
      </c>
      <c r="D13" s="33">
        <f>IF($B13="","",INDEX('1_原始數據'!$A$2:$A$1000,$B13-1))</f>
        <v/>
      </c>
      <c r="E13" s="13">
        <f>IF($B13="","",INDEX('1_原始數據'!$B$2:$B$1000,$B13-1))</f>
        <v/>
      </c>
      <c r="F13" s="11">
        <f>IF($B13="","",INDEX('1_原始數據'!$N$2:$N$1000,$B13-1))</f>
        <v/>
      </c>
      <c r="G13" s="11">
        <f>IF($B13="","",INDEX('1_原始數據'!$O$2:$O$1000,$B13-1))</f>
        <v/>
      </c>
      <c r="H13" s="45">
        <f>IF($B13="","",INDEX('1_原始數據'!$P$2:$P$1000,$B13-1))</f>
        <v/>
      </c>
      <c r="I13" s="11">
        <f>IF($B13="","",INDEX('1_原始數據'!$Q$2:$Q$1000,$B13-1))</f>
        <v/>
      </c>
      <c r="K13" s="10" t="inlineStr">
        <is>
          <t>結論（α = 0.05）</t>
        </is>
      </c>
      <c r="L13" s="47">
        <f>IF(L12&lt;0.05,"有顯著系統偏差","沒有證據顯示兩法有系統偏差")</f>
        <v/>
      </c>
      <c r="M13" s="48" t="n"/>
      <c r="N13" s="48" t="n"/>
      <c r="O13" s="48" t="n"/>
      <c r="P13" s="49" t="n"/>
      <c r="T13" s="24">
        <f>IF($L$5=0,"",IF(A13&lt;=$L$5,I13,INDEX(I$5:I$44,$L$5)))</f>
        <v/>
      </c>
      <c r="U13" s="24">
        <f>IF($L$5=0,"",IF(A13&lt;=$L$5,H13,INDEX(H$5:H$44,$L$5)))</f>
        <v/>
      </c>
      <c r="V13" s="24">
        <f>IF($L$5=0,"",IF(A13&lt;=$L$5,F13,INDEX(F$5:F$44,$L$5)))</f>
        <v/>
      </c>
      <c r="W13" s="24">
        <f>IF($L$5=0,"",IF(A13&lt;=$L$5,G13,INDEX(G$5:G$44,$L$5)))</f>
        <v/>
      </c>
    </row>
    <row r="14" ht="30" customHeight="1">
      <c r="A14" s="44" t="n">
        <v>10</v>
      </c>
      <c r="B14" s="33">
        <f>IFERROR(MATCH(A14,'1_原始數據'!$R$2:$R$1000,0)+1,"")</f>
        <v/>
      </c>
      <c r="C14" s="13">
        <f>IF($B14="","",INDEX('1_原始數據'!$I$2:$I$1000,$B14-1))</f>
        <v/>
      </c>
      <c r="D14" s="33">
        <f>IF($B14="","",INDEX('1_原始數據'!$A$2:$A$1000,$B14-1))</f>
        <v/>
      </c>
      <c r="E14" s="13">
        <f>IF($B14="","",INDEX('1_原始數據'!$B$2:$B$1000,$B14-1))</f>
        <v/>
      </c>
      <c r="F14" s="11">
        <f>IF($B14="","",INDEX('1_原始數據'!$N$2:$N$1000,$B14-1))</f>
        <v/>
      </c>
      <c r="G14" s="11">
        <f>IF($B14="","",INDEX('1_原始數據'!$O$2:$O$1000,$B14-1))</f>
        <v/>
      </c>
      <c r="H14" s="45">
        <f>IF($B14="","",INDEX('1_原始數據'!$P$2:$P$1000,$B14-1))</f>
        <v/>
      </c>
      <c r="I14" s="11">
        <f>IF($B14="","",INDEX('1_原始數據'!$Q$2:$Q$1000,$B14-1))</f>
        <v/>
      </c>
      <c r="K14" s="10" t="inlineStr">
        <is>
          <t>相關係數 r（手動 vs PASCO）</t>
        </is>
      </c>
      <c r="L14" s="11">
        <f>CORREL(F5:F44,G5:G44)</f>
        <v/>
      </c>
      <c r="R14" s="20" t="inlineStr">
        <is>
          <t>CORREL 算相關係數。r 接近 1 只代表「一起變大變小」，不代表兩法數字相同——看 Bland–Altman 的 bias 與 LoA。</t>
        </is>
      </c>
      <c r="T14" s="24">
        <f>IF($L$5=0,"",IF(A14&lt;=$L$5,I14,INDEX(I$5:I$44,$L$5)))</f>
        <v/>
      </c>
      <c r="U14" s="24">
        <f>IF($L$5=0,"",IF(A14&lt;=$L$5,H14,INDEX(H$5:H$44,$L$5)))</f>
        <v/>
      </c>
      <c r="V14" s="24">
        <f>IF($L$5=0,"",IF(A14&lt;=$L$5,F14,INDEX(F$5:F$44,$L$5)))</f>
        <v/>
      </c>
      <c r="W14" s="24">
        <f>IF($L$5=0,"",IF(A14&lt;=$L$5,G14,INDEX(G$5:G$44,$L$5)))</f>
        <v/>
      </c>
    </row>
    <row r="15">
      <c r="A15" s="44" t="n">
        <v>11</v>
      </c>
      <c r="B15" s="33">
        <f>IFERROR(MATCH(A15,'1_原始數據'!$R$2:$R$1000,0)+1,"")</f>
        <v/>
      </c>
      <c r="C15" s="13">
        <f>IF($B15="","",INDEX('1_原始數據'!$I$2:$I$1000,$B15-1))</f>
        <v/>
      </c>
      <c r="D15" s="33">
        <f>IF($B15="","",INDEX('1_原始數據'!$A$2:$A$1000,$B15-1))</f>
        <v/>
      </c>
      <c r="E15" s="13">
        <f>IF($B15="","",INDEX('1_原始數據'!$B$2:$B$1000,$B15-1))</f>
        <v/>
      </c>
      <c r="F15" s="11">
        <f>IF($B15="","",INDEX('1_原始數據'!$N$2:$N$1000,$B15-1))</f>
        <v/>
      </c>
      <c r="G15" s="11">
        <f>IF($B15="","",INDEX('1_原始數據'!$O$2:$O$1000,$B15-1))</f>
        <v/>
      </c>
      <c r="H15" s="45">
        <f>IF($B15="","",INDEX('1_原始數據'!$P$2:$P$1000,$B15-1))</f>
        <v/>
      </c>
      <c r="I15" s="11">
        <f>IF($B15="","",INDEX('1_原始數據'!$Q$2:$Q$1000,$B15-1))</f>
        <v/>
      </c>
      <c r="T15" s="24">
        <f>IF($L$5=0,"",IF(A15&lt;=$L$5,I15,INDEX(I$5:I$44,$L$5)))</f>
        <v/>
      </c>
      <c r="U15" s="24">
        <f>IF($L$5=0,"",IF(A15&lt;=$L$5,H15,INDEX(H$5:H$44,$L$5)))</f>
        <v/>
      </c>
      <c r="V15" s="24">
        <f>IF($L$5=0,"",IF(A15&lt;=$L$5,F15,INDEX(F$5:F$44,$L$5)))</f>
        <v/>
      </c>
      <c r="W15" s="24">
        <f>IF($L$5=0,"",IF(A15&lt;=$L$5,G15,INDEX(G$5:G$44,$L$5)))</f>
        <v/>
      </c>
    </row>
    <row r="16">
      <c r="A16" s="44" t="n">
        <v>12</v>
      </c>
      <c r="B16" s="33">
        <f>IFERROR(MATCH(A16,'1_原始數據'!$R$2:$R$1000,0)+1,"")</f>
        <v/>
      </c>
      <c r="C16" s="13">
        <f>IF($B16="","",INDEX('1_原始數據'!$I$2:$I$1000,$B16-1))</f>
        <v/>
      </c>
      <c r="D16" s="33">
        <f>IF($B16="","",INDEX('1_原始數據'!$A$2:$A$1000,$B16-1))</f>
        <v/>
      </c>
      <c r="E16" s="13">
        <f>IF($B16="","",INDEX('1_原始數據'!$B$2:$B$1000,$B16-1))</f>
        <v/>
      </c>
      <c r="F16" s="11">
        <f>IF($B16="","",INDEX('1_原始數據'!$N$2:$N$1000,$B16-1))</f>
        <v/>
      </c>
      <c r="G16" s="11">
        <f>IF($B16="","",INDEX('1_原始數據'!$O$2:$O$1000,$B16-1))</f>
        <v/>
      </c>
      <c r="H16" s="45">
        <f>IF($B16="","",INDEX('1_原始數據'!$P$2:$P$1000,$B16-1))</f>
        <v/>
      </c>
      <c r="I16" s="11">
        <f>IF($B16="","",INDEX('1_原始數據'!$Q$2:$Q$1000,$B16-1))</f>
        <v/>
      </c>
      <c r="K16" s="3" t="inlineStr">
        <is>
          <t>4-2 F 檢定：兩法自己的重複精密度（各樣品的合併變異數）</t>
        </is>
      </c>
      <c r="T16" s="24">
        <f>IF($L$5=0,"",IF(A16&lt;=$L$5,I16,INDEX(I$5:I$44,$L$5)))</f>
        <v/>
      </c>
      <c r="U16" s="24">
        <f>IF($L$5=0,"",IF(A16&lt;=$L$5,H16,INDEX(H$5:H$44,$L$5)))</f>
        <v/>
      </c>
      <c r="V16" s="24">
        <f>IF($L$5=0,"",IF(A16&lt;=$L$5,F16,INDEX(F$5:F$44,$L$5)))</f>
        <v/>
      </c>
      <c r="W16" s="24">
        <f>IF($L$5=0,"",IF(A16&lt;=$L$5,G16,INDEX(G$5:G$44,$L$5)))</f>
        <v/>
      </c>
    </row>
    <row r="17" ht="30" customHeight="1">
      <c r="A17" s="44" t="n">
        <v>13</v>
      </c>
      <c r="B17" s="33">
        <f>IFERROR(MATCH(A17,'1_原始數據'!$R$2:$R$1000,0)+1,"")</f>
        <v/>
      </c>
      <c r="C17" s="13">
        <f>IF($B17="","",INDEX('1_原始數據'!$I$2:$I$1000,$B17-1))</f>
        <v/>
      </c>
      <c r="D17" s="33">
        <f>IF($B17="","",INDEX('1_原始數據'!$A$2:$A$1000,$B17-1))</f>
        <v/>
      </c>
      <c r="E17" s="13">
        <f>IF($B17="","",INDEX('1_原始數據'!$B$2:$B$1000,$B17-1))</f>
        <v/>
      </c>
      <c r="F17" s="11">
        <f>IF($B17="","",INDEX('1_原始數據'!$N$2:$N$1000,$B17-1))</f>
        <v/>
      </c>
      <c r="G17" s="11">
        <f>IF($B17="","",INDEX('1_原始數據'!$O$2:$O$1000,$B17-1))</f>
        <v/>
      </c>
      <c r="H17" s="45">
        <f>IF($B17="","",INDEX('1_原始數據'!$P$2:$P$1000,$B17-1))</f>
        <v/>
      </c>
      <c r="I17" s="11">
        <f>IF($B17="","",INDEX('1_原始數據'!$Q$2:$Q$1000,$B17-1))</f>
        <v/>
      </c>
      <c r="K17" s="9" t="inlineStr">
        <is>
          <t>sample</t>
        </is>
      </c>
      <c r="L17" s="9" t="inlineStr">
        <is>
          <t>配對數 n</t>
        </is>
      </c>
      <c r="M17" s="9" t="inlineStr">
        <is>
          <t>手動 s²</t>
        </is>
      </c>
      <c r="N17" s="9" t="inlineStr">
        <is>
          <t>PASCO s²</t>
        </is>
      </c>
      <c r="O17" s="9" t="inlineStr">
        <is>
          <t>手動 (n−1)s²</t>
        </is>
      </c>
      <c r="P17" s="9" t="inlineStr">
        <is>
          <t>PASCO (n−1)s²</t>
        </is>
      </c>
      <c r="T17" s="24">
        <f>IF($L$5=0,"",IF(A17&lt;=$L$5,I17,INDEX(I$5:I$44,$L$5)))</f>
        <v/>
      </c>
      <c r="U17" s="24">
        <f>IF($L$5=0,"",IF(A17&lt;=$L$5,H17,INDEX(H$5:H$44,$L$5)))</f>
        <v/>
      </c>
      <c r="V17" s="24">
        <f>IF($L$5=0,"",IF(A17&lt;=$L$5,F17,INDEX(F$5:F$44,$L$5)))</f>
        <v/>
      </c>
      <c r="W17" s="24">
        <f>IF($L$5=0,"",IF(A17&lt;=$L$5,G17,INDEX(G$5:G$44,$L$5)))</f>
        <v/>
      </c>
    </row>
    <row r="18">
      <c r="A18" s="44" t="n">
        <v>14</v>
      </c>
      <c r="B18" s="33">
        <f>IFERROR(MATCH(A18,'1_原始數據'!$R$2:$R$1000,0)+1,"")</f>
        <v/>
      </c>
      <c r="C18" s="13">
        <f>IF($B18="","",INDEX('1_原始數據'!$I$2:$I$1000,$B18-1))</f>
        <v/>
      </c>
      <c r="D18" s="33">
        <f>IF($B18="","",INDEX('1_原始數據'!$A$2:$A$1000,$B18-1))</f>
        <v/>
      </c>
      <c r="E18" s="13">
        <f>IF($B18="","",INDEX('1_原始數據'!$B$2:$B$1000,$B18-1))</f>
        <v/>
      </c>
      <c r="F18" s="11">
        <f>IF($B18="","",INDEX('1_原始數據'!$N$2:$N$1000,$B18-1))</f>
        <v/>
      </c>
      <c r="G18" s="11">
        <f>IF($B18="","",INDEX('1_原始數據'!$O$2:$O$1000,$B18-1))</f>
        <v/>
      </c>
      <c r="H18" s="45">
        <f>IF($B18="","",INDEX('1_原始數據'!$P$2:$P$1000,$B18-1))</f>
        <v/>
      </c>
      <c r="I18" s="11">
        <f>IF($B18="","",INDEX('1_原始數據'!$Q$2:$Q$1000,$B18-1))</f>
        <v/>
      </c>
      <c r="K18" s="13">
        <f>IF('3_可滴定酸度'!B6="","",'3_可滴定酸度'!B6)</f>
        <v/>
      </c>
      <c r="L18" s="33">
        <f>IF(K18="",0,COUNTIFS('1_原始數據'!$I$2:$I$1000,K18,'1_原始數據'!$R$2:$R$1000,"&gt;0"))</f>
        <v/>
      </c>
      <c r="M18" s="31">
        <f t="array" ref="M18">IF(L18&lt;2,"",_xlfn.VAR.S(IF(('1_原始數據'!$I$2:$I$1000=K18)*ISNUMBER('1_原始數據'!$R$2:$R$1000),'1_原始數據'!$N$2:$N$1000)))</f>
        <v/>
      </c>
      <c r="N18" s="31">
        <f t="array" ref="N18">IF(L18&lt;2,"",_xlfn.VAR.S(IF(('1_原始數據'!$I$2:$I$1000=K18)*ISNUMBER('1_原始數據'!$R$2:$R$1000),'1_原始數據'!$O$2:$O$1000)))</f>
        <v/>
      </c>
      <c r="O18" s="31">
        <f>IF(M18="",0,(L18-1)*M18)</f>
        <v/>
      </c>
      <c r="P18" s="31">
        <f>IF(N18="",0,(L18-1)*N18)</f>
        <v/>
      </c>
      <c r="T18" s="24">
        <f>IF($L$5=0,"",IF(A18&lt;=$L$5,I18,INDEX(I$5:I$44,$L$5)))</f>
        <v/>
      </c>
      <c r="U18" s="24">
        <f>IF($L$5=0,"",IF(A18&lt;=$L$5,H18,INDEX(H$5:H$44,$L$5)))</f>
        <v/>
      </c>
      <c r="V18" s="24">
        <f>IF($L$5=0,"",IF(A18&lt;=$L$5,F18,INDEX(F$5:F$44,$L$5)))</f>
        <v/>
      </c>
      <c r="W18" s="24">
        <f>IF($L$5=0,"",IF(A18&lt;=$L$5,G18,INDEX(G$5:G$44,$L$5)))</f>
        <v/>
      </c>
    </row>
    <row r="19">
      <c r="A19" s="44" t="n">
        <v>15</v>
      </c>
      <c r="B19" s="33">
        <f>IFERROR(MATCH(A19,'1_原始數據'!$R$2:$R$1000,0)+1,"")</f>
        <v/>
      </c>
      <c r="C19" s="13">
        <f>IF($B19="","",INDEX('1_原始數據'!$I$2:$I$1000,$B19-1))</f>
        <v/>
      </c>
      <c r="D19" s="33">
        <f>IF($B19="","",INDEX('1_原始數據'!$A$2:$A$1000,$B19-1))</f>
        <v/>
      </c>
      <c r="E19" s="13">
        <f>IF($B19="","",INDEX('1_原始數據'!$B$2:$B$1000,$B19-1))</f>
        <v/>
      </c>
      <c r="F19" s="11">
        <f>IF($B19="","",INDEX('1_原始數據'!$N$2:$N$1000,$B19-1))</f>
        <v/>
      </c>
      <c r="G19" s="11">
        <f>IF($B19="","",INDEX('1_原始數據'!$O$2:$O$1000,$B19-1))</f>
        <v/>
      </c>
      <c r="H19" s="45">
        <f>IF($B19="","",INDEX('1_原始數據'!$P$2:$P$1000,$B19-1))</f>
        <v/>
      </c>
      <c r="I19" s="11">
        <f>IF($B19="","",INDEX('1_原始數據'!$Q$2:$Q$1000,$B19-1))</f>
        <v/>
      </c>
      <c r="K19" s="13">
        <f>IF('3_可滴定酸度'!B7="","",'3_可滴定酸度'!B7)</f>
        <v/>
      </c>
      <c r="L19" s="33">
        <f>IF(K19="",0,COUNTIFS('1_原始數據'!$I$2:$I$1000,K19,'1_原始數據'!$R$2:$R$1000,"&gt;0"))</f>
        <v/>
      </c>
      <c r="M19" s="31">
        <f t="array" ref="M19">IF(L19&lt;2,"",_xlfn.VAR.S(IF(('1_原始數據'!$I$2:$I$1000=K19)*ISNUMBER('1_原始數據'!$R$2:$R$1000),'1_原始數據'!$N$2:$N$1000)))</f>
        <v/>
      </c>
      <c r="N19" s="31">
        <f t="array" ref="N19">IF(L19&lt;2,"",_xlfn.VAR.S(IF(('1_原始數據'!$I$2:$I$1000=K19)*ISNUMBER('1_原始數據'!$R$2:$R$1000),'1_原始數據'!$O$2:$O$1000)))</f>
        <v/>
      </c>
      <c r="O19" s="31">
        <f>IF(M19="",0,(L19-1)*M19)</f>
        <v/>
      </c>
      <c r="P19" s="31">
        <f>IF(N19="",0,(L19-1)*N19)</f>
        <v/>
      </c>
      <c r="T19" s="24">
        <f>IF($L$5=0,"",IF(A19&lt;=$L$5,I19,INDEX(I$5:I$44,$L$5)))</f>
        <v/>
      </c>
      <c r="U19" s="24">
        <f>IF($L$5=0,"",IF(A19&lt;=$L$5,H19,INDEX(H$5:H$44,$L$5)))</f>
        <v/>
      </c>
      <c r="V19" s="24">
        <f>IF($L$5=0,"",IF(A19&lt;=$L$5,F19,INDEX(F$5:F$44,$L$5)))</f>
        <v/>
      </c>
      <c r="W19" s="24">
        <f>IF($L$5=0,"",IF(A19&lt;=$L$5,G19,INDEX(G$5:G$44,$L$5)))</f>
        <v/>
      </c>
    </row>
    <row r="20">
      <c r="A20" s="44" t="n">
        <v>16</v>
      </c>
      <c r="B20" s="33">
        <f>IFERROR(MATCH(A20,'1_原始數據'!$R$2:$R$1000,0)+1,"")</f>
        <v/>
      </c>
      <c r="C20" s="13">
        <f>IF($B20="","",INDEX('1_原始數據'!$I$2:$I$1000,$B20-1))</f>
        <v/>
      </c>
      <c r="D20" s="33">
        <f>IF($B20="","",INDEX('1_原始數據'!$A$2:$A$1000,$B20-1))</f>
        <v/>
      </c>
      <c r="E20" s="13">
        <f>IF($B20="","",INDEX('1_原始數據'!$B$2:$B$1000,$B20-1))</f>
        <v/>
      </c>
      <c r="F20" s="11">
        <f>IF($B20="","",INDEX('1_原始數據'!$N$2:$N$1000,$B20-1))</f>
        <v/>
      </c>
      <c r="G20" s="11">
        <f>IF($B20="","",INDEX('1_原始數據'!$O$2:$O$1000,$B20-1))</f>
        <v/>
      </c>
      <c r="H20" s="45">
        <f>IF($B20="","",INDEX('1_原始數據'!$P$2:$P$1000,$B20-1))</f>
        <v/>
      </c>
      <c r="I20" s="11">
        <f>IF($B20="","",INDEX('1_原始數據'!$Q$2:$Q$1000,$B20-1))</f>
        <v/>
      </c>
      <c r="K20" s="13">
        <f>IF('3_可滴定酸度'!B8="","",'3_可滴定酸度'!B8)</f>
        <v/>
      </c>
      <c r="L20" s="33">
        <f>IF(K20="",0,COUNTIFS('1_原始數據'!$I$2:$I$1000,K20,'1_原始數據'!$R$2:$R$1000,"&gt;0"))</f>
        <v/>
      </c>
      <c r="M20" s="31">
        <f t="array" ref="M20">IF(L20&lt;2,"",_xlfn.VAR.S(IF(('1_原始數據'!$I$2:$I$1000=K20)*ISNUMBER('1_原始數據'!$R$2:$R$1000),'1_原始數據'!$N$2:$N$1000)))</f>
        <v/>
      </c>
      <c r="N20" s="31">
        <f t="array" ref="N20">IF(L20&lt;2,"",_xlfn.VAR.S(IF(('1_原始數據'!$I$2:$I$1000=K20)*ISNUMBER('1_原始數據'!$R$2:$R$1000),'1_原始數據'!$O$2:$O$1000)))</f>
        <v/>
      </c>
      <c r="O20" s="31">
        <f>IF(M20="",0,(L20-1)*M20)</f>
        <v/>
      </c>
      <c r="P20" s="31">
        <f>IF(N20="",0,(L20-1)*N20)</f>
        <v/>
      </c>
      <c r="T20" s="24">
        <f>IF($L$5=0,"",IF(A20&lt;=$L$5,I20,INDEX(I$5:I$44,$L$5)))</f>
        <v/>
      </c>
      <c r="U20" s="24">
        <f>IF($L$5=0,"",IF(A20&lt;=$L$5,H20,INDEX(H$5:H$44,$L$5)))</f>
        <v/>
      </c>
      <c r="V20" s="24">
        <f>IF($L$5=0,"",IF(A20&lt;=$L$5,F20,INDEX(F$5:F$44,$L$5)))</f>
        <v/>
      </c>
      <c r="W20" s="24">
        <f>IF($L$5=0,"",IF(A20&lt;=$L$5,G20,INDEX(G$5:G$44,$L$5)))</f>
        <v/>
      </c>
    </row>
    <row r="21">
      <c r="A21" s="44" t="n">
        <v>17</v>
      </c>
      <c r="B21" s="33">
        <f>IFERROR(MATCH(A21,'1_原始數據'!$R$2:$R$1000,0)+1,"")</f>
        <v/>
      </c>
      <c r="C21" s="13">
        <f>IF($B21="","",INDEX('1_原始數據'!$I$2:$I$1000,$B21-1))</f>
        <v/>
      </c>
      <c r="D21" s="33">
        <f>IF($B21="","",INDEX('1_原始數據'!$A$2:$A$1000,$B21-1))</f>
        <v/>
      </c>
      <c r="E21" s="13">
        <f>IF($B21="","",INDEX('1_原始數據'!$B$2:$B$1000,$B21-1))</f>
        <v/>
      </c>
      <c r="F21" s="11">
        <f>IF($B21="","",INDEX('1_原始數據'!$N$2:$N$1000,$B21-1))</f>
        <v/>
      </c>
      <c r="G21" s="11">
        <f>IF($B21="","",INDEX('1_原始數據'!$O$2:$O$1000,$B21-1))</f>
        <v/>
      </c>
      <c r="H21" s="45">
        <f>IF($B21="","",INDEX('1_原始數據'!$P$2:$P$1000,$B21-1))</f>
        <v/>
      </c>
      <c r="I21" s="11">
        <f>IF($B21="","",INDEX('1_原始數據'!$Q$2:$Q$1000,$B21-1))</f>
        <v/>
      </c>
      <c r="K21" s="13">
        <f>IF('3_可滴定酸度'!B9="","",'3_可滴定酸度'!B9)</f>
        <v/>
      </c>
      <c r="L21" s="33">
        <f>IF(K21="",0,COUNTIFS('1_原始數據'!$I$2:$I$1000,K21,'1_原始數據'!$R$2:$R$1000,"&gt;0"))</f>
        <v/>
      </c>
      <c r="M21" s="31">
        <f t="array" ref="M21">IF(L21&lt;2,"",_xlfn.VAR.S(IF(('1_原始數據'!$I$2:$I$1000=K21)*ISNUMBER('1_原始數據'!$R$2:$R$1000),'1_原始數據'!$N$2:$N$1000)))</f>
        <v/>
      </c>
      <c r="N21" s="31">
        <f t="array" ref="N21">IF(L21&lt;2,"",_xlfn.VAR.S(IF(('1_原始數據'!$I$2:$I$1000=K21)*ISNUMBER('1_原始數據'!$R$2:$R$1000),'1_原始數據'!$O$2:$O$1000)))</f>
        <v/>
      </c>
      <c r="O21" s="31">
        <f>IF(M21="",0,(L21-1)*M21)</f>
        <v/>
      </c>
      <c r="P21" s="31">
        <f>IF(N21="",0,(L21-1)*N21)</f>
        <v/>
      </c>
      <c r="T21" s="24">
        <f>IF($L$5=0,"",IF(A21&lt;=$L$5,I21,INDEX(I$5:I$44,$L$5)))</f>
        <v/>
      </c>
      <c r="U21" s="24">
        <f>IF($L$5=0,"",IF(A21&lt;=$L$5,H21,INDEX(H$5:H$44,$L$5)))</f>
        <v/>
      </c>
      <c r="V21" s="24">
        <f>IF($L$5=0,"",IF(A21&lt;=$L$5,F21,INDEX(F$5:F$44,$L$5)))</f>
        <v/>
      </c>
      <c r="W21" s="24">
        <f>IF($L$5=0,"",IF(A21&lt;=$L$5,G21,INDEX(G$5:G$44,$L$5)))</f>
        <v/>
      </c>
    </row>
    <row r="22">
      <c r="A22" s="44" t="n">
        <v>18</v>
      </c>
      <c r="B22" s="33">
        <f>IFERROR(MATCH(A22,'1_原始數據'!$R$2:$R$1000,0)+1,"")</f>
        <v/>
      </c>
      <c r="C22" s="13">
        <f>IF($B22="","",INDEX('1_原始數據'!$I$2:$I$1000,$B22-1))</f>
        <v/>
      </c>
      <c r="D22" s="33">
        <f>IF($B22="","",INDEX('1_原始數據'!$A$2:$A$1000,$B22-1))</f>
        <v/>
      </c>
      <c r="E22" s="13">
        <f>IF($B22="","",INDEX('1_原始數據'!$B$2:$B$1000,$B22-1))</f>
        <v/>
      </c>
      <c r="F22" s="11">
        <f>IF($B22="","",INDEX('1_原始數據'!$N$2:$N$1000,$B22-1))</f>
        <v/>
      </c>
      <c r="G22" s="11">
        <f>IF($B22="","",INDEX('1_原始數據'!$O$2:$O$1000,$B22-1))</f>
        <v/>
      </c>
      <c r="H22" s="45">
        <f>IF($B22="","",INDEX('1_原始數據'!$P$2:$P$1000,$B22-1))</f>
        <v/>
      </c>
      <c r="I22" s="11">
        <f>IF($B22="","",INDEX('1_原始數據'!$Q$2:$Q$1000,$B22-1))</f>
        <v/>
      </c>
      <c r="K22" s="13">
        <f>IF('3_可滴定酸度'!B10="","",'3_可滴定酸度'!B10)</f>
        <v/>
      </c>
      <c r="L22" s="33">
        <f>IF(K22="",0,COUNTIFS('1_原始數據'!$I$2:$I$1000,K22,'1_原始數據'!$R$2:$R$1000,"&gt;0"))</f>
        <v/>
      </c>
      <c r="M22" s="31">
        <f t="array" ref="M22">IF(L22&lt;2,"",_xlfn.VAR.S(IF(('1_原始數據'!$I$2:$I$1000=K22)*ISNUMBER('1_原始數據'!$R$2:$R$1000),'1_原始數據'!$N$2:$N$1000)))</f>
        <v/>
      </c>
      <c r="N22" s="31">
        <f t="array" ref="N22">IF(L22&lt;2,"",_xlfn.VAR.S(IF(('1_原始數據'!$I$2:$I$1000=K22)*ISNUMBER('1_原始數據'!$R$2:$R$1000),'1_原始數據'!$O$2:$O$1000)))</f>
        <v/>
      </c>
      <c r="O22" s="31">
        <f>IF(M22="",0,(L22-1)*M22)</f>
        <v/>
      </c>
      <c r="P22" s="31">
        <f>IF(N22="",0,(L22-1)*N22)</f>
        <v/>
      </c>
      <c r="T22" s="24">
        <f>IF($L$5=0,"",IF(A22&lt;=$L$5,I22,INDEX(I$5:I$44,$L$5)))</f>
        <v/>
      </c>
      <c r="U22" s="24">
        <f>IF($L$5=0,"",IF(A22&lt;=$L$5,H22,INDEX(H$5:H$44,$L$5)))</f>
        <v/>
      </c>
      <c r="V22" s="24">
        <f>IF($L$5=0,"",IF(A22&lt;=$L$5,F22,INDEX(F$5:F$44,$L$5)))</f>
        <v/>
      </c>
      <c r="W22" s="24">
        <f>IF($L$5=0,"",IF(A22&lt;=$L$5,G22,INDEX(G$5:G$44,$L$5)))</f>
        <v/>
      </c>
    </row>
    <row r="23">
      <c r="A23" s="44" t="n">
        <v>19</v>
      </c>
      <c r="B23" s="33">
        <f>IFERROR(MATCH(A23,'1_原始數據'!$R$2:$R$1000,0)+1,"")</f>
        <v/>
      </c>
      <c r="C23" s="13">
        <f>IF($B23="","",INDEX('1_原始數據'!$I$2:$I$1000,$B23-1))</f>
        <v/>
      </c>
      <c r="D23" s="33">
        <f>IF($B23="","",INDEX('1_原始數據'!$A$2:$A$1000,$B23-1))</f>
        <v/>
      </c>
      <c r="E23" s="13">
        <f>IF($B23="","",INDEX('1_原始數據'!$B$2:$B$1000,$B23-1))</f>
        <v/>
      </c>
      <c r="F23" s="11">
        <f>IF($B23="","",INDEX('1_原始數據'!$N$2:$N$1000,$B23-1))</f>
        <v/>
      </c>
      <c r="G23" s="11">
        <f>IF($B23="","",INDEX('1_原始數據'!$O$2:$O$1000,$B23-1))</f>
        <v/>
      </c>
      <c r="H23" s="45">
        <f>IF($B23="","",INDEX('1_原始數據'!$P$2:$P$1000,$B23-1))</f>
        <v/>
      </c>
      <c r="I23" s="11">
        <f>IF($B23="","",INDEX('1_原始數據'!$Q$2:$Q$1000,$B23-1))</f>
        <v/>
      </c>
      <c r="K23" s="13">
        <f>IF('3_可滴定酸度'!B11="","",'3_可滴定酸度'!B11)</f>
        <v/>
      </c>
      <c r="L23" s="33">
        <f>IF(K23="",0,COUNTIFS('1_原始數據'!$I$2:$I$1000,K23,'1_原始數據'!$R$2:$R$1000,"&gt;0"))</f>
        <v/>
      </c>
      <c r="M23" s="31">
        <f t="array" ref="M23">IF(L23&lt;2,"",_xlfn.VAR.S(IF(('1_原始數據'!$I$2:$I$1000=K23)*ISNUMBER('1_原始數據'!$R$2:$R$1000),'1_原始數據'!$N$2:$N$1000)))</f>
        <v/>
      </c>
      <c r="N23" s="31">
        <f t="array" ref="N23">IF(L23&lt;2,"",_xlfn.VAR.S(IF(('1_原始數據'!$I$2:$I$1000=K23)*ISNUMBER('1_原始數據'!$R$2:$R$1000),'1_原始數據'!$O$2:$O$1000)))</f>
        <v/>
      </c>
      <c r="O23" s="31">
        <f>IF(M23="",0,(L23-1)*M23)</f>
        <v/>
      </c>
      <c r="P23" s="31">
        <f>IF(N23="",0,(L23-1)*N23)</f>
        <v/>
      </c>
      <c r="T23" s="24">
        <f>IF($L$5=0,"",IF(A23&lt;=$L$5,I23,INDEX(I$5:I$44,$L$5)))</f>
        <v/>
      </c>
      <c r="U23" s="24">
        <f>IF($L$5=0,"",IF(A23&lt;=$L$5,H23,INDEX(H$5:H$44,$L$5)))</f>
        <v/>
      </c>
      <c r="V23" s="24">
        <f>IF($L$5=0,"",IF(A23&lt;=$L$5,F23,INDEX(F$5:F$44,$L$5)))</f>
        <v/>
      </c>
      <c r="W23" s="24">
        <f>IF($L$5=0,"",IF(A23&lt;=$L$5,G23,INDEX(G$5:G$44,$L$5)))</f>
        <v/>
      </c>
    </row>
    <row r="24">
      <c r="A24" s="44" t="n">
        <v>20</v>
      </c>
      <c r="B24" s="33">
        <f>IFERROR(MATCH(A24,'1_原始數據'!$R$2:$R$1000,0)+1,"")</f>
        <v/>
      </c>
      <c r="C24" s="13">
        <f>IF($B24="","",INDEX('1_原始數據'!$I$2:$I$1000,$B24-1))</f>
        <v/>
      </c>
      <c r="D24" s="33">
        <f>IF($B24="","",INDEX('1_原始數據'!$A$2:$A$1000,$B24-1))</f>
        <v/>
      </c>
      <c r="E24" s="13">
        <f>IF($B24="","",INDEX('1_原始數據'!$B$2:$B$1000,$B24-1))</f>
        <v/>
      </c>
      <c r="F24" s="11">
        <f>IF($B24="","",INDEX('1_原始數據'!$N$2:$N$1000,$B24-1))</f>
        <v/>
      </c>
      <c r="G24" s="11">
        <f>IF($B24="","",INDEX('1_原始數據'!$O$2:$O$1000,$B24-1))</f>
        <v/>
      </c>
      <c r="H24" s="45">
        <f>IF($B24="","",INDEX('1_原始數據'!$P$2:$P$1000,$B24-1))</f>
        <v/>
      </c>
      <c r="I24" s="11">
        <f>IF($B24="","",INDEX('1_原始數據'!$Q$2:$Q$1000,$B24-1))</f>
        <v/>
      </c>
      <c r="K24" s="13">
        <f>IF('3_可滴定酸度'!B12="","",'3_可滴定酸度'!B12)</f>
        <v/>
      </c>
      <c r="L24" s="33">
        <f>IF(K24="",0,COUNTIFS('1_原始數據'!$I$2:$I$1000,K24,'1_原始數據'!$R$2:$R$1000,"&gt;0"))</f>
        <v/>
      </c>
      <c r="M24" s="31">
        <f t="array" ref="M24">IF(L24&lt;2,"",_xlfn.VAR.S(IF(('1_原始數據'!$I$2:$I$1000=K24)*ISNUMBER('1_原始數據'!$R$2:$R$1000),'1_原始數據'!$N$2:$N$1000)))</f>
        <v/>
      </c>
      <c r="N24" s="31">
        <f t="array" ref="N24">IF(L24&lt;2,"",_xlfn.VAR.S(IF(('1_原始數據'!$I$2:$I$1000=K24)*ISNUMBER('1_原始數據'!$R$2:$R$1000),'1_原始數據'!$O$2:$O$1000)))</f>
        <v/>
      </c>
      <c r="O24" s="31">
        <f>IF(M24="",0,(L24-1)*M24)</f>
        <v/>
      </c>
      <c r="P24" s="31">
        <f>IF(N24="",0,(L24-1)*N24)</f>
        <v/>
      </c>
      <c r="T24" s="24">
        <f>IF($L$5=0,"",IF(A24&lt;=$L$5,I24,INDEX(I$5:I$44,$L$5)))</f>
        <v/>
      </c>
      <c r="U24" s="24">
        <f>IF($L$5=0,"",IF(A24&lt;=$L$5,H24,INDEX(H$5:H$44,$L$5)))</f>
        <v/>
      </c>
      <c r="V24" s="24">
        <f>IF($L$5=0,"",IF(A24&lt;=$L$5,F24,INDEX(F$5:F$44,$L$5)))</f>
        <v/>
      </c>
      <c r="W24" s="24">
        <f>IF($L$5=0,"",IF(A24&lt;=$L$5,G24,INDEX(G$5:G$44,$L$5)))</f>
        <v/>
      </c>
    </row>
    <row r="25">
      <c r="A25" s="44" t="n">
        <v>21</v>
      </c>
      <c r="B25" s="33">
        <f>IFERROR(MATCH(A25,'1_原始數據'!$R$2:$R$1000,0)+1,"")</f>
        <v/>
      </c>
      <c r="C25" s="13">
        <f>IF($B25="","",INDEX('1_原始數據'!$I$2:$I$1000,$B25-1))</f>
        <v/>
      </c>
      <c r="D25" s="33">
        <f>IF($B25="","",INDEX('1_原始數據'!$A$2:$A$1000,$B25-1))</f>
        <v/>
      </c>
      <c r="E25" s="13">
        <f>IF($B25="","",INDEX('1_原始數據'!$B$2:$B$1000,$B25-1))</f>
        <v/>
      </c>
      <c r="F25" s="11">
        <f>IF($B25="","",INDEX('1_原始數據'!$N$2:$N$1000,$B25-1))</f>
        <v/>
      </c>
      <c r="G25" s="11">
        <f>IF($B25="","",INDEX('1_原始數據'!$O$2:$O$1000,$B25-1))</f>
        <v/>
      </c>
      <c r="H25" s="45">
        <f>IF($B25="","",INDEX('1_原始數據'!$P$2:$P$1000,$B25-1))</f>
        <v/>
      </c>
      <c r="I25" s="11">
        <f>IF($B25="","",INDEX('1_原始數據'!$Q$2:$Q$1000,$B25-1))</f>
        <v/>
      </c>
      <c r="K25" s="13">
        <f>IF('3_可滴定酸度'!B13="","",'3_可滴定酸度'!B13)</f>
        <v/>
      </c>
      <c r="L25" s="33">
        <f>IF(K25="",0,COUNTIFS('1_原始數據'!$I$2:$I$1000,K25,'1_原始數據'!$R$2:$R$1000,"&gt;0"))</f>
        <v/>
      </c>
      <c r="M25" s="31">
        <f t="array" ref="M25">IF(L25&lt;2,"",_xlfn.VAR.S(IF(('1_原始數據'!$I$2:$I$1000=K25)*ISNUMBER('1_原始數據'!$R$2:$R$1000),'1_原始數據'!$N$2:$N$1000)))</f>
        <v/>
      </c>
      <c r="N25" s="31">
        <f t="array" ref="N25">IF(L25&lt;2,"",_xlfn.VAR.S(IF(('1_原始數據'!$I$2:$I$1000=K25)*ISNUMBER('1_原始數據'!$R$2:$R$1000),'1_原始數據'!$O$2:$O$1000)))</f>
        <v/>
      </c>
      <c r="O25" s="31">
        <f>IF(M25="",0,(L25-1)*M25)</f>
        <v/>
      </c>
      <c r="P25" s="31">
        <f>IF(N25="",0,(L25-1)*N25)</f>
        <v/>
      </c>
      <c r="T25" s="24">
        <f>IF($L$5=0,"",IF(A25&lt;=$L$5,I25,INDEX(I$5:I$44,$L$5)))</f>
        <v/>
      </c>
      <c r="U25" s="24">
        <f>IF($L$5=0,"",IF(A25&lt;=$L$5,H25,INDEX(H$5:H$44,$L$5)))</f>
        <v/>
      </c>
      <c r="V25" s="24">
        <f>IF($L$5=0,"",IF(A25&lt;=$L$5,F25,INDEX(F$5:F$44,$L$5)))</f>
        <v/>
      </c>
      <c r="W25" s="24">
        <f>IF($L$5=0,"",IF(A25&lt;=$L$5,G25,INDEX(G$5:G$44,$L$5)))</f>
        <v/>
      </c>
    </row>
    <row r="26">
      <c r="A26" s="44" t="n">
        <v>22</v>
      </c>
      <c r="B26" s="33">
        <f>IFERROR(MATCH(A26,'1_原始數據'!$R$2:$R$1000,0)+1,"")</f>
        <v/>
      </c>
      <c r="C26" s="13">
        <f>IF($B26="","",INDEX('1_原始數據'!$I$2:$I$1000,$B26-1))</f>
        <v/>
      </c>
      <c r="D26" s="33">
        <f>IF($B26="","",INDEX('1_原始數據'!$A$2:$A$1000,$B26-1))</f>
        <v/>
      </c>
      <c r="E26" s="13">
        <f>IF($B26="","",INDEX('1_原始數據'!$B$2:$B$1000,$B26-1))</f>
        <v/>
      </c>
      <c r="F26" s="11">
        <f>IF($B26="","",INDEX('1_原始數據'!$N$2:$N$1000,$B26-1))</f>
        <v/>
      </c>
      <c r="G26" s="11">
        <f>IF($B26="","",INDEX('1_原始數據'!$O$2:$O$1000,$B26-1))</f>
        <v/>
      </c>
      <c r="H26" s="45">
        <f>IF($B26="","",INDEX('1_原始數據'!$P$2:$P$1000,$B26-1))</f>
        <v/>
      </c>
      <c r="I26" s="11">
        <f>IF($B26="","",INDEX('1_原始數據'!$Q$2:$Q$1000,$B26-1))</f>
        <v/>
      </c>
      <c r="K26" s="50" t="inlineStr">
        <is>
          <t>合計（自由度 df = Σ(n−1)）</t>
        </is>
      </c>
      <c r="L26" s="33">
        <f>SUMPRODUCT((L18:L25&gt;1)*(L18:L25-1))</f>
        <v/>
      </c>
      <c r="O26" s="31">
        <f>SUM(O18:O25)</f>
        <v/>
      </c>
      <c r="P26" s="31">
        <f>SUM(P18:P25)</f>
        <v/>
      </c>
      <c r="T26" s="24">
        <f>IF($L$5=0,"",IF(A26&lt;=$L$5,I26,INDEX(I$5:I$44,$L$5)))</f>
        <v/>
      </c>
      <c r="U26" s="24">
        <f>IF($L$5=0,"",IF(A26&lt;=$L$5,H26,INDEX(H$5:H$44,$L$5)))</f>
        <v/>
      </c>
      <c r="V26" s="24">
        <f>IF($L$5=0,"",IF(A26&lt;=$L$5,F26,INDEX(F$5:F$44,$L$5)))</f>
        <v/>
      </c>
      <c r="W26" s="24">
        <f>IF($L$5=0,"",IF(A26&lt;=$L$5,G26,INDEX(G$5:G$44,$L$5)))</f>
        <v/>
      </c>
    </row>
    <row r="27" ht="30" customHeight="1">
      <c r="A27" s="44" t="n">
        <v>23</v>
      </c>
      <c r="B27" s="33">
        <f>IFERROR(MATCH(A27,'1_原始數據'!$R$2:$R$1000,0)+1,"")</f>
        <v/>
      </c>
      <c r="C27" s="13">
        <f>IF($B27="","",INDEX('1_原始數據'!$I$2:$I$1000,$B27-1))</f>
        <v/>
      </c>
      <c r="D27" s="33">
        <f>IF($B27="","",INDEX('1_原始數據'!$A$2:$A$1000,$B27-1))</f>
        <v/>
      </c>
      <c r="E27" s="13">
        <f>IF($B27="","",INDEX('1_原始數據'!$B$2:$B$1000,$B27-1))</f>
        <v/>
      </c>
      <c r="F27" s="11">
        <f>IF($B27="","",INDEX('1_原始數據'!$N$2:$N$1000,$B27-1))</f>
        <v/>
      </c>
      <c r="G27" s="11">
        <f>IF($B27="","",INDEX('1_原始數據'!$O$2:$O$1000,$B27-1))</f>
        <v/>
      </c>
      <c r="H27" s="45">
        <f>IF($B27="","",INDEX('1_原始數據'!$P$2:$P$1000,$B27-1))</f>
        <v/>
      </c>
      <c r="I27" s="11">
        <f>IF($B27="","",INDEX('1_原始數據'!$Q$2:$Q$1000,$B27-1))</f>
        <v/>
      </c>
      <c r="K27" s="10" t="inlineStr">
        <is>
          <t>合併變異數：手動</t>
        </is>
      </c>
      <c r="L27" s="31">
        <f>O26/L26</f>
        <v/>
      </c>
      <c r="R27" s="20" t="inlineStr">
        <is>
          <t>合併變異數 = Σ(n−1)s² ÷ Σ(n−1)。先各樣品算，再合起來，才不會把「樣品之間的差」誤當成誤差。</t>
        </is>
      </c>
      <c r="T27" s="24">
        <f>IF($L$5=0,"",IF(A27&lt;=$L$5,I27,INDEX(I$5:I$44,$L$5)))</f>
        <v/>
      </c>
      <c r="U27" s="24">
        <f>IF($L$5=0,"",IF(A27&lt;=$L$5,H27,INDEX(H$5:H$44,$L$5)))</f>
        <v/>
      </c>
      <c r="V27" s="24">
        <f>IF($L$5=0,"",IF(A27&lt;=$L$5,F27,INDEX(F$5:F$44,$L$5)))</f>
        <v/>
      </c>
      <c r="W27" s="24">
        <f>IF($L$5=0,"",IF(A27&lt;=$L$5,G27,INDEX(G$5:G$44,$L$5)))</f>
        <v/>
      </c>
    </row>
    <row r="28">
      <c r="A28" s="44" t="n">
        <v>24</v>
      </c>
      <c r="B28" s="33">
        <f>IFERROR(MATCH(A28,'1_原始數據'!$R$2:$R$1000,0)+1,"")</f>
        <v/>
      </c>
      <c r="C28" s="13">
        <f>IF($B28="","",INDEX('1_原始數據'!$I$2:$I$1000,$B28-1))</f>
        <v/>
      </c>
      <c r="D28" s="33">
        <f>IF($B28="","",INDEX('1_原始數據'!$A$2:$A$1000,$B28-1))</f>
        <v/>
      </c>
      <c r="E28" s="13">
        <f>IF($B28="","",INDEX('1_原始數據'!$B$2:$B$1000,$B28-1))</f>
        <v/>
      </c>
      <c r="F28" s="11">
        <f>IF($B28="","",INDEX('1_原始數據'!$N$2:$N$1000,$B28-1))</f>
        <v/>
      </c>
      <c r="G28" s="11">
        <f>IF($B28="","",INDEX('1_原始數據'!$O$2:$O$1000,$B28-1))</f>
        <v/>
      </c>
      <c r="H28" s="45">
        <f>IF($B28="","",INDEX('1_原始數據'!$P$2:$P$1000,$B28-1))</f>
        <v/>
      </c>
      <c r="I28" s="11">
        <f>IF($B28="","",INDEX('1_原始數據'!$Q$2:$Q$1000,$B28-1))</f>
        <v/>
      </c>
      <c r="K28" s="10" t="inlineStr">
        <is>
          <t>合併變異數：PASCO</t>
        </is>
      </c>
      <c r="L28" s="31">
        <f>P26/L26</f>
        <v/>
      </c>
      <c r="T28" s="24">
        <f>IF($L$5=0,"",IF(A28&lt;=$L$5,I28,INDEX(I$5:I$44,$L$5)))</f>
        <v/>
      </c>
      <c r="U28" s="24">
        <f>IF($L$5=0,"",IF(A28&lt;=$L$5,H28,INDEX(H$5:H$44,$L$5)))</f>
        <v/>
      </c>
      <c r="V28" s="24">
        <f>IF($L$5=0,"",IF(A28&lt;=$L$5,F28,INDEX(F$5:F$44,$L$5)))</f>
        <v/>
      </c>
      <c r="W28" s="24">
        <f>IF($L$5=0,"",IF(A28&lt;=$L$5,G28,INDEX(G$5:G$44,$L$5)))</f>
        <v/>
      </c>
    </row>
    <row r="29" ht="15" customHeight="1">
      <c r="A29" s="44" t="n">
        <v>25</v>
      </c>
      <c r="B29" s="33">
        <f>IFERROR(MATCH(A29,'1_原始數據'!$R$2:$R$1000,0)+1,"")</f>
        <v/>
      </c>
      <c r="C29" s="13">
        <f>IF($B29="","",INDEX('1_原始數據'!$I$2:$I$1000,$B29-1))</f>
        <v/>
      </c>
      <c r="D29" s="33">
        <f>IF($B29="","",INDEX('1_原始數據'!$A$2:$A$1000,$B29-1))</f>
        <v/>
      </c>
      <c r="E29" s="13">
        <f>IF($B29="","",INDEX('1_原始數據'!$B$2:$B$1000,$B29-1))</f>
        <v/>
      </c>
      <c r="F29" s="11">
        <f>IF($B29="","",INDEX('1_原始數據'!$N$2:$N$1000,$B29-1))</f>
        <v/>
      </c>
      <c r="G29" s="11">
        <f>IF($B29="","",INDEX('1_原始數據'!$O$2:$O$1000,$B29-1))</f>
        <v/>
      </c>
      <c r="H29" s="45">
        <f>IF($B29="","",INDEX('1_原始數據'!$P$2:$P$1000,$B29-1))</f>
        <v/>
      </c>
      <c r="I29" s="11">
        <f>IF($B29="","",INDEX('1_原始數據'!$Q$2:$Q$1000,$B29-1))</f>
        <v/>
      </c>
      <c r="K29" s="10" t="inlineStr">
        <is>
          <t>F = 大變異數 ÷ 小變異數</t>
        </is>
      </c>
      <c r="L29" s="38">
        <f>MAX(L27,L28)/MIN(L27,L28)</f>
        <v/>
      </c>
      <c r="R29" s="20" t="inlineStr">
        <is>
          <t>F 永遠 ≥ 1。越大表示兩法精密度差越多。</t>
        </is>
      </c>
      <c r="T29" s="24">
        <f>IF($L$5=0,"",IF(A29&lt;=$L$5,I29,INDEX(I$5:I$44,$L$5)))</f>
        <v/>
      </c>
      <c r="U29" s="24">
        <f>IF($L$5=0,"",IF(A29&lt;=$L$5,H29,INDEX(H$5:H$44,$L$5)))</f>
        <v/>
      </c>
      <c r="V29" s="24">
        <f>IF($L$5=0,"",IF(A29&lt;=$L$5,F29,INDEX(F$5:F$44,$L$5)))</f>
        <v/>
      </c>
      <c r="W29" s="24">
        <f>IF($L$5=0,"",IF(A29&lt;=$L$5,G29,INDEX(G$5:G$44,$L$5)))</f>
        <v/>
      </c>
    </row>
    <row r="30" ht="30" customHeight="1">
      <c r="A30" s="44" t="n">
        <v>26</v>
      </c>
      <c r="B30" s="33">
        <f>IFERROR(MATCH(A30,'1_原始數據'!$R$2:$R$1000,0)+1,"")</f>
        <v/>
      </c>
      <c r="C30" s="13">
        <f>IF($B30="","",INDEX('1_原始數據'!$I$2:$I$1000,$B30-1))</f>
        <v/>
      </c>
      <c r="D30" s="33">
        <f>IF($B30="","",INDEX('1_原始數據'!$A$2:$A$1000,$B30-1))</f>
        <v/>
      </c>
      <c r="E30" s="13">
        <f>IF($B30="","",INDEX('1_原始數據'!$B$2:$B$1000,$B30-1))</f>
        <v/>
      </c>
      <c r="F30" s="11">
        <f>IF($B30="","",INDEX('1_原始數據'!$N$2:$N$1000,$B30-1))</f>
        <v/>
      </c>
      <c r="G30" s="11">
        <f>IF($B30="","",INDEX('1_原始數據'!$O$2:$O$1000,$B30-1))</f>
        <v/>
      </c>
      <c r="H30" s="45">
        <f>IF($B30="","",INDEX('1_原始數據'!$P$2:$P$1000,$B30-1))</f>
        <v/>
      </c>
      <c r="I30" s="11">
        <f>IF($B30="","",INDEX('1_原始數據'!$Q$2:$Q$1000,$B30-1))</f>
        <v/>
      </c>
      <c r="K30" s="10" t="inlineStr">
        <is>
          <t>F 臨界值（雙尾 α = 0.05）</t>
        </is>
      </c>
      <c r="L30" s="16">
        <f>_xlfn.F.INV.RT(0.025,L26,L26)</f>
        <v/>
      </c>
      <c r="R30" s="20" t="inlineStr">
        <is>
          <t>F.INV.RT(0.025, df1, df2)：因為把大的放分子，雙尾 α = 0.05 要查右尾 0.025。兩法 df 相同。</t>
        </is>
      </c>
      <c r="T30" s="24">
        <f>IF($L$5=0,"",IF(A30&lt;=$L$5,I30,INDEX(I$5:I$44,$L$5)))</f>
        <v/>
      </c>
      <c r="U30" s="24">
        <f>IF($L$5=0,"",IF(A30&lt;=$L$5,H30,INDEX(H$5:H$44,$L$5)))</f>
        <v/>
      </c>
      <c r="V30" s="24">
        <f>IF($L$5=0,"",IF(A30&lt;=$L$5,F30,INDEX(F$5:F$44,$L$5)))</f>
        <v/>
      </c>
      <c r="W30" s="24">
        <f>IF($L$5=0,"",IF(A30&lt;=$L$5,G30,INDEX(G$5:G$44,$L$5)))</f>
        <v/>
      </c>
    </row>
    <row r="31" ht="30" customHeight="1">
      <c r="A31" s="44" t="n">
        <v>27</v>
      </c>
      <c r="B31" s="33">
        <f>IFERROR(MATCH(A31,'1_原始數據'!$R$2:$R$1000,0)+1,"")</f>
        <v/>
      </c>
      <c r="C31" s="13">
        <f>IF($B31="","",INDEX('1_原始數據'!$I$2:$I$1000,$B31-1))</f>
        <v/>
      </c>
      <c r="D31" s="33">
        <f>IF($B31="","",INDEX('1_原始數據'!$A$2:$A$1000,$B31-1))</f>
        <v/>
      </c>
      <c r="E31" s="13">
        <f>IF($B31="","",INDEX('1_原始數據'!$B$2:$B$1000,$B31-1))</f>
        <v/>
      </c>
      <c r="F31" s="11">
        <f>IF($B31="","",INDEX('1_原始數據'!$N$2:$N$1000,$B31-1))</f>
        <v/>
      </c>
      <c r="G31" s="11">
        <f>IF($B31="","",INDEX('1_原始數據'!$O$2:$O$1000,$B31-1))</f>
        <v/>
      </c>
      <c r="H31" s="45">
        <f>IF($B31="","",INDEX('1_原始數據'!$P$2:$P$1000,$B31-1))</f>
        <v/>
      </c>
      <c r="I31" s="11">
        <f>IF($B31="","",INDEX('1_原始數據'!$Q$2:$Q$1000,$B31-1))</f>
        <v/>
      </c>
      <c r="K31" s="10" t="inlineStr">
        <is>
          <t>p 值（雙尾）</t>
        </is>
      </c>
      <c r="L31" s="11">
        <f>MIN(1,2*_xlfn.F.DIST.RT(L29,L26,L26))</f>
        <v/>
      </c>
      <c r="R31" s="20" t="inlineStr">
        <is>
          <t>工具箱替代：資料 → 資料分析 → F 檢定：兩個常態母體變異數的檢定（但它不會先分樣品合併）。</t>
        </is>
      </c>
      <c r="T31" s="24">
        <f>IF($L$5=0,"",IF(A31&lt;=$L$5,I31,INDEX(I$5:I$44,$L$5)))</f>
        <v/>
      </c>
      <c r="U31" s="24">
        <f>IF($L$5=0,"",IF(A31&lt;=$L$5,H31,INDEX(H$5:H$44,$L$5)))</f>
        <v/>
      </c>
      <c r="V31" s="24">
        <f>IF($L$5=0,"",IF(A31&lt;=$L$5,F31,INDEX(F$5:F$44,$L$5)))</f>
        <v/>
      </c>
      <c r="W31" s="24">
        <f>IF($L$5=0,"",IF(A31&lt;=$L$5,G31,INDEX(G$5:G$44,$L$5)))</f>
        <v/>
      </c>
    </row>
    <row r="32">
      <c r="A32" s="44" t="n">
        <v>28</v>
      </c>
      <c r="B32" s="33">
        <f>IFERROR(MATCH(A32,'1_原始數據'!$R$2:$R$1000,0)+1,"")</f>
        <v/>
      </c>
      <c r="C32" s="13">
        <f>IF($B32="","",INDEX('1_原始數據'!$I$2:$I$1000,$B32-1))</f>
        <v/>
      </c>
      <c r="D32" s="33">
        <f>IF($B32="","",INDEX('1_原始數據'!$A$2:$A$1000,$B32-1))</f>
        <v/>
      </c>
      <c r="E32" s="13">
        <f>IF($B32="","",INDEX('1_原始數據'!$B$2:$B$1000,$B32-1))</f>
        <v/>
      </c>
      <c r="F32" s="11">
        <f>IF($B32="","",INDEX('1_原始數據'!$N$2:$N$1000,$B32-1))</f>
        <v/>
      </c>
      <c r="G32" s="11">
        <f>IF($B32="","",INDEX('1_原始數據'!$O$2:$O$1000,$B32-1))</f>
        <v/>
      </c>
      <c r="H32" s="45">
        <f>IF($B32="","",INDEX('1_原始數據'!$P$2:$P$1000,$B32-1))</f>
        <v/>
      </c>
      <c r="I32" s="11">
        <f>IF($B32="","",INDEX('1_原始數據'!$Q$2:$Q$1000,$B32-1))</f>
        <v/>
      </c>
      <c r="K32" s="10" t="inlineStr">
        <is>
          <t>結論</t>
        </is>
      </c>
      <c r="L32" s="51">
        <f>IF(L29&gt;L30,"兩法精密度有顯著差異","兩法精密度沒有顯著差異")</f>
        <v/>
      </c>
      <c r="M32" s="48" t="n"/>
      <c r="N32" s="48" t="n"/>
      <c r="O32" s="48" t="n"/>
      <c r="P32" s="49" t="n"/>
      <c r="T32" s="24">
        <f>IF($L$5=0,"",IF(A32&lt;=$L$5,I32,INDEX(I$5:I$44,$L$5)))</f>
        <v/>
      </c>
      <c r="U32" s="24">
        <f>IF($L$5=0,"",IF(A32&lt;=$L$5,H32,INDEX(H$5:H$44,$L$5)))</f>
        <v/>
      </c>
      <c r="V32" s="24">
        <f>IF($L$5=0,"",IF(A32&lt;=$L$5,F32,INDEX(F$5:F$44,$L$5)))</f>
        <v/>
      </c>
      <c r="W32" s="24">
        <f>IF($L$5=0,"",IF(A32&lt;=$L$5,G32,INDEX(G$5:G$44,$L$5)))</f>
        <v/>
      </c>
    </row>
    <row r="33">
      <c r="A33" s="44" t="n">
        <v>29</v>
      </c>
      <c r="B33" s="33">
        <f>IFERROR(MATCH(A33,'1_原始數據'!$R$2:$R$1000,0)+1,"")</f>
        <v/>
      </c>
      <c r="C33" s="13">
        <f>IF($B33="","",INDEX('1_原始數據'!$I$2:$I$1000,$B33-1))</f>
        <v/>
      </c>
      <c r="D33" s="33">
        <f>IF($B33="","",INDEX('1_原始數據'!$A$2:$A$1000,$B33-1))</f>
        <v/>
      </c>
      <c r="E33" s="13">
        <f>IF($B33="","",INDEX('1_原始數據'!$B$2:$B$1000,$B33-1))</f>
        <v/>
      </c>
      <c r="F33" s="11">
        <f>IF($B33="","",INDEX('1_原始數據'!$N$2:$N$1000,$B33-1))</f>
        <v/>
      </c>
      <c r="G33" s="11">
        <f>IF($B33="","",INDEX('1_原始數據'!$O$2:$O$1000,$B33-1))</f>
        <v/>
      </c>
      <c r="H33" s="45">
        <f>IF($B33="","",INDEX('1_原始數據'!$P$2:$P$1000,$B33-1))</f>
        <v/>
      </c>
      <c r="I33" s="11">
        <f>IF($B33="","",INDEX('1_原始數據'!$Q$2:$Q$1000,$B33-1))</f>
        <v/>
      </c>
      <c r="T33" s="24">
        <f>IF($L$5=0,"",IF(A33&lt;=$L$5,I33,INDEX(I$5:I$44,$L$5)))</f>
        <v/>
      </c>
      <c r="U33" s="24">
        <f>IF($L$5=0,"",IF(A33&lt;=$L$5,H33,INDEX(H$5:H$44,$L$5)))</f>
        <v/>
      </c>
      <c r="V33" s="24">
        <f>IF($L$5=0,"",IF(A33&lt;=$L$5,F33,INDEX(F$5:F$44,$L$5)))</f>
        <v/>
      </c>
      <c r="W33" s="24">
        <f>IF($L$5=0,"",IF(A33&lt;=$L$5,G33,INDEX(G$5:G$44,$L$5)))</f>
        <v/>
      </c>
    </row>
    <row r="34" ht="32" customHeight="1">
      <c r="A34" s="44" t="n">
        <v>30</v>
      </c>
      <c r="B34" s="33">
        <f>IFERROR(MATCH(A34,'1_原始數據'!$R$2:$R$1000,0)+1,"")</f>
        <v/>
      </c>
      <c r="C34" s="13">
        <f>IF($B34="","",INDEX('1_原始數據'!$I$2:$I$1000,$B34-1))</f>
        <v/>
      </c>
      <c r="D34" s="33">
        <f>IF($B34="","",INDEX('1_原始數據'!$A$2:$A$1000,$B34-1))</f>
        <v/>
      </c>
      <c r="E34" s="13">
        <f>IF($B34="","",INDEX('1_原始數據'!$B$2:$B$1000,$B34-1))</f>
        <v/>
      </c>
      <c r="F34" s="11">
        <f>IF($B34="","",INDEX('1_原始數據'!$N$2:$N$1000,$B34-1))</f>
        <v/>
      </c>
      <c r="G34" s="11">
        <f>IF($B34="","",INDEX('1_原始數據'!$O$2:$O$1000,$B34-1))</f>
        <v/>
      </c>
      <c r="H34" s="45">
        <f>IF($B34="","",INDEX('1_原始數據'!$P$2:$P$1000,$B34-1))</f>
        <v/>
      </c>
      <c r="I34" s="11">
        <f>IF($B34="","",INDEX('1_原始數據'!$Q$2:$Q$1000,$B34-1))</f>
        <v/>
      </c>
      <c r="K34" s="20" t="inlineStr">
        <is>
          <t>t 檢定問「兩法平均有沒有差」（準確度／偏差）；F 檢定問「兩法各自重複的分散程度有沒有差」（精密度）。兩個是不同的問題。</t>
        </is>
      </c>
      <c r="T34" s="24">
        <f>IF($L$5=0,"",IF(A34&lt;=$L$5,I34,INDEX(I$5:I$44,$L$5)))</f>
        <v/>
      </c>
      <c r="U34" s="24">
        <f>IF($L$5=0,"",IF(A34&lt;=$L$5,H34,INDEX(H$5:H$44,$L$5)))</f>
        <v/>
      </c>
      <c r="V34" s="24">
        <f>IF($L$5=0,"",IF(A34&lt;=$L$5,F34,INDEX(F$5:F$44,$L$5)))</f>
        <v/>
      </c>
      <c r="W34" s="24">
        <f>IF($L$5=0,"",IF(A34&lt;=$L$5,G34,INDEX(G$5:G$44,$L$5)))</f>
        <v/>
      </c>
    </row>
    <row r="35">
      <c r="A35" s="44" t="n">
        <v>31</v>
      </c>
      <c r="B35" s="33">
        <f>IFERROR(MATCH(A35,'1_原始數據'!$R$2:$R$1000,0)+1,"")</f>
        <v/>
      </c>
      <c r="C35" s="13">
        <f>IF($B35="","",INDEX('1_原始數據'!$I$2:$I$1000,$B35-1))</f>
        <v/>
      </c>
      <c r="D35" s="33">
        <f>IF($B35="","",INDEX('1_原始數據'!$A$2:$A$1000,$B35-1))</f>
        <v/>
      </c>
      <c r="E35" s="13">
        <f>IF($B35="","",INDEX('1_原始數據'!$B$2:$B$1000,$B35-1))</f>
        <v/>
      </c>
      <c r="F35" s="11">
        <f>IF($B35="","",INDEX('1_原始數據'!$N$2:$N$1000,$B35-1))</f>
        <v/>
      </c>
      <c r="G35" s="11">
        <f>IF($B35="","",INDEX('1_原始數據'!$O$2:$O$1000,$B35-1))</f>
        <v/>
      </c>
      <c r="H35" s="45">
        <f>IF($B35="","",INDEX('1_原始數據'!$P$2:$P$1000,$B35-1))</f>
        <v/>
      </c>
      <c r="I35" s="11">
        <f>IF($B35="","",INDEX('1_原始數據'!$Q$2:$Q$1000,$B35-1))</f>
        <v/>
      </c>
      <c r="T35" s="24">
        <f>IF($L$5=0,"",IF(A35&lt;=$L$5,I35,INDEX(I$5:I$44,$L$5)))</f>
        <v/>
      </c>
      <c r="U35" s="24">
        <f>IF($L$5=0,"",IF(A35&lt;=$L$5,H35,INDEX(H$5:H$44,$L$5)))</f>
        <v/>
      </c>
      <c r="V35" s="24">
        <f>IF($L$5=0,"",IF(A35&lt;=$L$5,F35,INDEX(F$5:F$44,$L$5)))</f>
        <v/>
      </c>
      <c r="W35" s="24">
        <f>IF($L$5=0,"",IF(A35&lt;=$L$5,G35,INDEX(G$5:G$44,$L$5)))</f>
        <v/>
      </c>
    </row>
    <row r="36">
      <c r="A36" s="44" t="n">
        <v>32</v>
      </c>
      <c r="B36" s="33">
        <f>IFERROR(MATCH(A36,'1_原始數據'!$R$2:$R$1000,0)+1,"")</f>
        <v/>
      </c>
      <c r="C36" s="13">
        <f>IF($B36="","",INDEX('1_原始數據'!$I$2:$I$1000,$B36-1))</f>
        <v/>
      </c>
      <c r="D36" s="33">
        <f>IF($B36="","",INDEX('1_原始數據'!$A$2:$A$1000,$B36-1))</f>
        <v/>
      </c>
      <c r="E36" s="13">
        <f>IF($B36="","",INDEX('1_原始數據'!$B$2:$B$1000,$B36-1))</f>
        <v/>
      </c>
      <c r="F36" s="11">
        <f>IF($B36="","",INDEX('1_原始數據'!$N$2:$N$1000,$B36-1))</f>
        <v/>
      </c>
      <c r="G36" s="11">
        <f>IF($B36="","",INDEX('1_原始數據'!$O$2:$O$1000,$B36-1))</f>
        <v/>
      </c>
      <c r="H36" s="45">
        <f>IF($B36="","",INDEX('1_原始數據'!$P$2:$P$1000,$B36-1))</f>
        <v/>
      </c>
      <c r="I36" s="11">
        <f>IF($B36="","",INDEX('1_原始數據'!$Q$2:$Q$1000,$B36-1))</f>
        <v/>
      </c>
      <c r="T36" s="24">
        <f>IF($L$5=0,"",IF(A36&lt;=$L$5,I36,INDEX(I$5:I$44,$L$5)))</f>
        <v/>
      </c>
      <c r="U36" s="24">
        <f>IF($L$5=0,"",IF(A36&lt;=$L$5,H36,INDEX(H$5:H$44,$L$5)))</f>
        <v/>
      </c>
      <c r="V36" s="24">
        <f>IF($L$5=0,"",IF(A36&lt;=$L$5,F36,INDEX(F$5:F$44,$L$5)))</f>
        <v/>
      </c>
      <c r="W36" s="24">
        <f>IF($L$5=0,"",IF(A36&lt;=$L$5,G36,INDEX(G$5:G$44,$L$5)))</f>
        <v/>
      </c>
    </row>
    <row r="37">
      <c r="A37" s="44" t="n">
        <v>33</v>
      </c>
      <c r="B37" s="33">
        <f>IFERROR(MATCH(A37,'1_原始數據'!$R$2:$R$1000,0)+1,"")</f>
        <v/>
      </c>
      <c r="C37" s="13">
        <f>IF($B37="","",INDEX('1_原始數據'!$I$2:$I$1000,$B37-1))</f>
        <v/>
      </c>
      <c r="D37" s="33">
        <f>IF($B37="","",INDEX('1_原始數據'!$A$2:$A$1000,$B37-1))</f>
        <v/>
      </c>
      <c r="E37" s="13">
        <f>IF($B37="","",INDEX('1_原始數據'!$B$2:$B$1000,$B37-1))</f>
        <v/>
      </c>
      <c r="F37" s="11">
        <f>IF($B37="","",INDEX('1_原始數據'!$N$2:$N$1000,$B37-1))</f>
        <v/>
      </c>
      <c r="G37" s="11">
        <f>IF($B37="","",INDEX('1_原始數據'!$O$2:$O$1000,$B37-1))</f>
        <v/>
      </c>
      <c r="H37" s="45">
        <f>IF($B37="","",INDEX('1_原始數據'!$P$2:$P$1000,$B37-1))</f>
        <v/>
      </c>
      <c r="I37" s="11">
        <f>IF($B37="","",INDEX('1_原始數據'!$Q$2:$Q$1000,$B37-1))</f>
        <v/>
      </c>
      <c r="T37" s="24">
        <f>IF($L$5=0,"",IF(A37&lt;=$L$5,I37,INDEX(I$5:I$44,$L$5)))</f>
        <v/>
      </c>
      <c r="U37" s="24">
        <f>IF($L$5=0,"",IF(A37&lt;=$L$5,H37,INDEX(H$5:H$44,$L$5)))</f>
        <v/>
      </c>
      <c r="V37" s="24">
        <f>IF($L$5=0,"",IF(A37&lt;=$L$5,F37,INDEX(F$5:F$44,$L$5)))</f>
        <v/>
      </c>
      <c r="W37" s="24">
        <f>IF($L$5=0,"",IF(A37&lt;=$L$5,G37,INDEX(G$5:G$44,$L$5)))</f>
        <v/>
      </c>
    </row>
    <row r="38">
      <c r="A38" s="44" t="n">
        <v>34</v>
      </c>
      <c r="B38" s="33">
        <f>IFERROR(MATCH(A38,'1_原始數據'!$R$2:$R$1000,0)+1,"")</f>
        <v/>
      </c>
      <c r="C38" s="13">
        <f>IF($B38="","",INDEX('1_原始數據'!$I$2:$I$1000,$B38-1))</f>
        <v/>
      </c>
      <c r="D38" s="33">
        <f>IF($B38="","",INDEX('1_原始數據'!$A$2:$A$1000,$B38-1))</f>
        <v/>
      </c>
      <c r="E38" s="13">
        <f>IF($B38="","",INDEX('1_原始數據'!$B$2:$B$1000,$B38-1))</f>
        <v/>
      </c>
      <c r="F38" s="11">
        <f>IF($B38="","",INDEX('1_原始數據'!$N$2:$N$1000,$B38-1))</f>
        <v/>
      </c>
      <c r="G38" s="11">
        <f>IF($B38="","",INDEX('1_原始數據'!$O$2:$O$1000,$B38-1))</f>
        <v/>
      </c>
      <c r="H38" s="45">
        <f>IF($B38="","",INDEX('1_原始數據'!$P$2:$P$1000,$B38-1))</f>
        <v/>
      </c>
      <c r="I38" s="11">
        <f>IF($B38="","",INDEX('1_原始數據'!$Q$2:$Q$1000,$B38-1))</f>
        <v/>
      </c>
      <c r="T38" s="24">
        <f>IF($L$5=0,"",IF(A38&lt;=$L$5,I38,INDEX(I$5:I$44,$L$5)))</f>
        <v/>
      </c>
      <c r="U38" s="24">
        <f>IF($L$5=0,"",IF(A38&lt;=$L$5,H38,INDEX(H$5:H$44,$L$5)))</f>
        <v/>
      </c>
      <c r="V38" s="24">
        <f>IF($L$5=0,"",IF(A38&lt;=$L$5,F38,INDEX(F$5:F$44,$L$5)))</f>
        <v/>
      </c>
      <c r="W38" s="24">
        <f>IF($L$5=0,"",IF(A38&lt;=$L$5,G38,INDEX(G$5:G$44,$L$5)))</f>
        <v/>
      </c>
    </row>
    <row r="39">
      <c r="A39" s="44" t="n">
        <v>35</v>
      </c>
      <c r="B39" s="33">
        <f>IFERROR(MATCH(A39,'1_原始數據'!$R$2:$R$1000,0)+1,"")</f>
        <v/>
      </c>
      <c r="C39" s="13">
        <f>IF($B39="","",INDEX('1_原始數據'!$I$2:$I$1000,$B39-1))</f>
        <v/>
      </c>
      <c r="D39" s="33">
        <f>IF($B39="","",INDEX('1_原始數據'!$A$2:$A$1000,$B39-1))</f>
        <v/>
      </c>
      <c r="E39" s="13">
        <f>IF($B39="","",INDEX('1_原始數據'!$B$2:$B$1000,$B39-1))</f>
        <v/>
      </c>
      <c r="F39" s="11">
        <f>IF($B39="","",INDEX('1_原始數據'!$N$2:$N$1000,$B39-1))</f>
        <v/>
      </c>
      <c r="G39" s="11">
        <f>IF($B39="","",INDEX('1_原始數據'!$O$2:$O$1000,$B39-1))</f>
        <v/>
      </c>
      <c r="H39" s="45">
        <f>IF($B39="","",INDEX('1_原始數據'!$P$2:$P$1000,$B39-1))</f>
        <v/>
      </c>
      <c r="I39" s="11">
        <f>IF($B39="","",INDEX('1_原始數據'!$Q$2:$Q$1000,$B39-1))</f>
        <v/>
      </c>
      <c r="T39" s="24">
        <f>IF($L$5=0,"",IF(A39&lt;=$L$5,I39,INDEX(I$5:I$44,$L$5)))</f>
        <v/>
      </c>
      <c r="U39" s="24">
        <f>IF($L$5=0,"",IF(A39&lt;=$L$5,H39,INDEX(H$5:H$44,$L$5)))</f>
        <v/>
      </c>
      <c r="V39" s="24">
        <f>IF($L$5=0,"",IF(A39&lt;=$L$5,F39,INDEX(F$5:F$44,$L$5)))</f>
        <v/>
      </c>
      <c r="W39" s="24">
        <f>IF($L$5=0,"",IF(A39&lt;=$L$5,G39,INDEX(G$5:G$44,$L$5)))</f>
        <v/>
      </c>
    </row>
    <row r="40">
      <c r="A40" s="44" t="n">
        <v>36</v>
      </c>
      <c r="B40" s="33">
        <f>IFERROR(MATCH(A40,'1_原始數據'!$R$2:$R$1000,0)+1,"")</f>
        <v/>
      </c>
      <c r="C40" s="13">
        <f>IF($B40="","",INDEX('1_原始數據'!$I$2:$I$1000,$B40-1))</f>
        <v/>
      </c>
      <c r="D40" s="33">
        <f>IF($B40="","",INDEX('1_原始數據'!$A$2:$A$1000,$B40-1))</f>
        <v/>
      </c>
      <c r="E40" s="13">
        <f>IF($B40="","",INDEX('1_原始數據'!$B$2:$B$1000,$B40-1))</f>
        <v/>
      </c>
      <c r="F40" s="11">
        <f>IF($B40="","",INDEX('1_原始數據'!$N$2:$N$1000,$B40-1))</f>
        <v/>
      </c>
      <c r="G40" s="11">
        <f>IF($B40="","",INDEX('1_原始數據'!$O$2:$O$1000,$B40-1))</f>
        <v/>
      </c>
      <c r="H40" s="45">
        <f>IF($B40="","",INDEX('1_原始數據'!$P$2:$P$1000,$B40-1))</f>
        <v/>
      </c>
      <c r="I40" s="11">
        <f>IF($B40="","",INDEX('1_原始數據'!$Q$2:$Q$1000,$B40-1))</f>
        <v/>
      </c>
      <c r="T40" s="24">
        <f>IF($L$5=0,"",IF(A40&lt;=$L$5,I40,INDEX(I$5:I$44,$L$5)))</f>
        <v/>
      </c>
      <c r="U40" s="24">
        <f>IF($L$5=0,"",IF(A40&lt;=$L$5,H40,INDEX(H$5:H$44,$L$5)))</f>
        <v/>
      </c>
      <c r="V40" s="24">
        <f>IF($L$5=0,"",IF(A40&lt;=$L$5,F40,INDEX(F$5:F$44,$L$5)))</f>
        <v/>
      </c>
      <c r="W40" s="24">
        <f>IF($L$5=0,"",IF(A40&lt;=$L$5,G40,INDEX(G$5:G$44,$L$5)))</f>
        <v/>
      </c>
    </row>
    <row r="41">
      <c r="A41" s="44" t="n">
        <v>37</v>
      </c>
      <c r="B41" s="33">
        <f>IFERROR(MATCH(A41,'1_原始數據'!$R$2:$R$1000,0)+1,"")</f>
        <v/>
      </c>
      <c r="C41" s="13">
        <f>IF($B41="","",INDEX('1_原始數據'!$I$2:$I$1000,$B41-1))</f>
        <v/>
      </c>
      <c r="D41" s="33">
        <f>IF($B41="","",INDEX('1_原始數據'!$A$2:$A$1000,$B41-1))</f>
        <v/>
      </c>
      <c r="E41" s="13">
        <f>IF($B41="","",INDEX('1_原始數據'!$B$2:$B$1000,$B41-1))</f>
        <v/>
      </c>
      <c r="F41" s="11">
        <f>IF($B41="","",INDEX('1_原始數據'!$N$2:$N$1000,$B41-1))</f>
        <v/>
      </c>
      <c r="G41" s="11">
        <f>IF($B41="","",INDEX('1_原始數據'!$O$2:$O$1000,$B41-1))</f>
        <v/>
      </c>
      <c r="H41" s="45">
        <f>IF($B41="","",INDEX('1_原始數據'!$P$2:$P$1000,$B41-1))</f>
        <v/>
      </c>
      <c r="I41" s="11">
        <f>IF($B41="","",INDEX('1_原始數據'!$Q$2:$Q$1000,$B41-1))</f>
        <v/>
      </c>
      <c r="T41" s="24">
        <f>IF($L$5=0,"",IF(A41&lt;=$L$5,I41,INDEX(I$5:I$44,$L$5)))</f>
        <v/>
      </c>
      <c r="U41" s="24">
        <f>IF($L$5=0,"",IF(A41&lt;=$L$5,H41,INDEX(H$5:H$44,$L$5)))</f>
        <v/>
      </c>
      <c r="V41" s="24">
        <f>IF($L$5=0,"",IF(A41&lt;=$L$5,F41,INDEX(F$5:F$44,$L$5)))</f>
        <v/>
      </c>
      <c r="W41" s="24">
        <f>IF($L$5=0,"",IF(A41&lt;=$L$5,G41,INDEX(G$5:G$44,$L$5)))</f>
        <v/>
      </c>
    </row>
    <row r="42">
      <c r="A42" s="44" t="n">
        <v>38</v>
      </c>
      <c r="B42" s="33">
        <f>IFERROR(MATCH(A42,'1_原始數據'!$R$2:$R$1000,0)+1,"")</f>
        <v/>
      </c>
      <c r="C42" s="13">
        <f>IF($B42="","",INDEX('1_原始數據'!$I$2:$I$1000,$B42-1))</f>
        <v/>
      </c>
      <c r="D42" s="33">
        <f>IF($B42="","",INDEX('1_原始數據'!$A$2:$A$1000,$B42-1))</f>
        <v/>
      </c>
      <c r="E42" s="13">
        <f>IF($B42="","",INDEX('1_原始數據'!$B$2:$B$1000,$B42-1))</f>
        <v/>
      </c>
      <c r="F42" s="11">
        <f>IF($B42="","",INDEX('1_原始數據'!$N$2:$N$1000,$B42-1))</f>
        <v/>
      </c>
      <c r="G42" s="11">
        <f>IF($B42="","",INDEX('1_原始數據'!$O$2:$O$1000,$B42-1))</f>
        <v/>
      </c>
      <c r="H42" s="45">
        <f>IF($B42="","",INDEX('1_原始數據'!$P$2:$P$1000,$B42-1))</f>
        <v/>
      </c>
      <c r="I42" s="11">
        <f>IF($B42="","",INDEX('1_原始數據'!$Q$2:$Q$1000,$B42-1))</f>
        <v/>
      </c>
      <c r="T42" s="24">
        <f>IF($L$5=0,"",IF(A42&lt;=$L$5,I42,INDEX(I$5:I$44,$L$5)))</f>
        <v/>
      </c>
      <c r="U42" s="24">
        <f>IF($L$5=0,"",IF(A42&lt;=$L$5,H42,INDEX(H$5:H$44,$L$5)))</f>
        <v/>
      </c>
      <c r="V42" s="24">
        <f>IF($L$5=0,"",IF(A42&lt;=$L$5,F42,INDEX(F$5:F$44,$L$5)))</f>
        <v/>
      </c>
      <c r="W42" s="24">
        <f>IF($L$5=0,"",IF(A42&lt;=$L$5,G42,INDEX(G$5:G$44,$L$5)))</f>
        <v/>
      </c>
    </row>
    <row r="43">
      <c r="A43" s="44" t="n">
        <v>39</v>
      </c>
      <c r="B43" s="33">
        <f>IFERROR(MATCH(A43,'1_原始數據'!$R$2:$R$1000,0)+1,"")</f>
        <v/>
      </c>
      <c r="C43" s="13">
        <f>IF($B43="","",INDEX('1_原始數據'!$I$2:$I$1000,$B43-1))</f>
        <v/>
      </c>
      <c r="D43" s="33">
        <f>IF($B43="","",INDEX('1_原始數據'!$A$2:$A$1000,$B43-1))</f>
        <v/>
      </c>
      <c r="E43" s="13">
        <f>IF($B43="","",INDEX('1_原始數據'!$B$2:$B$1000,$B43-1))</f>
        <v/>
      </c>
      <c r="F43" s="11">
        <f>IF($B43="","",INDEX('1_原始數據'!$N$2:$N$1000,$B43-1))</f>
        <v/>
      </c>
      <c r="G43" s="11">
        <f>IF($B43="","",INDEX('1_原始數據'!$O$2:$O$1000,$B43-1))</f>
        <v/>
      </c>
      <c r="H43" s="45">
        <f>IF($B43="","",INDEX('1_原始數據'!$P$2:$P$1000,$B43-1))</f>
        <v/>
      </c>
      <c r="I43" s="11">
        <f>IF($B43="","",INDEX('1_原始數據'!$Q$2:$Q$1000,$B43-1))</f>
        <v/>
      </c>
      <c r="T43" s="24">
        <f>IF($L$5=0,"",IF(A43&lt;=$L$5,I43,INDEX(I$5:I$44,$L$5)))</f>
        <v/>
      </c>
      <c r="U43" s="24">
        <f>IF($L$5=0,"",IF(A43&lt;=$L$5,H43,INDEX(H$5:H$44,$L$5)))</f>
        <v/>
      </c>
      <c r="V43" s="24">
        <f>IF($L$5=0,"",IF(A43&lt;=$L$5,F43,INDEX(F$5:F$44,$L$5)))</f>
        <v/>
      </c>
      <c r="W43" s="24">
        <f>IF($L$5=0,"",IF(A43&lt;=$L$5,G43,INDEX(G$5:G$44,$L$5)))</f>
        <v/>
      </c>
    </row>
    <row r="44">
      <c r="A44" s="44" t="n">
        <v>40</v>
      </c>
      <c r="B44" s="33">
        <f>IFERROR(MATCH(A44,'1_原始數據'!$R$2:$R$1000,0)+1,"")</f>
        <v/>
      </c>
      <c r="C44" s="13">
        <f>IF($B44="","",INDEX('1_原始數據'!$I$2:$I$1000,$B44-1))</f>
        <v/>
      </c>
      <c r="D44" s="33">
        <f>IF($B44="","",INDEX('1_原始數據'!$A$2:$A$1000,$B44-1))</f>
        <v/>
      </c>
      <c r="E44" s="13">
        <f>IF($B44="","",INDEX('1_原始數據'!$B$2:$B$1000,$B44-1))</f>
        <v/>
      </c>
      <c r="F44" s="11">
        <f>IF($B44="","",INDEX('1_原始數據'!$N$2:$N$1000,$B44-1))</f>
        <v/>
      </c>
      <c r="G44" s="11">
        <f>IF($B44="","",INDEX('1_原始數據'!$O$2:$O$1000,$B44-1))</f>
        <v/>
      </c>
      <c r="H44" s="45">
        <f>IF($B44="","",INDEX('1_原始數據'!$P$2:$P$1000,$B44-1))</f>
        <v/>
      </c>
      <c r="I44" s="11">
        <f>IF($B44="","",INDEX('1_原始數據'!$Q$2:$Q$1000,$B44-1))</f>
        <v/>
      </c>
      <c r="T44" s="24">
        <f>IF($L$5=0,"",IF(A44&lt;=$L$5,I44,INDEX(I$5:I$44,$L$5)))</f>
        <v/>
      </c>
      <c r="U44" s="24">
        <f>IF($L$5=0,"",IF(A44&lt;=$L$5,H44,INDEX(H$5:H$44,$L$5)))</f>
        <v/>
      </c>
      <c r="V44" s="24">
        <f>IF($L$5=0,"",IF(A44&lt;=$L$5,F44,INDEX(F$5:F$44,$L$5)))</f>
        <v/>
      </c>
      <c r="W44" s="24">
        <f>IF($L$5=0,"",IF(A44&lt;=$L$5,G44,INDEX(G$5:G$44,$L$5)))</f>
        <v/>
      </c>
    </row>
    <row r="46" ht="30" customHeight="1">
      <c r="A46" s="20" t="inlineStr">
        <is>
          <t>MATCH 找「pair_no = 1、2、3…」在原始數據的第幾格，INDEX 再把那一列的值拿出來。超過配對數的列會空白。</t>
        </is>
      </c>
      <c r="T46" s="20" t="inlineStr">
        <is>
          <t>X5:Y6＝bias 線；X7:Y8＝下限；X9:Y10＝上限；X11:Y12＝y = x 線。</t>
        </is>
      </c>
    </row>
    <row r="67" ht="48" customHeight="1">
      <c r="A67" s="20" t="inlineStr">
        <is>
          <t>看圖：Bland–Altman 圖每一點是一個配對，x＝兩法平均、y＝兩法差。綠線＝bias，紅虛線＝95% 一致性界限。點離 0 越遠、界限越寬，兩法越不能互換。右圖的點幾乎都在 y = x 線上（r ≈ 1），但仍可能有偏差。（依樣品分顏色的版本在 Colab 筆記本。）</t>
        </is>
      </c>
    </row>
  </sheetData>
  <mergeCells count="7">
    <mergeCell ref="T46:Y46"/>
    <mergeCell ref="A2:R2"/>
    <mergeCell ref="A46:I46"/>
    <mergeCell ref="L32:P32"/>
    <mergeCell ref="A67:R67"/>
    <mergeCell ref="L13:P13"/>
    <mergeCell ref="K34:P3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32" customHeight="1">
      <c r="B3" s="52" t="inlineStr">
        <is>
          <t>問題 1：某組秤 0.4890 g KHP，滴定用去 23.60 mL NaOH，求 N_NaOH。再用這個 N 滴定 5.00 mL 柳橙汁，用去 7.85 mL，求可滴定酸度 %（以檸檬酸表示，當量重 64.04）。</t>
        </is>
      </c>
    </row>
    <row r="4" ht="30" customHeight="1">
      <c r="B4" s="20" t="inlineStr">
        <is>
          <t>提示：「2_NaOH標定」C8、C9 改成 0.4890、23.60；「3_可滴定酸度」2-2 計算機的 V、當量重、W 改成 7.85、64.04、5.00。做完記得改回範例值。</t>
        </is>
      </c>
    </row>
    <row r="5" ht="60" customHeight="1">
      <c r="B5" s="53" t="inlineStr"/>
    </row>
    <row r="7" ht="32" customHeight="1">
      <c r="B7" s="52" t="inlineStr">
        <is>
          <t>問題 2：為什麼在體積間距不均勻時，用「平均間距」算 dpH/dV 會出錯？請比較「4_滴定曲線」L8 與 L11、以及 F18 與 G18（14–16 mL 那段），說明錯在哪裡，並提出至少一種修正方法。</t>
        </is>
      </c>
    </row>
    <row r="8" ht="15" customHeight="1">
      <c r="B8" s="20" t="inlineStr">
        <is>
          <t>提示：F 欄用每一段自己的 ΔV；G 欄用同一個平均間距。修正方法：用實際 ΔV，或先內插到均勻網格（Colab 進階）。</t>
        </is>
      </c>
    </row>
    <row r="9" ht="60" customHeight="1">
      <c r="B9" s="53" t="inlineStr"/>
    </row>
    <row r="11" ht="16" customHeight="1">
      <c r="B11" s="52" t="inlineStr">
        <is>
          <t>問題 3：用「4_滴定曲線」L20 的半當量點 pH，判斷這條曲線最可能是哪一種酸，並說明依據。</t>
        </is>
      </c>
    </row>
    <row r="12" ht="15" customHeight="1">
      <c r="B12" s="20" t="inlineStr">
        <is>
          <t>提示：查講義各種酸的 pKa（醋酸 4.76、乳酸 3.86、檸檬酸 3.13/4.76/6.40…），和 L20 比較。</t>
        </is>
      </c>
    </row>
    <row r="13" ht="60" customHeight="1">
      <c r="B13" s="53" t="inlineStr"/>
    </row>
    <row r="15" ht="32" customHeight="1">
      <c r="B15" s="52" t="inlineStr">
        <is>
          <t>問題 4：解讀 Bland–Altman（「5_手動vs自動」）：(1) 手動與 PASCO 之間有沒有系統性偏差？(2) 哪一個樣品的差值最分散？可能原因？(3) 只看相關係數 r 會漏掉什麼？</t>
        </is>
      </c>
    </row>
    <row r="16" ht="30" customHeight="1">
      <c r="B16" s="20" t="inlineStr">
        <is>
          <t>提示：(1) 看 L6、L12；(2) 看左表 H 欄依 sample 比較，或看「3_可滴定酸度」2-3 的 RSD；(3) 比較 L14 與右圖。</t>
        </is>
      </c>
    </row>
    <row r="17" ht="60" customHeight="1">
      <c r="B17" s="53" t="inlineStr"/>
    </row>
    <row r="19" ht="16" customHeight="1">
      <c r="B19" s="52" t="inlineStr">
        <is>
          <t>問題 5：配對 t 檢定與 F 檢定分別回答什麼問題？如果 t 檢定顯著、但 F 檢定不顯著，該怎麼解讀兩方法的差異？</t>
        </is>
      </c>
    </row>
    <row r="20" ht="60" customHeight="1">
      <c r="B20" s="53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2026-09-27T18:54:28Z</dcterms:created>
  <dcterms:modified xsi:type="dcterms:W3CDTF">2026-09-27T18:54:29Z</dcterms:modified>
</cp:coreProperties>
</file>