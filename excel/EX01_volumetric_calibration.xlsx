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密度換算" sheetId="3" state="visible" r:id="rId3"/>
    <sheet name="3_逐生統計" sheetId="4" state="visible" r:id="rId4"/>
    <sheet name="4_組別與全班" sheetId="5" state="visible" r:id="rId5"/>
    <sheet name="練習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"/>
    <numFmt numFmtId="166" formatCode="0.000"/>
    <numFmt numFmtId="167" formatCode="+0.0000;-0.0000;0.0000"/>
  </numFmts>
  <fonts count="8">
    <font>
      <name val="Calibri"/>
      <family val="2"/>
      <color theme="1"/>
      <sz val="11"/>
      <scheme val="minor"/>
    </font>
    <font>
      <name val="Microsoft JhengHei"/>
      <b val="1"/>
      <color rgb="001E6B66"/>
      <sz val="16"/>
    </font>
    <font>
      <name val="Microsoft JhengHei"/>
      <color rgb="005B6964"/>
      <sz val="10"/>
    </font>
    <font>
      <name val="Microsoft JhengHei"/>
      <b val="1"/>
      <color rgb="001E6B66"/>
      <sz val="12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7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E8F5A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1" pivotButton="0" quotePrefix="0" xfId="0"/>
    <xf numFmtId="0" fontId="5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right" vertical="center"/>
    </xf>
    <xf numFmtId="164" fontId="5" fillId="0" borderId="1" pivotButton="0" quotePrefix="0" xfId="0"/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0" borderId="1" pivotButton="0" quotePrefix="0" xfId="0"/>
    <xf numFmtId="166" fontId="5" fillId="4" borderId="1" applyAlignment="1" pivotButton="0" quotePrefix="0" xfId="0">
      <alignment horizontal="right" vertical="center"/>
    </xf>
    <xf numFmtId="166" fontId="5" fillId="0" borderId="1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0" pivotButton="0" quotePrefix="0" xfId="0"/>
    <xf numFmtId="164" fontId="5" fillId="4" borderId="0" pivotButton="0" quotePrefix="0" xfId="0"/>
    <xf numFmtId="165" fontId="5" fillId="4" borderId="0" pivotButton="0" quotePrefix="0" xfId="0"/>
    <xf numFmtId="0" fontId="5" fillId="0" borderId="1" pivotButton="0" quotePrefix="0" xfId="0"/>
    <xf numFmtId="0" fontId="6" fillId="0" borderId="0" pivotButton="0" quotePrefix="0" xfId="0"/>
    <xf numFmtId="164" fontId="6" fillId="5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diagram: pipette_10mL</a:t>
            </a:r>
          </a:p>
        </rich>
      </tx>
    </title>
    <plotArea>
      <scatterChart>
        <scatterStyle val="lineMarker"/>
        <ser>
          <idx val="0"/>
          <order val="0"/>
          <tx>
            <v>students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xVal>
            <numRef>
              <f>'3_逐生統計'!$V$5:$V$19</f>
            </numRef>
          </xVal>
          <yVal>
            <numRef>
              <f>'3_逐生統計'!$R$5:$R$19</f>
            </numRef>
          </yVal>
          <smooth val="0"/>
        </ser>
        <ser>
          <idx val="1"/>
          <order val="1"/>
          <tx>
            <v>- tolerance</v>
          </tx>
          <spPr>
            <a:ln w="19050">
              <a:solidFill>
                <a:srgbClr val="1E6B6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'3_逐生統計'!$AB$5:$AB$6</f>
            </numRef>
          </xVal>
          <yVal>
            <numRef>
              <f>'3_逐生統計'!$AC$5:$AC$6</f>
            </numRef>
          </yVal>
          <smooth val="0"/>
        </ser>
        <ser>
          <idx val="2"/>
          <order val="2"/>
          <tx>
            <v>+ tolerance</v>
          </tx>
          <spPr>
            <a:ln w="19050">
              <a:solidFill>
                <a:srgbClr val="1E6B6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'3_逐生統計'!$AB$7:$AB$8</f>
            </numRef>
          </xVal>
          <yVal>
            <numRef>
              <f>'3_逐生統計'!$AC$7:$AC$8</f>
            </numRef>
          </yVal>
          <smooth val="0"/>
        </ser>
        <ser>
          <idx val="3"/>
          <order val="3"/>
          <tx>
            <v>precision limit</v>
          </tx>
          <spPr>
            <a:ln w="19050">
              <a:solidFill>
                <a:srgbClr val="D08A1E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'3_逐生統計'!$AB$9:$AB$10</f>
            </numRef>
          </xVal>
          <yVal>
            <numRef>
              <f>'3_逐生統計'!$AC$9:$AC$10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Bias (mL) = mean - nominal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SD (mL)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Mean ± 95% CI: pipette_10mL</a:t>
            </a:r>
          </a:p>
        </rich>
      </tx>
    </title>
    <plotArea>
      <lineChart>
        <grouping val="standard"/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'3_逐生統計'!$U$5:$U$19</f>
              </numRef>
            </minus>
            <plus>
              <numRef>
                <f>'3_逐生統計'!$U$5:$U$19</f>
              </numRef>
            </plus>
          </errBars>
          <cat>
            <numRef>
              <f>'3_逐生統計'!$B$5:$B$19</f>
            </numRef>
          </cat>
          <val>
            <numRef>
              <f>'3_逐生統計'!$Q$5:$Q$19</f>
            </numRef>
          </val>
        </ser>
        <ser>
          <idx val="1"/>
          <order val="1"/>
          <spPr>
            <a:ln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'3_逐生統計'!$D$5:$D$19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Mean volume (mL)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diagram: burette_25mL</a:t>
            </a:r>
          </a:p>
        </rich>
      </tx>
    </title>
    <plotArea>
      <scatterChart>
        <scatterStyle val="lineMarker"/>
        <ser>
          <idx val="0"/>
          <order val="0"/>
          <tx>
            <v>students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xVal>
            <numRef>
              <f>'3_逐生統計'!$V$20:$V$34</f>
            </numRef>
          </xVal>
          <yVal>
            <numRef>
              <f>'3_逐生統計'!$R$20:$R$34</f>
            </numRef>
          </yVal>
          <smooth val="0"/>
        </ser>
        <ser>
          <idx val="1"/>
          <order val="1"/>
          <tx>
            <v>- tolerance</v>
          </tx>
          <spPr>
            <a:ln w="19050">
              <a:solidFill>
                <a:srgbClr val="1E6B6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'3_逐生統計'!$AE$5:$AE$6</f>
            </numRef>
          </xVal>
          <yVal>
            <numRef>
              <f>'3_逐生統計'!$AF$5:$AF$6</f>
            </numRef>
          </yVal>
          <smooth val="0"/>
        </ser>
        <ser>
          <idx val="2"/>
          <order val="2"/>
          <tx>
            <v>+ tolerance</v>
          </tx>
          <spPr>
            <a:ln w="19050">
              <a:solidFill>
                <a:srgbClr val="1E6B6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'3_逐生統計'!$AE$7:$AE$8</f>
            </numRef>
          </xVal>
          <yVal>
            <numRef>
              <f>'3_逐生統計'!$AF$7:$AF$8</f>
            </numRef>
          </yVal>
          <smooth val="0"/>
        </ser>
        <ser>
          <idx val="3"/>
          <order val="3"/>
          <tx>
            <v>precision limit</v>
          </tx>
          <spPr>
            <a:ln w="19050">
              <a:solidFill>
                <a:srgbClr val="D08A1E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'3_逐生統計'!$AE$9:$AE$10</f>
            </numRef>
          </xVal>
          <yVal>
            <numRef>
              <f>'3_逐生統計'!$AF$9:$AF$10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Bias (mL) = mean - nominal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SD (mL)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Mean ± 95% CI: burette_25mL</a:t>
            </a:r>
          </a:p>
        </rich>
      </tx>
    </title>
    <plotArea>
      <lineChart>
        <grouping val="standard"/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'3_逐生統計'!$U$20:$U$34</f>
              </numRef>
            </minus>
            <plus>
              <numRef>
                <f>'3_逐生統計'!$U$20:$U$34</f>
              </numRef>
            </plus>
          </errBars>
          <cat>
            <numRef>
              <f>'3_逐生統計'!$B$20:$B$34</f>
            </numRef>
          </cat>
          <val>
            <numRef>
              <f>'3_逐生統計'!$Q$20:$Q$34</f>
            </numRef>
          </val>
        </ser>
        <ser>
          <idx val="1"/>
          <order val="1"/>
          <spPr>
            <a:ln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'3_逐生統計'!$D$20:$D$34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Mean volume (mL)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47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47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65</row>
      <rowOff>0</rowOff>
    </from>
    <ext cx="540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1_volumetric/index.html" TargetMode="External" Id="rId1" /><Relationship Type="http://schemas.openxmlformats.org/officeDocument/2006/relationships/hyperlink" Target="https://tai-shengyeh.github.io/food-analysis-lab/orange/OR01_intro_boxplot.ows" TargetMode="External" Id="rId2" /><Relationship Type="http://schemas.openxmlformats.org/officeDocument/2006/relationships/hyperlink" Target="https://colab.research.google.com/github/Tai-ShengYeh/food-analysis-lab/blob/main/notebooks/NB01_volumetric_calibration.ipynb" TargetMode="External" Id="rId3" /><Relationship Type="http://schemas.openxmlformats.org/officeDocument/2006/relationships/hyperlink" Target="https://tai-shengyeh.github.io/food-analysis-lab/tools.html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EX01｜W1 容量器具校正（秤重法）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把秤到的水重，經水溫密度與空氣浮力校正，換成真實體積。</t>
        </is>
      </c>
    </row>
    <row r="6">
      <c r="B6" s="4" t="inlineStr">
        <is>
          <t>•  用 AVERAGE、STDEV.S、T.INV.2T 算平均、SD、RSD 與 95% 信賴區間。</t>
        </is>
      </c>
    </row>
    <row r="7">
      <c r="B7" s="4" t="inlineStr">
        <is>
          <t>•  用 Class A 公差判斷準確度與精密度，畫 target diagram。</t>
        </is>
      </c>
    </row>
    <row r="8">
      <c r="B8" s="4" t="inlineStr">
        <is>
          <t>•  依信賴區間決定平均值該報告到第幾位小數。</t>
        </is>
      </c>
    </row>
    <row r="10">
      <c r="B10" s="3" t="inlineStr">
        <is>
          <t>顏色代表什麼</t>
        </is>
      </c>
    </row>
    <row r="11">
      <c r="B11" s="5" t="inlineStr"/>
      <c r="C11" s="6" t="inlineStr">
        <is>
          <t>黃色：輸入或貼上數據的地方</t>
        </is>
      </c>
    </row>
    <row r="12">
      <c r="B12" s="7" t="inlineStr"/>
      <c r="C12" s="6" t="inlineStr">
        <is>
          <t>綠色：公式，會自動計算，不要改</t>
        </is>
      </c>
    </row>
    <row r="13">
      <c r="B13" s="8" t="inlineStr"/>
      <c r="C13" s="6" t="inlineStr">
        <is>
          <t>橘色：重點結果，寫報告時用</t>
        </is>
      </c>
    </row>
    <row r="15">
      <c r="B15" s="3" t="inlineStr">
        <is>
          <t>操作步驟</t>
        </is>
      </c>
    </row>
    <row r="16" ht="15" customHeight="1">
      <c r="B16" s="4" t="inlineStr">
        <is>
          <t>1. 看「1_原始數據」：一列是一次秤重。右邊綠色欄已經把每一次換成體積 (mL)。</t>
        </is>
      </c>
    </row>
    <row r="17" ht="15" customHeight="1">
      <c r="B17" s="4" t="inlineStr">
        <is>
          <t>2. 看「2_密度換算」：理解密度與浮力校正，做第 36–41 列的自我檢查。</t>
        </is>
      </c>
    </row>
    <row r="18" ht="15" customHeight="1">
      <c r="B18" s="4" t="inlineStr">
        <is>
          <t>3. 看「3_逐生統計」：每位同學一列，算平均、SD、RSD、CI、bias，並自動分類。往下捲有兩張圖。</t>
        </is>
      </c>
    </row>
    <row r="19" ht="15" customHeight="1">
      <c r="B19" s="4" t="inlineStr">
        <is>
          <t>4. 看「4_組別與全班」：各組平均、兩種器具比較、單樣本 t 檢定。</t>
        </is>
      </c>
    </row>
    <row r="20" ht="15" customHeight="1">
      <c r="B20" s="4" t="inlineStr">
        <is>
          <t>5. 完成「練習題」。</t>
        </is>
      </c>
    </row>
    <row r="21" ht="30" customHeight="1">
      <c r="B21" s="4" t="inlineStr">
        <is>
          <t>6. 換成班級數據：把共用 Google Sheet 的數據貼到「1_原始數據」A2 起；學生名單不同就改「3_逐生統計」A–C 欄。</t>
        </is>
      </c>
    </row>
    <row r="23">
      <c r="B23" s="3" t="inlineStr">
        <is>
          <t>對答案：用內建範例數據時，你的結果應該等於</t>
        </is>
      </c>
    </row>
    <row r="24">
      <c r="B24" s="9" t="inlineStr">
        <is>
          <t>項目</t>
        </is>
      </c>
      <c r="C24" s="9" t="inlineStr">
        <is>
          <t>本檔計算值</t>
        </is>
      </c>
      <c r="D24" s="9" t="inlineStr">
        <is>
          <t>Colab 筆記本的值</t>
        </is>
      </c>
      <c r="E24" s="9" t="inlineStr">
        <is>
          <t>一致？</t>
        </is>
      </c>
    </row>
    <row r="25">
      <c r="B25" s="10" t="inlineStr">
        <is>
          <t>ρw(25 °C) (g/mL)</t>
        </is>
      </c>
      <c r="C25" s="11">
        <f>'2_密度換算'!C38</f>
        <v/>
      </c>
      <c r="D25" s="12" t="n">
        <v>0.997047021671824</v>
      </c>
      <c r="E25" s="13">
        <f>IF(ABS(C25-D25)&lt;=9.970570216718241e-05,"✔ 一致","✘ 不一致（換成班級數據後本來就會不同）")</f>
        <v/>
      </c>
    </row>
    <row r="26">
      <c r="B26" s="10" t="inlineStr">
        <is>
          <t>G1_S1 移液管平均 (mL)</t>
        </is>
      </c>
      <c r="C26" s="14">
        <f>'3_逐生統計'!Q5</f>
        <v/>
      </c>
      <c r="D26" s="15" t="n">
        <v>10.0027863916352</v>
      </c>
      <c r="E26" s="13">
        <f>IF(ABS(C26-D26)&lt;=0.0010002796391635198,"✔ 一致","✘ 不一致（換成班級數據後本來就會不同）")</f>
        <v/>
      </c>
    </row>
    <row r="27">
      <c r="B27" s="10" t="inlineStr">
        <is>
          <t>G1_S1 移液管 SD (mL)</t>
        </is>
      </c>
      <c r="C27" s="14">
        <f>'3_逐生統計'!R5</f>
        <v/>
      </c>
      <c r="D27" s="15" t="n">
        <v>0.003423288453886061</v>
      </c>
      <c r="E27" s="13">
        <f>IF(ABS(C27-D27)&lt;=3.4332884538860615e-07,"✔ 一致","✘ 不一致（換成班級數據後本來就會不同）")</f>
        <v/>
      </c>
    </row>
    <row r="28">
      <c r="B28" s="10" t="inlineStr">
        <is>
          <t>G1_S1 移液管 95% CI 半寬</t>
        </is>
      </c>
      <c r="C28" s="14">
        <f>'3_逐生統計'!U5</f>
        <v/>
      </c>
      <c r="D28" s="15" t="n">
        <v>0.002448873036617033</v>
      </c>
      <c r="E28" s="13">
        <f>IF(ABS(C28-D28)&lt;=2.4588730366170335e-07,"✔ 一致","✘ 不一致（換成班級數據後本來就會不同）")</f>
        <v/>
      </c>
    </row>
    <row r="29">
      <c r="B29" s="10" t="inlineStr">
        <is>
          <t>G1_S1 滴定管 t 值（Colab 範例 t = 5.085）</t>
        </is>
      </c>
      <c r="C29" s="16">
        <f>'4_組別與全班'!B28</f>
        <v/>
      </c>
      <c r="D29" s="17" t="n">
        <v>5.085457829282833</v>
      </c>
      <c r="E29" s="13">
        <f>IF(ABS(C29-D29)&lt;=0.0005085467829282833,"✔ 一致","✘ 不一致（換成班級數據後本來就會不同）")</f>
        <v/>
      </c>
    </row>
    <row r="30">
      <c r="B30" s="10" t="inlineStr">
        <is>
          <t>移液管全班平均 RSD (%)</t>
        </is>
      </c>
      <c r="C30" s="16">
        <f>'4_組別與全班'!D18</f>
        <v/>
      </c>
      <c r="D30" s="17" t="n">
        <v>0.2315031763430149</v>
      </c>
      <c r="E30" s="13">
        <f>IF(ABS(C30-D30)&lt;=2.3151317634301493e-05,"✔ 一致","✘ 不一致（換成班級數據後本來就會不同）")</f>
        <v/>
      </c>
    </row>
    <row r="31">
      <c r="B31" s="10" t="inlineStr">
        <is>
          <t>滴定管全班平均 RSD (%)</t>
        </is>
      </c>
      <c r="C31" s="16">
        <f>'4_組別與全班'!D19</f>
        <v/>
      </c>
      <c r="D31" s="17" t="n">
        <v>0.07080609732863249</v>
      </c>
      <c r="E31" s="13">
        <f>IF(ABS(C31-D31)&lt;=7.08160973286325e-06,"✔ 一致","✘ 不一致（換成班級數據後本來就會不同）")</f>
        <v/>
      </c>
    </row>
    <row r="32">
      <c r="B32" s="18" t="inlineStr">
        <is>
          <t>「Colab 筆記本的值」是用內建模擬數據算出的答案；換成全班數據後，這一欄就不再適用。</t>
        </is>
      </c>
    </row>
    <row r="34">
      <c r="B34" s="3" t="inlineStr">
        <is>
          <t>相關連結</t>
        </is>
      </c>
    </row>
    <row r="35">
      <c r="B35" s="19" t="inlineStr">
        <is>
          <t>本週實驗投影片</t>
        </is>
      </c>
      <c r="C35" s="2" t="inlineStr">
        <is>
          <t>https://tai-shengyeh.github.io/food-analysis-lab/labs/w01_volumetric/index.html</t>
        </is>
      </c>
    </row>
    <row r="36">
      <c r="B36" s="19" t="inlineStr">
        <is>
          <t>Orange 流程檔</t>
        </is>
      </c>
      <c r="C36" s="2" t="inlineStr">
        <is>
          <t>https://tai-shengyeh.github.io/food-analysis-lab/orange/OR01_intro_boxplot.ows</t>
        </is>
      </c>
    </row>
    <row r="37">
      <c r="B37" s="19" t="inlineStr">
        <is>
          <t>進階：Colab 筆記本（Python）</t>
        </is>
      </c>
      <c r="C37" s="2" t="inlineStr">
        <is>
          <t>https://colab.research.google.com/github/Tai-ShengYeh/food-analysis-lab/blob/main/notebooks/NB01_volumetric_calibration.ipynb</t>
        </is>
      </c>
    </row>
    <row r="38">
      <c r="B38" s="19" t="inlineStr">
        <is>
          <t>數據分析工具指南（Excel／Orange／Colab）</t>
        </is>
      </c>
      <c r="C38" s="2" t="inlineStr">
        <is>
          <t>https://tai-shengyeh.github.io/food-analysis-lab/tools.html</t>
        </is>
      </c>
    </row>
    <row r="40">
      <c r="B40" s="3" t="inlineStr">
        <is>
          <t>小提醒</t>
        </is>
      </c>
    </row>
    <row r="41" ht="15" customHeight="1">
      <c r="B41" s="4" t="inlineStr">
        <is>
          <t>•  Google 試算表也能開這個檔（檔案 → 匯入），公式都一樣能用。</t>
        </is>
      </c>
    </row>
    <row r="42" ht="30" customHeight="1">
      <c r="B42" s="4" t="inlineStr">
        <is>
          <t>•  Mac 版 Numbers 不支援部分函式，請用 Excel、Google 試算表或 LibreOffice。</t>
        </is>
      </c>
    </row>
    <row r="43" ht="15" customHeight="1">
      <c r="B43" s="4" t="inlineStr">
        <is>
          <t>•  看到 #NAME? 表示 Excel 版本太舊（2007 以前），請改用 Google 試算表。</t>
        </is>
      </c>
    </row>
  </sheetData>
  <mergeCells count="14">
    <mergeCell ref="B20:E20"/>
    <mergeCell ref="B17:E17"/>
    <mergeCell ref="B18:E18"/>
    <mergeCell ref="B41:E41"/>
    <mergeCell ref="B8:E8"/>
    <mergeCell ref="B43:E43"/>
    <mergeCell ref="B6:E6"/>
    <mergeCell ref="B21:E21"/>
    <mergeCell ref="B16:E16"/>
    <mergeCell ref="B7:E7"/>
    <mergeCell ref="B5:E5"/>
    <mergeCell ref="B19:E19"/>
    <mergeCell ref="B42:E42"/>
    <mergeCell ref="B32:E32"/>
  </mergeCells>
  <hyperlinks>
    <hyperlink xmlns:r="http://schemas.openxmlformats.org/officeDocument/2006/relationships" ref="B35" r:id="rId1"/>
    <hyperlink xmlns:r="http://schemas.openxmlformats.org/officeDocument/2006/relationships" ref="B36" r:id="rId2"/>
    <hyperlink xmlns:r="http://schemas.openxmlformats.org/officeDocument/2006/relationships" ref="B37" r:id="rId3"/>
    <hyperlink xmlns:r="http://schemas.openxmlformats.org/officeDocument/2006/relationships" ref="B38" r:id="rId4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M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3" max="13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I1" s="20" t="inlineStr">
        <is>
          <t>rho_w_g_mL</t>
        </is>
      </c>
      <c r="J1" s="20" t="inlineStr">
        <is>
          <t>buoyancy</t>
        </is>
      </c>
      <c r="K1" s="20" t="inlineStr">
        <is>
          <t>volume_mL</t>
        </is>
      </c>
      <c r="M1" s="3" t="inlineStr">
        <is>
          <t>這張工作表怎麼用</t>
        </is>
      </c>
    </row>
    <row r="2" ht="45" customHeight="1">
      <c r="A2" s="21" t="n">
        <v>1</v>
      </c>
      <c r="B2" s="21" t="inlineStr">
        <is>
          <t>G1_S1</t>
        </is>
      </c>
      <c r="C2" s="21" t="inlineStr">
        <is>
          <t>pipette_10mL</t>
        </is>
      </c>
      <c r="D2" s="21" t="n">
        <v>1</v>
      </c>
      <c r="E2" s="21" t="n">
        <v>9.960800000000001</v>
      </c>
      <c r="F2" s="21" t="inlineStr">
        <is>
          <t>g</t>
        </is>
      </c>
      <c r="G2" s="21" t="n">
        <v>24.2</v>
      </c>
      <c r="H2" s="21" t="n"/>
      <c r="I2" s="22">
        <f>IF($A2="","",'2_密度換算'!$C$12*(1-((G2+'2_密度換算'!$C$8)^2*(G2+'2_密度換算'!$C$9))/('2_密度換算'!$C$10*(G2+'2_密度換算'!$C$11)))/1000)</f>
        <v/>
      </c>
      <c r="J2" s="22">
        <f>IF($A2="","",1+'2_密度換算'!$C$6*(1/I2-1/'2_密度換算'!$C$7))</f>
        <v/>
      </c>
      <c r="K2" s="23">
        <f>IF($A2="","",E2*J2/I2)</f>
        <v/>
      </c>
      <c r="M2" s="18" t="inlineStr">
        <is>
          <t>本週欄位：item＝器具（pipette_10mL 移液管、burette_25mL 滴定管遞送 25.00 mL）；value＝秤到的水重 (g)；temp_C＝水溫。</t>
        </is>
      </c>
    </row>
    <row r="3" ht="30" customHeight="1">
      <c r="A3" s="21" t="n">
        <v>1</v>
      </c>
      <c r="B3" s="21" t="inlineStr">
        <is>
          <t>G1_S1</t>
        </is>
      </c>
      <c r="C3" s="21" t="inlineStr">
        <is>
          <t>burette_25mL</t>
        </is>
      </c>
      <c r="D3" s="21" t="n">
        <v>1</v>
      </c>
      <c r="E3" s="21" t="n">
        <v>24.9056</v>
      </c>
      <c r="F3" s="21" t="inlineStr">
        <is>
          <t>g</t>
        </is>
      </c>
      <c r="G3" s="21" t="n">
        <v>25.5</v>
      </c>
      <c r="H3" s="21" t="n"/>
      <c r="I3" s="22">
        <f>IF($A3="","",'2_密度換算'!$C$12*(1-((G3+'2_密度換算'!$C$8)^2*(G3+'2_密度換算'!$C$9))/('2_密度換算'!$C$10*(G3+'2_密度換算'!$C$11)))/1000)</f>
        <v/>
      </c>
      <c r="J3" s="22">
        <f>IF($A3="","",1+'2_密度換算'!$C$6*(1/I3-1/'2_密度換算'!$C$7))</f>
        <v/>
      </c>
      <c r="K3" s="23">
        <f>IF($A3="","",E3*J3/I3)</f>
        <v/>
      </c>
      <c r="M3" s="18" t="inlineStr">
        <is>
          <t>黃色欄位＝原始數據。換成全班數據時：從共用 Google Sheet 複製，貼到 A2（欄位順序必須一樣），舊資料多出來的列要整列刪除。</t>
        </is>
      </c>
    </row>
    <row r="4" ht="15" customHeight="1">
      <c r="A4" s="21" t="n">
        <v>1</v>
      </c>
      <c r="B4" s="21" t="inlineStr">
        <is>
          <t>G1_S1</t>
        </is>
      </c>
      <c r="C4" s="21" t="inlineStr">
        <is>
          <t>pipette_10mL</t>
        </is>
      </c>
      <c r="D4" s="21" t="n">
        <v>2</v>
      </c>
      <c r="E4" s="21" t="n">
        <v>9.962400000000001</v>
      </c>
      <c r="F4" s="21" t="inlineStr">
        <is>
          <t>g</t>
        </is>
      </c>
      <c r="G4" s="21" t="n">
        <v>24.3</v>
      </c>
      <c r="H4" s="21" t="n"/>
      <c r="I4" s="22">
        <f>IF($A4="","",'2_密度換算'!$C$12*(1-((G4+'2_密度換算'!$C$8)^2*(G4+'2_密度換算'!$C$9))/('2_密度換算'!$C$10*(G4+'2_密度換算'!$C$11)))/1000)</f>
        <v/>
      </c>
      <c r="J4" s="22">
        <f>IF($A4="","",1+'2_密度換算'!$C$6*(1/I4-1/'2_密度換算'!$C$7))</f>
        <v/>
      </c>
      <c r="K4" s="23">
        <f>IF($A4="","",E4*J4/I4)</f>
        <v/>
      </c>
      <c r="M4" s="18" t="inlineStr">
        <is>
          <t>綠色欄位＝公式，會自動算到第 1000 列，不要手動修改。</t>
        </is>
      </c>
    </row>
    <row r="5" ht="30" customHeight="1">
      <c r="A5" s="21" t="n">
        <v>1</v>
      </c>
      <c r="B5" s="21" t="inlineStr">
        <is>
          <t>G1_S1</t>
        </is>
      </c>
      <c r="C5" s="21" t="inlineStr">
        <is>
          <t>burette_25mL</t>
        </is>
      </c>
      <c r="D5" s="21" t="n">
        <v>2</v>
      </c>
      <c r="E5" s="21" t="n">
        <v>24.9293</v>
      </c>
      <c r="F5" s="21" t="inlineStr">
        <is>
          <t>g</t>
        </is>
      </c>
      <c r="G5" s="21" t="n">
        <v>24.7</v>
      </c>
      <c r="H5" s="21" t="n"/>
      <c r="I5" s="22">
        <f>IF($A5="","",'2_密度換算'!$C$12*(1-((G5+'2_密度換算'!$C$8)^2*(G5+'2_密度換算'!$C$9))/('2_密度換算'!$C$10*(G5+'2_密度換算'!$C$11)))/1000)</f>
        <v/>
      </c>
      <c r="J5" s="22">
        <f>IF($A5="","",1+'2_密度換算'!$C$6*(1/I5-1/'2_密度換算'!$C$7))</f>
        <v/>
      </c>
      <c r="K5" s="23">
        <f>IF($A5="","",E5*J5/I5)</f>
        <v/>
      </c>
      <c r="M5" s="18" t="inlineStr">
        <is>
          <t>「rho_w_g_mL」：用 temp_C 算出的水密度（參數在「2_密度換算」）。</t>
        </is>
      </c>
    </row>
    <row r="6" ht="15" customHeight="1">
      <c r="A6" s="21" t="n">
        <v>1</v>
      </c>
      <c r="B6" s="21" t="inlineStr">
        <is>
          <t>G1_S1</t>
        </is>
      </c>
      <c r="C6" s="21" t="inlineStr">
        <is>
          <t>pipette_10mL</t>
        </is>
      </c>
      <c r="D6" s="21" t="n">
        <v>3</v>
      </c>
      <c r="E6" s="21" t="n">
        <v>9.968400000000001</v>
      </c>
      <c r="F6" s="21" t="inlineStr">
        <is>
          <t>g</t>
        </is>
      </c>
      <c r="G6" s="21" t="n">
        <v>25.3</v>
      </c>
      <c r="H6" s="21" t="n"/>
      <c r="I6" s="22">
        <f>IF($A6="","",'2_密度換算'!$C$12*(1-((G6+'2_密度換算'!$C$8)^2*(G6+'2_密度換算'!$C$9))/('2_密度換算'!$C$10*(G6+'2_密度換算'!$C$11)))/1000)</f>
        <v/>
      </c>
      <c r="J6" s="22">
        <f>IF($A6="","",1+'2_密度換算'!$C$6*(1/I6-1/'2_密度換算'!$C$7))</f>
        <v/>
      </c>
      <c r="K6" s="23">
        <f>IF($A6="","",E6*J6/I6)</f>
        <v/>
      </c>
      <c r="M6" s="18" t="inlineStr">
        <is>
          <t>「buoyancy」：空氣浮力校正因子。</t>
        </is>
      </c>
    </row>
    <row r="7" ht="15" customHeight="1">
      <c r="A7" s="21" t="n">
        <v>1</v>
      </c>
      <c r="B7" s="21" t="inlineStr">
        <is>
          <t>G1_S1</t>
        </is>
      </c>
      <c r="C7" s="21" t="inlineStr">
        <is>
          <t>burette_25mL</t>
        </is>
      </c>
      <c r="D7" s="21" t="n">
        <v>3</v>
      </c>
      <c r="E7" s="21" t="n">
        <v>24.9003</v>
      </c>
      <c r="F7" s="21" t="inlineStr">
        <is>
          <t>g</t>
        </is>
      </c>
      <c r="G7" s="21" t="n">
        <v>24.9</v>
      </c>
      <c r="H7" s="21" t="n"/>
      <c r="I7" s="22">
        <f>IF($A7="","",'2_密度換算'!$C$12*(1-((G7+'2_密度換算'!$C$8)^2*(G7+'2_密度換算'!$C$9))/('2_密度換算'!$C$10*(G7+'2_密度換算'!$C$11)))/1000)</f>
        <v/>
      </c>
      <c r="J7" s="22">
        <f>IF($A7="","",1+'2_密度換算'!$C$6*(1/I7-1/'2_密度換算'!$C$7))</f>
        <v/>
      </c>
      <c r="K7" s="23">
        <f>IF($A7="","",E7*J7/I7)</f>
        <v/>
      </c>
      <c r="M7" s="18" t="inlineStr">
        <is>
          <t>「volume_mL」：真實體積 = value × 浮力因子 ÷ 密度。</t>
        </is>
      </c>
    </row>
    <row r="8">
      <c r="A8" s="21" t="n">
        <v>1</v>
      </c>
      <c r="B8" s="21" t="inlineStr">
        <is>
          <t>G1_S1</t>
        </is>
      </c>
      <c r="C8" s="21" t="inlineStr">
        <is>
          <t>pipette_10mL</t>
        </is>
      </c>
      <c r="D8" s="21" t="n">
        <v>4</v>
      </c>
      <c r="E8" s="21" t="n">
        <v>9.960000000000001</v>
      </c>
      <c r="F8" s="21" t="inlineStr">
        <is>
          <t>g</t>
        </is>
      </c>
      <c r="G8" s="21" t="n">
        <v>25.1</v>
      </c>
      <c r="H8" s="21" t="n"/>
      <c r="I8" s="22">
        <f>IF($A8="","",'2_密度換算'!$C$12*(1-((G8+'2_密度換算'!$C$8)^2*(G8+'2_密度換算'!$C$9))/('2_密度換算'!$C$10*(G8+'2_密度換算'!$C$11)))/1000)</f>
        <v/>
      </c>
      <c r="J8" s="22">
        <f>IF($A8="","",1+'2_密度換算'!$C$6*(1/I8-1/'2_密度換算'!$C$7))</f>
        <v/>
      </c>
      <c r="K8" s="23">
        <f>IF($A8="","",E8*J8/I8)</f>
        <v/>
      </c>
    </row>
    <row r="9">
      <c r="A9" s="21" t="n">
        <v>1</v>
      </c>
      <c r="B9" s="21" t="inlineStr">
        <is>
          <t>G1_S1</t>
        </is>
      </c>
      <c r="C9" s="21" t="inlineStr">
        <is>
          <t>burette_25mL</t>
        </is>
      </c>
      <c r="D9" s="21" t="n">
        <v>4</v>
      </c>
      <c r="E9" s="21" t="n">
        <v>24.9088</v>
      </c>
      <c r="F9" s="21" t="inlineStr">
        <is>
          <t>g</t>
        </is>
      </c>
      <c r="G9" s="21" t="n">
        <v>25.7</v>
      </c>
      <c r="H9" s="21" t="n"/>
      <c r="I9" s="22">
        <f>IF($A9="","",'2_密度換算'!$C$12*(1-((G9+'2_密度換算'!$C$8)^2*(G9+'2_密度換算'!$C$9))/('2_密度換算'!$C$10*(G9+'2_密度換算'!$C$11)))/1000)</f>
        <v/>
      </c>
      <c r="J9" s="22">
        <f>IF($A9="","",1+'2_密度換算'!$C$6*(1/I9-1/'2_密度換算'!$C$7))</f>
        <v/>
      </c>
      <c r="K9" s="23">
        <f>IF($A9="","",E9*J9/I9)</f>
        <v/>
      </c>
    </row>
    <row r="10">
      <c r="A10" s="21" t="n">
        <v>1</v>
      </c>
      <c r="B10" s="21" t="inlineStr">
        <is>
          <t>G1_S1</t>
        </is>
      </c>
      <c r="C10" s="21" t="inlineStr">
        <is>
          <t>pipette_10mL</t>
        </is>
      </c>
      <c r="D10" s="21" t="n">
        <v>5</v>
      </c>
      <c r="E10" s="21" t="n">
        <v>9.960100000000001</v>
      </c>
      <c r="F10" s="21" t="inlineStr">
        <is>
          <t>g</t>
        </is>
      </c>
      <c r="G10" s="21" t="n">
        <v>25.5</v>
      </c>
      <c r="H10" s="21" t="n"/>
      <c r="I10" s="22">
        <f>IF($A10="","",'2_密度換算'!$C$12*(1-((G10+'2_密度換算'!$C$8)^2*(G10+'2_密度換算'!$C$9))/('2_密度換算'!$C$10*(G10+'2_密度換算'!$C$11)))/1000)</f>
        <v/>
      </c>
      <c r="J10" s="22">
        <f>IF($A10="","",1+'2_密度換算'!$C$6*(1/I10-1/'2_密度換算'!$C$7))</f>
        <v/>
      </c>
      <c r="K10" s="23">
        <f>IF($A10="","",E10*J10/I10)</f>
        <v/>
      </c>
    </row>
    <row r="11">
      <c r="A11" s="21" t="n">
        <v>1</v>
      </c>
      <c r="B11" s="21" t="inlineStr">
        <is>
          <t>G1_S1</t>
        </is>
      </c>
      <c r="C11" s="21" t="inlineStr">
        <is>
          <t>burette_25mL</t>
        </is>
      </c>
      <c r="D11" s="21" t="n">
        <v>5</v>
      </c>
      <c r="E11" s="21" t="n">
        <v>24.9057</v>
      </c>
      <c r="F11" s="21" t="inlineStr">
        <is>
          <t>g</t>
        </is>
      </c>
      <c r="G11" s="21" t="n">
        <v>25.9</v>
      </c>
      <c r="H11" s="21" t="n"/>
      <c r="I11" s="22">
        <f>IF($A11="","",'2_密度換算'!$C$12*(1-((G11+'2_密度換算'!$C$8)^2*(G11+'2_密度換算'!$C$9))/('2_密度換算'!$C$10*(G11+'2_密度換算'!$C$11)))/1000)</f>
        <v/>
      </c>
      <c r="J11" s="22">
        <f>IF($A11="","",1+'2_密度換算'!$C$6*(1/I11-1/'2_密度換算'!$C$7))</f>
        <v/>
      </c>
      <c r="K11" s="23">
        <f>IF($A11="","",E11*J11/I11)</f>
        <v/>
      </c>
    </row>
    <row r="12">
      <c r="A12" s="21" t="n">
        <v>1</v>
      </c>
      <c r="B12" s="21" t="inlineStr">
        <is>
          <t>G1_S1</t>
        </is>
      </c>
      <c r="C12" s="21" t="inlineStr">
        <is>
          <t>pipette_10mL</t>
        </is>
      </c>
      <c r="D12" s="21" t="n">
        <v>6</v>
      </c>
      <c r="E12" s="21" t="n">
        <v>9.9613</v>
      </c>
      <c r="F12" s="21" t="inlineStr">
        <is>
          <t>g</t>
        </is>
      </c>
      <c r="G12" s="21" t="n">
        <v>25.6</v>
      </c>
      <c r="H12" s="21" t="n"/>
      <c r="I12" s="22">
        <f>IF($A12="","",'2_密度換算'!$C$12*(1-((G12+'2_密度換算'!$C$8)^2*(G12+'2_密度換算'!$C$9))/('2_密度換算'!$C$10*(G12+'2_密度換算'!$C$11)))/1000)</f>
        <v/>
      </c>
      <c r="J12" s="22">
        <f>IF($A12="","",1+'2_密度換算'!$C$6*(1/I12-1/'2_密度換算'!$C$7))</f>
        <v/>
      </c>
      <c r="K12" s="23">
        <f>IF($A12="","",E12*J12/I12)</f>
        <v/>
      </c>
    </row>
    <row r="13">
      <c r="A13" s="21" t="n">
        <v>1</v>
      </c>
      <c r="B13" s="21" t="inlineStr">
        <is>
          <t>G1_S1</t>
        </is>
      </c>
      <c r="C13" s="21" t="inlineStr">
        <is>
          <t>burette_25mL</t>
        </is>
      </c>
      <c r="D13" s="21" t="n">
        <v>6</v>
      </c>
      <c r="E13" s="21" t="n">
        <v>24.921</v>
      </c>
      <c r="F13" s="21" t="inlineStr">
        <is>
          <t>g</t>
        </is>
      </c>
      <c r="G13" s="21" t="n">
        <v>24.9</v>
      </c>
      <c r="H13" s="21" t="n"/>
      <c r="I13" s="22">
        <f>IF($A13="","",'2_密度換算'!$C$12*(1-((G13+'2_密度換算'!$C$8)^2*(G13+'2_密度換算'!$C$9))/('2_密度換算'!$C$10*(G13+'2_密度換算'!$C$11)))/1000)</f>
        <v/>
      </c>
      <c r="J13" s="22">
        <f>IF($A13="","",1+'2_密度換算'!$C$6*(1/I13-1/'2_密度換算'!$C$7))</f>
        <v/>
      </c>
      <c r="K13" s="23">
        <f>IF($A13="","",E13*J13/I13)</f>
        <v/>
      </c>
    </row>
    <row r="14">
      <c r="A14" s="21" t="n">
        <v>1</v>
      </c>
      <c r="B14" s="21" t="inlineStr">
        <is>
          <t>G1_S1</t>
        </is>
      </c>
      <c r="C14" s="21" t="inlineStr">
        <is>
          <t>pipette_10mL</t>
        </is>
      </c>
      <c r="D14" s="21" t="n">
        <v>7</v>
      </c>
      <c r="E14" s="21" t="n">
        <v>9.968</v>
      </c>
      <c r="F14" s="21" t="inlineStr">
        <is>
          <t>g</t>
        </is>
      </c>
      <c r="G14" s="21" t="n">
        <v>24.3</v>
      </c>
      <c r="H14" s="21" t="n"/>
      <c r="I14" s="22">
        <f>IF($A14="","",'2_密度換算'!$C$12*(1-((G14+'2_密度換算'!$C$8)^2*(G14+'2_密度換算'!$C$9))/('2_密度換算'!$C$10*(G14+'2_密度換算'!$C$11)))/1000)</f>
        <v/>
      </c>
      <c r="J14" s="22">
        <f>IF($A14="","",1+'2_密度換算'!$C$6*(1/I14-1/'2_密度換算'!$C$7))</f>
        <v/>
      </c>
      <c r="K14" s="23">
        <f>IF($A14="","",E14*J14/I14)</f>
        <v/>
      </c>
    </row>
    <row r="15">
      <c r="A15" s="21" t="n">
        <v>1</v>
      </c>
      <c r="B15" s="21" t="inlineStr">
        <is>
          <t>G1_S1</t>
        </is>
      </c>
      <c r="C15" s="21" t="inlineStr">
        <is>
          <t>burette_25mL</t>
        </is>
      </c>
      <c r="D15" s="21" t="n">
        <v>7</v>
      </c>
      <c r="E15" s="21" t="n">
        <v>24.9041</v>
      </c>
      <c r="F15" s="21" t="inlineStr">
        <is>
          <t>g</t>
        </is>
      </c>
      <c r="G15" s="21" t="n">
        <v>25.5</v>
      </c>
      <c r="H15" s="21" t="n"/>
      <c r="I15" s="22">
        <f>IF($A15="","",'2_密度換算'!$C$12*(1-((G15+'2_密度換算'!$C$8)^2*(G15+'2_密度換算'!$C$9))/('2_密度換算'!$C$10*(G15+'2_密度換算'!$C$11)))/1000)</f>
        <v/>
      </c>
      <c r="J15" s="22">
        <f>IF($A15="","",1+'2_密度換算'!$C$6*(1/I15-1/'2_密度換算'!$C$7))</f>
        <v/>
      </c>
      <c r="K15" s="23">
        <f>IF($A15="","",E15*J15/I15)</f>
        <v/>
      </c>
    </row>
    <row r="16">
      <c r="A16" s="21" t="n">
        <v>1</v>
      </c>
      <c r="B16" s="21" t="inlineStr">
        <is>
          <t>G1_S1</t>
        </is>
      </c>
      <c r="C16" s="21" t="inlineStr">
        <is>
          <t>pipette_10mL</t>
        </is>
      </c>
      <c r="D16" s="21" t="n">
        <v>8</v>
      </c>
      <c r="E16" s="21" t="n">
        <v>9.961600000000001</v>
      </c>
      <c r="F16" s="21" t="inlineStr">
        <is>
          <t>g</t>
        </is>
      </c>
      <c r="G16" s="21" t="n">
        <v>24.7</v>
      </c>
      <c r="H16" s="21" t="n"/>
      <c r="I16" s="22">
        <f>IF($A16="","",'2_密度換算'!$C$12*(1-((G16+'2_密度換算'!$C$8)^2*(G16+'2_密度換算'!$C$9))/('2_密度換算'!$C$10*(G16+'2_密度換算'!$C$11)))/1000)</f>
        <v/>
      </c>
      <c r="J16" s="22">
        <f>IF($A16="","",1+'2_密度換算'!$C$6*(1/I16-1/'2_密度換算'!$C$7))</f>
        <v/>
      </c>
      <c r="K16" s="23">
        <f>IF($A16="","",E16*J16/I16)</f>
        <v/>
      </c>
    </row>
    <row r="17">
      <c r="A17" s="21" t="n">
        <v>1</v>
      </c>
      <c r="B17" s="21" t="inlineStr">
        <is>
          <t>G1_S1</t>
        </is>
      </c>
      <c r="C17" s="21" t="inlineStr">
        <is>
          <t>burette_25mL</t>
        </is>
      </c>
      <c r="D17" s="21" t="n">
        <v>8</v>
      </c>
      <c r="E17" s="21" t="n">
        <v>24.934</v>
      </c>
      <c r="F17" s="21" t="inlineStr">
        <is>
          <t>g</t>
        </is>
      </c>
      <c r="G17" s="21" t="n">
        <v>24.9</v>
      </c>
      <c r="H17" s="21" t="n"/>
      <c r="I17" s="22">
        <f>IF($A17="","",'2_密度換算'!$C$12*(1-((G17+'2_密度換算'!$C$8)^2*(G17+'2_密度換算'!$C$9))/('2_密度換算'!$C$10*(G17+'2_密度換算'!$C$11)))/1000)</f>
        <v/>
      </c>
      <c r="J17" s="22">
        <f>IF($A17="","",1+'2_密度換算'!$C$6*(1/I17-1/'2_密度換算'!$C$7))</f>
        <v/>
      </c>
      <c r="K17" s="23">
        <f>IF($A17="","",E17*J17/I17)</f>
        <v/>
      </c>
    </row>
    <row r="18">
      <c r="A18" s="21" t="n">
        <v>1</v>
      </c>
      <c r="B18" s="21" t="inlineStr">
        <is>
          <t>G1_S1</t>
        </is>
      </c>
      <c r="C18" s="21" t="inlineStr">
        <is>
          <t>pipette_10mL</t>
        </is>
      </c>
      <c r="D18" s="21" t="n">
        <v>9</v>
      </c>
      <c r="E18" s="21" t="n">
        <v>9.9625</v>
      </c>
      <c r="F18" s="21" t="inlineStr">
        <is>
          <t>g</t>
        </is>
      </c>
      <c r="G18" s="21" t="n">
        <v>24.3</v>
      </c>
      <c r="H18" s="21" t="n"/>
      <c r="I18" s="22">
        <f>IF($A18="","",'2_密度換算'!$C$12*(1-((G18+'2_密度換算'!$C$8)^2*(G18+'2_密度換算'!$C$9))/('2_密度換算'!$C$10*(G18+'2_密度換算'!$C$11)))/1000)</f>
        <v/>
      </c>
      <c r="J18" s="22">
        <f>IF($A18="","",1+'2_密度換算'!$C$6*(1/I18-1/'2_密度換算'!$C$7))</f>
        <v/>
      </c>
      <c r="K18" s="23">
        <f>IF($A18="","",E18*J18/I18)</f>
        <v/>
      </c>
    </row>
    <row r="19">
      <c r="A19" s="21" t="n">
        <v>1</v>
      </c>
      <c r="B19" s="21" t="inlineStr">
        <is>
          <t>G1_S1</t>
        </is>
      </c>
      <c r="C19" s="21" t="inlineStr">
        <is>
          <t>burette_25mL</t>
        </is>
      </c>
      <c r="D19" s="21" t="n">
        <v>9</v>
      </c>
      <c r="E19" s="21" t="n">
        <v>24.9284</v>
      </c>
      <c r="F19" s="21" t="inlineStr">
        <is>
          <t>g</t>
        </is>
      </c>
      <c r="G19" s="21" t="n">
        <v>24.5</v>
      </c>
      <c r="H19" s="21" t="n"/>
      <c r="I19" s="22">
        <f>IF($A19="","",'2_密度換算'!$C$12*(1-((G19+'2_密度換算'!$C$8)^2*(G19+'2_密度換算'!$C$9))/('2_密度換算'!$C$10*(G19+'2_密度換算'!$C$11)))/1000)</f>
        <v/>
      </c>
      <c r="J19" s="22">
        <f>IF($A19="","",1+'2_密度換算'!$C$6*(1/I19-1/'2_密度換算'!$C$7))</f>
        <v/>
      </c>
      <c r="K19" s="23">
        <f>IF($A19="","",E19*J19/I19)</f>
        <v/>
      </c>
    </row>
    <row r="20">
      <c r="A20" s="21" t="n">
        <v>1</v>
      </c>
      <c r="B20" s="21" t="inlineStr">
        <is>
          <t>G1_S1</t>
        </is>
      </c>
      <c r="C20" s="21" t="inlineStr">
        <is>
          <t>pipette_10mL</t>
        </is>
      </c>
      <c r="D20" s="21" t="n">
        <v>10</v>
      </c>
      <c r="E20" s="21" t="n">
        <v>9.966900000000001</v>
      </c>
      <c r="F20" s="21" t="inlineStr">
        <is>
          <t>g</t>
        </is>
      </c>
      <c r="G20" s="21" t="n">
        <v>24.9</v>
      </c>
      <c r="H20" s="21" t="n"/>
      <c r="I20" s="22">
        <f>IF($A20="","",'2_密度換算'!$C$12*(1-((G20+'2_密度換算'!$C$8)^2*(G20+'2_密度換算'!$C$9))/('2_密度換算'!$C$10*(G20+'2_密度換算'!$C$11)))/1000)</f>
        <v/>
      </c>
      <c r="J20" s="22">
        <f>IF($A20="","",1+'2_密度換算'!$C$6*(1/I20-1/'2_密度換算'!$C$7))</f>
        <v/>
      </c>
      <c r="K20" s="23">
        <f>IF($A20="","",E20*J20/I20)</f>
        <v/>
      </c>
    </row>
    <row r="21">
      <c r="A21" s="21" t="n">
        <v>1</v>
      </c>
      <c r="B21" s="21" t="inlineStr">
        <is>
          <t>G1_S1</t>
        </is>
      </c>
      <c r="C21" s="21" t="inlineStr">
        <is>
          <t>burette_25mL</t>
        </is>
      </c>
      <c r="D21" s="21" t="n">
        <v>10</v>
      </c>
      <c r="E21" s="21" t="n">
        <v>24.9136</v>
      </c>
      <c r="F21" s="21" t="inlineStr">
        <is>
          <t>g</t>
        </is>
      </c>
      <c r="G21" s="21" t="n">
        <v>25.7</v>
      </c>
      <c r="H21" s="21" t="n"/>
      <c r="I21" s="22">
        <f>IF($A21="","",'2_密度換算'!$C$12*(1-((G21+'2_密度換算'!$C$8)^2*(G21+'2_密度換算'!$C$9))/('2_密度換算'!$C$10*(G21+'2_密度換算'!$C$11)))/1000)</f>
        <v/>
      </c>
      <c r="J21" s="22">
        <f>IF($A21="","",1+'2_密度換算'!$C$6*(1/I21-1/'2_密度換算'!$C$7))</f>
        <v/>
      </c>
      <c r="K21" s="23">
        <f>IF($A21="","",E21*J21/I21)</f>
        <v/>
      </c>
    </row>
    <row r="22">
      <c r="A22" s="21" t="n">
        <v>1</v>
      </c>
      <c r="B22" s="21" t="inlineStr">
        <is>
          <t>G1_S2</t>
        </is>
      </c>
      <c r="C22" s="21" t="inlineStr">
        <is>
          <t>pipette_10mL</t>
        </is>
      </c>
      <c r="D22" s="21" t="n">
        <v>1</v>
      </c>
      <c r="E22" s="21" t="n">
        <v>9.960000000000001</v>
      </c>
      <c r="F22" s="21" t="inlineStr">
        <is>
          <t>g</t>
        </is>
      </c>
      <c r="G22" s="21" t="n">
        <v>24.4</v>
      </c>
      <c r="H22" s="21" t="n"/>
      <c r="I22" s="22">
        <f>IF($A22="","",'2_密度換算'!$C$12*(1-((G22+'2_密度換算'!$C$8)^2*(G22+'2_密度換算'!$C$9))/('2_密度換算'!$C$10*(G22+'2_密度換算'!$C$11)))/1000)</f>
        <v/>
      </c>
      <c r="J22" s="22">
        <f>IF($A22="","",1+'2_密度換算'!$C$6*(1/I22-1/'2_密度換算'!$C$7))</f>
        <v/>
      </c>
      <c r="K22" s="23">
        <f>IF($A22="","",E22*J22/I22)</f>
        <v/>
      </c>
    </row>
    <row r="23">
      <c r="A23" s="21" t="n">
        <v>1</v>
      </c>
      <c r="B23" s="21" t="inlineStr">
        <is>
          <t>G1_S2</t>
        </is>
      </c>
      <c r="C23" s="21" t="inlineStr">
        <is>
          <t>burette_25mL</t>
        </is>
      </c>
      <c r="D23" s="21" t="n">
        <v>1</v>
      </c>
      <c r="E23" s="21" t="n">
        <v>24.9105</v>
      </c>
      <c r="F23" s="21" t="inlineStr">
        <is>
          <t>g</t>
        </is>
      </c>
      <c r="G23" s="21" t="n">
        <v>25.6</v>
      </c>
      <c r="H23" s="21" t="n"/>
      <c r="I23" s="22">
        <f>IF($A23="","",'2_密度換算'!$C$12*(1-((G23+'2_密度換算'!$C$8)^2*(G23+'2_密度換算'!$C$9))/('2_密度換算'!$C$10*(G23+'2_密度換算'!$C$11)))/1000)</f>
        <v/>
      </c>
      <c r="J23" s="22">
        <f>IF($A23="","",1+'2_密度換算'!$C$6*(1/I23-1/'2_密度換算'!$C$7))</f>
        <v/>
      </c>
      <c r="K23" s="23">
        <f>IF($A23="","",E23*J23/I23)</f>
        <v/>
      </c>
    </row>
    <row r="24">
      <c r="A24" s="21" t="n">
        <v>1</v>
      </c>
      <c r="B24" s="21" t="inlineStr">
        <is>
          <t>G1_S2</t>
        </is>
      </c>
      <c r="C24" s="21" t="inlineStr">
        <is>
          <t>pipette_10mL</t>
        </is>
      </c>
      <c r="D24" s="21" t="n">
        <v>2</v>
      </c>
      <c r="E24" s="21" t="n">
        <v>9.9559</v>
      </c>
      <c r="F24" s="21" t="inlineStr">
        <is>
          <t>g</t>
        </is>
      </c>
      <c r="G24" s="21" t="n">
        <v>25.4</v>
      </c>
      <c r="H24" s="21" t="n"/>
      <c r="I24" s="22">
        <f>IF($A24="","",'2_密度換算'!$C$12*(1-((G24+'2_密度換算'!$C$8)^2*(G24+'2_密度換算'!$C$9))/('2_密度換算'!$C$10*(G24+'2_密度換算'!$C$11)))/1000)</f>
        <v/>
      </c>
      <c r="J24" s="22">
        <f>IF($A24="","",1+'2_密度換算'!$C$6*(1/I24-1/'2_密度換算'!$C$7))</f>
        <v/>
      </c>
      <c r="K24" s="23">
        <f>IF($A24="","",E24*J24/I24)</f>
        <v/>
      </c>
    </row>
    <row r="25">
      <c r="A25" s="21" t="n">
        <v>1</v>
      </c>
      <c r="B25" s="21" t="inlineStr">
        <is>
          <t>G1_S2</t>
        </is>
      </c>
      <c r="C25" s="21" t="inlineStr">
        <is>
          <t>burette_25mL</t>
        </is>
      </c>
      <c r="D25" s="21" t="n">
        <v>2</v>
      </c>
      <c r="E25" s="21" t="n">
        <v>24.9006</v>
      </c>
      <c r="F25" s="21" t="inlineStr">
        <is>
          <t>g</t>
        </is>
      </c>
      <c r="G25" s="21" t="n">
        <v>24.9</v>
      </c>
      <c r="H25" s="21" t="n"/>
      <c r="I25" s="22">
        <f>IF($A25="","",'2_密度換算'!$C$12*(1-((G25+'2_密度換算'!$C$8)^2*(G25+'2_密度換算'!$C$9))/('2_密度換算'!$C$10*(G25+'2_密度換算'!$C$11)))/1000)</f>
        <v/>
      </c>
      <c r="J25" s="22">
        <f>IF($A25="","",1+'2_密度換算'!$C$6*(1/I25-1/'2_密度換算'!$C$7))</f>
        <v/>
      </c>
      <c r="K25" s="23">
        <f>IF($A25="","",E25*J25/I25)</f>
        <v/>
      </c>
    </row>
    <row r="26">
      <c r="A26" s="21" t="n">
        <v>1</v>
      </c>
      <c r="B26" s="21" t="inlineStr">
        <is>
          <t>G1_S2</t>
        </is>
      </c>
      <c r="C26" s="21" t="inlineStr">
        <is>
          <t>pipette_10mL</t>
        </is>
      </c>
      <c r="D26" s="21" t="n">
        <v>3</v>
      </c>
      <c r="E26" s="21" t="n">
        <v>9.9657</v>
      </c>
      <c r="F26" s="21" t="inlineStr">
        <is>
          <t>g</t>
        </is>
      </c>
      <c r="G26" s="21" t="n">
        <v>24.3</v>
      </c>
      <c r="H26" s="21" t="n"/>
      <c r="I26" s="22">
        <f>IF($A26="","",'2_密度換算'!$C$12*(1-((G26+'2_密度換算'!$C$8)^2*(G26+'2_密度換算'!$C$9))/('2_密度換算'!$C$10*(G26+'2_密度換算'!$C$11)))/1000)</f>
        <v/>
      </c>
      <c r="J26" s="22">
        <f>IF($A26="","",1+'2_密度換算'!$C$6*(1/I26-1/'2_密度換算'!$C$7))</f>
        <v/>
      </c>
      <c r="K26" s="23">
        <f>IF($A26="","",E26*J26/I26)</f>
        <v/>
      </c>
    </row>
    <row r="27">
      <c r="A27" s="21" t="n">
        <v>1</v>
      </c>
      <c r="B27" s="21" t="inlineStr">
        <is>
          <t>G1_S2</t>
        </is>
      </c>
      <c r="C27" s="21" t="inlineStr">
        <is>
          <t>burette_25mL</t>
        </is>
      </c>
      <c r="D27" s="21" t="n">
        <v>3</v>
      </c>
      <c r="E27" s="21" t="n">
        <v>24.9163</v>
      </c>
      <c r="F27" s="21" t="inlineStr">
        <is>
          <t>g</t>
        </is>
      </c>
      <c r="G27" s="21" t="n">
        <v>25.3</v>
      </c>
      <c r="H27" s="21" t="n"/>
      <c r="I27" s="22">
        <f>IF($A27="","",'2_密度換算'!$C$12*(1-((G27+'2_密度換算'!$C$8)^2*(G27+'2_密度換算'!$C$9))/('2_密度換算'!$C$10*(G27+'2_密度換算'!$C$11)))/1000)</f>
        <v/>
      </c>
      <c r="J27" s="22">
        <f>IF($A27="","",1+'2_密度換算'!$C$6*(1/I27-1/'2_密度換算'!$C$7))</f>
        <v/>
      </c>
      <c r="K27" s="23">
        <f>IF($A27="","",E27*J27/I27)</f>
        <v/>
      </c>
    </row>
    <row r="28">
      <c r="A28" s="21" t="n">
        <v>1</v>
      </c>
      <c r="B28" s="21" t="inlineStr">
        <is>
          <t>G1_S2</t>
        </is>
      </c>
      <c r="C28" s="21" t="inlineStr">
        <is>
          <t>pipette_10mL</t>
        </is>
      </c>
      <c r="D28" s="21" t="n">
        <v>4</v>
      </c>
      <c r="E28" s="21" t="n">
        <v>9.9566</v>
      </c>
      <c r="F28" s="21" t="inlineStr">
        <is>
          <t>g</t>
        </is>
      </c>
      <c r="G28" s="21" t="n">
        <v>25.1</v>
      </c>
      <c r="H28" s="21" t="n"/>
      <c r="I28" s="22">
        <f>IF($A28="","",'2_密度換算'!$C$12*(1-((G28+'2_密度換算'!$C$8)^2*(G28+'2_密度換算'!$C$9))/('2_密度換算'!$C$10*(G28+'2_密度換算'!$C$11)))/1000)</f>
        <v/>
      </c>
      <c r="J28" s="22">
        <f>IF($A28="","",1+'2_密度換算'!$C$6*(1/I28-1/'2_密度換算'!$C$7))</f>
        <v/>
      </c>
      <c r="K28" s="23">
        <f>IF($A28="","",E28*J28/I28)</f>
        <v/>
      </c>
    </row>
    <row r="29">
      <c r="A29" s="21" t="n">
        <v>1</v>
      </c>
      <c r="B29" s="21" t="inlineStr">
        <is>
          <t>G1_S2</t>
        </is>
      </c>
      <c r="C29" s="21" t="inlineStr">
        <is>
          <t>burette_25mL</t>
        </is>
      </c>
      <c r="D29" s="21" t="n">
        <v>4</v>
      </c>
      <c r="E29" s="21" t="n">
        <v>24.9119</v>
      </c>
      <c r="F29" s="21" t="inlineStr">
        <is>
          <t>g</t>
        </is>
      </c>
      <c r="G29" s="21" t="n">
        <v>25.3</v>
      </c>
      <c r="H29" s="21" t="n"/>
      <c r="I29" s="22">
        <f>IF($A29="","",'2_密度換算'!$C$12*(1-((G29+'2_密度換算'!$C$8)^2*(G29+'2_密度換算'!$C$9))/('2_密度換算'!$C$10*(G29+'2_密度換算'!$C$11)))/1000)</f>
        <v/>
      </c>
      <c r="J29" s="22">
        <f>IF($A29="","",1+'2_密度換算'!$C$6*(1/I29-1/'2_密度換算'!$C$7))</f>
        <v/>
      </c>
      <c r="K29" s="23">
        <f>IF($A29="","",E29*J29/I29)</f>
        <v/>
      </c>
    </row>
    <row r="30">
      <c r="A30" s="21" t="n">
        <v>1</v>
      </c>
      <c r="B30" s="21" t="inlineStr">
        <is>
          <t>G1_S2</t>
        </is>
      </c>
      <c r="C30" s="21" t="inlineStr">
        <is>
          <t>pipette_10mL</t>
        </is>
      </c>
      <c r="D30" s="21" t="n">
        <v>5</v>
      </c>
      <c r="E30" s="21" t="n">
        <v>9.961</v>
      </c>
      <c r="F30" s="21" t="inlineStr">
        <is>
          <t>g</t>
        </is>
      </c>
      <c r="G30" s="21" t="n">
        <v>25.1</v>
      </c>
      <c r="H30" s="21" t="n"/>
      <c r="I30" s="22">
        <f>IF($A30="","",'2_密度換算'!$C$12*(1-((G30+'2_密度換算'!$C$8)^2*(G30+'2_密度換算'!$C$9))/('2_密度換算'!$C$10*(G30+'2_密度換算'!$C$11)))/1000)</f>
        <v/>
      </c>
      <c r="J30" s="22">
        <f>IF($A30="","",1+'2_密度換算'!$C$6*(1/I30-1/'2_密度換算'!$C$7))</f>
        <v/>
      </c>
      <c r="K30" s="23">
        <f>IF($A30="","",E30*J30/I30)</f>
        <v/>
      </c>
    </row>
    <row r="31">
      <c r="A31" s="21" t="n">
        <v>1</v>
      </c>
      <c r="B31" s="21" t="inlineStr">
        <is>
          <t>G1_S2</t>
        </is>
      </c>
      <c r="C31" s="21" t="inlineStr">
        <is>
          <t>burette_25mL</t>
        </is>
      </c>
      <c r="D31" s="21" t="n">
        <v>5</v>
      </c>
      <c r="E31" s="21" t="n">
        <v>24.9076</v>
      </c>
      <c r="F31" s="21" t="inlineStr">
        <is>
          <t>g</t>
        </is>
      </c>
      <c r="G31" s="21" t="n">
        <v>24.1</v>
      </c>
      <c r="H31" s="21" t="n"/>
      <c r="I31" s="22">
        <f>IF($A31="","",'2_密度換算'!$C$12*(1-((G31+'2_密度換算'!$C$8)^2*(G31+'2_密度換算'!$C$9))/('2_密度換算'!$C$10*(G31+'2_密度換算'!$C$11)))/1000)</f>
        <v/>
      </c>
      <c r="J31" s="22">
        <f>IF($A31="","",1+'2_密度換算'!$C$6*(1/I31-1/'2_密度換算'!$C$7))</f>
        <v/>
      </c>
      <c r="K31" s="23">
        <f>IF($A31="","",E31*J31/I31)</f>
        <v/>
      </c>
    </row>
    <row r="32">
      <c r="A32" s="21" t="n">
        <v>1</v>
      </c>
      <c r="B32" s="21" t="inlineStr">
        <is>
          <t>G1_S2</t>
        </is>
      </c>
      <c r="C32" s="21" t="inlineStr">
        <is>
          <t>pipette_10mL</t>
        </is>
      </c>
      <c r="D32" s="21" t="n">
        <v>6</v>
      </c>
      <c r="E32" s="21" t="n">
        <v>9.959</v>
      </c>
      <c r="F32" s="21" t="inlineStr">
        <is>
          <t>g</t>
        </is>
      </c>
      <c r="G32" s="21" t="n">
        <v>24.4</v>
      </c>
      <c r="H32" s="21" t="n"/>
      <c r="I32" s="22">
        <f>IF($A32="","",'2_密度換算'!$C$12*(1-((G32+'2_密度換算'!$C$8)^2*(G32+'2_密度換算'!$C$9))/('2_密度換算'!$C$10*(G32+'2_密度換算'!$C$11)))/1000)</f>
        <v/>
      </c>
      <c r="J32" s="22">
        <f>IF($A32="","",1+'2_密度換算'!$C$6*(1/I32-1/'2_密度換算'!$C$7))</f>
        <v/>
      </c>
      <c r="K32" s="23">
        <f>IF($A32="","",E32*J32/I32)</f>
        <v/>
      </c>
    </row>
    <row r="33">
      <c r="A33" s="21" t="n">
        <v>1</v>
      </c>
      <c r="B33" s="21" t="inlineStr">
        <is>
          <t>G1_S2</t>
        </is>
      </c>
      <c r="C33" s="21" t="inlineStr">
        <is>
          <t>burette_25mL</t>
        </is>
      </c>
      <c r="D33" s="21" t="n">
        <v>6</v>
      </c>
      <c r="E33" s="21" t="n">
        <v>24.8898</v>
      </c>
      <c r="F33" s="21" t="inlineStr">
        <is>
          <t>g</t>
        </is>
      </c>
      <c r="G33" s="21" t="n">
        <v>25.7</v>
      </c>
      <c r="H33" s="21" t="n"/>
      <c r="I33" s="22">
        <f>IF($A33="","",'2_密度換算'!$C$12*(1-((G33+'2_密度換算'!$C$8)^2*(G33+'2_密度換算'!$C$9))/('2_密度換算'!$C$10*(G33+'2_密度換算'!$C$11)))/1000)</f>
        <v/>
      </c>
      <c r="J33" s="22">
        <f>IF($A33="","",1+'2_密度換算'!$C$6*(1/I33-1/'2_密度換算'!$C$7))</f>
        <v/>
      </c>
      <c r="K33" s="23">
        <f>IF($A33="","",E33*J33/I33)</f>
        <v/>
      </c>
    </row>
    <row r="34">
      <c r="A34" s="21" t="n">
        <v>1</v>
      </c>
      <c r="B34" s="21" t="inlineStr">
        <is>
          <t>G1_S2</t>
        </is>
      </c>
      <c r="C34" s="21" t="inlineStr">
        <is>
          <t>pipette_10mL</t>
        </is>
      </c>
      <c r="D34" s="21" t="n">
        <v>7</v>
      </c>
      <c r="E34" s="21" t="n">
        <v>9.962400000000001</v>
      </c>
      <c r="F34" s="21" t="inlineStr">
        <is>
          <t>g</t>
        </is>
      </c>
      <c r="G34" s="21" t="n">
        <v>24.1</v>
      </c>
      <c r="H34" s="21" t="n"/>
      <c r="I34" s="22">
        <f>IF($A34="","",'2_密度換算'!$C$12*(1-((G34+'2_密度換算'!$C$8)^2*(G34+'2_密度換算'!$C$9))/('2_密度換算'!$C$10*(G34+'2_密度換算'!$C$11)))/1000)</f>
        <v/>
      </c>
      <c r="J34" s="22">
        <f>IF($A34="","",1+'2_密度換算'!$C$6*(1/I34-1/'2_密度換算'!$C$7))</f>
        <v/>
      </c>
      <c r="K34" s="23">
        <f>IF($A34="","",E34*J34/I34)</f>
        <v/>
      </c>
    </row>
    <row r="35">
      <c r="A35" s="21" t="n">
        <v>1</v>
      </c>
      <c r="B35" s="21" t="inlineStr">
        <is>
          <t>G1_S2</t>
        </is>
      </c>
      <c r="C35" s="21" t="inlineStr">
        <is>
          <t>burette_25mL</t>
        </is>
      </c>
      <c r="D35" s="21" t="n">
        <v>7</v>
      </c>
      <c r="E35" s="21" t="n">
        <v>24.9176</v>
      </c>
      <c r="F35" s="21" t="inlineStr">
        <is>
          <t>g</t>
        </is>
      </c>
      <c r="G35" s="21" t="n">
        <v>24.6</v>
      </c>
      <c r="H35" s="21" t="n"/>
      <c r="I35" s="22">
        <f>IF($A35="","",'2_密度換算'!$C$12*(1-((G35+'2_密度換算'!$C$8)^2*(G35+'2_密度換算'!$C$9))/('2_密度換算'!$C$10*(G35+'2_密度換算'!$C$11)))/1000)</f>
        <v/>
      </c>
      <c r="J35" s="22">
        <f>IF($A35="","",1+'2_密度換算'!$C$6*(1/I35-1/'2_密度換算'!$C$7))</f>
        <v/>
      </c>
      <c r="K35" s="23">
        <f>IF($A35="","",E35*J35/I35)</f>
        <v/>
      </c>
    </row>
    <row r="36">
      <c r="A36" s="21" t="n">
        <v>1</v>
      </c>
      <c r="B36" s="21" t="inlineStr">
        <is>
          <t>G1_S2</t>
        </is>
      </c>
      <c r="C36" s="21" t="inlineStr">
        <is>
          <t>pipette_10mL</t>
        </is>
      </c>
      <c r="D36" s="21" t="n">
        <v>8</v>
      </c>
      <c r="E36" s="21" t="n">
        <v>9.958500000000001</v>
      </c>
      <c r="F36" s="21" t="inlineStr">
        <is>
          <t>g</t>
        </is>
      </c>
      <c r="G36" s="21" t="n">
        <v>25.1</v>
      </c>
      <c r="H36" s="21" t="n"/>
      <c r="I36" s="22">
        <f>IF($A36="","",'2_密度換算'!$C$12*(1-((G36+'2_密度換算'!$C$8)^2*(G36+'2_密度換算'!$C$9))/('2_密度換算'!$C$10*(G36+'2_密度換算'!$C$11)))/1000)</f>
        <v/>
      </c>
      <c r="J36" s="22">
        <f>IF($A36="","",1+'2_密度換算'!$C$6*(1/I36-1/'2_密度換算'!$C$7))</f>
        <v/>
      </c>
      <c r="K36" s="23">
        <f>IF($A36="","",E36*J36/I36)</f>
        <v/>
      </c>
    </row>
    <row r="37">
      <c r="A37" s="21" t="n">
        <v>1</v>
      </c>
      <c r="B37" s="21" t="inlineStr">
        <is>
          <t>G1_S2</t>
        </is>
      </c>
      <c r="C37" s="21" t="inlineStr">
        <is>
          <t>burette_25mL</t>
        </is>
      </c>
      <c r="D37" s="21" t="n">
        <v>8</v>
      </c>
      <c r="E37" s="21" t="n">
        <v>24.9018</v>
      </c>
      <c r="F37" s="21" t="inlineStr">
        <is>
          <t>g</t>
        </is>
      </c>
      <c r="G37" s="21" t="n">
        <v>25.3</v>
      </c>
      <c r="H37" s="21" t="n"/>
      <c r="I37" s="22">
        <f>IF($A37="","",'2_密度換算'!$C$12*(1-((G37+'2_密度換算'!$C$8)^2*(G37+'2_密度換算'!$C$9))/('2_密度換算'!$C$10*(G37+'2_密度換算'!$C$11)))/1000)</f>
        <v/>
      </c>
      <c r="J37" s="22">
        <f>IF($A37="","",1+'2_密度換算'!$C$6*(1/I37-1/'2_密度換算'!$C$7))</f>
        <v/>
      </c>
      <c r="K37" s="23">
        <f>IF($A37="","",E37*J37/I37)</f>
        <v/>
      </c>
    </row>
    <row r="38">
      <c r="A38" s="21" t="n">
        <v>1</v>
      </c>
      <c r="B38" s="21" t="inlineStr">
        <is>
          <t>G1_S2</t>
        </is>
      </c>
      <c r="C38" s="21" t="inlineStr">
        <is>
          <t>pipette_10mL</t>
        </is>
      </c>
      <c r="D38" s="21" t="n">
        <v>9</v>
      </c>
      <c r="E38" s="21" t="n">
        <v>9.9541</v>
      </c>
      <c r="F38" s="21" t="inlineStr">
        <is>
          <t>g</t>
        </is>
      </c>
      <c r="G38" s="21" t="n">
        <v>25.6</v>
      </c>
      <c r="H38" s="21" t="n"/>
      <c r="I38" s="22">
        <f>IF($A38="","",'2_密度換算'!$C$12*(1-((G38+'2_密度換算'!$C$8)^2*(G38+'2_密度換算'!$C$9))/('2_密度換算'!$C$10*(G38+'2_密度換算'!$C$11)))/1000)</f>
        <v/>
      </c>
      <c r="J38" s="22">
        <f>IF($A38="","",1+'2_密度換算'!$C$6*(1/I38-1/'2_密度換算'!$C$7))</f>
        <v/>
      </c>
      <c r="K38" s="23">
        <f>IF($A38="","",E38*J38/I38)</f>
        <v/>
      </c>
    </row>
    <row r="39">
      <c r="A39" s="21" t="n">
        <v>1</v>
      </c>
      <c r="B39" s="21" t="inlineStr">
        <is>
          <t>G1_S2</t>
        </is>
      </c>
      <c r="C39" s="21" t="inlineStr">
        <is>
          <t>burette_25mL</t>
        </is>
      </c>
      <c r="D39" s="21" t="n">
        <v>9</v>
      </c>
      <c r="E39" s="21" t="n">
        <v>24.9092</v>
      </c>
      <c r="F39" s="21" t="inlineStr">
        <is>
          <t>g</t>
        </is>
      </c>
      <c r="G39" s="21" t="n">
        <v>24</v>
      </c>
      <c r="H39" s="21" t="n"/>
      <c r="I39" s="22">
        <f>IF($A39="","",'2_密度換算'!$C$12*(1-((G39+'2_密度換算'!$C$8)^2*(G39+'2_密度換算'!$C$9))/('2_密度換算'!$C$10*(G39+'2_密度換算'!$C$11)))/1000)</f>
        <v/>
      </c>
      <c r="J39" s="22">
        <f>IF($A39="","",1+'2_密度換算'!$C$6*(1/I39-1/'2_密度換算'!$C$7))</f>
        <v/>
      </c>
      <c r="K39" s="23">
        <f>IF($A39="","",E39*J39/I39)</f>
        <v/>
      </c>
    </row>
    <row r="40">
      <c r="A40" s="21" t="n">
        <v>1</v>
      </c>
      <c r="B40" s="21" t="inlineStr">
        <is>
          <t>G1_S2</t>
        </is>
      </c>
      <c r="C40" s="21" t="inlineStr">
        <is>
          <t>pipette_10mL</t>
        </is>
      </c>
      <c r="D40" s="21" t="n">
        <v>10</v>
      </c>
      <c r="E40" s="21" t="n">
        <v>9.959</v>
      </c>
      <c r="F40" s="21" t="inlineStr">
        <is>
          <t>g</t>
        </is>
      </c>
      <c r="G40" s="21" t="n">
        <v>25.4</v>
      </c>
      <c r="H40" s="21" t="n"/>
      <c r="I40" s="22">
        <f>IF($A40="","",'2_密度換算'!$C$12*(1-((G40+'2_密度換算'!$C$8)^2*(G40+'2_密度換算'!$C$9))/('2_密度換算'!$C$10*(G40+'2_密度換算'!$C$11)))/1000)</f>
        <v/>
      </c>
      <c r="J40" s="22">
        <f>IF($A40="","",1+'2_密度換算'!$C$6*(1/I40-1/'2_密度換算'!$C$7))</f>
        <v/>
      </c>
      <c r="K40" s="23">
        <f>IF($A40="","",E40*J40/I40)</f>
        <v/>
      </c>
    </row>
    <row r="41">
      <c r="A41" s="21" t="n">
        <v>1</v>
      </c>
      <c r="B41" s="21" t="inlineStr">
        <is>
          <t>G1_S2</t>
        </is>
      </c>
      <c r="C41" s="21" t="inlineStr">
        <is>
          <t>burette_25mL</t>
        </is>
      </c>
      <c r="D41" s="21" t="n">
        <v>10</v>
      </c>
      <c r="E41" s="21" t="n">
        <v>24.9118</v>
      </c>
      <c r="F41" s="21" t="inlineStr">
        <is>
          <t>g</t>
        </is>
      </c>
      <c r="G41" s="21" t="n">
        <v>24.3</v>
      </c>
      <c r="H41" s="21" t="n"/>
      <c r="I41" s="22">
        <f>IF($A41="","",'2_密度換算'!$C$12*(1-((G41+'2_密度換算'!$C$8)^2*(G41+'2_密度換算'!$C$9))/('2_密度換算'!$C$10*(G41+'2_密度換算'!$C$11)))/1000)</f>
        <v/>
      </c>
      <c r="J41" s="22">
        <f>IF($A41="","",1+'2_密度換算'!$C$6*(1/I41-1/'2_密度換算'!$C$7))</f>
        <v/>
      </c>
      <c r="K41" s="23">
        <f>IF($A41="","",E41*J41/I41)</f>
        <v/>
      </c>
    </row>
    <row r="42">
      <c r="A42" s="21" t="n">
        <v>1</v>
      </c>
      <c r="B42" s="21" t="inlineStr">
        <is>
          <t>G1_S3</t>
        </is>
      </c>
      <c r="C42" s="21" t="inlineStr">
        <is>
          <t>pipette_10mL</t>
        </is>
      </c>
      <c r="D42" s="21" t="n">
        <v>1</v>
      </c>
      <c r="E42" s="21" t="n">
        <v>9.9551</v>
      </c>
      <c r="F42" s="21" t="inlineStr">
        <is>
          <t>g</t>
        </is>
      </c>
      <c r="G42" s="21" t="n">
        <v>24.6</v>
      </c>
      <c r="H42" s="21" t="n"/>
      <c r="I42" s="22">
        <f>IF($A42="","",'2_密度換算'!$C$12*(1-((G42+'2_密度換算'!$C$8)^2*(G42+'2_密度換算'!$C$9))/('2_密度換算'!$C$10*(G42+'2_密度換算'!$C$11)))/1000)</f>
        <v/>
      </c>
      <c r="J42" s="22">
        <f>IF($A42="","",1+'2_密度換算'!$C$6*(1/I42-1/'2_密度換算'!$C$7))</f>
        <v/>
      </c>
      <c r="K42" s="23">
        <f>IF($A42="","",E42*J42/I42)</f>
        <v/>
      </c>
    </row>
    <row r="43">
      <c r="A43" s="21" t="n">
        <v>1</v>
      </c>
      <c r="B43" s="21" t="inlineStr">
        <is>
          <t>G1_S3</t>
        </is>
      </c>
      <c r="C43" s="21" t="inlineStr">
        <is>
          <t>burette_25mL</t>
        </is>
      </c>
      <c r="D43" s="21" t="n">
        <v>1</v>
      </c>
      <c r="E43" s="21" t="n">
        <v>24.8798</v>
      </c>
      <c r="F43" s="21" t="inlineStr">
        <is>
          <t>g</t>
        </is>
      </c>
      <c r="G43" s="21" t="n">
        <v>24.7</v>
      </c>
      <c r="H43" s="21" t="n"/>
      <c r="I43" s="22">
        <f>IF($A43="","",'2_密度換算'!$C$12*(1-((G43+'2_密度換算'!$C$8)^2*(G43+'2_密度換算'!$C$9))/('2_密度換算'!$C$10*(G43+'2_密度換算'!$C$11)))/1000)</f>
        <v/>
      </c>
      <c r="J43" s="22">
        <f>IF($A43="","",1+'2_密度換算'!$C$6*(1/I43-1/'2_密度換算'!$C$7))</f>
        <v/>
      </c>
      <c r="K43" s="23">
        <f>IF($A43="","",E43*J43/I43)</f>
        <v/>
      </c>
    </row>
    <row r="44">
      <c r="A44" s="21" t="n">
        <v>1</v>
      </c>
      <c r="B44" s="21" t="inlineStr">
        <is>
          <t>G1_S3</t>
        </is>
      </c>
      <c r="C44" s="21" t="inlineStr">
        <is>
          <t>pipette_10mL</t>
        </is>
      </c>
      <c r="D44" s="21" t="n">
        <v>2</v>
      </c>
      <c r="E44" s="21" t="n">
        <v>9.9514</v>
      </c>
      <c r="F44" s="21" t="inlineStr">
        <is>
          <t>g</t>
        </is>
      </c>
      <c r="G44" s="21" t="n">
        <v>24.2</v>
      </c>
      <c r="H44" s="21" t="n"/>
      <c r="I44" s="22">
        <f>IF($A44="","",'2_密度換算'!$C$12*(1-((G44+'2_密度換算'!$C$8)^2*(G44+'2_密度換算'!$C$9))/('2_密度換算'!$C$10*(G44+'2_密度換算'!$C$11)))/1000)</f>
        <v/>
      </c>
      <c r="J44" s="22">
        <f>IF($A44="","",1+'2_密度換算'!$C$6*(1/I44-1/'2_密度換算'!$C$7))</f>
        <v/>
      </c>
      <c r="K44" s="23">
        <f>IF($A44="","",E44*J44/I44)</f>
        <v/>
      </c>
    </row>
    <row r="45">
      <c r="A45" s="21" t="n">
        <v>1</v>
      </c>
      <c r="B45" s="21" t="inlineStr">
        <is>
          <t>G1_S3</t>
        </is>
      </c>
      <c r="C45" s="21" t="inlineStr">
        <is>
          <t>burette_25mL</t>
        </is>
      </c>
      <c r="D45" s="21" t="n">
        <v>2</v>
      </c>
      <c r="E45" s="21" t="n">
        <v>24.8801</v>
      </c>
      <c r="F45" s="21" t="inlineStr">
        <is>
          <t>g</t>
        </is>
      </c>
      <c r="G45" s="21" t="n">
        <v>25.8</v>
      </c>
      <c r="H45" s="21" t="n"/>
      <c r="I45" s="22">
        <f>IF($A45="","",'2_密度換算'!$C$12*(1-((G45+'2_密度換算'!$C$8)^2*(G45+'2_密度換算'!$C$9))/('2_密度換算'!$C$10*(G45+'2_密度換算'!$C$11)))/1000)</f>
        <v/>
      </c>
      <c r="J45" s="22">
        <f>IF($A45="","",1+'2_密度換算'!$C$6*(1/I45-1/'2_密度換算'!$C$7))</f>
        <v/>
      </c>
      <c r="K45" s="23">
        <f>IF($A45="","",E45*J45/I45)</f>
        <v/>
      </c>
    </row>
    <row r="46">
      <c r="A46" s="21" t="n">
        <v>1</v>
      </c>
      <c r="B46" s="21" t="inlineStr">
        <is>
          <t>G1_S3</t>
        </is>
      </c>
      <c r="C46" s="21" t="inlineStr">
        <is>
          <t>pipette_10mL</t>
        </is>
      </c>
      <c r="D46" s="21" t="n">
        <v>3</v>
      </c>
      <c r="E46" s="21" t="n">
        <v>9.962300000000001</v>
      </c>
      <c r="F46" s="21" t="inlineStr">
        <is>
          <t>g</t>
        </is>
      </c>
      <c r="G46" s="21" t="n">
        <v>24.5</v>
      </c>
      <c r="H46" s="21" t="n"/>
      <c r="I46" s="22">
        <f>IF($A46="","",'2_密度換算'!$C$12*(1-((G46+'2_密度換算'!$C$8)^2*(G46+'2_密度換算'!$C$9))/('2_密度換算'!$C$10*(G46+'2_密度換算'!$C$11)))/1000)</f>
        <v/>
      </c>
      <c r="J46" s="22">
        <f>IF($A46="","",1+'2_密度換算'!$C$6*(1/I46-1/'2_密度換算'!$C$7))</f>
        <v/>
      </c>
      <c r="K46" s="23">
        <f>IF($A46="","",E46*J46/I46)</f>
        <v/>
      </c>
    </row>
    <row r="47">
      <c r="A47" s="21" t="n">
        <v>1</v>
      </c>
      <c r="B47" s="21" t="inlineStr">
        <is>
          <t>G1_S3</t>
        </is>
      </c>
      <c r="C47" s="21" t="inlineStr">
        <is>
          <t>burette_25mL</t>
        </is>
      </c>
      <c r="D47" s="21" t="n">
        <v>3</v>
      </c>
      <c r="E47" s="21" t="n">
        <v>24.904</v>
      </c>
      <c r="F47" s="21" t="inlineStr">
        <is>
          <t>g</t>
        </is>
      </c>
      <c r="G47" s="21" t="n">
        <v>25.6</v>
      </c>
      <c r="H47" s="21" t="n"/>
      <c r="I47" s="22">
        <f>IF($A47="","",'2_密度換算'!$C$12*(1-((G47+'2_密度換算'!$C$8)^2*(G47+'2_密度換算'!$C$9))/('2_密度換算'!$C$10*(G47+'2_密度換算'!$C$11)))/1000)</f>
        <v/>
      </c>
      <c r="J47" s="22">
        <f>IF($A47="","",1+'2_密度換算'!$C$6*(1/I47-1/'2_密度換算'!$C$7))</f>
        <v/>
      </c>
      <c r="K47" s="23">
        <f>IF($A47="","",E47*J47/I47)</f>
        <v/>
      </c>
    </row>
    <row r="48">
      <c r="A48" s="21" t="n">
        <v>1</v>
      </c>
      <c r="B48" s="21" t="inlineStr">
        <is>
          <t>G1_S3</t>
        </is>
      </c>
      <c r="C48" s="21" t="inlineStr">
        <is>
          <t>pipette_10mL</t>
        </is>
      </c>
      <c r="D48" s="21" t="n">
        <v>4</v>
      </c>
      <c r="E48" s="21" t="n">
        <v>9.9537</v>
      </c>
      <c r="F48" s="21" t="inlineStr">
        <is>
          <t>g</t>
        </is>
      </c>
      <c r="G48" s="21" t="n">
        <v>24.9</v>
      </c>
      <c r="H48" s="21" t="n"/>
      <c r="I48" s="22">
        <f>IF($A48="","",'2_密度換算'!$C$12*(1-((G48+'2_密度換算'!$C$8)^2*(G48+'2_密度換算'!$C$9))/('2_密度換算'!$C$10*(G48+'2_密度換算'!$C$11)))/1000)</f>
        <v/>
      </c>
      <c r="J48" s="22">
        <f>IF($A48="","",1+'2_密度換算'!$C$6*(1/I48-1/'2_密度換算'!$C$7))</f>
        <v/>
      </c>
      <c r="K48" s="23">
        <f>IF($A48="","",E48*J48/I48)</f>
        <v/>
      </c>
    </row>
    <row r="49">
      <c r="A49" s="21" t="n">
        <v>1</v>
      </c>
      <c r="B49" s="21" t="inlineStr">
        <is>
          <t>G1_S3</t>
        </is>
      </c>
      <c r="C49" s="21" t="inlineStr">
        <is>
          <t>burette_25mL</t>
        </is>
      </c>
      <c r="D49" s="21" t="n">
        <v>4</v>
      </c>
      <c r="E49" s="21" t="n">
        <v>24.8982</v>
      </c>
      <c r="F49" s="21" t="inlineStr">
        <is>
          <t>g</t>
        </is>
      </c>
      <c r="G49" s="21" t="n">
        <v>24.2</v>
      </c>
      <c r="H49" s="21" t="n"/>
      <c r="I49" s="22">
        <f>IF($A49="","",'2_密度換算'!$C$12*(1-((G49+'2_密度換算'!$C$8)^2*(G49+'2_密度換算'!$C$9))/('2_密度換算'!$C$10*(G49+'2_密度換算'!$C$11)))/1000)</f>
        <v/>
      </c>
      <c r="J49" s="22">
        <f>IF($A49="","",1+'2_密度換算'!$C$6*(1/I49-1/'2_密度換算'!$C$7))</f>
        <v/>
      </c>
      <c r="K49" s="23">
        <f>IF($A49="","",E49*J49/I49)</f>
        <v/>
      </c>
    </row>
    <row r="50">
      <c r="A50" s="21" t="n">
        <v>1</v>
      </c>
      <c r="B50" s="21" t="inlineStr">
        <is>
          <t>G1_S3</t>
        </is>
      </c>
      <c r="C50" s="21" t="inlineStr">
        <is>
          <t>pipette_10mL</t>
        </is>
      </c>
      <c r="D50" s="21" t="n">
        <v>5</v>
      </c>
      <c r="E50" s="21" t="n">
        <v>9.089</v>
      </c>
      <c r="F50" s="21" t="inlineStr">
        <is>
          <t>g</t>
        </is>
      </c>
      <c r="G50" s="21" t="n">
        <v>24.9</v>
      </c>
      <c r="H50" s="21" t="inlineStr">
        <is>
          <t>possible data-entry error (數據疑似誤植)</t>
        </is>
      </c>
      <c r="I50" s="22">
        <f>IF($A50="","",'2_密度換算'!$C$12*(1-((G50+'2_密度換算'!$C$8)^2*(G50+'2_密度換算'!$C$9))/('2_密度換算'!$C$10*(G50+'2_密度換算'!$C$11)))/1000)</f>
        <v/>
      </c>
      <c r="J50" s="22">
        <f>IF($A50="","",1+'2_密度換算'!$C$6*(1/I50-1/'2_密度換算'!$C$7))</f>
        <v/>
      </c>
      <c r="K50" s="23">
        <f>IF($A50="","",E50*J50/I50)</f>
        <v/>
      </c>
    </row>
    <row r="51">
      <c r="A51" s="21" t="n">
        <v>1</v>
      </c>
      <c r="B51" s="21" t="inlineStr">
        <is>
          <t>G1_S3</t>
        </is>
      </c>
      <c r="C51" s="21" t="inlineStr">
        <is>
          <t>burette_25mL</t>
        </is>
      </c>
      <c r="D51" s="21" t="n">
        <v>5</v>
      </c>
      <c r="E51" s="21" t="n">
        <v>24.9036</v>
      </c>
      <c r="F51" s="21" t="inlineStr">
        <is>
          <t>g</t>
        </is>
      </c>
      <c r="G51" s="21" t="n">
        <v>24.6</v>
      </c>
      <c r="H51" s="21" t="n"/>
      <c r="I51" s="22">
        <f>IF($A51="","",'2_密度換算'!$C$12*(1-((G51+'2_密度換算'!$C$8)^2*(G51+'2_密度換算'!$C$9))/('2_密度換算'!$C$10*(G51+'2_密度換算'!$C$11)))/1000)</f>
        <v/>
      </c>
      <c r="J51" s="22">
        <f>IF($A51="","",1+'2_密度換算'!$C$6*(1/I51-1/'2_密度換算'!$C$7))</f>
        <v/>
      </c>
      <c r="K51" s="23">
        <f>IF($A51="","",E51*J51/I51)</f>
        <v/>
      </c>
    </row>
    <row r="52">
      <c r="A52" s="21" t="n">
        <v>1</v>
      </c>
      <c r="B52" s="21" t="inlineStr">
        <is>
          <t>G1_S3</t>
        </is>
      </c>
      <c r="C52" s="21" t="inlineStr">
        <is>
          <t>pipette_10mL</t>
        </is>
      </c>
      <c r="D52" s="21" t="n">
        <v>6</v>
      </c>
      <c r="E52" s="21" t="n">
        <v>9.948600000000001</v>
      </c>
      <c r="F52" s="21" t="inlineStr">
        <is>
          <t>g</t>
        </is>
      </c>
      <c r="G52" s="21" t="n">
        <v>24.4</v>
      </c>
      <c r="H52" s="21" t="n"/>
      <c r="I52" s="22">
        <f>IF($A52="","",'2_密度換算'!$C$12*(1-((G52+'2_密度換算'!$C$8)^2*(G52+'2_密度換算'!$C$9))/('2_密度換算'!$C$10*(G52+'2_密度換算'!$C$11)))/1000)</f>
        <v/>
      </c>
      <c r="J52" s="22">
        <f>IF($A52="","",1+'2_密度換算'!$C$6*(1/I52-1/'2_密度換算'!$C$7))</f>
        <v/>
      </c>
      <c r="K52" s="23">
        <f>IF($A52="","",E52*J52/I52)</f>
        <v/>
      </c>
    </row>
    <row r="53">
      <c r="A53" s="21" t="n">
        <v>1</v>
      </c>
      <c r="B53" s="21" t="inlineStr">
        <is>
          <t>G1_S3</t>
        </is>
      </c>
      <c r="C53" s="21" t="inlineStr">
        <is>
          <t>burette_25mL</t>
        </is>
      </c>
      <c r="D53" s="21" t="n">
        <v>6</v>
      </c>
      <c r="E53" s="21" t="n">
        <v>24.8873</v>
      </c>
      <c r="F53" s="21" t="inlineStr">
        <is>
          <t>g</t>
        </is>
      </c>
      <c r="G53" s="21" t="n">
        <v>25.5</v>
      </c>
      <c r="H53" s="21" t="n"/>
      <c r="I53" s="22">
        <f>IF($A53="","",'2_密度換算'!$C$12*(1-((G53+'2_密度換算'!$C$8)^2*(G53+'2_密度換算'!$C$9))/('2_密度換算'!$C$10*(G53+'2_密度換算'!$C$11)))/1000)</f>
        <v/>
      </c>
      <c r="J53" s="22">
        <f>IF($A53="","",1+'2_密度換算'!$C$6*(1/I53-1/'2_密度換算'!$C$7))</f>
        <v/>
      </c>
      <c r="K53" s="23">
        <f>IF($A53="","",E53*J53/I53)</f>
        <v/>
      </c>
    </row>
    <row r="54">
      <c r="A54" s="21" t="n">
        <v>1</v>
      </c>
      <c r="B54" s="21" t="inlineStr">
        <is>
          <t>G1_S3</t>
        </is>
      </c>
      <c r="C54" s="21" t="inlineStr">
        <is>
          <t>pipette_10mL</t>
        </is>
      </c>
      <c r="D54" s="21" t="n">
        <v>7</v>
      </c>
      <c r="E54" s="21" t="n">
        <v>9.954800000000001</v>
      </c>
      <c r="F54" s="21" t="inlineStr">
        <is>
          <t>g</t>
        </is>
      </c>
      <c r="G54" s="21" t="n">
        <v>24.9</v>
      </c>
      <c r="H54" s="21" t="n"/>
      <c r="I54" s="22">
        <f>IF($A54="","",'2_密度換算'!$C$12*(1-((G54+'2_密度換算'!$C$8)^2*(G54+'2_密度換算'!$C$9))/('2_密度換算'!$C$10*(G54+'2_密度換算'!$C$11)))/1000)</f>
        <v/>
      </c>
      <c r="J54" s="22">
        <f>IF($A54="","",1+'2_密度換算'!$C$6*(1/I54-1/'2_密度換算'!$C$7))</f>
        <v/>
      </c>
      <c r="K54" s="23">
        <f>IF($A54="","",E54*J54/I54)</f>
        <v/>
      </c>
    </row>
    <row r="55">
      <c r="A55" s="21" t="n">
        <v>1</v>
      </c>
      <c r="B55" s="21" t="inlineStr">
        <is>
          <t>G1_S3</t>
        </is>
      </c>
      <c r="C55" s="21" t="inlineStr">
        <is>
          <t>burette_25mL</t>
        </is>
      </c>
      <c r="D55" s="21" t="n">
        <v>7</v>
      </c>
      <c r="E55" s="21" t="n">
        <v>24.8932</v>
      </c>
      <c r="F55" s="21" t="inlineStr">
        <is>
          <t>g</t>
        </is>
      </c>
      <c r="G55" s="21" t="n">
        <v>25.2</v>
      </c>
      <c r="H55" s="21" t="n"/>
      <c r="I55" s="22">
        <f>IF($A55="","",'2_密度換算'!$C$12*(1-((G55+'2_密度換算'!$C$8)^2*(G55+'2_密度換算'!$C$9))/('2_密度換算'!$C$10*(G55+'2_密度換算'!$C$11)))/1000)</f>
        <v/>
      </c>
      <c r="J55" s="22">
        <f>IF($A55="","",1+'2_密度換算'!$C$6*(1/I55-1/'2_密度換算'!$C$7))</f>
        <v/>
      </c>
      <c r="K55" s="23">
        <f>IF($A55="","",E55*J55/I55)</f>
        <v/>
      </c>
    </row>
    <row r="56">
      <c r="A56" s="21" t="n">
        <v>1</v>
      </c>
      <c r="B56" s="21" t="inlineStr">
        <is>
          <t>G1_S3</t>
        </is>
      </c>
      <c r="C56" s="21" t="inlineStr">
        <is>
          <t>pipette_10mL</t>
        </is>
      </c>
      <c r="D56" s="21" t="n">
        <v>8</v>
      </c>
      <c r="E56" s="21" t="n">
        <v>9.9574</v>
      </c>
      <c r="F56" s="21" t="inlineStr">
        <is>
          <t>g</t>
        </is>
      </c>
      <c r="G56" s="21" t="n">
        <v>24.2</v>
      </c>
      <c r="H56" s="21" t="n"/>
      <c r="I56" s="22">
        <f>IF($A56="","",'2_密度換算'!$C$12*(1-((G56+'2_密度換算'!$C$8)^2*(G56+'2_密度換算'!$C$9))/('2_密度換算'!$C$10*(G56+'2_密度換算'!$C$11)))/1000)</f>
        <v/>
      </c>
      <c r="J56" s="22">
        <f>IF($A56="","",1+'2_密度換算'!$C$6*(1/I56-1/'2_密度換算'!$C$7))</f>
        <v/>
      </c>
      <c r="K56" s="23">
        <f>IF($A56="","",E56*J56/I56)</f>
        <v/>
      </c>
    </row>
    <row r="57">
      <c r="A57" s="21" t="n">
        <v>1</v>
      </c>
      <c r="B57" s="21" t="inlineStr">
        <is>
          <t>G1_S3</t>
        </is>
      </c>
      <c r="C57" s="21" t="inlineStr">
        <is>
          <t>burette_25mL</t>
        </is>
      </c>
      <c r="D57" s="21" t="n">
        <v>8</v>
      </c>
      <c r="E57" s="21" t="n">
        <v>24.9222</v>
      </c>
      <c r="F57" s="21" t="inlineStr">
        <is>
          <t>g</t>
        </is>
      </c>
      <c r="G57" s="21" t="n">
        <v>24.1</v>
      </c>
      <c r="H57" s="21" t="n"/>
      <c r="I57" s="22">
        <f>IF($A57="","",'2_密度換算'!$C$12*(1-((G57+'2_密度換算'!$C$8)^2*(G57+'2_密度換算'!$C$9))/('2_密度換算'!$C$10*(G57+'2_密度換算'!$C$11)))/1000)</f>
        <v/>
      </c>
      <c r="J57" s="22">
        <f>IF($A57="","",1+'2_密度換算'!$C$6*(1/I57-1/'2_密度換算'!$C$7))</f>
        <v/>
      </c>
      <c r="K57" s="23">
        <f>IF($A57="","",E57*J57/I57)</f>
        <v/>
      </c>
    </row>
    <row r="58">
      <c r="A58" s="21" t="n">
        <v>1</v>
      </c>
      <c r="B58" s="21" t="inlineStr">
        <is>
          <t>G1_S3</t>
        </is>
      </c>
      <c r="C58" s="21" t="inlineStr">
        <is>
          <t>pipette_10mL</t>
        </is>
      </c>
      <c r="D58" s="21" t="n">
        <v>9</v>
      </c>
      <c r="E58" s="21" t="n">
        <v>9.957000000000001</v>
      </c>
      <c r="F58" s="21" t="inlineStr">
        <is>
          <t>g</t>
        </is>
      </c>
      <c r="G58" s="21" t="n">
        <v>24.7</v>
      </c>
      <c r="H58" s="21" t="n"/>
      <c r="I58" s="22">
        <f>IF($A58="","",'2_密度換算'!$C$12*(1-((G58+'2_密度換算'!$C$8)^2*(G58+'2_密度換算'!$C$9))/('2_密度換算'!$C$10*(G58+'2_密度換算'!$C$11)))/1000)</f>
        <v/>
      </c>
      <c r="J58" s="22">
        <f>IF($A58="","",1+'2_密度換算'!$C$6*(1/I58-1/'2_密度換算'!$C$7))</f>
        <v/>
      </c>
      <c r="K58" s="23">
        <f>IF($A58="","",E58*J58/I58)</f>
        <v/>
      </c>
    </row>
    <row r="59">
      <c r="A59" s="21" t="n">
        <v>1</v>
      </c>
      <c r="B59" s="21" t="inlineStr">
        <is>
          <t>G1_S3</t>
        </is>
      </c>
      <c r="C59" s="21" t="inlineStr">
        <is>
          <t>burette_25mL</t>
        </is>
      </c>
      <c r="D59" s="21" t="n">
        <v>9</v>
      </c>
      <c r="E59" s="21" t="n">
        <v>24.8865</v>
      </c>
      <c r="F59" s="21" t="inlineStr">
        <is>
          <t>g</t>
        </is>
      </c>
      <c r="G59" s="21" t="n">
        <v>24.2</v>
      </c>
      <c r="H59" s="21" t="n"/>
      <c r="I59" s="22">
        <f>IF($A59="","",'2_密度換算'!$C$12*(1-((G59+'2_密度換算'!$C$8)^2*(G59+'2_密度換算'!$C$9))/('2_密度換算'!$C$10*(G59+'2_密度換算'!$C$11)))/1000)</f>
        <v/>
      </c>
      <c r="J59" s="22">
        <f>IF($A59="","",1+'2_密度換算'!$C$6*(1/I59-1/'2_密度換算'!$C$7))</f>
        <v/>
      </c>
      <c r="K59" s="23">
        <f>IF($A59="","",E59*J59/I59)</f>
        <v/>
      </c>
    </row>
    <row r="60">
      <c r="A60" s="21" t="n">
        <v>1</v>
      </c>
      <c r="B60" s="21" t="inlineStr">
        <is>
          <t>G1_S3</t>
        </is>
      </c>
      <c r="C60" s="21" t="inlineStr">
        <is>
          <t>pipette_10mL</t>
        </is>
      </c>
      <c r="D60" s="21" t="n">
        <v>10</v>
      </c>
      <c r="E60" s="21" t="n">
        <v>9.951499999999999</v>
      </c>
      <c r="F60" s="21" t="inlineStr">
        <is>
          <t>g</t>
        </is>
      </c>
      <c r="G60" s="21" t="n">
        <v>24.3</v>
      </c>
      <c r="H60" s="21" t="n"/>
      <c r="I60" s="22">
        <f>IF($A60="","",'2_密度換算'!$C$12*(1-((G60+'2_密度換算'!$C$8)^2*(G60+'2_密度換算'!$C$9))/('2_密度換算'!$C$10*(G60+'2_密度換算'!$C$11)))/1000)</f>
        <v/>
      </c>
      <c r="J60" s="22">
        <f>IF($A60="","",1+'2_密度換算'!$C$6*(1/I60-1/'2_密度換算'!$C$7))</f>
        <v/>
      </c>
      <c r="K60" s="23">
        <f>IF($A60="","",E60*J60/I60)</f>
        <v/>
      </c>
    </row>
    <row r="61">
      <c r="A61" s="21" t="n">
        <v>1</v>
      </c>
      <c r="B61" s="21" t="inlineStr">
        <is>
          <t>G1_S3</t>
        </is>
      </c>
      <c r="C61" s="21" t="inlineStr">
        <is>
          <t>burette_25mL</t>
        </is>
      </c>
      <c r="D61" s="21" t="n">
        <v>10</v>
      </c>
      <c r="E61" s="21" t="n">
        <v>24.8776</v>
      </c>
      <c r="F61" s="21" t="inlineStr">
        <is>
          <t>g</t>
        </is>
      </c>
      <c r="G61" s="21" t="n">
        <v>25.2</v>
      </c>
      <c r="H61" s="21" t="n"/>
      <c r="I61" s="22">
        <f>IF($A61="","",'2_密度換算'!$C$12*(1-((G61+'2_密度換算'!$C$8)^2*(G61+'2_密度換算'!$C$9))/('2_密度換算'!$C$10*(G61+'2_密度換算'!$C$11)))/1000)</f>
        <v/>
      </c>
      <c r="J61" s="22">
        <f>IF($A61="","",1+'2_密度換算'!$C$6*(1/I61-1/'2_密度換算'!$C$7))</f>
        <v/>
      </c>
      <c r="K61" s="23">
        <f>IF($A61="","",E61*J61/I61)</f>
        <v/>
      </c>
    </row>
    <row r="62">
      <c r="A62" s="21" t="n">
        <v>2</v>
      </c>
      <c r="B62" s="21" t="inlineStr">
        <is>
          <t>G2_S1</t>
        </is>
      </c>
      <c r="C62" s="21" t="inlineStr">
        <is>
          <t>pipette_10mL</t>
        </is>
      </c>
      <c r="D62" s="21" t="n">
        <v>1</v>
      </c>
      <c r="E62" s="21" t="n">
        <v>9.962400000000001</v>
      </c>
      <c r="F62" s="21" t="inlineStr">
        <is>
          <t>g</t>
        </is>
      </c>
      <c r="G62" s="21" t="n">
        <v>25.6</v>
      </c>
      <c r="H62" s="21" t="n"/>
      <c r="I62" s="22">
        <f>IF($A62="","",'2_密度換算'!$C$12*(1-((G62+'2_密度換算'!$C$8)^2*(G62+'2_密度換算'!$C$9))/('2_密度換算'!$C$10*(G62+'2_密度換算'!$C$11)))/1000)</f>
        <v/>
      </c>
      <c r="J62" s="22">
        <f>IF($A62="","",1+'2_密度換算'!$C$6*(1/I62-1/'2_密度換算'!$C$7))</f>
        <v/>
      </c>
      <c r="K62" s="23">
        <f>IF($A62="","",E62*J62/I62)</f>
        <v/>
      </c>
    </row>
    <row r="63">
      <c r="A63" s="21" t="n">
        <v>2</v>
      </c>
      <c r="B63" s="21" t="inlineStr">
        <is>
          <t>G2_S1</t>
        </is>
      </c>
      <c r="C63" s="21" t="inlineStr">
        <is>
          <t>burette_25mL</t>
        </is>
      </c>
      <c r="D63" s="21" t="n">
        <v>1</v>
      </c>
      <c r="E63" s="21" t="n">
        <v>24.9612</v>
      </c>
      <c r="F63" s="21" t="inlineStr">
        <is>
          <t>g</t>
        </is>
      </c>
      <c r="G63" s="21" t="n">
        <v>25</v>
      </c>
      <c r="H63" s="21" t="n"/>
      <c r="I63" s="22">
        <f>IF($A63="","",'2_密度換算'!$C$12*(1-((G63+'2_密度換算'!$C$8)^2*(G63+'2_密度換算'!$C$9))/('2_密度換算'!$C$10*(G63+'2_密度換算'!$C$11)))/1000)</f>
        <v/>
      </c>
      <c r="J63" s="22">
        <f>IF($A63="","",1+'2_密度換算'!$C$6*(1/I63-1/'2_密度換算'!$C$7))</f>
        <v/>
      </c>
      <c r="K63" s="23">
        <f>IF($A63="","",E63*J63/I63)</f>
        <v/>
      </c>
    </row>
    <row r="64">
      <c r="A64" s="21" t="n">
        <v>2</v>
      </c>
      <c r="B64" s="21" t="inlineStr">
        <is>
          <t>G2_S1</t>
        </is>
      </c>
      <c r="C64" s="21" t="inlineStr">
        <is>
          <t>pipette_10mL</t>
        </is>
      </c>
      <c r="D64" s="21" t="n">
        <v>2</v>
      </c>
      <c r="E64" s="21" t="n">
        <v>9.956099999999999</v>
      </c>
      <c r="F64" s="21" t="inlineStr">
        <is>
          <t>g</t>
        </is>
      </c>
      <c r="G64" s="21" t="n">
        <v>25.9</v>
      </c>
      <c r="H64" s="21" t="n"/>
      <c r="I64" s="22">
        <f>IF($A64="","",'2_密度換算'!$C$12*(1-((G64+'2_密度換算'!$C$8)^2*(G64+'2_密度換算'!$C$9))/('2_密度換算'!$C$10*(G64+'2_密度換算'!$C$11)))/1000)</f>
        <v/>
      </c>
      <c r="J64" s="22">
        <f>IF($A64="","",1+'2_密度換算'!$C$6*(1/I64-1/'2_密度換算'!$C$7))</f>
        <v/>
      </c>
      <c r="K64" s="23">
        <f>IF($A64="","",E64*J64/I64)</f>
        <v/>
      </c>
    </row>
    <row r="65">
      <c r="A65" s="21" t="n">
        <v>2</v>
      </c>
      <c r="B65" s="21" t="inlineStr">
        <is>
          <t>G2_S1</t>
        </is>
      </c>
      <c r="C65" s="21" t="inlineStr">
        <is>
          <t>burette_25mL</t>
        </is>
      </c>
      <c r="D65" s="21" t="n">
        <v>2</v>
      </c>
      <c r="E65" s="21" t="n">
        <v>24.9228</v>
      </c>
      <c r="F65" s="21" t="inlineStr">
        <is>
          <t>g</t>
        </is>
      </c>
      <c r="G65" s="21" t="n">
        <v>24.9</v>
      </c>
      <c r="H65" s="21" t="n"/>
      <c r="I65" s="22">
        <f>IF($A65="","",'2_密度換算'!$C$12*(1-((G65+'2_密度換算'!$C$8)^2*(G65+'2_密度換算'!$C$9))/('2_密度換算'!$C$10*(G65+'2_密度換算'!$C$11)))/1000)</f>
        <v/>
      </c>
      <c r="J65" s="22">
        <f>IF($A65="","",1+'2_密度換算'!$C$6*(1/I65-1/'2_密度換算'!$C$7))</f>
        <v/>
      </c>
      <c r="K65" s="23">
        <f>IF($A65="","",E65*J65/I65)</f>
        <v/>
      </c>
    </row>
    <row r="66">
      <c r="A66" s="21" t="n">
        <v>2</v>
      </c>
      <c r="B66" s="21" t="inlineStr">
        <is>
          <t>G2_S1</t>
        </is>
      </c>
      <c r="C66" s="21" t="inlineStr">
        <is>
          <t>pipette_10mL</t>
        </is>
      </c>
      <c r="D66" s="21" t="n">
        <v>3</v>
      </c>
      <c r="E66" s="21" t="n">
        <v>9.960900000000001</v>
      </c>
      <c r="F66" s="21" t="inlineStr">
        <is>
          <t>g</t>
        </is>
      </c>
      <c r="G66" s="21" t="n">
        <v>24.7</v>
      </c>
      <c r="H66" s="21" t="n"/>
      <c r="I66" s="22">
        <f>IF($A66="","",'2_密度換算'!$C$12*(1-((G66+'2_密度換算'!$C$8)^2*(G66+'2_密度換算'!$C$9))/('2_密度換算'!$C$10*(G66+'2_密度換算'!$C$11)))/1000)</f>
        <v/>
      </c>
      <c r="J66" s="22">
        <f>IF($A66="","",1+'2_密度換算'!$C$6*(1/I66-1/'2_密度換算'!$C$7))</f>
        <v/>
      </c>
      <c r="K66" s="23">
        <f>IF($A66="","",E66*J66/I66)</f>
        <v/>
      </c>
    </row>
    <row r="67">
      <c r="A67" s="21" t="n">
        <v>2</v>
      </c>
      <c r="B67" s="21" t="inlineStr">
        <is>
          <t>G2_S1</t>
        </is>
      </c>
      <c r="C67" s="21" t="inlineStr">
        <is>
          <t>burette_25mL</t>
        </is>
      </c>
      <c r="D67" s="21" t="n">
        <v>3</v>
      </c>
      <c r="E67" s="21" t="n">
        <v>24.9168</v>
      </c>
      <c r="F67" s="21" t="inlineStr">
        <is>
          <t>g</t>
        </is>
      </c>
      <c r="G67" s="21" t="n">
        <v>24.9</v>
      </c>
      <c r="H67" s="21" t="n"/>
      <c r="I67" s="22">
        <f>IF($A67="","",'2_密度換算'!$C$12*(1-((G67+'2_密度換算'!$C$8)^2*(G67+'2_密度換算'!$C$9))/('2_密度換算'!$C$10*(G67+'2_密度換算'!$C$11)))/1000)</f>
        <v/>
      </c>
      <c r="J67" s="22">
        <f>IF($A67="","",1+'2_密度換算'!$C$6*(1/I67-1/'2_密度換算'!$C$7))</f>
        <v/>
      </c>
      <c r="K67" s="23">
        <f>IF($A67="","",E67*J67/I67)</f>
        <v/>
      </c>
    </row>
    <row r="68">
      <c r="A68" s="21" t="n">
        <v>2</v>
      </c>
      <c r="B68" s="21" t="inlineStr">
        <is>
          <t>G2_S1</t>
        </is>
      </c>
      <c r="C68" s="21" t="inlineStr">
        <is>
          <t>pipette_10mL</t>
        </is>
      </c>
      <c r="D68" s="21" t="n">
        <v>4</v>
      </c>
      <c r="E68" s="21" t="n">
        <v>9.960100000000001</v>
      </c>
      <c r="F68" s="21" t="inlineStr">
        <is>
          <t>g</t>
        </is>
      </c>
      <c r="G68" s="21" t="n">
        <v>25.7</v>
      </c>
      <c r="H68" s="21" t="n"/>
      <c r="I68" s="22">
        <f>IF($A68="","",'2_密度換算'!$C$12*(1-((G68+'2_密度換算'!$C$8)^2*(G68+'2_密度換算'!$C$9))/('2_密度換算'!$C$10*(G68+'2_密度換算'!$C$11)))/1000)</f>
        <v/>
      </c>
      <c r="J68" s="22">
        <f>IF($A68="","",1+'2_密度換算'!$C$6*(1/I68-1/'2_密度換算'!$C$7))</f>
        <v/>
      </c>
      <c r="K68" s="23">
        <f>IF($A68="","",E68*J68/I68)</f>
        <v/>
      </c>
    </row>
    <row r="69">
      <c r="A69" s="21" t="n">
        <v>2</v>
      </c>
      <c r="B69" s="21" t="inlineStr">
        <is>
          <t>G2_S1</t>
        </is>
      </c>
      <c r="C69" s="21" t="inlineStr">
        <is>
          <t>burette_25mL</t>
        </is>
      </c>
      <c r="D69" s="21" t="n">
        <v>4</v>
      </c>
      <c r="E69" s="21" t="n">
        <v>24.9074</v>
      </c>
      <c r="F69" s="21" t="inlineStr">
        <is>
          <t>g</t>
        </is>
      </c>
      <c r="G69" s="21" t="n">
        <v>24.3</v>
      </c>
      <c r="H69" s="21" t="n"/>
      <c r="I69" s="22">
        <f>IF($A69="","",'2_密度換算'!$C$12*(1-((G69+'2_密度換算'!$C$8)^2*(G69+'2_密度換算'!$C$9))/('2_密度換算'!$C$10*(G69+'2_密度換算'!$C$11)))/1000)</f>
        <v/>
      </c>
      <c r="J69" s="22">
        <f>IF($A69="","",1+'2_密度換算'!$C$6*(1/I69-1/'2_密度換算'!$C$7))</f>
        <v/>
      </c>
      <c r="K69" s="23">
        <f>IF($A69="","",E69*J69/I69)</f>
        <v/>
      </c>
    </row>
    <row r="70">
      <c r="A70" s="21" t="n">
        <v>2</v>
      </c>
      <c r="B70" s="21" t="inlineStr">
        <is>
          <t>G2_S1</t>
        </is>
      </c>
      <c r="C70" s="21" t="inlineStr">
        <is>
          <t>pipette_10mL</t>
        </is>
      </c>
      <c r="D70" s="21" t="n">
        <v>5</v>
      </c>
      <c r="E70" s="21" t="n">
        <v>9.962</v>
      </c>
      <c r="F70" s="21" t="inlineStr">
        <is>
          <t>g</t>
        </is>
      </c>
      <c r="G70" s="21" t="n">
        <v>24.2</v>
      </c>
      <c r="H70" s="21" t="n"/>
      <c r="I70" s="22">
        <f>IF($A70="","",'2_密度換算'!$C$12*(1-((G70+'2_密度換算'!$C$8)^2*(G70+'2_密度換算'!$C$9))/('2_密度換算'!$C$10*(G70+'2_密度換算'!$C$11)))/1000)</f>
        <v/>
      </c>
      <c r="J70" s="22">
        <f>IF($A70="","",1+'2_密度換算'!$C$6*(1/I70-1/'2_密度換算'!$C$7))</f>
        <v/>
      </c>
      <c r="K70" s="23">
        <f>IF($A70="","",E70*J70/I70)</f>
        <v/>
      </c>
    </row>
    <row r="71">
      <c r="A71" s="21" t="n">
        <v>2</v>
      </c>
      <c r="B71" s="21" t="inlineStr">
        <is>
          <t>G2_S1</t>
        </is>
      </c>
      <c r="C71" s="21" t="inlineStr">
        <is>
          <t>burette_25mL</t>
        </is>
      </c>
      <c r="D71" s="21" t="n">
        <v>5</v>
      </c>
      <c r="E71" s="21" t="n">
        <v>24.9249</v>
      </c>
      <c r="F71" s="21" t="inlineStr">
        <is>
          <t>g</t>
        </is>
      </c>
      <c r="G71" s="21" t="n">
        <v>24.6</v>
      </c>
      <c r="H71" s="21" t="n"/>
      <c r="I71" s="22">
        <f>IF($A71="","",'2_密度換算'!$C$12*(1-((G71+'2_密度換算'!$C$8)^2*(G71+'2_密度換算'!$C$9))/('2_密度換算'!$C$10*(G71+'2_密度換算'!$C$11)))/1000)</f>
        <v/>
      </c>
      <c r="J71" s="22">
        <f>IF($A71="","",1+'2_密度換算'!$C$6*(1/I71-1/'2_密度換算'!$C$7))</f>
        <v/>
      </c>
      <c r="K71" s="23">
        <f>IF($A71="","",E71*J71/I71)</f>
        <v/>
      </c>
    </row>
    <row r="72">
      <c r="A72" s="21" t="n">
        <v>2</v>
      </c>
      <c r="B72" s="21" t="inlineStr">
        <is>
          <t>G2_S1</t>
        </is>
      </c>
      <c r="C72" s="21" t="inlineStr">
        <is>
          <t>pipette_10mL</t>
        </is>
      </c>
      <c r="D72" s="21" t="n">
        <v>6</v>
      </c>
      <c r="E72" s="21" t="n">
        <v>9.9605</v>
      </c>
      <c r="F72" s="21" t="inlineStr">
        <is>
          <t>g</t>
        </is>
      </c>
      <c r="G72" s="21" t="n">
        <v>25.5</v>
      </c>
      <c r="H72" s="21" t="n"/>
      <c r="I72" s="22">
        <f>IF($A72="","",'2_密度換算'!$C$12*(1-((G72+'2_密度換算'!$C$8)^2*(G72+'2_密度換算'!$C$9))/('2_密度換算'!$C$10*(G72+'2_密度換算'!$C$11)))/1000)</f>
        <v/>
      </c>
      <c r="J72" s="22">
        <f>IF($A72="","",1+'2_密度換算'!$C$6*(1/I72-1/'2_密度換算'!$C$7))</f>
        <v/>
      </c>
      <c r="K72" s="23">
        <f>IF($A72="","",E72*J72/I72)</f>
        <v/>
      </c>
    </row>
    <row r="73">
      <c r="A73" s="21" t="n">
        <v>2</v>
      </c>
      <c r="B73" s="21" t="inlineStr">
        <is>
          <t>G2_S1</t>
        </is>
      </c>
      <c r="C73" s="21" t="inlineStr">
        <is>
          <t>burette_25mL</t>
        </is>
      </c>
      <c r="D73" s="21" t="n">
        <v>6</v>
      </c>
      <c r="E73" s="21" t="n">
        <v>24.9159</v>
      </c>
      <c r="F73" s="21" t="inlineStr">
        <is>
          <t>g</t>
        </is>
      </c>
      <c r="G73" s="21" t="n">
        <v>24.2</v>
      </c>
      <c r="H73" s="21" t="n"/>
      <c r="I73" s="22">
        <f>IF($A73="","",'2_密度換算'!$C$12*(1-((G73+'2_密度換算'!$C$8)^2*(G73+'2_密度換算'!$C$9))/('2_密度換算'!$C$10*(G73+'2_密度換算'!$C$11)))/1000)</f>
        <v/>
      </c>
      <c r="J73" s="22">
        <f>IF($A73="","",1+'2_密度換算'!$C$6*(1/I73-1/'2_密度換算'!$C$7))</f>
        <v/>
      </c>
      <c r="K73" s="23">
        <f>IF($A73="","",E73*J73/I73)</f>
        <v/>
      </c>
    </row>
    <row r="74">
      <c r="A74" s="21" t="n">
        <v>2</v>
      </c>
      <c r="B74" s="21" t="inlineStr">
        <is>
          <t>G2_S1</t>
        </is>
      </c>
      <c r="C74" s="21" t="inlineStr">
        <is>
          <t>pipette_10mL</t>
        </is>
      </c>
      <c r="D74" s="21" t="n">
        <v>7</v>
      </c>
      <c r="E74" s="21" t="n">
        <v>9.9597</v>
      </c>
      <c r="F74" s="21" t="inlineStr">
        <is>
          <t>g</t>
        </is>
      </c>
      <c r="G74" s="21" t="n">
        <v>24.5</v>
      </c>
      <c r="H74" s="21" t="n"/>
      <c r="I74" s="22">
        <f>IF($A74="","",'2_密度換算'!$C$12*(1-((G74+'2_密度換算'!$C$8)^2*(G74+'2_密度換算'!$C$9))/('2_密度換算'!$C$10*(G74+'2_密度換算'!$C$11)))/1000)</f>
        <v/>
      </c>
      <c r="J74" s="22">
        <f>IF($A74="","",1+'2_密度換算'!$C$6*(1/I74-1/'2_密度換算'!$C$7))</f>
        <v/>
      </c>
      <c r="K74" s="23">
        <f>IF($A74="","",E74*J74/I74)</f>
        <v/>
      </c>
    </row>
    <row r="75">
      <c r="A75" s="21" t="n">
        <v>2</v>
      </c>
      <c r="B75" s="21" t="inlineStr">
        <is>
          <t>G2_S1</t>
        </is>
      </c>
      <c r="C75" s="21" t="inlineStr">
        <is>
          <t>burette_25mL</t>
        </is>
      </c>
      <c r="D75" s="21" t="n">
        <v>7</v>
      </c>
      <c r="E75" s="21" t="n">
        <v>24.949</v>
      </c>
      <c r="F75" s="21" t="inlineStr">
        <is>
          <t>g</t>
        </is>
      </c>
      <c r="G75" s="21" t="n">
        <v>25.1</v>
      </c>
      <c r="H75" s="21" t="n"/>
      <c r="I75" s="22">
        <f>IF($A75="","",'2_密度換算'!$C$12*(1-((G75+'2_密度換算'!$C$8)^2*(G75+'2_密度換算'!$C$9))/('2_密度換算'!$C$10*(G75+'2_密度換算'!$C$11)))/1000)</f>
        <v/>
      </c>
      <c r="J75" s="22">
        <f>IF($A75="","",1+'2_密度換算'!$C$6*(1/I75-1/'2_密度換算'!$C$7))</f>
        <v/>
      </c>
      <c r="K75" s="23">
        <f>IF($A75="","",E75*J75/I75)</f>
        <v/>
      </c>
    </row>
    <row r="76">
      <c r="A76" s="21" t="n">
        <v>2</v>
      </c>
      <c r="B76" s="21" t="inlineStr">
        <is>
          <t>G2_S1</t>
        </is>
      </c>
      <c r="C76" s="21" t="inlineStr">
        <is>
          <t>pipette_10mL</t>
        </is>
      </c>
      <c r="D76" s="21" t="n">
        <v>8</v>
      </c>
      <c r="E76" s="21" t="n">
        <v>9.962199999999999</v>
      </c>
      <c r="F76" s="21" t="inlineStr">
        <is>
          <t>g</t>
        </is>
      </c>
      <c r="G76" s="21" t="n">
        <v>25.7</v>
      </c>
      <c r="H76" s="21" t="n"/>
      <c r="I76" s="22">
        <f>IF($A76="","",'2_密度換算'!$C$12*(1-((G76+'2_密度換算'!$C$8)^2*(G76+'2_密度換算'!$C$9))/('2_密度換算'!$C$10*(G76+'2_密度換算'!$C$11)))/1000)</f>
        <v/>
      </c>
      <c r="J76" s="22">
        <f>IF($A76="","",1+'2_密度換算'!$C$6*(1/I76-1/'2_密度換算'!$C$7))</f>
        <v/>
      </c>
      <c r="K76" s="23">
        <f>IF($A76="","",E76*J76/I76)</f>
        <v/>
      </c>
    </row>
    <row r="77">
      <c r="A77" s="21" t="n">
        <v>2</v>
      </c>
      <c r="B77" s="21" t="inlineStr">
        <is>
          <t>G2_S1</t>
        </is>
      </c>
      <c r="C77" s="21" t="inlineStr">
        <is>
          <t>burette_25mL</t>
        </is>
      </c>
      <c r="D77" s="21" t="n">
        <v>8</v>
      </c>
      <c r="E77" s="21" t="n">
        <v>24.9345</v>
      </c>
      <c r="F77" s="21" t="inlineStr">
        <is>
          <t>g</t>
        </is>
      </c>
      <c r="G77" s="21" t="n">
        <v>24.6</v>
      </c>
      <c r="H77" s="21" t="n"/>
      <c r="I77" s="22">
        <f>IF($A77="","",'2_密度換算'!$C$12*(1-((G77+'2_密度換算'!$C$8)^2*(G77+'2_密度換算'!$C$9))/('2_密度換算'!$C$10*(G77+'2_密度換算'!$C$11)))/1000)</f>
        <v/>
      </c>
      <c r="J77" s="22">
        <f>IF($A77="","",1+'2_密度換算'!$C$6*(1/I77-1/'2_密度換算'!$C$7))</f>
        <v/>
      </c>
      <c r="K77" s="23">
        <f>IF($A77="","",E77*J77/I77)</f>
        <v/>
      </c>
    </row>
    <row r="78">
      <c r="A78" s="21" t="n">
        <v>2</v>
      </c>
      <c r="B78" s="21" t="inlineStr">
        <is>
          <t>G2_S1</t>
        </is>
      </c>
      <c r="C78" s="21" t="inlineStr">
        <is>
          <t>pipette_10mL</t>
        </is>
      </c>
      <c r="D78" s="21" t="n">
        <v>9</v>
      </c>
      <c r="E78" s="21" t="n">
        <v>9.962</v>
      </c>
      <c r="F78" s="21" t="inlineStr">
        <is>
          <t>g</t>
        </is>
      </c>
      <c r="G78" s="21" t="n">
        <v>24.6</v>
      </c>
      <c r="H78" s="21" t="n"/>
      <c r="I78" s="22">
        <f>IF($A78="","",'2_密度換算'!$C$12*(1-((G78+'2_密度換算'!$C$8)^2*(G78+'2_密度換算'!$C$9))/('2_密度換算'!$C$10*(G78+'2_密度換算'!$C$11)))/1000)</f>
        <v/>
      </c>
      <c r="J78" s="22">
        <f>IF($A78="","",1+'2_密度換算'!$C$6*(1/I78-1/'2_密度換算'!$C$7))</f>
        <v/>
      </c>
      <c r="K78" s="23">
        <f>IF($A78="","",E78*J78/I78)</f>
        <v/>
      </c>
    </row>
    <row r="79">
      <c r="A79" s="21" t="n">
        <v>2</v>
      </c>
      <c r="B79" s="21" t="inlineStr">
        <is>
          <t>G2_S1</t>
        </is>
      </c>
      <c r="C79" s="21" t="inlineStr">
        <is>
          <t>burette_25mL</t>
        </is>
      </c>
      <c r="D79" s="21" t="n">
        <v>9</v>
      </c>
      <c r="E79" s="21" t="n">
        <v>24.9117</v>
      </c>
      <c r="F79" s="21" t="inlineStr">
        <is>
          <t>g</t>
        </is>
      </c>
      <c r="G79" s="21" t="n">
        <v>24.5</v>
      </c>
      <c r="H79" s="21" t="n"/>
      <c r="I79" s="22">
        <f>IF($A79="","",'2_密度換算'!$C$12*(1-((G79+'2_密度換算'!$C$8)^2*(G79+'2_密度換算'!$C$9))/('2_密度換算'!$C$10*(G79+'2_密度換算'!$C$11)))/1000)</f>
        <v/>
      </c>
      <c r="J79" s="22">
        <f>IF($A79="","",1+'2_密度換算'!$C$6*(1/I79-1/'2_密度換算'!$C$7))</f>
        <v/>
      </c>
      <c r="K79" s="23">
        <f>IF($A79="","",E79*J79/I79)</f>
        <v/>
      </c>
    </row>
    <row r="80">
      <c r="A80" s="21" t="n">
        <v>2</v>
      </c>
      <c r="B80" s="21" t="inlineStr">
        <is>
          <t>G2_S1</t>
        </is>
      </c>
      <c r="C80" s="21" t="inlineStr">
        <is>
          <t>pipette_10mL</t>
        </is>
      </c>
      <c r="D80" s="21" t="n">
        <v>10</v>
      </c>
      <c r="E80" s="21" t="n">
        <v>9.9618</v>
      </c>
      <c r="F80" s="21" t="inlineStr">
        <is>
          <t>g</t>
        </is>
      </c>
      <c r="G80" s="21" t="n">
        <v>24.3</v>
      </c>
      <c r="H80" s="21" t="n"/>
      <c r="I80" s="22">
        <f>IF($A80="","",'2_密度換算'!$C$12*(1-((G80+'2_密度換算'!$C$8)^2*(G80+'2_密度換算'!$C$9))/('2_密度換算'!$C$10*(G80+'2_密度換算'!$C$11)))/1000)</f>
        <v/>
      </c>
      <c r="J80" s="22">
        <f>IF($A80="","",1+'2_密度換算'!$C$6*(1/I80-1/'2_密度換算'!$C$7))</f>
        <v/>
      </c>
      <c r="K80" s="23">
        <f>IF($A80="","",E80*J80/I80)</f>
        <v/>
      </c>
    </row>
    <row r="81">
      <c r="A81" s="21" t="n">
        <v>2</v>
      </c>
      <c r="B81" s="21" t="inlineStr">
        <is>
          <t>G2_S1</t>
        </is>
      </c>
      <c r="C81" s="21" t="inlineStr">
        <is>
          <t>burette_25mL</t>
        </is>
      </c>
      <c r="D81" s="21" t="n">
        <v>10</v>
      </c>
      <c r="E81" s="21" t="n">
        <v>24.9</v>
      </c>
      <c r="F81" s="21" t="inlineStr">
        <is>
          <t>g</t>
        </is>
      </c>
      <c r="G81" s="21" t="n">
        <v>24.9</v>
      </c>
      <c r="H81" s="21" t="n"/>
      <c r="I81" s="22">
        <f>IF($A81="","",'2_密度換算'!$C$12*(1-((G81+'2_密度換算'!$C$8)^2*(G81+'2_密度換算'!$C$9))/('2_密度換算'!$C$10*(G81+'2_密度換算'!$C$11)))/1000)</f>
        <v/>
      </c>
      <c r="J81" s="22">
        <f>IF($A81="","",1+'2_密度換算'!$C$6*(1/I81-1/'2_密度換算'!$C$7))</f>
        <v/>
      </c>
      <c r="K81" s="23">
        <f>IF($A81="","",E81*J81/I81)</f>
        <v/>
      </c>
    </row>
    <row r="82">
      <c r="A82" s="21" t="n">
        <v>2</v>
      </c>
      <c r="B82" s="21" t="inlineStr">
        <is>
          <t>G2_S2</t>
        </is>
      </c>
      <c r="C82" s="21" t="inlineStr">
        <is>
          <t>pipette_10mL</t>
        </is>
      </c>
      <c r="D82" s="21" t="n">
        <v>1</v>
      </c>
      <c r="E82" s="21" t="n">
        <v>9.973000000000001</v>
      </c>
      <c r="F82" s="21" t="inlineStr">
        <is>
          <t>g</t>
        </is>
      </c>
      <c r="G82" s="21" t="n">
        <v>25</v>
      </c>
      <c r="H82" s="21" t="n"/>
      <c r="I82" s="22">
        <f>IF($A82="","",'2_密度換算'!$C$12*(1-((G82+'2_密度換算'!$C$8)^2*(G82+'2_密度換算'!$C$9))/('2_密度換算'!$C$10*(G82+'2_密度換算'!$C$11)))/1000)</f>
        <v/>
      </c>
      <c r="J82" s="22">
        <f>IF($A82="","",1+'2_密度換算'!$C$6*(1/I82-1/'2_密度換算'!$C$7))</f>
        <v/>
      </c>
      <c r="K82" s="23">
        <f>IF($A82="","",E82*J82/I82)</f>
        <v/>
      </c>
    </row>
    <row r="83">
      <c r="A83" s="21" t="n">
        <v>2</v>
      </c>
      <c r="B83" s="21" t="inlineStr">
        <is>
          <t>G2_S2</t>
        </is>
      </c>
      <c r="C83" s="21" t="inlineStr">
        <is>
          <t>burette_25mL</t>
        </is>
      </c>
      <c r="D83" s="21" t="n">
        <v>1</v>
      </c>
      <c r="E83" s="21" t="n">
        <v>24.9045</v>
      </c>
      <c r="F83" s="21" t="inlineStr">
        <is>
          <t>g</t>
        </is>
      </c>
      <c r="G83" s="21" t="n">
        <v>25.5</v>
      </c>
      <c r="H83" s="21" t="n"/>
      <c r="I83" s="22">
        <f>IF($A83="","",'2_密度換算'!$C$12*(1-((G83+'2_密度換算'!$C$8)^2*(G83+'2_密度換算'!$C$9))/('2_密度換算'!$C$10*(G83+'2_密度換算'!$C$11)))/1000)</f>
        <v/>
      </c>
      <c r="J83" s="22">
        <f>IF($A83="","",1+'2_密度換算'!$C$6*(1/I83-1/'2_密度換算'!$C$7))</f>
        <v/>
      </c>
      <c r="K83" s="23">
        <f>IF($A83="","",E83*J83/I83)</f>
        <v/>
      </c>
    </row>
    <row r="84">
      <c r="A84" s="21" t="n">
        <v>2</v>
      </c>
      <c r="B84" s="21" t="inlineStr">
        <is>
          <t>G2_S2</t>
        </is>
      </c>
      <c r="C84" s="21" t="inlineStr">
        <is>
          <t>pipette_10mL</t>
        </is>
      </c>
      <c r="D84" s="21" t="n">
        <v>2</v>
      </c>
      <c r="E84" s="21" t="n">
        <v>9.969200000000001</v>
      </c>
      <c r="F84" s="21" t="inlineStr">
        <is>
          <t>g</t>
        </is>
      </c>
      <c r="G84" s="21" t="n">
        <v>24.7</v>
      </c>
      <c r="H84" s="21" t="n"/>
      <c r="I84" s="22">
        <f>IF($A84="","",'2_密度換算'!$C$12*(1-((G84+'2_密度換算'!$C$8)^2*(G84+'2_密度換算'!$C$9))/('2_密度換算'!$C$10*(G84+'2_密度換算'!$C$11)))/1000)</f>
        <v/>
      </c>
      <c r="J84" s="22">
        <f>IF($A84="","",1+'2_密度換算'!$C$6*(1/I84-1/'2_密度換算'!$C$7))</f>
        <v/>
      </c>
      <c r="K84" s="23">
        <f>IF($A84="","",E84*J84/I84)</f>
        <v/>
      </c>
    </row>
    <row r="85">
      <c r="A85" s="21" t="n">
        <v>2</v>
      </c>
      <c r="B85" s="21" t="inlineStr">
        <is>
          <t>G2_S2</t>
        </is>
      </c>
      <c r="C85" s="21" t="inlineStr">
        <is>
          <t>burette_25mL</t>
        </is>
      </c>
      <c r="D85" s="21" t="n">
        <v>2</v>
      </c>
      <c r="E85" s="21" t="n">
        <v>24.9157</v>
      </c>
      <c r="F85" s="21" t="inlineStr">
        <is>
          <t>g</t>
        </is>
      </c>
      <c r="G85" s="21" t="n">
        <v>25.5</v>
      </c>
      <c r="H85" s="21" t="n"/>
      <c r="I85" s="22">
        <f>IF($A85="","",'2_密度換算'!$C$12*(1-((G85+'2_密度換算'!$C$8)^2*(G85+'2_密度換算'!$C$9))/('2_密度換算'!$C$10*(G85+'2_密度換算'!$C$11)))/1000)</f>
        <v/>
      </c>
      <c r="J85" s="22">
        <f>IF($A85="","",1+'2_密度換算'!$C$6*(1/I85-1/'2_密度換算'!$C$7))</f>
        <v/>
      </c>
      <c r="K85" s="23">
        <f>IF($A85="","",E85*J85/I85)</f>
        <v/>
      </c>
    </row>
    <row r="86">
      <c r="A86" s="21" t="n">
        <v>2</v>
      </c>
      <c r="B86" s="21" t="inlineStr">
        <is>
          <t>G2_S2</t>
        </is>
      </c>
      <c r="C86" s="21" t="inlineStr">
        <is>
          <t>pipette_10mL</t>
        </is>
      </c>
      <c r="D86" s="21" t="n">
        <v>3</v>
      </c>
      <c r="E86" s="21" t="n">
        <v>9.9567</v>
      </c>
      <c r="F86" s="21" t="inlineStr">
        <is>
          <t>g</t>
        </is>
      </c>
      <c r="G86" s="21" t="n">
        <v>25.9</v>
      </c>
      <c r="H86" s="21" t="n"/>
      <c r="I86" s="22">
        <f>IF($A86="","",'2_密度換算'!$C$12*(1-((G86+'2_密度換算'!$C$8)^2*(G86+'2_密度換算'!$C$9))/('2_密度換算'!$C$10*(G86+'2_密度換算'!$C$11)))/1000)</f>
        <v/>
      </c>
      <c r="J86" s="22">
        <f>IF($A86="","",1+'2_密度換算'!$C$6*(1/I86-1/'2_密度換算'!$C$7))</f>
        <v/>
      </c>
      <c r="K86" s="23">
        <f>IF($A86="","",E86*J86/I86)</f>
        <v/>
      </c>
    </row>
    <row r="87">
      <c r="A87" s="21" t="n">
        <v>2</v>
      </c>
      <c r="B87" s="21" t="inlineStr">
        <is>
          <t>G2_S2</t>
        </is>
      </c>
      <c r="C87" s="21" t="inlineStr">
        <is>
          <t>burette_25mL</t>
        </is>
      </c>
      <c r="D87" s="21" t="n">
        <v>3</v>
      </c>
      <c r="E87" s="21" t="n">
        <v>24.9531</v>
      </c>
      <c r="F87" s="21" t="inlineStr">
        <is>
          <t>g</t>
        </is>
      </c>
      <c r="G87" s="21" t="n">
        <v>24.2</v>
      </c>
      <c r="H87" s="21" t="n"/>
      <c r="I87" s="22">
        <f>IF($A87="","",'2_密度換算'!$C$12*(1-((G87+'2_密度換算'!$C$8)^2*(G87+'2_密度換算'!$C$9))/('2_密度換算'!$C$10*(G87+'2_密度換算'!$C$11)))/1000)</f>
        <v/>
      </c>
      <c r="J87" s="22">
        <f>IF($A87="","",1+'2_密度換算'!$C$6*(1/I87-1/'2_密度換算'!$C$7))</f>
        <v/>
      </c>
      <c r="K87" s="23">
        <f>IF($A87="","",E87*J87/I87)</f>
        <v/>
      </c>
    </row>
    <row r="88">
      <c r="A88" s="21" t="n">
        <v>2</v>
      </c>
      <c r="B88" s="21" t="inlineStr">
        <is>
          <t>G2_S2</t>
        </is>
      </c>
      <c r="C88" s="21" t="inlineStr">
        <is>
          <t>pipette_10mL</t>
        </is>
      </c>
      <c r="D88" s="21" t="n">
        <v>4</v>
      </c>
      <c r="E88" s="21" t="n">
        <v>9.965999999999999</v>
      </c>
      <c r="F88" s="21" t="inlineStr">
        <is>
          <t>g</t>
        </is>
      </c>
      <c r="G88" s="21" t="n">
        <v>24.3</v>
      </c>
      <c r="H88" s="21" t="n"/>
      <c r="I88" s="22">
        <f>IF($A88="","",'2_密度換算'!$C$12*(1-((G88+'2_密度換算'!$C$8)^2*(G88+'2_密度換算'!$C$9))/('2_密度換算'!$C$10*(G88+'2_密度換算'!$C$11)))/1000)</f>
        <v/>
      </c>
      <c r="J88" s="22">
        <f>IF($A88="","",1+'2_密度換算'!$C$6*(1/I88-1/'2_密度換算'!$C$7))</f>
        <v/>
      </c>
      <c r="K88" s="23">
        <f>IF($A88="","",E88*J88/I88)</f>
        <v/>
      </c>
    </row>
    <row r="89">
      <c r="A89" s="21" t="n">
        <v>2</v>
      </c>
      <c r="B89" s="21" t="inlineStr">
        <is>
          <t>G2_S2</t>
        </is>
      </c>
      <c r="C89" s="21" t="inlineStr">
        <is>
          <t>burette_25mL</t>
        </is>
      </c>
      <c r="D89" s="21" t="n">
        <v>4</v>
      </c>
      <c r="E89" s="21" t="n">
        <v>24.8933</v>
      </c>
      <c r="F89" s="21" t="inlineStr">
        <is>
          <t>g</t>
        </is>
      </c>
      <c r="G89" s="21" t="n">
        <v>25.2</v>
      </c>
      <c r="H89" s="21" t="n"/>
      <c r="I89" s="22">
        <f>IF($A89="","",'2_密度換算'!$C$12*(1-((G89+'2_密度換算'!$C$8)^2*(G89+'2_密度換算'!$C$9))/('2_密度換算'!$C$10*(G89+'2_密度換算'!$C$11)))/1000)</f>
        <v/>
      </c>
      <c r="J89" s="22">
        <f>IF($A89="","",1+'2_密度換算'!$C$6*(1/I89-1/'2_密度換算'!$C$7))</f>
        <v/>
      </c>
      <c r="K89" s="23">
        <f>IF($A89="","",E89*J89/I89)</f>
        <v/>
      </c>
    </row>
    <row r="90">
      <c r="A90" s="21" t="n">
        <v>2</v>
      </c>
      <c r="B90" s="21" t="inlineStr">
        <is>
          <t>G2_S2</t>
        </is>
      </c>
      <c r="C90" s="21" t="inlineStr">
        <is>
          <t>pipette_10mL</t>
        </is>
      </c>
      <c r="D90" s="21" t="n">
        <v>5</v>
      </c>
      <c r="E90" s="21" t="n">
        <v>9.970599999999999</v>
      </c>
      <c r="F90" s="21" t="inlineStr">
        <is>
          <t>g</t>
        </is>
      </c>
      <c r="G90" s="21" t="n">
        <v>24.6</v>
      </c>
      <c r="H90" s="21" t="n"/>
      <c r="I90" s="22">
        <f>IF($A90="","",'2_密度換算'!$C$12*(1-((G90+'2_密度換算'!$C$8)^2*(G90+'2_密度換算'!$C$9))/('2_密度換算'!$C$10*(G90+'2_密度換算'!$C$11)))/1000)</f>
        <v/>
      </c>
      <c r="J90" s="22">
        <f>IF($A90="","",1+'2_密度換算'!$C$6*(1/I90-1/'2_密度換算'!$C$7))</f>
        <v/>
      </c>
      <c r="K90" s="23">
        <f>IF($A90="","",E90*J90/I90)</f>
        <v/>
      </c>
    </row>
    <row r="91">
      <c r="A91" s="21" t="n">
        <v>2</v>
      </c>
      <c r="B91" s="21" t="inlineStr">
        <is>
          <t>G2_S2</t>
        </is>
      </c>
      <c r="C91" s="21" t="inlineStr">
        <is>
          <t>burette_25mL</t>
        </is>
      </c>
      <c r="D91" s="21" t="n">
        <v>5</v>
      </c>
      <c r="E91" s="21" t="n">
        <v>24.9095</v>
      </c>
      <c r="F91" s="21" t="inlineStr">
        <is>
          <t>g</t>
        </is>
      </c>
      <c r="G91" s="21" t="n">
        <v>25.9</v>
      </c>
      <c r="H91" s="21" t="n"/>
      <c r="I91" s="22">
        <f>IF($A91="","",'2_密度換算'!$C$12*(1-((G91+'2_密度換算'!$C$8)^2*(G91+'2_密度換算'!$C$9))/('2_密度換算'!$C$10*(G91+'2_密度換算'!$C$11)))/1000)</f>
        <v/>
      </c>
      <c r="J91" s="22">
        <f>IF($A91="","",1+'2_密度換算'!$C$6*(1/I91-1/'2_密度換算'!$C$7))</f>
        <v/>
      </c>
      <c r="K91" s="23">
        <f>IF($A91="","",E91*J91/I91)</f>
        <v/>
      </c>
    </row>
    <row r="92">
      <c r="A92" s="21" t="n">
        <v>2</v>
      </c>
      <c r="B92" s="21" t="inlineStr">
        <is>
          <t>G2_S2</t>
        </is>
      </c>
      <c r="C92" s="21" t="inlineStr">
        <is>
          <t>pipette_10mL</t>
        </is>
      </c>
      <c r="D92" s="21" t="n">
        <v>6</v>
      </c>
      <c r="E92" s="21" t="n">
        <v>9.969799999999999</v>
      </c>
      <c r="F92" s="21" t="inlineStr">
        <is>
          <t>g</t>
        </is>
      </c>
      <c r="G92" s="21" t="n">
        <v>24.3</v>
      </c>
      <c r="H92" s="21" t="n"/>
      <c r="I92" s="22">
        <f>IF($A92="","",'2_密度換算'!$C$12*(1-((G92+'2_密度換算'!$C$8)^2*(G92+'2_密度換算'!$C$9))/('2_密度換算'!$C$10*(G92+'2_密度換算'!$C$11)))/1000)</f>
        <v/>
      </c>
      <c r="J92" s="22">
        <f>IF($A92="","",1+'2_密度換算'!$C$6*(1/I92-1/'2_密度換算'!$C$7))</f>
        <v/>
      </c>
      <c r="K92" s="23">
        <f>IF($A92="","",E92*J92/I92)</f>
        <v/>
      </c>
    </row>
    <row r="93">
      <c r="A93" s="21" t="n">
        <v>2</v>
      </c>
      <c r="B93" s="21" t="inlineStr">
        <is>
          <t>G2_S2</t>
        </is>
      </c>
      <c r="C93" s="21" t="inlineStr">
        <is>
          <t>burette_25mL</t>
        </is>
      </c>
      <c r="D93" s="21" t="n">
        <v>6</v>
      </c>
      <c r="E93" s="21" t="n">
        <v>24.9204</v>
      </c>
      <c r="F93" s="21" t="inlineStr">
        <is>
          <t>g</t>
        </is>
      </c>
      <c r="G93" s="21" t="n">
        <v>24.5</v>
      </c>
      <c r="H93" s="21" t="n"/>
      <c r="I93" s="22">
        <f>IF($A93="","",'2_密度換算'!$C$12*(1-((G93+'2_密度換算'!$C$8)^2*(G93+'2_密度換算'!$C$9))/('2_密度換算'!$C$10*(G93+'2_密度換算'!$C$11)))/1000)</f>
        <v/>
      </c>
      <c r="J93" s="22">
        <f>IF($A93="","",1+'2_密度換算'!$C$6*(1/I93-1/'2_密度換算'!$C$7))</f>
        <v/>
      </c>
      <c r="K93" s="23">
        <f>IF($A93="","",E93*J93/I93)</f>
        <v/>
      </c>
    </row>
    <row r="94">
      <c r="A94" s="21" t="n">
        <v>2</v>
      </c>
      <c r="B94" s="21" t="inlineStr">
        <is>
          <t>G2_S2</t>
        </is>
      </c>
      <c r="C94" s="21" t="inlineStr">
        <is>
          <t>pipette_10mL</t>
        </is>
      </c>
      <c r="D94" s="21" t="n">
        <v>7</v>
      </c>
      <c r="E94" s="21" t="n">
        <v>9.954499999999999</v>
      </c>
      <c r="F94" s="21" t="inlineStr">
        <is>
          <t>g</t>
        </is>
      </c>
      <c r="G94" s="21" t="n">
        <v>25.4</v>
      </c>
      <c r="H94" s="21" t="n"/>
      <c r="I94" s="22">
        <f>IF($A94="","",'2_密度換算'!$C$12*(1-((G94+'2_密度換算'!$C$8)^2*(G94+'2_密度換算'!$C$9))/('2_密度換算'!$C$10*(G94+'2_密度換算'!$C$11)))/1000)</f>
        <v/>
      </c>
      <c r="J94" s="22">
        <f>IF($A94="","",1+'2_密度換算'!$C$6*(1/I94-1/'2_密度換算'!$C$7))</f>
        <v/>
      </c>
      <c r="K94" s="23">
        <f>IF($A94="","",E94*J94/I94)</f>
        <v/>
      </c>
    </row>
    <row r="95">
      <c r="A95" s="21" t="n">
        <v>2</v>
      </c>
      <c r="B95" s="21" t="inlineStr">
        <is>
          <t>G2_S2</t>
        </is>
      </c>
      <c r="C95" s="21" t="inlineStr">
        <is>
          <t>burette_25mL</t>
        </is>
      </c>
      <c r="D95" s="21" t="n">
        <v>7</v>
      </c>
      <c r="E95" s="21" t="n">
        <v>24.8996</v>
      </c>
      <c r="F95" s="21" t="inlineStr">
        <is>
          <t>g</t>
        </is>
      </c>
      <c r="G95" s="21" t="n">
        <v>25</v>
      </c>
      <c r="H95" s="21" t="n"/>
      <c r="I95" s="22">
        <f>IF($A95="","",'2_密度換算'!$C$12*(1-((G95+'2_密度換算'!$C$8)^2*(G95+'2_密度換算'!$C$9))/('2_密度換算'!$C$10*(G95+'2_密度換算'!$C$11)))/1000)</f>
        <v/>
      </c>
      <c r="J95" s="22">
        <f>IF($A95="","",1+'2_密度換算'!$C$6*(1/I95-1/'2_密度換算'!$C$7))</f>
        <v/>
      </c>
      <c r="K95" s="23">
        <f>IF($A95="","",E95*J95/I95)</f>
        <v/>
      </c>
    </row>
    <row r="96">
      <c r="A96" s="21" t="n">
        <v>2</v>
      </c>
      <c r="B96" s="21" t="inlineStr">
        <is>
          <t>G2_S2</t>
        </is>
      </c>
      <c r="C96" s="21" t="inlineStr">
        <is>
          <t>pipette_10mL</t>
        </is>
      </c>
      <c r="D96" s="21" t="n">
        <v>8</v>
      </c>
      <c r="E96" s="21" t="n">
        <v>9.9611</v>
      </c>
      <c r="F96" s="21" t="inlineStr">
        <is>
          <t>g</t>
        </is>
      </c>
      <c r="G96" s="21" t="n">
        <v>25.2</v>
      </c>
      <c r="H96" s="21" t="n"/>
      <c r="I96" s="22">
        <f>IF($A96="","",'2_密度換算'!$C$12*(1-((G96+'2_密度換算'!$C$8)^2*(G96+'2_密度換算'!$C$9))/('2_密度換算'!$C$10*(G96+'2_密度換算'!$C$11)))/1000)</f>
        <v/>
      </c>
      <c r="J96" s="22">
        <f>IF($A96="","",1+'2_密度換算'!$C$6*(1/I96-1/'2_密度換算'!$C$7))</f>
        <v/>
      </c>
      <c r="K96" s="23">
        <f>IF($A96="","",E96*J96/I96)</f>
        <v/>
      </c>
    </row>
    <row r="97">
      <c r="A97" s="21" t="n">
        <v>2</v>
      </c>
      <c r="B97" s="21" t="inlineStr">
        <is>
          <t>G2_S2</t>
        </is>
      </c>
      <c r="C97" s="21" t="inlineStr">
        <is>
          <t>burette_25mL</t>
        </is>
      </c>
      <c r="D97" s="21" t="n">
        <v>8</v>
      </c>
      <c r="E97" s="21" t="n">
        <v>24.9289</v>
      </c>
      <c r="F97" s="21" t="inlineStr">
        <is>
          <t>g</t>
        </is>
      </c>
      <c r="G97" s="21" t="n">
        <v>25.6</v>
      </c>
      <c r="H97" s="21" t="n"/>
      <c r="I97" s="22">
        <f>IF($A97="","",'2_密度換算'!$C$12*(1-((G97+'2_密度換算'!$C$8)^2*(G97+'2_密度換算'!$C$9))/('2_密度換算'!$C$10*(G97+'2_密度換算'!$C$11)))/1000)</f>
        <v/>
      </c>
      <c r="J97" s="22">
        <f>IF($A97="","",1+'2_密度換算'!$C$6*(1/I97-1/'2_密度換算'!$C$7))</f>
        <v/>
      </c>
      <c r="K97" s="23">
        <f>IF($A97="","",E97*J97/I97)</f>
        <v/>
      </c>
    </row>
    <row r="98">
      <c r="A98" s="21" t="n">
        <v>2</v>
      </c>
      <c r="B98" s="21" t="inlineStr">
        <is>
          <t>G2_S2</t>
        </is>
      </c>
      <c r="C98" s="21" t="inlineStr">
        <is>
          <t>pipette_10mL</t>
        </is>
      </c>
      <c r="D98" s="21" t="n">
        <v>9</v>
      </c>
      <c r="E98" s="21" t="n">
        <v>9.9651</v>
      </c>
      <c r="F98" s="21" t="inlineStr">
        <is>
          <t>g</t>
        </is>
      </c>
      <c r="G98" s="21" t="n">
        <v>25.5</v>
      </c>
      <c r="H98" s="21" t="n"/>
      <c r="I98" s="22">
        <f>IF($A98="","",'2_密度換算'!$C$12*(1-((G98+'2_密度換算'!$C$8)^2*(G98+'2_密度換算'!$C$9))/('2_密度換算'!$C$10*(G98+'2_密度換算'!$C$11)))/1000)</f>
        <v/>
      </c>
      <c r="J98" s="22">
        <f>IF($A98="","",1+'2_密度換算'!$C$6*(1/I98-1/'2_密度換算'!$C$7))</f>
        <v/>
      </c>
      <c r="K98" s="23">
        <f>IF($A98="","",E98*J98/I98)</f>
        <v/>
      </c>
    </row>
    <row r="99">
      <c r="A99" s="21" t="n">
        <v>2</v>
      </c>
      <c r="B99" s="21" t="inlineStr">
        <is>
          <t>G2_S2</t>
        </is>
      </c>
      <c r="C99" s="21" t="inlineStr">
        <is>
          <t>burette_25mL</t>
        </is>
      </c>
      <c r="D99" s="21" t="n">
        <v>9</v>
      </c>
      <c r="E99" s="21" t="n">
        <v>24.9298</v>
      </c>
      <c r="F99" s="21" t="inlineStr">
        <is>
          <t>g</t>
        </is>
      </c>
      <c r="G99" s="21" t="n">
        <v>24.2</v>
      </c>
      <c r="H99" s="21" t="n"/>
      <c r="I99" s="22">
        <f>IF($A99="","",'2_密度換算'!$C$12*(1-((G99+'2_密度換算'!$C$8)^2*(G99+'2_密度換算'!$C$9))/('2_密度換算'!$C$10*(G99+'2_密度換算'!$C$11)))/1000)</f>
        <v/>
      </c>
      <c r="J99" s="22">
        <f>IF($A99="","",1+'2_密度換算'!$C$6*(1/I99-1/'2_密度換算'!$C$7))</f>
        <v/>
      </c>
      <c r="K99" s="23">
        <f>IF($A99="","",E99*J99/I99)</f>
        <v/>
      </c>
    </row>
    <row r="100">
      <c r="A100" s="21" t="n">
        <v>2</v>
      </c>
      <c r="B100" s="21" t="inlineStr">
        <is>
          <t>G2_S2</t>
        </is>
      </c>
      <c r="C100" s="21" t="inlineStr">
        <is>
          <t>pipette_10mL</t>
        </is>
      </c>
      <c r="D100" s="21" t="n">
        <v>10</v>
      </c>
      <c r="E100" s="21" t="n">
        <v>9.965</v>
      </c>
      <c r="F100" s="21" t="inlineStr">
        <is>
          <t>g</t>
        </is>
      </c>
      <c r="G100" s="21" t="n">
        <v>24.8</v>
      </c>
      <c r="H100" s="21" t="n"/>
      <c r="I100" s="22">
        <f>IF($A100="","",'2_密度換算'!$C$12*(1-((G100+'2_密度換算'!$C$8)^2*(G100+'2_密度換算'!$C$9))/('2_密度換算'!$C$10*(G100+'2_密度換算'!$C$11)))/1000)</f>
        <v/>
      </c>
      <c r="J100" s="22">
        <f>IF($A100="","",1+'2_密度換算'!$C$6*(1/I100-1/'2_密度換算'!$C$7))</f>
        <v/>
      </c>
      <c r="K100" s="23">
        <f>IF($A100="","",E100*J100/I100)</f>
        <v/>
      </c>
    </row>
    <row r="101">
      <c r="A101" s="21" t="n">
        <v>2</v>
      </c>
      <c r="B101" s="21" t="inlineStr">
        <is>
          <t>G2_S2</t>
        </is>
      </c>
      <c r="C101" s="21" t="inlineStr">
        <is>
          <t>burette_25mL</t>
        </is>
      </c>
      <c r="D101" s="21" t="n">
        <v>10</v>
      </c>
      <c r="E101" s="21" t="n">
        <v>24.9257</v>
      </c>
      <c r="F101" s="21" t="inlineStr">
        <is>
          <t>g</t>
        </is>
      </c>
      <c r="G101" s="21" t="n">
        <v>25</v>
      </c>
      <c r="H101" s="21" t="n"/>
      <c r="I101" s="22">
        <f>IF($A101="","",'2_密度換算'!$C$12*(1-((G101+'2_密度換算'!$C$8)^2*(G101+'2_密度換算'!$C$9))/('2_密度換算'!$C$10*(G101+'2_密度換算'!$C$11)))/1000)</f>
        <v/>
      </c>
      <c r="J101" s="22">
        <f>IF($A101="","",1+'2_密度換算'!$C$6*(1/I101-1/'2_密度換算'!$C$7))</f>
        <v/>
      </c>
      <c r="K101" s="23">
        <f>IF($A101="","",E101*J101/I101)</f>
        <v/>
      </c>
    </row>
    <row r="102">
      <c r="A102" s="21" t="n">
        <v>2</v>
      </c>
      <c r="B102" s="21" t="inlineStr">
        <is>
          <t>G2_S3</t>
        </is>
      </c>
      <c r="C102" s="21" t="inlineStr">
        <is>
          <t>pipette_10mL</t>
        </is>
      </c>
      <c r="D102" s="21" t="n">
        <v>1</v>
      </c>
      <c r="E102" s="21" t="n">
        <v>9.967700000000001</v>
      </c>
      <c r="F102" s="21" t="inlineStr">
        <is>
          <t>g</t>
        </is>
      </c>
      <c r="G102" s="21" t="n">
        <v>25.1</v>
      </c>
      <c r="H102" s="21" t="n"/>
      <c r="I102" s="22">
        <f>IF($A102="","",'2_密度換算'!$C$12*(1-((G102+'2_密度換算'!$C$8)^2*(G102+'2_密度換算'!$C$9))/('2_密度換算'!$C$10*(G102+'2_密度換算'!$C$11)))/1000)</f>
        <v/>
      </c>
      <c r="J102" s="22">
        <f>IF($A102="","",1+'2_密度換算'!$C$6*(1/I102-1/'2_密度換算'!$C$7))</f>
        <v/>
      </c>
      <c r="K102" s="23">
        <f>IF($A102="","",E102*J102/I102)</f>
        <v/>
      </c>
    </row>
    <row r="103">
      <c r="A103" s="21" t="n">
        <v>2</v>
      </c>
      <c r="B103" s="21" t="inlineStr">
        <is>
          <t>G2_S3</t>
        </is>
      </c>
      <c r="C103" s="21" t="inlineStr">
        <is>
          <t>burette_25mL</t>
        </is>
      </c>
      <c r="D103" s="21" t="n">
        <v>1</v>
      </c>
      <c r="E103" s="21" t="n">
        <v>24.9228</v>
      </c>
      <c r="F103" s="21" t="inlineStr">
        <is>
          <t>g</t>
        </is>
      </c>
      <c r="G103" s="21" t="n">
        <v>24.2</v>
      </c>
      <c r="H103" s="21" t="n"/>
      <c r="I103" s="22">
        <f>IF($A103="","",'2_密度換算'!$C$12*(1-((G103+'2_密度換算'!$C$8)^2*(G103+'2_密度換算'!$C$9))/('2_密度換算'!$C$10*(G103+'2_密度換算'!$C$11)))/1000)</f>
        <v/>
      </c>
      <c r="J103" s="22">
        <f>IF($A103="","",1+'2_密度換算'!$C$6*(1/I103-1/'2_密度換算'!$C$7))</f>
        <v/>
      </c>
      <c r="K103" s="23">
        <f>IF($A103="","",E103*J103/I103)</f>
        <v/>
      </c>
    </row>
    <row r="104">
      <c r="A104" s="21" t="n">
        <v>2</v>
      </c>
      <c r="B104" s="21" t="inlineStr">
        <is>
          <t>G2_S3</t>
        </is>
      </c>
      <c r="C104" s="21" t="inlineStr">
        <is>
          <t>pipette_10mL</t>
        </is>
      </c>
      <c r="D104" s="21" t="n">
        <v>2</v>
      </c>
      <c r="E104" s="21" t="n">
        <v>9.977399999999999</v>
      </c>
      <c r="F104" s="21" t="inlineStr">
        <is>
          <t>g</t>
        </is>
      </c>
      <c r="G104" s="21" t="n">
        <v>24.8</v>
      </c>
      <c r="H104" s="21" t="n"/>
      <c r="I104" s="22">
        <f>IF($A104="","",'2_密度換算'!$C$12*(1-((G104+'2_密度換算'!$C$8)^2*(G104+'2_密度換算'!$C$9))/('2_密度換算'!$C$10*(G104+'2_密度換算'!$C$11)))/1000)</f>
        <v/>
      </c>
      <c r="J104" s="22">
        <f>IF($A104="","",1+'2_密度換算'!$C$6*(1/I104-1/'2_密度換算'!$C$7))</f>
        <v/>
      </c>
      <c r="K104" s="23">
        <f>IF($A104="","",E104*J104/I104)</f>
        <v/>
      </c>
    </row>
    <row r="105">
      <c r="A105" s="21" t="n">
        <v>2</v>
      </c>
      <c r="B105" s="21" t="inlineStr">
        <is>
          <t>G2_S3</t>
        </is>
      </c>
      <c r="C105" s="21" t="inlineStr">
        <is>
          <t>burette_25mL</t>
        </is>
      </c>
      <c r="D105" s="21" t="n">
        <v>2</v>
      </c>
      <c r="E105" s="21" t="n">
        <v>24.9069</v>
      </c>
      <c r="F105" s="21" t="inlineStr">
        <is>
          <t>g</t>
        </is>
      </c>
      <c r="G105" s="21" t="n">
        <v>25.2</v>
      </c>
      <c r="H105" s="21" t="n"/>
      <c r="I105" s="22">
        <f>IF($A105="","",'2_密度換算'!$C$12*(1-((G105+'2_密度換算'!$C$8)^2*(G105+'2_密度換算'!$C$9))/('2_密度換算'!$C$10*(G105+'2_密度換算'!$C$11)))/1000)</f>
        <v/>
      </c>
      <c r="J105" s="22">
        <f>IF($A105="","",1+'2_密度換算'!$C$6*(1/I105-1/'2_密度換算'!$C$7))</f>
        <v/>
      </c>
      <c r="K105" s="23">
        <f>IF($A105="","",E105*J105/I105)</f>
        <v/>
      </c>
    </row>
    <row r="106">
      <c r="A106" s="21" t="n">
        <v>2</v>
      </c>
      <c r="B106" s="21" t="inlineStr">
        <is>
          <t>G2_S3</t>
        </is>
      </c>
      <c r="C106" s="21" t="inlineStr">
        <is>
          <t>pipette_10mL</t>
        </is>
      </c>
      <c r="D106" s="21" t="n">
        <v>3</v>
      </c>
      <c r="E106" s="21" t="n">
        <v>9.960100000000001</v>
      </c>
      <c r="F106" s="21" t="inlineStr">
        <is>
          <t>g</t>
        </is>
      </c>
      <c r="G106" s="21" t="n">
        <v>25.6</v>
      </c>
      <c r="H106" s="21" t="n"/>
      <c r="I106" s="22">
        <f>IF($A106="","",'2_密度換算'!$C$12*(1-((G106+'2_密度換算'!$C$8)^2*(G106+'2_密度換算'!$C$9))/('2_密度換算'!$C$10*(G106+'2_密度換算'!$C$11)))/1000)</f>
        <v/>
      </c>
      <c r="J106" s="22">
        <f>IF($A106="","",1+'2_密度換算'!$C$6*(1/I106-1/'2_密度換算'!$C$7))</f>
        <v/>
      </c>
      <c r="K106" s="23">
        <f>IF($A106="","",E106*J106/I106)</f>
        <v/>
      </c>
    </row>
    <row r="107">
      <c r="A107" s="21" t="n">
        <v>2</v>
      </c>
      <c r="B107" s="21" t="inlineStr">
        <is>
          <t>G2_S3</t>
        </is>
      </c>
      <c r="C107" s="21" t="inlineStr">
        <is>
          <t>burette_25mL</t>
        </is>
      </c>
      <c r="D107" s="21" t="n">
        <v>3</v>
      </c>
      <c r="E107" s="21" t="n">
        <v>24.9162</v>
      </c>
      <c r="F107" s="21" t="inlineStr">
        <is>
          <t>g</t>
        </is>
      </c>
      <c r="G107" s="21" t="n">
        <v>25.6</v>
      </c>
      <c r="H107" s="21" t="n"/>
      <c r="I107" s="22">
        <f>IF($A107="","",'2_密度換算'!$C$12*(1-((G107+'2_密度換算'!$C$8)^2*(G107+'2_密度換算'!$C$9))/('2_密度換算'!$C$10*(G107+'2_密度換算'!$C$11)))/1000)</f>
        <v/>
      </c>
      <c r="J107" s="22">
        <f>IF($A107="","",1+'2_密度換算'!$C$6*(1/I107-1/'2_密度換算'!$C$7))</f>
        <v/>
      </c>
      <c r="K107" s="23">
        <f>IF($A107="","",E107*J107/I107)</f>
        <v/>
      </c>
    </row>
    <row r="108">
      <c r="A108" s="21" t="n">
        <v>2</v>
      </c>
      <c r="B108" s="21" t="inlineStr">
        <is>
          <t>G2_S3</t>
        </is>
      </c>
      <c r="C108" s="21" t="inlineStr">
        <is>
          <t>pipette_10mL</t>
        </is>
      </c>
      <c r="D108" s="21" t="n">
        <v>4</v>
      </c>
      <c r="E108" s="21" t="n">
        <v>9.9665</v>
      </c>
      <c r="F108" s="21" t="inlineStr">
        <is>
          <t>g</t>
        </is>
      </c>
      <c r="G108" s="21" t="n">
        <v>24.2</v>
      </c>
      <c r="H108" s="21" t="n"/>
      <c r="I108" s="22">
        <f>IF($A108="","",'2_密度換算'!$C$12*(1-((G108+'2_密度換算'!$C$8)^2*(G108+'2_密度換算'!$C$9))/('2_密度換算'!$C$10*(G108+'2_密度換算'!$C$11)))/1000)</f>
        <v/>
      </c>
      <c r="J108" s="22">
        <f>IF($A108="","",1+'2_密度換算'!$C$6*(1/I108-1/'2_密度換算'!$C$7))</f>
        <v/>
      </c>
      <c r="K108" s="23">
        <f>IF($A108="","",E108*J108/I108)</f>
        <v/>
      </c>
    </row>
    <row r="109">
      <c r="A109" s="21" t="n">
        <v>2</v>
      </c>
      <c r="B109" s="21" t="inlineStr">
        <is>
          <t>G2_S3</t>
        </is>
      </c>
      <c r="C109" s="21" t="inlineStr">
        <is>
          <t>burette_25mL</t>
        </is>
      </c>
      <c r="D109" s="21" t="n">
        <v>4</v>
      </c>
      <c r="E109" s="21" t="n">
        <v>24.8911</v>
      </c>
      <c r="F109" s="21" t="inlineStr">
        <is>
          <t>g</t>
        </is>
      </c>
      <c r="G109" s="21" t="n">
        <v>25.6</v>
      </c>
      <c r="H109" s="21" t="n"/>
      <c r="I109" s="22">
        <f>IF($A109="","",'2_密度換算'!$C$12*(1-((G109+'2_密度換算'!$C$8)^2*(G109+'2_密度換算'!$C$9))/('2_密度換算'!$C$10*(G109+'2_密度換算'!$C$11)))/1000)</f>
        <v/>
      </c>
      <c r="J109" s="22">
        <f>IF($A109="","",1+'2_密度換算'!$C$6*(1/I109-1/'2_密度換算'!$C$7))</f>
        <v/>
      </c>
      <c r="K109" s="23">
        <f>IF($A109="","",E109*J109/I109)</f>
        <v/>
      </c>
    </row>
    <row r="110">
      <c r="A110" s="21" t="n">
        <v>2</v>
      </c>
      <c r="B110" s="21" t="inlineStr">
        <is>
          <t>G2_S3</t>
        </is>
      </c>
      <c r="C110" s="21" t="inlineStr">
        <is>
          <t>pipette_10mL</t>
        </is>
      </c>
      <c r="D110" s="21" t="n">
        <v>5</v>
      </c>
      <c r="E110" s="21" t="n">
        <v>9.962899999999999</v>
      </c>
      <c r="F110" s="21" t="inlineStr">
        <is>
          <t>g</t>
        </is>
      </c>
      <c r="G110" s="21" t="n">
        <v>25.1</v>
      </c>
      <c r="H110" s="21" t="n"/>
      <c r="I110" s="22">
        <f>IF($A110="","",'2_密度換算'!$C$12*(1-((G110+'2_密度換算'!$C$8)^2*(G110+'2_密度換算'!$C$9))/('2_密度換算'!$C$10*(G110+'2_密度換算'!$C$11)))/1000)</f>
        <v/>
      </c>
      <c r="J110" s="22">
        <f>IF($A110="","",1+'2_密度換算'!$C$6*(1/I110-1/'2_密度換算'!$C$7))</f>
        <v/>
      </c>
      <c r="K110" s="23">
        <f>IF($A110="","",E110*J110/I110)</f>
        <v/>
      </c>
    </row>
    <row r="111">
      <c r="A111" s="21" t="n">
        <v>2</v>
      </c>
      <c r="B111" s="21" t="inlineStr">
        <is>
          <t>G2_S3</t>
        </is>
      </c>
      <c r="C111" s="21" t="inlineStr">
        <is>
          <t>burette_25mL</t>
        </is>
      </c>
      <c r="D111" s="21" t="n">
        <v>5</v>
      </c>
      <c r="E111" s="21" t="n">
        <v>24.9349</v>
      </c>
      <c r="F111" s="21" t="inlineStr">
        <is>
          <t>g</t>
        </is>
      </c>
      <c r="G111" s="21" t="n">
        <v>25.7</v>
      </c>
      <c r="H111" s="21" t="n"/>
      <c r="I111" s="22">
        <f>IF($A111="","",'2_密度換算'!$C$12*(1-((G111+'2_密度換算'!$C$8)^2*(G111+'2_密度換算'!$C$9))/('2_密度換算'!$C$10*(G111+'2_密度換算'!$C$11)))/1000)</f>
        <v/>
      </c>
      <c r="J111" s="22">
        <f>IF($A111="","",1+'2_密度換算'!$C$6*(1/I111-1/'2_密度換算'!$C$7))</f>
        <v/>
      </c>
      <c r="K111" s="23">
        <f>IF($A111="","",E111*J111/I111)</f>
        <v/>
      </c>
    </row>
    <row r="112">
      <c r="A112" s="21" t="n">
        <v>2</v>
      </c>
      <c r="B112" s="21" t="inlineStr">
        <is>
          <t>G2_S3</t>
        </is>
      </c>
      <c r="C112" s="21" t="inlineStr">
        <is>
          <t>pipette_10mL</t>
        </is>
      </c>
      <c r="D112" s="21" t="n">
        <v>6</v>
      </c>
      <c r="E112" s="21" t="n">
        <v>9.964399999999999</v>
      </c>
      <c r="F112" s="21" t="inlineStr">
        <is>
          <t>g</t>
        </is>
      </c>
      <c r="G112" s="21" t="n">
        <v>24.8</v>
      </c>
      <c r="H112" s="21" t="n"/>
      <c r="I112" s="22">
        <f>IF($A112="","",'2_密度換算'!$C$12*(1-((G112+'2_密度換算'!$C$8)^2*(G112+'2_密度換算'!$C$9))/('2_密度換算'!$C$10*(G112+'2_密度換算'!$C$11)))/1000)</f>
        <v/>
      </c>
      <c r="J112" s="22">
        <f>IF($A112="","",1+'2_密度換算'!$C$6*(1/I112-1/'2_密度換算'!$C$7))</f>
        <v/>
      </c>
      <c r="K112" s="23">
        <f>IF($A112="","",E112*J112/I112)</f>
        <v/>
      </c>
    </row>
    <row r="113">
      <c r="A113" s="21" t="n">
        <v>2</v>
      </c>
      <c r="B113" s="21" t="inlineStr">
        <is>
          <t>G2_S3</t>
        </is>
      </c>
      <c r="C113" s="21" t="inlineStr">
        <is>
          <t>burette_25mL</t>
        </is>
      </c>
      <c r="D113" s="21" t="n">
        <v>6</v>
      </c>
      <c r="E113" s="21" t="n">
        <v>24.897</v>
      </c>
      <c r="F113" s="21" t="inlineStr">
        <is>
          <t>g</t>
        </is>
      </c>
      <c r="G113" s="21" t="n">
        <v>25.3</v>
      </c>
      <c r="H113" s="21" t="n"/>
      <c r="I113" s="22">
        <f>IF($A113="","",'2_密度換算'!$C$12*(1-((G113+'2_密度換算'!$C$8)^2*(G113+'2_密度換算'!$C$9))/('2_密度換算'!$C$10*(G113+'2_密度換算'!$C$11)))/1000)</f>
        <v/>
      </c>
      <c r="J113" s="22">
        <f>IF($A113="","",1+'2_密度換算'!$C$6*(1/I113-1/'2_密度換算'!$C$7))</f>
        <v/>
      </c>
      <c r="K113" s="23">
        <f>IF($A113="","",E113*J113/I113)</f>
        <v/>
      </c>
    </row>
    <row r="114">
      <c r="A114" s="21" t="n">
        <v>2</v>
      </c>
      <c r="B114" s="21" t="inlineStr">
        <is>
          <t>G2_S3</t>
        </is>
      </c>
      <c r="C114" s="21" t="inlineStr">
        <is>
          <t>pipette_10mL</t>
        </is>
      </c>
      <c r="D114" s="21" t="n">
        <v>7</v>
      </c>
      <c r="E114" s="21" t="n">
        <v>9.9757</v>
      </c>
      <c r="F114" s="21" t="inlineStr">
        <is>
          <t>g</t>
        </is>
      </c>
      <c r="G114" s="21" t="n">
        <v>24.9</v>
      </c>
      <c r="H114" s="21" t="n"/>
      <c r="I114" s="22">
        <f>IF($A114="","",'2_密度換算'!$C$12*(1-((G114+'2_密度換算'!$C$8)^2*(G114+'2_密度換算'!$C$9))/('2_密度換算'!$C$10*(G114+'2_密度換算'!$C$11)))/1000)</f>
        <v/>
      </c>
      <c r="J114" s="22">
        <f>IF($A114="","",1+'2_密度換算'!$C$6*(1/I114-1/'2_密度換算'!$C$7))</f>
        <v/>
      </c>
      <c r="K114" s="23">
        <f>IF($A114="","",E114*J114/I114)</f>
        <v/>
      </c>
    </row>
    <row r="115">
      <c r="A115" s="21" t="n">
        <v>2</v>
      </c>
      <c r="B115" s="21" t="inlineStr">
        <is>
          <t>G2_S3</t>
        </is>
      </c>
      <c r="C115" s="21" t="inlineStr">
        <is>
          <t>burette_25mL</t>
        </is>
      </c>
      <c r="D115" s="21" t="n">
        <v>7</v>
      </c>
      <c r="E115" s="21" t="n">
        <v>24.9088</v>
      </c>
      <c r="F115" s="21" t="inlineStr">
        <is>
          <t>g</t>
        </is>
      </c>
      <c r="G115" s="21" t="n">
        <v>24.5</v>
      </c>
      <c r="H115" s="21" t="n"/>
      <c r="I115" s="22">
        <f>IF($A115="","",'2_密度換算'!$C$12*(1-((G115+'2_密度換算'!$C$8)^2*(G115+'2_密度換算'!$C$9))/('2_密度換算'!$C$10*(G115+'2_密度換算'!$C$11)))/1000)</f>
        <v/>
      </c>
      <c r="J115" s="22">
        <f>IF($A115="","",1+'2_密度換算'!$C$6*(1/I115-1/'2_密度換算'!$C$7))</f>
        <v/>
      </c>
      <c r="K115" s="23">
        <f>IF($A115="","",E115*J115/I115)</f>
        <v/>
      </c>
    </row>
    <row r="116">
      <c r="A116" s="21" t="n">
        <v>2</v>
      </c>
      <c r="B116" s="21" t="inlineStr">
        <is>
          <t>G2_S3</t>
        </is>
      </c>
      <c r="C116" s="21" t="inlineStr">
        <is>
          <t>pipette_10mL</t>
        </is>
      </c>
      <c r="D116" s="21" t="n">
        <v>8</v>
      </c>
      <c r="E116" s="21" t="n">
        <v>9.976800000000001</v>
      </c>
      <c r="F116" s="21" t="inlineStr">
        <is>
          <t>g</t>
        </is>
      </c>
      <c r="G116" s="21" t="n">
        <v>25.6</v>
      </c>
      <c r="H116" s="21" t="n"/>
      <c r="I116" s="22">
        <f>IF($A116="","",'2_密度換算'!$C$12*(1-((G116+'2_密度換算'!$C$8)^2*(G116+'2_密度換算'!$C$9))/('2_密度換算'!$C$10*(G116+'2_密度換算'!$C$11)))/1000)</f>
        <v/>
      </c>
      <c r="J116" s="22">
        <f>IF($A116="","",1+'2_密度換算'!$C$6*(1/I116-1/'2_密度換算'!$C$7))</f>
        <v/>
      </c>
      <c r="K116" s="23">
        <f>IF($A116="","",E116*J116/I116)</f>
        <v/>
      </c>
    </row>
    <row r="117">
      <c r="A117" s="21" t="n">
        <v>2</v>
      </c>
      <c r="B117" s="21" t="inlineStr">
        <is>
          <t>G2_S3</t>
        </is>
      </c>
      <c r="C117" s="21" t="inlineStr">
        <is>
          <t>burette_25mL</t>
        </is>
      </c>
      <c r="D117" s="21" t="n">
        <v>8</v>
      </c>
      <c r="E117" s="21" t="n">
        <v>24.9188</v>
      </c>
      <c r="F117" s="21" t="inlineStr">
        <is>
          <t>g</t>
        </is>
      </c>
      <c r="G117" s="21" t="n">
        <v>24.1</v>
      </c>
      <c r="H117" s="21" t="n"/>
      <c r="I117" s="22">
        <f>IF($A117="","",'2_密度換算'!$C$12*(1-((G117+'2_密度換算'!$C$8)^2*(G117+'2_密度換算'!$C$9))/('2_密度換算'!$C$10*(G117+'2_密度換算'!$C$11)))/1000)</f>
        <v/>
      </c>
      <c r="J117" s="22">
        <f>IF($A117="","",1+'2_密度換算'!$C$6*(1/I117-1/'2_密度換算'!$C$7))</f>
        <v/>
      </c>
      <c r="K117" s="23">
        <f>IF($A117="","",E117*J117/I117)</f>
        <v/>
      </c>
    </row>
    <row r="118">
      <c r="A118" s="21" t="n">
        <v>2</v>
      </c>
      <c r="B118" s="21" t="inlineStr">
        <is>
          <t>G2_S3</t>
        </is>
      </c>
      <c r="C118" s="21" t="inlineStr">
        <is>
          <t>pipette_10mL</t>
        </is>
      </c>
      <c r="D118" s="21" t="n">
        <v>9</v>
      </c>
      <c r="E118" s="21" t="n">
        <v>9.9757</v>
      </c>
      <c r="F118" s="21" t="inlineStr">
        <is>
          <t>g</t>
        </is>
      </c>
      <c r="G118" s="21" t="n">
        <v>24.3</v>
      </c>
      <c r="H118" s="21" t="n"/>
      <c r="I118" s="22">
        <f>IF($A118="","",'2_密度換算'!$C$12*(1-((G118+'2_密度換算'!$C$8)^2*(G118+'2_密度換算'!$C$9))/('2_密度換算'!$C$10*(G118+'2_密度換算'!$C$11)))/1000)</f>
        <v/>
      </c>
      <c r="J118" s="22">
        <f>IF($A118="","",1+'2_密度換算'!$C$6*(1/I118-1/'2_密度換算'!$C$7))</f>
        <v/>
      </c>
      <c r="K118" s="23">
        <f>IF($A118="","",E118*J118/I118)</f>
        <v/>
      </c>
    </row>
    <row r="119">
      <c r="A119" s="21" t="n">
        <v>2</v>
      </c>
      <c r="B119" s="21" t="inlineStr">
        <is>
          <t>G2_S3</t>
        </is>
      </c>
      <c r="C119" s="21" t="inlineStr">
        <is>
          <t>burette_25mL</t>
        </is>
      </c>
      <c r="D119" s="21" t="n">
        <v>9</v>
      </c>
      <c r="E119" s="21" t="n">
        <v>24.9169</v>
      </c>
      <c r="F119" s="21" t="inlineStr">
        <is>
          <t>g</t>
        </is>
      </c>
      <c r="G119" s="21" t="n">
        <v>24.6</v>
      </c>
      <c r="H119" s="21" t="n"/>
      <c r="I119" s="22">
        <f>IF($A119="","",'2_密度換算'!$C$12*(1-((G119+'2_密度換算'!$C$8)^2*(G119+'2_密度換算'!$C$9))/('2_密度換算'!$C$10*(G119+'2_密度換算'!$C$11)))/1000)</f>
        <v/>
      </c>
      <c r="J119" s="22">
        <f>IF($A119="","",1+'2_密度換算'!$C$6*(1/I119-1/'2_密度換算'!$C$7))</f>
        <v/>
      </c>
      <c r="K119" s="23">
        <f>IF($A119="","",E119*J119/I119)</f>
        <v/>
      </c>
    </row>
    <row r="120">
      <c r="A120" s="21" t="n">
        <v>2</v>
      </c>
      <c r="B120" s="21" t="inlineStr">
        <is>
          <t>G2_S3</t>
        </is>
      </c>
      <c r="C120" s="21" t="inlineStr">
        <is>
          <t>pipette_10mL</t>
        </is>
      </c>
      <c r="D120" s="21" t="n">
        <v>10</v>
      </c>
      <c r="E120" s="21" t="n">
        <v>9.966799999999999</v>
      </c>
      <c r="F120" s="21" t="inlineStr">
        <is>
          <t>g</t>
        </is>
      </c>
      <c r="G120" s="21" t="n">
        <v>25.8</v>
      </c>
      <c r="H120" s="21" t="n"/>
      <c r="I120" s="22">
        <f>IF($A120="","",'2_密度換算'!$C$12*(1-((G120+'2_密度換算'!$C$8)^2*(G120+'2_密度換算'!$C$9))/('2_密度換算'!$C$10*(G120+'2_密度換算'!$C$11)))/1000)</f>
        <v/>
      </c>
      <c r="J120" s="22">
        <f>IF($A120="","",1+'2_密度換算'!$C$6*(1/I120-1/'2_密度換算'!$C$7))</f>
        <v/>
      </c>
      <c r="K120" s="23">
        <f>IF($A120="","",E120*J120/I120)</f>
        <v/>
      </c>
    </row>
    <row r="121">
      <c r="A121" s="21" t="n">
        <v>2</v>
      </c>
      <c r="B121" s="21" t="inlineStr">
        <is>
          <t>G2_S3</t>
        </is>
      </c>
      <c r="C121" s="21" t="inlineStr">
        <is>
          <t>burette_25mL</t>
        </is>
      </c>
      <c r="D121" s="21" t="n">
        <v>10</v>
      </c>
      <c r="E121" s="21" t="n">
        <v>24.918</v>
      </c>
      <c r="F121" s="21" t="inlineStr">
        <is>
          <t>g</t>
        </is>
      </c>
      <c r="G121" s="21" t="n">
        <v>24.6</v>
      </c>
      <c r="H121" s="21" t="n"/>
      <c r="I121" s="22">
        <f>IF($A121="","",'2_密度換算'!$C$12*(1-((G121+'2_密度換算'!$C$8)^2*(G121+'2_密度換算'!$C$9))/('2_密度換算'!$C$10*(G121+'2_密度換算'!$C$11)))/1000)</f>
        <v/>
      </c>
      <c r="J121" s="22">
        <f>IF($A121="","",1+'2_密度換算'!$C$6*(1/I121-1/'2_密度換算'!$C$7))</f>
        <v/>
      </c>
      <c r="K121" s="23">
        <f>IF($A121="","",E121*J121/I121)</f>
        <v/>
      </c>
    </row>
    <row r="122">
      <c r="A122" s="21" t="n">
        <v>3</v>
      </c>
      <c r="B122" s="21" t="inlineStr">
        <is>
          <t>G3_S1</t>
        </is>
      </c>
      <c r="C122" s="21" t="inlineStr">
        <is>
          <t>pipette_10mL</t>
        </is>
      </c>
      <c r="D122" s="21" t="n">
        <v>1</v>
      </c>
      <c r="E122" s="21" t="n">
        <v>9.9338</v>
      </c>
      <c r="F122" s="21" t="inlineStr">
        <is>
          <t>g</t>
        </is>
      </c>
      <c r="G122" s="21" t="n">
        <v>24.1</v>
      </c>
      <c r="H122" s="21" t="n"/>
      <c r="I122" s="22">
        <f>IF($A122="","",'2_密度換算'!$C$12*(1-((G122+'2_密度換算'!$C$8)^2*(G122+'2_密度換算'!$C$9))/('2_密度換算'!$C$10*(G122+'2_密度換算'!$C$11)))/1000)</f>
        <v/>
      </c>
      <c r="J122" s="22">
        <f>IF($A122="","",1+'2_密度換算'!$C$6*(1/I122-1/'2_密度換算'!$C$7))</f>
        <v/>
      </c>
      <c r="K122" s="23">
        <f>IF($A122="","",E122*J122/I122)</f>
        <v/>
      </c>
    </row>
    <row r="123">
      <c r="A123" s="21" t="n">
        <v>3</v>
      </c>
      <c r="B123" s="21" t="inlineStr">
        <is>
          <t>G3_S1</t>
        </is>
      </c>
      <c r="C123" s="21" t="inlineStr">
        <is>
          <t>burette_25mL</t>
        </is>
      </c>
      <c r="D123" s="21" t="n">
        <v>1</v>
      </c>
      <c r="E123" s="21" t="n">
        <v>24.8693</v>
      </c>
      <c r="F123" s="21" t="inlineStr">
        <is>
          <t>g</t>
        </is>
      </c>
      <c r="G123" s="21" t="n">
        <v>25.4</v>
      </c>
      <c r="H123" s="21" t="n"/>
      <c r="I123" s="22">
        <f>IF($A123="","",'2_密度換算'!$C$12*(1-((G123+'2_密度換算'!$C$8)^2*(G123+'2_密度換算'!$C$9))/('2_密度換算'!$C$10*(G123+'2_密度換算'!$C$11)))/1000)</f>
        <v/>
      </c>
      <c r="J123" s="22">
        <f>IF($A123="","",1+'2_密度換算'!$C$6*(1/I123-1/'2_密度換算'!$C$7))</f>
        <v/>
      </c>
      <c r="K123" s="23">
        <f>IF($A123="","",E123*J123/I123)</f>
        <v/>
      </c>
    </row>
    <row r="124">
      <c r="A124" s="21" t="n">
        <v>3</v>
      </c>
      <c r="B124" s="21" t="inlineStr">
        <is>
          <t>G3_S1</t>
        </is>
      </c>
      <c r="C124" s="21" t="inlineStr">
        <is>
          <t>pipette_10mL</t>
        </is>
      </c>
      <c r="D124" s="21" t="n">
        <v>2</v>
      </c>
      <c r="E124" s="21" t="n">
        <v>9.9313</v>
      </c>
      <c r="F124" s="21" t="inlineStr">
        <is>
          <t>g</t>
        </is>
      </c>
      <c r="G124" s="21" t="n">
        <v>24.6</v>
      </c>
      <c r="H124" s="21" t="n"/>
      <c r="I124" s="22">
        <f>IF($A124="","",'2_密度換算'!$C$12*(1-((G124+'2_密度換算'!$C$8)^2*(G124+'2_密度換算'!$C$9))/('2_密度換算'!$C$10*(G124+'2_密度換算'!$C$11)))/1000)</f>
        <v/>
      </c>
      <c r="J124" s="22">
        <f>IF($A124="","",1+'2_密度換算'!$C$6*(1/I124-1/'2_密度換算'!$C$7))</f>
        <v/>
      </c>
      <c r="K124" s="23">
        <f>IF($A124="","",E124*J124/I124)</f>
        <v/>
      </c>
    </row>
    <row r="125">
      <c r="A125" s="21" t="n">
        <v>3</v>
      </c>
      <c r="B125" s="21" t="inlineStr">
        <is>
          <t>G3_S1</t>
        </is>
      </c>
      <c r="C125" s="21" t="inlineStr">
        <is>
          <t>burette_25mL</t>
        </is>
      </c>
      <c r="D125" s="21" t="n">
        <v>2</v>
      </c>
      <c r="E125" s="21" t="n">
        <v>24.8564</v>
      </c>
      <c r="F125" s="21" t="inlineStr">
        <is>
          <t>g</t>
        </is>
      </c>
      <c r="G125" s="21" t="n">
        <v>25.8</v>
      </c>
      <c r="H125" s="21" t="n"/>
      <c r="I125" s="22">
        <f>IF($A125="","",'2_密度換算'!$C$12*(1-((G125+'2_密度換算'!$C$8)^2*(G125+'2_密度換算'!$C$9))/('2_密度換算'!$C$10*(G125+'2_密度換算'!$C$11)))/1000)</f>
        <v/>
      </c>
      <c r="J125" s="22">
        <f>IF($A125="","",1+'2_密度換算'!$C$6*(1/I125-1/'2_密度換算'!$C$7))</f>
        <v/>
      </c>
      <c r="K125" s="23">
        <f>IF($A125="","",E125*J125/I125)</f>
        <v/>
      </c>
    </row>
    <row r="126">
      <c r="A126" s="21" t="n">
        <v>3</v>
      </c>
      <c r="B126" s="21" t="inlineStr">
        <is>
          <t>G3_S1</t>
        </is>
      </c>
      <c r="C126" s="21" t="inlineStr">
        <is>
          <t>pipette_10mL</t>
        </is>
      </c>
      <c r="D126" s="21" t="n">
        <v>3</v>
      </c>
      <c r="E126" s="21" t="n">
        <v>9.9321</v>
      </c>
      <c r="F126" s="21" t="inlineStr">
        <is>
          <t>g</t>
        </is>
      </c>
      <c r="G126" s="21" t="n">
        <v>24.1</v>
      </c>
      <c r="H126" s="21" t="n"/>
      <c r="I126" s="22">
        <f>IF($A126="","",'2_密度換算'!$C$12*(1-((G126+'2_密度換算'!$C$8)^2*(G126+'2_密度換算'!$C$9))/('2_密度換算'!$C$10*(G126+'2_密度換算'!$C$11)))/1000)</f>
        <v/>
      </c>
      <c r="J126" s="22">
        <f>IF($A126="","",1+'2_密度換算'!$C$6*(1/I126-1/'2_密度換算'!$C$7))</f>
        <v/>
      </c>
      <c r="K126" s="23">
        <f>IF($A126="","",E126*J126/I126)</f>
        <v/>
      </c>
    </row>
    <row r="127">
      <c r="A127" s="21" t="n">
        <v>3</v>
      </c>
      <c r="B127" s="21" t="inlineStr">
        <is>
          <t>G3_S1</t>
        </is>
      </c>
      <c r="C127" s="21" t="inlineStr">
        <is>
          <t>burette_25mL</t>
        </is>
      </c>
      <c r="D127" s="21" t="n">
        <v>3</v>
      </c>
      <c r="E127" s="21" t="n">
        <v>24.8916</v>
      </c>
      <c r="F127" s="21" t="inlineStr">
        <is>
          <t>g</t>
        </is>
      </c>
      <c r="G127" s="21" t="n">
        <v>24.5</v>
      </c>
      <c r="H127" s="21" t="n"/>
      <c r="I127" s="22">
        <f>IF($A127="","",'2_密度換算'!$C$12*(1-((G127+'2_密度換算'!$C$8)^2*(G127+'2_密度換算'!$C$9))/('2_密度換算'!$C$10*(G127+'2_密度換算'!$C$11)))/1000)</f>
        <v/>
      </c>
      <c r="J127" s="22">
        <f>IF($A127="","",1+'2_密度換算'!$C$6*(1/I127-1/'2_密度換算'!$C$7))</f>
        <v/>
      </c>
      <c r="K127" s="23">
        <f>IF($A127="","",E127*J127/I127)</f>
        <v/>
      </c>
    </row>
    <row r="128">
      <c r="A128" s="21" t="n">
        <v>3</v>
      </c>
      <c r="B128" s="21" t="inlineStr">
        <is>
          <t>G3_S1</t>
        </is>
      </c>
      <c r="C128" s="21" t="inlineStr">
        <is>
          <t>pipette_10mL</t>
        </is>
      </c>
      <c r="D128" s="21" t="n">
        <v>4</v>
      </c>
      <c r="E128" s="21" t="n">
        <v>9.9283</v>
      </c>
      <c r="F128" s="21" t="inlineStr">
        <is>
          <t>g</t>
        </is>
      </c>
      <c r="G128" s="21" t="n">
        <v>24.8</v>
      </c>
      <c r="H128" s="21" t="n"/>
      <c r="I128" s="22">
        <f>IF($A128="","",'2_密度換算'!$C$12*(1-((G128+'2_密度換算'!$C$8)^2*(G128+'2_密度換算'!$C$9))/('2_密度換算'!$C$10*(G128+'2_密度換算'!$C$11)))/1000)</f>
        <v/>
      </c>
      <c r="J128" s="22">
        <f>IF($A128="","",1+'2_密度換算'!$C$6*(1/I128-1/'2_密度換算'!$C$7))</f>
        <v/>
      </c>
      <c r="K128" s="23">
        <f>IF($A128="","",E128*J128/I128)</f>
        <v/>
      </c>
    </row>
    <row r="129">
      <c r="A129" s="21" t="n">
        <v>3</v>
      </c>
      <c r="B129" s="21" t="inlineStr">
        <is>
          <t>G3_S1</t>
        </is>
      </c>
      <c r="C129" s="21" t="inlineStr">
        <is>
          <t>burette_25mL</t>
        </is>
      </c>
      <c r="D129" s="21" t="n">
        <v>4</v>
      </c>
      <c r="E129" s="21" t="n">
        <v>24.875</v>
      </c>
      <c r="F129" s="21" t="inlineStr">
        <is>
          <t>g</t>
        </is>
      </c>
      <c r="G129" s="21" t="n">
        <v>24.7</v>
      </c>
      <c r="H129" s="21" t="n"/>
      <c r="I129" s="22">
        <f>IF($A129="","",'2_密度換算'!$C$12*(1-((G129+'2_密度換算'!$C$8)^2*(G129+'2_密度換算'!$C$9))/('2_密度換算'!$C$10*(G129+'2_密度換算'!$C$11)))/1000)</f>
        <v/>
      </c>
      <c r="J129" s="22">
        <f>IF($A129="","",1+'2_密度換算'!$C$6*(1/I129-1/'2_密度換算'!$C$7))</f>
        <v/>
      </c>
      <c r="K129" s="23">
        <f>IF($A129="","",E129*J129/I129)</f>
        <v/>
      </c>
    </row>
    <row r="130">
      <c r="A130" s="21" t="n">
        <v>3</v>
      </c>
      <c r="B130" s="21" t="inlineStr">
        <is>
          <t>G3_S1</t>
        </is>
      </c>
      <c r="C130" s="21" t="inlineStr">
        <is>
          <t>pipette_10mL</t>
        </is>
      </c>
      <c r="D130" s="21" t="n">
        <v>5</v>
      </c>
      <c r="E130" s="21" t="n">
        <v>9.935700000000001</v>
      </c>
      <c r="F130" s="21" t="inlineStr">
        <is>
          <t>g</t>
        </is>
      </c>
      <c r="G130" s="21" t="n">
        <v>24.2</v>
      </c>
      <c r="H130" s="21" t="n"/>
      <c r="I130" s="22">
        <f>IF($A130="","",'2_密度換算'!$C$12*(1-((G130+'2_密度換算'!$C$8)^2*(G130+'2_密度換算'!$C$9))/('2_密度換算'!$C$10*(G130+'2_密度換算'!$C$11)))/1000)</f>
        <v/>
      </c>
      <c r="J130" s="22">
        <f>IF($A130="","",1+'2_密度換算'!$C$6*(1/I130-1/'2_密度換算'!$C$7))</f>
        <v/>
      </c>
      <c r="K130" s="23">
        <f>IF($A130="","",E130*J130/I130)</f>
        <v/>
      </c>
    </row>
    <row r="131">
      <c r="A131" s="21" t="n">
        <v>3</v>
      </c>
      <c r="B131" s="21" t="inlineStr">
        <is>
          <t>G3_S1</t>
        </is>
      </c>
      <c r="C131" s="21" t="inlineStr">
        <is>
          <t>burette_25mL</t>
        </is>
      </c>
      <c r="D131" s="21" t="n">
        <v>5</v>
      </c>
      <c r="E131" s="21" t="n">
        <v>24.8814</v>
      </c>
      <c r="F131" s="21" t="inlineStr">
        <is>
          <t>g</t>
        </is>
      </c>
      <c r="G131" s="21" t="n">
        <v>24.1</v>
      </c>
      <c r="H131" s="21" t="n"/>
      <c r="I131" s="22">
        <f>IF($A131="","",'2_密度換算'!$C$12*(1-((G131+'2_密度換算'!$C$8)^2*(G131+'2_密度換算'!$C$9))/('2_密度換算'!$C$10*(G131+'2_密度換算'!$C$11)))/1000)</f>
        <v/>
      </c>
      <c r="J131" s="22">
        <f>IF($A131="","",1+'2_密度換算'!$C$6*(1/I131-1/'2_密度換算'!$C$7))</f>
        <v/>
      </c>
      <c r="K131" s="23">
        <f>IF($A131="","",E131*J131/I131)</f>
        <v/>
      </c>
    </row>
    <row r="132">
      <c r="A132" s="21" t="n">
        <v>3</v>
      </c>
      <c r="B132" s="21" t="inlineStr">
        <is>
          <t>G3_S1</t>
        </is>
      </c>
      <c r="C132" s="21" t="inlineStr">
        <is>
          <t>pipette_10mL</t>
        </is>
      </c>
      <c r="D132" s="21" t="n">
        <v>6</v>
      </c>
      <c r="E132" s="21" t="n">
        <v>9.934900000000001</v>
      </c>
      <c r="F132" s="21" t="inlineStr">
        <is>
          <t>g</t>
        </is>
      </c>
      <c r="G132" s="21" t="n">
        <v>24.2</v>
      </c>
      <c r="H132" s="21" t="n"/>
      <c r="I132" s="22">
        <f>IF($A132="","",'2_密度換算'!$C$12*(1-((G132+'2_密度換算'!$C$8)^2*(G132+'2_密度換算'!$C$9))/('2_密度換算'!$C$10*(G132+'2_密度換算'!$C$11)))/1000)</f>
        <v/>
      </c>
      <c r="J132" s="22">
        <f>IF($A132="","",1+'2_密度換算'!$C$6*(1/I132-1/'2_密度換算'!$C$7))</f>
        <v/>
      </c>
      <c r="K132" s="23">
        <f>IF($A132="","",E132*J132/I132)</f>
        <v/>
      </c>
    </row>
    <row r="133">
      <c r="A133" s="21" t="n">
        <v>3</v>
      </c>
      <c r="B133" s="21" t="inlineStr">
        <is>
          <t>G3_S1</t>
        </is>
      </c>
      <c r="C133" s="21" t="inlineStr">
        <is>
          <t>burette_25mL</t>
        </is>
      </c>
      <c r="D133" s="21" t="n">
        <v>6</v>
      </c>
      <c r="E133" s="21" t="n">
        <v>24.8519</v>
      </c>
      <c r="F133" s="21" t="inlineStr">
        <is>
          <t>g</t>
        </is>
      </c>
      <c r="G133" s="21" t="n">
        <v>25.8</v>
      </c>
      <c r="H133" s="21" t="n"/>
      <c r="I133" s="22">
        <f>IF($A133="","",'2_密度換算'!$C$12*(1-((G133+'2_密度換算'!$C$8)^2*(G133+'2_密度換算'!$C$9))/('2_密度換算'!$C$10*(G133+'2_密度換算'!$C$11)))/1000)</f>
        <v/>
      </c>
      <c r="J133" s="22">
        <f>IF($A133="","",1+'2_密度換算'!$C$6*(1/I133-1/'2_密度換算'!$C$7))</f>
        <v/>
      </c>
      <c r="K133" s="23">
        <f>IF($A133="","",E133*J133/I133)</f>
        <v/>
      </c>
    </row>
    <row r="134">
      <c r="A134" s="21" t="n">
        <v>3</v>
      </c>
      <c r="B134" s="21" t="inlineStr">
        <is>
          <t>G3_S1</t>
        </is>
      </c>
      <c r="C134" s="21" t="inlineStr">
        <is>
          <t>pipette_10mL</t>
        </is>
      </c>
      <c r="D134" s="21" t="n">
        <v>7</v>
      </c>
      <c r="E134" s="21" t="n">
        <v>9.9293</v>
      </c>
      <c r="F134" s="21" t="inlineStr">
        <is>
          <t>g</t>
        </is>
      </c>
      <c r="G134" s="21" t="n">
        <v>25.6</v>
      </c>
      <c r="H134" s="21" t="n"/>
      <c r="I134" s="22">
        <f>IF($A134="","",'2_密度換算'!$C$12*(1-((G134+'2_密度換算'!$C$8)^2*(G134+'2_密度換算'!$C$9))/('2_密度換算'!$C$10*(G134+'2_密度換算'!$C$11)))/1000)</f>
        <v/>
      </c>
      <c r="J134" s="22">
        <f>IF($A134="","",1+'2_密度換算'!$C$6*(1/I134-1/'2_密度換算'!$C$7))</f>
        <v/>
      </c>
      <c r="K134" s="23">
        <f>IF($A134="","",E134*J134/I134)</f>
        <v/>
      </c>
    </row>
    <row r="135">
      <c r="A135" s="21" t="n">
        <v>3</v>
      </c>
      <c r="B135" s="21" t="inlineStr">
        <is>
          <t>G3_S1</t>
        </is>
      </c>
      <c r="C135" s="21" t="inlineStr">
        <is>
          <t>burette_25mL</t>
        </is>
      </c>
      <c r="D135" s="21" t="n">
        <v>7</v>
      </c>
      <c r="E135" s="21" t="n">
        <v>24.8647</v>
      </c>
      <c r="F135" s="21" t="inlineStr">
        <is>
          <t>g</t>
        </is>
      </c>
      <c r="G135" s="21" t="n">
        <v>25.3</v>
      </c>
      <c r="H135" s="21" t="n"/>
      <c r="I135" s="22">
        <f>IF($A135="","",'2_密度換算'!$C$12*(1-((G135+'2_密度換算'!$C$8)^2*(G135+'2_密度換算'!$C$9))/('2_密度換算'!$C$10*(G135+'2_密度換算'!$C$11)))/1000)</f>
        <v/>
      </c>
      <c r="J135" s="22">
        <f>IF($A135="","",1+'2_密度換算'!$C$6*(1/I135-1/'2_密度換算'!$C$7))</f>
        <v/>
      </c>
      <c r="K135" s="23">
        <f>IF($A135="","",E135*J135/I135)</f>
        <v/>
      </c>
    </row>
    <row r="136">
      <c r="A136" s="21" t="n">
        <v>3</v>
      </c>
      <c r="B136" s="21" t="inlineStr">
        <is>
          <t>G3_S1</t>
        </is>
      </c>
      <c r="C136" s="21" t="inlineStr">
        <is>
          <t>pipette_10mL</t>
        </is>
      </c>
      <c r="D136" s="21" t="n">
        <v>8</v>
      </c>
      <c r="E136" s="21" t="n">
        <v>9.931100000000001</v>
      </c>
      <c r="F136" s="21" t="inlineStr">
        <is>
          <t>g</t>
        </is>
      </c>
      <c r="G136" s="21" t="n">
        <v>24.3</v>
      </c>
      <c r="H136" s="21" t="n"/>
      <c r="I136" s="22">
        <f>IF($A136="","",'2_密度換算'!$C$12*(1-((G136+'2_密度換算'!$C$8)^2*(G136+'2_密度換算'!$C$9))/('2_密度換算'!$C$10*(G136+'2_密度換算'!$C$11)))/1000)</f>
        <v/>
      </c>
      <c r="J136" s="22">
        <f>IF($A136="","",1+'2_密度換算'!$C$6*(1/I136-1/'2_密度換算'!$C$7))</f>
        <v/>
      </c>
      <c r="K136" s="23">
        <f>IF($A136="","",E136*J136/I136)</f>
        <v/>
      </c>
    </row>
    <row r="137">
      <c r="A137" s="21" t="n">
        <v>3</v>
      </c>
      <c r="B137" s="21" t="inlineStr">
        <is>
          <t>G3_S1</t>
        </is>
      </c>
      <c r="C137" s="21" t="inlineStr">
        <is>
          <t>burette_25mL</t>
        </is>
      </c>
      <c r="D137" s="21" t="n">
        <v>8</v>
      </c>
      <c r="E137" s="21" t="n">
        <v>24.8873</v>
      </c>
      <c r="F137" s="21" t="inlineStr">
        <is>
          <t>g</t>
        </is>
      </c>
      <c r="G137" s="21" t="n">
        <v>25</v>
      </c>
      <c r="H137" s="21" t="n"/>
      <c r="I137" s="22">
        <f>IF($A137="","",'2_密度換算'!$C$12*(1-((G137+'2_密度換算'!$C$8)^2*(G137+'2_密度換算'!$C$9))/('2_密度換算'!$C$10*(G137+'2_密度換算'!$C$11)))/1000)</f>
        <v/>
      </c>
      <c r="J137" s="22">
        <f>IF($A137="","",1+'2_密度換算'!$C$6*(1/I137-1/'2_密度換算'!$C$7))</f>
        <v/>
      </c>
      <c r="K137" s="23">
        <f>IF($A137="","",E137*J137/I137)</f>
        <v/>
      </c>
    </row>
    <row r="138">
      <c r="A138" s="21" t="n">
        <v>3</v>
      </c>
      <c r="B138" s="21" t="inlineStr">
        <is>
          <t>G3_S1</t>
        </is>
      </c>
      <c r="C138" s="21" t="inlineStr">
        <is>
          <t>pipette_10mL</t>
        </is>
      </c>
      <c r="D138" s="21" t="n">
        <v>9</v>
      </c>
      <c r="E138" s="21" t="n">
        <v>9.929600000000001</v>
      </c>
      <c r="F138" s="21" t="inlineStr">
        <is>
          <t>g</t>
        </is>
      </c>
      <c r="G138" s="21" t="n">
        <v>24.9</v>
      </c>
      <c r="H138" s="21" t="n"/>
      <c r="I138" s="22">
        <f>IF($A138="","",'2_密度換算'!$C$12*(1-((G138+'2_密度換算'!$C$8)^2*(G138+'2_密度換算'!$C$9))/('2_密度換算'!$C$10*(G138+'2_密度換算'!$C$11)))/1000)</f>
        <v/>
      </c>
      <c r="J138" s="22">
        <f>IF($A138="","",1+'2_密度換算'!$C$6*(1/I138-1/'2_密度換算'!$C$7))</f>
        <v/>
      </c>
      <c r="K138" s="23">
        <f>IF($A138="","",E138*J138/I138)</f>
        <v/>
      </c>
    </row>
    <row r="139">
      <c r="A139" s="21" t="n">
        <v>3</v>
      </c>
      <c r="B139" s="21" t="inlineStr">
        <is>
          <t>G3_S1</t>
        </is>
      </c>
      <c r="C139" s="21" t="inlineStr">
        <is>
          <t>burette_25mL</t>
        </is>
      </c>
      <c r="D139" s="21" t="n">
        <v>9</v>
      </c>
      <c r="E139" s="21" t="n">
        <v>24.8716</v>
      </c>
      <c r="F139" s="21" t="inlineStr">
        <is>
          <t>g</t>
        </is>
      </c>
      <c r="G139" s="21" t="n">
        <v>25.3</v>
      </c>
      <c r="H139" s="21" t="n"/>
      <c r="I139" s="22">
        <f>IF($A139="","",'2_密度換算'!$C$12*(1-((G139+'2_密度換算'!$C$8)^2*(G139+'2_密度換算'!$C$9))/('2_密度換算'!$C$10*(G139+'2_密度換算'!$C$11)))/1000)</f>
        <v/>
      </c>
      <c r="J139" s="22">
        <f>IF($A139="","",1+'2_密度換算'!$C$6*(1/I139-1/'2_密度換算'!$C$7))</f>
        <v/>
      </c>
      <c r="K139" s="23">
        <f>IF($A139="","",E139*J139/I139)</f>
        <v/>
      </c>
    </row>
    <row r="140">
      <c r="A140" s="21" t="n">
        <v>3</v>
      </c>
      <c r="B140" s="21" t="inlineStr">
        <is>
          <t>G3_S1</t>
        </is>
      </c>
      <c r="C140" s="21" t="inlineStr">
        <is>
          <t>pipette_10mL</t>
        </is>
      </c>
      <c r="D140" s="21" t="n">
        <v>10</v>
      </c>
      <c r="E140" s="21" t="n">
        <v>9.926500000000001</v>
      </c>
      <c r="F140" s="21" t="inlineStr">
        <is>
          <t>g</t>
        </is>
      </c>
      <c r="G140" s="21" t="n">
        <v>24.3</v>
      </c>
      <c r="H140" s="21" t="n"/>
      <c r="I140" s="22">
        <f>IF($A140="","",'2_密度換算'!$C$12*(1-((G140+'2_密度換算'!$C$8)^2*(G140+'2_密度換算'!$C$9))/('2_密度換算'!$C$10*(G140+'2_密度換算'!$C$11)))/1000)</f>
        <v/>
      </c>
      <c r="J140" s="22">
        <f>IF($A140="","",1+'2_密度換算'!$C$6*(1/I140-1/'2_密度換算'!$C$7))</f>
        <v/>
      </c>
      <c r="K140" s="23">
        <f>IF($A140="","",E140*J140/I140)</f>
        <v/>
      </c>
    </row>
    <row r="141">
      <c r="A141" s="21" t="n">
        <v>3</v>
      </c>
      <c r="B141" s="21" t="inlineStr">
        <is>
          <t>G3_S1</t>
        </is>
      </c>
      <c r="C141" s="21" t="inlineStr">
        <is>
          <t>burette_25mL</t>
        </is>
      </c>
      <c r="D141" s="21" t="n">
        <v>10</v>
      </c>
      <c r="E141" s="21" t="n">
        <v>24.8915</v>
      </c>
      <c r="F141" s="21" t="inlineStr">
        <is>
          <t>g</t>
        </is>
      </c>
      <c r="G141" s="21" t="n">
        <v>24.8</v>
      </c>
      <c r="H141" s="21" t="n"/>
      <c r="I141" s="22">
        <f>IF($A141="","",'2_密度換算'!$C$12*(1-((G141+'2_密度換算'!$C$8)^2*(G141+'2_密度換算'!$C$9))/('2_密度換算'!$C$10*(G141+'2_密度換算'!$C$11)))/1000)</f>
        <v/>
      </c>
      <c r="J141" s="22">
        <f>IF($A141="","",1+'2_密度換算'!$C$6*(1/I141-1/'2_密度換算'!$C$7))</f>
        <v/>
      </c>
      <c r="K141" s="23">
        <f>IF($A141="","",E141*J141/I141)</f>
        <v/>
      </c>
    </row>
    <row r="142">
      <c r="A142" s="21" t="n">
        <v>3</v>
      </c>
      <c r="B142" s="21" t="inlineStr">
        <is>
          <t>G3_S2</t>
        </is>
      </c>
      <c r="C142" s="21" t="inlineStr">
        <is>
          <t>pipette_10mL</t>
        </is>
      </c>
      <c r="D142" s="21" t="n">
        <v>1</v>
      </c>
      <c r="E142" s="21" t="n">
        <v>9.955500000000001</v>
      </c>
      <c r="F142" s="21" t="inlineStr">
        <is>
          <t>g</t>
        </is>
      </c>
      <c r="G142" s="21" t="n">
        <v>25.4</v>
      </c>
      <c r="H142" s="21" t="n"/>
      <c r="I142" s="22">
        <f>IF($A142="","",'2_密度換算'!$C$12*(1-((G142+'2_密度換算'!$C$8)^2*(G142+'2_密度換算'!$C$9))/('2_密度換算'!$C$10*(G142+'2_密度換算'!$C$11)))/1000)</f>
        <v/>
      </c>
      <c r="J142" s="22">
        <f>IF($A142="","",1+'2_密度換算'!$C$6*(1/I142-1/'2_密度換算'!$C$7))</f>
        <v/>
      </c>
      <c r="K142" s="23">
        <f>IF($A142="","",E142*J142/I142)</f>
        <v/>
      </c>
    </row>
    <row r="143">
      <c r="A143" s="21" t="n">
        <v>3</v>
      </c>
      <c r="B143" s="21" t="inlineStr">
        <is>
          <t>G3_S2</t>
        </is>
      </c>
      <c r="C143" s="21" t="inlineStr">
        <is>
          <t>burette_25mL</t>
        </is>
      </c>
      <c r="D143" s="21" t="n">
        <v>1</v>
      </c>
      <c r="E143" s="21" t="n">
        <v>24.8952</v>
      </c>
      <c r="F143" s="21" t="inlineStr">
        <is>
          <t>g</t>
        </is>
      </c>
      <c r="G143" s="21" t="n">
        <v>25.9</v>
      </c>
      <c r="H143" s="21" t="n"/>
      <c r="I143" s="22">
        <f>IF($A143="","",'2_密度換算'!$C$12*(1-((G143+'2_密度換算'!$C$8)^2*(G143+'2_密度換算'!$C$9))/('2_密度換算'!$C$10*(G143+'2_密度換算'!$C$11)))/1000)</f>
        <v/>
      </c>
      <c r="J143" s="22">
        <f>IF($A143="","",1+'2_密度換算'!$C$6*(1/I143-1/'2_密度換算'!$C$7))</f>
        <v/>
      </c>
      <c r="K143" s="23">
        <f>IF($A143="","",E143*J143/I143)</f>
        <v/>
      </c>
    </row>
    <row r="144">
      <c r="A144" s="21" t="n">
        <v>3</v>
      </c>
      <c r="B144" s="21" t="inlineStr">
        <is>
          <t>G3_S2</t>
        </is>
      </c>
      <c r="C144" s="21" t="inlineStr">
        <is>
          <t>pipette_10mL</t>
        </is>
      </c>
      <c r="D144" s="21" t="n">
        <v>2</v>
      </c>
      <c r="E144" s="21" t="n">
        <v>9.9627</v>
      </c>
      <c r="F144" s="21" t="inlineStr">
        <is>
          <t>g</t>
        </is>
      </c>
      <c r="G144" s="21" t="n">
        <v>25</v>
      </c>
      <c r="H144" s="21" t="n"/>
      <c r="I144" s="22">
        <f>IF($A144="","",'2_密度換算'!$C$12*(1-((G144+'2_密度換算'!$C$8)^2*(G144+'2_密度換算'!$C$9))/('2_密度換算'!$C$10*(G144+'2_密度換算'!$C$11)))/1000)</f>
        <v/>
      </c>
      <c r="J144" s="22">
        <f>IF($A144="","",1+'2_密度換算'!$C$6*(1/I144-1/'2_密度換算'!$C$7))</f>
        <v/>
      </c>
      <c r="K144" s="23">
        <f>IF($A144="","",E144*J144/I144)</f>
        <v/>
      </c>
    </row>
    <row r="145">
      <c r="A145" s="21" t="n">
        <v>3</v>
      </c>
      <c r="B145" s="21" t="inlineStr">
        <is>
          <t>G3_S2</t>
        </is>
      </c>
      <c r="C145" s="21" t="inlineStr">
        <is>
          <t>burette_25mL</t>
        </is>
      </c>
      <c r="D145" s="21" t="n">
        <v>2</v>
      </c>
      <c r="E145" s="21" t="n">
        <v>24.9164</v>
      </c>
      <c r="F145" s="21" t="inlineStr">
        <is>
          <t>g</t>
        </is>
      </c>
      <c r="G145" s="21" t="n">
        <v>25.1</v>
      </c>
      <c r="H145" s="21" t="n"/>
      <c r="I145" s="22">
        <f>IF($A145="","",'2_密度換算'!$C$12*(1-((G145+'2_密度換算'!$C$8)^2*(G145+'2_密度換算'!$C$9))/('2_密度換算'!$C$10*(G145+'2_密度換算'!$C$11)))/1000)</f>
        <v/>
      </c>
      <c r="J145" s="22">
        <f>IF($A145="","",1+'2_密度換算'!$C$6*(1/I145-1/'2_密度換算'!$C$7))</f>
        <v/>
      </c>
      <c r="K145" s="23">
        <f>IF($A145="","",E145*J145/I145)</f>
        <v/>
      </c>
    </row>
    <row r="146">
      <c r="A146" s="21" t="n">
        <v>3</v>
      </c>
      <c r="B146" s="21" t="inlineStr">
        <is>
          <t>G3_S2</t>
        </is>
      </c>
      <c r="C146" s="21" t="inlineStr">
        <is>
          <t>pipette_10mL</t>
        </is>
      </c>
      <c r="D146" s="21" t="n">
        <v>3</v>
      </c>
      <c r="E146" s="21" t="n">
        <v>9.9605</v>
      </c>
      <c r="F146" s="21" t="inlineStr">
        <is>
          <t>g</t>
        </is>
      </c>
      <c r="G146" s="21" t="n">
        <v>25.3</v>
      </c>
      <c r="H146" s="21" t="n"/>
      <c r="I146" s="22">
        <f>IF($A146="","",'2_密度換算'!$C$12*(1-((G146+'2_密度換算'!$C$8)^2*(G146+'2_密度換算'!$C$9))/('2_密度換算'!$C$10*(G146+'2_密度換算'!$C$11)))/1000)</f>
        <v/>
      </c>
      <c r="J146" s="22">
        <f>IF($A146="","",1+'2_密度換算'!$C$6*(1/I146-1/'2_密度換算'!$C$7))</f>
        <v/>
      </c>
      <c r="K146" s="23">
        <f>IF($A146="","",E146*J146/I146)</f>
        <v/>
      </c>
    </row>
    <row r="147">
      <c r="A147" s="21" t="n">
        <v>3</v>
      </c>
      <c r="B147" s="21" t="inlineStr">
        <is>
          <t>G3_S2</t>
        </is>
      </c>
      <c r="C147" s="21" t="inlineStr">
        <is>
          <t>burette_25mL</t>
        </is>
      </c>
      <c r="D147" s="21" t="n">
        <v>3</v>
      </c>
      <c r="E147" s="21" t="n">
        <v>24.8933</v>
      </c>
      <c r="F147" s="21" t="inlineStr">
        <is>
          <t>g</t>
        </is>
      </c>
      <c r="G147" s="21" t="n">
        <v>25.1</v>
      </c>
      <c r="H147" s="21" t="n"/>
      <c r="I147" s="22">
        <f>IF($A147="","",'2_密度換算'!$C$12*(1-((G147+'2_密度換算'!$C$8)^2*(G147+'2_密度換算'!$C$9))/('2_密度換算'!$C$10*(G147+'2_密度換算'!$C$11)))/1000)</f>
        <v/>
      </c>
      <c r="J147" s="22">
        <f>IF($A147="","",1+'2_密度換算'!$C$6*(1/I147-1/'2_密度換算'!$C$7))</f>
        <v/>
      </c>
      <c r="K147" s="23">
        <f>IF($A147="","",E147*J147/I147)</f>
        <v/>
      </c>
    </row>
    <row r="148">
      <c r="A148" s="21" t="n">
        <v>3</v>
      </c>
      <c r="B148" s="21" t="inlineStr">
        <is>
          <t>G3_S2</t>
        </is>
      </c>
      <c r="C148" s="21" t="inlineStr">
        <is>
          <t>pipette_10mL</t>
        </is>
      </c>
      <c r="D148" s="21" t="n">
        <v>4</v>
      </c>
      <c r="E148" s="21" t="n">
        <v>9.962899999999999</v>
      </c>
      <c r="F148" s="21" t="inlineStr">
        <is>
          <t>g</t>
        </is>
      </c>
      <c r="G148" s="21" t="n">
        <v>24.6</v>
      </c>
      <c r="H148" s="21" t="n"/>
      <c r="I148" s="22">
        <f>IF($A148="","",'2_密度換算'!$C$12*(1-((G148+'2_密度換算'!$C$8)^2*(G148+'2_密度換算'!$C$9))/('2_密度換算'!$C$10*(G148+'2_密度換算'!$C$11)))/1000)</f>
        <v/>
      </c>
      <c r="J148" s="22">
        <f>IF($A148="","",1+'2_密度換算'!$C$6*(1/I148-1/'2_密度換算'!$C$7))</f>
        <v/>
      </c>
      <c r="K148" s="23">
        <f>IF($A148="","",E148*J148/I148)</f>
        <v/>
      </c>
    </row>
    <row r="149">
      <c r="A149" s="21" t="n">
        <v>3</v>
      </c>
      <c r="B149" s="21" t="inlineStr">
        <is>
          <t>G3_S2</t>
        </is>
      </c>
      <c r="C149" s="21" t="inlineStr">
        <is>
          <t>burette_25mL</t>
        </is>
      </c>
      <c r="D149" s="21" t="n">
        <v>4</v>
      </c>
      <c r="E149" s="21" t="n">
        <v>24.9076</v>
      </c>
      <c r="F149" s="21" t="inlineStr">
        <is>
          <t>g</t>
        </is>
      </c>
      <c r="G149" s="21" t="n">
        <v>24.4</v>
      </c>
      <c r="H149" s="21" t="n"/>
      <c r="I149" s="22">
        <f>IF($A149="","",'2_密度換算'!$C$12*(1-((G149+'2_密度換算'!$C$8)^2*(G149+'2_密度換算'!$C$9))/('2_密度換算'!$C$10*(G149+'2_密度換算'!$C$11)))/1000)</f>
        <v/>
      </c>
      <c r="J149" s="22">
        <f>IF($A149="","",1+'2_密度換算'!$C$6*(1/I149-1/'2_密度換算'!$C$7))</f>
        <v/>
      </c>
      <c r="K149" s="23">
        <f>IF($A149="","",E149*J149/I149)</f>
        <v/>
      </c>
    </row>
    <row r="150">
      <c r="A150" s="21" t="n">
        <v>3</v>
      </c>
      <c r="B150" s="21" t="inlineStr">
        <is>
          <t>G3_S2</t>
        </is>
      </c>
      <c r="C150" s="21" t="inlineStr">
        <is>
          <t>pipette_10mL</t>
        </is>
      </c>
      <c r="D150" s="21" t="n">
        <v>5</v>
      </c>
      <c r="E150" s="21" t="n">
        <v>9.956300000000001</v>
      </c>
      <c r="F150" s="21" t="inlineStr">
        <is>
          <t>g</t>
        </is>
      </c>
      <c r="G150" s="21" t="n">
        <v>25.7</v>
      </c>
      <c r="H150" s="21" t="n"/>
      <c r="I150" s="22">
        <f>IF($A150="","",'2_密度換算'!$C$12*(1-((G150+'2_密度換算'!$C$8)^2*(G150+'2_密度換算'!$C$9))/('2_密度換算'!$C$10*(G150+'2_密度換算'!$C$11)))/1000)</f>
        <v/>
      </c>
      <c r="J150" s="22">
        <f>IF($A150="","",1+'2_密度換算'!$C$6*(1/I150-1/'2_密度換算'!$C$7))</f>
        <v/>
      </c>
      <c r="K150" s="23">
        <f>IF($A150="","",E150*J150/I150)</f>
        <v/>
      </c>
    </row>
    <row r="151">
      <c r="A151" s="21" t="n">
        <v>3</v>
      </c>
      <c r="B151" s="21" t="inlineStr">
        <is>
          <t>G3_S2</t>
        </is>
      </c>
      <c r="C151" s="21" t="inlineStr">
        <is>
          <t>burette_25mL</t>
        </is>
      </c>
      <c r="D151" s="21" t="n">
        <v>5</v>
      </c>
      <c r="E151" s="21" t="n">
        <v>24.9021</v>
      </c>
      <c r="F151" s="21" t="inlineStr">
        <is>
          <t>g</t>
        </is>
      </c>
      <c r="G151" s="21" t="n">
        <v>25.2</v>
      </c>
      <c r="H151" s="21" t="n"/>
      <c r="I151" s="22">
        <f>IF($A151="","",'2_密度換算'!$C$12*(1-((G151+'2_密度換算'!$C$8)^2*(G151+'2_密度換算'!$C$9))/('2_密度換算'!$C$10*(G151+'2_密度換算'!$C$11)))/1000)</f>
        <v/>
      </c>
      <c r="J151" s="22">
        <f>IF($A151="","",1+'2_密度換算'!$C$6*(1/I151-1/'2_密度換算'!$C$7))</f>
        <v/>
      </c>
      <c r="K151" s="23">
        <f>IF($A151="","",E151*J151/I151)</f>
        <v/>
      </c>
    </row>
    <row r="152">
      <c r="A152" s="21" t="n">
        <v>3</v>
      </c>
      <c r="B152" s="21" t="inlineStr">
        <is>
          <t>G3_S2</t>
        </is>
      </c>
      <c r="C152" s="21" t="inlineStr">
        <is>
          <t>pipette_10mL</t>
        </is>
      </c>
      <c r="D152" s="21" t="n">
        <v>6</v>
      </c>
      <c r="E152" s="21" t="n">
        <v>9.9596</v>
      </c>
      <c r="F152" s="21" t="inlineStr">
        <is>
          <t>g</t>
        </is>
      </c>
      <c r="G152" s="21" t="n">
        <v>25.5</v>
      </c>
      <c r="H152" s="21" t="n"/>
      <c r="I152" s="22">
        <f>IF($A152="","",'2_密度換算'!$C$12*(1-((G152+'2_密度換算'!$C$8)^2*(G152+'2_密度換算'!$C$9))/('2_密度換算'!$C$10*(G152+'2_密度換算'!$C$11)))/1000)</f>
        <v/>
      </c>
      <c r="J152" s="22">
        <f>IF($A152="","",1+'2_密度換算'!$C$6*(1/I152-1/'2_密度換算'!$C$7))</f>
        <v/>
      </c>
      <c r="K152" s="23">
        <f>IF($A152="","",E152*J152/I152)</f>
        <v/>
      </c>
    </row>
    <row r="153">
      <c r="A153" s="21" t="n">
        <v>3</v>
      </c>
      <c r="B153" s="21" t="inlineStr">
        <is>
          <t>G3_S2</t>
        </is>
      </c>
      <c r="C153" s="21" t="inlineStr">
        <is>
          <t>burette_25mL</t>
        </is>
      </c>
      <c r="D153" s="21" t="n">
        <v>6</v>
      </c>
      <c r="E153" s="21" t="n">
        <v>24.8863</v>
      </c>
      <c r="F153" s="21" t="inlineStr">
        <is>
          <t>g</t>
        </is>
      </c>
      <c r="G153" s="21" t="n">
        <v>25.9</v>
      </c>
      <c r="H153" s="21" t="n"/>
      <c r="I153" s="22">
        <f>IF($A153="","",'2_密度換算'!$C$12*(1-((G153+'2_密度換算'!$C$8)^2*(G153+'2_密度換算'!$C$9))/('2_密度換算'!$C$10*(G153+'2_密度換算'!$C$11)))/1000)</f>
        <v/>
      </c>
      <c r="J153" s="22">
        <f>IF($A153="","",1+'2_密度換算'!$C$6*(1/I153-1/'2_密度換算'!$C$7))</f>
        <v/>
      </c>
      <c r="K153" s="23">
        <f>IF($A153="","",E153*J153/I153)</f>
        <v/>
      </c>
    </row>
    <row r="154">
      <c r="A154" s="21" t="n">
        <v>3</v>
      </c>
      <c r="B154" s="21" t="inlineStr">
        <is>
          <t>G3_S2</t>
        </is>
      </c>
      <c r="C154" s="21" t="inlineStr">
        <is>
          <t>pipette_10mL</t>
        </is>
      </c>
      <c r="D154" s="21" t="n">
        <v>7</v>
      </c>
      <c r="E154" s="21" t="n">
        <v>9.9534</v>
      </c>
      <c r="F154" s="21" t="inlineStr">
        <is>
          <t>g</t>
        </is>
      </c>
      <c r="G154" s="21" t="n">
        <v>25.9</v>
      </c>
      <c r="H154" s="21" t="n"/>
      <c r="I154" s="22">
        <f>IF($A154="","",'2_密度換算'!$C$12*(1-((G154+'2_密度換算'!$C$8)^2*(G154+'2_密度換算'!$C$9))/('2_密度換算'!$C$10*(G154+'2_密度換算'!$C$11)))/1000)</f>
        <v/>
      </c>
      <c r="J154" s="22">
        <f>IF($A154="","",1+'2_密度換算'!$C$6*(1/I154-1/'2_密度換算'!$C$7))</f>
        <v/>
      </c>
      <c r="K154" s="23">
        <f>IF($A154="","",E154*J154/I154)</f>
        <v/>
      </c>
    </row>
    <row r="155">
      <c r="A155" s="21" t="n">
        <v>3</v>
      </c>
      <c r="B155" s="21" t="inlineStr">
        <is>
          <t>G3_S2</t>
        </is>
      </c>
      <c r="C155" s="21" t="inlineStr">
        <is>
          <t>burette_25mL</t>
        </is>
      </c>
      <c r="D155" s="21" t="n">
        <v>7</v>
      </c>
      <c r="E155" s="21" t="n">
        <v>24.9005</v>
      </c>
      <c r="F155" s="21" t="inlineStr">
        <is>
          <t>g</t>
        </is>
      </c>
      <c r="G155" s="21" t="n">
        <v>25.2</v>
      </c>
      <c r="H155" s="21" t="n"/>
      <c r="I155" s="22">
        <f>IF($A155="","",'2_密度換算'!$C$12*(1-((G155+'2_密度換算'!$C$8)^2*(G155+'2_密度換算'!$C$9))/('2_密度換算'!$C$10*(G155+'2_密度換算'!$C$11)))/1000)</f>
        <v/>
      </c>
      <c r="J155" s="22">
        <f>IF($A155="","",1+'2_密度換算'!$C$6*(1/I155-1/'2_密度換算'!$C$7))</f>
        <v/>
      </c>
      <c r="K155" s="23">
        <f>IF($A155="","",E155*J155/I155)</f>
        <v/>
      </c>
    </row>
    <row r="156">
      <c r="A156" s="21" t="n">
        <v>3</v>
      </c>
      <c r="B156" s="21" t="inlineStr">
        <is>
          <t>G3_S2</t>
        </is>
      </c>
      <c r="C156" s="21" t="inlineStr">
        <is>
          <t>pipette_10mL</t>
        </is>
      </c>
      <c r="D156" s="21" t="n">
        <v>8</v>
      </c>
      <c r="E156" s="21" t="n">
        <v>9.952199999999999</v>
      </c>
      <c r="F156" s="21" t="inlineStr">
        <is>
          <t>g</t>
        </is>
      </c>
      <c r="G156" s="21" t="n">
        <v>25.6</v>
      </c>
      <c r="H156" s="21" t="n"/>
      <c r="I156" s="22">
        <f>IF($A156="","",'2_密度換算'!$C$12*(1-((G156+'2_密度換算'!$C$8)^2*(G156+'2_密度換算'!$C$9))/('2_密度換算'!$C$10*(G156+'2_密度換算'!$C$11)))/1000)</f>
        <v/>
      </c>
      <c r="J156" s="22">
        <f>IF($A156="","",1+'2_密度換算'!$C$6*(1/I156-1/'2_密度換算'!$C$7))</f>
        <v/>
      </c>
      <c r="K156" s="23">
        <f>IF($A156="","",E156*J156/I156)</f>
        <v/>
      </c>
    </row>
    <row r="157">
      <c r="A157" s="21" t="n">
        <v>3</v>
      </c>
      <c r="B157" s="21" t="inlineStr">
        <is>
          <t>G3_S2</t>
        </is>
      </c>
      <c r="C157" s="21" t="inlineStr">
        <is>
          <t>burette_25mL</t>
        </is>
      </c>
      <c r="D157" s="21" t="n">
        <v>8</v>
      </c>
      <c r="E157" s="21" t="n">
        <v>24.8795</v>
      </c>
      <c r="F157" s="21" t="inlineStr">
        <is>
          <t>g</t>
        </is>
      </c>
      <c r="G157" s="21" t="n">
        <v>24.5</v>
      </c>
      <c r="H157" s="21" t="n"/>
      <c r="I157" s="22">
        <f>IF($A157="","",'2_密度換算'!$C$12*(1-((G157+'2_密度換算'!$C$8)^2*(G157+'2_密度換算'!$C$9))/('2_密度換算'!$C$10*(G157+'2_密度換算'!$C$11)))/1000)</f>
        <v/>
      </c>
      <c r="J157" s="22">
        <f>IF($A157="","",1+'2_密度換算'!$C$6*(1/I157-1/'2_密度換算'!$C$7))</f>
        <v/>
      </c>
      <c r="K157" s="23">
        <f>IF($A157="","",E157*J157/I157)</f>
        <v/>
      </c>
    </row>
    <row r="158">
      <c r="A158" s="21" t="n">
        <v>3</v>
      </c>
      <c r="B158" s="21" t="inlineStr">
        <is>
          <t>G3_S2</t>
        </is>
      </c>
      <c r="C158" s="21" t="inlineStr">
        <is>
          <t>pipette_10mL</t>
        </is>
      </c>
      <c r="D158" s="21" t="n">
        <v>9</v>
      </c>
      <c r="E158" s="21" t="n">
        <v>9.9612</v>
      </c>
      <c r="F158" s="21" t="inlineStr">
        <is>
          <t>g</t>
        </is>
      </c>
      <c r="G158" s="21" t="n">
        <v>24.2</v>
      </c>
      <c r="H158" s="21" t="n"/>
      <c r="I158" s="22">
        <f>IF($A158="","",'2_密度換算'!$C$12*(1-((G158+'2_密度換算'!$C$8)^2*(G158+'2_密度換算'!$C$9))/('2_密度換算'!$C$10*(G158+'2_密度換算'!$C$11)))/1000)</f>
        <v/>
      </c>
      <c r="J158" s="22">
        <f>IF($A158="","",1+'2_密度換算'!$C$6*(1/I158-1/'2_密度換算'!$C$7))</f>
        <v/>
      </c>
      <c r="K158" s="23">
        <f>IF($A158="","",E158*J158/I158)</f>
        <v/>
      </c>
    </row>
    <row r="159">
      <c r="A159" s="21" t="n">
        <v>3</v>
      </c>
      <c r="B159" s="21" t="inlineStr">
        <is>
          <t>G3_S2</t>
        </is>
      </c>
      <c r="C159" s="21" t="inlineStr">
        <is>
          <t>burette_25mL</t>
        </is>
      </c>
      <c r="D159" s="21" t="n">
        <v>9</v>
      </c>
      <c r="E159" s="21" t="n">
        <v>24.9008</v>
      </c>
      <c r="F159" s="21" t="inlineStr">
        <is>
          <t>g</t>
        </is>
      </c>
      <c r="G159" s="21" t="n">
        <v>25.1</v>
      </c>
      <c r="H159" s="21" t="n"/>
      <c r="I159" s="22">
        <f>IF($A159="","",'2_密度換算'!$C$12*(1-((G159+'2_密度換算'!$C$8)^2*(G159+'2_密度換算'!$C$9))/('2_密度換算'!$C$10*(G159+'2_密度換算'!$C$11)))/1000)</f>
        <v/>
      </c>
      <c r="J159" s="22">
        <f>IF($A159="","",1+'2_密度換算'!$C$6*(1/I159-1/'2_密度換算'!$C$7))</f>
        <v/>
      </c>
      <c r="K159" s="23">
        <f>IF($A159="","",E159*J159/I159)</f>
        <v/>
      </c>
    </row>
    <row r="160">
      <c r="A160" s="21" t="n">
        <v>3</v>
      </c>
      <c r="B160" s="21" t="inlineStr">
        <is>
          <t>G3_S2</t>
        </is>
      </c>
      <c r="C160" s="21" t="inlineStr">
        <is>
          <t>pipette_10mL</t>
        </is>
      </c>
      <c r="D160" s="21" t="n">
        <v>10</v>
      </c>
      <c r="E160" s="21" t="n">
        <v>9.9594</v>
      </c>
      <c r="F160" s="21" t="inlineStr">
        <is>
          <t>g</t>
        </is>
      </c>
      <c r="G160" s="21" t="n">
        <v>24.9</v>
      </c>
      <c r="H160" s="21" t="n"/>
      <c r="I160" s="22">
        <f>IF($A160="","",'2_密度換算'!$C$12*(1-((G160+'2_密度換算'!$C$8)^2*(G160+'2_密度換算'!$C$9))/('2_密度換算'!$C$10*(G160+'2_密度換算'!$C$11)))/1000)</f>
        <v/>
      </c>
      <c r="J160" s="22">
        <f>IF($A160="","",1+'2_密度換算'!$C$6*(1/I160-1/'2_密度換算'!$C$7))</f>
        <v/>
      </c>
      <c r="K160" s="23">
        <f>IF($A160="","",E160*J160/I160)</f>
        <v/>
      </c>
    </row>
    <row r="161">
      <c r="A161" s="21" t="n">
        <v>3</v>
      </c>
      <c r="B161" s="21" t="inlineStr">
        <is>
          <t>G3_S2</t>
        </is>
      </c>
      <c r="C161" s="21" t="inlineStr">
        <is>
          <t>burette_25mL</t>
        </is>
      </c>
      <c r="D161" s="21" t="n">
        <v>10</v>
      </c>
      <c r="E161" s="21" t="n">
        <v>24.8955</v>
      </c>
      <c r="F161" s="21" t="inlineStr">
        <is>
          <t>g</t>
        </is>
      </c>
      <c r="G161" s="21" t="n">
        <v>25.5</v>
      </c>
      <c r="H161" s="21" t="n"/>
      <c r="I161" s="22">
        <f>IF($A161="","",'2_密度換算'!$C$12*(1-((G161+'2_密度換算'!$C$8)^2*(G161+'2_密度換算'!$C$9))/('2_密度換算'!$C$10*(G161+'2_密度換算'!$C$11)))/1000)</f>
        <v/>
      </c>
      <c r="J161" s="22">
        <f>IF($A161="","",1+'2_密度換算'!$C$6*(1/I161-1/'2_密度換算'!$C$7))</f>
        <v/>
      </c>
      <c r="K161" s="23">
        <f>IF($A161="","",E161*J161/I161)</f>
        <v/>
      </c>
    </row>
    <row r="162">
      <c r="A162" s="21" t="n">
        <v>3</v>
      </c>
      <c r="B162" s="21" t="inlineStr">
        <is>
          <t>G3_S3</t>
        </is>
      </c>
      <c r="C162" s="21" t="inlineStr">
        <is>
          <t>pipette_10mL</t>
        </is>
      </c>
      <c r="D162" s="21" t="n">
        <v>1</v>
      </c>
      <c r="E162" s="21" t="n">
        <v>9.9689</v>
      </c>
      <c r="F162" s="21" t="inlineStr">
        <is>
          <t>g</t>
        </is>
      </c>
      <c r="G162" s="21" t="n">
        <v>24.2</v>
      </c>
      <c r="H162" s="21" t="n"/>
      <c r="I162" s="22">
        <f>IF($A162="","",'2_密度換算'!$C$12*(1-((G162+'2_密度換算'!$C$8)^2*(G162+'2_密度換算'!$C$9))/('2_密度換算'!$C$10*(G162+'2_密度換算'!$C$11)))/1000)</f>
        <v/>
      </c>
      <c r="J162" s="22">
        <f>IF($A162="","",1+'2_密度換算'!$C$6*(1/I162-1/'2_密度換算'!$C$7))</f>
        <v/>
      </c>
      <c r="K162" s="23">
        <f>IF($A162="","",E162*J162/I162)</f>
        <v/>
      </c>
    </row>
    <row r="163">
      <c r="A163" s="21" t="n">
        <v>3</v>
      </c>
      <c r="B163" s="21" t="inlineStr">
        <is>
          <t>G3_S3</t>
        </is>
      </c>
      <c r="C163" s="21" t="inlineStr">
        <is>
          <t>burette_25mL</t>
        </is>
      </c>
      <c r="D163" s="21" t="n">
        <v>1</v>
      </c>
      <c r="E163" s="21" t="n">
        <v>24.9246</v>
      </c>
      <c r="F163" s="21" t="inlineStr">
        <is>
          <t>g</t>
        </is>
      </c>
      <c r="G163" s="21" t="n">
        <v>25.3</v>
      </c>
      <c r="H163" s="21" t="n"/>
      <c r="I163" s="22">
        <f>IF($A163="","",'2_密度換算'!$C$12*(1-((G163+'2_密度換算'!$C$8)^2*(G163+'2_密度換算'!$C$9))/('2_密度換算'!$C$10*(G163+'2_密度換算'!$C$11)))/1000)</f>
        <v/>
      </c>
      <c r="J163" s="22">
        <f>IF($A163="","",1+'2_密度換算'!$C$6*(1/I163-1/'2_密度換算'!$C$7))</f>
        <v/>
      </c>
      <c r="K163" s="23">
        <f>IF($A163="","",E163*J163/I163)</f>
        <v/>
      </c>
    </row>
    <row r="164">
      <c r="A164" s="21" t="n">
        <v>3</v>
      </c>
      <c r="B164" s="21" t="inlineStr">
        <is>
          <t>G3_S3</t>
        </is>
      </c>
      <c r="C164" s="21" t="inlineStr">
        <is>
          <t>pipette_10mL</t>
        </is>
      </c>
      <c r="D164" s="21" t="n">
        <v>2</v>
      </c>
      <c r="E164" s="21" t="n">
        <v>9.962400000000001</v>
      </c>
      <c r="F164" s="21" t="inlineStr">
        <is>
          <t>g</t>
        </is>
      </c>
      <c r="G164" s="21" t="n">
        <v>25.5</v>
      </c>
      <c r="H164" s="21" t="n"/>
      <c r="I164" s="22">
        <f>IF($A164="","",'2_密度換算'!$C$12*(1-((G164+'2_密度換算'!$C$8)^2*(G164+'2_密度換算'!$C$9))/('2_密度換算'!$C$10*(G164+'2_密度換算'!$C$11)))/1000)</f>
        <v/>
      </c>
      <c r="J164" s="22">
        <f>IF($A164="","",1+'2_密度換算'!$C$6*(1/I164-1/'2_密度換算'!$C$7))</f>
        <v/>
      </c>
      <c r="K164" s="23">
        <f>IF($A164="","",E164*J164/I164)</f>
        <v/>
      </c>
    </row>
    <row r="165">
      <c r="A165" s="21" t="n">
        <v>3</v>
      </c>
      <c r="B165" s="21" t="inlineStr">
        <is>
          <t>G3_S3</t>
        </is>
      </c>
      <c r="C165" s="21" t="inlineStr">
        <is>
          <t>burette_25mL</t>
        </is>
      </c>
      <c r="D165" s="21" t="n">
        <v>2</v>
      </c>
      <c r="E165" s="21" t="n">
        <v>24.9216</v>
      </c>
      <c r="F165" s="21" t="inlineStr">
        <is>
          <t>g</t>
        </is>
      </c>
      <c r="G165" s="21" t="n">
        <v>24.7</v>
      </c>
      <c r="H165" s="21" t="n"/>
      <c r="I165" s="22">
        <f>IF($A165="","",'2_密度換算'!$C$12*(1-((G165+'2_密度換算'!$C$8)^2*(G165+'2_密度換算'!$C$9))/('2_密度換算'!$C$10*(G165+'2_密度換算'!$C$11)))/1000)</f>
        <v/>
      </c>
      <c r="J165" s="22">
        <f>IF($A165="","",1+'2_密度換算'!$C$6*(1/I165-1/'2_密度換算'!$C$7))</f>
        <v/>
      </c>
      <c r="K165" s="23">
        <f>IF($A165="","",E165*J165/I165)</f>
        <v/>
      </c>
    </row>
    <row r="166">
      <c r="A166" s="21" t="n">
        <v>3</v>
      </c>
      <c r="B166" s="21" t="inlineStr">
        <is>
          <t>G3_S3</t>
        </is>
      </c>
      <c r="C166" s="21" t="inlineStr">
        <is>
          <t>pipette_10mL</t>
        </is>
      </c>
      <c r="D166" s="21" t="n">
        <v>3</v>
      </c>
      <c r="E166" s="21" t="n">
        <v>9.9598</v>
      </c>
      <c r="F166" s="21" t="inlineStr">
        <is>
          <t>g</t>
        </is>
      </c>
      <c r="G166" s="21" t="n">
        <v>25.5</v>
      </c>
      <c r="H166" s="21" t="n"/>
      <c r="I166" s="22">
        <f>IF($A166="","",'2_密度換算'!$C$12*(1-((G166+'2_密度換算'!$C$8)^2*(G166+'2_密度換算'!$C$9))/('2_密度換算'!$C$10*(G166+'2_密度換算'!$C$11)))/1000)</f>
        <v/>
      </c>
      <c r="J166" s="22">
        <f>IF($A166="","",1+'2_密度換算'!$C$6*(1/I166-1/'2_密度換算'!$C$7))</f>
        <v/>
      </c>
      <c r="K166" s="23">
        <f>IF($A166="","",E166*J166/I166)</f>
        <v/>
      </c>
    </row>
    <row r="167">
      <c r="A167" s="21" t="n">
        <v>3</v>
      </c>
      <c r="B167" s="21" t="inlineStr">
        <is>
          <t>G3_S3</t>
        </is>
      </c>
      <c r="C167" s="21" t="inlineStr">
        <is>
          <t>burette_25mL</t>
        </is>
      </c>
      <c r="D167" s="21" t="n">
        <v>3</v>
      </c>
      <c r="E167" s="21" t="n">
        <v>24.9174</v>
      </c>
      <c r="F167" s="21" t="inlineStr">
        <is>
          <t>g</t>
        </is>
      </c>
      <c r="G167" s="21" t="n">
        <v>24.7</v>
      </c>
      <c r="H167" s="21" t="n"/>
      <c r="I167" s="22">
        <f>IF($A167="","",'2_密度換算'!$C$12*(1-((G167+'2_密度換算'!$C$8)^2*(G167+'2_密度換算'!$C$9))/('2_密度換算'!$C$10*(G167+'2_密度換算'!$C$11)))/1000)</f>
        <v/>
      </c>
      <c r="J167" s="22">
        <f>IF($A167="","",1+'2_密度換算'!$C$6*(1/I167-1/'2_密度換算'!$C$7))</f>
        <v/>
      </c>
      <c r="K167" s="23">
        <f>IF($A167="","",E167*J167/I167)</f>
        <v/>
      </c>
    </row>
    <row r="168">
      <c r="A168" s="21" t="n">
        <v>3</v>
      </c>
      <c r="B168" s="21" t="inlineStr">
        <is>
          <t>G3_S3</t>
        </is>
      </c>
      <c r="C168" s="21" t="inlineStr">
        <is>
          <t>pipette_10mL</t>
        </is>
      </c>
      <c r="D168" s="21" t="n">
        <v>4</v>
      </c>
      <c r="E168" s="21" t="n">
        <v>9.9635</v>
      </c>
      <c r="F168" s="21" t="inlineStr">
        <is>
          <t>g</t>
        </is>
      </c>
      <c r="G168" s="21" t="n">
        <v>24.3</v>
      </c>
      <c r="H168" s="21" t="n"/>
      <c r="I168" s="22">
        <f>IF($A168="","",'2_密度換算'!$C$12*(1-((G168+'2_密度換算'!$C$8)^2*(G168+'2_密度換算'!$C$9))/('2_密度換算'!$C$10*(G168+'2_密度換算'!$C$11)))/1000)</f>
        <v/>
      </c>
      <c r="J168" s="22">
        <f>IF($A168="","",1+'2_密度換算'!$C$6*(1/I168-1/'2_密度換算'!$C$7))</f>
        <v/>
      </c>
      <c r="K168" s="23">
        <f>IF($A168="","",E168*J168/I168)</f>
        <v/>
      </c>
    </row>
    <row r="169">
      <c r="A169" s="21" t="n">
        <v>3</v>
      </c>
      <c r="B169" s="21" t="inlineStr">
        <is>
          <t>G3_S3</t>
        </is>
      </c>
      <c r="C169" s="21" t="inlineStr">
        <is>
          <t>burette_25mL</t>
        </is>
      </c>
      <c r="D169" s="21" t="n">
        <v>4</v>
      </c>
      <c r="E169" s="21" t="n">
        <v>24.8994</v>
      </c>
      <c r="F169" s="21" t="inlineStr">
        <is>
          <t>g</t>
        </is>
      </c>
      <c r="G169" s="21" t="n">
        <v>25.9</v>
      </c>
      <c r="H169" s="21" t="n"/>
      <c r="I169" s="22">
        <f>IF($A169="","",'2_密度換算'!$C$12*(1-((G169+'2_密度換算'!$C$8)^2*(G169+'2_密度換算'!$C$9))/('2_密度換算'!$C$10*(G169+'2_密度換算'!$C$11)))/1000)</f>
        <v/>
      </c>
      <c r="J169" s="22">
        <f>IF($A169="","",1+'2_密度換算'!$C$6*(1/I169-1/'2_密度換算'!$C$7))</f>
        <v/>
      </c>
      <c r="K169" s="23">
        <f>IF($A169="","",E169*J169/I169)</f>
        <v/>
      </c>
    </row>
    <row r="170">
      <c r="A170" s="21" t="n">
        <v>3</v>
      </c>
      <c r="B170" s="21" t="inlineStr">
        <is>
          <t>G3_S3</t>
        </is>
      </c>
      <c r="C170" s="21" t="inlineStr">
        <is>
          <t>pipette_10mL</t>
        </is>
      </c>
      <c r="D170" s="21" t="n">
        <v>5</v>
      </c>
      <c r="E170" s="21" t="n">
        <v>9.9674</v>
      </c>
      <c r="F170" s="21" t="inlineStr">
        <is>
          <t>g</t>
        </is>
      </c>
      <c r="G170" s="21" t="n">
        <v>24.8</v>
      </c>
      <c r="H170" s="21" t="n"/>
      <c r="I170" s="22">
        <f>IF($A170="","",'2_密度換算'!$C$12*(1-((G170+'2_密度換算'!$C$8)^2*(G170+'2_密度換算'!$C$9))/('2_密度換算'!$C$10*(G170+'2_密度換算'!$C$11)))/1000)</f>
        <v/>
      </c>
      <c r="J170" s="22">
        <f>IF($A170="","",1+'2_密度換算'!$C$6*(1/I170-1/'2_密度換算'!$C$7))</f>
        <v/>
      </c>
      <c r="K170" s="23">
        <f>IF($A170="","",E170*J170/I170)</f>
        <v/>
      </c>
    </row>
    <row r="171">
      <c r="A171" s="21" t="n">
        <v>3</v>
      </c>
      <c r="B171" s="21" t="inlineStr">
        <is>
          <t>G3_S3</t>
        </is>
      </c>
      <c r="C171" s="21" t="inlineStr">
        <is>
          <t>burette_25mL</t>
        </is>
      </c>
      <c r="D171" s="21" t="n">
        <v>5</v>
      </c>
      <c r="E171" s="21" t="n">
        <v>24.9073</v>
      </c>
      <c r="F171" s="21" t="inlineStr">
        <is>
          <t>g</t>
        </is>
      </c>
      <c r="G171" s="21" t="n">
        <v>25.1</v>
      </c>
      <c r="H171" s="21" t="n"/>
      <c r="I171" s="22">
        <f>IF($A171="","",'2_密度換算'!$C$12*(1-((G171+'2_密度換算'!$C$8)^2*(G171+'2_密度換算'!$C$9))/('2_密度換算'!$C$10*(G171+'2_密度換算'!$C$11)))/1000)</f>
        <v/>
      </c>
      <c r="J171" s="22">
        <f>IF($A171="","",1+'2_密度換算'!$C$6*(1/I171-1/'2_密度換算'!$C$7))</f>
        <v/>
      </c>
      <c r="K171" s="23">
        <f>IF($A171="","",E171*J171/I171)</f>
        <v/>
      </c>
    </row>
    <row r="172">
      <c r="A172" s="21" t="n">
        <v>3</v>
      </c>
      <c r="B172" s="21" t="inlineStr">
        <is>
          <t>G3_S3</t>
        </is>
      </c>
      <c r="C172" s="21" t="inlineStr">
        <is>
          <t>pipette_10mL</t>
        </is>
      </c>
      <c r="D172" s="21" t="n">
        <v>6</v>
      </c>
      <c r="E172" s="21" t="n">
        <v>9.962300000000001</v>
      </c>
      <c r="F172" s="21" t="inlineStr">
        <is>
          <t>g</t>
        </is>
      </c>
      <c r="G172" s="21" t="n">
        <v>25.6</v>
      </c>
      <c r="H172" s="21" t="n"/>
      <c r="I172" s="22">
        <f>IF($A172="","",'2_密度換算'!$C$12*(1-((G172+'2_密度換算'!$C$8)^2*(G172+'2_密度換算'!$C$9))/('2_密度換算'!$C$10*(G172+'2_密度換算'!$C$11)))/1000)</f>
        <v/>
      </c>
      <c r="J172" s="22">
        <f>IF($A172="","",1+'2_密度換算'!$C$6*(1/I172-1/'2_密度換算'!$C$7))</f>
        <v/>
      </c>
      <c r="K172" s="23">
        <f>IF($A172="","",E172*J172/I172)</f>
        <v/>
      </c>
    </row>
    <row r="173">
      <c r="A173" s="21" t="n">
        <v>3</v>
      </c>
      <c r="B173" s="21" t="inlineStr">
        <is>
          <t>G3_S3</t>
        </is>
      </c>
      <c r="C173" s="21" t="inlineStr">
        <is>
          <t>burette_25mL</t>
        </is>
      </c>
      <c r="D173" s="21" t="n">
        <v>6</v>
      </c>
      <c r="E173" s="21" t="n">
        <v>24.9332</v>
      </c>
      <c r="F173" s="21" t="inlineStr">
        <is>
          <t>g</t>
        </is>
      </c>
      <c r="G173" s="21" t="n">
        <v>24.8</v>
      </c>
      <c r="H173" s="21" t="n"/>
      <c r="I173" s="22">
        <f>IF($A173="","",'2_密度換算'!$C$12*(1-((G173+'2_密度換算'!$C$8)^2*(G173+'2_密度換算'!$C$9))/('2_密度換算'!$C$10*(G173+'2_密度換算'!$C$11)))/1000)</f>
        <v/>
      </c>
      <c r="J173" s="22">
        <f>IF($A173="","",1+'2_密度換算'!$C$6*(1/I173-1/'2_密度換算'!$C$7))</f>
        <v/>
      </c>
      <c r="K173" s="23">
        <f>IF($A173="","",E173*J173/I173)</f>
        <v/>
      </c>
    </row>
    <row r="174">
      <c r="A174" s="21" t="n">
        <v>3</v>
      </c>
      <c r="B174" s="21" t="inlineStr">
        <is>
          <t>G3_S3</t>
        </is>
      </c>
      <c r="C174" s="21" t="inlineStr">
        <is>
          <t>pipette_10mL</t>
        </is>
      </c>
      <c r="D174" s="21" t="n">
        <v>7</v>
      </c>
      <c r="E174" s="21" t="n">
        <v>9.9628</v>
      </c>
      <c r="F174" s="21" t="inlineStr">
        <is>
          <t>g</t>
        </is>
      </c>
      <c r="G174" s="21" t="n">
        <v>25.4</v>
      </c>
      <c r="H174" s="21" t="n"/>
      <c r="I174" s="22">
        <f>IF($A174="","",'2_密度換算'!$C$12*(1-((G174+'2_密度換算'!$C$8)^2*(G174+'2_密度換算'!$C$9))/('2_密度換算'!$C$10*(G174+'2_密度換算'!$C$11)))/1000)</f>
        <v/>
      </c>
      <c r="J174" s="22">
        <f>IF($A174="","",1+'2_密度換算'!$C$6*(1/I174-1/'2_密度換算'!$C$7))</f>
        <v/>
      </c>
      <c r="K174" s="23">
        <f>IF($A174="","",E174*J174/I174)</f>
        <v/>
      </c>
    </row>
    <row r="175">
      <c r="A175" s="21" t="n">
        <v>3</v>
      </c>
      <c r="B175" s="21" t="inlineStr">
        <is>
          <t>G3_S3</t>
        </is>
      </c>
      <c r="C175" s="21" t="inlineStr">
        <is>
          <t>burette_25mL</t>
        </is>
      </c>
      <c r="D175" s="21" t="n">
        <v>7</v>
      </c>
      <c r="E175" s="21" t="n">
        <v>24.9481</v>
      </c>
      <c r="F175" s="21" t="inlineStr">
        <is>
          <t>g</t>
        </is>
      </c>
      <c r="G175" s="21" t="n">
        <v>24.2</v>
      </c>
      <c r="H175" s="21" t="n"/>
      <c r="I175" s="22">
        <f>IF($A175="","",'2_密度換算'!$C$12*(1-((G175+'2_密度換算'!$C$8)^2*(G175+'2_密度換算'!$C$9))/('2_密度換算'!$C$10*(G175+'2_密度換算'!$C$11)))/1000)</f>
        <v/>
      </c>
      <c r="J175" s="22">
        <f>IF($A175="","",1+'2_密度換算'!$C$6*(1/I175-1/'2_密度換算'!$C$7))</f>
        <v/>
      </c>
      <c r="K175" s="23">
        <f>IF($A175="","",E175*J175/I175)</f>
        <v/>
      </c>
    </row>
    <row r="176">
      <c r="A176" s="21" t="n">
        <v>3</v>
      </c>
      <c r="B176" s="21" t="inlineStr">
        <is>
          <t>G3_S3</t>
        </is>
      </c>
      <c r="C176" s="21" t="inlineStr">
        <is>
          <t>pipette_10mL</t>
        </is>
      </c>
      <c r="D176" s="21" t="n">
        <v>8</v>
      </c>
      <c r="E176" s="21" t="n">
        <v>9.9495</v>
      </c>
      <c r="F176" s="21" t="inlineStr">
        <is>
          <t>g</t>
        </is>
      </c>
      <c r="G176" s="21" t="n">
        <v>25.3</v>
      </c>
      <c r="H176" s="21" t="n"/>
      <c r="I176" s="22">
        <f>IF($A176="","",'2_密度換算'!$C$12*(1-((G176+'2_密度換算'!$C$8)^2*(G176+'2_密度換算'!$C$9))/('2_密度換算'!$C$10*(G176+'2_密度換算'!$C$11)))/1000)</f>
        <v/>
      </c>
      <c r="J176" s="22">
        <f>IF($A176="","",1+'2_密度換算'!$C$6*(1/I176-1/'2_密度換算'!$C$7))</f>
        <v/>
      </c>
      <c r="K176" s="23">
        <f>IF($A176="","",E176*J176/I176)</f>
        <v/>
      </c>
    </row>
    <row r="177">
      <c r="A177" s="21" t="n">
        <v>3</v>
      </c>
      <c r="B177" s="21" t="inlineStr">
        <is>
          <t>G3_S3</t>
        </is>
      </c>
      <c r="C177" s="21" t="inlineStr">
        <is>
          <t>burette_25mL</t>
        </is>
      </c>
      <c r="D177" s="21" t="n">
        <v>8</v>
      </c>
      <c r="E177" s="21" t="n">
        <v>24.9107</v>
      </c>
      <c r="F177" s="21" t="inlineStr">
        <is>
          <t>g</t>
        </is>
      </c>
      <c r="G177" s="21" t="n">
        <v>25.2</v>
      </c>
      <c r="H177" s="21" t="n"/>
      <c r="I177" s="22">
        <f>IF($A177="","",'2_密度換算'!$C$12*(1-((G177+'2_密度換算'!$C$8)^2*(G177+'2_密度換算'!$C$9))/('2_密度換算'!$C$10*(G177+'2_密度換算'!$C$11)))/1000)</f>
        <v/>
      </c>
      <c r="J177" s="22">
        <f>IF($A177="","",1+'2_密度換算'!$C$6*(1/I177-1/'2_密度換算'!$C$7))</f>
        <v/>
      </c>
      <c r="K177" s="23">
        <f>IF($A177="","",E177*J177/I177)</f>
        <v/>
      </c>
    </row>
    <row r="178">
      <c r="A178" s="21" t="n">
        <v>3</v>
      </c>
      <c r="B178" s="21" t="inlineStr">
        <is>
          <t>G3_S3</t>
        </is>
      </c>
      <c r="C178" s="21" t="inlineStr">
        <is>
          <t>pipette_10mL</t>
        </is>
      </c>
      <c r="D178" s="21" t="n">
        <v>9</v>
      </c>
      <c r="E178" s="21" t="n">
        <v>9.9686</v>
      </c>
      <c r="F178" s="21" t="inlineStr">
        <is>
          <t>g</t>
        </is>
      </c>
      <c r="G178" s="21" t="n">
        <v>24</v>
      </c>
      <c r="H178" s="21" t="n"/>
      <c r="I178" s="22">
        <f>IF($A178="","",'2_密度換算'!$C$12*(1-((G178+'2_密度換算'!$C$8)^2*(G178+'2_密度換算'!$C$9))/('2_密度換算'!$C$10*(G178+'2_密度換算'!$C$11)))/1000)</f>
        <v/>
      </c>
      <c r="J178" s="22">
        <f>IF($A178="","",1+'2_密度換算'!$C$6*(1/I178-1/'2_密度換算'!$C$7))</f>
        <v/>
      </c>
      <c r="K178" s="23">
        <f>IF($A178="","",E178*J178/I178)</f>
        <v/>
      </c>
    </row>
    <row r="179">
      <c r="A179" s="21" t="n">
        <v>3</v>
      </c>
      <c r="B179" s="21" t="inlineStr">
        <is>
          <t>G3_S3</t>
        </is>
      </c>
      <c r="C179" s="21" t="inlineStr">
        <is>
          <t>burette_25mL</t>
        </is>
      </c>
      <c r="D179" s="21" t="n">
        <v>9</v>
      </c>
      <c r="E179" s="21" t="n">
        <v>24.8986</v>
      </c>
      <c r="F179" s="21" t="inlineStr">
        <is>
          <t>g</t>
        </is>
      </c>
      <c r="G179" s="21" t="n">
        <v>25.7</v>
      </c>
      <c r="H179" s="21" t="n"/>
      <c r="I179" s="22">
        <f>IF($A179="","",'2_密度換算'!$C$12*(1-((G179+'2_密度換算'!$C$8)^2*(G179+'2_密度換算'!$C$9))/('2_密度換算'!$C$10*(G179+'2_密度換算'!$C$11)))/1000)</f>
        <v/>
      </c>
      <c r="J179" s="22">
        <f>IF($A179="","",1+'2_密度換算'!$C$6*(1/I179-1/'2_密度換算'!$C$7))</f>
        <v/>
      </c>
      <c r="K179" s="23">
        <f>IF($A179="","",E179*J179/I179)</f>
        <v/>
      </c>
    </row>
    <row r="180">
      <c r="A180" s="21" t="n">
        <v>3</v>
      </c>
      <c r="B180" s="21" t="inlineStr">
        <is>
          <t>G3_S3</t>
        </is>
      </c>
      <c r="C180" s="21" t="inlineStr">
        <is>
          <t>pipette_10mL</t>
        </is>
      </c>
      <c r="D180" s="21" t="n">
        <v>10</v>
      </c>
      <c r="E180" s="21" t="n">
        <v>9.956300000000001</v>
      </c>
      <c r="F180" s="21" t="inlineStr">
        <is>
          <t>g</t>
        </is>
      </c>
      <c r="G180" s="21" t="n">
        <v>24.9</v>
      </c>
      <c r="H180" s="21" t="n"/>
      <c r="I180" s="22">
        <f>IF($A180="","",'2_密度換算'!$C$12*(1-((G180+'2_密度換算'!$C$8)^2*(G180+'2_密度換算'!$C$9))/('2_密度換算'!$C$10*(G180+'2_密度換算'!$C$11)))/1000)</f>
        <v/>
      </c>
      <c r="J180" s="22">
        <f>IF($A180="","",1+'2_密度換算'!$C$6*(1/I180-1/'2_密度換算'!$C$7))</f>
        <v/>
      </c>
      <c r="K180" s="23">
        <f>IF($A180="","",E180*J180/I180)</f>
        <v/>
      </c>
    </row>
    <row r="181">
      <c r="A181" s="21" t="n">
        <v>3</v>
      </c>
      <c r="B181" s="21" t="inlineStr">
        <is>
          <t>G3_S3</t>
        </is>
      </c>
      <c r="C181" s="21" t="inlineStr">
        <is>
          <t>burette_25mL</t>
        </is>
      </c>
      <c r="D181" s="21" t="n">
        <v>10</v>
      </c>
      <c r="E181" s="21" t="n">
        <v>24.9255</v>
      </c>
      <c r="F181" s="21" t="inlineStr">
        <is>
          <t>g</t>
        </is>
      </c>
      <c r="G181" s="21" t="n">
        <v>24.6</v>
      </c>
      <c r="H181" s="21" t="n"/>
      <c r="I181" s="22">
        <f>IF($A181="","",'2_密度換算'!$C$12*(1-((G181+'2_密度換算'!$C$8)^2*(G181+'2_密度換算'!$C$9))/('2_密度換算'!$C$10*(G181+'2_密度換算'!$C$11)))/1000)</f>
        <v/>
      </c>
      <c r="J181" s="22">
        <f>IF($A181="","",1+'2_密度換算'!$C$6*(1/I181-1/'2_密度換算'!$C$7))</f>
        <v/>
      </c>
      <c r="K181" s="23">
        <f>IF($A181="","",E181*J181/I181)</f>
        <v/>
      </c>
    </row>
    <row r="182">
      <c r="A182" s="21" t="n">
        <v>4</v>
      </c>
      <c r="B182" s="21" t="inlineStr">
        <is>
          <t>G4_S1</t>
        </is>
      </c>
      <c r="C182" s="21" t="inlineStr">
        <is>
          <t>pipette_10mL</t>
        </is>
      </c>
      <c r="D182" s="21" t="n">
        <v>1</v>
      </c>
      <c r="E182" s="21" t="n">
        <v>9.967000000000001</v>
      </c>
      <c r="F182" s="21" t="inlineStr">
        <is>
          <t>g</t>
        </is>
      </c>
      <c r="G182" s="21" t="n">
        <v>24.6</v>
      </c>
      <c r="H182" s="21" t="n"/>
      <c r="I182" s="22">
        <f>IF($A182="","",'2_密度換算'!$C$12*(1-((G182+'2_密度換算'!$C$8)^2*(G182+'2_密度換算'!$C$9))/('2_密度換算'!$C$10*(G182+'2_密度換算'!$C$11)))/1000)</f>
        <v/>
      </c>
      <c r="J182" s="22">
        <f>IF($A182="","",1+'2_密度換算'!$C$6*(1/I182-1/'2_密度換算'!$C$7))</f>
        <v/>
      </c>
      <c r="K182" s="23">
        <f>IF($A182="","",E182*J182/I182)</f>
        <v/>
      </c>
    </row>
    <row r="183">
      <c r="A183" s="21" t="n">
        <v>4</v>
      </c>
      <c r="B183" s="21" t="inlineStr">
        <is>
          <t>G4_S1</t>
        </is>
      </c>
      <c r="C183" s="21" t="inlineStr">
        <is>
          <t>burette_25mL</t>
        </is>
      </c>
      <c r="D183" s="21" t="n">
        <v>1</v>
      </c>
      <c r="E183" s="21" t="n">
        <v>24.9274</v>
      </c>
      <c r="F183" s="21" t="inlineStr">
        <is>
          <t>g</t>
        </is>
      </c>
      <c r="G183" s="21" t="n">
        <v>24.2</v>
      </c>
      <c r="H183" s="21" t="n"/>
      <c r="I183" s="22">
        <f>IF($A183="","",'2_密度換算'!$C$12*(1-((G183+'2_密度換算'!$C$8)^2*(G183+'2_密度換算'!$C$9))/('2_密度換算'!$C$10*(G183+'2_密度換算'!$C$11)))/1000)</f>
        <v/>
      </c>
      <c r="J183" s="22">
        <f>IF($A183="","",1+'2_密度換算'!$C$6*(1/I183-1/'2_密度換算'!$C$7))</f>
        <v/>
      </c>
      <c r="K183" s="23">
        <f>IF($A183="","",E183*J183/I183)</f>
        <v/>
      </c>
    </row>
    <row r="184">
      <c r="A184" s="21" t="n">
        <v>4</v>
      </c>
      <c r="B184" s="21" t="inlineStr">
        <is>
          <t>G4_S1</t>
        </is>
      </c>
      <c r="C184" s="21" t="inlineStr">
        <is>
          <t>pipette_10mL</t>
        </is>
      </c>
      <c r="D184" s="21" t="n">
        <v>2</v>
      </c>
      <c r="E184" s="21" t="n">
        <v>9.9672</v>
      </c>
      <c r="F184" s="21" t="inlineStr">
        <is>
          <t>g</t>
        </is>
      </c>
      <c r="G184" s="21" t="n">
        <v>24.2</v>
      </c>
      <c r="H184" s="21" t="n"/>
      <c r="I184" s="22">
        <f>IF($A184="","",'2_密度換算'!$C$12*(1-((G184+'2_密度換算'!$C$8)^2*(G184+'2_密度換算'!$C$9))/('2_密度換算'!$C$10*(G184+'2_密度換算'!$C$11)))/1000)</f>
        <v/>
      </c>
      <c r="J184" s="22">
        <f>IF($A184="","",1+'2_密度換算'!$C$6*(1/I184-1/'2_密度換算'!$C$7))</f>
        <v/>
      </c>
      <c r="K184" s="23">
        <f>IF($A184="","",E184*J184/I184)</f>
        <v/>
      </c>
    </row>
    <row r="185">
      <c r="A185" s="21" t="n">
        <v>4</v>
      </c>
      <c r="B185" s="21" t="inlineStr">
        <is>
          <t>G4_S1</t>
        </is>
      </c>
      <c r="C185" s="21" t="inlineStr">
        <is>
          <t>burette_25mL</t>
        </is>
      </c>
      <c r="D185" s="21" t="n">
        <v>2</v>
      </c>
      <c r="E185" s="21" t="n">
        <v>24.9122</v>
      </c>
      <c r="F185" s="21" t="inlineStr">
        <is>
          <t>g</t>
        </is>
      </c>
      <c r="G185" s="21" t="n">
        <v>24.1</v>
      </c>
      <c r="H185" s="21" t="n"/>
      <c r="I185" s="22">
        <f>IF($A185="","",'2_密度換算'!$C$12*(1-((G185+'2_密度換算'!$C$8)^2*(G185+'2_密度換算'!$C$9))/('2_密度換算'!$C$10*(G185+'2_密度換算'!$C$11)))/1000)</f>
        <v/>
      </c>
      <c r="J185" s="22">
        <f>IF($A185="","",1+'2_密度換算'!$C$6*(1/I185-1/'2_密度換算'!$C$7))</f>
        <v/>
      </c>
      <c r="K185" s="23">
        <f>IF($A185="","",E185*J185/I185)</f>
        <v/>
      </c>
    </row>
    <row r="186">
      <c r="A186" s="21" t="n">
        <v>4</v>
      </c>
      <c r="B186" s="21" t="inlineStr">
        <is>
          <t>G4_S1</t>
        </is>
      </c>
      <c r="C186" s="21" t="inlineStr">
        <is>
          <t>pipette_10mL</t>
        </is>
      </c>
      <c r="D186" s="21" t="n">
        <v>3</v>
      </c>
      <c r="E186" s="21" t="n">
        <v>9.966900000000001</v>
      </c>
      <c r="F186" s="21" t="inlineStr">
        <is>
          <t>g</t>
        </is>
      </c>
      <c r="G186" s="21" t="n">
        <v>24.3</v>
      </c>
      <c r="H186" s="21" t="n"/>
      <c r="I186" s="22">
        <f>IF($A186="","",'2_密度換算'!$C$12*(1-((G186+'2_密度換算'!$C$8)^2*(G186+'2_密度換算'!$C$9))/('2_密度換算'!$C$10*(G186+'2_密度換算'!$C$11)))/1000)</f>
        <v/>
      </c>
      <c r="J186" s="22">
        <f>IF($A186="","",1+'2_密度換算'!$C$6*(1/I186-1/'2_密度換算'!$C$7))</f>
        <v/>
      </c>
      <c r="K186" s="23">
        <f>IF($A186="","",E186*J186/I186)</f>
        <v/>
      </c>
    </row>
    <row r="187">
      <c r="A187" s="21" t="n">
        <v>4</v>
      </c>
      <c r="B187" s="21" t="inlineStr">
        <is>
          <t>G4_S1</t>
        </is>
      </c>
      <c r="C187" s="21" t="inlineStr">
        <is>
          <t>burette_25mL</t>
        </is>
      </c>
      <c r="D187" s="21" t="n">
        <v>3</v>
      </c>
      <c r="E187" s="21" t="n">
        <v>24.9162</v>
      </c>
      <c r="F187" s="21" t="inlineStr">
        <is>
          <t>g</t>
        </is>
      </c>
      <c r="G187" s="21" t="n">
        <v>24.4</v>
      </c>
      <c r="H187" s="21" t="n"/>
      <c r="I187" s="22">
        <f>IF($A187="","",'2_密度換算'!$C$12*(1-((G187+'2_密度換算'!$C$8)^2*(G187+'2_密度換算'!$C$9))/('2_密度換算'!$C$10*(G187+'2_密度換算'!$C$11)))/1000)</f>
        <v/>
      </c>
      <c r="J187" s="22">
        <f>IF($A187="","",1+'2_密度換算'!$C$6*(1/I187-1/'2_密度換算'!$C$7))</f>
        <v/>
      </c>
      <c r="K187" s="23">
        <f>IF($A187="","",E187*J187/I187)</f>
        <v/>
      </c>
    </row>
    <row r="188">
      <c r="A188" s="21" t="n">
        <v>4</v>
      </c>
      <c r="B188" s="21" t="inlineStr">
        <is>
          <t>G4_S1</t>
        </is>
      </c>
      <c r="C188" s="21" t="inlineStr">
        <is>
          <t>pipette_10mL</t>
        </is>
      </c>
      <c r="D188" s="21" t="n">
        <v>4</v>
      </c>
      <c r="E188" s="21" t="n">
        <v>9.9628</v>
      </c>
      <c r="F188" s="21" t="inlineStr">
        <is>
          <t>g</t>
        </is>
      </c>
      <c r="G188" s="21" t="n">
        <v>25.3</v>
      </c>
      <c r="H188" s="21" t="n"/>
      <c r="I188" s="22">
        <f>IF($A188="","",'2_密度換算'!$C$12*(1-((G188+'2_密度換算'!$C$8)^2*(G188+'2_密度換算'!$C$9))/('2_密度換算'!$C$10*(G188+'2_密度換算'!$C$11)))/1000)</f>
        <v/>
      </c>
      <c r="J188" s="22">
        <f>IF($A188="","",1+'2_密度換算'!$C$6*(1/I188-1/'2_密度換算'!$C$7))</f>
        <v/>
      </c>
      <c r="K188" s="23">
        <f>IF($A188="","",E188*J188/I188)</f>
        <v/>
      </c>
    </row>
    <row r="189">
      <c r="A189" s="21" t="n">
        <v>4</v>
      </c>
      <c r="B189" s="21" t="inlineStr">
        <is>
          <t>G4_S1</t>
        </is>
      </c>
      <c r="C189" s="21" t="inlineStr">
        <is>
          <t>burette_25mL</t>
        </is>
      </c>
      <c r="D189" s="21" t="n">
        <v>4</v>
      </c>
      <c r="E189" s="21" t="n">
        <v>24.9416</v>
      </c>
      <c r="F189" s="21" t="inlineStr">
        <is>
          <t>g</t>
        </is>
      </c>
      <c r="G189" s="21" t="n">
        <v>24</v>
      </c>
      <c r="H189" s="21" t="n"/>
      <c r="I189" s="22">
        <f>IF($A189="","",'2_密度換算'!$C$12*(1-((G189+'2_密度換算'!$C$8)^2*(G189+'2_密度換算'!$C$9))/('2_密度換算'!$C$10*(G189+'2_密度換算'!$C$11)))/1000)</f>
        <v/>
      </c>
      <c r="J189" s="22">
        <f>IF($A189="","",1+'2_密度換算'!$C$6*(1/I189-1/'2_密度換算'!$C$7))</f>
        <v/>
      </c>
      <c r="K189" s="23">
        <f>IF($A189="","",E189*J189/I189)</f>
        <v/>
      </c>
    </row>
    <row r="190">
      <c r="A190" s="21" t="n">
        <v>4</v>
      </c>
      <c r="B190" s="21" t="inlineStr">
        <is>
          <t>G4_S1</t>
        </is>
      </c>
      <c r="C190" s="21" t="inlineStr">
        <is>
          <t>pipette_10mL</t>
        </is>
      </c>
      <c r="D190" s="21" t="n">
        <v>5</v>
      </c>
      <c r="E190" s="21" t="n">
        <v>9.9596</v>
      </c>
      <c r="F190" s="21" t="inlineStr">
        <is>
          <t>g</t>
        </is>
      </c>
      <c r="G190" s="21" t="n">
        <v>25.2</v>
      </c>
      <c r="H190" s="21" t="n"/>
      <c r="I190" s="22">
        <f>IF($A190="","",'2_密度換算'!$C$12*(1-((G190+'2_密度換算'!$C$8)^2*(G190+'2_密度換算'!$C$9))/('2_密度換算'!$C$10*(G190+'2_密度換算'!$C$11)))/1000)</f>
        <v/>
      </c>
      <c r="J190" s="22">
        <f>IF($A190="","",1+'2_密度換算'!$C$6*(1/I190-1/'2_密度換算'!$C$7))</f>
        <v/>
      </c>
      <c r="K190" s="23">
        <f>IF($A190="","",E190*J190/I190)</f>
        <v/>
      </c>
    </row>
    <row r="191">
      <c r="A191" s="21" t="n">
        <v>4</v>
      </c>
      <c r="B191" s="21" t="inlineStr">
        <is>
          <t>G4_S1</t>
        </is>
      </c>
      <c r="C191" s="21" t="inlineStr">
        <is>
          <t>burette_25mL</t>
        </is>
      </c>
      <c r="D191" s="21" t="n">
        <v>5</v>
      </c>
      <c r="E191" s="21" t="n">
        <v>24.8792</v>
      </c>
      <c r="F191" s="21" t="inlineStr">
        <is>
          <t>g</t>
        </is>
      </c>
      <c r="G191" s="21" t="n">
        <v>24.5</v>
      </c>
      <c r="H191" s="21" t="n"/>
      <c r="I191" s="22">
        <f>IF($A191="","",'2_密度換算'!$C$12*(1-((G191+'2_密度換算'!$C$8)^2*(G191+'2_密度換算'!$C$9))/('2_密度換算'!$C$10*(G191+'2_密度換算'!$C$11)))/1000)</f>
        <v/>
      </c>
      <c r="J191" s="22">
        <f>IF($A191="","",1+'2_密度換算'!$C$6*(1/I191-1/'2_密度換算'!$C$7))</f>
        <v/>
      </c>
      <c r="K191" s="23">
        <f>IF($A191="","",E191*J191/I191)</f>
        <v/>
      </c>
    </row>
    <row r="192">
      <c r="A192" s="21" t="n">
        <v>4</v>
      </c>
      <c r="B192" s="21" t="inlineStr">
        <is>
          <t>G4_S1</t>
        </is>
      </c>
      <c r="C192" s="21" t="inlineStr">
        <is>
          <t>pipette_10mL</t>
        </is>
      </c>
      <c r="D192" s="21" t="n">
        <v>6</v>
      </c>
      <c r="E192" s="21" t="n">
        <v>9.969200000000001</v>
      </c>
      <c r="F192" s="21" t="inlineStr">
        <is>
          <t>g</t>
        </is>
      </c>
      <c r="G192" s="21" t="n">
        <v>24.1</v>
      </c>
      <c r="H192" s="21" t="n"/>
      <c r="I192" s="22">
        <f>IF($A192="","",'2_密度換算'!$C$12*(1-((G192+'2_密度換算'!$C$8)^2*(G192+'2_密度換算'!$C$9))/('2_密度換算'!$C$10*(G192+'2_密度換算'!$C$11)))/1000)</f>
        <v/>
      </c>
      <c r="J192" s="22">
        <f>IF($A192="","",1+'2_密度換算'!$C$6*(1/I192-1/'2_密度換算'!$C$7))</f>
        <v/>
      </c>
      <c r="K192" s="23">
        <f>IF($A192="","",E192*J192/I192)</f>
        <v/>
      </c>
    </row>
    <row r="193">
      <c r="A193" s="21" t="n">
        <v>4</v>
      </c>
      <c r="B193" s="21" t="inlineStr">
        <is>
          <t>G4_S1</t>
        </is>
      </c>
      <c r="C193" s="21" t="inlineStr">
        <is>
          <t>burette_25mL</t>
        </is>
      </c>
      <c r="D193" s="21" t="n">
        <v>6</v>
      </c>
      <c r="E193" s="21" t="n">
        <v>24.9176</v>
      </c>
      <c r="F193" s="21" t="inlineStr">
        <is>
          <t>g</t>
        </is>
      </c>
      <c r="G193" s="21" t="n">
        <v>25.9</v>
      </c>
      <c r="H193" s="21" t="n"/>
      <c r="I193" s="22">
        <f>IF($A193="","",'2_密度換算'!$C$12*(1-((G193+'2_密度換算'!$C$8)^2*(G193+'2_密度換算'!$C$9))/('2_密度換算'!$C$10*(G193+'2_密度換算'!$C$11)))/1000)</f>
        <v/>
      </c>
      <c r="J193" s="22">
        <f>IF($A193="","",1+'2_密度換算'!$C$6*(1/I193-1/'2_密度換算'!$C$7))</f>
        <v/>
      </c>
      <c r="K193" s="23">
        <f>IF($A193="","",E193*J193/I193)</f>
        <v/>
      </c>
    </row>
    <row r="194">
      <c r="A194" s="21" t="n">
        <v>4</v>
      </c>
      <c r="B194" s="21" t="inlineStr">
        <is>
          <t>G4_S1</t>
        </is>
      </c>
      <c r="C194" s="21" t="inlineStr">
        <is>
          <t>pipette_10mL</t>
        </is>
      </c>
      <c r="D194" s="21" t="n">
        <v>7</v>
      </c>
      <c r="E194" s="21" t="n">
        <v>9.9678</v>
      </c>
      <c r="F194" s="21" t="inlineStr">
        <is>
          <t>g</t>
        </is>
      </c>
      <c r="G194" s="21" t="n">
        <v>25.4</v>
      </c>
      <c r="H194" s="21" t="n"/>
      <c r="I194" s="22">
        <f>IF($A194="","",'2_密度換算'!$C$12*(1-((G194+'2_密度換算'!$C$8)^2*(G194+'2_密度換算'!$C$9))/('2_密度換算'!$C$10*(G194+'2_密度換算'!$C$11)))/1000)</f>
        <v/>
      </c>
      <c r="J194" s="22">
        <f>IF($A194="","",1+'2_密度換算'!$C$6*(1/I194-1/'2_密度換算'!$C$7))</f>
        <v/>
      </c>
      <c r="K194" s="23">
        <f>IF($A194="","",E194*J194/I194)</f>
        <v/>
      </c>
    </row>
    <row r="195">
      <c r="A195" s="21" t="n">
        <v>4</v>
      </c>
      <c r="B195" s="21" t="inlineStr">
        <is>
          <t>G4_S1</t>
        </is>
      </c>
      <c r="C195" s="21" t="inlineStr">
        <is>
          <t>burette_25mL</t>
        </is>
      </c>
      <c r="D195" s="21" t="n">
        <v>7</v>
      </c>
      <c r="E195" s="21" t="n">
        <v>24.911</v>
      </c>
      <c r="F195" s="21" t="inlineStr">
        <is>
          <t>g</t>
        </is>
      </c>
      <c r="G195" s="21" t="n">
        <v>24.1</v>
      </c>
      <c r="H195" s="21" t="n"/>
      <c r="I195" s="22">
        <f>IF($A195="","",'2_密度換算'!$C$12*(1-((G195+'2_密度換算'!$C$8)^2*(G195+'2_密度換算'!$C$9))/('2_密度換算'!$C$10*(G195+'2_密度換算'!$C$11)))/1000)</f>
        <v/>
      </c>
      <c r="J195" s="22">
        <f>IF($A195="","",1+'2_密度換算'!$C$6*(1/I195-1/'2_密度換算'!$C$7))</f>
        <v/>
      </c>
      <c r="K195" s="23">
        <f>IF($A195="","",E195*J195/I195)</f>
        <v/>
      </c>
    </row>
    <row r="196">
      <c r="A196" s="21" t="n">
        <v>4</v>
      </c>
      <c r="B196" s="21" t="inlineStr">
        <is>
          <t>G4_S1</t>
        </is>
      </c>
      <c r="C196" s="21" t="inlineStr">
        <is>
          <t>pipette_10mL</t>
        </is>
      </c>
      <c r="D196" s="21" t="n">
        <v>8</v>
      </c>
      <c r="E196" s="21" t="n">
        <v>9.966200000000001</v>
      </c>
      <c r="F196" s="21" t="inlineStr">
        <is>
          <t>g</t>
        </is>
      </c>
      <c r="G196" s="21" t="n">
        <v>24.2</v>
      </c>
      <c r="H196" s="21" t="n"/>
      <c r="I196" s="22">
        <f>IF($A196="","",'2_密度換算'!$C$12*(1-((G196+'2_密度換算'!$C$8)^2*(G196+'2_密度換算'!$C$9))/('2_密度換算'!$C$10*(G196+'2_密度換算'!$C$11)))/1000)</f>
        <v/>
      </c>
      <c r="J196" s="22">
        <f>IF($A196="","",1+'2_密度換算'!$C$6*(1/I196-1/'2_密度換算'!$C$7))</f>
        <v/>
      </c>
      <c r="K196" s="23">
        <f>IF($A196="","",E196*J196/I196)</f>
        <v/>
      </c>
    </row>
    <row r="197">
      <c r="A197" s="21" t="n">
        <v>4</v>
      </c>
      <c r="B197" s="21" t="inlineStr">
        <is>
          <t>G4_S1</t>
        </is>
      </c>
      <c r="C197" s="21" t="inlineStr">
        <is>
          <t>burette_25mL</t>
        </is>
      </c>
      <c r="D197" s="21" t="n">
        <v>8</v>
      </c>
      <c r="E197" s="21" t="n">
        <v>24.9182</v>
      </c>
      <c r="F197" s="21" t="inlineStr">
        <is>
          <t>g</t>
        </is>
      </c>
      <c r="G197" s="21" t="n">
        <v>25.5</v>
      </c>
      <c r="H197" s="21" t="n"/>
      <c r="I197" s="22">
        <f>IF($A197="","",'2_密度換算'!$C$12*(1-((G197+'2_密度換算'!$C$8)^2*(G197+'2_密度換算'!$C$9))/('2_密度換算'!$C$10*(G197+'2_密度換算'!$C$11)))/1000)</f>
        <v/>
      </c>
      <c r="J197" s="22">
        <f>IF($A197="","",1+'2_密度換算'!$C$6*(1/I197-1/'2_密度換算'!$C$7))</f>
        <v/>
      </c>
      <c r="K197" s="23">
        <f>IF($A197="","",E197*J197/I197)</f>
        <v/>
      </c>
    </row>
    <row r="198">
      <c r="A198" s="21" t="n">
        <v>4</v>
      </c>
      <c r="B198" s="21" t="inlineStr">
        <is>
          <t>G4_S1</t>
        </is>
      </c>
      <c r="C198" s="21" t="inlineStr">
        <is>
          <t>pipette_10mL</t>
        </is>
      </c>
      <c r="D198" s="21" t="n">
        <v>9</v>
      </c>
      <c r="E198" s="21" t="n">
        <v>9.960699999999999</v>
      </c>
      <c r="F198" s="21" t="inlineStr">
        <is>
          <t>g</t>
        </is>
      </c>
      <c r="G198" s="21" t="n">
        <v>25.7</v>
      </c>
      <c r="H198" s="21" t="n"/>
      <c r="I198" s="22">
        <f>IF($A198="","",'2_密度換算'!$C$12*(1-((G198+'2_密度換算'!$C$8)^2*(G198+'2_密度換算'!$C$9))/('2_密度換算'!$C$10*(G198+'2_密度換算'!$C$11)))/1000)</f>
        <v/>
      </c>
      <c r="J198" s="22">
        <f>IF($A198="","",1+'2_密度換算'!$C$6*(1/I198-1/'2_密度換算'!$C$7))</f>
        <v/>
      </c>
      <c r="K198" s="23">
        <f>IF($A198="","",E198*J198/I198)</f>
        <v/>
      </c>
    </row>
    <row r="199">
      <c r="A199" s="21" t="n">
        <v>4</v>
      </c>
      <c r="B199" s="21" t="inlineStr">
        <is>
          <t>G4_S1</t>
        </is>
      </c>
      <c r="C199" s="21" t="inlineStr">
        <is>
          <t>burette_25mL</t>
        </is>
      </c>
      <c r="D199" s="21" t="n">
        <v>9</v>
      </c>
      <c r="E199" s="21" t="n">
        <v>24.8999</v>
      </c>
      <c r="F199" s="21" t="inlineStr">
        <is>
          <t>g</t>
        </is>
      </c>
      <c r="G199" s="21" t="n">
        <v>25.5</v>
      </c>
      <c r="H199" s="21" t="n"/>
      <c r="I199" s="22">
        <f>IF($A199="","",'2_密度換算'!$C$12*(1-((G199+'2_密度換算'!$C$8)^2*(G199+'2_密度換算'!$C$9))/('2_密度換算'!$C$10*(G199+'2_密度換算'!$C$11)))/1000)</f>
        <v/>
      </c>
      <c r="J199" s="22">
        <f>IF($A199="","",1+'2_密度換算'!$C$6*(1/I199-1/'2_密度換算'!$C$7))</f>
        <v/>
      </c>
      <c r="K199" s="23">
        <f>IF($A199="","",E199*J199/I199)</f>
        <v/>
      </c>
    </row>
    <row r="200">
      <c r="A200" s="21" t="n">
        <v>4</v>
      </c>
      <c r="B200" s="21" t="inlineStr">
        <is>
          <t>G4_S1</t>
        </is>
      </c>
      <c r="C200" s="21" t="inlineStr">
        <is>
          <t>pipette_10mL</t>
        </is>
      </c>
      <c r="D200" s="21" t="n">
        <v>10</v>
      </c>
      <c r="E200" s="21" t="n">
        <v>9.968400000000001</v>
      </c>
      <c r="F200" s="21" t="inlineStr">
        <is>
          <t>g</t>
        </is>
      </c>
      <c r="G200" s="21" t="n">
        <v>24.5</v>
      </c>
      <c r="H200" s="21" t="n"/>
      <c r="I200" s="22">
        <f>IF($A200="","",'2_密度換算'!$C$12*(1-((G200+'2_密度換算'!$C$8)^2*(G200+'2_密度換算'!$C$9))/('2_密度換算'!$C$10*(G200+'2_密度換算'!$C$11)))/1000)</f>
        <v/>
      </c>
      <c r="J200" s="22">
        <f>IF($A200="","",1+'2_密度換算'!$C$6*(1/I200-1/'2_密度換算'!$C$7))</f>
        <v/>
      </c>
      <c r="K200" s="23">
        <f>IF($A200="","",E200*J200/I200)</f>
        <v/>
      </c>
    </row>
    <row r="201">
      <c r="A201" s="21" t="n">
        <v>4</v>
      </c>
      <c r="B201" s="21" t="inlineStr">
        <is>
          <t>G4_S1</t>
        </is>
      </c>
      <c r="C201" s="21" t="inlineStr">
        <is>
          <t>burette_25mL</t>
        </is>
      </c>
      <c r="D201" s="21" t="n">
        <v>10</v>
      </c>
      <c r="E201" s="21" t="n">
        <v>24.8873</v>
      </c>
      <c r="F201" s="21" t="inlineStr">
        <is>
          <t>g</t>
        </is>
      </c>
      <c r="G201" s="21" t="n">
        <v>26</v>
      </c>
      <c r="H201" s="21" t="n"/>
      <c r="I201" s="22">
        <f>IF($A201="","",'2_密度換算'!$C$12*(1-((G201+'2_密度換算'!$C$8)^2*(G201+'2_密度換算'!$C$9))/('2_密度換算'!$C$10*(G201+'2_密度換算'!$C$11)))/1000)</f>
        <v/>
      </c>
      <c r="J201" s="22">
        <f>IF($A201="","",1+'2_密度換算'!$C$6*(1/I201-1/'2_密度換算'!$C$7))</f>
        <v/>
      </c>
      <c r="K201" s="23">
        <f>IF($A201="","",E201*J201/I201)</f>
        <v/>
      </c>
    </row>
    <row r="202">
      <c r="A202" s="21" t="n">
        <v>4</v>
      </c>
      <c r="B202" s="21" t="inlineStr">
        <is>
          <t>G4_S2</t>
        </is>
      </c>
      <c r="C202" s="21" t="inlineStr">
        <is>
          <t>pipette_10mL</t>
        </is>
      </c>
      <c r="D202" s="21" t="n">
        <v>1</v>
      </c>
      <c r="E202" s="21" t="n">
        <v>9.956300000000001</v>
      </c>
      <c r="F202" s="21" t="inlineStr">
        <is>
          <t>g</t>
        </is>
      </c>
      <c r="G202" s="21" t="n">
        <v>25.4</v>
      </c>
      <c r="H202" s="21" t="n"/>
      <c r="I202" s="22">
        <f>IF($A202="","",'2_密度換算'!$C$12*(1-((G202+'2_密度換算'!$C$8)^2*(G202+'2_密度換算'!$C$9))/('2_密度換算'!$C$10*(G202+'2_密度換算'!$C$11)))/1000)</f>
        <v/>
      </c>
      <c r="J202" s="22">
        <f>IF($A202="","",1+'2_密度換算'!$C$6*(1/I202-1/'2_密度換算'!$C$7))</f>
        <v/>
      </c>
      <c r="K202" s="23">
        <f>IF($A202="","",E202*J202/I202)</f>
        <v/>
      </c>
    </row>
    <row r="203">
      <c r="A203" s="21" t="n">
        <v>4</v>
      </c>
      <c r="B203" s="21" t="inlineStr">
        <is>
          <t>G4_S2</t>
        </is>
      </c>
      <c r="C203" s="21" t="inlineStr">
        <is>
          <t>burette_25mL</t>
        </is>
      </c>
      <c r="D203" s="21" t="n">
        <v>1</v>
      </c>
      <c r="E203" s="21" t="n">
        <v>24.8767</v>
      </c>
      <c r="F203" s="21" t="inlineStr">
        <is>
          <t>g</t>
        </is>
      </c>
      <c r="G203" s="21" t="n">
        <v>24.2</v>
      </c>
      <c r="H203" s="21" t="n"/>
      <c r="I203" s="22">
        <f>IF($A203="","",'2_密度換算'!$C$12*(1-((G203+'2_密度換算'!$C$8)^2*(G203+'2_密度換算'!$C$9))/('2_密度換算'!$C$10*(G203+'2_密度換算'!$C$11)))/1000)</f>
        <v/>
      </c>
      <c r="J203" s="22">
        <f>IF($A203="","",1+'2_密度換算'!$C$6*(1/I203-1/'2_密度換算'!$C$7))</f>
        <v/>
      </c>
      <c r="K203" s="23">
        <f>IF($A203="","",E203*J203/I203)</f>
        <v/>
      </c>
    </row>
    <row r="204">
      <c r="A204" s="21" t="n">
        <v>4</v>
      </c>
      <c r="B204" s="21" t="inlineStr">
        <is>
          <t>G4_S2</t>
        </is>
      </c>
      <c r="C204" s="21" t="inlineStr">
        <is>
          <t>pipette_10mL</t>
        </is>
      </c>
      <c r="D204" s="21" t="n">
        <v>2</v>
      </c>
      <c r="E204" s="21" t="n">
        <v>9.947100000000001</v>
      </c>
      <c r="F204" s="21" t="inlineStr">
        <is>
          <t>g</t>
        </is>
      </c>
      <c r="G204" s="21" t="n">
        <v>26</v>
      </c>
      <c r="H204" s="21" t="n"/>
      <c r="I204" s="22">
        <f>IF($A204="","",'2_密度換算'!$C$12*(1-((G204+'2_密度換算'!$C$8)^2*(G204+'2_密度換算'!$C$9))/('2_密度換算'!$C$10*(G204+'2_密度換算'!$C$11)))/1000)</f>
        <v/>
      </c>
      <c r="J204" s="22">
        <f>IF($A204="","",1+'2_密度換算'!$C$6*(1/I204-1/'2_密度換算'!$C$7))</f>
        <v/>
      </c>
      <c r="K204" s="23">
        <f>IF($A204="","",E204*J204/I204)</f>
        <v/>
      </c>
    </row>
    <row r="205">
      <c r="A205" s="21" t="n">
        <v>4</v>
      </c>
      <c r="B205" s="21" t="inlineStr">
        <is>
          <t>G4_S2</t>
        </is>
      </c>
      <c r="C205" s="21" t="inlineStr">
        <is>
          <t>burette_25mL</t>
        </is>
      </c>
      <c r="D205" s="21" t="n">
        <v>2</v>
      </c>
      <c r="E205" s="21" t="n">
        <v>24.8743</v>
      </c>
      <c r="F205" s="21" t="inlineStr">
        <is>
          <t>g</t>
        </is>
      </c>
      <c r="G205" s="21" t="n">
        <v>25.6</v>
      </c>
      <c r="H205" s="21" t="n"/>
      <c r="I205" s="22">
        <f>IF($A205="","",'2_密度換算'!$C$12*(1-((G205+'2_密度換算'!$C$8)^2*(G205+'2_密度換算'!$C$9))/('2_密度換算'!$C$10*(G205+'2_密度換算'!$C$11)))/1000)</f>
        <v/>
      </c>
      <c r="J205" s="22">
        <f>IF($A205="","",1+'2_密度換算'!$C$6*(1/I205-1/'2_密度換算'!$C$7))</f>
        <v/>
      </c>
      <c r="K205" s="23">
        <f>IF($A205="","",E205*J205/I205)</f>
        <v/>
      </c>
    </row>
    <row r="206">
      <c r="A206" s="21" t="n">
        <v>4</v>
      </c>
      <c r="B206" s="21" t="inlineStr">
        <is>
          <t>G4_S2</t>
        </is>
      </c>
      <c r="C206" s="21" t="inlineStr">
        <is>
          <t>pipette_10mL</t>
        </is>
      </c>
      <c r="D206" s="21" t="n">
        <v>3</v>
      </c>
      <c r="E206" s="21" t="n">
        <v>9.9544</v>
      </c>
      <c r="F206" s="21" t="inlineStr">
        <is>
          <t>g</t>
        </is>
      </c>
      <c r="G206" s="21" t="n">
        <v>25.1</v>
      </c>
      <c r="H206" s="21" t="n"/>
      <c r="I206" s="22">
        <f>IF($A206="","",'2_密度換算'!$C$12*(1-((G206+'2_密度換算'!$C$8)^2*(G206+'2_密度換算'!$C$9))/('2_密度換算'!$C$10*(G206+'2_密度換算'!$C$11)))/1000)</f>
        <v/>
      </c>
      <c r="J206" s="22">
        <f>IF($A206="","",1+'2_密度換算'!$C$6*(1/I206-1/'2_密度換算'!$C$7))</f>
        <v/>
      </c>
      <c r="K206" s="23">
        <f>IF($A206="","",E206*J206/I206)</f>
        <v/>
      </c>
    </row>
    <row r="207">
      <c r="A207" s="21" t="n">
        <v>4</v>
      </c>
      <c r="B207" s="21" t="inlineStr">
        <is>
          <t>G4_S2</t>
        </is>
      </c>
      <c r="C207" s="21" t="inlineStr">
        <is>
          <t>burette_25mL</t>
        </is>
      </c>
      <c r="D207" s="21" t="n">
        <v>3</v>
      </c>
      <c r="E207" s="21" t="n">
        <v>24.8694</v>
      </c>
      <c r="F207" s="21" t="inlineStr">
        <is>
          <t>g</t>
        </is>
      </c>
      <c r="G207" s="21" t="n">
        <v>25.9</v>
      </c>
      <c r="H207" s="21" t="n"/>
      <c r="I207" s="22">
        <f>IF($A207="","",'2_密度換算'!$C$12*(1-((G207+'2_密度換算'!$C$8)^2*(G207+'2_密度換算'!$C$9))/('2_密度換算'!$C$10*(G207+'2_密度換算'!$C$11)))/1000)</f>
        <v/>
      </c>
      <c r="J207" s="22">
        <f>IF($A207="","",1+'2_密度換算'!$C$6*(1/I207-1/'2_密度換算'!$C$7))</f>
        <v/>
      </c>
      <c r="K207" s="23">
        <f>IF($A207="","",E207*J207/I207)</f>
        <v/>
      </c>
    </row>
    <row r="208">
      <c r="A208" s="21" t="n">
        <v>4</v>
      </c>
      <c r="B208" s="21" t="inlineStr">
        <is>
          <t>G4_S2</t>
        </is>
      </c>
      <c r="C208" s="21" t="inlineStr">
        <is>
          <t>pipette_10mL</t>
        </is>
      </c>
      <c r="D208" s="21" t="n">
        <v>4</v>
      </c>
      <c r="E208" s="21" t="n">
        <v>9.9575</v>
      </c>
      <c r="F208" s="21" t="inlineStr">
        <is>
          <t>g</t>
        </is>
      </c>
      <c r="G208" s="21" t="n">
        <v>25.2</v>
      </c>
      <c r="H208" s="21" t="n"/>
      <c r="I208" s="22">
        <f>IF($A208="","",'2_密度換算'!$C$12*(1-((G208+'2_密度換算'!$C$8)^2*(G208+'2_密度換算'!$C$9))/('2_密度換算'!$C$10*(G208+'2_密度換算'!$C$11)))/1000)</f>
        <v/>
      </c>
      <c r="J208" s="22">
        <f>IF($A208="","",1+'2_密度換算'!$C$6*(1/I208-1/'2_密度換算'!$C$7))</f>
        <v/>
      </c>
      <c r="K208" s="23">
        <f>IF($A208="","",E208*J208/I208)</f>
        <v/>
      </c>
    </row>
    <row r="209">
      <c r="A209" s="21" t="n">
        <v>4</v>
      </c>
      <c r="B209" s="21" t="inlineStr">
        <is>
          <t>G4_S2</t>
        </is>
      </c>
      <c r="C209" s="21" t="inlineStr">
        <is>
          <t>burette_25mL</t>
        </is>
      </c>
      <c r="D209" s="21" t="n">
        <v>4</v>
      </c>
      <c r="E209" s="21" t="n">
        <v>24.9007</v>
      </c>
      <c r="F209" s="21" t="inlineStr">
        <is>
          <t>g</t>
        </is>
      </c>
      <c r="G209" s="21" t="n">
        <v>25.3</v>
      </c>
      <c r="H209" s="21" t="n"/>
      <c r="I209" s="22">
        <f>IF($A209="","",'2_密度換算'!$C$12*(1-((G209+'2_密度換算'!$C$8)^2*(G209+'2_密度換算'!$C$9))/('2_密度換算'!$C$10*(G209+'2_密度換算'!$C$11)))/1000)</f>
        <v/>
      </c>
      <c r="J209" s="22">
        <f>IF($A209="","",1+'2_密度換算'!$C$6*(1/I209-1/'2_密度換算'!$C$7))</f>
        <v/>
      </c>
      <c r="K209" s="23">
        <f>IF($A209="","",E209*J209/I209)</f>
        <v/>
      </c>
    </row>
    <row r="210">
      <c r="A210" s="21" t="n">
        <v>4</v>
      </c>
      <c r="B210" s="21" t="inlineStr">
        <is>
          <t>G4_S2</t>
        </is>
      </c>
      <c r="C210" s="21" t="inlineStr">
        <is>
          <t>pipette_10mL</t>
        </is>
      </c>
      <c r="D210" s="21" t="n">
        <v>5</v>
      </c>
      <c r="E210" s="21" t="n">
        <v>9.954000000000001</v>
      </c>
      <c r="F210" s="21" t="inlineStr">
        <is>
          <t>g</t>
        </is>
      </c>
      <c r="G210" s="21" t="n">
        <v>24.3</v>
      </c>
      <c r="H210" s="21" t="n"/>
      <c r="I210" s="22">
        <f>IF($A210="","",'2_密度換算'!$C$12*(1-((G210+'2_密度換算'!$C$8)^2*(G210+'2_密度換算'!$C$9))/('2_密度換算'!$C$10*(G210+'2_密度換算'!$C$11)))/1000)</f>
        <v/>
      </c>
      <c r="J210" s="22">
        <f>IF($A210="","",1+'2_密度換算'!$C$6*(1/I210-1/'2_密度換算'!$C$7))</f>
        <v/>
      </c>
      <c r="K210" s="23">
        <f>IF($A210="","",E210*J210/I210)</f>
        <v/>
      </c>
    </row>
    <row r="211">
      <c r="A211" s="21" t="n">
        <v>4</v>
      </c>
      <c r="B211" s="21" t="inlineStr">
        <is>
          <t>G4_S2</t>
        </is>
      </c>
      <c r="C211" s="21" t="inlineStr">
        <is>
          <t>burette_25mL</t>
        </is>
      </c>
      <c r="D211" s="21" t="n">
        <v>5</v>
      </c>
      <c r="E211" s="21" t="n">
        <v>24.9196</v>
      </c>
      <c r="F211" s="21" t="inlineStr">
        <is>
          <t>g</t>
        </is>
      </c>
      <c r="G211" s="21" t="n">
        <v>24.8</v>
      </c>
      <c r="H211" s="21" t="n"/>
      <c r="I211" s="22">
        <f>IF($A211="","",'2_密度換算'!$C$12*(1-((G211+'2_密度換算'!$C$8)^2*(G211+'2_密度換算'!$C$9))/('2_密度換算'!$C$10*(G211+'2_密度換算'!$C$11)))/1000)</f>
        <v/>
      </c>
      <c r="J211" s="22">
        <f>IF($A211="","",1+'2_密度換算'!$C$6*(1/I211-1/'2_密度換算'!$C$7))</f>
        <v/>
      </c>
      <c r="K211" s="23">
        <f>IF($A211="","",E211*J211/I211)</f>
        <v/>
      </c>
    </row>
    <row r="212">
      <c r="A212" s="21" t="n">
        <v>4</v>
      </c>
      <c r="B212" s="21" t="inlineStr">
        <is>
          <t>G4_S2</t>
        </is>
      </c>
      <c r="C212" s="21" t="inlineStr">
        <is>
          <t>pipette_10mL</t>
        </is>
      </c>
      <c r="D212" s="21" t="n">
        <v>6</v>
      </c>
      <c r="E212" s="21" t="n">
        <v>9.9552</v>
      </c>
      <c r="F212" s="21" t="inlineStr">
        <is>
          <t>g</t>
        </is>
      </c>
      <c r="G212" s="21" t="n">
        <v>24.2</v>
      </c>
      <c r="H212" s="21" t="n"/>
      <c r="I212" s="22">
        <f>IF($A212="","",'2_密度換算'!$C$12*(1-((G212+'2_密度換算'!$C$8)^2*(G212+'2_密度換算'!$C$9))/('2_密度換算'!$C$10*(G212+'2_密度換算'!$C$11)))/1000)</f>
        <v/>
      </c>
      <c r="J212" s="22">
        <f>IF($A212="","",1+'2_密度換算'!$C$6*(1/I212-1/'2_密度換算'!$C$7))</f>
        <v/>
      </c>
      <c r="K212" s="23">
        <f>IF($A212="","",E212*J212/I212)</f>
        <v/>
      </c>
    </row>
    <row r="213">
      <c r="A213" s="21" t="n">
        <v>4</v>
      </c>
      <c r="B213" s="21" t="inlineStr">
        <is>
          <t>G4_S2</t>
        </is>
      </c>
      <c r="C213" s="21" t="inlineStr">
        <is>
          <t>burette_25mL</t>
        </is>
      </c>
      <c r="D213" s="21" t="n">
        <v>6</v>
      </c>
      <c r="E213" s="21" t="n">
        <v>24.9045</v>
      </c>
      <c r="F213" s="21" t="inlineStr">
        <is>
          <t>g</t>
        </is>
      </c>
      <c r="G213" s="21" t="n">
        <v>24.6</v>
      </c>
      <c r="H213" s="21" t="n"/>
      <c r="I213" s="22">
        <f>IF($A213="","",'2_密度換算'!$C$12*(1-((G213+'2_密度換算'!$C$8)^2*(G213+'2_密度換算'!$C$9))/('2_密度換算'!$C$10*(G213+'2_密度換算'!$C$11)))/1000)</f>
        <v/>
      </c>
      <c r="J213" s="22">
        <f>IF($A213="","",1+'2_密度換算'!$C$6*(1/I213-1/'2_密度換算'!$C$7))</f>
        <v/>
      </c>
      <c r="K213" s="23">
        <f>IF($A213="","",E213*J213/I213)</f>
        <v/>
      </c>
    </row>
    <row r="214">
      <c r="A214" s="21" t="n">
        <v>4</v>
      </c>
      <c r="B214" s="21" t="inlineStr">
        <is>
          <t>G4_S2</t>
        </is>
      </c>
      <c r="C214" s="21" t="inlineStr">
        <is>
          <t>pipette_10mL</t>
        </is>
      </c>
      <c r="D214" s="21" t="n">
        <v>7</v>
      </c>
      <c r="E214" s="21" t="n">
        <v>9.954700000000001</v>
      </c>
      <c r="F214" s="21" t="inlineStr">
        <is>
          <t>g</t>
        </is>
      </c>
      <c r="G214" s="21" t="n">
        <v>24.9</v>
      </c>
      <c r="H214" s="21" t="n"/>
      <c r="I214" s="22">
        <f>IF($A214="","",'2_密度換算'!$C$12*(1-((G214+'2_密度換算'!$C$8)^2*(G214+'2_密度換算'!$C$9))/('2_密度換算'!$C$10*(G214+'2_密度換算'!$C$11)))/1000)</f>
        <v/>
      </c>
      <c r="J214" s="22">
        <f>IF($A214="","",1+'2_密度換算'!$C$6*(1/I214-1/'2_密度換算'!$C$7))</f>
        <v/>
      </c>
      <c r="K214" s="23">
        <f>IF($A214="","",E214*J214/I214)</f>
        <v/>
      </c>
    </row>
    <row r="215">
      <c r="A215" s="21" t="n">
        <v>4</v>
      </c>
      <c r="B215" s="21" t="inlineStr">
        <is>
          <t>G4_S2</t>
        </is>
      </c>
      <c r="C215" s="21" t="inlineStr">
        <is>
          <t>burette_25mL</t>
        </is>
      </c>
      <c r="D215" s="21" t="n">
        <v>7</v>
      </c>
      <c r="E215" s="21" t="n">
        <v>24.8857</v>
      </c>
      <c r="F215" s="21" t="inlineStr">
        <is>
          <t>g</t>
        </is>
      </c>
      <c r="G215" s="21" t="n">
        <v>25.3</v>
      </c>
      <c r="H215" s="21" t="n"/>
      <c r="I215" s="22">
        <f>IF($A215="","",'2_密度換算'!$C$12*(1-((G215+'2_密度換算'!$C$8)^2*(G215+'2_密度換算'!$C$9))/('2_密度換算'!$C$10*(G215+'2_密度換算'!$C$11)))/1000)</f>
        <v/>
      </c>
      <c r="J215" s="22">
        <f>IF($A215="","",1+'2_密度換算'!$C$6*(1/I215-1/'2_密度換算'!$C$7))</f>
        <v/>
      </c>
      <c r="K215" s="23">
        <f>IF($A215="","",E215*J215/I215)</f>
        <v/>
      </c>
    </row>
    <row r="216">
      <c r="A216" s="21" t="n">
        <v>4</v>
      </c>
      <c r="B216" s="21" t="inlineStr">
        <is>
          <t>G4_S2</t>
        </is>
      </c>
      <c r="C216" s="21" t="inlineStr">
        <is>
          <t>pipette_10mL</t>
        </is>
      </c>
      <c r="D216" s="21" t="n">
        <v>8</v>
      </c>
      <c r="E216" s="21" t="n">
        <v>9.9457</v>
      </c>
      <c r="F216" s="21" t="inlineStr">
        <is>
          <t>g</t>
        </is>
      </c>
      <c r="G216" s="21" t="n">
        <v>24.8</v>
      </c>
      <c r="H216" s="21" t="n"/>
      <c r="I216" s="22">
        <f>IF($A216="","",'2_密度換算'!$C$12*(1-((G216+'2_密度換算'!$C$8)^2*(G216+'2_密度換算'!$C$9))/('2_密度換算'!$C$10*(G216+'2_密度換算'!$C$11)))/1000)</f>
        <v/>
      </c>
      <c r="J216" s="22">
        <f>IF($A216="","",1+'2_密度換算'!$C$6*(1/I216-1/'2_密度換算'!$C$7))</f>
        <v/>
      </c>
      <c r="K216" s="23">
        <f>IF($A216="","",E216*J216/I216)</f>
        <v/>
      </c>
    </row>
    <row r="217">
      <c r="A217" s="21" t="n">
        <v>4</v>
      </c>
      <c r="B217" s="21" t="inlineStr">
        <is>
          <t>G4_S2</t>
        </is>
      </c>
      <c r="C217" s="21" t="inlineStr">
        <is>
          <t>burette_25mL</t>
        </is>
      </c>
      <c r="D217" s="21" t="n">
        <v>8</v>
      </c>
      <c r="E217" s="21" t="n">
        <v>24.8595</v>
      </c>
      <c r="F217" s="21" t="inlineStr">
        <is>
          <t>g</t>
        </is>
      </c>
      <c r="G217" s="21" t="n">
        <v>25.2</v>
      </c>
      <c r="H217" s="21" t="n"/>
      <c r="I217" s="22">
        <f>IF($A217="","",'2_密度換算'!$C$12*(1-((G217+'2_密度換算'!$C$8)^2*(G217+'2_密度換算'!$C$9))/('2_密度換算'!$C$10*(G217+'2_密度換算'!$C$11)))/1000)</f>
        <v/>
      </c>
      <c r="J217" s="22">
        <f>IF($A217="","",1+'2_密度換算'!$C$6*(1/I217-1/'2_密度換算'!$C$7))</f>
        <v/>
      </c>
      <c r="K217" s="23">
        <f>IF($A217="","",E217*J217/I217)</f>
        <v/>
      </c>
    </row>
    <row r="218">
      <c r="A218" s="21" t="n">
        <v>4</v>
      </c>
      <c r="B218" s="21" t="inlineStr">
        <is>
          <t>G4_S2</t>
        </is>
      </c>
      <c r="C218" s="21" t="inlineStr">
        <is>
          <t>pipette_10mL</t>
        </is>
      </c>
      <c r="D218" s="21" t="n">
        <v>9</v>
      </c>
      <c r="E218" s="21" t="n">
        <v>9.9537</v>
      </c>
      <c r="F218" s="21" t="inlineStr">
        <is>
          <t>g</t>
        </is>
      </c>
      <c r="G218" s="21" t="n">
        <v>24.1</v>
      </c>
      <c r="H218" s="21" t="n"/>
      <c r="I218" s="22">
        <f>IF($A218="","",'2_密度換算'!$C$12*(1-((G218+'2_密度換算'!$C$8)^2*(G218+'2_密度換算'!$C$9))/('2_密度換算'!$C$10*(G218+'2_密度換算'!$C$11)))/1000)</f>
        <v/>
      </c>
      <c r="J218" s="22">
        <f>IF($A218="","",1+'2_密度換算'!$C$6*(1/I218-1/'2_密度換算'!$C$7))</f>
        <v/>
      </c>
      <c r="K218" s="23">
        <f>IF($A218="","",E218*J218/I218)</f>
        <v/>
      </c>
    </row>
    <row r="219">
      <c r="A219" s="21" t="n">
        <v>4</v>
      </c>
      <c r="B219" s="21" t="inlineStr">
        <is>
          <t>G4_S2</t>
        </is>
      </c>
      <c r="C219" s="21" t="inlineStr">
        <is>
          <t>burette_25mL</t>
        </is>
      </c>
      <c r="D219" s="21" t="n">
        <v>9</v>
      </c>
      <c r="E219" s="21" t="n">
        <v>24.9031</v>
      </c>
      <c r="F219" s="21" t="inlineStr">
        <is>
          <t>g</t>
        </is>
      </c>
      <c r="G219" s="21" t="n">
        <v>24.9</v>
      </c>
      <c r="H219" s="21" t="n"/>
      <c r="I219" s="22">
        <f>IF($A219="","",'2_密度換算'!$C$12*(1-((G219+'2_密度換算'!$C$8)^2*(G219+'2_密度換算'!$C$9))/('2_密度換算'!$C$10*(G219+'2_密度換算'!$C$11)))/1000)</f>
        <v/>
      </c>
      <c r="J219" s="22">
        <f>IF($A219="","",1+'2_密度換算'!$C$6*(1/I219-1/'2_密度換算'!$C$7))</f>
        <v/>
      </c>
      <c r="K219" s="23">
        <f>IF($A219="","",E219*J219/I219)</f>
        <v/>
      </c>
    </row>
    <row r="220">
      <c r="A220" s="21" t="n">
        <v>4</v>
      </c>
      <c r="B220" s="21" t="inlineStr">
        <is>
          <t>G4_S2</t>
        </is>
      </c>
      <c r="C220" s="21" t="inlineStr">
        <is>
          <t>pipette_10mL</t>
        </is>
      </c>
      <c r="D220" s="21" t="n">
        <v>10</v>
      </c>
      <c r="E220" s="21" t="n">
        <v>9.9543</v>
      </c>
      <c r="F220" s="21" t="inlineStr">
        <is>
          <t>g</t>
        </is>
      </c>
      <c r="G220" s="21" t="n">
        <v>25.1</v>
      </c>
      <c r="H220" s="21" t="n"/>
      <c r="I220" s="22">
        <f>IF($A220="","",'2_密度換算'!$C$12*(1-((G220+'2_密度換算'!$C$8)^2*(G220+'2_密度換算'!$C$9))/('2_密度換算'!$C$10*(G220+'2_密度換算'!$C$11)))/1000)</f>
        <v/>
      </c>
      <c r="J220" s="22">
        <f>IF($A220="","",1+'2_密度換算'!$C$6*(1/I220-1/'2_密度換算'!$C$7))</f>
        <v/>
      </c>
      <c r="K220" s="23">
        <f>IF($A220="","",E220*J220/I220)</f>
        <v/>
      </c>
    </row>
    <row r="221">
      <c r="A221" s="21" t="n">
        <v>4</v>
      </c>
      <c r="B221" s="21" t="inlineStr">
        <is>
          <t>G4_S2</t>
        </is>
      </c>
      <c r="C221" s="21" t="inlineStr">
        <is>
          <t>burette_25mL</t>
        </is>
      </c>
      <c r="D221" s="21" t="n">
        <v>10</v>
      </c>
      <c r="E221" s="21" t="n">
        <v>24.8738</v>
      </c>
      <c r="F221" s="21" t="inlineStr">
        <is>
          <t>g</t>
        </is>
      </c>
      <c r="G221" s="21" t="n">
        <v>25.4</v>
      </c>
      <c r="H221" s="21" t="n"/>
      <c r="I221" s="22">
        <f>IF($A221="","",'2_密度換算'!$C$12*(1-((G221+'2_密度換算'!$C$8)^2*(G221+'2_密度換算'!$C$9))/('2_密度換算'!$C$10*(G221+'2_密度換算'!$C$11)))/1000)</f>
        <v/>
      </c>
      <c r="J221" s="22">
        <f>IF($A221="","",1+'2_密度換算'!$C$6*(1/I221-1/'2_密度換算'!$C$7))</f>
        <v/>
      </c>
      <c r="K221" s="23">
        <f>IF($A221="","",E221*J221/I221)</f>
        <v/>
      </c>
    </row>
    <row r="222">
      <c r="A222" s="21" t="n">
        <v>4</v>
      </c>
      <c r="B222" s="21" t="inlineStr">
        <is>
          <t>G4_S3</t>
        </is>
      </c>
      <c r="C222" s="21" t="inlineStr">
        <is>
          <t>pipette_10mL</t>
        </is>
      </c>
      <c r="D222" s="21" t="n">
        <v>1</v>
      </c>
      <c r="E222" s="21" t="n">
        <v>9.9628</v>
      </c>
      <c r="F222" s="21" t="inlineStr">
        <is>
          <t>g</t>
        </is>
      </c>
      <c r="G222" s="21" t="n">
        <v>24.9</v>
      </c>
      <c r="H222" s="21" t="n"/>
      <c r="I222" s="22">
        <f>IF($A222="","",'2_密度換算'!$C$12*(1-((G222+'2_密度換算'!$C$8)^2*(G222+'2_密度換算'!$C$9))/('2_密度換算'!$C$10*(G222+'2_密度換算'!$C$11)))/1000)</f>
        <v/>
      </c>
      <c r="J222" s="22">
        <f>IF($A222="","",1+'2_密度換算'!$C$6*(1/I222-1/'2_密度換算'!$C$7))</f>
        <v/>
      </c>
      <c r="K222" s="23">
        <f>IF($A222="","",E222*J222/I222)</f>
        <v/>
      </c>
    </row>
    <row r="223">
      <c r="A223" s="21" t="n">
        <v>4</v>
      </c>
      <c r="B223" s="21" t="inlineStr">
        <is>
          <t>G4_S3</t>
        </is>
      </c>
      <c r="C223" s="21" t="inlineStr">
        <is>
          <t>burette_25mL</t>
        </is>
      </c>
      <c r="D223" s="21" t="n">
        <v>1</v>
      </c>
      <c r="E223" s="21" t="n">
        <v>24.9244</v>
      </c>
      <c r="F223" s="21" t="inlineStr">
        <is>
          <t>g</t>
        </is>
      </c>
      <c r="G223" s="21" t="n">
        <v>24.7</v>
      </c>
      <c r="H223" s="21" t="n"/>
      <c r="I223" s="22">
        <f>IF($A223="","",'2_密度換算'!$C$12*(1-((G223+'2_密度換算'!$C$8)^2*(G223+'2_密度換算'!$C$9))/('2_密度換算'!$C$10*(G223+'2_密度換算'!$C$11)))/1000)</f>
        <v/>
      </c>
      <c r="J223" s="22">
        <f>IF($A223="","",1+'2_密度換算'!$C$6*(1/I223-1/'2_密度換算'!$C$7))</f>
        <v/>
      </c>
      <c r="K223" s="23">
        <f>IF($A223="","",E223*J223/I223)</f>
        <v/>
      </c>
    </row>
    <row r="224">
      <c r="A224" s="21" t="n">
        <v>4</v>
      </c>
      <c r="B224" s="21" t="inlineStr">
        <is>
          <t>G4_S3</t>
        </is>
      </c>
      <c r="C224" s="21" t="inlineStr">
        <is>
          <t>pipette_10mL</t>
        </is>
      </c>
      <c r="D224" s="21" t="n">
        <v>2</v>
      </c>
      <c r="E224" s="21" t="n">
        <v>9.962899999999999</v>
      </c>
      <c r="F224" s="21" t="inlineStr">
        <is>
          <t>g</t>
        </is>
      </c>
      <c r="G224" s="21" t="n">
        <v>25.5</v>
      </c>
      <c r="H224" s="21" t="n"/>
      <c r="I224" s="22">
        <f>IF($A224="","",'2_密度換算'!$C$12*(1-((G224+'2_密度換算'!$C$8)^2*(G224+'2_密度換算'!$C$9))/('2_密度換算'!$C$10*(G224+'2_密度換算'!$C$11)))/1000)</f>
        <v/>
      </c>
      <c r="J224" s="22">
        <f>IF($A224="","",1+'2_密度換算'!$C$6*(1/I224-1/'2_密度換算'!$C$7))</f>
        <v/>
      </c>
      <c r="K224" s="23">
        <f>IF($A224="","",E224*J224/I224)</f>
        <v/>
      </c>
    </row>
    <row r="225">
      <c r="A225" s="21" t="n">
        <v>4</v>
      </c>
      <c r="B225" s="21" t="inlineStr">
        <is>
          <t>G4_S3</t>
        </is>
      </c>
      <c r="C225" s="21" t="inlineStr">
        <is>
          <t>burette_25mL</t>
        </is>
      </c>
      <c r="D225" s="21" t="n">
        <v>2</v>
      </c>
      <c r="E225" s="21" t="n">
        <v>24.9034</v>
      </c>
      <c r="F225" s="21" t="inlineStr">
        <is>
          <t>g</t>
        </is>
      </c>
      <c r="G225" s="21" t="n">
        <v>25.8</v>
      </c>
      <c r="H225" s="21" t="n"/>
      <c r="I225" s="22">
        <f>IF($A225="","",'2_密度換算'!$C$12*(1-((G225+'2_密度換算'!$C$8)^2*(G225+'2_密度換算'!$C$9))/('2_密度換算'!$C$10*(G225+'2_密度換算'!$C$11)))/1000)</f>
        <v/>
      </c>
      <c r="J225" s="22">
        <f>IF($A225="","",1+'2_密度換算'!$C$6*(1/I225-1/'2_密度換算'!$C$7))</f>
        <v/>
      </c>
      <c r="K225" s="23">
        <f>IF($A225="","",E225*J225/I225)</f>
        <v/>
      </c>
    </row>
    <row r="226">
      <c r="A226" s="21" t="n">
        <v>4</v>
      </c>
      <c r="B226" s="21" t="inlineStr">
        <is>
          <t>G4_S3</t>
        </is>
      </c>
      <c r="C226" s="21" t="inlineStr">
        <is>
          <t>pipette_10mL</t>
        </is>
      </c>
      <c r="D226" s="21" t="n">
        <v>3</v>
      </c>
      <c r="E226" s="21" t="n">
        <v>9.946899999999999</v>
      </c>
      <c r="F226" s="21" t="inlineStr">
        <is>
          <t>g</t>
        </is>
      </c>
      <c r="G226" s="21" t="n">
        <v>25</v>
      </c>
      <c r="H226" s="21" t="n"/>
      <c r="I226" s="22">
        <f>IF($A226="","",'2_密度換算'!$C$12*(1-((G226+'2_密度換算'!$C$8)^2*(G226+'2_密度換算'!$C$9))/('2_密度換算'!$C$10*(G226+'2_密度換算'!$C$11)))/1000)</f>
        <v/>
      </c>
      <c r="J226" s="22">
        <f>IF($A226="","",1+'2_密度換算'!$C$6*(1/I226-1/'2_密度換算'!$C$7))</f>
        <v/>
      </c>
      <c r="K226" s="23">
        <f>IF($A226="","",E226*J226/I226)</f>
        <v/>
      </c>
    </row>
    <row r="227">
      <c r="A227" s="21" t="n">
        <v>4</v>
      </c>
      <c r="B227" s="21" t="inlineStr">
        <is>
          <t>G4_S3</t>
        </is>
      </c>
      <c r="C227" s="21" t="inlineStr">
        <is>
          <t>burette_25mL</t>
        </is>
      </c>
      <c r="D227" s="21" t="n">
        <v>3</v>
      </c>
      <c r="E227" s="21" t="n">
        <v>24.8715</v>
      </c>
      <c r="F227" s="21" t="inlineStr">
        <is>
          <t>g</t>
        </is>
      </c>
      <c r="G227" s="21" t="n">
        <v>24.6</v>
      </c>
      <c r="H227" s="21" t="n"/>
      <c r="I227" s="22">
        <f>IF($A227="","",'2_密度換算'!$C$12*(1-((G227+'2_密度換算'!$C$8)^2*(G227+'2_密度換算'!$C$9))/('2_密度換算'!$C$10*(G227+'2_密度換算'!$C$11)))/1000)</f>
        <v/>
      </c>
      <c r="J227" s="22">
        <f>IF($A227="","",1+'2_密度換算'!$C$6*(1/I227-1/'2_密度換算'!$C$7))</f>
        <v/>
      </c>
      <c r="K227" s="23">
        <f>IF($A227="","",E227*J227/I227)</f>
        <v/>
      </c>
    </row>
    <row r="228">
      <c r="A228" s="21" t="n">
        <v>4</v>
      </c>
      <c r="B228" s="21" t="inlineStr">
        <is>
          <t>G4_S3</t>
        </is>
      </c>
      <c r="C228" s="21" t="inlineStr">
        <is>
          <t>pipette_10mL</t>
        </is>
      </c>
      <c r="D228" s="21" t="n">
        <v>4</v>
      </c>
      <c r="E228" s="21" t="n">
        <v>9.974600000000001</v>
      </c>
      <c r="F228" s="21" t="inlineStr">
        <is>
          <t>g</t>
        </is>
      </c>
      <c r="G228" s="21" t="n">
        <v>25</v>
      </c>
      <c r="H228" s="21" t="n"/>
      <c r="I228" s="22">
        <f>IF($A228="","",'2_密度換算'!$C$12*(1-((G228+'2_密度換算'!$C$8)^2*(G228+'2_密度換算'!$C$9))/('2_密度換算'!$C$10*(G228+'2_密度換算'!$C$11)))/1000)</f>
        <v/>
      </c>
      <c r="J228" s="22">
        <f>IF($A228="","",1+'2_密度換算'!$C$6*(1/I228-1/'2_密度換算'!$C$7))</f>
        <v/>
      </c>
      <c r="K228" s="23">
        <f>IF($A228="","",E228*J228/I228)</f>
        <v/>
      </c>
    </row>
    <row r="229">
      <c r="A229" s="21" t="n">
        <v>4</v>
      </c>
      <c r="B229" s="21" t="inlineStr">
        <is>
          <t>G4_S3</t>
        </is>
      </c>
      <c r="C229" s="21" t="inlineStr">
        <is>
          <t>burette_25mL</t>
        </is>
      </c>
      <c r="D229" s="21" t="n">
        <v>4</v>
      </c>
      <c r="E229" s="21" t="n">
        <v>24.9711</v>
      </c>
      <c r="F229" s="21" t="inlineStr">
        <is>
          <t>g</t>
        </is>
      </c>
      <c r="G229" s="21" t="n">
        <v>24.1</v>
      </c>
      <c r="H229" s="21" t="n"/>
      <c r="I229" s="22">
        <f>IF($A229="","",'2_密度換算'!$C$12*(1-((G229+'2_密度換算'!$C$8)^2*(G229+'2_密度換算'!$C$9))/('2_密度換算'!$C$10*(G229+'2_密度換算'!$C$11)))/1000)</f>
        <v/>
      </c>
      <c r="J229" s="22">
        <f>IF($A229="","",1+'2_密度換算'!$C$6*(1/I229-1/'2_密度換算'!$C$7))</f>
        <v/>
      </c>
      <c r="K229" s="23">
        <f>IF($A229="","",E229*J229/I229)</f>
        <v/>
      </c>
    </row>
    <row r="230">
      <c r="A230" s="21" t="n">
        <v>4</v>
      </c>
      <c r="B230" s="21" t="inlineStr">
        <is>
          <t>G4_S3</t>
        </is>
      </c>
      <c r="C230" s="21" t="inlineStr">
        <is>
          <t>pipette_10mL</t>
        </is>
      </c>
      <c r="D230" s="21" t="n">
        <v>5</v>
      </c>
      <c r="E230" s="21" t="n">
        <v>9.959</v>
      </c>
      <c r="F230" s="21" t="inlineStr">
        <is>
          <t>g</t>
        </is>
      </c>
      <c r="G230" s="21" t="n">
        <v>24.1</v>
      </c>
      <c r="H230" s="21" t="n"/>
      <c r="I230" s="22">
        <f>IF($A230="","",'2_密度換算'!$C$12*(1-((G230+'2_密度換算'!$C$8)^2*(G230+'2_密度換算'!$C$9))/('2_密度換算'!$C$10*(G230+'2_密度換算'!$C$11)))/1000)</f>
        <v/>
      </c>
      <c r="J230" s="22">
        <f>IF($A230="","",1+'2_密度換算'!$C$6*(1/I230-1/'2_密度換算'!$C$7))</f>
        <v/>
      </c>
      <c r="K230" s="23">
        <f>IF($A230="","",E230*J230/I230)</f>
        <v/>
      </c>
    </row>
    <row r="231">
      <c r="A231" s="21" t="n">
        <v>4</v>
      </c>
      <c r="B231" s="21" t="inlineStr">
        <is>
          <t>G4_S3</t>
        </is>
      </c>
      <c r="C231" s="21" t="inlineStr">
        <is>
          <t>burette_25mL</t>
        </is>
      </c>
      <c r="D231" s="21" t="n">
        <v>5</v>
      </c>
      <c r="E231" s="21" t="n">
        <v>24.8979</v>
      </c>
      <c r="F231" s="21" t="inlineStr">
        <is>
          <t>g</t>
        </is>
      </c>
      <c r="G231" s="21" t="n">
        <v>24.7</v>
      </c>
      <c r="H231" s="21" t="n"/>
      <c r="I231" s="22">
        <f>IF($A231="","",'2_密度換算'!$C$12*(1-((G231+'2_密度換算'!$C$8)^2*(G231+'2_密度換算'!$C$9))/('2_密度換算'!$C$10*(G231+'2_密度換算'!$C$11)))/1000)</f>
        <v/>
      </c>
      <c r="J231" s="22">
        <f>IF($A231="","",1+'2_密度換算'!$C$6*(1/I231-1/'2_密度換算'!$C$7))</f>
        <v/>
      </c>
      <c r="K231" s="23">
        <f>IF($A231="","",E231*J231/I231)</f>
        <v/>
      </c>
    </row>
    <row r="232">
      <c r="A232" s="21" t="n">
        <v>4</v>
      </c>
      <c r="B232" s="21" t="inlineStr">
        <is>
          <t>G4_S3</t>
        </is>
      </c>
      <c r="C232" s="21" t="inlineStr">
        <is>
          <t>pipette_10mL</t>
        </is>
      </c>
      <c r="D232" s="21" t="n">
        <v>6</v>
      </c>
      <c r="E232" s="21" t="n">
        <v>9.9269</v>
      </c>
      <c r="F232" s="21" t="inlineStr">
        <is>
          <t>g</t>
        </is>
      </c>
      <c r="G232" s="21" t="n">
        <v>24.6</v>
      </c>
      <c r="H232" s="21" t="n"/>
      <c r="I232" s="22">
        <f>IF($A232="","",'2_密度換算'!$C$12*(1-((G232+'2_密度換算'!$C$8)^2*(G232+'2_密度換算'!$C$9))/('2_密度換算'!$C$10*(G232+'2_密度換算'!$C$11)))/1000)</f>
        <v/>
      </c>
      <c r="J232" s="22">
        <f>IF($A232="","",1+'2_密度換算'!$C$6*(1/I232-1/'2_密度換算'!$C$7))</f>
        <v/>
      </c>
      <c r="K232" s="23">
        <f>IF($A232="","",E232*J232/I232)</f>
        <v/>
      </c>
    </row>
    <row r="233">
      <c r="A233" s="21" t="n">
        <v>4</v>
      </c>
      <c r="B233" s="21" t="inlineStr">
        <is>
          <t>G4_S3</t>
        </is>
      </c>
      <c r="C233" s="21" t="inlineStr">
        <is>
          <t>burette_25mL</t>
        </is>
      </c>
      <c r="D233" s="21" t="n">
        <v>6</v>
      </c>
      <c r="E233" s="21" t="n">
        <v>24.8185</v>
      </c>
      <c r="F233" s="21" t="inlineStr">
        <is>
          <t>g</t>
        </is>
      </c>
      <c r="G233" s="21" t="n">
        <v>24</v>
      </c>
      <c r="H233" s="21" t="n"/>
      <c r="I233" s="22">
        <f>IF($A233="","",'2_密度換算'!$C$12*(1-((G233+'2_密度換算'!$C$8)^2*(G233+'2_密度換算'!$C$9))/('2_密度換算'!$C$10*(G233+'2_密度換算'!$C$11)))/1000)</f>
        <v/>
      </c>
      <c r="J233" s="22">
        <f>IF($A233="","",1+'2_密度換算'!$C$6*(1/I233-1/'2_密度換算'!$C$7))</f>
        <v/>
      </c>
      <c r="K233" s="23">
        <f>IF($A233="","",E233*J233/I233)</f>
        <v/>
      </c>
    </row>
    <row r="234">
      <c r="A234" s="21" t="n">
        <v>4</v>
      </c>
      <c r="B234" s="21" t="inlineStr">
        <is>
          <t>G4_S3</t>
        </is>
      </c>
      <c r="C234" s="21" t="inlineStr">
        <is>
          <t>pipette_10mL</t>
        </is>
      </c>
      <c r="D234" s="21" t="n">
        <v>7</v>
      </c>
      <c r="E234" s="21" t="n">
        <v>9.9877</v>
      </c>
      <c r="F234" s="21" t="inlineStr">
        <is>
          <t>g</t>
        </is>
      </c>
      <c r="G234" s="21" t="n">
        <v>25.7</v>
      </c>
      <c r="H234" s="21" t="n"/>
      <c r="I234" s="22">
        <f>IF($A234="","",'2_密度換算'!$C$12*(1-((G234+'2_密度換算'!$C$8)^2*(G234+'2_密度換算'!$C$9))/('2_密度換算'!$C$10*(G234+'2_密度換算'!$C$11)))/1000)</f>
        <v/>
      </c>
      <c r="J234" s="22">
        <f>IF($A234="","",1+'2_密度換算'!$C$6*(1/I234-1/'2_密度換算'!$C$7))</f>
        <v/>
      </c>
      <c r="K234" s="23">
        <f>IF($A234="","",E234*J234/I234)</f>
        <v/>
      </c>
    </row>
    <row r="235">
      <c r="A235" s="21" t="n">
        <v>4</v>
      </c>
      <c r="B235" s="21" t="inlineStr">
        <is>
          <t>G4_S3</t>
        </is>
      </c>
      <c r="C235" s="21" t="inlineStr">
        <is>
          <t>burette_25mL</t>
        </is>
      </c>
      <c r="D235" s="21" t="n">
        <v>7</v>
      </c>
      <c r="E235" s="21" t="n">
        <v>24.88</v>
      </c>
      <c r="F235" s="21" t="inlineStr">
        <is>
          <t>g</t>
        </is>
      </c>
      <c r="G235" s="21" t="n">
        <v>24.3</v>
      </c>
      <c r="H235" s="21" t="n"/>
      <c r="I235" s="22">
        <f>IF($A235="","",'2_密度換算'!$C$12*(1-((G235+'2_密度換算'!$C$8)^2*(G235+'2_密度換算'!$C$9))/('2_密度換算'!$C$10*(G235+'2_密度換算'!$C$11)))/1000)</f>
        <v/>
      </c>
      <c r="J235" s="22">
        <f>IF($A235="","",1+'2_密度換算'!$C$6*(1/I235-1/'2_密度換算'!$C$7))</f>
        <v/>
      </c>
      <c r="K235" s="23">
        <f>IF($A235="","",E235*J235/I235)</f>
        <v/>
      </c>
    </row>
    <row r="236">
      <c r="A236" s="21" t="n">
        <v>4</v>
      </c>
      <c r="B236" s="21" t="inlineStr">
        <is>
          <t>G4_S3</t>
        </is>
      </c>
      <c r="C236" s="21" t="inlineStr">
        <is>
          <t>pipette_10mL</t>
        </is>
      </c>
      <c r="D236" s="21" t="n">
        <v>8</v>
      </c>
      <c r="E236" s="21" t="n">
        <v>9.9054</v>
      </c>
      <c r="F236" s="21" t="inlineStr">
        <is>
          <t>g</t>
        </is>
      </c>
      <c r="G236" s="21" t="n">
        <v>24.2</v>
      </c>
      <c r="H236" s="21" t="n"/>
      <c r="I236" s="22">
        <f>IF($A236="","",'2_密度換算'!$C$12*(1-((G236+'2_密度換算'!$C$8)^2*(G236+'2_密度換算'!$C$9))/('2_密度換算'!$C$10*(G236+'2_密度換算'!$C$11)))/1000)</f>
        <v/>
      </c>
      <c r="J236" s="22">
        <f>IF($A236="","",1+'2_密度換算'!$C$6*(1/I236-1/'2_密度換算'!$C$7))</f>
        <v/>
      </c>
      <c r="K236" s="23">
        <f>IF($A236="","",E236*J236/I236)</f>
        <v/>
      </c>
    </row>
    <row r="237">
      <c r="A237" s="21" t="n">
        <v>4</v>
      </c>
      <c r="B237" s="21" t="inlineStr">
        <is>
          <t>G4_S3</t>
        </is>
      </c>
      <c r="C237" s="21" t="inlineStr">
        <is>
          <t>burette_25mL</t>
        </is>
      </c>
      <c r="D237" s="21" t="n">
        <v>8</v>
      </c>
      <c r="E237" s="21" t="n">
        <v>25.026</v>
      </c>
      <c r="F237" s="21" t="inlineStr">
        <is>
          <t>g</t>
        </is>
      </c>
      <c r="G237" s="21" t="n">
        <v>25.9</v>
      </c>
      <c r="H237" s="21" t="n"/>
      <c r="I237" s="22">
        <f>IF($A237="","",'2_密度換算'!$C$12*(1-((G237+'2_密度換算'!$C$8)^2*(G237+'2_密度換算'!$C$9))/('2_密度換算'!$C$10*(G237+'2_密度換算'!$C$11)))/1000)</f>
        <v/>
      </c>
      <c r="J237" s="22">
        <f>IF($A237="","",1+'2_密度換算'!$C$6*(1/I237-1/'2_密度換算'!$C$7))</f>
        <v/>
      </c>
      <c r="K237" s="23">
        <f>IF($A237="","",E237*J237/I237)</f>
        <v/>
      </c>
    </row>
    <row r="238">
      <c r="A238" s="21" t="n">
        <v>4</v>
      </c>
      <c r="B238" s="21" t="inlineStr">
        <is>
          <t>G4_S3</t>
        </is>
      </c>
      <c r="C238" s="21" t="inlineStr">
        <is>
          <t>pipette_10mL</t>
        </is>
      </c>
      <c r="D238" s="21" t="n">
        <v>9</v>
      </c>
      <c r="E238" s="21" t="n">
        <v>9.949999999999999</v>
      </c>
      <c r="F238" s="21" t="inlineStr">
        <is>
          <t>g</t>
        </is>
      </c>
      <c r="G238" s="21" t="n">
        <v>25.5</v>
      </c>
      <c r="H238" s="21" t="n"/>
      <c r="I238" s="22">
        <f>IF($A238="","",'2_密度換算'!$C$12*(1-((G238+'2_密度換算'!$C$8)^2*(G238+'2_密度換算'!$C$9))/('2_密度換算'!$C$10*(G238+'2_密度換算'!$C$11)))/1000)</f>
        <v/>
      </c>
      <c r="J238" s="22">
        <f>IF($A238="","",1+'2_密度換算'!$C$6*(1/I238-1/'2_密度換算'!$C$7))</f>
        <v/>
      </c>
      <c r="K238" s="23">
        <f>IF($A238="","",E238*J238/I238)</f>
        <v/>
      </c>
    </row>
    <row r="239">
      <c r="A239" s="21" t="n">
        <v>4</v>
      </c>
      <c r="B239" s="21" t="inlineStr">
        <is>
          <t>G4_S3</t>
        </is>
      </c>
      <c r="C239" s="21" t="inlineStr">
        <is>
          <t>burette_25mL</t>
        </is>
      </c>
      <c r="D239" s="21" t="n">
        <v>9</v>
      </c>
      <c r="E239" s="21" t="n">
        <v>24.8311</v>
      </c>
      <c r="F239" s="21" t="inlineStr">
        <is>
          <t>g</t>
        </is>
      </c>
      <c r="G239" s="21" t="n">
        <v>25.4</v>
      </c>
      <c r="H239" s="21" t="n"/>
      <c r="I239" s="22">
        <f>IF($A239="","",'2_密度換算'!$C$12*(1-((G239+'2_密度換算'!$C$8)^2*(G239+'2_密度換算'!$C$9))/('2_密度換算'!$C$10*(G239+'2_密度換算'!$C$11)))/1000)</f>
        <v/>
      </c>
      <c r="J239" s="22">
        <f>IF($A239="","",1+'2_密度換算'!$C$6*(1/I239-1/'2_密度換算'!$C$7))</f>
        <v/>
      </c>
      <c r="K239" s="23">
        <f>IF($A239="","",E239*J239/I239)</f>
        <v/>
      </c>
    </row>
    <row r="240">
      <c r="A240" s="21" t="n">
        <v>4</v>
      </c>
      <c r="B240" s="21" t="inlineStr">
        <is>
          <t>G4_S3</t>
        </is>
      </c>
      <c r="C240" s="21" t="inlineStr">
        <is>
          <t>pipette_10mL</t>
        </is>
      </c>
      <c r="D240" s="21" t="n">
        <v>10</v>
      </c>
      <c r="E240" s="21" t="n">
        <v>9.9649</v>
      </c>
      <c r="F240" s="21" t="inlineStr">
        <is>
          <t>g</t>
        </is>
      </c>
      <c r="G240" s="21" t="n">
        <v>24.8</v>
      </c>
      <c r="H240" s="21" t="n"/>
      <c r="I240" s="22">
        <f>IF($A240="","",'2_密度換算'!$C$12*(1-((G240+'2_密度換算'!$C$8)^2*(G240+'2_密度換算'!$C$9))/('2_密度換算'!$C$10*(G240+'2_密度換算'!$C$11)))/1000)</f>
        <v/>
      </c>
      <c r="J240" s="22">
        <f>IF($A240="","",1+'2_密度換算'!$C$6*(1/I240-1/'2_密度換算'!$C$7))</f>
        <v/>
      </c>
      <c r="K240" s="23">
        <f>IF($A240="","",E240*J240/I240)</f>
        <v/>
      </c>
    </row>
    <row r="241">
      <c r="A241" s="21" t="n">
        <v>4</v>
      </c>
      <c r="B241" s="21" t="inlineStr">
        <is>
          <t>G4_S3</t>
        </is>
      </c>
      <c r="C241" s="21" t="inlineStr">
        <is>
          <t>burette_25mL</t>
        </is>
      </c>
      <c r="D241" s="21" t="n">
        <v>10</v>
      </c>
      <c r="E241" s="21" t="n">
        <v>24.9571</v>
      </c>
      <c r="F241" s="21" t="inlineStr">
        <is>
          <t>g</t>
        </is>
      </c>
      <c r="G241" s="21" t="n">
        <v>24</v>
      </c>
      <c r="H241" s="21" t="n"/>
      <c r="I241" s="22">
        <f>IF($A241="","",'2_密度換算'!$C$12*(1-((G241+'2_密度換算'!$C$8)^2*(G241+'2_密度換算'!$C$9))/('2_密度換算'!$C$10*(G241+'2_密度換算'!$C$11)))/1000)</f>
        <v/>
      </c>
      <c r="J241" s="22">
        <f>IF($A241="","",1+'2_密度換算'!$C$6*(1/I241-1/'2_密度換算'!$C$7))</f>
        <v/>
      </c>
      <c r="K241" s="23">
        <f>IF($A241="","",E241*J241/I241)</f>
        <v/>
      </c>
    </row>
    <row r="242">
      <c r="A242" s="21" t="n">
        <v>5</v>
      </c>
      <c r="B242" s="21" t="inlineStr">
        <is>
          <t>G5_S1</t>
        </is>
      </c>
      <c r="C242" s="21" t="inlineStr">
        <is>
          <t>pipette_10mL</t>
        </is>
      </c>
      <c r="D242" s="21" t="n">
        <v>1</v>
      </c>
      <c r="E242" s="21" t="n">
        <v>9.9544</v>
      </c>
      <c r="F242" s="21" t="inlineStr">
        <is>
          <t>g</t>
        </is>
      </c>
      <c r="G242" s="21" t="n">
        <v>26</v>
      </c>
      <c r="H242" s="21" t="n"/>
      <c r="I242" s="22">
        <f>IF($A242="","",'2_密度換算'!$C$12*(1-((G242+'2_密度換算'!$C$8)^2*(G242+'2_密度換算'!$C$9))/('2_密度換算'!$C$10*(G242+'2_密度換算'!$C$11)))/1000)</f>
        <v/>
      </c>
      <c r="J242" s="22">
        <f>IF($A242="","",1+'2_密度換算'!$C$6*(1/I242-1/'2_密度換算'!$C$7))</f>
        <v/>
      </c>
      <c r="K242" s="23">
        <f>IF($A242="","",E242*J242/I242)</f>
        <v/>
      </c>
    </row>
    <row r="243">
      <c r="A243" s="21" t="n">
        <v>5</v>
      </c>
      <c r="B243" s="21" t="inlineStr">
        <is>
          <t>G5_S1</t>
        </is>
      </c>
      <c r="C243" s="21" t="inlineStr">
        <is>
          <t>burette_25mL</t>
        </is>
      </c>
      <c r="D243" s="21" t="n">
        <v>1</v>
      </c>
      <c r="E243" s="21" t="n">
        <v>24.9065</v>
      </c>
      <c r="F243" s="21" t="inlineStr">
        <is>
          <t>g</t>
        </is>
      </c>
      <c r="G243" s="21" t="n">
        <v>25.7</v>
      </c>
      <c r="H243" s="21" t="n"/>
      <c r="I243" s="22">
        <f>IF($A243="","",'2_密度換算'!$C$12*(1-((G243+'2_密度換算'!$C$8)^2*(G243+'2_密度換算'!$C$9))/('2_密度換算'!$C$10*(G243+'2_密度換算'!$C$11)))/1000)</f>
        <v/>
      </c>
      <c r="J243" s="22">
        <f>IF($A243="","",1+'2_密度換算'!$C$6*(1/I243-1/'2_密度換算'!$C$7))</f>
        <v/>
      </c>
      <c r="K243" s="23">
        <f>IF($A243="","",E243*J243/I243)</f>
        <v/>
      </c>
    </row>
    <row r="244">
      <c r="A244" s="21" t="n">
        <v>5</v>
      </c>
      <c r="B244" s="21" t="inlineStr">
        <is>
          <t>G5_S1</t>
        </is>
      </c>
      <c r="C244" s="21" t="inlineStr">
        <is>
          <t>pipette_10mL</t>
        </is>
      </c>
      <c r="D244" s="21" t="n">
        <v>2</v>
      </c>
      <c r="E244" s="21" t="n">
        <v>9.967000000000001</v>
      </c>
      <c r="F244" s="21" t="inlineStr">
        <is>
          <t>g</t>
        </is>
      </c>
      <c r="G244" s="21" t="n">
        <v>24.3</v>
      </c>
      <c r="H244" s="21" t="n"/>
      <c r="I244" s="22">
        <f>IF($A244="","",'2_密度換算'!$C$12*(1-((G244+'2_密度換算'!$C$8)^2*(G244+'2_密度換算'!$C$9))/('2_密度換算'!$C$10*(G244+'2_密度換算'!$C$11)))/1000)</f>
        <v/>
      </c>
      <c r="J244" s="22">
        <f>IF($A244="","",1+'2_密度換算'!$C$6*(1/I244-1/'2_密度換算'!$C$7))</f>
        <v/>
      </c>
      <c r="K244" s="23">
        <f>IF($A244="","",E244*J244/I244)</f>
        <v/>
      </c>
    </row>
    <row r="245">
      <c r="A245" s="21" t="n">
        <v>5</v>
      </c>
      <c r="B245" s="21" t="inlineStr">
        <is>
          <t>G5_S1</t>
        </is>
      </c>
      <c r="C245" s="21" t="inlineStr">
        <is>
          <t>burette_25mL</t>
        </is>
      </c>
      <c r="D245" s="21" t="n">
        <v>2</v>
      </c>
      <c r="E245" s="21" t="n">
        <v>24.9145</v>
      </c>
      <c r="F245" s="21" t="inlineStr">
        <is>
          <t>g</t>
        </is>
      </c>
      <c r="G245" s="21" t="n">
        <v>24.8</v>
      </c>
      <c r="H245" s="21" t="n"/>
      <c r="I245" s="22">
        <f>IF($A245="","",'2_密度換算'!$C$12*(1-((G245+'2_密度換算'!$C$8)^2*(G245+'2_密度換算'!$C$9))/('2_密度換算'!$C$10*(G245+'2_密度換算'!$C$11)))/1000)</f>
        <v/>
      </c>
      <c r="J245" s="22">
        <f>IF($A245="","",1+'2_密度換算'!$C$6*(1/I245-1/'2_密度換算'!$C$7))</f>
        <v/>
      </c>
      <c r="K245" s="23">
        <f>IF($A245="","",E245*J245/I245)</f>
        <v/>
      </c>
    </row>
    <row r="246">
      <c r="A246" s="21" t="n">
        <v>5</v>
      </c>
      <c r="B246" s="21" t="inlineStr">
        <is>
          <t>G5_S1</t>
        </is>
      </c>
      <c r="C246" s="21" t="inlineStr">
        <is>
          <t>pipette_10mL</t>
        </is>
      </c>
      <c r="D246" s="21" t="n">
        <v>3</v>
      </c>
      <c r="E246" s="21" t="n">
        <v>9.960000000000001</v>
      </c>
      <c r="F246" s="21" t="inlineStr">
        <is>
          <t>g</t>
        </is>
      </c>
      <c r="G246" s="21" t="n">
        <v>25.5</v>
      </c>
      <c r="H246" s="21" t="n"/>
      <c r="I246" s="22">
        <f>IF($A246="","",'2_密度換算'!$C$12*(1-((G246+'2_密度換算'!$C$8)^2*(G246+'2_密度換算'!$C$9))/('2_密度換算'!$C$10*(G246+'2_密度換算'!$C$11)))/1000)</f>
        <v/>
      </c>
      <c r="J246" s="22">
        <f>IF($A246="","",1+'2_密度換算'!$C$6*(1/I246-1/'2_密度換算'!$C$7))</f>
        <v/>
      </c>
      <c r="K246" s="23">
        <f>IF($A246="","",E246*J246/I246)</f>
        <v/>
      </c>
    </row>
    <row r="247">
      <c r="A247" s="21" t="n">
        <v>5</v>
      </c>
      <c r="B247" s="21" t="inlineStr">
        <is>
          <t>G5_S1</t>
        </is>
      </c>
      <c r="C247" s="21" t="inlineStr">
        <is>
          <t>burette_25mL</t>
        </is>
      </c>
      <c r="D247" s="21" t="n">
        <v>3</v>
      </c>
      <c r="E247" s="21" t="n">
        <v>24.8807</v>
      </c>
      <c r="F247" s="21" t="inlineStr">
        <is>
          <t>g</t>
        </is>
      </c>
      <c r="G247" s="21" t="n">
        <v>24.9</v>
      </c>
      <c r="H247" s="21" t="n"/>
      <c r="I247" s="22">
        <f>IF($A247="","",'2_密度換算'!$C$12*(1-((G247+'2_密度換算'!$C$8)^2*(G247+'2_密度換算'!$C$9))/('2_密度換算'!$C$10*(G247+'2_密度換算'!$C$11)))/1000)</f>
        <v/>
      </c>
      <c r="J247" s="22">
        <f>IF($A247="","",1+'2_密度換算'!$C$6*(1/I247-1/'2_密度換算'!$C$7))</f>
        <v/>
      </c>
      <c r="K247" s="23">
        <f>IF($A247="","",E247*J247/I247)</f>
        <v/>
      </c>
    </row>
    <row r="248">
      <c r="A248" s="21" t="n">
        <v>5</v>
      </c>
      <c r="B248" s="21" t="inlineStr">
        <is>
          <t>G5_S1</t>
        </is>
      </c>
      <c r="C248" s="21" t="inlineStr">
        <is>
          <t>pipette_10mL</t>
        </is>
      </c>
      <c r="D248" s="21" t="n">
        <v>4</v>
      </c>
      <c r="E248" s="21" t="n">
        <v>9.9603</v>
      </c>
      <c r="F248" s="21" t="inlineStr">
        <is>
          <t>g</t>
        </is>
      </c>
      <c r="G248" s="21" t="n">
        <v>24.4</v>
      </c>
      <c r="H248" s="21" t="n"/>
      <c r="I248" s="22">
        <f>IF($A248="","",'2_密度換算'!$C$12*(1-((G248+'2_密度換算'!$C$8)^2*(G248+'2_密度換算'!$C$9))/('2_密度換算'!$C$10*(G248+'2_密度換算'!$C$11)))/1000)</f>
        <v/>
      </c>
      <c r="J248" s="22">
        <f>IF($A248="","",1+'2_密度換算'!$C$6*(1/I248-1/'2_密度換算'!$C$7))</f>
        <v/>
      </c>
      <c r="K248" s="23">
        <f>IF($A248="","",E248*J248/I248)</f>
        <v/>
      </c>
    </row>
    <row r="249">
      <c r="A249" s="21" t="n">
        <v>5</v>
      </c>
      <c r="B249" s="21" t="inlineStr">
        <is>
          <t>G5_S1</t>
        </is>
      </c>
      <c r="C249" s="21" t="inlineStr">
        <is>
          <t>burette_25mL</t>
        </is>
      </c>
      <c r="D249" s="21" t="n">
        <v>4</v>
      </c>
      <c r="E249" s="21" t="n">
        <v>24.8637</v>
      </c>
      <c r="F249" s="21" t="inlineStr">
        <is>
          <t>g</t>
        </is>
      </c>
      <c r="G249" s="21" t="n">
        <v>24.1</v>
      </c>
      <c r="H249" s="21" t="n"/>
      <c r="I249" s="22">
        <f>IF($A249="","",'2_密度換算'!$C$12*(1-((G249+'2_密度換算'!$C$8)^2*(G249+'2_密度換算'!$C$9))/('2_密度換算'!$C$10*(G249+'2_密度換算'!$C$11)))/1000)</f>
        <v/>
      </c>
      <c r="J249" s="22">
        <f>IF($A249="","",1+'2_密度換算'!$C$6*(1/I249-1/'2_密度換算'!$C$7))</f>
        <v/>
      </c>
      <c r="K249" s="23">
        <f>IF($A249="","",E249*J249/I249)</f>
        <v/>
      </c>
    </row>
    <row r="250">
      <c r="A250" s="21" t="n">
        <v>5</v>
      </c>
      <c r="B250" s="21" t="inlineStr">
        <is>
          <t>G5_S1</t>
        </is>
      </c>
      <c r="C250" s="21" t="inlineStr">
        <is>
          <t>pipette_10mL</t>
        </is>
      </c>
      <c r="D250" s="21" t="n">
        <v>5</v>
      </c>
      <c r="E250" s="21" t="n">
        <v>9.9595</v>
      </c>
      <c r="F250" s="21" t="inlineStr">
        <is>
          <t>g</t>
        </is>
      </c>
      <c r="G250" s="21" t="n">
        <v>24.6</v>
      </c>
      <c r="H250" s="21" t="n"/>
      <c r="I250" s="22">
        <f>IF($A250="","",'2_密度換算'!$C$12*(1-((G250+'2_密度換算'!$C$8)^2*(G250+'2_密度換算'!$C$9))/('2_密度換算'!$C$10*(G250+'2_密度換算'!$C$11)))/1000)</f>
        <v/>
      </c>
      <c r="J250" s="22">
        <f>IF($A250="","",1+'2_密度換算'!$C$6*(1/I250-1/'2_密度換算'!$C$7))</f>
        <v/>
      </c>
      <c r="K250" s="23">
        <f>IF($A250="","",E250*J250/I250)</f>
        <v/>
      </c>
    </row>
    <row r="251">
      <c r="A251" s="21" t="n">
        <v>5</v>
      </c>
      <c r="B251" s="21" t="inlineStr">
        <is>
          <t>G5_S1</t>
        </is>
      </c>
      <c r="C251" s="21" t="inlineStr">
        <is>
          <t>burette_25mL</t>
        </is>
      </c>
      <c r="D251" s="21" t="n">
        <v>5</v>
      </c>
      <c r="E251" s="21" t="n">
        <v>24.8416</v>
      </c>
      <c r="F251" s="21" t="inlineStr">
        <is>
          <t>g</t>
        </is>
      </c>
      <c r="G251" s="21" t="n">
        <v>25.2</v>
      </c>
      <c r="H251" s="21" t="n"/>
      <c r="I251" s="22">
        <f>IF($A251="","",'2_密度換算'!$C$12*(1-((G251+'2_密度換算'!$C$8)^2*(G251+'2_密度換算'!$C$9))/('2_密度換算'!$C$10*(G251+'2_密度換算'!$C$11)))/1000)</f>
        <v/>
      </c>
      <c r="J251" s="22">
        <f>IF($A251="","",1+'2_密度換算'!$C$6*(1/I251-1/'2_密度換算'!$C$7))</f>
        <v/>
      </c>
      <c r="K251" s="23">
        <f>IF($A251="","",E251*J251/I251)</f>
        <v/>
      </c>
    </row>
    <row r="252">
      <c r="A252" s="21" t="n">
        <v>5</v>
      </c>
      <c r="B252" s="21" t="inlineStr">
        <is>
          <t>G5_S1</t>
        </is>
      </c>
      <c r="C252" s="21" t="inlineStr">
        <is>
          <t>pipette_10mL</t>
        </is>
      </c>
      <c r="D252" s="21" t="n">
        <v>6</v>
      </c>
      <c r="E252" s="21" t="n">
        <v>9.9565</v>
      </c>
      <c r="F252" s="21" t="inlineStr">
        <is>
          <t>g</t>
        </is>
      </c>
      <c r="G252" s="21" t="n">
        <v>24.2</v>
      </c>
      <c r="H252" s="21" t="n"/>
      <c r="I252" s="22">
        <f>IF($A252="","",'2_密度換算'!$C$12*(1-((G252+'2_密度換算'!$C$8)^2*(G252+'2_密度換算'!$C$9))/('2_密度換算'!$C$10*(G252+'2_密度換算'!$C$11)))/1000)</f>
        <v/>
      </c>
      <c r="J252" s="22">
        <f>IF($A252="","",1+'2_密度換算'!$C$6*(1/I252-1/'2_密度換算'!$C$7))</f>
        <v/>
      </c>
      <c r="K252" s="23">
        <f>IF($A252="","",E252*J252/I252)</f>
        <v/>
      </c>
    </row>
    <row r="253">
      <c r="A253" s="21" t="n">
        <v>5</v>
      </c>
      <c r="B253" s="21" t="inlineStr">
        <is>
          <t>G5_S1</t>
        </is>
      </c>
      <c r="C253" s="21" t="inlineStr">
        <is>
          <t>burette_25mL</t>
        </is>
      </c>
      <c r="D253" s="21" t="n">
        <v>6</v>
      </c>
      <c r="E253" s="21" t="n">
        <v>24.8866</v>
      </c>
      <c r="F253" s="21" t="inlineStr">
        <is>
          <t>g</t>
        </is>
      </c>
      <c r="G253" s="21" t="n">
        <v>25.7</v>
      </c>
      <c r="H253" s="21" t="n"/>
      <c r="I253" s="22">
        <f>IF($A253="","",'2_密度換算'!$C$12*(1-((G253+'2_密度換算'!$C$8)^2*(G253+'2_密度換算'!$C$9))/('2_密度換算'!$C$10*(G253+'2_密度換算'!$C$11)))/1000)</f>
        <v/>
      </c>
      <c r="J253" s="22">
        <f>IF($A253="","",1+'2_密度換算'!$C$6*(1/I253-1/'2_密度換算'!$C$7))</f>
        <v/>
      </c>
      <c r="K253" s="23">
        <f>IF($A253="","",E253*J253/I253)</f>
        <v/>
      </c>
    </row>
    <row r="254">
      <c r="A254" s="21" t="n">
        <v>5</v>
      </c>
      <c r="B254" s="21" t="inlineStr">
        <is>
          <t>G5_S1</t>
        </is>
      </c>
      <c r="C254" s="21" t="inlineStr">
        <is>
          <t>pipette_10mL</t>
        </is>
      </c>
      <c r="D254" s="21" t="n">
        <v>7</v>
      </c>
      <c r="E254" s="21" t="n">
        <v>9.9587</v>
      </c>
      <c r="F254" s="21" t="inlineStr">
        <is>
          <t>g</t>
        </is>
      </c>
      <c r="G254" s="21" t="n">
        <v>25.3</v>
      </c>
      <c r="H254" s="21" t="n"/>
      <c r="I254" s="22">
        <f>IF($A254="","",'2_密度換算'!$C$12*(1-((G254+'2_密度換算'!$C$8)^2*(G254+'2_密度換算'!$C$9))/('2_密度換算'!$C$10*(G254+'2_密度換算'!$C$11)))/1000)</f>
        <v/>
      </c>
      <c r="J254" s="22">
        <f>IF($A254="","",1+'2_密度換算'!$C$6*(1/I254-1/'2_密度換算'!$C$7))</f>
        <v/>
      </c>
      <c r="K254" s="23">
        <f>IF($A254="","",E254*J254/I254)</f>
        <v/>
      </c>
    </row>
    <row r="255">
      <c r="A255" s="21" t="n">
        <v>5</v>
      </c>
      <c r="B255" s="21" t="inlineStr">
        <is>
          <t>G5_S1</t>
        </is>
      </c>
      <c r="C255" s="21" t="inlineStr">
        <is>
          <t>burette_25mL</t>
        </is>
      </c>
      <c r="D255" s="21" t="n">
        <v>7</v>
      </c>
      <c r="E255" s="21" t="n">
        <v>24.8871</v>
      </c>
      <c r="F255" s="21" t="inlineStr">
        <is>
          <t>g</t>
        </is>
      </c>
      <c r="G255" s="21" t="n">
        <v>25.5</v>
      </c>
      <c r="H255" s="21" t="n"/>
      <c r="I255" s="22">
        <f>IF($A255="","",'2_密度換算'!$C$12*(1-((G255+'2_密度換算'!$C$8)^2*(G255+'2_密度換算'!$C$9))/('2_密度換算'!$C$10*(G255+'2_密度換算'!$C$11)))/1000)</f>
        <v/>
      </c>
      <c r="J255" s="22">
        <f>IF($A255="","",1+'2_密度換算'!$C$6*(1/I255-1/'2_密度換算'!$C$7))</f>
        <v/>
      </c>
      <c r="K255" s="23">
        <f>IF($A255="","",E255*J255/I255)</f>
        <v/>
      </c>
    </row>
    <row r="256">
      <c r="A256" s="21" t="n">
        <v>5</v>
      </c>
      <c r="B256" s="21" t="inlineStr">
        <is>
          <t>G5_S1</t>
        </is>
      </c>
      <c r="C256" s="21" t="inlineStr">
        <is>
          <t>pipette_10mL</t>
        </is>
      </c>
      <c r="D256" s="21" t="n">
        <v>8</v>
      </c>
      <c r="E256" s="21" t="n">
        <v>9.9636</v>
      </c>
      <c r="F256" s="21" t="inlineStr">
        <is>
          <t>g</t>
        </is>
      </c>
      <c r="G256" s="21" t="n">
        <v>24.7</v>
      </c>
      <c r="H256" s="21" t="n"/>
      <c r="I256" s="22">
        <f>IF($A256="","",'2_密度換算'!$C$12*(1-((G256+'2_密度換算'!$C$8)^2*(G256+'2_密度換算'!$C$9))/('2_密度換算'!$C$10*(G256+'2_密度換算'!$C$11)))/1000)</f>
        <v/>
      </c>
      <c r="J256" s="22">
        <f>IF($A256="","",1+'2_密度換算'!$C$6*(1/I256-1/'2_密度換算'!$C$7))</f>
        <v/>
      </c>
      <c r="K256" s="23">
        <f>IF($A256="","",E256*J256/I256)</f>
        <v/>
      </c>
    </row>
    <row r="257">
      <c r="A257" s="21" t="n">
        <v>5</v>
      </c>
      <c r="B257" s="21" t="inlineStr">
        <is>
          <t>G5_S1</t>
        </is>
      </c>
      <c r="C257" s="21" t="inlineStr">
        <is>
          <t>burette_25mL</t>
        </is>
      </c>
      <c r="D257" s="21" t="n">
        <v>8</v>
      </c>
      <c r="E257" s="21" t="n">
        <v>24.8956</v>
      </c>
      <c r="F257" s="21" t="inlineStr">
        <is>
          <t>g</t>
        </is>
      </c>
      <c r="G257" s="21" t="n">
        <v>24.7</v>
      </c>
      <c r="H257" s="21" t="n"/>
      <c r="I257" s="22">
        <f>IF($A257="","",'2_密度換算'!$C$12*(1-((G257+'2_密度換算'!$C$8)^2*(G257+'2_密度換算'!$C$9))/('2_密度換算'!$C$10*(G257+'2_密度換算'!$C$11)))/1000)</f>
        <v/>
      </c>
      <c r="J257" s="22">
        <f>IF($A257="","",1+'2_密度換算'!$C$6*(1/I257-1/'2_密度換算'!$C$7))</f>
        <v/>
      </c>
      <c r="K257" s="23">
        <f>IF($A257="","",E257*J257/I257)</f>
        <v/>
      </c>
    </row>
    <row r="258">
      <c r="A258" s="21" t="n">
        <v>5</v>
      </c>
      <c r="B258" s="21" t="inlineStr">
        <is>
          <t>G5_S1</t>
        </is>
      </c>
      <c r="C258" s="21" t="inlineStr">
        <is>
          <t>pipette_10mL</t>
        </is>
      </c>
      <c r="D258" s="21" t="n">
        <v>9</v>
      </c>
      <c r="E258" s="21" t="n">
        <v>9.961399999999999</v>
      </c>
      <c r="F258" s="21" t="inlineStr">
        <is>
          <t>g</t>
        </is>
      </c>
      <c r="G258" s="21" t="n">
        <v>25</v>
      </c>
      <c r="H258" s="21" t="n"/>
      <c r="I258" s="22">
        <f>IF($A258="","",'2_密度換算'!$C$12*(1-((G258+'2_密度換算'!$C$8)^2*(G258+'2_密度換算'!$C$9))/('2_密度換算'!$C$10*(G258+'2_密度換算'!$C$11)))/1000)</f>
        <v/>
      </c>
      <c r="J258" s="22">
        <f>IF($A258="","",1+'2_密度換算'!$C$6*(1/I258-1/'2_密度換算'!$C$7))</f>
        <v/>
      </c>
      <c r="K258" s="23">
        <f>IF($A258="","",E258*J258/I258)</f>
        <v/>
      </c>
    </row>
    <row r="259">
      <c r="A259" s="21" t="n">
        <v>5</v>
      </c>
      <c r="B259" s="21" t="inlineStr">
        <is>
          <t>G5_S1</t>
        </is>
      </c>
      <c r="C259" s="21" t="inlineStr">
        <is>
          <t>burette_25mL</t>
        </is>
      </c>
      <c r="D259" s="21" t="n">
        <v>9</v>
      </c>
      <c r="E259" s="21" t="n">
        <v>24.8805</v>
      </c>
      <c r="F259" s="21" t="inlineStr">
        <is>
          <t>g</t>
        </is>
      </c>
      <c r="G259" s="21" t="n">
        <v>25.7</v>
      </c>
      <c r="H259" s="21" t="n"/>
      <c r="I259" s="22">
        <f>IF($A259="","",'2_密度換算'!$C$12*(1-((G259+'2_密度換算'!$C$8)^2*(G259+'2_密度換算'!$C$9))/('2_密度換算'!$C$10*(G259+'2_密度換算'!$C$11)))/1000)</f>
        <v/>
      </c>
      <c r="J259" s="22">
        <f>IF($A259="","",1+'2_密度換算'!$C$6*(1/I259-1/'2_密度換算'!$C$7))</f>
        <v/>
      </c>
      <c r="K259" s="23">
        <f>IF($A259="","",E259*J259/I259)</f>
        <v/>
      </c>
    </row>
    <row r="260">
      <c r="A260" s="21" t="n">
        <v>5</v>
      </c>
      <c r="B260" s="21" t="inlineStr">
        <is>
          <t>G5_S1</t>
        </is>
      </c>
      <c r="C260" s="21" t="inlineStr">
        <is>
          <t>pipette_10mL</t>
        </is>
      </c>
      <c r="D260" s="21" t="n">
        <v>10</v>
      </c>
      <c r="E260" s="21" t="n">
        <v>9.9557</v>
      </c>
      <c r="F260" s="21" t="inlineStr">
        <is>
          <t>g</t>
        </is>
      </c>
      <c r="G260" s="21" t="n">
        <v>25.8</v>
      </c>
      <c r="H260" s="21" t="n"/>
      <c r="I260" s="22">
        <f>IF($A260="","",'2_密度換算'!$C$12*(1-((G260+'2_密度換算'!$C$8)^2*(G260+'2_密度換算'!$C$9))/('2_密度換算'!$C$10*(G260+'2_密度換算'!$C$11)))/1000)</f>
        <v/>
      </c>
      <c r="J260" s="22">
        <f>IF($A260="","",1+'2_密度換算'!$C$6*(1/I260-1/'2_密度換算'!$C$7))</f>
        <v/>
      </c>
      <c r="K260" s="23">
        <f>IF($A260="","",E260*J260/I260)</f>
        <v/>
      </c>
    </row>
    <row r="261">
      <c r="A261" s="21" t="n">
        <v>5</v>
      </c>
      <c r="B261" s="21" t="inlineStr">
        <is>
          <t>G5_S1</t>
        </is>
      </c>
      <c r="C261" s="21" t="inlineStr">
        <is>
          <t>burette_25mL</t>
        </is>
      </c>
      <c r="D261" s="21" t="n">
        <v>10</v>
      </c>
      <c r="E261" s="21" t="n">
        <v>24.8593</v>
      </c>
      <c r="F261" s="21" t="inlineStr">
        <is>
          <t>g</t>
        </is>
      </c>
      <c r="G261" s="21" t="n">
        <v>25.7</v>
      </c>
      <c r="H261" s="21" t="n"/>
      <c r="I261" s="22">
        <f>IF($A261="","",'2_密度換算'!$C$12*(1-((G261+'2_密度換算'!$C$8)^2*(G261+'2_密度換算'!$C$9))/('2_密度換算'!$C$10*(G261+'2_密度換算'!$C$11)))/1000)</f>
        <v/>
      </c>
      <c r="J261" s="22">
        <f>IF($A261="","",1+'2_密度換算'!$C$6*(1/I261-1/'2_密度換算'!$C$7))</f>
        <v/>
      </c>
      <c r="K261" s="23">
        <f>IF($A261="","",E261*J261/I261)</f>
        <v/>
      </c>
    </row>
    <row r="262">
      <c r="A262" s="21" t="n">
        <v>5</v>
      </c>
      <c r="B262" s="21" t="inlineStr">
        <is>
          <t>G5_S2</t>
        </is>
      </c>
      <c r="C262" s="21" t="inlineStr">
        <is>
          <t>pipette_10mL</t>
        </is>
      </c>
      <c r="D262" s="21" t="n">
        <v>1</v>
      </c>
      <c r="E262" s="21" t="n">
        <v>9.9581</v>
      </c>
      <c r="F262" s="21" t="inlineStr">
        <is>
          <t>g</t>
        </is>
      </c>
      <c r="G262" s="21" t="n">
        <v>25.8</v>
      </c>
      <c r="H262" s="21" t="n"/>
      <c r="I262" s="22">
        <f>IF($A262="","",'2_密度換算'!$C$12*(1-((G262+'2_密度換算'!$C$8)^2*(G262+'2_密度換算'!$C$9))/('2_密度換算'!$C$10*(G262+'2_密度換算'!$C$11)))/1000)</f>
        <v/>
      </c>
      <c r="J262" s="22">
        <f>IF($A262="","",1+'2_密度換算'!$C$6*(1/I262-1/'2_密度換算'!$C$7))</f>
        <v/>
      </c>
      <c r="K262" s="23">
        <f>IF($A262="","",E262*J262/I262)</f>
        <v/>
      </c>
    </row>
    <row r="263">
      <c r="A263" s="21" t="n">
        <v>5</v>
      </c>
      <c r="B263" s="21" t="inlineStr">
        <is>
          <t>G5_S2</t>
        </is>
      </c>
      <c r="C263" s="21" t="inlineStr">
        <is>
          <t>burette_25mL</t>
        </is>
      </c>
      <c r="D263" s="21" t="n">
        <v>1</v>
      </c>
      <c r="E263" s="21" t="n">
        <v>24.9005</v>
      </c>
      <c r="F263" s="21" t="inlineStr">
        <is>
          <t>g</t>
        </is>
      </c>
      <c r="G263" s="21" t="n">
        <v>24.4</v>
      </c>
      <c r="H263" s="21" t="n"/>
      <c r="I263" s="22">
        <f>IF($A263="","",'2_密度換算'!$C$12*(1-((G263+'2_密度換算'!$C$8)^2*(G263+'2_密度換算'!$C$9))/('2_密度換算'!$C$10*(G263+'2_密度換算'!$C$11)))/1000)</f>
        <v/>
      </c>
      <c r="J263" s="22">
        <f>IF($A263="","",1+'2_密度換算'!$C$6*(1/I263-1/'2_密度換算'!$C$7))</f>
        <v/>
      </c>
      <c r="K263" s="23">
        <f>IF($A263="","",E263*J263/I263)</f>
        <v/>
      </c>
    </row>
    <row r="264">
      <c r="A264" s="21" t="n">
        <v>5</v>
      </c>
      <c r="B264" s="21" t="inlineStr">
        <is>
          <t>G5_S2</t>
        </is>
      </c>
      <c r="C264" s="21" t="inlineStr">
        <is>
          <t>pipette_10mL</t>
        </is>
      </c>
      <c r="D264" s="21" t="n">
        <v>2</v>
      </c>
      <c r="E264" s="21" t="n">
        <v>9.960699999999999</v>
      </c>
      <c r="F264" s="21" t="inlineStr">
        <is>
          <t>g</t>
        </is>
      </c>
      <c r="G264" s="21" t="n">
        <v>24.4</v>
      </c>
      <c r="H264" s="21" t="n"/>
      <c r="I264" s="22">
        <f>IF($A264="","",'2_密度換算'!$C$12*(1-((G264+'2_密度換算'!$C$8)^2*(G264+'2_密度換算'!$C$9))/('2_密度換算'!$C$10*(G264+'2_密度換算'!$C$11)))/1000)</f>
        <v/>
      </c>
      <c r="J264" s="22">
        <f>IF($A264="","",1+'2_密度換算'!$C$6*(1/I264-1/'2_密度換算'!$C$7))</f>
        <v/>
      </c>
      <c r="K264" s="23">
        <f>IF($A264="","",E264*J264/I264)</f>
        <v/>
      </c>
    </row>
    <row r="265">
      <c r="A265" s="21" t="n">
        <v>5</v>
      </c>
      <c r="B265" s="21" t="inlineStr">
        <is>
          <t>G5_S2</t>
        </is>
      </c>
      <c r="C265" s="21" t="inlineStr">
        <is>
          <t>burette_25mL</t>
        </is>
      </c>
      <c r="D265" s="21" t="n">
        <v>2</v>
      </c>
      <c r="E265" s="21" t="n">
        <v>24.886</v>
      </c>
      <c r="F265" s="21" t="inlineStr">
        <is>
          <t>g</t>
        </is>
      </c>
      <c r="G265" s="21" t="n">
        <v>25.9</v>
      </c>
      <c r="H265" s="21" t="n"/>
      <c r="I265" s="22">
        <f>IF($A265="","",'2_密度換算'!$C$12*(1-((G265+'2_密度換算'!$C$8)^2*(G265+'2_密度換算'!$C$9))/('2_密度換算'!$C$10*(G265+'2_密度換算'!$C$11)))/1000)</f>
        <v/>
      </c>
      <c r="J265" s="22">
        <f>IF($A265="","",1+'2_密度換算'!$C$6*(1/I265-1/'2_密度換算'!$C$7))</f>
        <v/>
      </c>
      <c r="K265" s="23">
        <f>IF($A265="","",E265*J265/I265)</f>
        <v/>
      </c>
    </row>
    <row r="266">
      <c r="A266" s="21" t="n">
        <v>5</v>
      </c>
      <c r="B266" s="21" t="inlineStr">
        <is>
          <t>G5_S2</t>
        </is>
      </c>
      <c r="C266" s="21" t="inlineStr">
        <is>
          <t>pipette_10mL</t>
        </is>
      </c>
      <c r="D266" s="21" t="n">
        <v>3</v>
      </c>
      <c r="E266" s="21" t="n">
        <v>9.9543</v>
      </c>
      <c r="F266" s="21" t="inlineStr">
        <is>
          <t>g</t>
        </is>
      </c>
      <c r="G266" s="21" t="n">
        <v>24.6</v>
      </c>
      <c r="H266" s="21" t="n"/>
      <c r="I266" s="22">
        <f>IF($A266="","",'2_密度換算'!$C$12*(1-((G266+'2_密度換算'!$C$8)^2*(G266+'2_密度換算'!$C$9))/('2_密度換算'!$C$10*(G266+'2_密度換算'!$C$11)))/1000)</f>
        <v/>
      </c>
      <c r="J266" s="22">
        <f>IF($A266="","",1+'2_密度換算'!$C$6*(1/I266-1/'2_密度換算'!$C$7))</f>
        <v/>
      </c>
      <c r="K266" s="23">
        <f>IF($A266="","",E266*J266/I266)</f>
        <v/>
      </c>
    </row>
    <row r="267">
      <c r="A267" s="21" t="n">
        <v>5</v>
      </c>
      <c r="B267" s="21" t="inlineStr">
        <is>
          <t>G5_S2</t>
        </is>
      </c>
      <c r="C267" s="21" t="inlineStr">
        <is>
          <t>burette_25mL</t>
        </is>
      </c>
      <c r="D267" s="21" t="n">
        <v>3</v>
      </c>
      <c r="E267" s="21" t="n">
        <v>24.8941</v>
      </c>
      <c r="F267" s="21" t="inlineStr">
        <is>
          <t>g</t>
        </is>
      </c>
      <c r="G267" s="21" t="n">
        <v>24</v>
      </c>
      <c r="H267" s="21" t="n"/>
      <c r="I267" s="22">
        <f>IF($A267="","",'2_密度換算'!$C$12*(1-((G267+'2_密度換算'!$C$8)^2*(G267+'2_密度換算'!$C$9))/('2_密度換算'!$C$10*(G267+'2_密度換算'!$C$11)))/1000)</f>
        <v/>
      </c>
      <c r="J267" s="22">
        <f>IF($A267="","",1+'2_密度換算'!$C$6*(1/I267-1/'2_密度換算'!$C$7))</f>
        <v/>
      </c>
      <c r="K267" s="23">
        <f>IF($A267="","",E267*J267/I267)</f>
        <v/>
      </c>
    </row>
    <row r="268">
      <c r="A268" s="21" t="n">
        <v>5</v>
      </c>
      <c r="B268" s="21" t="inlineStr">
        <is>
          <t>G5_S2</t>
        </is>
      </c>
      <c r="C268" s="21" t="inlineStr">
        <is>
          <t>pipette_10mL</t>
        </is>
      </c>
      <c r="D268" s="21" t="n">
        <v>4</v>
      </c>
      <c r="E268" s="21" t="n">
        <v>9.9598</v>
      </c>
      <c r="F268" s="21" t="inlineStr">
        <is>
          <t>g</t>
        </is>
      </c>
      <c r="G268" s="21" t="n">
        <v>25.4</v>
      </c>
      <c r="H268" s="21" t="n"/>
      <c r="I268" s="22">
        <f>IF($A268="","",'2_密度換算'!$C$12*(1-((G268+'2_密度換算'!$C$8)^2*(G268+'2_密度換算'!$C$9))/('2_密度換算'!$C$10*(G268+'2_密度換算'!$C$11)))/1000)</f>
        <v/>
      </c>
      <c r="J268" s="22">
        <f>IF($A268="","",1+'2_密度換算'!$C$6*(1/I268-1/'2_密度換算'!$C$7))</f>
        <v/>
      </c>
      <c r="K268" s="23">
        <f>IF($A268="","",E268*J268/I268)</f>
        <v/>
      </c>
    </row>
    <row r="269">
      <c r="A269" s="21" t="n">
        <v>5</v>
      </c>
      <c r="B269" s="21" t="inlineStr">
        <is>
          <t>G5_S2</t>
        </is>
      </c>
      <c r="C269" s="21" t="inlineStr">
        <is>
          <t>burette_25mL</t>
        </is>
      </c>
      <c r="D269" s="21" t="n">
        <v>4</v>
      </c>
      <c r="E269" s="21" t="n">
        <v>24.8963</v>
      </c>
      <c r="F269" s="21" t="inlineStr">
        <is>
          <t>g</t>
        </is>
      </c>
      <c r="G269" s="21" t="n">
        <v>26</v>
      </c>
      <c r="H269" s="21" t="n"/>
      <c r="I269" s="22">
        <f>IF($A269="","",'2_密度換算'!$C$12*(1-((G269+'2_密度換算'!$C$8)^2*(G269+'2_密度換算'!$C$9))/('2_密度換算'!$C$10*(G269+'2_密度換算'!$C$11)))/1000)</f>
        <v/>
      </c>
      <c r="J269" s="22">
        <f>IF($A269="","",1+'2_密度換算'!$C$6*(1/I269-1/'2_密度換算'!$C$7))</f>
        <v/>
      </c>
      <c r="K269" s="23">
        <f>IF($A269="","",E269*J269/I269)</f>
        <v/>
      </c>
    </row>
    <row r="270">
      <c r="A270" s="21" t="n">
        <v>5</v>
      </c>
      <c r="B270" s="21" t="inlineStr">
        <is>
          <t>G5_S2</t>
        </is>
      </c>
      <c r="C270" s="21" t="inlineStr">
        <is>
          <t>pipette_10mL</t>
        </is>
      </c>
      <c r="D270" s="21" t="n">
        <v>5</v>
      </c>
      <c r="E270" s="21" t="n">
        <v>9.9588</v>
      </c>
      <c r="F270" s="21" t="inlineStr">
        <is>
          <t>g</t>
        </is>
      </c>
      <c r="G270" s="21" t="n">
        <v>25</v>
      </c>
      <c r="H270" s="21" t="n"/>
      <c r="I270" s="22">
        <f>IF($A270="","",'2_密度換算'!$C$12*(1-((G270+'2_密度換算'!$C$8)^2*(G270+'2_密度換算'!$C$9))/('2_密度換算'!$C$10*(G270+'2_密度換算'!$C$11)))/1000)</f>
        <v/>
      </c>
      <c r="J270" s="22">
        <f>IF($A270="","",1+'2_密度換算'!$C$6*(1/I270-1/'2_密度換算'!$C$7))</f>
        <v/>
      </c>
      <c r="K270" s="23">
        <f>IF($A270="","",E270*J270/I270)</f>
        <v/>
      </c>
    </row>
    <row r="271">
      <c r="A271" s="21" t="n">
        <v>5</v>
      </c>
      <c r="B271" s="21" t="inlineStr">
        <is>
          <t>G5_S2</t>
        </is>
      </c>
      <c r="C271" s="21" t="inlineStr">
        <is>
          <t>burette_25mL</t>
        </is>
      </c>
      <c r="D271" s="21" t="n">
        <v>5</v>
      </c>
      <c r="E271" s="21" t="n">
        <v>24.8454</v>
      </c>
      <c r="F271" s="21" t="inlineStr">
        <is>
          <t>g</t>
        </is>
      </c>
      <c r="G271" s="21" t="n">
        <v>25.8</v>
      </c>
      <c r="H271" s="21" t="n"/>
      <c r="I271" s="22">
        <f>IF($A271="","",'2_密度換算'!$C$12*(1-((G271+'2_密度換算'!$C$8)^2*(G271+'2_密度換算'!$C$9))/('2_密度換算'!$C$10*(G271+'2_密度換算'!$C$11)))/1000)</f>
        <v/>
      </c>
      <c r="J271" s="22">
        <f>IF($A271="","",1+'2_密度換算'!$C$6*(1/I271-1/'2_密度換算'!$C$7))</f>
        <v/>
      </c>
      <c r="K271" s="23">
        <f>IF($A271="","",E271*J271/I271)</f>
        <v/>
      </c>
    </row>
    <row r="272">
      <c r="A272" s="21" t="n">
        <v>5</v>
      </c>
      <c r="B272" s="21" t="inlineStr">
        <is>
          <t>G5_S2</t>
        </is>
      </c>
      <c r="C272" s="21" t="inlineStr">
        <is>
          <t>pipette_10mL</t>
        </is>
      </c>
      <c r="D272" s="21" t="n">
        <v>6</v>
      </c>
      <c r="E272" s="21" t="n">
        <v>9.956300000000001</v>
      </c>
      <c r="F272" s="21" t="inlineStr">
        <is>
          <t>g</t>
        </is>
      </c>
      <c r="G272" s="21" t="n">
        <v>25.9</v>
      </c>
      <c r="H272" s="21" t="n"/>
      <c r="I272" s="22">
        <f>IF($A272="","",'2_密度換算'!$C$12*(1-((G272+'2_密度換算'!$C$8)^2*(G272+'2_密度換算'!$C$9))/('2_密度換算'!$C$10*(G272+'2_密度換算'!$C$11)))/1000)</f>
        <v/>
      </c>
      <c r="J272" s="22">
        <f>IF($A272="","",1+'2_密度換算'!$C$6*(1/I272-1/'2_密度換算'!$C$7))</f>
        <v/>
      </c>
      <c r="K272" s="23">
        <f>IF($A272="","",E272*J272/I272)</f>
        <v/>
      </c>
    </row>
    <row r="273">
      <c r="A273" s="21" t="n">
        <v>5</v>
      </c>
      <c r="B273" s="21" t="inlineStr">
        <is>
          <t>G5_S2</t>
        </is>
      </c>
      <c r="C273" s="21" t="inlineStr">
        <is>
          <t>burette_25mL</t>
        </is>
      </c>
      <c r="D273" s="21" t="n">
        <v>6</v>
      </c>
      <c r="E273" s="21" t="n">
        <v>24.8896</v>
      </c>
      <c r="F273" s="21" t="inlineStr">
        <is>
          <t>g</t>
        </is>
      </c>
      <c r="G273" s="21" t="n">
        <v>25.7</v>
      </c>
      <c r="H273" s="21" t="n"/>
      <c r="I273" s="22">
        <f>IF($A273="","",'2_密度換算'!$C$12*(1-((G273+'2_密度換算'!$C$8)^2*(G273+'2_密度換算'!$C$9))/('2_密度換算'!$C$10*(G273+'2_密度換算'!$C$11)))/1000)</f>
        <v/>
      </c>
      <c r="J273" s="22">
        <f>IF($A273="","",1+'2_密度換算'!$C$6*(1/I273-1/'2_密度換算'!$C$7))</f>
        <v/>
      </c>
      <c r="K273" s="23">
        <f>IF($A273="","",E273*J273/I273)</f>
        <v/>
      </c>
    </row>
    <row r="274">
      <c r="A274" s="21" t="n">
        <v>5</v>
      </c>
      <c r="B274" s="21" t="inlineStr">
        <is>
          <t>G5_S2</t>
        </is>
      </c>
      <c r="C274" s="21" t="inlineStr">
        <is>
          <t>pipette_10mL</t>
        </is>
      </c>
      <c r="D274" s="21" t="n">
        <v>7</v>
      </c>
      <c r="E274" s="21" t="n">
        <v>9.9533</v>
      </c>
      <c r="F274" s="21" t="inlineStr">
        <is>
          <t>g</t>
        </is>
      </c>
      <c r="G274" s="21" t="n">
        <v>25.5</v>
      </c>
      <c r="H274" s="21" t="n"/>
      <c r="I274" s="22">
        <f>IF($A274="","",'2_密度換算'!$C$12*(1-((G274+'2_密度換算'!$C$8)^2*(G274+'2_密度換算'!$C$9))/('2_密度換算'!$C$10*(G274+'2_密度換算'!$C$11)))/1000)</f>
        <v/>
      </c>
      <c r="J274" s="22">
        <f>IF($A274="","",1+'2_密度換算'!$C$6*(1/I274-1/'2_密度換算'!$C$7))</f>
        <v/>
      </c>
      <c r="K274" s="23">
        <f>IF($A274="","",E274*J274/I274)</f>
        <v/>
      </c>
    </row>
    <row r="275">
      <c r="A275" s="21" t="n">
        <v>5</v>
      </c>
      <c r="B275" s="21" t="inlineStr">
        <is>
          <t>G5_S2</t>
        </is>
      </c>
      <c r="C275" s="21" t="inlineStr">
        <is>
          <t>burette_25mL</t>
        </is>
      </c>
      <c r="D275" s="21" t="n">
        <v>7</v>
      </c>
      <c r="E275" s="21" t="n">
        <v>24.8868</v>
      </c>
      <c r="F275" s="21" t="inlineStr">
        <is>
          <t>g</t>
        </is>
      </c>
      <c r="G275" s="21" t="n">
        <v>25.1</v>
      </c>
      <c r="H275" s="21" t="n"/>
      <c r="I275" s="22">
        <f>IF($A275="","",'2_密度換算'!$C$12*(1-((G275+'2_密度換算'!$C$8)^2*(G275+'2_密度換算'!$C$9))/('2_密度換算'!$C$10*(G275+'2_密度換算'!$C$11)))/1000)</f>
        <v/>
      </c>
      <c r="J275" s="22">
        <f>IF($A275="","",1+'2_密度換算'!$C$6*(1/I275-1/'2_密度換算'!$C$7))</f>
        <v/>
      </c>
      <c r="K275" s="23">
        <f>IF($A275="","",E275*J275/I275)</f>
        <v/>
      </c>
    </row>
    <row r="276">
      <c r="A276" s="21" t="n">
        <v>5</v>
      </c>
      <c r="B276" s="21" t="inlineStr">
        <is>
          <t>G5_S2</t>
        </is>
      </c>
      <c r="C276" s="21" t="inlineStr">
        <is>
          <t>pipette_10mL</t>
        </is>
      </c>
      <c r="D276" s="21" t="n">
        <v>8</v>
      </c>
      <c r="E276" s="21" t="n">
        <v>9.952</v>
      </c>
      <c r="F276" s="21" t="inlineStr">
        <is>
          <t>g</t>
        </is>
      </c>
      <c r="G276" s="21" t="n">
        <v>25.9</v>
      </c>
      <c r="H276" s="21" t="n"/>
      <c r="I276" s="22">
        <f>IF($A276="","",'2_密度換算'!$C$12*(1-((G276+'2_密度換算'!$C$8)^2*(G276+'2_密度換算'!$C$9))/('2_密度換算'!$C$10*(G276+'2_密度換算'!$C$11)))/1000)</f>
        <v/>
      </c>
      <c r="J276" s="22">
        <f>IF($A276="","",1+'2_密度換算'!$C$6*(1/I276-1/'2_密度換算'!$C$7))</f>
        <v/>
      </c>
      <c r="K276" s="23">
        <f>IF($A276="","",E276*J276/I276)</f>
        <v/>
      </c>
    </row>
    <row r="277">
      <c r="A277" s="21" t="n">
        <v>5</v>
      </c>
      <c r="B277" s="21" t="inlineStr">
        <is>
          <t>G5_S2</t>
        </is>
      </c>
      <c r="C277" s="21" t="inlineStr">
        <is>
          <t>burette_25mL</t>
        </is>
      </c>
      <c r="D277" s="21" t="n">
        <v>8</v>
      </c>
      <c r="E277" s="21" t="n">
        <v>24.9121</v>
      </c>
      <c r="F277" s="21" t="inlineStr">
        <is>
          <t>g</t>
        </is>
      </c>
      <c r="G277" s="21" t="n">
        <v>24.6</v>
      </c>
      <c r="H277" s="21" t="n"/>
      <c r="I277" s="22">
        <f>IF($A277="","",'2_密度換算'!$C$12*(1-((G277+'2_密度換算'!$C$8)^2*(G277+'2_密度換算'!$C$9))/('2_密度換算'!$C$10*(G277+'2_密度換算'!$C$11)))/1000)</f>
        <v/>
      </c>
      <c r="J277" s="22">
        <f>IF($A277="","",1+'2_密度換算'!$C$6*(1/I277-1/'2_密度換算'!$C$7))</f>
        <v/>
      </c>
      <c r="K277" s="23">
        <f>IF($A277="","",E277*J277/I277)</f>
        <v/>
      </c>
    </row>
    <row r="278">
      <c r="A278" s="21" t="n">
        <v>5</v>
      </c>
      <c r="B278" s="21" t="inlineStr">
        <is>
          <t>G5_S2</t>
        </is>
      </c>
      <c r="C278" s="21" t="inlineStr">
        <is>
          <t>pipette_10mL</t>
        </is>
      </c>
      <c r="D278" s="21" t="n">
        <v>9</v>
      </c>
      <c r="E278" s="21" t="n">
        <v>9.9567</v>
      </c>
      <c r="F278" s="21" t="inlineStr">
        <is>
          <t>g</t>
        </is>
      </c>
      <c r="G278" s="21" t="n">
        <v>25.5</v>
      </c>
      <c r="H278" s="21" t="n"/>
      <c r="I278" s="22">
        <f>IF($A278="","",'2_密度換算'!$C$12*(1-((G278+'2_密度換算'!$C$8)^2*(G278+'2_密度換算'!$C$9))/('2_密度換算'!$C$10*(G278+'2_密度換算'!$C$11)))/1000)</f>
        <v/>
      </c>
      <c r="J278" s="22">
        <f>IF($A278="","",1+'2_密度換算'!$C$6*(1/I278-1/'2_密度換算'!$C$7))</f>
        <v/>
      </c>
      <c r="K278" s="23">
        <f>IF($A278="","",E278*J278/I278)</f>
        <v/>
      </c>
    </row>
    <row r="279">
      <c r="A279" s="21" t="n">
        <v>5</v>
      </c>
      <c r="B279" s="21" t="inlineStr">
        <is>
          <t>G5_S2</t>
        </is>
      </c>
      <c r="C279" s="21" t="inlineStr">
        <is>
          <t>burette_25mL</t>
        </is>
      </c>
      <c r="D279" s="21" t="n">
        <v>9</v>
      </c>
      <c r="E279" s="21" t="n">
        <v>24.8714</v>
      </c>
      <c r="F279" s="21" t="inlineStr">
        <is>
          <t>g</t>
        </is>
      </c>
      <c r="G279" s="21" t="n">
        <v>24.2</v>
      </c>
      <c r="H279" s="21" t="n"/>
      <c r="I279" s="22">
        <f>IF($A279="","",'2_密度換算'!$C$12*(1-((G279+'2_密度換算'!$C$8)^2*(G279+'2_密度換算'!$C$9))/('2_密度換算'!$C$10*(G279+'2_密度換算'!$C$11)))/1000)</f>
        <v/>
      </c>
      <c r="J279" s="22">
        <f>IF($A279="","",1+'2_密度換算'!$C$6*(1/I279-1/'2_密度換算'!$C$7))</f>
        <v/>
      </c>
      <c r="K279" s="23">
        <f>IF($A279="","",E279*J279/I279)</f>
        <v/>
      </c>
    </row>
    <row r="280">
      <c r="A280" s="21" t="n">
        <v>5</v>
      </c>
      <c r="B280" s="21" t="inlineStr">
        <is>
          <t>G5_S2</t>
        </is>
      </c>
      <c r="C280" s="21" t="inlineStr">
        <is>
          <t>pipette_10mL</t>
        </is>
      </c>
      <c r="D280" s="21" t="n">
        <v>10</v>
      </c>
      <c r="E280" s="21" t="n">
        <v>9.956</v>
      </c>
      <c r="F280" s="21" t="inlineStr">
        <is>
          <t>g</t>
        </is>
      </c>
      <c r="G280" s="21" t="n">
        <v>25.6</v>
      </c>
      <c r="H280" s="21" t="n"/>
      <c r="I280" s="22">
        <f>IF($A280="","",'2_密度換算'!$C$12*(1-((G280+'2_密度換算'!$C$8)^2*(G280+'2_密度換算'!$C$9))/('2_密度換算'!$C$10*(G280+'2_密度換算'!$C$11)))/1000)</f>
        <v/>
      </c>
      <c r="J280" s="22">
        <f>IF($A280="","",1+'2_密度換算'!$C$6*(1/I280-1/'2_密度換算'!$C$7))</f>
        <v/>
      </c>
      <c r="K280" s="23">
        <f>IF($A280="","",E280*J280/I280)</f>
        <v/>
      </c>
    </row>
    <row r="281">
      <c r="A281" s="21" t="n">
        <v>5</v>
      </c>
      <c r="B281" s="21" t="inlineStr">
        <is>
          <t>G5_S2</t>
        </is>
      </c>
      <c r="C281" s="21" t="inlineStr">
        <is>
          <t>burette_25mL</t>
        </is>
      </c>
      <c r="D281" s="21" t="n">
        <v>10</v>
      </c>
      <c r="E281" s="21" t="n">
        <v>24.881</v>
      </c>
      <c r="F281" s="21" t="inlineStr">
        <is>
          <t>g</t>
        </is>
      </c>
      <c r="G281" s="21" t="n">
        <v>26</v>
      </c>
      <c r="H281" s="21" t="n"/>
      <c r="I281" s="22">
        <f>IF($A281="","",'2_密度換算'!$C$12*(1-((G281+'2_密度換算'!$C$8)^2*(G281+'2_密度換算'!$C$9))/('2_密度換算'!$C$10*(G281+'2_密度換算'!$C$11)))/1000)</f>
        <v/>
      </c>
      <c r="J281" s="22">
        <f>IF($A281="","",1+'2_密度換算'!$C$6*(1/I281-1/'2_密度換算'!$C$7))</f>
        <v/>
      </c>
      <c r="K281" s="23">
        <f>IF($A281="","",E281*J281/I281)</f>
        <v/>
      </c>
    </row>
    <row r="282">
      <c r="A282" s="21" t="n">
        <v>5</v>
      </c>
      <c r="B282" s="21" t="inlineStr">
        <is>
          <t>G5_S3</t>
        </is>
      </c>
      <c r="C282" s="21" t="inlineStr">
        <is>
          <t>pipette_10mL</t>
        </is>
      </c>
      <c r="D282" s="21" t="n">
        <v>1</v>
      </c>
      <c r="E282" s="21" t="n">
        <v>9.964700000000001</v>
      </c>
      <c r="F282" s="21" t="inlineStr">
        <is>
          <t>g</t>
        </is>
      </c>
      <c r="G282" s="21" t="n">
        <v>25.1</v>
      </c>
      <c r="H282" s="21" t="n"/>
      <c r="I282" s="22">
        <f>IF($A282="","",'2_密度換算'!$C$12*(1-((G282+'2_密度換算'!$C$8)^2*(G282+'2_密度換算'!$C$9))/('2_密度換算'!$C$10*(G282+'2_密度換算'!$C$11)))/1000)</f>
        <v/>
      </c>
      <c r="J282" s="22">
        <f>IF($A282="","",1+'2_密度換算'!$C$6*(1/I282-1/'2_密度換算'!$C$7))</f>
        <v/>
      </c>
      <c r="K282" s="23">
        <f>IF($A282="","",E282*J282/I282)</f>
        <v/>
      </c>
    </row>
    <row r="283">
      <c r="A283" s="21" t="n">
        <v>5</v>
      </c>
      <c r="B283" s="21" t="inlineStr">
        <is>
          <t>G5_S3</t>
        </is>
      </c>
      <c r="C283" s="21" t="inlineStr">
        <is>
          <t>burette_25mL</t>
        </is>
      </c>
      <c r="D283" s="21" t="n">
        <v>1</v>
      </c>
      <c r="E283" s="21" t="n">
        <v>24.9147</v>
      </c>
      <c r="F283" s="21" t="inlineStr">
        <is>
          <t>g</t>
        </is>
      </c>
      <c r="G283" s="21" t="n">
        <v>25.8</v>
      </c>
      <c r="H283" s="21" t="n"/>
      <c r="I283" s="22">
        <f>IF($A283="","",'2_密度換算'!$C$12*(1-((G283+'2_密度換算'!$C$8)^2*(G283+'2_密度換算'!$C$9))/('2_密度換算'!$C$10*(G283+'2_密度換算'!$C$11)))/1000)</f>
        <v/>
      </c>
      <c r="J283" s="22">
        <f>IF($A283="","",1+'2_密度換算'!$C$6*(1/I283-1/'2_密度換算'!$C$7))</f>
        <v/>
      </c>
      <c r="K283" s="23">
        <f>IF($A283="","",E283*J283/I283)</f>
        <v/>
      </c>
    </row>
    <row r="284">
      <c r="A284" s="21" t="n">
        <v>5</v>
      </c>
      <c r="B284" s="21" t="inlineStr">
        <is>
          <t>G5_S3</t>
        </is>
      </c>
      <c r="C284" s="21" t="inlineStr">
        <is>
          <t>pipette_10mL</t>
        </is>
      </c>
      <c r="D284" s="21" t="n">
        <v>2</v>
      </c>
      <c r="E284" s="21" t="n">
        <v>9.9628</v>
      </c>
      <c r="F284" s="21" t="inlineStr">
        <is>
          <t>g</t>
        </is>
      </c>
      <c r="G284" s="21" t="n">
        <v>24.1</v>
      </c>
      <c r="H284" s="21" t="n"/>
      <c r="I284" s="22">
        <f>IF($A284="","",'2_密度換算'!$C$12*(1-((G284+'2_密度換算'!$C$8)^2*(G284+'2_密度換算'!$C$9))/('2_密度換算'!$C$10*(G284+'2_密度換算'!$C$11)))/1000)</f>
        <v/>
      </c>
      <c r="J284" s="22">
        <f>IF($A284="","",1+'2_密度換算'!$C$6*(1/I284-1/'2_密度換算'!$C$7))</f>
        <v/>
      </c>
      <c r="K284" s="23">
        <f>IF($A284="","",E284*J284/I284)</f>
        <v/>
      </c>
    </row>
    <row r="285">
      <c r="A285" s="21" t="n">
        <v>5</v>
      </c>
      <c r="B285" s="21" t="inlineStr">
        <is>
          <t>G5_S3</t>
        </is>
      </c>
      <c r="C285" s="21" t="inlineStr">
        <is>
          <t>burette_25mL</t>
        </is>
      </c>
      <c r="D285" s="21" t="n">
        <v>2</v>
      </c>
      <c r="E285" s="21" t="n">
        <v>24.9061</v>
      </c>
      <c r="F285" s="21" t="inlineStr">
        <is>
          <t>g</t>
        </is>
      </c>
      <c r="G285" s="21" t="n">
        <v>24.1</v>
      </c>
      <c r="H285" s="21" t="n"/>
      <c r="I285" s="22">
        <f>IF($A285="","",'2_密度換算'!$C$12*(1-((G285+'2_密度換算'!$C$8)^2*(G285+'2_密度換算'!$C$9))/('2_密度換算'!$C$10*(G285+'2_密度換算'!$C$11)))/1000)</f>
        <v/>
      </c>
      <c r="J285" s="22">
        <f>IF($A285="","",1+'2_密度換算'!$C$6*(1/I285-1/'2_密度換算'!$C$7))</f>
        <v/>
      </c>
      <c r="K285" s="23">
        <f>IF($A285="","",E285*J285/I285)</f>
        <v/>
      </c>
    </row>
    <row r="286">
      <c r="A286" s="21" t="n">
        <v>5</v>
      </c>
      <c r="B286" s="21" t="inlineStr">
        <is>
          <t>G5_S3</t>
        </is>
      </c>
      <c r="C286" s="21" t="inlineStr">
        <is>
          <t>pipette_10mL</t>
        </is>
      </c>
      <c r="D286" s="21" t="n">
        <v>3</v>
      </c>
      <c r="E286" s="21" t="n">
        <v>9.960599999999999</v>
      </c>
      <c r="F286" s="21" t="inlineStr">
        <is>
          <t>g</t>
        </is>
      </c>
      <c r="G286" s="21" t="n">
        <v>25.4</v>
      </c>
      <c r="H286" s="21" t="n"/>
      <c r="I286" s="22">
        <f>IF($A286="","",'2_密度換算'!$C$12*(1-((G286+'2_密度換算'!$C$8)^2*(G286+'2_密度換算'!$C$9))/('2_密度換算'!$C$10*(G286+'2_密度換算'!$C$11)))/1000)</f>
        <v/>
      </c>
      <c r="J286" s="22">
        <f>IF($A286="","",1+'2_密度換算'!$C$6*(1/I286-1/'2_密度換算'!$C$7))</f>
        <v/>
      </c>
      <c r="K286" s="23">
        <f>IF($A286="","",E286*J286/I286)</f>
        <v/>
      </c>
    </row>
    <row r="287">
      <c r="A287" s="21" t="n">
        <v>5</v>
      </c>
      <c r="B287" s="21" t="inlineStr">
        <is>
          <t>G5_S3</t>
        </is>
      </c>
      <c r="C287" s="21" t="inlineStr">
        <is>
          <t>burette_25mL</t>
        </is>
      </c>
      <c r="D287" s="21" t="n">
        <v>3</v>
      </c>
      <c r="E287" s="21" t="n">
        <v>24.8997</v>
      </c>
      <c r="F287" s="21" t="inlineStr">
        <is>
          <t>g</t>
        </is>
      </c>
      <c r="G287" s="21" t="n">
        <v>25.5</v>
      </c>
      <c r="H287" s="21" t="n"/>
      <c r="I287" s="22">
        <f>IF($A287="","",'2_密度換算'!$C$12*(1-((G287+'2_密度換算'!$C$8)^2*(G287+'2_密度換算'!$C$9))/('2_密度換算'!$C$10*(G287+'2_密度換算'!$C$11)))/1000)</f>
        <v/>
      </c>
      <c r="J287" s="22">
        <f>IF($A287="","",1+'2_密度換算'!$C$6*(1/I287-1/'2_密度換算'!$C$7))</f>
        <v/>
      </c>
      <c r="K287" s="23">
        <f>IF($A287="","",E287*J287/I287)</f>
        <v/>
      </c>
    </row>
    <row r="288">
      <c r="A288" s="21" t="n">
        <v>5</v>
      </c>
      <c r="B288" s="21" t="inlineStr">
        <is>
          <t>G5_S3</t>
        </is>
      </c>
      <c r="C288" s="21" t="inlineStr">
        <is>
          <t>pipette_10mL</t>
        </is>
      </c>
      <c r="D288" s="21" t="n">
        <v>4</v>
      </c>
      <c r="E288" s="21" t="n">
        <v>9.9693</v>
      </c>
      <c r="F288" s="21" t="inlineStr">
        <is>
          <t>g</t>
        </is>
      </c>
      <c r="G288" s="21" t="n">
        <v>25.5</v>
      </c>
      <c r="H288" s="21" t="n"/>
      <c r="I288" s="22">
        <f>IF($A288="","",'2_密度換算'!$C$12*(1-((G288+'2_密度換算'!$C$8)^2*(G288+'2_密度換算'!$C$9))/('2_密度換算'!$C$10*(G288+'2_密度換算'!$C$11)))/1000)</f>
        <v/>
      </c>
      <c r="J288" s="22">
        <f>IF($A288="","",1+'2_密度換算'!$C$6*(1/I288-1/'2_密度換算'!$C$7))</f>
        <v/>
      </c>
      <c r="K288" s="23">
        <f>IF($A288="","",E288*J288/I288)</f>
        <v/>
      </c>
    </row>
    <row r="289">
      <c r="A289" s="21" t="n">
        <v>5</v>
      </c>
      <c r="B289" s="21" t="inlineStr">
        <is>
          <t>G5_S3</t>
        </is>
      </c>
      <c r="C289" s="21" t="inlineStr">
        <is>
          <t>burette_25mL</t>
        </is>
      </c>
      <c r="D289" s="21" t="n">
        <v>4</v>
      </c>
      <c r="E289" s="21" t="n">
        <v>24.9107</v>
      </c>
      <c r="F289" s="21" t="inlineStr">
        <is>
          <t>g</t>
        </is>
      </c>
      <c r="G289" s="21" t="n">
        <v>24.1</v>
      </c>
      <c r="H289" s="21" t="n"/>
      <c r="I289" s="22">
        <f>IF($A289="","",'2_密度換算'!$C$12*(1-((G289+'2_密度換算'!$C$8)^2*(G289+'2_密度換算'!$C$9))/('2_密度換算'!$C$10*(G289+'2_密度換算'!$C$11)))/1000)</f>
        <v/>
      </c>
      <c r="J289" s="22">
        <f>IF($A289="","",1+'2_密度換算'!$C$6*(1/I289-1/'2_密度換算'!$C$7))</f>
        <v/>
      </c>
      <c r="K289" s="23">
        <f>IF($A289="","",E289*J289/I289)</f>
        <v/>
      </c>
    </row>
    <row r="290">
      <c r="A290" s="21" t="n">
        <v>5</v>
      </c>
      <c r="B290" s="21" t="inlineStr">
        <is>
          <t>G5_S3</t>
        </is>
      </c>
      <c r="C290" s="21" t="inlineStr">
        <is>
          <t>pipette_10mL</t>
        </is>
      </c>
      <c r="D290" s="21" t="n">
        <v>5</v>
      </c>
      <c r="E290" s="21" t="n">
        <v>9.965199999999999</v>
      </c>
      <c r="F290" s="21" t="inlineStr">
        <is>
          <t>g</t>
        </is>
      </c>
      <c r="G290" s="21" t="n">
        <v>25.2</v>
      </c>
      <c r="H290" s="21" t="n"/>
      <c r="I290" s="22">
        <f>IF($A290="","",'2_密度換算'!$C$12*(1-((G290+'2_密度換算'!$C$8)^2*(G290+'2_密度換算'!$C$9))/('2_密度換算'!$C$10*(G290+'2_密度換算'!$C$11)))/1000)</f>
        <v/>
      </c>
      <c r="J290" s="22">
        <f>IF($A290="","",1+'2_密度換算'!$C$6*(1/I290-1/'2_密度換算'!$C$7))</f>
        <v/>
      </c>
      <c r="K290" s="23">
        <f>IF($A290="","",E290*J290/I290)</f>
        <v/>
      </c>
    </row>
    <row r="291">
      <c r="A291" s="21" t="n">
        <v>5</v>
      </c>
      <c r="B291" s="21" t="inlineStr">
        <is>
          <t>G5_S3</t>
        </is>
      </c>
      <c r="C291" s="21" t="inlineStr">
        <is>
          <t>burette_25mL</t>
        </is>
      </c>
      <c r="D291" s="21" t="n">
        <v>5</v>
      </c>
      <c r="E291" s="21" t="n">
        <v>24.9208</v>
      </c>
      <c r="F291" s="21" t="inlineStr">
        <is>
          <t>g</t>
        </is>
      </c>
      <c r="G291" s="21" t="n">
        <v>24</v>
      </c>
      <c r="H291" s="21" t="n"/>
      <c r="I291" s="22">
        <f>IF($A291="","",'2_密度換算'!$C$12*(1-((G291+'2_密度換算'!$C$8)^2*(G291+'2_密度換算'!$C$9))/('2_密度換算'!$C$10*(G291+'2_密度換算'!$C$11)))/1000)</f>
        <v/>
      </c>
      <c r="J291" s="22">
        <f>IF($A291="","",1+'2_密度換算'!$C$6*(1/I291-1/'2_密度換算'!$C$7))</f>
        <v/>
      </c>
      <c r="K291" s="23">
        <f>IF($A291="","",E291*J291/I291)</f>
        <v/>
      </c>
    </row>
    <row r="292">
      <c r="A292" s="21" t="n">
        <v>5</v>
      </c>
      <c r="B292" s="21" t="inlineStr">
        <is>
          <t>G5_S3</t>
        </is>
      </c>
      <c r="C292" s="21" t="inlineStr">
        <is>
          <t>pipette_10mL</t>
        </is>
      </c>
      <c r="D292" s="21" t="n">
        <v>6</v>
      </c>
      <c r="E292" s="21" t="n">
        <v>9.968500000000001</v>
      </c>
      <c r="F292" s="21" t="inlineStr">
        <is>
          <t>g</t>
        </is>
      </c>
      <c r="G292" s="21" t="n">
        <v>25.4</v>
      </c>
      <c r="H292" s="21" t="n"/>
      <c r="I292" s="22">
        <f>IF($A292="","",'2_密度換算'!$C$12*(1-((G292+'2_密度換算'!$C$8)^2*(G292+'2_密度換算'!$C$9))/('2_密度換算'!$C$10*(G292+'2_密度換算'!$C$11)))/1000)</f>
        <v/>
      </c>
      <c r="J292" s="22">
        <f>IF($A292="","",1+'2_密度換算'!$C$6*(1/I292-1/'2_密度換算'!$C$7))</f>
        <v/>
      </c>
      <c r="K292" s="23">
        <f>IF($A292="","",E292*J292/I292)</f>
        <v/>
      </c>
    </row>
    <row r="293">
      <c r="A293" s="21" t="n">
        <v>5</v>
      </c>
      <c r="B293" s="21" t="inlineStr">
        <is>
          <t>G5_S3</t>
        </is>
      </c>
      <c r="C293" s="21" t="inlineStr">
        <is>
          <t>burette_25mL</t>
        </is>
      </c>
      <c r="D293" s="21" t="n">
        <v>6</v>
      </c>
      <c r="E293" s="21" t="n">
        <v>24.9085</v>
      </c>
      <c r="F293" s="21" t="inlineStr">
        <is>
          <t>g</t>
        </is>
      </c>
      <c r="G293" s="21" t="n">
        <v>24.8</v>
      </c>
      <c r="H293" s="21" t="n"/>
      <c r="I293" s="22">
        <f>IF($A293="","",'2_密度換算'!$C$12*(1-((G293+'2_密度換算'!$C$8)^2*(G293+'2_密度換算'!$C$9))/('2_密度換算'!$C$10*(G293+'2_密度換算'!$C$11)))/1000)</f>
        <v/>
      </c>
      <c r="J293" s="22">
        <f>IF($A293="","",1+'2_密度換算'!$C$6*(1/I293-1/'2_密度換算'!$C$7))</f>
        <v/>
      </c>
      <c r="K293" s="23">
        <f>IF($A293="","",E293*J293/I293)</f>
        <v/>
      </c>
    </row>
    <row r="294">
      <c r="A294" s="21" t="n">
        <v>5</v>
      </c>
      <c r="B294" s="21" t="inlineStr">
        <is>
          <t>G5_S3</t>
        </is>
      </c>
      <c r="C294" s="21" t="inlineStr">
        <is>
          <t>pipette_10mL</t>
        </is>
      </c>
      <c r="D294" s="21" t="n">
        <v>7</v>
      </c>
      <c r="E294" s="21" t="n">
        <v>9.962400000000001</v>
      </c>
      <c r="F294" s="21" t="inlineStr">
        <is>
          <t>g</t>
        </is>
      </c>
      <c r="G294" s="21" t="n">
        <v>25.3</v>
      </c>
      <c r="H294" s="21" t="n"/>
      <c r="I294" s="22">
        <f>IF($A294="","",'2_密度換算'!$C$12*(1-((G294+'2_密度換算'!$C$8)^2*(G294+'2_密度換算'!$C$9))/('2_密度換算'!$C$10*(G294+'2_密度換算'!$C$11)))/1000)</f>
        <v/>
      </c>
      <c r="J294" s="22">
        <f>IF($A294="","",1+'2_密度換算'!$C$6*(1/I294-1/'2_密度換算'!$C$7))</f>
        <v/>
      </c>
      <c r="K294" s="23">
        <f>IF($A294="","",E294*J294/I294)</f>
        <v/>
      </c>
    </row>
    <row r="295">
      <c r="A295" s="21" t="n">
        <v>5</v>
      </c>
      <c r="B295" s="21" t="inlineStr">
        <is>
          <t>G5_S3</t>
        </is>
      </c>
      <c r="C295" s="21" t="inlineStr">
        <is>
          <t>burette_25mL</t>
        </is>
      </c>
      <c r="D295" s="21" t="n">
        <v>7</v>
      </c>
      <c r="E295" s="21" t="n">
        <v>24.9245</v>
      </c>
      <c r="F295" s="21" t="inlineStr">
        <is>
          <t>g</t>
        </is>
      </c>
      <c r="G295" s="21" t="n">
        <v>25.7</v>
      </c>
      <c r="H295" s="21" t="n"/>
      <c r="I295" s="22">
        <f>IF($A295="","",'2_密度換算'!$C$12*(1-((G295+'2_密度換算'!$C$8)^2*(G295+'2_密度換算'!$C$9))/('2_密度換算'!$C$10*(G295+'2_密度換算'!$C$11)))/1000)</f>
        <v/>
      </c>
      <c r="J295" s="22">
        <f>IF($A295="","",1+'2_密度換算'!$C$6*(1/I295-1/'2_密度換算'!$C$7))</f>
        <v/>
      </c>
      <c r="K295" s="23">
        <f>IF($A295="","",E295*J295/I295)</f>
        <v/>
      </c>
    </row>
    <row r="296">
      <c r="A296" s="21" t="n">
        <v>5</v>
      </c>
      <c r="B296" s="21" t="inlineStr">
        <is>
          <t>G5_S3</t>
        </is>
      </c>
      <c r="C296" s="21" t="inlineStr">
        <is>
          <t>pipette_10mL</t>
        </is>
      </c>
      <c r="D296" s="21" t="n">
        <v>8</v>
      </c>
      <c r="E296" s="21" t="n">
        <v>9.9641</v>
      </c>
      <c r="F296" s="21" t="inlineStr">
        <is>
          <t>g</t>
        </is>
      </c>
      <c r="G296" s="21" t="n">
        <v>25.7</v>
      </c>
      <c r="H296" s="21" t="n"/>
      <c r="I296" s="22">
        <f>IF($A296="","",'2_密度換算'!$C$12*(1-((G296+'2_密度換算'!$C$8)^2*(G296+'2_密度換算'!$C$9))/('2_密度換算'!$C$10*(G296+'2_密度換算'!$C$11)))/1000)</f>
        <v/>
      </c>
      <c r="J296" s="22">
        <f>IF($A296="","",1+'2_密度換算'!$C$6*(1/I296-1/'2_密度換算'!$C$7))</f>
        <v/>
      </c>
      <c r="K296" s="23">
        <f>IF($A296="","",E296*J296/I296)</f>
        <v/>
      </c>
    </row>
    <row r="297">
      <c r="A297" s="21" t="n">
        <v>5</v>
      </c>
      <c r="B297" s="21" t="inlineStr">
        <is>
          <t>G5_S3</t>
        </is>
      </c>
      <c r="C297" s="21" t="inlineStr">
        <is>
          <t>burette_25mL</t>
        </is>
      </c>
      <c r="D297" s="21" t="n">
        <v>8</v>
      </c>
      <c r="E297" s="21" t="n">
        <v>24.907</v>
      </c>
      <c r="F297" s="21" t="inlineStr">
        <is>
          <t>g</t>
        </is>
      </c>
      <c r="G297" s="21" t="n">
        <v>25.2</v>
      </c>
      <c r="H297" s="21" t="n"/>
      <c r="I297" s="22">
        <f>IF($A297="","",'2_密度換算'!$C$12*(1-((G297+'2_密度換算'!$C$8)^2*(G297+'2_密度換算'!$C$9))/('2_密度換算'!$C$10*(G297+'2_密度換算'!$C$11)))/1000)</f>
        <v/>
      </c>
      <c r="J297" s="22">
        <f>IF($A297="","",1+'2_密度換算'!$C$6*(1/I297-1/'2_密度換算'!$C$7))</f>
        <v/>
      </c>
      <c r="K297" s="23">
        <f>IF($A297="","",E297*J297/I297)</f>
        <v/>
      </c>
    </row>
    <row r="298">
      <c r="A298" s="21" t="n">
        <v>5</v>
      </c>
      <c r="B298" s="21" t="inlineStr">
        <is>
          <t>G5_S3</t>
        </is>
      </c>
      <c r="C298" s="21" t="inlineStr">
        <is>
          <t>pipette_10mL</t>
        </is>
      </c>
      <c r="D298" s="21" t="n">
        <v>9</v>
      </c>
      <c r="E298" s="21" t="n">
        <v>9.9681</v>
      </c>
      <c r="F298" s="21" t="inlineStr">
        <is>
          <t>g</t>
        </is>
      </c>
      <c r="G298" s="21" t="n">
        <v>24.5</v>
      </c>
      <c r="H298" s="21" t="n"/>
      <c r="I298" s="22">
        <f>IF($A298="","",'2_密度換算'!$C$12*(1-((G298+'2_密度換算'!$C$8)^2*(G298+'2_密度換算'!$C$9))/('2_密度換算'!$C$10*(G298+'2_密度換算'!$C$11)))/1000)</f>
        <v/>
      </c>
      <c r="J298" s="22">
        <f>IF($A298="","",1+'2_密度換算'!$C$6*(1/I298-1/'2_密度換算'!$C$7))</f>
        <v/>
      </c>
      <c r="K298" s="23">
        <f>IF($A298="","",E298*J298/I298)</f>
        <v/>
      </c>
    </row>
    <row r="299">
      <c r="A299" s="21" t="n">
        <v>5</v>
      </c>
      <c r="B299" s="21" t="inlineStr">
        <is>
          <t>G5_S3</t>
        </is>
      </c>
      <c r="C299" s="21" t="inlineStr">
        <is>
          <t>burette_25mL</t>
        </is>
      </c>
      <c r="D299" s="21" t="n">
        <v>9</v>
      </c>
      <c r="E299" s="21" t="n">
        <v>24.9217</v>
      </c>
      <c r="F299" s="21" t="inlineStr">
        <is>
          <t>g</t>
        </is>
      </c>
      <c r="G299" s="21" t="n">
        <v>24.4</v>
      </c>
      <c r="H299" s="21" t="n"/>
      <c r="I299" s="22">
        <f>IF($A299="","",'2_密度換算'!$C$12*(1-((G299+'2_密度換算'!$C$8)^2*(G299+'2_密度換算'!$C$9))/('2_密度換算'!$C$10*(G299+'2_密度換算'!$C$11)))/1000)</f>
        <v/>
      </c>
      <c r="J299" s="22">
        <f>IF($A299="","",1+'2_密度換算'!$C$6*(1/I299-1/'2_密度換算'!$C$7))</f>
        <v/>
      </c>
      <c r="K299" s="23">
        <f>IF($A299="","",E299*J299/I299)</f>
        <v/>
      </c>
    </row>
    <row r="300">
      <c r="A300" s="21" t="n">
        <v>5</v>
      </c>
      <c r="B300" s="21" t="inlineStr">
        <is>
          <t>G5_S3</t>
        </is>
      </c>
      <c r="C300" s="21" t="inlineStr">
        <is>
          <t>pipette_10mL</t>
        </is>
      </c>
      <c r="D300" s="21" t="n">
        <v>10</v>
      </c>
      <c r="E300" s="21" t="n">
        <v>9.9621</v>
      </c>
      <c r="F300" s="21" t="inlineStr">
        <is>
          <t>g</t>
        </is>
      </c>
      <c r="G300" s="21" t="n">
        <v>24.7</v>
      </c>
      <c r="H300" s="21" t="n"/>
      <c r="I300" s="22">
        <f>IF($A300="","",'2_密度換算'!$C$12*(1-((G300+'2_密度換算'!$C$8)^2*(G300+'2_密度換算'!$C$9))/('2_密度換算'!$C$10*(G300+'2_密度換算'!$C$11)))/1000)</f>
        <v/>
      </c>
      <c r="J300" s="22">
        <f>IF($A300="","",1+'2_密度換算'!$C$6*(1/I300-1/'2_密度換算'!$C$7))</f>
        <v/>
      </c>
      <c r="K300" s="23">
        <f>IF($A300="","",E300*J300/I300)</f>
        <v/>
      </c>
    </row>
    <row r="301">
      <c r="A301" s="21" t="n">
        <v>5</v>
      </c>
      <c r="B301" s="21" t="inlineStr">
        <is>
          <t>G5_S3</t>
        </is>
      </c>
      <c r="C301" s="21" t="inlineStr">
        <is>
          <t>burette_25mL</t>
        </is>
      </c>
      <c r="D301" s="21" t="n">
        <v>10</v>
      </c>
      <c r="E301" s="21" t="n">
        <v>24.9299</v>
      </c>
      <c r="F301" s="21" t="inlineStr">
        <is>
          <t>g</t>
        </is>
      </c>
      <c r="G301" s="21" t="n">
        <v>25.6</v>
      </c>
      <c r="H301" s="21" t="n"/>
      <c r="I301" s="22">
        <f>IF($A301="","",'2_密度換算'!$C$12*(1-((G301+'2_密度換算'!$C$8)^2*(G301+'2_密度換算'!$C$9))/('2_密度換算'!$C$10*(G301+'2_密度換算'!$C$11)))/1000)</f>
        <v/>
      </c>
      <c r="J301" s="22">
        <f>IF($A301="","",1+'2_密度換算'!$C$6*(1/I301-1/'2_密度換算'!$C$7))</f>
        <v/>
      </c>
      <c r="K301" s="23">
        <f>IF($A301="","",E301*J301/I301)</f>
        <v/>
      </c>
    </row>
    <row r="302">
      <c r="I302" s="22">
        <f>IF($A302="","",'2_密度換算'!$C$12*(1-((G302+'2_密度換算'!$C$8)^2*(G302+'2_密度換算'!$C$9))/('2_密度換算'!$C$10*(G302+'2_密度換算'!$C$11)))/1000)</f>
        <v/>
      </c>
      <c r="J302" s="22">
        <f>IF($A302="","",1+'2_密度換算'!$C$6*(1/I302-1/'2_密度換算'!$C$7))</f>
        <v/>
      </c>
      <c r="K302" s="23">
        <f>IF($A302="","",E302*J302/I302)</f>
        <v/>
      </c>
    </row>
    <row r="303">
      <c r="I303" s="22">
        <f>IF($A303="","",'2_密度換算'!$C$12*(1-((G303+'2_密度換算'!$C$8)^2*(G303+'2_密度換算'!$C$9))/('2_密度換算'!$C$10*(G303+'2_密度換算'!$C$11)))/1000)</f>
        <v/>
      </c>
      <c r="J303" s="22">
        <f>IF($A303="","",1+'2_密度換算'!$C$6*(1/I303-1/'2_密度換算'!$C$7))</f>
        <v/>
      </c>
      <c r="K303" s="23">
        <f>IF($A303="","",E303*J303/I303)</f>
        <v/>
      </c>
    </row>
    <row r="304">
      <c r="I304" s="22">
        <f>IF($A304="","",'2_密度換算'!$C$12*(1-((G304+'2_密度換算'!$C$8)^2*(G304+'2_密度換算'!$C$9))/('2_密度換算'!$C$10*(G304+'2_密度換算'!$C$11)))/1000)</f>
        <v/>
      </c>
      <c r="J304" s="22">
        <f>IF($A304="","",1+'2_密度換算'!$C$6*(1/I304-1/'2_密度換算'!$C$7))</f>
        <v/>
      </c>
      <c r="K304" s="23">
        <f>IF($A304="","",E304*J304/I304)</f>
        <v/>
      </c>
    </row>
    <row r="305">
      <c r="I305" s="22">
        <f>IF($A305="","",'2_密度換算'!$C$12*(1-((G305+'2_密度換算'!$C$8)^2*(G305+'2_密度換算'!$C$9))/('2_密度換算'!$C$10*(G305+'2_密度換算'!$C$11)))/1000)</f>
        <v/>
      </c>
      <c r="J305" s="22">
        <f>IF($A305="","",1+'2_密度換算'!$C$6*(1/I305-1/'2_密度換算'!$C$7))</f>
        <v/>
      </c>
      <c r="K305" s="23">
        <f>IF($A305="","",E305*J305/I305)</f>
        <v/>
      </c>
    </row>
    <row r="306">
      <c r="I306" s="22">
        <f>IF($A306="","",'2_密度換算'!$C$12*(1-((G306+'2_密度換算'!$C$8)^2*(G306+'2_密度換算'!$C$9))/('2_密度換算'!$C$10*(G306+'2_密度換算'!$C$11)))/1000)</f>
        <v/>
      </c>
      <c r="J306" s="22">
        <f>IF($A306="","",1+'2_密度換算'!$C$6*(1/I306-1/'2_密度換算'!$C$7))</f>
        <v/>
      </c>
      <c r="K306" s="23">
        <f>IF($A306="","",E306*J306/I306)</f>
        <v/>
      </c>
    </row>
    <row r="307">
      <c r="I307" s="22">
        <f>IF($A307="","",'2_密度換算'!$C$12*(1-((G307+'2_密度換算'!$C$8)^2*(G307+'2_密度換算'!$C$9))/('2_密度換算'!$C$10*(G307+'2_密度換算'!$C$11)))/1000)</f>
        <v/>
      </c>
      <c r="J307" s="22">
        <f>IF($A307="","",1+'2_密度換算'!$C$6*(1/I307-1/'2_密度換算'!$C$7))</f>
        <v/>
      </c>
      <c r="K307" s="23">
        <f>IF($A307="","",E307*J307/I307)</f>
        <v/>
      </c>
    </row>
    <row r="308">
      <c r="I308" s="22">
        <f>IF($A308="","",'2_密度換算'!$C$12*(1-((G308+'2_密度換算'!$C$8)^2*(G308+'2_密度換算'!$C$9))/('2_密度換算'!$C$10*(G308+'2_密度換算'!$C$11)))/1000)</f>
        <v/>
      </c>
      <c r="J308" s="22">
        <f>IF($A308="","",1+'2_密度換算'!$C$6*(1/I308-1/'2_密度換算'!$C$7))</f>
        <v/>
      </c>
      <c r="K308" s="23">
        <f>IF($A308="","",E308*J308/I308)</f>
        <v/>
      </c>
    </row>
    <row r="309">
      <c r="I309" s="22">
        <f>IF($A309="","",'2_密度換算'!$C$12*(1-((G309+'2_密度換算'!$C$8)^2*(G309+'2_密度換算'!$C$9))/('2_密度換算'!$C$10*(G309+'2_密度換算'!$C$11)))/1000)</f>
        <v/>
      </c>
      <c r="J309" s="22">
        <f>IF($A309="","",1+'2_密度換算'!$C$6*(1/I309-1/'2_密度換算'!$C$7))</f>
        <v/>
      </c>
      <c r="K309" s="23">
        <f>IF($A309="","",E309*J309/I309)</f>
        <v/>
      </c>
    </row>
    <row r="310">
      <c r="I310" s="22">
        <f>IF($A310="","",'2_密度換算'!$C$12*(1-((G310+'2_密度換算'!$C$8)^2*(G310+'2_密度換算'!$C$9))/('2_密度換算'!$C$10*(G310+'2_密度換算'!$C$11)))/1000)</f>
        <v/>
      </c>
      <c r="J310" s="22">
        <f>IF($A310="","",1+'2_密度換算'!$C$6*(1/I310-1/'2_密度換算'!$C$7))</f>
        <v/>
      </c>
      <c r="K310" s="23">
        <f>IF($A310="","",E310*J310/I310)</f>
        <v/>
      </c>
    </row>
    <row r="311">
      <c r="I311" s="22">
        <f>IF($A311="","",'2_密度換算'!$C$12*(1-((G311+'2_密度換算'!$C$8)^2*(G311+'2_密度換算'!$C$9))/('2_密度換算'!$C$10*(G311+'2_密度換算'!$C$11)))/1000)</f>
        <v/>
      </c>
      <c r="J311" s="22">
        <f>IF($A311="","",1+'2_密度換算'!$C$6*(1/I311-1/'2_密度換算'!$C$7))</f>
        <v/>
      </c>
      <c r="K311" s="23">
        <f>IF($A311="","",E311*J311/I311)</f>
        <v/>
      </c>
    </row>
    <row r="312">
      <c r="I312" s="22">
        <f>IF($A312="","",'2_密度換算'!$C$12*(1-((G312+'2_密度換算'!$C$8)^2*(G312+'2_密度換算'!$C$9))/('2_密度換算'!$C$10*(G312+'2_密度換算'!$C$11)))/1000)</f>
        <v/>
      </c>
      <c r="J312" s="22">
        <f>IF($A312="","",1+'2_密度換算'!$C$6*(1/I312-1/'2_密度換算'!$C$7))</f>
        <v/>
      </c>
      <c r="K312" s="23">
        <f>IF($A312="","",E312*J312/I312)</f>
        <v/>
      </c>
    </row>
    <row r="313">
      <c r="I313" s="22">
        <f>IF($A313="","",'2_密度換算'!$C$12*(1-((G313+'2_密度換算'!$C$8)^2*(G313+'2_密度換算'!$C$9))/('2_密度換算'!$C$10*(G313+'2_密度換算'!$C$11)))/1000)</f>
        <v/>
      </c>
      <c r="J313" s="22">
        <f>IF($A313="","",1+'2_密度換算'!$C$6*(1/I313-1/'2_密度換算'!$C$7))</f>
        <v/>
      </c>
      <c r="K313" s="23">
        <f>IF($A313="","",E313*J313/I313)</f>
        <v/>
      </c>
    </row>
    <row r="314">
      <c r="I314" s="22">
        <f>IF($A314="","",'2_密度換算'!$C$12*(1-((G314+'2_密度換算'!$C$8)^2*(G314+'2_密度換算'!$C$9))/('2_密度換算'!$C$10*(G314+'2_密度換算'!$C$11)))/1000)</f>
        <v/>
      </c>
      <c r="J314" s="22">
        <f>IF($A314="","",1+'2_密度換算'!$C$6*(1/I314-1/'2_密度換算'!$C$7))</f>
        <v/>
      </c>
      <c r="K314" s="23">
        <f>IF($A314="","",E314*J314/I314)</f>
        <v/>
      </c>
    </row>
    <row r="315">
      <c r="I315" s="22">
        <f>IF($A315="","",'2_密度換算'!$C$12*(1-((G315+'2_密度換算'!$C$8)^2*(G315+'2_密度換算'!$C$9))/('2_密度換算'!$C$10*(G315+'2_密度換算'!$C$11)))/1000)</f>
        <v/>
      </c>
      <c r="J315" s="22">
        <f>IF($A315="","",1+'2_密度換算'!$C$6*(1/I315-1/'2_密度換算'!$C$7))</f>
        <v/>
      </c>
      <c r="K315" s="23">
        <f>IF($A315="","",E315*J315/I315)</f>
        <v/>
      </c>
    </row>
    <row r="316">
      <c r="I316" s="22">
        <f>IF($A316="","",'2_密度換算'!$C$12*(1-((G316+'2_密度換算'!$C$8)^2*(G316+'2_密度換算'!$C$9))/('2_密度換算'!$C$10*(G316+'2_密度換算'!$C$11)))/1000)</f>
        <v/>
      </c>
      <c r="J316" s="22">
        <f>IF($A316="","",1+'2_密度換算'!$C$6*(1/I316-1/'2_密度換算'!$C$7))</f>
        <v/>
      </c>
      <c r="K316" s="23">
        <f>IF($A316="","",E316*J316/I316)</f>
        <v/>
      </c>
    </row>
    <row r="317">
      <c r="I317" s="22">
        <f>IF($A317="","",'2_密度換算'!$C$12*(1-((G317+'2_密度換算'!$C$8)^2*(G317+'2_密度換算'!$C$9))/('2_密度換算'!$C$10*(G317+'2_密度換算'!$C$11)))/1000)</f>
        <v/>
      </c>
      <c r="J317" s="22">
        <f>IF($A317="","",1+'2_密度換算'!$C$6*(1/I317-1/'2_密度換算'!$C$7))</f>
        <v/>
      </c>
      <c r="K317" s="23">
        <f>IF($A317="","",E317*J317/I317)</f>
        <v/>
      </c>
    </row>
    <row r="318">
      <c r="I318" s="22">
        <f>IF($A318="","",'2_密度換算'!$C$12*(1-((G318+'2_密度換算'!$C$8)^2*(G318+'2_密度換算'!$C$9))/('2_密度換算'!$C$10*(G318+'2_密度換算'!$C$11)))/1000)</f>
        <v/>
      </c>
      <c r="J318" s="22">
        <f>IF($A318="","",1+'2_密度換算'!$C$6*(1/I318-1/'2_密度換算'!$C$7))</f>
        <v/>
      </c>
      <c r="K318" s="23">
        <f>IF($A318="","",E318*J318/I318)</f>
        <v/>
      </c>
    </row>
    <row r="319">
      <c r="I319" s="22">
        <f>IF($A319="","",'2_密度換算'!$C$12*(1-((G319+'2_密度換算'!$C$8)^2*(G319+'2_密度換算'!$C$9))/('2_密度換算'!$C$10*(G319+'2_密度換算'!$C$11)))/1000)</f>
        <v/>
      </c>
      <c r="J319" s="22">
        <f>IF($A319="","",1+'2_密度換算'!$C$6*(1/I319-1/'2_密度換算'!$C$7))</f>
        <v/>
      </c>
      <c r="K319" s="23">
        <f>IF($A319="","",E319*J319/I319)</f>
        <v/>
      </c>
    </row>
    <row r="320">
      <c r="I320" s="22">
        <f>IF($A320="","",'2_密度換算'!$C$12*(1-((G320+'2_密度換算'!$C$8)^2*(G320+'2_密度換算'!$C$9))/('2_密度換算'!$C$10*(G320+'2_密度換算'!$C$11)))/1000)</f>
        <v/>
      </c>
      <c r="J320" s="22">
        <f>IF($A320="","",1+'2_密度換算'!$C$6*(1/I320-1/'2_密度換算'!$C$7))</f>
        <v/>
      </c>
      <c r="K320" s="23">
        <f>IF($A320="","",E320*J320/I320)</f>
        <v/>
      </c>
    </row>
    <row r="321">
      <c r="I321" s="22">
        <f>IF($A321="","",'2_密度換算'!$C$12*(1-((G321+'2_密度換算'!$C$8)^2*(G321+'2_密度換算'!$C$9))/('2_密度換算'!$C$10*(G321+'2_密度換算'!$C$11)))/1000)</f>
        <v/>
      </c>
      <c r="J321" s="22">
        <f>IF($A321="","",1+'2_密度換算'!$C$6*(1/I321-1/'2_密度換算'!$C$7))</f>
        <v/>
      </c>
      <c r="K321" s="23">
        <f>IF($A321="","",E321*J321/I321)</f>
        <v/>
      </c>
    </row>
    <row r="322">
      <c r="I322" s="22">
        <f>IF($A322="","",'2_密度換算'!$C$12*(1-((G322+'2_密度換算'!$C$8)^2*(G322+'2_密度換算'!$C$9))/('2_密度換算'!$C$10*(G322+'2_密度換算'!$C$11)))/1000)</f>
        <v/>
      </c>
      <c r="J322" s="22">
        <f>IF($A322="","",1+'2_密度換算'!$C$6*(1/I322-1/'2_密度換算'!$C$7))</f>
        <v/>
      </c>
      <c r="K322" s="23">
        <f>IF($A322="","",E322*J322/I322)</f>
        <v/>
      </c>
    </row>
    <row r="323">
      <c r="I323" s="22">
        <f>IF($A323="","",'2_密度換算'!$C$12*(1-((G323+'2_密度換算'!$C$8)^2*(G323+'2_密度換算'!$C$9))/('2_密度換算'!$C$10*(G323+'2_密度換算'!$C$11)))/1000)</f>
        <v/>
      </c>
      <c r="J323" s="22">
        <f>IF($A323="","",1+'2_密度換算'!$C$6*(1/I323-1/'2_密度換算'!$C$7))</f>
        <v/>
      </c>
      <c r="K323" s="23">
        <f>IF($A323="","",E323*J323/I323)</f>
        <v/>
      </c>
    </row>
    <row r="324">
      <c r="I324" s="22">
        <f>IF($A324="","",'2_密度換算'!$C$12*(1-((G324+'2_密度換算'!$C$8)^2*(G324+'2_密度換算'!$C$9))/('2_密度換算'!$C$10*(G324+'2_密度換算'!$C$11)))/1000)</f>
        <v/>
      </c>
      <c r="J324" s="22">
        <f>IF($A324="","",1+'2_密度換算'!$C$6*(1/I324-1/'2_密度換算'!$C$7))</f>
        <v/>
      </c>
      <c r="K324" s="23">
        <f>IF($A324="","",E324*J324/I324)</f>
        <v/>
      </c>
    </row>
    <row r="325">
      <c r="I325" s="22">
        <f>IF($A325="","",'2_密度換算'!$C$12*(1-((G325+'2_密度換算'!$C$8)^2*(G325+'2_密度換算'!$C$9))/('2_密度換算'!$C$10*(G325+'2_密度換算'!$C$11)))/1000)</f>
        <v/>
      </c>
      <c r="J325" s="22">
        <f>IF($A325="","",1+'2_密度換算'!$C$6*(1/I325-1/'2_密度換算'!$C$7))</f>
        <v/>
      </c>
      <c r="K325" s="23">
        <f>IF($A325="","",E325*J325/I325)</f>
        <v/>
      </c>
    </row>
    <row r="326">
      <c r="I326" s="22">
        <f>IF($A326="","",'2_密度換算'!$C$12*(1-((G326+'2_密度換算'!$C$8)^2*(G326+'2_密度換算'!$C$9))/('2_密度換算'!$C$10*(G326+'2_密度換算'!$C$11)))/1000)</f>
        <v/>
      </c>
      <c r="J326" s="22">
        <f>IF($A326="","",1+'2_密度換算'!$C$6*(1/I326-1/'2_密度換算'!$C$7))</f>
        <v/>
      </c>
      <c r="K326" s="23">
        <f>IF($A326="","",E326*J326/I326)</f>
        <v/>
      </c>
    </row>
    <row r="327">
      <c r="I327" s="22">
        <f>IF($A327="","",'2_密度換算'!$C$12*(1-((G327+'2_密度換算'!$C$8)^2*(G327+'2_密度換算'!$C$9))/('2_密度換算'!$C$10*(G327+'2_密度換算'!$C$11)))/1000)</f>
        <v/>
      </c>
      <c r="J327" s="22">
        <f>IF($A327="","",1+'2_密度換算'!$C$6*(1/I327-1/'2_密度換算'!$C$7))</f>
        <v/>
      </c>
      <c r="K327" s="23">
        <f>IF($A327="","",E327*J327/I327)</f>
        <v/>
      </c>
    </row>
    <row r="328">
      <c r="I328" s="22">
        <f>IF($A328="","",'2_密度換算'!$C$12*(1-((G328+'2_密度換算'!$C$8)^2*(G328+'2_密度換算'!$C$9))/('2_密度換算'!$C$10*(G328+'2_密度換算'!$C$11)))/1000)</f>
        <v/>
      </c>
      <c r="J328" s="22">
        <f>IF($A328="","",1+'2_密度換算'!$C$6*(1/I328-1/'2_密度換算'!$C$7))</f>
        <v/>
      </c>
      <c r="K328" s="23">
        <f>IF($A328="","",E328*J328/I328)</f>
        <v/>
      </c>
    </row>
    <row r="329">
      <c r="I329" s="22">
        <f>IF($A329="","",'2_密度換算'!$C$12*(1-((G329+'2_密度換算'!$C$8)^2*(G329+'2_密度換算'!$C$9))/('2_密度換算'!$C$10*(G329+'2_密度換算'!$C$11)))/1000)</f>
        <v/>
      </c>
      <c r="J329" s="22">
        <f>IF($A329="","",1+'2_密度換算'!$C$6*(1/I329-1/'2_密度換算'!$C$7))</f>
        <v/>
      </c>
      <c r="K329" s="23">
        <f>IF($A329="","",E329*J329/I329)</f>
        <v/>
      </c>
    </row>
    <row r="330">
      <c r="I330" s="22">
        <f>IF($A330="","",'2_密度換算'!$C$12*(1-((G330+'2_密度換算'!$C$8)^2*(G330+'2_密度換算'!$C$9))/('2_密度換算'!$C$10*(G330+'2_密度換算'!$C$11)))/1000)</f>
        <v/>
      </c>
      <c r="J330" s="22">
        <f>IF($A330="","",1+'2_密度換算'!$C$6*(1/I330-1/'2_密度換算'!$C$7))</f>
        <v/>
      </c>
      <c r="K330" s="23">
        <f>IF($A330="","",E330*J330/I330)</f>
        <v/>
      </c>
    </row>
    <row r="331">
      <c r="I331" s="22">
        <f>IF($A331="","",'2_密度換算'!$C$12*(1-((G331+'2_密度換算'!$C$8)^2*(G331+'2_密度換算'!$C$9))/('2_密度換算'!$C$10*(G331+'2_密度換算'!$C$11)))/1000)</f>
        <v/>
      </c>
      <c r="J331" s="22">
        <f>IF($A331="","",1+'2_密度換算'!$C$6*(1/I331-1/'2_密度換算'!$C$7))</f>
        <v/>
      </c>
      <c r="K331" s="23">
        <f>IF($A331="","",E331*J331/I331)</f>
        <v/>
      </c>
    </row>
    <row r="332">
      <c r="I332" s="22">
        <f>IF($A332="","",'2_密度換算'!$C$12*(1-((G332+'2_密度換算'!$C$8)^2*(G332+'2_密度換算'!$C$9))/('2_密度換算'!$C$10*(G332+'2_密度換算'!$C$11)))/1000)</f>
        <v/>
      </c>
      <c r="J332" s="22">
        <f>IF($A332="","",1+'2_密度換算'!$C$6*(1/I332-1/'2_密度換算'!$C$7))</f>
        <v/>
      </c>
      <c r="K332" s="23">
        <f>IF($A332="","",E332*J332/I332)</f>
        <v/>
      </c>
    </row>
    <row r="333">
      <c r="I333" s="22">
        <f>IF($A333="","",'2_密度換算'!$C$12*(1-((G333+'2_密度換算'!$C$8)^2*(G333+'2_密度換算'!$C$9))/('2_密度換算'!$C$10*(G333+'2_密度換算'!$C$11)))/1000)</f>
        <v/>
      </c>
      <c r="J333" s="22">
        <f>IF($A333="","",1+'2_密度換算'!$C$6*(1/I333-1/'2_密度換算'!$C$7))</f>
        <v/>
      </c>
      <c r="K333" s="23">
        <f>IF($A333="","",E333*J333/I333)</f>
        <v/>
      </c>
    </row>
    <row r="334">
      <c r="I334" s="22">
        <f>IF($A334="","",'2_密度換算'!$C$12*(1-((G334+'2_密度換算'!$C$8)^2*(G334+'2_密度換算'!$C$9))/('2_密度換算'!$C$10*(G334+'2_密度換算'!$C$11)))/1000)</f>
        <v/>
      </c>
      <c r="J334" s="22">
        <f>IF($A334="","",1+'2_密度換算'!$C$6*(1/I334-1/'2_密度換算'!$C$7))</f>
        <v/>
      </c>
      <c r="K334" s="23">
        <f>IF($A334="","",E334*J334/I334)</f>
        <v/>
      </c>
    </row>
    <row r="335">
      <c r="I335" s="22">
        <f>IF($A335="","",'2_密度換算'!$C$12*(1-((G335+'2_密度換算'!$C$8)^2*(G335+'2_密度換算'!$C$9))/('2_密度換算'!$C$10*(G335+'2_密度換算'!$C$11)))/1000)</f>
        <v/>
      </c>
      <c r="J335" s="22">
        <f>IF($A335="","",1+'2_密度換算'!$C$6*(1/I335-1/'2_密度換算'!$C$7))</f>
        <v/>
      </c>
      <c r="K335" s="23">
        <f>IF($A335="","",E335*J335/I335)</f>
        <v/>
      </c>
    </row>
    <row r="336">
      <c r="I336" s="22">
        <f>IF($A336="","",'2_密度換算'!$C$12*(1-((G336+'2_密度換算'!$C$8)^2*(G336+'2_密度換算'!$C$9))/('2_密度換算'!$C$10*(G336+'2_密度換算'!$C$11)))/1000)</f>
        <v/>
      </c>
      <c r="J336" s="22">
        <f>IF($A336="","",1+'2_密度換算'!$C$6*(1/I336-1/'2_密度換算'!$C$7))</f>
        <v/>
      </c>
      <c r="K336" s="23">
        <f>IF($A336="","",E336*J336/I336)</f>
        <v/>
      </c>
    </row>
    <row r="337">
      <c r="I337" s="22">
        <f>IF($A337="","",'2_密度換算'!$C$12*(1-((G337+'2_密度換算'!$C$8)^2*(G337+'2_密度換算'!$C$9))/('2_密度換算'!$C$10*(G337+'2_密度換算'!$C$11)))/1000)</f>
        <v/>
      </c>
      <c r="J337" s="22">
        <f>IF($A337="","",1+'2_密度換算'!$C$6*(1/I337-1/'2_密度換算'!$C$7))</f>
        <v/>
      </c>
      <c r="K337" s="23">
        <f>IF($A337="","",E337*J337/I337)</f>
        <v/>
      </c>
    </row>
    <row r="338">
      <c r="I338" s="22">
        <f>IF($A338="","",'2_密度換算'!$C$12*(1-((G338+'2_密度換算'!$C$8)^2*(G338+'2_密度換算'!$C$9))/('2_密度換算'!$C$10*(G338+'2_密度換算'!$C$11)))/1000)</f>
        <v/>
      </c>
      <c r="J338" s="22">
        <f>IF($A338="","",1+'2_密度換算'!$C$6*(1/I338-1/'2_密度換算'!$C$7))</f>
        <v/>
      </c>
      <c r="K338" s="23">
        <f>IF($A338="","",E338*J338/I338)</f>
        <v/>
      </c>
    </row>
    <row r="339">
      <c r="I339" s="22">
        <f>IF($A339="","",'2_密度換算'!$C$12*(1-((G339+'2_密度換算'!$C$8)^2*(G339+'2_密度換算'!$C$9))/('2_密度換算'!$C$10*(G339+'2_密度換算'!$C$11)))/1000)</f>
        <v/>
      </c>
      <c r="J339" s="22">
        <f>IF($A339="","",1+'2_密度換算'!$C$6*(1/I339-1/'2_密度換算'!$C$7))</f>
        <v/>
      </c>
      <c r="K339" s="23">
        <f>IF($A339="","",E339*J339/I339)</f>
        <v/>
      </c>
    </row>
    <row r="340">
      <c r="I340" s="22">
        <f>IF($A340="","",'2_密度換算'!$C$12*(1-((G340+'2_密度換算'!$C$8)^2*(G340+'2_密度換算'!$C$9))/('2_密度換算'!$C$10*(G340+'2_密度換算'!$C$11)))/1000)</f>
        <v/>
      </c>
      <c r="J340" s="22">
        <f>IF($A340="","",1+'2_密度換算'!$C$6*(1/I340-1/'2_密度換算'!$C$7))</f>
        <v/>
      </c>
      <c r="K340" s="23">
        <f>IF($A340="","",E340*J340/I340)</f>
        <v/>
      </c>
    </row>
    <row r="341">
      <c r="I341" s="22">
        <f>IF($A341="","",'2_密度換算'!$C$12*(1-((G341+'2_密度換算'!$C$8)^2*(G341+'2_密度換算'!$C$9))/('2_密度換算'!$C$10*(G341+'2_密度換算'!$C$11)))/1000)</f>
        <v/>
      </c>
      <c r="J341" s="22">
        <f>IF($A341="","",1+'2_密度換算'!$C$6*(1/I341-1/'2_密度換算'!$C$7))</f>
        <v/>
      </c>
      <c r="K341" s="23">
        <f>IF($A341="","",E341*J341/I341)</f>
        <v/>
      </c>
    </row>
    <row r="342">
      <c r="I342" s="22">
        <f>IF($A342="","",'2_密度換算'!$C$12*(1-((G342+'2_密度換算'!$C$8)^2*(G342+'2_密度換算'!$C$9))/('2_密度換算'!$C$10*(G342+'2_密度換算'!$C$11)))/1000)</f>
        <v/>
      </c>
      <c r="J342" s="22">
        <f>IF($A342="","",1+'2_密度換算'!$C$6*(1/I342-1/'2_密度換算'!$C$7))</f>
        <v/>
      </c>
      <c r="K342" s="23">
        <f>IF($A342="","",E342*J342/I342)</f>
        <v/>
      </c>
    </row>
    <row r="343">
      <c r="I343" s="22">
        <f>IF($A343="","",'2_密度換算'!$C$12*(1-((G343+'2_密度換算'!$C$8)^2*(G343+'2_密度換算'!$C$9))/('2_密度換算'!$C$10*(G343+'2_密度換算'!$C$11)))/1000)</f>
        <v/>
      </c>
      <c r="J343" s="22">
        <f>IF($A343="","",1+'2_密度換算'!$C$6*(1/I343-1/'2_密度換算'!$C$7))</f>
        <v/>
      </c>
      <c r="K343" s="23">
        <f>IF($A343="","",E343*J343/I343)</f>
        <v/>
      </c>
    </row>
    <row r="344">
      <c r="I344" s="22">
        <f>IF($A344="","",'2_密度換算'!$C$12*(1-((G344+'2_密度換算'!$C$8)^2*(G344+'2_密度換算'!$C$9))/('2_密度換算'!$C$10*(G344+'2_密度換算'!$C$11)))/1000)</f>
        <v/>
      </c>
      <c r="J344" s="22">
        <f>IF($A344="","",1+'2_密度換算'!$C$6*(1/I344-1/'2_密度換算'!$C$7))</f>
        <v/>
      </c>
      <c r="K344" s="23">
        <f>IF($A344="","",E344*J344/I344)</f>
        <v/>
      </c>
    </row>
    <row r="345">
      <c r="I345" s="22">
        <f>IF($A345="","",'2_密度換算'!$C$12*(1-((G345+'2_密度換算'!$C$8)^2*(G345+'2_密度換算'!$C$9))/('2_密度換算'!$C$10*(G345+'2_密度換算'!$C$11)))/1000)</f>
        <v/>
      </c>
      <c r="J345" s="22">
        <f>IF($A345="","",1+'2_密度換算'!$C$6*(1/I345-1/'2_密度換算'!$C$7))</f>
        <v/>
      </c>
      <c r="K345" s="23">
        <f>IF($A345="","",E345*J345/I345)</f>
        <v/>
      </c>
    </row>
    <row r="346">
      <c r="I346" s="22">
        <f>IF($A346="","",'2_密度換算'!$C$12*(1-((G346+'2_密度換算'!$C$8)^2*(G346+'2_密度換算'!$C$9))/('2_密度換算'!$C$10*(G346+'2_密度換算'!$C$11)))/1000)</f>
        <v/>
      </c>
      <c r="J346" s="22">
        <f>IF($A346="","",1+'2_密度換算'!$C$6*(1/I346-1/'2_密度換算'!$C$7))</f>
        <v/>
      </c>
      <c r="K346" s="23">
        <f>IF($A346="","",E346*J346/I346)</f>
        <v/>
      </c>
    </row>
    <row r="347">
      <c r="I347" s="22">
        <f>IF($A347="","",'2_密度換算'!$C$12*(1-((G347+'2_密度換算'!$C$8)^2*(G347+'2_密度換算'!$C$9))/('2_密度換算'!$C$10*(G347+'2_密度換算'!$C$11)))/1000)</f>
        <v/>
      </c>
      <c r="J347" s="22">
        <f>IF($A347="","",1+'2_密度換算'!$C$6*(1/I347-1/'2_密度換算'!$C$7))</f>
        <v/>
      </c>
      <c r="K347" s="23">
        <f>IF($A347="","",E347*J347/I347)</f>
        <v/>
      </c>
    </row>
    <row r="348">
      <c r="I348" s="22">
        <f>IF($A348="","",'2_密度換算'!$C$12*(1-((G348+'2_密度換算'!$C$8)^2*(G348+'2_密度換算'!$C$9))/('2_密度換算'!$C$10*(G348+'2_密度換算'!$C$11)))/1000)</f>
        <v/>
      </c>
      <c r="J348" s="22">
        <f>IF($A348="","",1+'2_密度換算'!$C$6*(1/I348-1/'2_密度換算'!$C$7))</f>
        <v/>
      </c>
      <c r="K348" s="23">
        <f>IF($A348="","",E348*J348/I348)</f>
        <v/>
      </c>
    </row>
    <row r="349">
      <c r="I349" s="22">
        <f>IF($A349="","",'2_密度換算'!$C$12*(1-((G349+'2_密度換算'!$C$8)^2*(G349+'2_密度換算'!$C$9))/('2_密度換算'!$C$10*(G349+'2_密度換算'!$C$11)))/1000)</f>
        <v/>
      </c>
      <c r="J349" s="22">
        <f>IF($A349="","",1+'2_密度換算'!$C$6*(1/I349-1/'2_密度換算'!$C$7))</f>
        <v/>
      </c>
      <c r="K349" s="23">
        <f>IF($A349="","",E349*J349/I349)</f>
        <v/>
      </c>
    </row>
    <row r="350">
      <c r="I350" s="22">
        <f>IF($A350="","",'2_密度換算'!$C$12*(1-((G350+'2_密度換算'!$C$8)^2*(G350+'2_密度換算'!$C$9))/('2_密度換算'!$C$10*(G350+'2_密度換算'!$C$11)))/1000)</f>
        <v/>
      </c>
      <c r="J350" s="22">
        <f>IF($A350="","",1+'2_密度換算'!$C$6*(1/I350-1/'2_密度換算'!$C$7))</f>
        <v/>
      </c>
      <c r="K350" s="23">
        <f>IF($A350="","",E350*J350/I350)</f>
        <v/>
      </c>
    </row>
    <row r="351">
      <c r="I351" s="22">
        <f>IF($A351="","",'2_密度換算'!$C$12*(1-((G351+'2_密度換算'!$C$8)^2*(G351+'2_密度換算'!$C$9))/('2_密度換算'!$C$10*(G351+'2_密度換算'!$C$11)))/1000)</f>
        <v/>
      </c>
      <c r="J351" s="22">
        <f>IF($A351="","",1+'2_密度換算'!$C$6*(1/I351-1/'2_密度換算'!$C$7))</f>
        <v/>
      </c>
      <c r="K351" s="23">
        <f>IF($A351="","",E351*J351/I351)</f>
        <v/>
      </c>
    </row>
    <row r="352">
      <c r="I352" s="22">
        <f>IF($A352="","",'2_密度換算'!$C$12*(1-((G352+'2_密度換算'!$C$8)^2*(G352+'2_密度換算'!$C$9))/('2_密度換算'!$C$10*(G352+'2_密度換算'!$C$11)))/1000)</f>
        <v/>
      </c>
      <c r="J352" s="22">
        <f>IF($A352="","",1+'2_密度換算'!$C$6*(1/I352-1/'2_密度換算'!$C$7))</f>
        <v/>
      </c>
      <c r="K352" s="23">
        <f>IF($A352="","",E352*J352/I352)</f>
        <v/>
      </c>
    </row>
    <row r="353">
      <c r="I353" s="22">
        <f>IF($A353="","",'2_密度換算'!$C$12*(1-((G353+'2_密度換算'!$C$8)^2*(G353+'2_密度換算'!$C$9))/('2_密度換算'!$C$10*(G353+'2_密度換算'!$C$11)))/1000)</f>
        <v/>
      </c>
      <c r="J353" s="22">
        <f>IF($A353="","",1+'2_密度換算'!$C$6*(1/I353-1/'2_密度換算'!$C$7))</f>
        <v/>
      </c>
      <c r="K353" s="23">
        <f>IF($A353="","",E353*J353/I353)</f>
        <v/>
      </c>
    </row>
    <row r="354">
      <c r="I354" s="22">
        <f>IF($A354="","",'2_密度換算'!$C$12*(1-((G354+'2_密度換算'!$C$8)^2*(G354+'2_密度換算'!$C$9))/('2_密度換算'!$C$10*(G354+'2_密度換算'!$C$11)))/1000)</f>
        <v/>
      </c>
      <c r="J354" s="22">
        <f>IF($A354="","",1+'2_密度換算'!$C$6*(1/I354-1/'2_密度換算'!$C$7))</f>
        <v/>
      </c>
      <c r="K354" s="23">
        <f>IF($A354="","",E354*J354/I354)</f>
        <v/>
      </c>
    </row>
    <row r="355">
      <c r="I355" s="22">
        <f>IF($A355="","",'2_密度換算'!$C$12*(1-((G355+'2_密度換算'!$C$8)^2*(G355+'2_密度換算'!$C$9))/('2_密度換算'!$C$10*(G355+'2_密度換算'!$C$11)))/1000)</f>
        <v/>
      </c>
      <c r="J355" s="22">
        <f>IF($A355="","",1+'2_密度換算'!$C$6*(1/I355-1/'2_密度換算'!$C$7))</f>
        <v/>
      </c>
      <c r="K355" s="23">
        <f>IF($A355="","",E355*J355/I355)</f>
        <v/>
      </c>
    </row>
    <row r="356">
      <c r="I356" s="22">
        <f>IF($A356="","",'2_密度換算'!$C$12*(1-((G356+'2_密度換算'!$C$8)^2*(G356+'2_密度換算'!$C$9))/('2_密度換算'!$C$10*(G356+'2_密度換算'!$C$11)))/1000)</f>
        <v/>
      </c>
      <c r="J356" s="22">
        <f>IF($A356="","",1+'2_密度換算'!$C$6*(1/I356-1/'2_密度換算'!$C$7))</f>
        <v/>
      </c>
      <c r="K356" s="23">
        <f>IF($A356="","",E356*J356/I356)</f>
        <v/>
      </c>
    </row>
    <row r="357">
      <c r="I357" s="22">
        <f>IF($A357="","",'2_密度換算'!$C$12*(1-((G357+'2_密度換算'!$C$8)^2*(G357+'2_密度換算'!$C$9))/('2_密度換算'!$C$10*(G357+'2_密度換算'!$C$11)))/1000)</f>
        <v/>
      </c>
      <c r="J357" s="22">
        <f>IF($A357="","",1+'2_密度換算'!$C$6*(1/I357-1/'2_密度換算'!$C$7))</f>
        <v/>
      </c>
      <c r="K357" s="23">
        <f>IF($A357="","",E357*J357/I357)</f>
        <v/>
      </c>
    </row>
    <row r="358">
      <c r="I358" s="22">
        <f>IF($A358="","",'2_密度換算'!$C$12*(1-((G358+'2_密度換算'!$C$8)^2*(G358+'2_密度換算'!$C$9))/('2_密度換算'!$C$10*(G358+'2_密度換算'!$C$11)))/1000)</f>
        <v/>
      </c>
      <c r="J358" s="22">
        <f>IF($A358="","",1+'2_密度換算'!$C$6*(1/I358-1/'2_密度換算'!$C$7))</f>
        <v/>
      </c>
      <c r="K358" s="23">
        <f>IF($A358="","",E358*J358/I358)</f>
        <v/>
      </c>
    </row>
    <row r="359">
      <c r="I359" s="22">
        <f>IF($A359="","",'2_密度換算'!$C$12*(1-((G359+'2_密度換算'!$C$8)^2*(G359+'2_密度換算'!$C$9))/('2_密度換算'!$C$10*(G359+'2_密度換算'!$C$11)))/1000)</f>
        <v/>
      </c>
      <c r="J359" s="22">
        <f>IF($A359="","",1+'2_密度換算'!$C$6*(1/I359-1/'2_密度換算'!$C$7))</f>
        <v/>
      </c>
      <c r="K359" s="23">
        <f>IF($A359="","",E359*J359/I359)</f>
        <v/>
      </c>
    </row>
    <row r="360">
      <c r="I360" s="22">
        <f>IF($A360="","",'2_密度換算'!$C$12*(1-((G360+'2_密度換算'!$C$8)^2*(G360+'2_密度換算'!$C$9))/('2_密度換算'!$C$10*(G360+'2_密度換算'!$C$11)))/1000)</f>
        <v/>
      </c>
      <c r="J360" s="22">
        <f>IF($A360="","",1+'2_密度換算'!$C$6*(1/I360-1/'2_密度換算'!$C$7))</f>
        <v/>
      </c>
      <c r="K360" s="23">
        <f>IF($A360="","",E360*J360/I360)</f>
        <v/>
      </c>
    </row>
    <row r="361">
      <c r="I361" s="22">
        <f>IF($A361="","",'2_密度換算'!$C$12*(1-((G361+'2_密度換算'!$C$8)^2*(G361+'2_密度換算'!$C$9))/('2_密度換算'!$C$10*(G361+'2_密度換算'!$C$11)))/1000)</f>
        <v/>
      </c>
      <c r="J361" s="22">
        <f>IF($A361="","",1+'2_密度換算'!$C$6*(1/I361-1/'2_密度換算'!$C$7))</f>
        <v/>
      </c>
      <c r="K361" s="23">
        <f>IF($A361="","",E361*J361/I361)</f>
        <v/>
      </c>
    </row>
    <row r="362">
      <c r="I362" s="22">
        <f>IF($A362="","",'2_密度換算'!$C$12*(1-((G362+'2_密度換算'!$C$8)^2*(G362+'2_密度換算'!$C$9))/('2_密度換算'!$C$10*(G362+'2_密度換算'!$C$11)))/1000)</f>
        <v/>
      </c>
      <c r="J362" s="22">
        <f>IF($A362="","",1+'2_密度換算'!$C$6*(1/I362-1/'2_密度換算'!$C$7))</f>
        <v/>
      </c>
      <c r="K362" s="23">
        <f>IF($A362="","",E362*J362/I362)</f>
        <v/>
      </c>
    </row>
    <row r="363">
      <c r="I363" s="22">
        <f>IF($A363="","",'2_密度換算'!$C$12*(1-((G363+'2_密度換算'!$C$8)^2*(G363+'2_密度換算'!$C$9))/('2_密度換算'!$C$10*(G363+'2_密度換算'!$C$11)))/1000)</f>
        <v/>
      </c>
      <c r="J363" s="22">
        <f>IF($A363="","",1+'2_密度換算'!$C$6*(1/I363-1/'2_密度換算'!$C$7))</f>
        <v/>
      </c>
      <c r="K363" s="23">
        <f>IF($A363="","",E363*J363/I363)</f>
        <v/>
      </c>
    </row>
    <row r="364">
      <c r="I364" s="22">
        <f>IF($A364="","",'2_密度換算'!$C$12*(1-((G364+'2_密度換算'!$C$8)^2*(G364+'2_密度換算'!$C$9))/('2_密度換算'!$C$10*(G364+'2_密度換算'!$C$11)))/1000)</f>
        <v/>
      </c>
      <c r="J364" s="22">
        <f>IF($A364="","",1+'2_密度換算'!$C$6*(1/I364-1/'2_密度換算'!$C$7))</f>
        <v/>
      </c>
      <c r="K364" s="23">
        <f>IF($A364="","",E364*J364/I364)</f>
        <v/>
      </c>
    </row>
    <row r="365">
      <c r="I365" s="22">
        <f>IF($A365="","",'2_密度換算'!$C$12*(1-((G365+'2_密度換算'!$C$8)^2*(G365+'2_密度換算'!$C$9))/('2_密度換算'!$C$10*(G365+'2_密度換算'!$C$11)))/1000)</f>
        <v/>
      </c>
      <c r="J365" s="22">
        <f>IF($A365="","",1+'2_密度換算'!$C$6*(1/I365-1/'2_密度換算'!$C$7))</f>
        <v/>
      </c>
      <c r="K365" s="23">
        <f>IF($A365="","",E365*J365/I365)</f>
        <v/>
      </c>
    </row>
    <row r="366">
      <c r="I366" s="22">
        <f>IF($A366="","",'2_密度換算'!$C$12*(1-((G366+'2_密度換算'!$C$8)^2*(G366+'2_密度換算'!$C$9))/('2_密度換算'!$C$10*(G366+'2_密度換算'!$C$11)))/1000)</f>
        <v/>
      </c>
      <c r="J366" s="22">
        <f>IF($A366="","",1+'2_密度換算'!$C$6*(1/I366-1/'2_密度換算'!$C$7))</f>
        <v/>
      </c>
      <c r="K366" s="23">
        <f>IF($A366="","",E366*J366/I366)</f>
        <v/>
      </c>
    </row>
    <row r="367">
      <c r="I367" s="22">
        <f>IF($A367="","",'2_密度換算'!$C$12*(1-((G367+'2_密度換算'!$C$8)^2*(G367+'2_密度換算'!$C$9))/('2_密度換算'!$C$10*(G367+'2_密度換算'!$C$11)))/1000)</f>
        <v/>
      </c>
      <c r="J367" s="22">
        <f>IF($A367="","",1+'2_密度換算'!$C$6*(1/I367-1/'2_密度換算'!$C$7))</f>
        <v/>
      </c>
      <c r="K367" s="23">
        <f>IF($A367="","",E367*J367/I367)</f>
        <v/>
      </c>
    </row>
    <row r="368">
      <c r="I368" s="22">
        <f>IF($A368="","",'2_密度換算'!$C$12*(1-((G368+'2_密度換算'!$C$8)^2*(G368+'2_密度換算'!$C$9))/('2_密度換算'!$C$10*(G368+'2_密度換算'!$C$11)))/1000)</f>
        <v/>
      </c>
      <c r="J368" s="22">
        <f>IF($A368="","",1+'2_密度換算'!$C$6*(1/I368-1/'2_密度換算'!$C$7))</f>
        <v/>
      </c>
      <c r="K368" s="23">
        <f>IF($A368="","",E368*J368/I368)</f>
        <v/>
      </c>
    </row>
    <row r="369">
      <c r="I369" s="22">
        <f>IF($A369="","",'2_密度換算'!$C$12*(1-((G369+'2_密度換算'!$C$8)^2*(G369+'2_密度換算'!$C$9))/('2_密度換算'!$C$10*(G369+'2_密度換算'!$C$11)))/1000)</f>
        <v/>
      </c>
      <c r="J369" s="22">
        <f>IF($A369="","",1+'2_密度換算'!$C$6*(1/I369-1/'2_密度換算'!$C$7))</f>
        <v/>
      </c>
      <c r="K369" s="23">
        <f>IF($A369="","",E369*J369/I369)</f>
        <v/>
      </c>
    </row>
    <row r="370">
      <c r="I370" s="22">
        <f>IF($A370="","",'2_密度換算'!$C$12*(1-((G370+'2_密度換算'!$C$8)^2*(G370+'2_密度換算'!$C$9))/('2_密度換算'!$C$10*(G370+'2_密度換算'!$C$11)))/1000)</f>
        <v/>
      </c>
      <c r="J370" s="22">
        <f>IF($A370="","",1+'2_密度換算'!$C$6*(1/I370-1/'2_密度換算'!$C$7))</f>
        <v/>
      </c>
      <c r="K370" s="23">
        <f>IF($A370="","",E370*J370/I370)</f>
        <v/>
      </c>
    </row>
    <row r="371">
      <c r="I371" s="22">
        <f>IF($A371="","",'2_密度換算'!$C$12*(1-((G371+'2_密度換算'!$C$8)^2*(G371+'2_密度換算'!$C$9))/('2_密度換算'!$C$10*(G371+'2_密度換算'!$C$11)))/1000)</f>
        <v/>
      </c>
      <c r="J371" s="22">
        <f>IF($A371="","",1+'2_密度換算'!$C$6*(1/I371-1/'2_密度換算'!$C$7))</f>
        <v/>
      </c>
      <c r="K371" s="23">
        <f>IF($A371="","",E371*J371/I371)</f>
        <v/>
      </c>
    </row>
    <row r="372">
      <c r="I372" s="22">
        <f>IF($A372="","",'2_密度換算'!$C$12*(1-((G372+'2_密度換算'!$C$8)^2*(G372+'2_密度換算'!$C$9))/('2_密度換算'!$C$10*(G372+'2_密度換算'!$C$11)))/1000)</f>
        <v/>
      </c>
      <c r="J372" s="22">
        <f>IF($A372="","",1+'2_密度換算'!$C$6*(1/I372-1/'2_密度換算'!$C$7))</f>
        <v/>
      </c>
      <c r="K372" s="23">
        <f>IF($A372="","",E372*J372/I372)</f>
        <v/>
      </c>
    </row>
    <row r="373">
      <c r="I373" s="22">
        <f>IF($A373="","",'2_密度換算'!$C$12*(1-((G373+'2_密度換算'!$C$8)^2*(G373+'2_密度換算'!$C$9))/('2_密度換算'!$C$10*(G373+'2_密度換算'!$C$11)))/1000)</f>
        <v/>
      </c>
      <c r="J373" s="22">
        <f>IF($A373="","",1+'2_密度換算'!$C$6*(1/I373-1/'2_密度換算'!$C$7))</f>
        <v/>
      </c>
      <c r="K373" s="23">
        <f>IF($A373="","",E373*J373/I373)</f>
        <v/>
      </c>
    </row>
    <row r="374">
      <c r="I374" s="22">
        <f>IF($A374="","",'2_密度換算'!$C$12*(1-((G374+'2_密度換算'!$C$8)^2*(G374+'2_密度換算'!$C$9))/('2_密度換算'!$C$10*(G374+'2_密度換算'!$C$11)))/1000)</f>
        <v/>
      </c>
      <c r="J374" s="22">
        <f>IF($A374="","",1+'2_密度換算'!$C$6*(1/I374-1/'2_密度換算'!$C$7))</f>
        <v/>
      </c>
      <c r="K374" s="23">
        <f>IF($A374="","",E374*J374/I374)</f>
        <v/>
      </c>
    </row>
    <row r="375">
      <c r="I375" s="22">
        <f>IF($A375="","",'2_密度換算'!$C$12*(1-((G375+'2_密度換算'!$C$8)^2*(G375+'2_密度換算'!$C$9))/('2_密度換算'!$C$10*(G375+'2_密度換算'!$C$11)))/1000)</f>
        <v/>
      </c>
      <c r="J375" s="22">
        <f>IF($A375="","",1+'2_密度換算'!$C$6*(1/I375-1/'2_密度換算'!$C$7))</f>
        <v/>
      </c>
      <c r="K375" s="23">
        <f>IF($A375="","",E375*J375/I375)</f>
        <v/>
      </c>
    </row>
    <row r="376">
      <c r="I376" s="22">
        <f>IF($A376="","",'2_密度換算'!$C$12*(1-((G376+'2_密度換算'!$C$8)^2*(G376+'2_密度換算'!$C$9))/('2_密度換算'!$C$10*(G376+'2_密度換算'!$C$11)))/1000)</f>
        <v/>
      </c>
      <c r="J376" s="22">
        <f>IF($A376="","",1+'2_密度換算'!$C$6*(1/I376-1/'2_密度換算'!$C$7))</f>
        <v/>
      </c>
      <c r="K376" s="23">
        <f>IF($A376="","",E376*J376/I376)</f>
        <v/>
      </c>
    </row>
    <row r="377">
      <c r="I377" s="22">
        <f>IF($A377="","",'2_密度換算'!$C$12*(1-((G377+'2_密度換算'!$C$8)^2*(G377+'2_密度換算'!$C$9))/('2_密度換算'!$C$10*(G377+'2_密度換算'!$C$11)))/1000)</f>
        <v/>
      </c>
      <c r="J377" s="22">
        <f>IF($A377="","",1+'2_密度換算'!$C$6*(1/I377-1/'2_密度換算'!$C$7))</f>
        <v/>
      </c>
      <c r="K377" s="23">
        <f>IF($A377="","",E377*J377/I377)</f>
        <v/>
      </c>
    </row>
    <row r="378">
      <c r="I378" s="22">
        <f>IF($A378="","",'2_密度換算'!$C$12*(1-((G378+'2_密度換算'!$C$8)^2*(G378+'2_密度換算'!$C$9))/('2_密度換算'!$C$10*(G378+'2_密度換算'!$C$11)))/1000)</f>
        <v/>
      </c>
      <c r="J378" s="22">
        <f>IF($A378="","",1+'2_密度換算'!$C$6*(1/I378-1/'2_密度換算'!$C$7))</f>
        <v/>
      </c>
      <c r="K378" s="23">
        <f>IF($A378="","",E378*J378/I378)</f>
        <v/>
      </c>
    </row>
    <row r="379">
      <c r="I379" s="22">
        <f>IF($A379="","",'2_密度換算'!$C$12*(1-((G379+'2_密度換算'!$C$8)^2*(G379+'2_密度換算'!$C$9))/('2_密度換算'!$C$10*(G379+'2_密度換算'!$C$11)))/1000)</f>
        <v/>
      </c>
      <c r="J379" s="22">
        <f>IF($A379="","",1+'2_密度換算'!$C$6*(1/I379-1/'2_密度換算'!$C$7))</f>
        <v/>
      </c>
      <c r="K379" s="23">
        <f>IF($A379="","",E379*J379/I379)</f>
        <v/>
      </c>
    </row>
    <row r="380">
      <c r="I380" s="22">
        <f>IF($A380="","",'2_密度換算'!$C$12*(1-((G380+'2_密度換算'!$C$8)^2*(G380+'2_密度換算'!$C$9))/('2_密度換算'!$C$10*(G380+'2_密度換算'!$C$11)))/1000)</f>
        <v/>
      </c>
      <c r="J380" s="22">
        <f>IF($A380="","",1+'2_密度換算'!$C$6*(1/I380-1/'2_密度換算'!$C$7))</f>
        <v/>
      </c>
      <c r="K380" s="23">
        <f>IF($A380="","",E380*J380/I380)</f>
        <v/>
      </c>
    </row>
    <row r="381">
      <c r="I381" s="22">
        <f>IF($A381="","",'2_密度換算'!$C$12*(1-((G381+'2_密度換算'!$C$8)^2*(G381+'2_密度換算'!$C$9))/('2_密度換算'!$C$10*(G381+'2_密度換算'!$C$11)))/1000)</f>
        <v/>
      </c>
      <c r="J381" s="22">
        <f>IF($A381="","",1+'2_密度換算'!$C$6*(1/I381-1/'2_密度換算'!$C$7))</f>
        <v/>
      </c>
      <c r="K381" s="23">
        <f>IF($A381="","",E381*J381/I381)</f>
        <v/>
      </c>
    </row>
    <row r="382">
      <c r="I382" s="22">
        <f>IF($A382="","",'2_密度換算'!$C$12*(1-((G382+'2_密度換算'!$C$8)^2*(G382+'2_密度換算'!$C$9))/('2_密度換算'!$C$10*(G382+'2_密度換算'!$C$11)))/1000)</f>
        <v/>
      </c>
      <c r="J382" s="22">
        <f>IF($A382="","",1+'2_密度換算'!$C$6*(1/I382-1/'2_密度換算'!$C$7))</f>
        <v/>
      </c>
      <c r="K382" s="23">
        <f>IF($A382="","",E382*J382/I382)</f>
        <v/>
      </c>
    </row>
    <row r="383">
      <c r="I383" s="22">
        <f>IF($A383="","",'2_密度換算'!$C$12*(1-((G383+'2_密度換算'!$C$8)^2*(G383+'2_密度換算'!$C$9))/('2_密度換算'!$C$10*(G383+'2_密度換算'!$C$11)))/1000)</f>
        <v/>
      </c>
      <c r="J383" s="22">
        <f>IF($A383="","",1+'2_密度換算'!$C$6*(1/I383-1/'2_密度換算'!$C$7))</f>
        <v/>
      </c>
      <c r="K383" s="23">
        <f>IF($A383="","",E383*J383/I383)</f>
        <v/>
      </c>
    </row>
    <row r="384">
      <c r="I384" s="22">
        <f>IF($A384="","",'2_密度換算'!$C$12*(1-((G384+'2_密度換算'!$C$8)^2*(G384+'2_密度換算'!$C$9))/('2_密度換算'!$C$10*(G384+'2_密度換算'!$C$11)))/1000)</f>
        <v/>
      </c>
      <c r="J384" s="22">
        <f>IF($A384="","",1+'2_密度換算'!$C$6*(1/I384-1/'2_密度換算'!$C$7))</f>
        <v/>
      </c>
      <c r="K384" s="23">
        <f>IF($A384="","",E384*J384/I384)</f>
        <v/>
      </c>
    </row>
    <row r="385">
      <c r="I385" s="22">
        <f>IF($A385="","",'2_密度換算'!$C$12*(1-((G385+'2_密度換算'!$C$8)^2*(G385+'2_密度換算'!$C$9))/('2_密度換算'!$C$10*(G385+'2_密度換算'!$C$11)))/1000)</f>
        <v/>
      </c>
      <c r="J385" s="22">
        <f>IF($A385="","",1+'2_密度換算'!$C$6*(1/I385-1/'2_密度換算'!$C$7))</f>
        <v/>
      </c>
      <c r="K385" s="23">
        <f>IF($A385="","",E385*J385/I385)</f>
        <v/>
      </c>
    </row>
    <row r="386">
      <c r="I386" s="22">
        <f>IF($A386="","",'2_密度換算'!$C$12*(1-((G386+'2_密度換算'!$C$8)^2*(G386+'2_密度換算'!$C$9))/('2_密度換算'!$C$10*(G386+'2_密度換算'!$C$11)))/1000)</f>
        <v/>
      </c>
      <c r="J386" s="22">
        <f>IF($A386="","",1+'2_密度換算'!$C$6*(1/I386-1/'2_密度換算'!$C$7))</f>
        <v/>
      </c>
      <c r="K386" s="23">
        <f>IF($A386="","",E386*J386/I386)</f>
        <v/>
      </c>
    </row>
    <row r="387">
      <c r="I387" s="22">
        <f>IF($A387="","",'2_密度換算'!$C$12*(1-((G387+'2_密度換算'!$C$8)^2*(G387+'2_密度換算'!$C$9))/('2_密度換算'!$C$10*(G387+'2_密度換算'!$C$11)))/1000)</f>
        <v/>
      </c>
      <c r="J387" s="22">
        <f>IF($A387="","",1+'2_密度換算'!$C$6*(1/I387-1/'2_密度換算'!$C$7))</f>
        <v/>
      </c>
      <c r="K387" s="23">
        <f>IF($A387="","",E387*J387/I387)</f>
        <v/>
      </c>
    </row>
    <row r="388">
      <c r="I388" s="22">
        <f>IF($A388="","",'2_密度換算'!$C$12*(1-((G388+'2_密度換算'!$C$8)^2*(G388+'2_密度換算'!$C$9))/('2_密度換算'!$C$10*(G388+'2_密度換算'!$C$11)))/1000)</f>
        <v/>
      </c>
      <c r="J388" s="22">
        <f>IF($A388="","",1+'2_密度換算'!$C$6*(1/I388-1/'2_密度換算'!$C$7))</f>
        <v/>
      </c>
      <c r="K388" s="23">
        <f>IF($A388="","",E388*J388/I388)</f>
        <v/>
      </c>
    </row>
    <row r="389">
      <c r="I389" s="22">
        <f>IF($A389="","",'2_密度換算'!$C$12*(1-((G389+'2_密度換算'!$C$8)^2*(G389+'2_密度換算'!$C$9))/('2_密度換算'!$C$10*(G389+'2_密度換算'!$C$11)))/1000)</f>
        <v/>
      </c>
      <c r="J389" s="22">
        <f>IF($A389="","",1+'2_密度換算'!$C$6*(1/I389-1/'2_密度換算'!$C$7))</f>
        <v/>
      </c>
      <c r="K389" s="23">
        <f>IF($A389="","",E389*J389/I389)</f>
        <v/>
      </c>
    </row>
    <row r="390">
      <c r="I390" s="22">
        <f>IF($A390="","",'2_密度換算'!$C$12*(1-((G390+'2_密度換算'!$C$8)^2*(G390+'2_密度換算'!$C$9))/('2_密度換算'!$C$10*(G390+'2_密度換算'!$C$11)))/1000)</f>
        <v/>
      </c>
      <c r="J390" s="22">
        <f>IF($A390="","",1+'2_密度換算'!$C$6*(1/I390-1/'2_密度換算'!$C$7))</f>
        <v/>
      </c>
      <c r="K390" s="23">
        <f>IF($A390="","",E390*J390/I390)</f>
        <v/>
      </c>
    </row>
    <row r="391">
      <c r="I391" s="22">
        <f>IF($A391="","",'2_密度換算'!$C$12*(1-((G391+'2_密度換算'!$C$8)^2*(G391+'2_密度換算'!$C$9))/('2_密度換算'!$C$10*(G391+'2_密度換算'!$C$11)))/1000)</f>
        <v/>
      </c>
      <c r="J391" s="22">
        <f>IF($A391="","",1+'2_密度換算'!$C$6*(1/I391-1/'2_密度換算'!$C$7))</f>
        <v/>
      </c>
      <c r="K391" s="23">
        <f>IF($A391="","",E391*J391/I391)</f>
        <v/>
      </c>
    </row>
    <row r="392">
      <c r="I392" s="22">
        <f>IF($A392="","",'2_密度換算'!$C$12*(1-((G392+'2_密度換算'!$C$8)^2*(G392+'2_密度換算'!$C$9))/('2_密度換算'!$C$10*(G392+'2_密度換算'!$C$11)))/1000)</f>
        <v/>
      </c>
      <c r="J392" s="22">
        <f>IF($A392="","",1+'2_密度換算'!$C$6*(1/I392-1/'2_密度換算'!$C$7))</f>
        <v/>
      </c>
      <c r="K392" s="23">
        <f>IF($A392="","",E392*J392/I392)</f>
        <v/>
      </c>
    </row>
    <row r="393">
      <c r="I393" s="22">
        <f>IF($A393="","",'2_密度換算'!$C$12*(1-((G393+'2_密度換算'!$C$8)^2*(G393+'2_密度換算'!$C$9))/('2_密度換算'!$C$10*(G393+'2_密度換算'!$C$11)))/1000)</f>
        <v/>
      </c>
      <c r="J393" s="22">
        <f>IF($A393="","",1+'2_密度換算'!$C$6*(1/I393-1/'2_密度換算'!$C$7))</f>
        <v/>
      </c>
      <c r="K393" s="23">
        <f>IF($A393="","",E393*J393/I393)</f>
        <v/>
      </c>
    </row>
    <row r="394">
      <c r="I394" s="22">
        <f>IF($A394="","",'2_密度換算'!$C$12*(1-((G394+'2_密度換算'!$C$8)^2*(G394+'2_密度換算'!$C$9))/('2_密度換算'!$C$10*(G394+'2_密度換算'!$C$11)))/1000)</f>
        <v/>
      </c>
      <c r="J394" s="22">
        <f>IF($A394="","",1+'2_密度換算'!$C$6*(1/I394-1/'2_密度換算'!$C$7))</f>
        <v/>
      </c>
      <c r="K394" s="23">
        <f>IF($A394="","",E394*J394/I394)</f>
        <v/>
      </c>
    </row>
    <row r="395">
      <c r="I395" s="22">
        <f>IF($A395="","",'2_密度換算'!$C$12*(1-((G395+'2_密度換算'!$C$8)^2*(G395+'2_密度換算'!$C$9))/('2_密度換算'!$C$10*(G395+'2_密度換算'!$C$11)))/1000)</f>
        <v/>
      </c>
      <c r="J395" s="22">
        <f>IF($A395="","",1+'2_密度換算'!$C$6*(1/I395-1/'2_密度換算'!$C$7))</f>
        <v/>
      </c>
      <c r="K395" s="23">
        <f>IF($A395="","",E395*J395/I395)</f>
        <v/>
      </c>
    </row>
    <row r="396">
      <c r="I396" s="22">
        <f>IF($A396="","",'2_密度換算'!$C$12*(1-((G396+'2_密度換算'!$C$8)^2*(G396+'2_密度換算'!$C$9))/('2_密度換算'!$C$10*(G396+'2_密度換算'!$C$11)))/1000)</f>
        <v/>
      </c>
      <c r="J396" s="22">
        <f>IF($A396="","",1+'2_密度換算'!$C$6*(1/I396-1/'2_密度換算'!$C$7))</f>
        <v/>
      </c>
      <c r="K396" s="23">
        <f>IF($A396="","",E396*J396/I396)</f>
        <v/>
      </c>
    </row>
    <row r="397">
      <c r="I397" s="22">
        <f>IF($A397="","",'2_密度換算'!$C$12*(1-((G397+'2_密度換算'!$C$8)^2*(G397+'2_密度換算'!$C$9))/('2_密度換算'!$C$10*(G397+'2_密度換算'!$C$11)))/1000)</f>
        <v/>
      </c>
      <c r="J397" s="22">
        <f>IF($A397="","",1+'2_密度換算'!$C$6*(1/I397-1/'2_密度換算'!$C$7))</f>
        <v/>
      </c>
      <c r="K397" s="23">
        <f>IF($A397="","",E397*J397/I397)</f>
        <v/>
      </c>
    </row>
    <row r="398">
      <c r="I398" s="22">
        <f>IF($A398="","",'2_密度換算'!$C$12*(1-((G398+'2_密度換算'!$C$8)^2*(G398+'2_密度換算'!$C$9))/('2_密度換算'!$C$10*(G398+'2_密度換算'!$C$11)))/1000)</f>
        <v/>
      </c>
      <c r="J398" s="22">
        <f>IF($A398="","",1+'2_密度換算'!$C$6*(1/I398-1/'2_密度換算'!$C$7))</f>
        <v/>
      </c>
      <c r="K398" s="23">
        <f>IF($A398="","",E398*J398/I398)</f>
        <v/>
      </c>
    </row>
    <row r="399">
      <c r="I399" s="22">
        <f>IF($A399="","",'2_密度換算'!$C$12*(1-((G399+'2_密度換算'!$C$8)^2*(G399+'2_密度換算'!$C$9))/('2_密度換算'!$C$10*(G399+'2_密度換算'!$C$11)))/1000)</f>
        <v/>
      </c>
      <c r="J399" s="22">
        <f>IF($A399="","",1+'2_密度換算'!$C$6*(1/I399-1/'2_密度換算'!$C$7))</f>
        <v/>
      </c>
      <c r="K399" s="23">
        <f>IF($A399="","",E399*J399/I399)</f>
        <v/>
      </c>
    </row>
    <row r="400">
      <c r="I400" s="22">
        <f>IF($A400="","",'2_密度換算'!$C$12*(1-((G400+'2_密度換算'!$C$8)^2*(G400+'2_密度換算'!$C$9))/('2_密度換算'!$C$10*(G400+'2_密度換算'!$C$11)))/1000)</f>
        <v/>
      </c>
      <c r="J400" s="22">
        <f>IF($A400="","",1+'2_密度換算'!$C$6*(1/I400-1/'2_密度換算'!$C$7))</f>
        <v/>
      </c>
      <c r="K400" s="23">
        <f>IF($A400="","",E400*J400/I400)</f>
        <v/>
      </c>
    </row>
    <row r="401">
      <c r="I401" s="22">
        <f>IF($A401="","",'2_密度換算'!$C$12*(1-((G401+'2_密度換算'!$C$8)^2*(G401+'2_密度換算'!$C$9))/('2_密度換算'!$C$10*(G401+'2_密度換算'!$C$11)))/1000)</f>
        <v/>
      </c>
      <c r="J401" s="22">
        <f>IF($A401="","",1+'2_密度換算'!$C$6*(1/I401-1/'2_密度換算'!$C$7))</f>
        <v/>
      </c>
      <c r="K401" s="23">
        <f>IF($A401="","",E401*J401/I401)</f>
        <v/>
      </c>
    </row>
    <row r="402">
      <c r="I402" s="22">
        <f>IF($A402="","",'2_密度換算'!$C$12*(1-((G402+'2_密度換算'!$C$8)^2*(G402+'2_密度換算'!$C$9))/('2_密度換算'!$C$10*(G402+'2_密度換算'!$C$11)))/1000)</f>
        <v/>
      </c>
      <c r="J402" s="22">
        <f>IF($A402="","",1+'2_密度換算'!$C$6*(1/I402-1/'2_密度換算'!$C$7))</f>
        <v/>
      </c>
      <c r="K402" s="23">
        <f>IF($A402="","",E402*J402/I402)</f>
        <v/>
      </c>
    </row>
    <row r="403">
      <c r="I403" s="22">
        <f>IF($A403="","",'2_密度換算'!$C$12*(1-((G403+'2_密度換算'!$C$8)^2*(G403+'2_密度換算'!$C$9))/('2_密度換算'!$C$10*(G403+'2_密度換算'!$C$11)))/1000)</f>
        <v/>
      </c>
      <c r="J403" s="22">
        <f>IF($A403="","",1+'2_密度換算'!$C$6*(1/I403-1/'2_密度換算'!$C$7))</f>
        <v/>
      </c>
      <c r="K403" s="23">
        <f>IF($A403="","",E403*J403/I403)</f>
        <v/>
      </c>
    </row>
    <row r="404">
      <c r="I404" s="22">
        <f>IF($A404="","",'2_密度換算'!$C$12*(1-((G404+'2_密度換算'!$C$8)^2*(G404+'2_密度換算'!$C$9))/('2_密度換算'!$C$10*(G404+'2_密度換算'!$C$11)))/1000)</f>
        <v/>
      </c>
      <c r="J404" s="22">
        <f>IF($A404="","",1+'2_密度換算'!$C$6*(1/I404-1/'2_密度換算'!$C$7))</f>
        <v/>
      </c>
      <c r="K404" s="23">
        <f>IF($A404="","",E404*J404/I404)</f>
        <v/>
      </c>
    </row>
    <row r="405">
      <c r="I405" s="22">
        <f>IF($A405="","",'2_密度換算'!$C$12*(1-((G405+'2_密度換算'!$C$8)^2*(G405+'2_密度換算'!$C$9))/('2_密度換算'!$C$10*(G405+'2_密度換算'!$C$11)))/1000)</f>
        <v/>
      </c>
      <c r="J405" s="22">
        <f>IF($A405="","",1+'2_密度換算'!$C$6*(1/I405-1/'2_密度換算'!$C$7))</f>
        <v/>
      </c>
      <c r="K405" s="23">
        <f>IF($A405="","",E405*J405/I405)</f>
        <v/>
      </c>
    </row>
    <row r="406">
      <c r="I406" s="22">
        <f>IF($A406="","",'2_密度換算'!$C$12*(1-((G406+'2_密度換算'!$C$8)^2*(G406+'2_密度換算'!$C$9))/('2_密度換算'!$C$10*(G406+'2_密度換算'!$C$11)))/1000)</f>
        <v/>
      </c>
      <c r="J406" s="22">
        <f>IF($A406="","",1+'2_密度換算'!$C$6*(1/I406-1/'2_密度換算'!$C$7))</f>
        <v/>
      </c>
      <c r="K406" s="23">
        <f>IF($A406="","",E406*J406/I406)</f>
        <v/>
      </c>
    </row>
    <row r="407">
      <c r="I407" s="22">
        <f>IF($A407="","",'2_密度換算'!$C$12*(1-((G407+'2_密度換算'!$C$8)^2*(G407+'2_密度換算'!$C$9))/('2_密度換算'!$C$10*(G407+'2_密度換算'!$C$11)))/1000)</f>
        <v/>
      </c>
      <c r="J407" s="22">
        <f>IF($A407="","",1+'2_密度換算'!$C$6*(1/I407-1/'2_密度換算'!$C$7))</f>
        <v/>
      </c>
      <c r="K407" s="23">
        <f>IF($A407="","",E407*J407/I407)</f>
        <v/>
      </c>
    </row>
    <row r="408">
      <c r="I408" s="22">
        <f>IF($A408="","",'2_密度換算'!$C$12*(1-((G408+'2_密度換算'!$C$8)^2*(G408+'2_密度換算'!$C$9))/('2_密度換算'!$C$10*(G408+'2_密度換算'!$C$11)))/1000)</f>
        <v/>
      </c>
      <c r="J408" s="22">
        <f>IF($A408="","",1+'2_密度換算'!$C$6*(1/I408-1/'2_密度換算'!$C$7))</f>
        <v/>
      </c>
      <c r="K408" s="23">
        <f>IF($A408="","",E408*J408/I408)</f>
        <v/>
      </c>
    </row>
    <row r="409">
      <c r="I409" s="22">
        <f>IF($A409="","",'2_密度換算'!$C$12*(1-((G409+'2_密度換算'!$C$8)^2*(G409+'2_密度換算'!$C$9))/('2_密度換算'!$C$10*(G409+'2_密度換算'!$C$11)))/1000)</f>
        <v/>
      </c>
      <c r="J409" s="22">
        <f>IF($A409="","",1+'2_密度換算'!$C$6*(1/I409-1/'2_密度換算'!$C$7))</f>
        <v/>
      </c>
      <c r="K409" s="23">
        <f>IF($A409="","",E409*J409/I409)</f>
        <v/>
      </c>
    </row>
    <row r="410">
      <c r="I410" s="22">
        <f>IF($A410="","",'2_密度換算'!$C$12*(1-((G410+'2_密度換算'!$C$8)^2*(G410+'2_密度換算'!$C$9))/('2_密度換算'!$C$10*(G410+'2_密度換算'!$C$11)))/1000)</f>
        <v/>
      </c>
      <c r="J410" s="22">
        <f>IF($A410="","",1+'2_密度換算'!$C$6*(1/I410-1/'2_密度換算'!$C$7))</f>
        <v/>
      </c>
      <c r="K410" s="23">
        <f>IF($A410="","",E410*J410/I410)</f>
        <v/>
      </c>
    </row>
    <row r="411">
      <c r="I411" s="22">
        <f>IF($A411="","",'2_密度換算'!$C$12*(1-((G411+'2_密度換算'!$C$8)^2*(G411+'2_密度換算'!$C$9))/('2_密度換算'!$C$10*(G411+'2_密度換算'!$C$11)))/1000)</f>
        <v/>
      </c>
      <c r="J411" s="22">
        <f>IF($A411="","",1+'2_密度換算'!$C$6*(1/I411-1/'2_密度換算'!$C$7))</f>
        <v/>
      </c>
      <c r="K411" s="23">
        <f>IF($A411="","",E411*J411/I411)</f>
        <v/>
      </c>
    </row>
    <row r="412">
      <c r="I412" s="22">
        <f>IF($A412="","",'2_密度換算'!$C$12*(1-((G412+'2_密度換算'!$C$8)^2*(G412+'2_密度換算'!$C$9))/('2_密度換算'!$C$10*(G412+'2_密度換算'!$C$11)))/1000)</f>
        <v/>
      </c>
      <c r="J412" s="22">
        <f>IF($A412="","",1+'2_密度換算'!$C$6*(1/I412-1/'2_密度換算'!$C$7))</f>
        <v/>
      </c>
      <c r="K412" s="23">
        <f>IF($A412="","",E412*J412/I412)</f>
        <v/>
      </c>
    </row>
    <row r="413">
      <c r="I413" s="22">
        <f>IF($A413="","",'2_密度換算'!$C$12*(1-((G413+'2_密度換算'!$C$8)^2*(G413+'2_密度換算'!$C$9))/('2_密度換算'!$C$10*(G413+'2_密度換算'!$C$11)))/1000)</f>
        <v/>
      </c>
      <c r="J413" s="22">
        <f>IF($A413="","",1+'2_密度換算'!$C$6*(1/I413-1/'2_密度換算'!$C$7))</f>
        <v/>
      </c>
      <c r="K413" s="23">
        <f>IF($A413="","",E413*J413/I413)</f>
        <v/>
      </c>
    </row>
    <row r="414">
      <c r="I414" s="22">
        <f>IF($A414="","",'2_密度換算'!$C$12*(1-((G414+'2_密度換算'!$C$8)^2*(G414+'2_密度換算'!$C$9))/('2_密度換算'!$C$10*(G414+'2_密度換算'!$C$11)))/1000)</f>
        <v/>
      </c>
      <c r="J414" s="22">
        <f>IF($A414="","",1+'2_密度換算'!$C$6*(1/I414-1/'2_密度換算'!$C$7))</f>
        <v/>
      </c>
      <c r="K414" s="23">
        <f>IF($A414="","",E414*J414/I414)</f>
        <v/>
      </c>
    </row>
    <row r="415">
      <c r="I415" s="22">
        <f>IF($A415="","",'2_密度換算'!$C$12*(1-((G415+'2_密度換算'!$C$8)^2*(G415+'2_密度換算'!$C$9))/('2_密度換算'!$C$10*(G415+'2_密度換算'!$C$11)))/1000)</f>
        <v/>
      </c>
      <c r="J415" s="22">
        <f>IF($A415="","",1+'2_密度換算'!$C$6*(1/I415-1/'2_密度換算'!$C$7))</f>
        <v/>
      </c>
      <c r="K415" s="23">
        <f>IF($A415="","",E415*J415/I415)</f>
        <v/>
      </c>
    </row>
    <row r="416">
      <c r="I416" s="22">
        <f>IF($A416="","",'2_密度換算'!$C$12*(1-((G416+'2_密度換算'!$C$8)^2*(G416+'2_密度換算'!$C$9))/('2_密度換算'!$C$10*(G416+'2_密度換算'!$C$11)))/1000)</f>
        <v/>
      </c>
      <c r="J416" s="22">
        <f>IF($A416="","",1+'2_密度換算'!$C$6*(1/I416-1/'2_密度換算'!$C$7))</f>
        <v/>
      </c>
      <c r="K416" s="23">
        <f>IF($A416="","",E416*J416/I416)</f>
        <v/>
      </c>
    </row>
    <row r="417">
      <c r="I417" s="22">
        <f>IF($A417="","",'2_密度換算'!$C$12*(1-((G417+'2_密度換算'!$C$8)^2*(G417+'2_密度換算'!$C$9))/('2_密度換算'!$C$10*(G417+'2_密度換算'!$C$11)))/1000)</f>
        <v/>
      </c>
      <c r="J417" s="22">
        <f>IF($A417="","",1+'2_密度換算'!$C$6*(1/I417-1/'2_密度換算'!$C$7))</f>
        <v/>
      </c>
      <c r="K417" s="23">
        <f>IF($A417="","",E417*J417/I417)</f>
        <v/>
      </c>
    </row>
    <row r="418">
      <c r="I418" s="22">
        <f>IF($A418="","",'2_密度換算'!$C$12*(1-((G418+'2_密度換算'!$C$8)^2*(G418+'2_密度換算'!$C$9))/('2_密度換算'!$C$10*(G418+'2_密度換算'!$C$11)))/1000)</f>
        <v/>
      </c>
      <c r="J418" s="22">
        <f>IF($A418="","",1+'2_密度換算'!$C$6*(1/I418-1/'2_密度換算'!$C$7))</f>
        <v/>
      </c>
      <c r="K418" s="23">
        <f>IF($A418="","",E418*J418/I418)</f>
        <v/>
      </c>
    </row>
    <row r="419">
      <c r="I419" s="22">
        <f>IF($A419="","",'2_密度換算'!$C$12*(1-((G419+'2_密度換算'!$C$8)^2*(G419+'2_密度換算'!$C$9))/('2_密度換算'!$C$10*(G419+'2_密度換算'!$C$11)))/1000)</f>
        <v/>
      </c>
      <c r="J419" s="22">
        <f>IF($A419="","",1+'2_密度換算'!$C$6*(1/I419-1/'2_密度換算'!$C$7))</f>
        <v/>
      </c>
      <c r="K419" s="23">
        <f>IF($A419="","",E419*J419/I419)</f>
        <v/>
      </c>
    </row>
    <row r="420">
      <c r="I420" s="22">
        <f>IF($A420="","",'2_密度換算'!$C$12*(1-((G420+'2_密度換算'!$C$8)^2*(G420+'2_密度換算'!$C$9))/('2_密度換算'!$C$10*(G420+'2_密度換算'!$C$11)))/1000)</f>
        <v/>
      </c>
      <c r="J420" s="22">
        <f>IF($A420="","",1+'2_密度換算'!$C$6*(1/I420-1/'2_密度換算'!$C$7))</f>
        <v/>
      </c>
      <c r="K420" s="23">
        <f>IF($A420="","",E420*J420/I420)</f>
        <v/>
      </c>
    </row>
    <row r="421">
      <c r="I421" s="22">
        <f>IF($A421="","",'2_密度換算'!$C$12*(1-((G421+'2_密度換算'!$C$8)^2*(G421+'2_密度換算'!$C$9))/('2_密度換算'!$C$10*(G421+'2_密度換算'!$C$11)))/1000)</f>
        <v/>
      </c>
      <c r="J421" s="22">
        <f>IF($A421="","",1+'2_密度換算'!$C$6*(1/I421-1/'2_密度換算'!$C$7))</f>
        <v/>
      </c>
      <c r="K421" s="23">
        <f>IF($A421="","",E421*J421/I421)</f>
        <v/>
      </c>
    </row>
    <row r="422">
      <c r="I422" s="22">
        <f>IF($A422="","",'2_密度換算'!$C$12*(1-((G422+'2_密度換算'!$C$8)^2*(G422+'2_密度換算'!$C$9))/('2_密度換算'!$C$10*(G422+'2_密度換算'!$C$11)))/1000)</f>
        <v/>
      </c>
      <c r="J422" s="22">
        <f>IF($A422="","",1+'2_密度換算'!$C$6*(1/I422-1/'2_密度換算'!$C$7))</f>
        <v/>
      </c>
      <c r="K422" s="23">
        <f>IF($A422="","",E422*J422/I422)</f>
        <v/>
      </c>
    </row>
    <row r="423">
      <c r="I423" s="22">
        <f>IF($A423="","",'2_密度換算'!$C$12*(1-((G423+'2_密度換算'!$C$8)^2*(G423+'2_密度換算'!$C$9))/('2_密度換算'!$C$10*(G423+'2_密度換算'!$C$11)))/1000)</f>
        <v/>
      </c>
      <c r="J423" s="22">
        <f>IF($A423="","",1+'2_密度換算'!$C$6*(1/I423-1/'2_密度換算'!$C$7))</f>
        <v/>
      </c>
      <c r="K423" s="23">
        <f>IF($A423="","",E423*J423/I423)</f>
        <v/>
      </c>
    </row>
    <row r="424">
      <c r="I424" s="22">
        <f>IF($A424="","",'2_密度換算'!$C$12*(1-((G424+'2_密度換算'!$C$8)^2*(G424+'2_密度換算'!$C$9))/('2_密度換算'!$C$10*(G424+'2_密度換算'!$C$11)))/1000)</f>
        <v/>
      </c>
      <c r="J424" s="22">
        <f>IF($A424="","",1+'2_密度換算'!$C$6*(1/I424-1/'2_密度換算'!$C$7))</f>
        <v/>
      </c>
      <c r="K424" s="23">
        <f>IF($A424="","",E424*J424/I424)</f>
        <v/>
      </c>
    </row>
    <row r="425">
      <c r="I425" s="22">
        <f>IF($A425="","",'2_密度換算'!$C$12*(1-((G425+'2_密度換算'!$C$8)^2*(G425+'2_密度換算'!$C$9))/('2_密度換算'!$C$10*(G425+'2_密度換算'!$C$11)))/1000)</f>
        <v/>
      </c>
      <c r="J425" s="22">
        <f>IF($A425="","",1+'2_密度換算'!$C$6*(1/I425-1/'2_密度換算'!$C$7))</f>
        <v/>
      </c>
      <c r="K425" s="23">
        <f>IF($A425="","",E425*J425/I425)</f>
        <v/>
      </c>
    </row>
    <row r="426">
      <c r="I426" s="22">
        <f>IF($A426="","",'2_密度換算'!$C$12*(1-((G426+'2_密度換算'!$C$8)^2*(G426+'2_密度換算'!$C$9))/('2_密度換算'!$C$10*(G426+'2_密度換算'!$C$11)))/1000)</f>
        <v/>
      </c>
      <c r="J426" s="22">
        <f>IF($A426="","",1+'2_密度換算'!$C$6*(1/I426-1/'2_密度換算'!$C$7))</f>
        <v/>
      </c>
      <c r="K426" s="23">
        <f>IF($A426="","",E426*J426/I426)</f>
        <v/>
      </c>
    </row>
    <row r="427">
      <c r="I427" s="22">
        <f>IF($A427="","",'2_密度換算'!$C$12*(1-((G427+'2_密度換算'!$C$8)^2*(G427+'2_密度換算'!$C$9))/('2_密度換算'!$C$10*(G427+'2_密度換算'!$C$11)))/1000)</f>
        <v/>
      </c>
      <c r="J427" s="22">
        <f>IF($A427="","",1+'2_密度換算'!$C$6*(1/I427-1/'2_密度換算'!$C$7))</f>
        <v/>
      </c>
      <c r="K427" s="23">
        <f>IF($A427="","",E427*J427/I427)</f>
        <v/>
      </c>
    </row>
    <row r="428">
      <c r="I428" s="22">
        <f>IF($A428="","",'2_密度換算'!$C$12*(1-((G428+'2_密度換算'!$C$8)^2*(G428+'2_密度換算'!$C$9))/('2_密度換算'!$C$10*(G428+'2_密度換算'!$C$11)))/1000)</f>
        <v/>
      </c>
      <c r="J428" s="22">
        <f>IF($A428="","",1+'2_密度換算'!$C$6*(1/I428-1/'2_密度換算'!$C$7))</f>
        <v/>
      </c>
      <c r="K428" s="23">
        <f>IF($A428="","",E428*J428/I428)</f>
        <v/>
      </c>
    </row>
    <row r="429">
      <c r="I429" s="22">
        <f>IF($A429="","",'2_密度換算'!$C$12*(1-((G429+'2_密度換算'!$C$8)^2*(G429+'2_密度換算'!$C$9))/('2_密度換算'!$C$10*(G429+'2_密度換算'!$C$11)))/1000)</f>
        <v/>
      </c>
      <c r="J429" s="22">
        <f>IF($A429="","",1+'2_密度換算'!$C$6*(1/I429-1/'2_密度換算'!$C$7))</f>
        <v/>
      </c>
      <c r="K429" s="23">
        <f>IF($A429="","",E429*J429/I429)</f>
        <v/>
      </c>
    </row>
    <row r="430">
      <c r="I430" s="22">
        <f>IF($A430="","",'2_密度換算'!$C$12*(1-((G430+'2_密度換算'!$C$8)^2*(G430+'2_密度換算'!$C$9))/('2_密度換算'!$C$10*(G430+'2_密度換算'!$C$11)))/1000)</f>
        <v/>
      </c>
      <c r="J430" s="22">
        <f>IF($A430="","",1+'2_密度換算'!$C$6*(1/I430-1/'2_密度換算'!$C$7))</f>
        <v/>
      </c>
      <c r="K430" s="23">
        <f>IF($A430="","",E430*J430/I430)</f>
        <v/>
      </c>
    </row>
    <row r="431">
      <c r="I431" s="22">
        <f>IF($A431="","",'2_密度換算'!$C$12*(1-((G431+'2_密度換算'!$C$8)^2*(G431+'2_密度換算'!$C$9))/('2_密度換算'!$C$10*(G431+'2_密度換算'!$C$11)))/1000)</f>
        <v/>
      </c>
      <c r="J431" s="22">
        <f>IF($A431="","",1+'2_密度換算'!$C$6*(1/I431-1/'2_密度換算'!$C$7))</f>
        <v/>
      </c>
      <c r="K431" s="23">
        <f>IF($A431="","",E431*J431/I431)</f>
        <v/>
      </c>
    </row>
    <row r="432">
      <c r="I432" s="22">
        <f>IF($A432="","",'2_密度換算'!$C$12*(1-((G432+'2_密度換算'!$C$8)^2*(G432+'2_密度換算'!$C$9))/('2_密度換算'!$C$10*(G432+'2_密度換算'!$C$11)))/1000)</f>
        <v/>
      </c>
      <c r="J432" s="22">
        <f>IF($A432="","",1+'2_密度換算'!$C$6*(1/I432-1/'2_密度換算'!$C$7))</f>
        <v/>
      </c>
      <c r="K432" s="23">
        <f>IF($A432="","",E432*J432/I432)</f>
        <v/>
      </c>
    </row>
    <row r="433">
      <c r="I433" s="22">
        <f>IF($A433="","",'2_密度換算'!$C$12*(1-((G433+'2_密度換算'!$C$8)^2*(G433+'2_密度換算'!$C$9))/('2_密度換算'!$C$10*(G433+'2_密度換算'!$C$11)))/1000)</f>
        <v/>
      </c>
      <c r="J433" s="22">
        <f>IF($A433="","",1+'2_密度換算'!$C$6*(1/I433-1/'2_密度換算'!$C$7))</f>
        <v/>
      </c>
      <c r="K433" s="23">
        <f>IF($A433="","",E433*J433/I433)</f>
        <v/>
      </c>
    </row>
    <row r="434">
      <c r="I434" s="22">
        <f>IF($A434="","",'2_密度換算'!$C$12*(1-((G434+'2_密度換算'!$C$8)^2*(G434+'2_密度換算'!$C$9))/('2_密度換算'!$C$10*(G434+'2_密度換算'!$C$11)))/1000)</f>
        <v/>
      </c>
      <c r="J434" s="22">
        <f>IF($A434="","",1+'2_密度換算'!$C$6*(1/I434-1/'2_密度換算'!$C$7))</f>
        <v/>
      </c>
      <c r="K434" s="23">
        <f>IF($A434="","",E434*J434/I434)</f>
        <v/>
      </c>
    </row>
    <row r="435">
      <c r="I435" s="22">
        <f>IF($A435="","",'2_密度換算'!$C$12*(1-((G435+'2_密度換算'!$C$8)^2*(G435+'2_密度換算'!$C$9))/('2_密度換算'!$C$10*(G435+'2_密度換算'!$C$11)))/1000)</f>
        <v/>
      </c>
      <c r="J435" s="22">
        <f>IF($A435="","",1+'2_密度換算'!$C$6*(1/I435-1/'2_密度換算'!$C$7))</f>
        <v/>
      </c>
      <c r="K435" s="23">
        <f>IF($A435="","",E435*J435/I435)</f>
        <v/>
      </c>
    </row>
    <row r="436">
      <c r="I436" s="22">
        <f>IF($A436="","",'2_密度換算'!$C$12*(1-((G436+'2_密度換算'!$C$8)^2*(G436+'2_密度換算'!$C$9))/('2_密度換算'!$C$10*(G436+'2_密度換算'!$C$11)))/1000)</f>
        <v/>
      </c>
      <c r="J436" s="22">
        <f>IF($A436="","",1+'2_密度換算'!$C$6*(1/I436-1/'2_密度換算'!$C$7))</f>
        <v/>
      </c>
      <c r="K436" s="23">
        <f>IF($A436="","",E436*J436/I436)</f>
        <v/>
      </c>
    </row>
    <row r="437">
      <c r="I437" s="22">
        <f>IF($A437="","",'2_密度換算'!$C$12*(1-((G437+'2_密度換算'!$C$8)^2*(G437+'2_密度換算'!$C$9))/('2_密度換算'!$C$10*(G437+'2_密度換算'!$C$11)))/1000)</f>
        <v/>
      </c>
      <c r="J437" s="22">
        <f>IF($A437="","",1+'2_密度換算'!$C$6*(1/I437-1/'2_密度換算'!$C$7))</f>
        <v/>
      </c>
      <c r="K437" s="23">
        <f>IF($A437="","",E437*J437/I437)</f>
        <v/>
      </c>
    </row>
    <row r="438">
      <c r="I438" s="22">
        <f>IF($A438="","",'2_密度換算'!$C$12*(1-((G438+'2_密度換算'!$C$8)^2*(G438+'2_密度換算'!$C$9))/('2_密度換算'!$C$10*(G438+'2_密度換算'!$C$11)))/1000)</f>
        <v/>
      </c>
      <c r="J438" s="22">
        <f>IF($A438="","",1+'2_密度換算'!$C$6*(1/I438-1/'2_密度換算'!$C$7))</f>
        <v/>
      </c>
      <c r="K438" s="23">
        <f>IF($A438="","",E438*J438/I438)</f>
        <v/>
      </c>
    </row>
    <row r="439">
      <c r="I439" s="22">
        <f>IF($A439="","",'2_密度換算'!$C$12*(1-((G439+'2_密度換算'!$C$8)^2*(G439+'2_密度換算'!$C$9))/('2_密度換算'!$C$10*(G439+'2_密度換算'!$C$11)))/1000)</f>
        <v/>
      </c>
      <c r="J439" s="22">
        <f>IF($A439="","",1+'2_密度換算'!$C$6*(1/I439-1/'2_密度換算'!$C$7))</f>
        <v/>
      </c>
      <c r="K439" s="23">
        <f>IF($A439="","",E439*J439/I439)</f>
        <v/>
      </c>
    </row>
    <row r="440">
      <c r="I440" s="22">
        <f>IF($A440="","",'2_密度換算'!$C$12*(1-((G440+'2_密度換算'!$C$8)^2*(G440+'2_密度換算'!$C$9))/('2_密度換算'!$C$10*(G440+'2_密度換算'!$C$11)))/1000)</f>
        <v/>
      </c>
      <c r="J440" s="22">
        <f>IF($A440="","",1+'2_密度換算'!$C$6*(1/I440-1/'2_密度換算'!$C$7))</f>
        <v/>
      </c>
      <c r="K440" s="23">
        <f>IF($A440="","",E440*J440/I440)</f>
        <v/>
      </c>
    </row>
    <row r="441">
      <c r="I441" s="22">
        <f>IF($A441="","",'2_密度換算'!$C$12*(1-((G441+'2_密度換算'!$C$8)^2*(G441+'2_密度換算'!$C$9))/('2_密度換算'!$C$10*(G441+'2_密度換算'!$C$11)))/1000)</f>
        <v/>
      </c>
      <c r="J441" s="22">
        <f>IF($A441="","",1+'2_密度換算'!$C$6*(1/I441-1/'2_密度換算'!$C$7))</f>
        <v/>
      </c>
      <c r="K441" s="23">
        <f>IF($A441="","",E441*J441/I441)</f>
        <v/>
      </c>
    </row>
    <row r="442">
      <c r="I442" s="22">
        <f>IF($A442="","",'2_密度換算'!$C$12*(1-((G442+'2_密度換算'!$C$8)^2*(G442+'2_密度換算'!$C$9))/('2_密度換算'!$C$10*(G442+'2_密度換算'!$C$11)))/1000)</f>
        <v/>
      </c>
      <c r="J442" s="22">
        <f>IF($A442="","",1+'2_密度換算'!$C$6*(1/I442-1/'2_密度換算'!$C$7))</f>
        <v/>
      </c>
      <c r="K442" s="23">
        <f>IF($A442="","",E442*J442/I442)</f>
        <v/>
      </c>
    </row>
    <row r="443">
      <c r="I443" s="22">
        <f>IF($A443="","",'2_密度換算'!$C$12*(1-((G443+'2_密度換算'!$C$8)^2*(G443+'2_密度換算'!$C$9))/('2_密度換算'!$C$10*(G443+'2_密度換算'!$C$11)))/1000)</f>
        <v/>
      </c>
      <c r="J443" s="22">
        <f>IF($A443="","",1+'2_密度換算'!$C$6*(1/I443-1/'2_密度換算'!$C$7))</f>
        <v/>
      </c>
      <c r="K443" s="23">
        <f>IF($A443="","",E443*J443/I443)</f>
        <v/>
      </c>
    </row>
    <row r="444">
      <c r="I444" s="22">
        <f>IF($A444="","",'2_密度換算'!$C$12*(1-((G444+'2_密度換算'!$C$8)^2*(G444+'2_密度換算'!$C$9))/('2_密度換算'!$C$10*(G444+'2_密度換算'!$C$11)))/1000)</f>
        <v/>
      </c>
      <c r="J444" s="22">
        <f>IF($A444="","",1+'2_密度換算'!$C$6*(1/I444-1/'2_密度換算'!$C$7))</f>
        <v/>
      </c>
      <c r="K444" s="23">
        <f>IF($A444="","",E444*J444/I444)</f>
        <v/>
      </c>
    </row>
    <row r="445">
      <c r="I445" s="22">
        <f>IF($A445="","",'2_密度換算'!$C$12*(1-((G445+'2_密度換算'!$C$8)^2*(G445+'2_密度換算'!$C$9))/('2_密度換算'!$C$10*(G445+'2_密度換算'!$C$11)))/1000)</f>
        <v/>
      </c>
      <c r="J445" s="22">
        <f>IF($A445="","",1+'2_密度換算'!$C$6*(1/I445-1/'2_密度換算'!$C$7))</f>
        <v/>
      </c>
      <c r="K445" s="23">
        <f>IF($A445="","",E445*J445/I445)</f>
        <v/>
      </c>
    </row>
    <row r="446">
      <c r="I446" s="22">
        <f>IF($A446="","",'2_密度換算'!$C$12*(1-((G446+'2_密度換算'!$C$8)^2*(G446+'2_密度換算'!$C$9))/('2_密度換算'!$C$10*(G446+'2_密度換算'!$C$11)))/1000)</f>
        <v/>
      </c>
      <c r="J446" s="22">
        <f>IF($A446="","",1+'2_密度換算'!$C$6*(1/I446-1/'2_密度換算'!$C$7))</f>
        <v/>
      </c>
      <c r="K446" s="23">
        <f>IF($A446="","",E446*J446/I446)</f>
        <v/>
      </c>
    </row>
    <row r="447">
      <c r="I447" s="22">
        <f>IF($A447="","",'2_密度換算'!$C$12*(1-((G447+'2_密度換算'!$C$8)^2*(G447+'2_密度換算'!$C$9))/('2_密度換算'!$C$10*(G447+'2_密度換算'!$C$11)))/1000)</f>
        <v/>
      </c>
      <c r="J447" s="22">
        <f>IF($A447="","",1+'2_密度換算'!$C$6*(1/I447-1/'2_密度換算'!$C$7))</f>
        <v/>
      </c>
      <c r="K447" s="23">
        <f>IF($A447="","",E447*J447/I447)</f>
        <v/>
      </c>
    </row>
    <row r="448">
      <c r="I448" s="22">
        <f>IF($A448="","",'2_密度換算'!$C$12*(1-((G448+'2_密度換算'!$C$8)^2*(G448+'2_密度換算'!$C$9))/('2_密度換算'!$C$10*(G448+'2_密度換算'!$C$11)))/1000)</f>
        <v/>
      </c>
      <c r="J448" s="22">
        <f>IF($A448="","",1+'2_密度換算'!$C$6*(1/I448-1/'2_密度換算'!$C$7))</f>
        <v/>
      </c>
      <c r="K448" s="23">
        <f>IF($A448="","",E448*J448/I448)</f>
        <v/>
      </c>
    </row>
    <row r="449">
      <c r="I449" s="22">
        <f>IF($A449="","",'2_密度換算'!$C$12*(1-((G449+'2_密度換算'!$C$8)^2*(G449+'2_密度換算'!$C$9))/('2_密度換算'!$C$10*(G449+'2_密度換算'!$C$11)))/1000)</f>
        <v/>
      </c>
      <c r="J449" s="22">
        <f>IF($A449="","",1+'2_密度換算'!$C$6*(1/I449-1/'2_密度換算'!$C$7))</f>
        <v/>
      </c>
      <c r="K449" s="23">
        <f>IF($A449="","",E449*J449/I449)</f>
        <v/>
      </c>
    </row>
    <row r="450">
      <c r="I450" s="22">
        <f>IF($A450="","",'2_密度換算'!$C$12*(1-((G450+'2_密度換算'!$C$8)^2*(G450+'2_密度換算'!$C$9))/('2_密度換算'!$C$10*(G450+'2_密度換算'!$C$11)))/1000)</f>
        <v/>
      </c>
      <c r="J450" s="22">
        <f>IF($A450="","",1+'2_密度換算'!$C$6*(1/I450-1/'2_密度換算'!$C$7))</f>
        <v/>
      </c>
      <c r="K450" s="23">
        <f>IF($A450="","",E450*J450/I450)</f>
        <v/>
      </c>
    </row>
    <row r="451">
      <c r="I451" s="22">
        <f>IF($A451="","",'2_密度換算'!$C$12*(1-((G451+'2_密度換算'!$C$8)^2*(G451+'2_密度換算'!$C$9))/('2_密度換算'!$C$10*(G451+'2_密度換算'!$C$11)))/1000)</f>
        <v/>
      </c>
      <c r="J451" s="22">
        <f>IF($A451="","",1+'2_密度換算'!$C$6*(1/I451-1/'2_密度換算'!$C$7))</f>
        <v/>
      </c>
      <c r="K451" s="23">
        <f>IF($A451="","",E451*J451/I451)</f>
        <v/>
      </c>
    </row>
    <row r="452">
      <c r="I452" s="22">
        <f>IF($A452="","",'2_密度換算'!$C$12*(1-((G452+'2_密度換算'!$C$8)^2*(G452+'2_密度換算'!$C$9))/('2_密度換算'!$C$10*(G452+'2_密度換算'!$C$11)))/1000)</f>
        <v/>
      </c>
      <c r="J452" s="22">
        <f>IF($A452="","",1+'2_密度換算'!$C$6*(1/I452-1/'2_密度換算'!$C$7))</f>
        <v/>
      </c>
      <c r="K452" s="23">
        <f>IF($A452="","",E452*J452/I452)</f>
        <v/>
      </c>
    </row>
    <row r="453">
      <c r="I453" s="22">
        <f>IF($A453="","",'2_密度換算'!$C$12*(1-((G453+'2_密度換算'!$C$8)^2*(G453+'2_密度換算'!$C$9))/('2_密度換算'!$C$10*(G453+'2_密度換算'!$C$11)))/1000)</f>
        <v/>
      </c>
      <c r="J453" s="22">
        <f>IF($A453="","",1+'2_密度換算'!$C$6*(1/I453-1/'2_密度換算'!$C$7))</f>
        <v/>
      </c>
      <c r="K453" s="23">
        <f>IF($A453="","",E453*J453/I453)</f>
        <v/>
      </c>
    </row>
    <row r="454">
      <c r="I454" s="22">
        <f>IF($A454="","",'2_密度換算'!$C$12*(1-((G454+'2_密度換算'!$C$8)^2*(G454+'2_密度換算'!$C$9))/('2_密度換算'!$C$10*(G454+'2_密度換算'!$C$11)))/1000)</f>
        <v/>
      </c>
      <c r="J454" s="22">
        <f>IF($A454="","",1+'2_密度換算'!$C$6*(1/I454-1/'2_密度換算'!$C$7))</f>
        <v/>
      </c>
      <c r="K454" s="23">
        <f>IF($A454="","",E454*J454/I454)</f>
        <v/>
      </c>
    </row>
    <row r="455">
      <c r="I455" s="22">
        <f>IF($A455="","",'2_密度換算'!$C$12*(1-((G455+'2_密度換算'!$C$8)^2*(G455+'2_密度換算'!$C$9))/('2_密度換算'!$C$10*(G455+'2_密度換算'!$C$11)))/1000)</f>
        <v/>
      </c>
      <c r="J455" s="22">
        <f>IF($A455="","",1+'2_密度換算'!$C$6*(1/I455-1/'2_密度換算'!$C$7))</f>
        <v/>
      </c>
      <c r="K455" s="23">
        <f>IF($A455="","",E455*J455/I455)</f>
        <v/>
      </c>
    </row>
    <row r="456">
      <c r="I456" s="22">
        <f>IF($A456="","",'2_密度換算'!$C$12*(1-((G456+'2_密度換算'!$C$8)^2*(G456+'2_密度換算'!$C$9))/('2_密度換算'!$C$10*(G456+'2_密度換算'!$C$11)))/1000)</f>
        <v/>
      </c>
      <c r="J456" s="22">
        <f>IF($A456="","",1+'2_密度換算'!$C$6*(1/I456-1/'2_密度換算'!$C$7))</f>
        <v/>
      </c>
      <c r="K456" s="23">
        <f>IF($A456="","",E456*J456/I456)</f>
        <v/>
      </c>
    </row>
    <row r="457">
      <c r="I457" s="22">
        <f>IF($A457="","",'2_密度換算'!$C$12*(1-((G457+'2_密度換算'!$C$8)^2*(G457+'2_密度換算'!$C$9))/('2_密度換算'!$C$10*(G457+'2_密度換算'!$C$11)))/1000)</f>
        <v/>
      </c>
      <c r="J457" s="22">
        <f>IF($A457="","",1+'2_密度換算'!$C$6*(1/I457-1/'2_密度換算'!$C$7))</f>
        <v/>
      </c>
      <c r="K457" s="23">
        <f>IF($A457="","",E457*J457/I457)</f>
        <v/>
      </c>
    </row>
    <row r="458">
      <c r="I458" s="22">
        <f>IF($A458="","",'2_密度換算'!$C$12*(1-((G458+'2_密度換算'!$C$8)^2*(G458+'2_密度換算'!$C$9))/('2_密度換算'!$C$10*(G458+'2_密度換算'!$C$11)))/1000)</f>
        <v/>
      </c>
      <c r="J458" s="22">
        <f>IF($A458="","",1+'2_密度換算'!$C$6*(1/I458-1/'2_密度換算'!$C$7))</f>
        <v/>
      </c>
      <c r="K458" s="23">
        <f>IF($A458="","",E458*J458/I458)</f>
        <v/>
      </c>
    </row>
    <row r="459">
      <c r="I459" s="22">
        <f>IF($A459="","",'2_密度換算'!$C$12*(1-((G459+'2_密度換算'!$C$8)^2*(G459+'2_密度換算'!$C$9))/('2_密度換算'!$C$10*(G459+'2_密度換算'!$C$11)))/1000)</f>
        <v/>
      </c>
      <c r="J459" s="22">
        <f>IF($A459="","",1+'2_密度換算'!$C$6*(1/I459-1/'2_密度換算'!$C$7))</f>
        <v/>
      </c>
      <c r="K459" s="23">
        <f>IF($A459="","",E459*J459/I459)</f>
        <v/>
      </c>
    </row>
    <row r="460">
      <c r="I460" s="22">
        <f>IF($A460="","",'2_密度換算'!$C$12*(1-((G460+'2_密度換算'!$C$8)^2*(G460+'2_密度換算'!$C$9))/('2_密度換算'!$C$10*(G460+'2_密度換算'!$C$11)))/1000)</f>
        <v/>
      </c>
      <c r="J460" s="22">
        <f>IF($A460="","",1+'2_密度換算'!$C$6*(1/I460-1/'2_密度換算'!$C$7))</f>
        <v/>
      </c>
      <c r="K460" s="23">
        <f>IF($A460="","",E460*J460/I460)</f>
        <v/>
      </c>
    </row>
    <row r="461">
      <c r="I461" s="22">
        <f>IF($A461="","",'2_密度換算'!$C$12*(1-((G461+'2_密度換算'!$C$8)^2*(G461+'2_密度換算'!$C$9))/('2_密度換算'!$C$10*(G461+'2_密度換算'!$C$11)))/1000)</f>
        <v/>
      </c>
      <c r="J461" s="22">
        <f>IF($A461="","",1+'2_密度換算'!$C$6*(1/I461-1/'2_密度換算'!$C$7))</f>
        <v/>
      </c>
      <c r="K461" s="23">
        <f>IF($A461="","",E461*J461/I461)</f>
        <v/>
      </c>
    </row>
    <row r="462">
      <c r="I462" s="22">
        <f>IF($A462="","",'2_密度換算'!$C$12*(1-((G462+'2_密度換算'!$C$8)^2*(G462+'2_密度換算'!$C$9))/('2_密度換算'!$C$10*(G462+'2_密度換算'!$C$11)))/1000)</f>
        <v/>
      </c>
      <c r="J462" s="22">
        <f>IF($A462="","",1+'2_密度換算'!$C$6*(1/I462-1/'2_密度換算'!$C$7))</f>
        <v/>
      </c>
      <c r="K462" s="23">
        <f>IF($A462="","",E462*J462/I462)</f>
        <v/>
      </c>
    </row>
    <row r="463">
      <c r="I463" s="22">
        <f>IF($A463="","",'2_密度換算'!$C$12*(1-((G463+'2_密度換算'!$C$8)^2*(G463+'2_密度換算'!$C$9))/('2_密度換算'!$C$10*(G463+'2_密度換算'!$C$11)))/1000)</f>
        <v/>
      </c>
      <c r="J463" s="22">
        <f>IF($A463="","",1+'2_密度換算'!$C$6*(1/I463-1/'2_密度換算'!$C$7))</f>
        <v/>
      </c>
      <c r="K463" s="23">
        <f>IF($A463="","",E463*J463/I463)</f>
        <v/>
      </c>
    </row>
    <row r="464">
      <c r="I464" s="22">
        <f>IF($A464="","",'2_密度換算'!$C$12*(1-((G464+'2_密度換算'!$C$8)^2*(G464+'2_密度換算'!$C$9))/('2_密度換算'!$C$10*(G464+'2_密度換算'!$C$11)))/1000)</f>
        <v/>
      </c>
      <c r="J464" s="22">
        <f>IF($A464="","",1+'2_密度換算'!$C$6*(1/I464-1/'2_密度換算'!$C$7))</f>
        <v/>
      </c>
      <c r="K464" s="23">
        <f>IF($A464="","",E464*J464/I464)</f>
        <v/>
      </c>
    </row>
    <row r="465">
      <c r="I465" s="22">
        <f>IF($A465="","",'2_密度換算'!$C$12*(1-((G465+'2_密度換算'!$C$8)^2*(G465+'2_密度換算'!$C$9))/('2_密度換算'!$C$10*(G465+'2_密度換算'!$C$11)))/1000)</f>
        <v/>
      </c>
      <c r="J465" s="22">
        <f>IF($A465="","",1+'2_密度換算'!$C$6*(1/I465-1/'2_密度換算'!$C$7))</f>
        <v/>
      </c>
      <c r="K465" s="23">
        <f>IF($A465="","",E465*J465/I465)</f>
        <v/>
      </c>
    </row>
    <row r="466">
      <c r="I466" s="22">
        <f>IF($A466="","",'2_密度換算'!$C$12*(1-((G466+'2_密度換算'!$C$8)^2*(G466+'2_密度換算'!$C$9))/('2_密度換算'!$C$10*(G466+'2_密度換算'!$C$11)))/1000)</f>
        <v/>
      </c>
      <c r="J466" s="22">
        <f>IF($A466="","",1+'2_密度換算'!$C$6*(1/I466-1/'2_密度換算'!$C$7))</f>
        <v/>
      </c>
      <c r="K466" s="23">
        <f>IF($A466="","",E466*J466/I466)</f>
        <v/>
      </c>
    </row>
    <row r="467">
      <c r="I467" s="22">
        <f>IF($A467="","",'2_密度換算'!$C$12*(1-((G467+'2_密度換算'!$C$8)^2*(G467+'2_密度換算'!$C$9))/('2_密度換算'!$C$10*(G467+'2_密度換算'!$C$11)))/1000)</f>
        <v/>
      </c>
      <c r="J467" s="22">
        <f>IF($A467="","",1+'2_密度換算'!$C$6*(1/I467-1/'2_密度換算'!$C$7))</f>
        <v/>
      </c>
      <c r="K467" s="23">
        <f>IF($A467="","",E467*J467/I467)</f>
        <v/>
      </c>
    </row>
    <row r="468">
      <c r="I468" s="22">
        <f>IF($A468="","",'2_密度換算'!$C$12*(1-((G468+'2_密度換算'!$C$8)^2*(G468+'2_密度換算'!$C$9))/('2_密度換算'!$C$10*(G468+'2_密度換算'!$C$11)))/1000)</f>
        <v/>
      </c>
      <c r="J468" s="22">
        <f>IF($A468="","",1+'2_密度換算'!$C$6*(1/I468-1/'2_密度換算'!$C$7))</f>
        <v/>
      </c>
      <c r="K468" s="23">
        <f>IF($A468="","",E468*J468/I468)</f>
        <v/>
      </c>
    </row>
    <row r="469">
      <c r="I469" s="22">
        <f>IF($A469="","",'2_密度換算'!$C$12*(1-((G469+'2_密度換算'!$C$8)^2*(G469+'2_密度換算'!$C$9))/('2_密度換算'!$C$10*(G469+'2_密度換算'!$C$11)))/1000)</f>
        <v/>
      </c>
      <c r="J469" s="22">
        <f>IF($A469="","",1+'2_密度換算'!$C$6*(1/I469-1/'2_密度換算'!$C$7))</f>
        <v/>
      </c>
      <c r="K469" s="23">
        <f>IF($A469="","",E469*J469/I469)</f>
        <v/>
      </c>
    </row>
    <row r="470">
      <c r="I470" s="22">
        <f>IF($A470="","",'2_密度換算'!$C$12*(1-((G470+'2_密度換算'!$C$8)^2*(G470+'2_密度換算'!$C$9))/('2_密度換算'!$C$10*(G470+'2_密度換算'!$C$11)))/1000)</f>
        <v/>
      </c>
      <c r="J470" s="22">
        <f>IF($A470="","",1+'2_密度換算'!$C$6*(1/I470-1/'2_密度換算'!$C$7))</f>
        <v/>
      </c>
      <c r="K470" s="23">
        <f>IF($A470="","",E470*J470/I470)</f>
        <v/>
      </c>
    </row>
    <row r="471">
      <c r="I471" s="22">
        <f>IF($A471="","",'2_密度換算'!$C$12*(1-((G471+'2_密度換算'!$C$8)^2*(G471+'2_密度換算'!$C$9))/('2_密度換算'!$C$10*(G471+'2_密度換算'!$C$11)))/1000)</f>
        <v/>
      </c>
      <c r="J471" s="22">
        <f>IF($A471="","",1+'2_密度換算'!$C$6*(1/I471-1/'2_密度換算'!$C$7))</f>
        <v/>
      </c>
      <c r="K471" s="23">
        <f>IF($A471="","",E471*J471/I471)</f>
        <v/>
      </c>
    </row>
    <row r="472">
      <c r="I472" s="22">
        <f>IF($A472="","",'2_密度換算'!$C$12*(1-((G472+'2_密度換算'!$C$8)^2*(G472+'2_密度換算'!$C$9))/('2_密度換算'!$C$10*(G472+'2_密度換算'!$C$11)))/1000)</f>
        <v/>
      </c>
      <c r="J472" s="22">
        <f>IF($A472="","",1+'2_密度換算'!$C$6*(1/I472-1/'2_密度換算'!$C$7))</f>
        <v/>
      </c>
      <c r="K472" s="23">
        <f>IF($A472="","",E472*J472/I472)</f>
        <v/>
      </c>
    </row>
    <row r="473">
      <c r="I473" s="22">
        <f>IF($A473="","",'2_密度換算'!$C$12*(1-((G473+'2_密度換算'!$C$8)^2*(G473+'2_密度換算'!$C$9))/('2_密度換算'!$C$10*(G473+'2_密度換算'!$C$11)))/1000)</f>
        <v/>
      </c>
      <c r="J473" s="22">
        <f>IF($A473="","",1+'2_密度換算'!$C$6*(1/I473-1/'2_密度換算'!$C$7))</f>
        <v/>
      </c>
      <c r="K473" s="23">
        <f>IF($A473="","",E473*J473/I473)</f>
        <v/>
      </c>
    </row>
    <row r="474">
      <c r="I474" s="22">
        <f>IF($A474="","",'2_密度換算'!$C$12*(1-((G474+'2_密度換算'!$C$8)^2*(G474+'2_密度換算'!$C$9))/('2_密度換算'!$C$10*(G474+'2_密度換算'!$C$11)))/1000)</f>
        <v/>
      </c>
      <c r="J474" s="22">
        <f>IF($A474="","",1+'2_密度換算'!$C$6*(1/I474-1/'2_密度換算'!$C$7))</f>
        <v/>
      </c>
      <c r="K474" s="23">
        <f>IF($A474="","",E474*J474/I474)</f>
        <v/>
      </c>
    </row>
    <row r="475">
      <c r="I475" s="22">
        <f>IF($A475="","",'2_密度換算'!$C$12*(1-((G475+'2_密度換算'!$C$8)^2*(G475+'2_密度換算'!$C$9))/('2_密度換算'!$C$10*(G475+'2_密度換算'!$C$11)))/1000)</f>
        <v/>
      </c>
      <c r="J475" s="22">
        <f>IF($A475="","",1+'2_密度換算'!$C$6*(1/I475-1/'2_密度換算'!$C$7))</f>
        <v/>
      </c>
      <c r="K475" s="23">
        <f>IF($A475="","",E475*J475/I475)</f>
        <v/>
      </c>
    </row>
    <row r="476">
      <c r="I476" s="22">
        <f>IF($A476="","",'2_密度換算'!$C$12*(1-((G476+'2_密度換算'!$C$8)^2*(G476+'2_密度換算'!$C$9))/('2_密度換算'!$C$10*(G476+'2_密度換算'!$C$11)))/1000)</f>
        <v/>
      </c>
      <c r="J476" s="22">
        <f>IF($A476="","",1+'2_密度換算'!$C$6*(1/I476-1/'2_密度換算'!$C$7))</f>
        <v/>
      </c>
      <c r="K476" s="23">
        <f>IF($A476="","",E476*J476/I476)</f>
        <v/>
      </c>
    </row>
    <row r="477">
      <c r="I477" s="22">
        <f>IF($A477="","",'2_密度換算'!$C$12*(1-((G477+'2_密度換算'!$C$8)^2*(G477+'2_密度換算'!$C$9))/('2_密度換算'!$C$10*(G477+'2_密度換算'!$C$11)))/1000)</f>
        <v/>
      </c>
      <c r="J477" s="22">
        <f>IF($A477="","",1+'2_密度換算'!$C$6*(1/I477-1/'2_密度換算'!$C$7))</f>
        <v/>
      </c>
      <c r="K477" s="23">
        <f>IF($A477="","",E477*J477/I477)</f>
        <v/>
      </c>
    </row>
    <row r="478">
      <c r="I478" s="22">
        <f>IF($A478="","",'2_密度換算'!$C$12*(1-((G478+'2_密度換算'!$C$8)^2*(G478+'2_密度換算'!$C$9))/('2_密度換算'!$C$10*(G478+'2_密度換算'!$C$11)))/1000)</f>
        <v/>
      </c>
      <c r="J478" s="22">
        <f>IF($A478="","",1+'2_密度換算'!$C$6*(1/I478-1/'2_密度換算'!$C$7))</f>
        <v/>
      </c>
      <c r="K478" s="23">
        <f>IF($A478="","",E478*J478/I478)</f>
        <v/>
      </c>
    </row>
    <row r="479">
      <c r="I479" s="22">
        <f>IF($A479="","",'2_密度換算'!$C$12*(1-((G479+'2_密度換算'!$C$8)^2*(G479+'2_密度換算'!$C$9))/('2_密度換算'!$C$10*(G479+'2_密度換算'!$C$11)))/1000)</f>
        <v/>
      </c>
      <c r="J479" s="22">
        <f>IF($A479="","",1+'2_密度換算'!$C$6*(1/I479-1/'2_密度換算'!$C$7))</f>
        <v/>
      </c>
      <c r="K479" s="23">
        <f>IF($A479="","",E479*J479/I479)</f>
        <v/>
      </c>
    </row>
    <row r="480">
      <c r="I480" s="22">
        <f>IF($A480="","",'2_密度換算'!$C$12*(1-((G480+'2_密度換算'!$C$8)^2*(G480+'2_密度換算'!$C$9))/('2_密度換算'!$C$10*(G480+'2_密度換算'!$C$11)))/1000)</f>
        <v/>
      </c>
      <c r="J480" s="22">
        <f>IF($A480="","",1+'2_密度換算'!$C$6*(1/I480-1/'2_密度換算'!$C$7))</f>
        <v/>
      </c>
      <c r="K480" s="23">
        <f>IF($A480="","",E480*J480/I480)</f>
        <v/>
      </c>
    </row>
    <row r="481">
      <c r="I481" s="22">
        <f>IF($A481="","",'2_密度換算'!$C$12*(1-((G481+'2_密度換算'!$C$8)^2*(G481+'2_密度換算'!$C$9))/('2_密度換算'!$C$10*(G481+'2_密度換算'!$C$11)))/1000)</f>
        <v/>
      </c>
      <c r="J481" s="22">
        <f>IF($A481="","",1+'2_密度換算'!$C$6*(1/I481-1/'2_密度換算'!$C$7))</f>
        <v/>
      </c>
      <c r="K481" s="23">
        <f>IF($A481="","",E481*J481/I481)</f>
        <v/>
      </c>
    </row>
    <row r="482">
      <c r="I482" s="22">
        <f>IF($A482="","",'2_密度換算'!$C$12*(1-((G482+'2_密度換算'!$C$8)^2*(G482+'2_密度換算'!$C$9))/('2_密度換算'!$C$10*(G482+'2_密度換算'!$C$11)))/1000)</f>
        <v/>
      </c>
      <c r="J482" s="22">
        <f>IF($A482="","",1+'2_密度換算'!$C$6*(1/I482-1/'2_密度換算'!$C$7))</f>
        <v/>
      </c>
      <c r="K482" s="23">
        <f>IF($A482="","",E482*J482/I482)</f>
        <v/>
      </c>
    </row>
    <row r="483">
      <c r="I483" s="22">
        <f>IF($A483="","",'2_密度換算'!$C$12*(1-((G483+'2_密度換算'!$C$8)^2*(G483+'2_密度換算'!$C$9))/('2_密度換算'!$C$10*(G483+'2_密度換算'!$C$11)))/1000)</f>
        <v/>
      </c>
      <c r="J483" s="22">
        <f>IF($A483="","",1+'2_密度換算'!$C$6*(1/I483-1/'2_密度換算'!$C$7))</f>
        <v/>
      </c>
      <c r="K483" s="23">
        <f>IF($A483="","",E483*J483/I483)</f>
        <v/>
      </c>
    </row>
    <row r="484">
      <c r="I484" s="22">
        <f>IF($A484="","",'2_密度換算'!$C$12*(1-((G484+'2_密度換算'!$C$8)^2*(G484+'2_密度換算'!$C$9))/('2_密度換算'!$C$10*(G484+'2_密度換算'!$C$11)))/1000)</f>
        <v/>
      </c>
      <c r="J484" s="22">
        <f>IF($A484="","",1+'2_密度換算'!$C$6*(1/I484-1/'2_密度換算'!$C$7))</f>
        <v/>
      </c>
      <c r="K484" s="23">
        <f>IF($A484="","",E484*J484/I484)</f>
        <v/>
      </c>
    </row>
    <row r="485">
      <c r="I485" s="22">
        <f>IF($A485="","",'2_密度換算'!$C$12*(1-((G485+'2_密度換算'!$C$8)^2*(G485+'2_密度換算'!$C$9))/('2_密度換算'!$C$10*(G485+'2_密度換算'!$C$11)))/1000)</f>
        <v/>
      </c>
      <c r="J485" s="22">
        <f>IF($A485="","",1+'2_密度換算'!$C$6*(1/I485-1/'2_密度換算'!$C$7))</f>
        <v/>
      </c>
      <c r="K485" s="23">
        <f>IF($A485="","",E485*J485/I485)</f>
        <v/>
      </c>
    </row>
    <row r="486">
      <c r="I486" s="22">
        <f>IF($A486="","",'2_密度換算'!$C$12*(1-((G486+'2_密度換算'!$C$8)^2*(G486+'2_密度換算'!$C$9))/('2_密度換算'!$C$10*(G486+'2_密度換算'!$C$11)))/1000)</f>
        <v/>
      </c>
      <c r="J486" s="22">
        <f>IF($A486="","",1+'2_密度換算'!$C$6*(1/I486-1/'2_密度換算'!$C$7))</f>
        <v/>
      </c>
      <c r="K486" s="23">
        <f>IF($A486="","",E486*J486/I486)</f>
        <v/>
      </c>
    </row>
    <row r="487">
      <c r="I487" s="22">
        <f>IF($A487="","",'2_密度換算'!$C$12*(1-((G487+'2_密度換算'!$C$8)^2*(G487+'2_密度換算'!$C$9))/('2_密度換算'!$C$10*(G487+'2_密度換算'!$C$11)))/1000)</f>
        <v/>
      </c>
      <c r="J487" s="22">
        <f>IF($A487="","",1+'2_密度換算'!$C$6*(1/I487-1/'2_密度換算'!$C$7))</f>
        <v/>
      </c>
      <c r="K487" s="23">
        <f>IF($A487="","",E487*J487/I487)</f>
        <v/>
      </c>
    </row>
    <row r="488">
      <c r="I488" s="22">
        <f>IF($A488="","",'2_密度換算'!$C$12*(1-((G488+'2_密度換算'!$C$8)^2*(G488+'2_密度換算'!$C$9))/('2_密度換算'!$C$10*(G488+'2_密度換算'!$C$11)))/1000)</f>
        <v/>
      </c>
      <c r="J488" s="22">
        <f>IF($A488="","",1+'2_密度換算'!$C$6*(1/I488-1/'2_密度換算'!$C$7))</f>
        <v/>
      </c>
      <c r="K488" s="23">
        <f>IF($A488="","",E488*J488/I488)</f>
        <v/>
      </c>
    </row>
    <row r="489">
      <c r="I489" s="22">
        <f>IF($A489="","",'2_密度換算'!$C$12*(1-((G489+'2_密度換算'!$C$8)^2*(G489+'2_密度換算'!$C$9))/('2_密度換算'!$C$10*(G489+'2_密度換算'!$C$11)))/1000)</f>
        <v/>
      </c>
      <c r="J489" s="22">
        <f>IF($A489="","",1+'2_密度換算'!$C$6*(1/I489-1/'2_密度換算'!$C$7))</f>
        <v/>
      </c>
      <c r="K489" s="23">
        <f>IF($A489="","",E489*J489/I489)</f>
        <v/>
      </c>
    </row>
    <row r="490">
      <c r="I490" s="22">
        <f>IF($A490="","",'2_密度換算'!$C$12*(1-((G490+'2_密度換算'!$C$8)^2*(G490+'2_密度換算'!$C$9))/('2_密度換算'!$C$10*(G490+'2_密度換算'!$C$11)))/1000)</f>
        <v/>
      </c>
      <c r="J490" s="22">
        <f>IF($A490="","",1+'2_密度換算'!$C$6*(1/I490-1/'2_密度換算'!$C$7))</f>
        <v/>
      </c>
      <c r="K490" s="23">
        <f>IF($A490="","",E490*J490/I490)</f>
        <v/>
      </c>
    </row>
    <row r="491">
      <c r="I491" s="22">
        <f>IF($A491="","",'2_密度換算'!$C$12*(1-((G491+'2_密度換算'!$C$8)^2*(G491+'2_密度換算'!$C$9))/('2_密度換算'!$C$10*(G491+'2_密度換算'!$C$11)))/1000)</f>
        <v/>
      </c>
      <c r="J491" s="22">
        <f>IF($A491="","",1+'2_密度換算'!$C$6*(1/I491-1/'2_密度換算'!$C$7))</f>
        <v/>
      </c>
      <c r="K491" s="23">
        <f>IF($A491="","",E491*J491/I491)</f>
        <v/>
      </c>
    </row>
    <row r="492">
      <c r="I492" s="22">
        <f>IF($A492="","",'2_密度換算'!$C$12*(1-((G492+'2_密度換算'!$C$8)^2*(G492+'2_密度換算'!$C$9))/('2_密度換算'!$C$10*(G492+'2_密度換算'!$C$11)))/1000)</f>
        <v/>
      </c>
      <c r="J492" s="22">
        <f>IF($A492="","",1+'2_密度換算'!$C$6*(1/I492-1/'2_密度換算'!$C$7))</f>
        <v/>
      </c>
      <c r="K492" s="23">
        <f>IF($A492="","",E492*J492/I492)</f>
        <v/>
      </c>
    </row>
    <row r="493">
      <c r="I493" s="22">
        <f>IF($A493="","",'2_密度換算'!$C$12*(1-((G493+'2_密度換算'!$C$8)^2*(G493+'2_密度換算'!$C$9))/('2_密度換算'!$C$10*(G493+'2_密度換算'!$C$11)))/1000)</f>
        <v/>
      </c>
      <c r="J493" s="22">
        <f>IF($A493="","",1+'2_密度換算'!$C$6*(1/I493-1/'2_密度換算'!$C$7))</f>
        <v/>
      </c>
      <c r="K493" s="23">
        <f>IF($A493="","",E493*J493/I493)</f>
        <v/>
      </c>
    </row>
    <row r="494">
      <c r="I494" s="22">
        <f>IF($A494="","",'2_密度換算'!$C$12*(1-((G494+'2_密度換算'!$C$8)^2*(G494+'2_密度換算'!$C$9))/('2_密度換算'!$C$10*(G494+'2_密度換算'!$C$11)))/1000)</f>
        <v/>
      </c>
      <c r="J494" s="22">
        <f>IF($A494="","",1+'2_密度換算'!$C$6*(1/I494-1/'2_密度換算'!$C$7))</f>
        <v/>
      </c>
      <c r="K494" s="23">
        <f>IF($A494="","",E494*J494/I494)</f>
        <v/>
      </c>
    </row>
    <row r="495">
      <c r="I495" s="22">
        <f>IF($A495="","",'2_密度換算'!$C$12*(1-((G495+'2_密度換算'!$C$8)^2*(G495+'2_密度換算'!$C$9))/('2_密度換算'!$C$10*(G495+'2_密度換算'!$C$11)))/1000)</f>
        <v/>
      </c>
      <c r="J495" s="22">
        <f>IF($A495="","",1+'2_密度換算'!$C$6*(1/I495-1/'2_密度換算'!$C$7))</f>
        <v/>
      </c>
      <c r="K495" s="23">
        <f>IF($A495="","",E495*J495/I495)</f>
        <v/>
      </c>
    </row>
    <row r="496">
      <c r="I496" s="22">
        <f>IF($A496="","",'2_密度換算'!$C$12*(1-((G496+'2_密度換算'!$C$8)^2*(G496+'2_密度換算'!$C$9))/('2_密度換算'!$C$10*(G496+'2_密度換算'!$C$11)))/1000)</f>
        <v/>
      </c>
      <c r="J496" s="22">
        <f>IF($A496="","",1+'2_密度換算'!$C$6*(1/I496-1/'2_密度換算'!$C$7))</f>
        <v/>
      </c>
      <c r="K496" s="23">
        <f>IF($A496="","",E496*J496/I496)</f>
        <v/>
      </c>
    </row>
    <row r="497">
      <c r="I497" s="22">
        <f>IF($A497="","",'2_密度換算'!$C$12*(1-((G497+'2_密度換算'!$C$8)^2*(G497+'2_密度換算'!$C$9))/('2_密度換算'!$C$10*(G497+'2_密度換算'!$C$11)))/1000)</f>
        <v/>
      </c>
      <c r="J497" s="22">
        <f>IF($A497="","",1+'2_密度換算'!$C$6*(1/I497-1/'2_密度換算'!$C$7))</f>
        <v/>
      </c>
      <c r="K497" s="23">
        <f>IF($A497="","",E497*J497/I497)</f>
        <v/>
      </c>
    </row>
    <row r="498">
      <c r="I498" s="22">
        <f>IF($A498="","",'2_密度換算'!$C$12*(1-((G498+'2_密度換算'!$C$8)^2*(G498+'2_密度換算'!$C$9))/('2_密度換算'!$C$10*(G498+'2_密度換算'!$C$11)))/1000)</f>
        <v/>
      </c>
      <c r="J498" s="22">
        <f>IF($A498="","",1+'2_密度換算'!$C$6*(1/I498-1/'2_密度換算'!$C$7))</f>
        <v/>
      </c>
      <c r="K498" s="23">
        <f>IF($A498="","",E498*J498/I498)</f>
        <v/>
      </c>
    </row>
    <row r="499">
      <c r="I499" s="22">
        <f>IF($A499="","",'2_密度換算'!$C$12*(1-((G499+'2_密度換算'!$C$8)^2*(G499+'2_密度換算'!$C$9))/('2_密度換算'!$C$10*(G499+'2_密度換算'!$C$11)))/1000)</f>
        <v/>
      </c>
      <c r="J499" s="22">
        <f>IF($A499="","",1+'2_密度換算'!$C$6*(1/I499-1/'2_密度換算'!$C$7))</f>
        <v/>
      </c>
      <c r="K499" s="23">
        <f>IF($A499="","",E499*J499/I499)</f>
        <v/>
      </c>
    </row>
    <row r="500">
      <c r="I500" s="22">
        <f>IF($A500="","",'2_密度換算'!$C$12*(1-((G500+'2_密度換算'!$C$8)^2*(G500+'2_密度換算'!$C$9))/('2_密度換算'!$C$10*(G500+'2_密度換算'!$C$11)))/1000)</f>
        <v/>
      </c>
      <c r="J500" s="22">
        <f>IF($A500="","",1+'2_密度換算'!$C$6*(1/I500-1/'2_密度換算'!$C$7))</f>
        <v/>
      </c>
      <c r="K500" s="23">
        <f>IF($A500="","",E500*J500/I500)</f>
        <v/>
      </c>
    </row>
    <row r="501">
      <c r="I501" s="22">
        <f>IF($A501="","",'2_密度換算'!$C$12*(1-((G501+'2_密度換算'!$C$8)^2*(G501+'2_密度換算'!$C$9))/('2_密度換算'!$C$10*(G501+'2_密度換算'!$C$11)))/1000)</f>
        <v/>
      </c>
      <c r="J501" s="22">
        <f>IF($A501="","",1+'2_密度換算'!$C$6*(1/I501-1/'2_密度換算'!$C$7))</f>
        <v/>
      </c>
      <c r="K501" s="23">
        <f>IF($A501="","",E501*J501/I501)</f>
        <v/>
      </c>
    </row>
    <row r="502">
      <c r="I502" s="22">
        <f>IF($A502="","",'2_密度換算'!$C$12*(1-((G502+'2_密度換算'!$C$8)^2*(G502+'2_密度換算'!$C$9))/('2_密度換算'!$C$10*(G502+'2_密度換算'!$C$11)))/1000)</f>
        <v/>
      </c>
      <c r="J502" s="22">
        <f>IF($A502="","",1+'2_密度換算'!$C$6*(1/I502-1/'2_密度換算'!$C$7))</f>
        <v/>
      </c>
      <c r="K502" s="23">
        <f>IF($A502="","",E502*J502/I502)</f>
        <v/>
      </c>
    </row>
    <row r="503">
      <c r="I503" s="22">
        <f>IF($A503="","",'2_密度換算'!$C$12*(1-((G503+'2_密度換算'!$C$8)^2*(G503+'2_密度換算'!$C$9))/('2_密度換算'!$C$10*(G503+'2_密度換算'!$C$11)))/1000)</f>
        <v/>
      </c>
      <c r="J503" s="22">
        <f>IF($A503="","",1+'2_密度換算'!$C$6*(1/I503-1/'2_密度換算'!$C$7))</f>
        <v/>
      </c>
      <c r="K503" s="23">
        <f>IF($A503="","",E503*J503/I503)</f>
        <v/>
      </c>
    </row>
    <row r="504">
      <c r="I504" s="22">
        <f>IF($A504="","",'2_密度換算'!$C$12*(1-((G504+'2_密度換算'!$C$8)^2*(G504+'2_密度換算'!$C$9))/('2_密度換算'!$C$10*(G504+'2_密度換算'!$C$11)))/1000)</f>
        <v/>
      </c>
      <c r="J504" s="22">
        <f>IF($A504="","",1+'2_密度換算'!$C$6*(1/I504-1/'2_密度換算'!$C$7))</f>
        <v/>
      </c>
      <c r="K504" s="23">
        <f>IF($A504="","",E504*J504/I504)</f>
        <v/>
      </c>
    </row>
    <row r="505">
      <c r="I505" s="22">
        <f>IF($A505="","",'2_密度換算'!$C$12*(1-((G505+'2_密度換算'!$C$8)^2*(G505+'2_密度換算'!$C$9))/('2_密度換算'!$C$10*(G505+'2_密度換算'!$C$11)))/1000)</f>
        <v/>
      </c>
      <c r="J505" s="22">
        <f>IF($A505="","",1+'2_密度換算'!$C$6*(1/I505-1/'2_密度換算'!$C$7))</f>
        <v/>
      </c>
      <c r="K505" s="23">
        <f>IF($A505="","",E505*J505/I505)</f>
        <v/>
      </c>
    </row>
    <row r="506">
      <c r="I506" s="22">
        <f>IF($A506="","",'2_密度換算'!$C$12*(1-((G506+'2_密度換算'!$C$8)^2*(G506+'2_密度換算'!$C$9))/('2_密度換算'!$C$10*(G506+'2_密度換算'!$C$11)))/1000)</f>
        <v/>
      </c>
      <c r="J506" s="22">
        <f>IF($A506="","",1+'2_密度換算'!$C$6*(1/I506-1/'2_密度換算'!$C$7))</f>
        <v/>
      </c>
      <c r="K506" s="23">
        <f>IF($A506="","",E506*J506/I506)</f>
        <v/>
      </c>
    </row>
    <row r="507">
      <c r="I507" s="22">
        <f>IF($A507="","",'2_密度換算'!$C$12*(1-((G507+'2_密度換算'!$C$8)^2*(G507+'2_密度換算'!$C$9))/('2_密度換算'!$C$10*(G507+'2_密度換算'!$C$11)))/1000)</f>
        <v/>
      </c>
      <c r="J507" s="22">
        <f>IF($A507="","",1+'2_密度換算'!$C$6*(1/I507-1/'2_密度換算'!$C$7))</f>
        <v/>
      </c>
      <c r="K507" s="23">
        <f>IF($A507="","",E507*J507/I507)</f>
        <v/>
      </c>
    </row>
    <row r="508">
      <c r="I508" s="22">
        <f>IF($A508="","",'2_密度換算'!$C$12*(1-((G508+'2_密度換算'!$C$8)^2*(G508+'2_密度換算'!$C$9))/('2_密度換算'!$C$10*(G508+'2_密度換算'!$C$11)))/1000)</f>
        <v/>
      </c>
      <c r="J508" s="22">
        <f>IF($A508="","",1+'2_密度換算'!$C$6*(1/I508-1/'2_密度換算'!$C$7))</f>
        <v/>
      </c>
      <c r="K508" s="23">
        <f>IF($A508="","",E508*J508/I508)</f>
        <v/>
      </c>
    </row>
    <row r="509">
      <c r="I509" s="22">
        <f>IF($A509="","",'2_密度換算'!$C$12*(1-((G509+'2_密度換算'!$C$8)^2*(G509+'2_密度換算'!$C$9))/('2_密度換算'!$C$10*(G509+'2_密度換算'!$C$11)))/1000)</f>
        <v/>
      </c>
      <c r="J509" s="22">
        <f>IF($A509="","",1+'2_密度換算'!$C$6*(1/I509-1/'2_密度換算'!$C$7))</f>
        <v/>
      </c>
      <c r="K509" s="23">
        <f>IF($A509="","",E509*J509/I509)</f>
        <v/>
      </c>
    </row>
    <row r="510">
      <c r="I510" s="22">
        <f>IF($A510="","",'2_密度換算'!$C$12*(1-((G510+'2_密度換算'!$C$8)^2*(G510+'2_密度換算'!$C$9))/('2_密度換算'!$C$10*(G510+'2_密度換算'!$C$11)))/1000)</f>
        <v/>
      </c>
      <c r="J510" s="22">
        <f>IF($A510="","",1+'2_密度換算'!$C$6*(1/I510-1/'2_密度換算'!$C$7))</f>
        <v/>
      </c>
      <c r="K510" s="23">
        <f>IF($A510="","",E510*J510/I510)</f>
        <v/>
      </c>
    </row>
    <row r="511">
      <c r="I511" s="22">
        <f>IF($A511="","",'2_密度換算'!$C$12*(1-((G511+'2_密度換算'!$C$8)^2*(G511+'2_密度換算'!$C$9))/('2_密度換算'!$C$10*(G511+'2_密度換算'!$C$11)))/1000)</f>
        <v/>
      </c>
      <c r="J511" s="22">
        <f>IF($A511="","",1+'2_密度換算'!$C$6*(1/I511-1/'2_密度換算'!$C$7))</f>
        <v/>
      </c>
      <c r="K511" s="23">
        <f>IF($A511="","",E511*J511/I511)</f>
        <v/>
      </c>
    </row>
    <row r="512">
      <c r="I512" s="22">
        <f>IF($A512="","",'2_密度換算'!$C$12*(1-((G512+'2_密度換算'!$C$8)^2*(G512+'2_密度換算'!$C$9))/('2_密度換算'!$C$10*(G512+'2_密度換算'!$C$11)))/1000)</f>
        <v/>
      </c>
      <c r="J512" s="22">
        <f>IF($A512="","",1+'2_密度換算'!$C$6*(1/I512-1/'2_密度換算'!$C$7))</f>
        <v/>
      </c>
      <c r="K512" s="23">
        <f>IF($A512="","",E512*J512/I512)</f>
        <v/>
      </c>
    </row>
    <row r="513">
      <c r="I513" s="22">
        <f>IF($A513="","",'2_密度換算'!$C$12*(1-((G513+'2_密度換算'!$C$8)^2*(G513+'2_密度換算'!$C$9))/('2_密度換算'!$C$10*(G513+'2_密度換算'!$C$11)))/1000)</f>
        <v/>
      </c>
      <c r="J513" s="22">
        <f>IF($A513="","",1+'2_密度換算'!$C$6*(1/I513-1/'2_密度換算'!$C$7))</f>
        <v/>
      </c>
      <c r="K513" s="23">
        <f>IF($A513="","",E513*J513/I513)</f>
        <v/>
      </c>
    </row>
    <row r="514">
      <c r="I514" s="22">
        <f>IF($A514="","",'2_密度換算'!$C$12*(1-((G514+'2_密度換算'!$C$8)^2*(G514+'2_密度換算'!$C$9))/('2_密度換算'!$C$10*(G514+'2_密度換算'!$C$11)))/1000)</f>
        <v/>
      </c>
      <c r="J514" s="22">
        <f>IF($A514="","",1+'2_密度換算'!$C$6*(1/I514-1/'2_密度換算'!$C$7))</f>
        <v/>
      </c>
      <c r="K514" s="23">
        <f>IF($A514="","",E514*J514/I514)</f>
        <v/>
      </c>
    </row>
    <row r="515">
      <c r="I515" s="22">
        <f>IF($A515="","",'2_密度換算'!$C$12*(1-((G515+'2_密度換算'!$C$8)^2*(G515+'2_密度換算'!$C$9))/('2_密度換算'!$C$10*(G515+'2_密度換算'!$C$11)))/1000)</f>
        <v/>
      </c>
      <c r="J515" s="22">
        <f>IF($A515="","",1+'2_密度換算'!$C$6*(1/I515-1/'2_密度換算'!$C$7))</f>
        <v/>
      </c>
      <c r="K515" s="23">
        <f>IF($A515="","",E515*J515/I515)</f>
        <v/>
      </c>
    </row>
    <row r="516">
      <c r="I516" s="22">
        <f>IF($A516="","",'2_密度換算'!$C$12*(1-((G516+'2_密度換算'!$C$8)^2*(G516+'2_密度換算'!$C$9))/('2_密度換算'!$C$10*(G516+'2_密度換算'!$C$11)))/1000)</f>
        <v/>
      </c>
      <c r="J516" s="22">
        <f>IF($A516="","",1+'2_密度換算'!$C$6*(1/I516-1/'2_密度換算'!$C$7))</f>
        <v/>
      </c>
      <c r="K516" s="23">
        <f>IF($A516="","",E516*J516/I516)</f>
        <v/>
      </c>
    </row>
    <row r="517">
      <c r="I517" s="22">
        <f>IF($A517="","",'2_密度換算'!$C$12*(1-((G517+'2_密度換算'!$C$8)^2*(G517+'2_密度換算'!$C$9))/('2_密度換算'!$C$10*(G517+'2_密度換算'!$C$11)))/1000)</f>
        <v/>
      </c>
      <c r="J517" s="22">
        <f>IF($A517="","",1+'2_密度換算'!$C$6*(1/I517-1/'2_密度換算'!$C$7))</f>
        <v/>
      </c>
      <c r="K517" s="23">
        <f>IF($A517="","",E517*J517/I517)</f>
        <v/>
      </c>
    </row>
    <row r="518">
      <c r="I518" s="22">
        <f>IF($A518="","",'2_密度換算'!$C$12*(1-((G518+'2_密度換算'!$C$8)^2*(G518+'2_密度換算'!$C$9))/('2_密度換算'!$C$10*(G518+'2_密度換算'!$C$11)))/1000)</f>
        <v/>
      </c>
      <c r="J518" s="22">
        <f>IF($A518="","",1+'2_密度換算'!$C$6*(1/I518-1/'2_密度換算'!$C$7))</f>
        <v/>
      </c>
      <c r="K518" s="23">
        <f>IF($A518="","",E518*J518/I518)</f>
        <v/>
      </c>
    </row>
    <row r="519">
      <c r="I519" s="22">
        <f>IF($A519="","",'2_密度換算'!$C$12*(1-((G519+'2_密度換算'!$C$8)^2*(G519+'2_密度換算'!$C$9))/('2_密度換算'!$C$10*(G519+'2_密度換算'!$C$11)))/1000)</f>
        <v/>
      </c>
      <c r="J519" s="22">
        <f>IF($A519="","",1+'2_密度換算'!$C$6*(1/I519-1/'2_密度換算'!$C$7))</f>
        <v/>
      </c>
      <c r="K519" s="23">
        <f>IF($A519="","",E519*J519/I519)</f>
        <v/>
      </c>
    </row>
    <row r="520">
      <c r="I520" s="22">
        <f>IF($A520="","",'2_密度換算'!$C$12*(1-((G520+'2_密度換算'!$C$8)^2*(G520+'2_密度換算'!$C$9))/('2_密度換算'!$C$10*(G520+'2_密度換算'!$C$11)))/1000)</f>
        <v/>
      </c>
      <c r="J520" s="22">
        <f>IF($A520="","",1+'2_密度換算'!$C$6*(1/I520-1/'2_密度換算'!$C$7))</f>
        <v/>
      </c>
      <c r="K520" s="23">
        <f>IF($A520="","",E520*J520/I520)</f>
        <v/>
      </c>
    </row>
    <row r="521">
      <c r="I521" s="22">
        <f>IF($A521="","",'2_密度換算'!$C$12*(1-((G521+'2_密度換算'!$C$8)^2*(G521+'2_密度換算'!$C$9))/('2_密度換算'!$C$10*(G521+'2_密度換算'!$C$11)))/1000)</f>
        <v/>
      </c>
      <c r="J521" s="22">
        <f>IF($A521="","",1+'2_密度換算'!$C$6*(1/I521-1/'2_密度換算'!$C$7))</f>
        <v/>
      </c>
      <c r="K521" s="23">
        <f>IF($A521="","",E521*J521/I521)</f>
        <v/>
      </c>
    </row>
    <row r="522">
      <c r="I522" s="22">
        <f>IF($A522="","",'2_密度換算'!$C$12*(1-((G522+'2_密度換算'!$C$8)^2*(G522+'2_密度換算'!$C$9))/('2_密度換算'!$C$10*(G522+'2_密度換算'!$C$11)))/1000)</f>
        <v/>
      </c>
      <c r="J522" s="22">
        <f>IF($A522="","",1+'2_密度換算'!$C$6*(1/I522-1/'2_密度換算'!$C$7))</f>
        <v/>
      </c>
      <c r="K522" s="23">
        <f>IF($A522="","",E522*J522/I522)</f>
        <v/>
      </c>
    </row>
    <row r="523">
      <c r="I523" s="22">
        <f>IF($A523="","",'2_密度換算'!$C$12*(1-((G523+'2_密度換算'!$C$8)^2*(G523+'2_密度換算'!$C$9))/('2_密度換算'!$C$10*(G523+'2_密度換算'!$C$11)))/1000)</f>
        <v/>
      </c>
      <c r="J523" s="22">
        <f>IF($A523="","",1+'2_密度換算'!$C$6*(1/I523-1/'2_密度換算'!$C$7))</f>
        <v/>
      </c>
      <c r="K523" s="23">
        <f>IF($A523="","",E523*J523/I523)</f>
        <v/>
      </c>
    </row>
    <row r="524">
      <c r="I524" s="22">
        <f>IF($A524="","",'2_密度換算'!$C$12*(1-((G524+'2_密度換算'!$C$8)^2*(G524+'2_密度換算'!$C$9))/('2_密度換算'!$C$10*(G524+'2_密度換算'!$C$11)))/1000)</f>
        <v/>
      </c>
      <c r="J524" s="22">
        <f>IF($A524="","",1+'2_密度換算'!$C$6*(1/I524-1/'2_密度換算'!$C$7))</f>
        <v/>
      </c>
      <c r="K524" s="23">
        <f>IF($A524="","",E524*J524/I524)</f>
        <v/>
      </c>
    </row>
    <row r="525">
      <c r="I525" s="22">
        <f>IF($A525="","",'2_密度換算'!$C$12*(1-((G525+'2_密度換算'!$C$8)^2*(G525+'2_密度換算'!$C$9))/('2_密度換算'!$C$10*(G525+'2_密度換算'!$C$11)))/1000)</f>
        <v/>
      </c>
      <c r="J525" s="22">
        <f>IF($A525="","",1+'2_密度換算'!$C$6*(1/I525-1/'2_密度換算'!$C$7))</f>
        <v/>
      </c>
      <c r="K525" s="23">
        <f>IF($A525="","",E525*J525/I525)</f>
        <v/>
      </c>
    </row>
    <row r="526">
      <c r="I526" s="22">
        <f>IF($A526="","",'2_密度換算'!$C$12*(1-((G526+'2_密度換算'!$C$8)^2*(G526+'2_密度換算'!$C$9))/('2_密度換算'!$C$10*(G526+'2_密度換算'!$C$11)))/1000)</f>
        <v/>
      </c>
      <c r="J526" s="22">
        <f>IF($A526="","",1+'2_密度換算'!$C$6*(1/I526-1/'2_密度換算'!$C$7))</f>
        <v/>
      </c>
      <c r="K526" s="23">
        <f>IF($A526="","",E526*J526/I526)</f>
        <v/>
      </c>
    </row>
    <row r="527">
      <c r="I527" s="22">
        <f>IF($A527="","",'2_密度換算'!$C$12*(1-((G527+'2_密度換算'!$C$8)^2*(G527+'2_密度換算'!$C$9))/('2_密度換算'!$C$10*(G527+'2_密度換算'!$C$11)))/1000)</f>
        <v/>
      </c>
      <c r="J527" s="22">
        <f>IF($A527="","",1+'2_密度換算'!$C$6*(1/I527-1/'2_密度換算'!$C$7))</f>
        <v/>
      </c>
      <c r="K527" s="23">
        <f>IF($A527="","",E527*J527/I527)</f>
        <v/>
      </c>
    </row>
    <row r="528">
      <c r="I528" s="22">
        <f>IF($A528="","",'2_密度換算'!$C$12*(1-((G528+'2_密度換算'!$C$8)^2*(G528+'2_密度換算'!$C$9))/('2_密度換算'!$C$10*(G528+'2_密度換算'!$C$11)))/1000)</f>
        <v/>
      </c>
      <c r="J528" s="22">
        <f>IF($A528="","",1+'2_密度換算'!$C$6*(1/I528-1/'2_密度換算'!$C$7))</f>
        <v/>
      </c>
      <c r="K528" s="23">
        <f>IF($A528="","",E528*J528/I528)</f>
        <v/>
      </c>
    </row>
    <row r="529">
      <c r="I529" s="22">
        <f>IF($A529="","",'2_密度換算'!$C$12*(1-((G529+'2_密度換算'!$C$8)^2*(G529+'2_密度換算'!$C$9))/('2_密度換算'!$C$10*(G529+'2_密度換算'!$C$11)))/1000)</f>
        <v/>
      </c>
      <c r="J529" s="22">
        <f>IF($A529="","",1+'2_密度換算'!$C$6*(1/I529-1/'2_密度換算'!$C$7))</f>
        <v/>
      </c>
      <c r="K529" s="23">
        <f>IF($A529="","",E529*J529/I529)</f>
        <v/>
      </c>
    </row>
    <row r="530">
      <c r="I530" s="22">
        <f>IF($A530="","",'2_密度換算'!$C$12*(1-((G530+'2_密度換算'!$C$8)^2*(G530+'2_密度換算'!$C$9))/('2_密度換算'!$C$10*(G530+'2_密度換算'!$C$11)))/1000)</f>
        <v/>
      </c>
      <c r="J530" s="22">
        <f>IF($A530="","",1+'2_密度換算'!$C$6*(1/I530-1/'2_密度換算'!$C$7))</f>
        <v/>
      </c>
      <c r="K530" s="23">
        <f>IF($A530="","",E530*J530/I530)</f>
        <v/>
      </c>
    </row>
    <row r="531">
      <c r="I531" s="22">
        <f>IF($A531="","",'2_密度換算'!$C$12*(1-((G531+'2_密度換算'!$C$8)^2*(G531+'2_密度換算'!$C$9))/('2_密度換算'!$C$10*(G531+'2_密度換算'!$C$11)))/1000)</f>
        <v/>
      </c>
      <c r="J531" s="22">
        <f>IF($A531="","",1+'2_密度換算'!$C$6*(1/I531-1/'2_密度換算'!$C$7))</f>
        <v/>
      </c>
      <c r="K531" s="23">
        <f>IF($A531="","",E531*J531/I531)</f>
        <v/>
      </c>
    </row>
    <row r="532">
      <c r="I532" s="22">
        <f>IF($A532="","",'2_密度換算'!$C$12*(1-((G532+'2_密度換算'!$C$8)^2*(G532+'2_密度換算'!$C$9))/('2_密度換算'!$C$10*(G532+'2_密度換算'!$C$11)))/1000)</f>
        <v/>
      </c>
      <c r="J532" s="22">
        <f>IF($A532="","",1+'2_密度換算'!$C$6*(1/I532-1/'2_密度換算'!$C$7))</f>
        <v/>
      </c>
      <c r="K532" s="23">
        <f>IF($A532="","",E532*J532/I532)</f>
        <v/>
      </c>
    </row>
    <row r="533">
      <c r="I533" s="22">
        <f>IF($A533="","",'2_密度換算'!$C$12*(1-((G533+'2_密度換算'!$C$8)^2*(G533+'2_密度換算'!$C$9))/('2_密度換算'!$C$10*(G533+'2_密度換算'!$C$11)))/1000)</f>
        <v/>
      </c>
      <c r="J533" s="22">
        <f>IF($A533="","",1+'2_密度換算'!$C$6*(1/I533-1/'2_密度換算'!$C$7))</f>
        <v/>
      </c>
      <c r="K533" s="23">
        <f>IF($A533="","",E533*J533/I533)</f>
        <v/>
      </c>
    </row>
    <row r="534">
      <c r="I534" s="22">
        <f>IF($A534="","",'2_密度換算'!$C$12*(1-((G534+'2_密度換算'!$C$8)^2*(G534+'2_密度換算'!$C$9))/('2_密度換算'!$C$10*(G534+'2_密度換算'!$C$11)))/1000)</f>
        <v/>
      </c>
      <c r="J534" s="22">
        <f>IF($A534="","",1+'2_密度換算'!$C$6*(1/I534-1/'2_密度換算'!$C$7))</f>
        <v/>
      </c>
      <c r="K534" s="23">
        <f>IF($A534="","",E534*J534/I534)</f>
        <v/>
      </c>
    </row>
    <row r="535">
      <c r="I535" s="22">
        <f>IF($A535="","",'2_密度換算'!$C$12*(1-((G535+'2_密度換算'!$C$8)^2*(G535+'2_密度換算'!$C$9))/('2_密度換算'!$C$10*(G535+'2_密度換算'!$C$11)))/1000)</f>
        <v/>
      </c>
      <c r="J535" s="22">
        <f>IF($A535="","",1+'2_密度換算'!$C$6*(1/I535-1/'2_密度換算'!$C$7))</f>
        <v/>
      </c>
      <c r="K535" s="23">
        <f>IF($A535="","",E535*J535/I535)</f>
        <v/>
      </c>
    </row>
    <row r="536">
      <c r="I536" s="22">
        <f>IF($A536="","",'2_密度換算'!$C$12*(1-((G536+'2_密度換算'!$C$8)^2*(G536+'2_密度換算'!$C$9))/('2_密度換算'!$C$10*(G536+'2_密度換算'!$C$11)))/1000)</f>
        <v/>
      </c>
      <c r="J536" s="22">
        <f>IF($A536="","",1+'2_密度換算'!$C$6*(1/I536-1/'2_密度換算'!$C$7))</f>
        <v/>
      </c>
      <c r="K536" s="23">
        <f>IF($A536="","",E536*J536/I536)</f>
        <v/>
      </c>
    </row>
    <row r="537">
      <c r="I537" s="22">
        <f>IF($A537="","",'2_密度換算'!$C$12*(1-((G537+'2_密度換算'!$C$8)^2*(G537+'2_密度換算'!$C$9))/('2_密度換算'!$C$10*(G537+'2_密度換算'!$C$11)))/1000)</f>
        <v/>
      </c>
      <c r="J537" s="22">
        <f>IF($A537="","",1+'2_密度換算'!$C$6*(1/I537-1/'2_密度換算'!$C$7))</f>
        <v/>
      </c>
      <c r="K537" s="23">
        <f>IF($A537="","",E537*J537/I537)</f>
        <v/>
      </c>
    </row>
    <row r="538">
      <c r="I538" s="22">
        <f>IF($A538="","",'2_密度換算'!$C$12*(1-((G538+'2_密度換算'!$C$8)^2*(G538+'2_密度換算'!$C$9))/('2_密度換算'!$C$10*(G538+'2_密度換算'!$C$11)))/1000)</f>
        <v/>
      </c>
      <c r="J538" s="22">
        <f>IF($A538="","",1+'2_密度換算'!$C$6*(1/I538-1/'2_密度換算'!$C$7))</f>
        <v/>
      </c>
      <c r="K538" s="23">
        <f>IF($A538="","",E538*J538/I538)</f>
        <v/>
      </c>
    </row>
    <row r="539">
      <c r="I539" s="22">
        <f>IF($A539="","",'2_密度換算'!$C$12*(1-((G539+'2_密度換算'!$C$8)^2*(G539+'2_密度換算'!$C$9))/('2_密度換算'!$C$10*(G539+'2_密度換算'!$C$11)))/1000)</f>
        <v/>
      </c>
      <c r="J539" s="22">
        <f>IF($A539="","",1+'2_密度換算'!$C$6*(1/I539-1/'2_密度換算'!$C$7))</f>
        <v/>
      </c>
      <c r="K539" s="23">
        <f>IF($A539="","",E539*J539/I539)</f>
        <v/>
      </c>
    </row>
    <row r="540">
      <c r="I540" s="22">
        <f>IF($A540="","",'2_密度換算'!$C$12*(1-((G540+'2_密度換算'!$C$8)^2*(G540+'2_密度換算'!$C$9))/('2_密度換算'!$C$10*(G540+'2_密度換算'!$C$11)))/1000)</f>
        <v/>
      </c>
      <c r="J540" s="22">
        <f>IF($A540="","",1+'2_密度換算'!$C$6*(1/I540-1/'2_密度換算'!$C$7))</f>
        <v/>
      </c>
      <c r="K540" s="23">
        <f>IF($A540="","",E540*J540/I540)</f>
        <v/>
      </c>
    </row>
    <row r="541">
      <c r="I541" s="22">
        <f>IF($A541="","",'2_密度換算'!$C$12*(1-((G541+'2_密度換算'!$C$8)^2*(G541+'2_密度換算'!$C$9))/('2_密度換算'!$C$10*(G541+'2_密度換算'!$C$11)))/1000)</f>
        <v/>
      </c>
      <c r="J541" s="22">
        <f>IF($A541="","",1+'2_密度換算'!$C$6*(1/I541-1/'2_密度換算'!$C$7))</f>
        <v/>
      </c>
      <c r="K541" s="23">
        <f>IF($A541="","",E541*J541/I541)</f>
        <v/>
      </c>
    </row>
    <row r="542">
      <c r="I542" s="22">
        <f>IF($A542="","",'2_密度換算'!$C$12*(1-((G542+'2_密度換算'!$C$8)^2*(G542+'2_密度換算'!$C$9))/('2_密度換算'!$C$10*(G542+'2_密度換算'!$C$11)))/1000)</f>
        <v/>
      </c>
      <c r="J542" s="22">
        <f>IF($A542="","",1+'2_密度換算'!$C$6*(1/I542-1/'2_密度換算'!$C$7))</f>
        <v/>
      </c>
      <c r="K542" s="23">
        <f>IF($A542="","",E542*J542/I542)</f>
        <v/>
      </c>
    </row>
    <row r="543">
      <c r="I543" s="22">
        <f>IF($A543="","",'2_密度換算'!$C$12*(1-((G543+'2_密度換算'!$C$8)^2*(G543+'2_密度換算'!$C$9))/('2_密度換算'!$C$10*(G543+'2_密度換算'!$C$11)))/1000)</f>
        <v/>
      </c>
      <c r="J543" s="22">
        <f>IF($A543="","",1+'2_密度換算'!$C$6*(1/I543-1/'2_密度換算'!$C$7))</f>
        <v/>
      </c>
      <c r="K543" s="23">
        <f>IF($A543="","",E543*J543/I543)</f>
        <v/>
      </c>
    </row>
    <row r="544">
      <c r="I544" s="22">
        <f>IF($A544="","",'2_密度換算'!$C$12*(1-((G544+'2_密度換算'!$C$8)^2*(G544+'2_密度換算'!$C$9))/('2_密度換算'!$C$10*(G544+'2_密度換算'!$C$11)))/1000)</f>
        <v/>
      </c>
      <c r="J544" s="22">
        <f>IF($A544="","",1+'2_密度換算'!$C$6*(1/I544-1/'2_密度換算'!$C$7))</f>
        <v/>
      </c>
      <c r="K544" s="23">
        <f>IF($A544="","",E544*J544/I544)</f>
        <v/>
      </c>
    </row>
    <row r="545">
      <c r="I545" s="22">
        <f>IF($A545="","",'2_密度換算'!$C$12*(1-((G545+'2_密度換算'!$C$8)^2*(G545+'2_密度換算'!$C$9))/('2_密度換算'!$C$10*(G545+'2_密度換算'!$C$11)))/1000)</f>
        <v/>
      </c>
      <c r="J545" s="22">
        <f>IF($A545="","",1+'2_密度換算'!$C$6*(1/I545-1/'2_密度換算'!$C$7))</f>
        <v/>
      </c>
      <c r="K545" s="23">
        <f>IF($A545="","",E545*J545/I545)</f>
        <v/>
      </c>
    </row>
    <row r="546">
      <c r="I546" s="22">
        <f>IF($A546="","",'2_密度換算'!$C$12*(1-((G546+'2_密度換算'!$C$8)^2*(G546+'2_密度換算'!$C$9))/('2_密度換算'!$C$10*(G546+'2_密度換算'!$C$11)))/1000)</f>
        <v/>
      </c>
      <c r="J546" s="22">
        <f>IF($A546="","",1+'2_密度換算'!$C$6*(1/I546-1/'2_密度換算'!$C$7))</f>
        <v/>
      </c>
      <c r="K546" s="23">
        <f>IF($A546="","",E546*J546/I546)</f>
        <v/>
      </c>
    </row>
    <row r="547">
      <c r="I547" s="22">
        <f>IF($A547="","",'2_密度換算'!$C$12*(1-((G547+'2_密度換算'!$C$8)^2*(G547+'2_密度換算'!$C$9))/('2_密度換算'!$C$10*(G547+'2_密度換算'!$C$11)))/1000)</f>
        <v/>
      </c>
      <c r="J547" s="22">
        <f>IF($A547="","",1+'2_密度換算'!$C$6*(1/I547-1/'2_密度換算'!$C$7))</f>
        <v/>
      </c>
      <c r="K547" s="23">
        <f>IF($A547="","",E547*J547/I547)</f>
        <v/>
      </c>
    </row>
    <row r="548">
      <c r="I548" s="22">
        <f>IF($A548="","",'2_密度換算'!$C$12*(1-((G548+'2_密度換算'!$C$8)^2*(G548+'2_密度換算'!$C$9))/('2_密度換算'!$C$10*(G548+'2_密度換算'!$C$11)))/1000)</f>
        <v/>
      </c>
      <c r="J548" s="22">
        <f>IF($A548="","",1+'2_密度換算'!$C$6*(1/I548-1/'2_密度換算'!$C$7))</f>
        <v/>
      </c>
      <c r="K548" s="23">
        <f>IF($A548="","",E548*J548/I548)</f>
        <v/>
      </c>
    </row>
    <row r="549">
      <c r="I549" s="22">
        <f>IF($A549="","",'2_密度換算'!$C$12*(1-((G549+'2_密度換算'!$C$8)^2*(G549+'2_密度換算'!$C$9))/('2_密度換算'!$C$10*(G549+'2_密度換算'!$C$11)))/1000)</f>
        <v/>
      </c>
      <c r="J549" s="22">
        <f>IF($A549="","",1+'2_密度換算'!$C$6*(1/I549-1/'2_密度換算'!$C$7))</f>
        <v/>
      </c>
      <c r="K549" s="23">
        <f>IF($A549="","",E549*J549/I549)</f>
        <v/>
      </c>
    </row>
    <row r="550">
      <c r="I550" s="22">
        <f>IF($A550="","",'2_密度換算'!$C$12*(1-((G550+'2_密度換算'!$C$8)^2*(G550+'2_密度換算'!$C$9))/('2_密度換算'!$C$10*(G550+'2_密度換算'!$C$11)))/1000)</f>
        <v/>
      </c>
      <c r="J550" s="22">
        <f>IF($A550="","",1+'2_密度換算'!$C$6*(1/I550-1/'2_密度換算'!$C$7))</f>
        <v/>
      </c>
      <c r="K550" s="23">
        <f>IF($A550="","",E550*J550/I550)</f>
        <v/>
      </c>
    </row>
    <row r="551">
      <c r="I551" s="22">
        <f>IF($A551="","",'2_密度換算'!$C$12*(1-((G551+'2_密度換算'!$C$8)^2*(G551+'2_密度換算'!$C$9))/('2_密度換算'!$C$10*(G551+'2_密度換算'!$C$11)))/1000)</f>
        <v/>
      </c>
      <c r="J551" s="22">
        <f>IF($A551="","",1+'2_密度換算'!$C$6*(1/I551-1/'2_密度換算'!$C$7))</f>
        <v/>
      </c>
      <c r="K551" s="23">
        <f>IF($A551="","",E551*J551/I551)</f>
        <v/>
      </c>
    </row>
    <row r="552">
      <c r="I552" s="22">
        <f>IF($A552="","",'2_密度換算'!$C$12*(1-((G552+'2_密度換算'!$C$8)^2*(G552+'2_密度換算'!$C$9))/('2_密度換算'!$C$10*(G552+'2_密度換算'!$C$11)))/1000)</f>
        <v/>
      </c>
      <c r="J552" s="22">
        <f>IF($A552="","",1+'2_密度換算'!$C$6*(1/I552-1/'2_密度換算'!$C$7))</f>
        <v/>
      </c>
      <c r="K552" s="23">
        <f>IF($A552="","",E552*J552/I552)</f>
        <v/>
      </c>
    </row>
    <row r="553">
      <c r="I553" s="22">
        <f>IF($A553="","",'2_密度換算'!$C$12*(1-((G553+'2_密度換算'!$C$8)^2*(G553+'2_密度換算'!$C$9))/('2_密度換算'!$C$10*(G553+'2_密度換算'!$C$11)))/1000)</f>
        <v/>
      </c>
      <c r="J553" s="22">
        <f>IF($A553="","",1+'2_密度換算'!$C$6*(1/I553-1/'2_密度換算'!$C$7))</f>
        <v/>
      </c>
      <c r="K553" s="23">
        <f>IF($A553="","",E553*J553/I553)</f>
        <v/>
      </c>
    </row>
    <row r="554">
      <c r="I554" s="22">
        <f>IF($A554="","",'2_密度換算'!$C$12*(1-((G554+'2_密度換算'!$C$8)^2*(G554+'2_密度換算'!$C$9))/('2_密度換算'!$C$10*(G554+'2_密度換算'!$C$11)))/1000)</f>
        <v/>
      </c>
      <c r="J554" s="22">
        <f>IF($A554="","",1+'2_密度換算'!$C$6*(1/I554-1/'2_密度換算'!$C$7))</f>
        <v/>
      </c>
      <c r="K554" s="23">
        <f>IF($A554="","",E554*J554/I554)</f>
        <v/>
      </c>
    </row>
    <row r="555">
      <c r="I555" s="22">
        <f>IF($A555="","",'2_密度換算'!$C$12*(1-((G555+'2_密度換算'!$C$8)^2*(G555+'2_密度換算'!$C$9))/('2_密度換算'!$C$10*(G555+'2_密度換算'!$C$11)))/1000)</f>
        <v/>
      </c>
      <c r="J555" s="22">
        <f>IF($A555="","",1+'2_密度換算'!$C$6*(1/I555-1/'2_密度換算'!$C$7))</f>
        <v/>
      </c>
      <c r="K555" s="23">
        <f>IF($A555="","",E555*J555/I555)</f>
        <v/>
      </c>
    </row>
    <row r="556">
      <c r="I556" s="22">
        <f>IF($A556="","",'2_密度換算'!$C$12*(1-((G556+'2_密度換算'!$C$8)^2*(G556+'2_密度換算'!$C$9))/('2_密度換算'!$C$10*(G556+'2_密度換算'!$C$11)))/1000)</f>
        <v/>
      </c>
      <c r="J556" s="22">
        <f>IF($A556="","",1+'2_密度換算'!$C$6*(1/I556-1/'2_密度換算'!$C$7))</f>
        <v/>
      </c>
      <c r="K556" s="23">
        <f>IF($A556="","",E556*J556/I556)</f>
        <v/>
      </c>
    </row>
    <row r="557">
      <c r="I557" s="22">
        <f>IF($A557="","",'2_密度換算'!$C$12*(1-((G557+'2_密度換算'!$C$8)^2*(G557+'2_密度換算'!$C$9))/('2_密度換算'!$C$10*(G557+'2_密度換算'!$C$11)))/1000)</f>
        <v/>
      </c>
      <c r="J557" s="22">
        <f>IF($A557="","",1+'2_密度換算'!$C$6*(1/I557-1/'2_密度換算'!$C$7))</f>
        <v/>
      </c>
      <c r="K557" s="23">
        <f>IF($A557="","",E557*J557/I557)</f>
        <v/>
      </c>
    </row>
    <row r="558">
      <c r="I558" s="22">
        <f>IF($A558="","",'2_密度換算'!$C$12*(1-((G558+'2_密度換算'!$C$8)^2*(G558+'2_密度換算'!$C$9))/('2_密度換算'!$C$10*(G558+'2_密度換算'!$C$11)))/1000)</f>
        <v/>
      </c>
      <c r="J558" s="22">
        <f>IF($A558="","",1+'2_密度換算'!$C$6*(1/I558-1/'2_密度換算'!$C$7))</f>
        <v/>
      </c>
      <c r="K558" s="23">
        <f>IF($A558="","",E558*J558/I558)</f>
        <v/>
      </c>
    </row>
    <row r="559">
      <c r="I559" s="22">
        <f>IF($A559="","",'2_密度換算'!$C$12*(1-((G559+'2_密度換算'!$C$8)^2*(G559+'2_密度換算'!$C$9))/('2_密度換算'!$C$10*(G559+'2_密度換算'!$C$11)))/1000)</f>
        <v/>
      </c>
      <c r="J559" s="22">
        <f>IF($A559="","",1+'2_密度換算'!$C$6*(1/I559-1/'2_密度換算'!$C$7))</f>
        <v/>
      </c>
      <c r="K559" s="23">
        <f>IF($A559="","",E559*J559/I559)</f>
        <v/>
      </c>
    </row>
    <row r="560">
      <c r="I560" s="22">
        <f>IF($A560="","",'2_密度換算'!$C$12*(1-((G560+'2_密度換算'!$C$8)^2*(G560+'2_密度換算'!$C$9))/('2_密度換算'!$C$10*(G560+'2_密度換算'!$C$11)))/1000)</f>
        <v/>
      </c>
      <c r="J560" s="22">
        <f>IF($A560="","",1+'2_密度換算'!$C$6*(1/I560-1/'2_密度換算'!$C$7))</f>
        <v/>
      </c>
      <c r="K560" s="23">
        <f>IF($A560="","",E560*J560/I560)</f>
        <v/>
      </c>
    </row>
    <row r="561">
      <c r="I561" s="22">
        <f>IF($A561="","",'2_密度換算'!$C$12*(1-((G561+'2_密度換算'!$C$8)^2*(G561+'2_密度換算'!$C$9))/('2_密度換算'!$C$10*(G561+'2_密度換算'!$C$11)))/1000)</f>
        <v/>
      </c>
      <c r="J561" s="22">
        <f>IF($A561="","",1+'2_密度換算'!$C$6*(1/I561-1/'2_密度換算'!$C$7))</f>
        <v/>
      </c>
      <c r="K561" s="23">
        <f>IF($A561="","",E561*J561/I561)</f>
        <v/>
      </c>
    </row>
    <row r="562">
      <c r="I562" s="22">
        <f>IF($A562="","",'2_密度換算'!$C$12*(1-((G562+'2_密度換算'!$C$8)^2*(G562+'2_密度換算'!$C$9))/('2_密度換算'!$C$10*(G562+'2_密度換算'!$C$11)))/1000)</f>
        <v/>
      </c>
      <c r="J562" s="22">
        <f>IF($A562="","",1+'2_密度換算'!$C$6*(1/I562-1/'2_密度換算'!$C$7))</f>
        <v/>
      </c>
      <c r="K562" s="23">
        <f>IF($A562="","",E562*J562/I562)</f>
        <v/>
      </c>
    </row>
    <row r="563">
      <c r="I563" s="22">
        <f>IF($A563="","",'2_密度換算'!$C$12*(1-((G563+'2_密度換算'!$C$8)^2*(G563+'2_密度換算'!$C$9))/('2_密度換算'!$C$10*(G563+'2_密度換算'!$C$11)))/1000)</f>
        <v/>
      </c>
      <c r="J563" s="22">
        <f>IF($A563="","",1+'2_密度換算'!$C$6*(1/I563-1/'2_密度換算'!$C$7))</f>
        <v/>
      </c>
      <c r="K563" s="23">
        <f>IF($A563="","",E563*J563/I563)</f>
        <v/>
      </c>
    </row>
    <row r="564">
      <c r="I564" s="22">
        <f>IF($A564="","",'2_密度換算'!$C$12*(1-((G564+'2_密度換算'!$C$8)^2*(G564+'2_密度換算'!$C$9))/('2_密度換算'!$C$10*(G564+'2_密度換算'!$C$11)))/1000)</f>
        <v/>
      </c>
      <c r="J564" s="22">
        <f>IF($A564="","",1+'2_密度換算'!$C$6*(1/I564-1/'2_密度換算'!$C$7))</f>
        <v/>
      </c>
      <c r="K564" s="23">
        <f>IF($A564="","",E564*J564/I564)</f>
        <v/>
      </c>
    </row>
    <row r="565">
      <c r="I565" s="22">
        <f>IF($A565="","",'2_密度換算'!$C$12*(1-((G565+'2_密度換算'!$C$8)^2*(G565+'2_密度換算'!$C$9))/('2_密度換算'!$C$10*(G565+'2_密度換算'!$C$11)))/1000)</f>
        <v/>
      </c>
      <c r="J565" s="22">
        <f>IF($A565="","",1+'2_密度換算'!$C$6*(1/I565-1/'2_密度換算'!$C$7))</f>
        <v/>
      </c>
      <c r="K565" s="23">
        <f>IF($A565="","",E565*J565/I565)</f>
        <v/>
      </c>
    </row>
    <row r="566">
      <c r="I566" s="22">
        <f>IF($A566="","",'2_密度換算'!$C$12*(1-((G566+'2_密度換算'!$C$8)^2*(G566+'2_密度換算'!$C$9))/('2_密度換算'!$C$10*(G566+'2_密度換算'!$C$11)))/1000)</f>
        <v/>
      </c>
      <c r="J566" s="22">
        <f>IF($A566="","",1+'2_密度換算'!$C$6*(1/I566-1/'2_密度換算'!$C$7))</f>
        <v/>
      </c>
      <c r="K566" s="23">
        <f>IF($A566="","",E566*J566/I566)</f>
        <v/>
      </c>
    </row>
    <row r="567">
      <c r="I567" s="22">
        <f>IF($A567="","",'2_密度換算'!$C$12*(1-((G567+'2_密度換算'!$C$8)^2*(G567+'2_密度換算'!$C$9))/('2_密度換算'!$C$10*(G567+'2_密度換算'!$C$11)))/1000)</f>
        <v/>
      </c>
      <c r="J567" s="22">
        <f>IF($A567="","",1+'2_密度換算'!$C$6*(1/I567-1/'2_密度換算'!$C$7))</f>
        <v/>
      </c>
      <c r="K567" s="23">
        <f>IF($A567="","",E567*J567/I567)</f>
        <v/>
      </c>
    </row>
    <row r="568">
      <c r="I568" s="22">
        <f>IF($A568="","",'2_密度換算'!$C$12*(1-((G568+'2_密度換算'!$C$8)^2*(G568+'2_密度換算'!$C$9))/('2_密度換算'!$C$10*(G568+'2_密度換算'!$C$11)))/1000)</f>
        <v/>
      </c>
      <c r="J568" s="22">
        <f>IF($A568="","",1+'2_密度換算'!$C$6*(1/I568-1/'2_密度換算'!$C$7))</f>
        <v/>
      </c>
      <c r="K568" s="23">
        <f>IF($A568="","",E568*J568/I568)</f>
        <v/>
      </c>
    </row>
    <row r="569">
      <c r="I569" s="22">
        <f>IF($A569="","",'2_密度換算'!$C$12*(1-((G569+'2_密度換算'!$C$8)^2*(G569+'2_密度換算'!$C$9))/('2_密度換算'!$C$10*(G569+'2_密度換算'!$C$11)))/1000)</f>
        <v/>
      </c>
      <c r="J569" s="22">
        <f>IF($A569="","",1+'2_密度換算'!$C$6*(1/I569-1/'2_密度換算'!$C$7))</f>
        <v/>
      </c>
      <c r="K569" s="23">
        <f>IF($A569="","",E569*J569/I569)</f>
        <v/>
      </c>
    </row>
    <row r="570">
      <c r="I570" s="22">
        <f>IF($A570="","",'2_密度換算'!$C$12*(1-((G570+'2_密度換算'!$C$8)^2*(G570+'2_密度換算'!$C$9))/('2_密度換算'!$C$10*(G570+'2_密度換算'!$C$11)))/1000)</f>
        <v/>
      </c>
      <c r="J570" s="22">
        <f>IF($A570="","",1+'2_密度換算'!$C$6*(1/I570-1/'2_密度換算'!$C$7))</f>
        <v/>
      </c>
      <c r="K570" s="23">
        <f>IF($A570="","",E570*J570/I570)</f>
        <v/>
      </c>
    </row>
    <row r="571">
      <c r="I571" s="22">
        <f>IF($A571="","",'2_密度換算'!$C$12*(1-((G571+'2_密度換算'!$C$8)^2*(G571+'2_密度換算'!$C$9))/('2_密度換算'!$C$10*(G571+'2_密度換算'!$C$11)))/1000)</f>
        <v/>
      </c>
      <c r="J571" s="22">
        <f>IF($A571="","",1+'2_密度換算'!$C$6*(1/I571-1/'2_密度換算'!$C$7))</f>
        <v/>
      </c>
      <c r="K571" s="23">
        <f>IF($A571="","",E571*J571/I571)</f>
        <v/>
      </c>
    </row>
    <row r="572">
      <c r="I572" s="22">
        <f>IF($A572="","",'2_密度換算'!$C$12*(1-((G572+'2_密度換算'!$C$8)^2*(G572+'2_密度換算'!$C$9))/('2_密度換算'!$C$10*(G572+'2_密度換算'!$C$11)))/1000)</f>
        <v/>
      </c>
      <c r="J572" s="22">
        <f>IF($A572="","",1+'2_密度換算'!$C$6*(1/I572-1/'2_密度換算'!$C$7))</f>
        <v/>
      </c>
      <c r="K572" s="23">
        <f>IF($A572="","",E572*J572/I572)</f>
        <v/>
      </c>
    </row>
    <row r="573">
      <c r="I573" s="22">
        <f>IF($A573="","",'2_密度換算'!$C$12*(1-((G573+'2_密度換算'!$C$8)^2*(G573+'2_密度換算'!$C$9))/('2_密度換算'!$C$10*(G573+'2_密度換算'!$C$11)))/1000)</f>
        <v/>
      </c>
      <c r="J573" s="22">
        <f>IF($A573="","",1+'2_密度換算'!$C$6*(1/I573-1/'2_密度換算'!$C$7))</f>
        <v/>
      </c>
      <c r="K573" s="23">
        <f>IF($A573="","",E573*J573/I573)</f>
        <v/>
      </c>
    </row>
    <row r="574">
      <c r="I574" s="22">
        <f>IF($A574="","",'2_密度換算'!$C$12*(1-((G574+'2_密度換算'!$C$8)^2*(G574+'2_密度換算'!$C$9))/('2_密度換算'!$C$10*(G574+'2_密度換算'!$C$11)))/1000)</f>
        <v/>
      </c>
      <c r="J574" s="22">
        <f>IF($A574="","",1+'2_密度換算'!$C$6*(1/I574-1/'2_密度換算'!$C$7))</f>
        <v/>
      </c>
      <c r="K574" s="23">
        <f>IF($A574="","",E574*J574/I574)</f>
        <v/>
      </c>
    </row>
    <row r="575">
      <c r="I575" s="22">
        <f>IF($A575="","",'2_密度換算'!$C$12*(1-((G575+'2_密度換算'!$C$8)^2*(G575+'2_密度換算'!$C$9))/('2_密度換算'!$C$10*(G575+'2_密度換算'!$C$11)))/1000)</f>
        <v/>
      </c>
      <c r="J575" s="22">
        <f>IF($A575="","",1+'2_密度換算'!$C$6*(1/I575-1/'2_密度換算'!$C$7))</f>
        <v/>
      </c>
      <c r="K575" s="23">
        <f>IF($A575="","",E575*J575/I575)</f>
        <v/>
      </c>
    </row>
    <row r="576">
      <c r="I576" s="22">
        <f>IF($A576="","",'2_密度換算'!$C$12*(1-((G576+'2_密度換算'!$C$8)^2*(G576+'2_密度換算'!$C$9))/('2_密度換算'!$C$10*(G576+'2_密度換算'!$C$11)))/1000)</f>
        <v/>
      </c>
      <c r="J576" s="22">
        <f>IF($A576="","",1+'2_密度換算'!$C$6*(1/I576-1/'2_密度換算'!$C$7))</f>
        <v/>
      </c>
      <c r="K576" s="23">
        <f>IF($A576="","",E576*J576/I576)</f>
        <v/>
      </c>
    </row>
    <row r="577">
      <c r="I577" s="22">
        <f>IF($A577="","",'2_密度換算'!$C$12*(1-((G577+'2_密度換算'!$C$8)^2*(G577+'2_密度換算'!$C$9))/('2_密度換算'!$C$10*(G577+'2_密度換算'!$C$11)))/1000)</f>
        <v/>
      </c>
      <c r="J577" s="22">
        <f>IF($A577="","",1+'2_密度換算'!$C$6*(1/I577-1/'2_密度換算'!$C$7))</f>
        <v/>
      </c>
      <c r="K577" s="23">
        <f>IF($A577="","",E577*J577/I577)</f>
        <v/>
      </c>
    </row>
    <row r="578">
      <c r="I578" s="22">
        <f>IF($A578="","",'2_密度換算'!$C$12*(1-((G578+'2_密度換算'!$C$8)^2*(G578+'2_密度換算'!$C$9))/('2_密度換算'!$C$10*(G578+'2_密度換算'!$C$11)))/1000)</f>
        <v/>
      </c>
      <c r="J578" s="22">
        <f>IF($A578="","",1+'2_密度換算'!$C$6*(1/I578-1/'2_密度換算'!$C$7))</f>
        <v/>
      </c>
      <c r="K578" s="23">
        <f>IF($A578="","",E578*J578/I578)</f>
        <v/>
      </c>
    </row>
    <row r="579">
      <c r="I579" s="22">
        <f>IF($A579="","",'2_密度換算'!$C$12*(1-((G579+'2_密度換算'!$C$8)^2*(G579+'2_密度換算'!$C$9))/('2_密度換算'!$C$10*(G579+'2_密度換算'!$C$11)))/1000)</f>
        <v/>
      </c>
      <c r="J579" s="22">
        <f>IF($A579="","",1+'2_密度換算'!$C$6*(1/I579-1/'2_密度換算'!$C$7))</f>
        <v/>
      </c>
      <c r="K579" s="23">
        <f>IF($A579="","",E579*J579/I579)</f>
        <v/>
      </c>
    </row>
    <row r="580">
      <c r="I580" s="22">
        <f>IF($A580="","",'2_密度換算'!$C$12*(1-((G580+'2_密度換算'!$C$8)^2*(G580+'2_密度換算'!$C$9))/('2_密度換算'!$C$10*(G580+'2_密度換算'!$C$11)))/1000)</f>
        <v/>
      </c>
      <c r="J580" s="22">
        <f>IF($A580="","",1+'2_密度換算'!$C$6*(1/I580-1/'2_密度換算'!$C$7))</f>
        <v/>
      </c>
      <c r="K580" s="23">
        <f>IF($A580="","",E580*J580/I580)</f>
        <v/>
      </c>
    </row>
    <row r="581">
      <c r="I581" s="22">
        <f>IF($A581="","",'2_密度換算'!$C$12*(1-((G581+'2_密度換算'!$C$8)^2*(G581+'2_密度換算'!$C$9))/('2_密度換算'!$C$10*(G581+'2_密度換算'!$C$11)))/1000)</f>
        <v/>
      </c>
      <c r="J581" s="22">
        <f>IF($A581="","",1+'2_密度換算'!$C$6*(1/I581-1/'2_密度換算'!$C$7))</f>
        <v/>
      </c>
      <c r="K581" s="23">
        <f>IF($A581="","",E581*J581/I581)</f>
        <v/>
      </c>
    </row>
    <row r="582">
      <c r="I582" s="22">
        <f>IF($A582="","",'2_密度換算'!$C$12*(1-((G582+'2_密度換算'!$C$8)^2*(G582+'2_密度換算'!$C$9))/('2_密度換算'!$C$10*(G582+'2_密度換算'!$C$11)))/1000)</f>
        <v/>
      </c>
      <c r="J582" s="22">
        <f>IF($A582="","",1+'2_密度換算'!$C$6*(1/I582-1/'2_密度換算'!$C$7))</f>
        <v/>
      </c>
      <c r="K582" s="23">
        <f>IF($A582="","",E582*J582/I582)</f>
        <v/>
      </c>
    </row>
    <row r="583">
      <c r="I583" s="22">
        <f>IF($A583="","",'2_密度換算'!$C$12*(1-((G583+'2_密度換算'!$C$8)^2*(G583+'2_密度換算'!$C$9))/('2_密度換算'!$C$10*(G583+'2_密度換算'!$C$11)))/1000)</f>
        <v/>
      </c>
      <c r="J583" s="22">
        <f>IF($A583="","",1+'2_密度換算'!$C$6*(1/I583-1/'2_密度換算'!$C$7))</f>
        <v/>
      </c>
      <c r="K583" s="23">
        <f>IF($A583="","",E583*J583/I583)</f>
        <v/>
      </c>
    </row>
    <row r="584">
      <c r="I584" s="22">
        <f>IF($A584="","",'2_密度換算'!$C$12*(1-((G584+'2_密度換算'!$C$8)^2*(G584+'2_密度換算'!$C$9))/('2_密度換算'!$C$10*(G584+'2_密度換算'!$C$11)))/1000)</f>
        <v/>
      </c>
      <c r="J584" s="22">
        <f>IF($A584="","",1+'2_密度換算'!$C$6*(1/I584-1/'2_密度換算'!$C$7))</f>
        <v/>
      </c>
      <c r="K584" s="23">
        <f>IF($A584="","",E584*J584/I584)</f>
        <v/>
      </c>
    </row>
    <row r="585">
      <c r="I585" s="22">
        <f>IF($A585="","",'2_密度換算'!$C$12*(1-((G585+'2_密度換算'!$C$8)^2*(G585+'2_密度換算'!$C$9))/('2_密度換算'!$C$10*(G585+'2_密度換算'!$C$11)))/1000)</f>
        <v/>
      </c>
      <c r="J585" s="22">
        <f>IF($A585="","",1+'2_密度換算'!$C$6*(1/I585-1/'2_密度換算'!$C$7))</f>
        <v/>
      </c>
      <c r="K585" s="23">
        <f>IF($A585="","",E585*J585/I585)</f>
        <v/>
      </c>
    </row>
    <row r="586">
      <c r="I586" s="22">
        <f>IF($A586="","",'2_密度換算'!$C$12*(1-((G586+'2_密度換算'!$C$8)^2*(G586+'2_密度換算'!$C$9))/('2_密度換算'!$C$10*(G586+'2_密度換算'!$C$11)))/1000)</f>
        <v/>
      </c>
      <c r="J586" s="22">
        <f>IF($A586="","",1+'2_密度換算'!$C$6*(1/I586-1/'2_密度換算'!$C$7))</f>
        <v/>
      </c>
      <c r="K586" s="23">
        <f>IF($A586="","",E586*J586/I586)</f>
        <v/>
      </c>
    </row>
    <row r="587">
      <c r="I587" s="22">
        <f>IF($A587="","",'2_密度換算'!$C$12*(1-((G587+'2_密度換算'!$C$8)^2*(G587+'2_密度換算'!$C$9))/('2_密度換算'!$C$10*(G587+'2_密度換算'!$C$11)))/1000)</f>
        <v/>
      </c>
      <c r="J587" s="22">
        <f>IF($A587="","",1+'2_密度換算'!$C$6*(1/I587-1/'2_密度換算'!$C$7))</f>
        <v/>
      </c>
      <c r="K587" s="23">
        <f>IF($A587="","",E587*J587/I587)</f>
        <v/>
      </c>
    </row>
    <row r="588">
      <c r="I588" s="22">
        <f>IF($A588="","",'2_密度換算'!$C$12*(1-((G588+'2_密度換算'!$C$8)^2*(G588+'2_密度換算'!$C$9))/('2_密度換算'!$C$10*(G588+'2_密度換算'!$C$11)))/1000)</f>
        <v/>
      </c>
      <c r="J588" s="22">
        <f>IF($A588="","",1+'2_密度換算'!$C$6*(1/I588-1/'2_密度換算'!$C$7))</f>
        <v/>
      </c>
      <c r="K588" s="23">
        <f>IF($A588="","",E588*J588/I588)</f>
        <v/>
      </c>
    </row>
    <row r="589">
      <c r="I589" s="22">
        <f>IF($A589="","",'2_密度換算'!$C$12*(1-((G589+'2_密度換算'!$C$8)^2*(G589+'2_密度換算'!$C$9))/('2_密度換算'!$C$10*(G589+'2_密度換算'!$C$11)))/1000)</f>
        <v/>
      </c>
      <c r="J589" s="22">
        <f>IF($A589="","",1+'2_密度換算'!$C$6*(1/I589-1/'2_密度換算'!$C$7))</f>
        <v/>
      </c>
      <c r="K589" s="23">
        <f>IF($A589="","",E589*J589/I589)</f>
        <v/>
      </c>
    </row>
    <row r="590">
      <c r="I590" s="22">
        <f>IF($A590="","",'2_密度換算'!$C$12*(1-((G590+'2_密度換算'!$C$8)^2*(G590+'2_密度換算'!$C$9))/('2_密度換算'!$C$10*(G590+'2_密度換算'!$C$11)))/1000)</f>
        <v/>
      </c>
      <c r="J590" s="22">
        <f>IF($A590="","",1+'2_密度換算'!$C$6*(1/I590-1/'2_密度換算'!$C$7))</f>
        <v/>
      </c>
      <c r="K590" s="23">
        <f>IF($A590="","",E590*J590/I590)</f>
        <v/>
      </c>
    </row>
    <row r="591">
      <c r="I591" s="22">
        <f>IF($A591="","",'2_密度換算'!$C$12*(1-((G591+'2_密度換算'!$C$8)^2*(G591+'2_密度換算'!$C$9))/('2_密度換算'!$C$10*(G591+'2_密度換算'!$C$11)))/1000)</f>
        <v/>
      </c>
      <c r="J591" s="22">
        <f>IF($A591="","",1+'2_密度換算'!$C$6*(1/I591-1/'2_密度換算'!$C$7))</f>
        <v/>
      </c>
      <c r="K591" s="23">
        <f>IF($A591="","",E591*J591/I591)</f>
        <v/>
      </c>
    </row>
    <row r="592">
      <c r="I592" s="22">
        <f>IF($A592="","",'2_密度換算'!$C$12*(1-((G592+'2_密度換算'!$C$8)^2*(G592+'2_密度換算'!$C$9))/('2_密度換算'!$C$10*(G592+'2_密度換算'!$C$11)))/1000)</f>
        <v/>
      </c>
      <c r="J592" s="22">
        <f>IF($A592="","",1+'2_密度換算'!$C$6*(1/I592-1/'2_密度換算'!$C$7))</f>
        <v/>
      </c>
      <c r="K592" s="23">
        <f>IF($A592="","",E592*J592/I592)</f>
        <v/>
      </c>
    </row>
    <row r="593">
      <c r="I593" s="22">
        <f>IF($A593="","",'2_密度換算'!$C$12*(1-((G593+'2_密度換算'!$C$8)^2*(G593+'2_密度換算'!$C$9))/('2_密度換算'!$C$10*(G593+'2_密度換算'!$C$11)))/1000)</f>
        <v/>
      </c>
      <c r="J593" s="22">
        <f>IF($A593="","",1+'2_密度換算'!$C$6*(1/I593-1/'2_密度換算'!$C$7))</f>
        <v/>
      </c>
      <c r="K593" s="23">
        <f>IF($A593="","",E593*J593/I593)</f>
        <v/>
      </c>
    </row>
    <row r="594">
      <c r="I594" s="22">
        <f>IF($A594="","",'2_密度換算'!$C$12*(1-((G594+'2_密度換算'!$C$8)^2*(G594+'2_密度換算'!$C$9))/('2_密度換算'!$C$10*(G594+'2_密度換算'!$C$11)))/1000)</f>
        <v/>
      </c>
      <c r="J594" s="22">
        <f>IF($A594="","",1+'2_密度換算'!$C$6*(1/I594-1/'2_密度換算'!$C$7))</f>
        <v/>
      </c>
      <c r="K594" s="23">
        <f>IF($A594="","",E594*J594/I594)</f>
        <v/>
      </c>
    </row>
    <row r="595">
      <c r="I595" s="22">
        <f>IF($A595="","",'2_密度換算'!$C$12*(1-((G595+'2_密度換算'!$C$8)^2*(G595+'2_密度換算'!$C$9))/('2_密度換算'!$C$10*(G595+'2_密度換算'!$C$11)))/1000)</f>
        <v/>
      </c>
      <c r="J595" s="22">
        <f>IF($A595="","",1+'2_密度換算'!$C$6*(1/I595-1/'2_密度換算'!$C$7))</f>
        <v/>
      </c>
      <c r="K595" s="23">
        <f>IF($A595="","",E595*J595/I595)</f>
        <v/>
      </c>
    </row>
    <row r="596">
      <c r="I596" s="22">
        <f>IF($A596="","",'2_密度換算'!$C$12*(1-((G596+'2_密度換算'!$C$8)^2*(G596+'2_密度換算'!$C$9))/('2_密度換算'!$C$10*(G596+'2_密度換算'!$C$11)))/1000)</f>
        <v/>
      </c>
      <c r="J596" s="22">
        <f>IF($A596="","",1+'2_密度換算'!$C$6*(1/I596-1/'2_密度換算'!$C$7))</f>
        <v/>
      </c>
      <c r="K596" s="23">
        <f>IF($A596="","",E596*J596/I596)</f>
        <v/>
      </c>
    </row>
    <row r="597">
      <c r="I597" s="22">
        <f>IF($A597="","",'2_密度換算'!$C$12*(1-((G597+'2_密度換算'!$C$8)^2*(G597+'2_密度換算'!$C$9))/('2_密度換算'!$C$10*(G597+'2_密度換算'!$C$11)))/1000)</f>
        <v/>
      </c>
      <c r="J597" s="22">
        <f>IF($A597="","",1+'2_密度換算'!$C$6*(1/I597-1/'2_密度換算'!$C$7))</f>
        <v/>
      </c>
      <c r="K597" s="23">
        <f>IF($A597="","",E597*J597/I597)</f>
        <v/>
      </c>
    </row>
    <row r="598">
      <c r="I598" s="22">
        <f>IF($A598="","",'2_密度換算'!$C$12*(1-((G598+'2_密度換算'!$C$8)^2*(G598+'2_密度換算'!$C$9))/('2_密度換算'!$C$10*(G598+'2_密度換算'!$C$11)))/1000)</f>
        <v/>
      </c>
      <c r="J598" s="22">
        <f>IF($A598="","",1+'2_密度換算'!$C$6*(1/I598-1/'2_密度換算'!$C$7))</f>
        <v/>
      </c>
      <c r="K598" s="23">
        <f>IF($A598="","",E598*J598/I598)</f>
        <v/>
      </c>
    </row>
    <row r="599">
      <c r="I599" s="22">
        <f>IF($A599="","",'2_密度換算'!$C$12*(1-((G599+'2_密度換算'!$C$8)^2*(G599+'2_密度換算'!$C$9))/('2_密度換算'!$C$10*(G599+'2_密度換算'!$C$11)))/1000)</f>
        <v/>
      </c>
      <c r="J599" s="22">
        <f>IF($A599="","",1+'2_密度換算'!$C$6*(1/I599-1/'2_密度換算'!$C$7))</f>
        <v/>
      </c>
      <c r="K599" s="23">
        <f>IF($A599="","",E599*J599/I599)</f>
        <v/>
      </c>
    </row>
    <row r="600">
      <c r="I600" s="22">
        <f>IF($A600="","",'2_密度換算'!$C$12*(1-((G600+'2_密度換算'!$C$8)^2*(G600+'2_密度換算'!$C$9))/('2_密度換算'!$C$10*(G600+'2_密度換算'!$C$11)))/1000)</f>
        <v/>
      </c>
      <c r="J600" s="22">
        <f>IF($A600="","",1+'2_密度換算'!$C$6*(1/I600-1/'2_密度換算'!$C$7))</f>
        <v/>
      </c>
      <c r="K600" s="23">
        <f>IF($A600="","",E600*J600/I600)</f>
        <v/>
      </c>
    </row>
    <row r="601">
      <c r="I601" s="22">
        <f>IF($A601="","",'2_密度換算'!$C$12*(1-((G601+'2_密度換算'!$C$8)^2*(G601+'2_密度換算'!$C$9))/('2_密度換算'!$C$10*(G601+'2_密度換算'!$C$11)))/1000)</f>
        <v/>
      </c>
      <c r="J601" s="22">
        <f>IF($A601="","",1+'2_密度換算'!$C$6*(1/I601-1/'2_密度換算'!$C$7))</f>
        <v/>
      </c>
      <c r="K601" s="23">
        <f>IF($A601="","",E601*J601/I601)</f>
        <v/>
      </c>
    </row>
    <row r="602">
      <c r="I602" s="22">
        <f>IF($A602="","",'2_密度換算'!$C$12*(1-((G602+'2_密度換算'!$C$8)^2*(G602+'2_密度換算'!$C$9))/('2_密度換算'!$C$10*(G602+'2_密度換算'!$C$11)))/1000)</f>
        <v/>
      </c>
      <c r="J602" s="22">
        <f>IF($A602="","",1+'2_密度換算'!$C$6*(1/I602-1/'2_密度換算'!$C$7))</f>
        <v/>
      </c>
      <c r="K602" s="23">
        <f>IF($A602="","",E602*J602/I602)</f>
        <v/>
      </c>
    </row>
    <row r="603">
      <c r="I603" s="22">
        <f>IF($A603="","",'2_密度換算'!$C$12*(1-((G603+'2_密度換算'!$C$8)^2*(G603+'2_密度換算'!$C$9))/('2_密度換算'!$C$10*(G603+'2_密度換算'!$C$11)))/1000)</f>
        <v/>
      </c>
      <c r="J603" s="22">
        <f>IF($A603="","",1+'2_密度換算'!$C$6*(1/I603-1/'2_密度換算'!$C$7))</f>
        <v/>
      </c>
      <c r="K603" s="23">
        <f>IF($A603="","",E603*J603/I603)</f>
        <v/>
      </c>
    </row>
    <row r="604">
      <c r="I604" s="22">
        <f>IF($A604="","",'2_密度換算'!$C$12*(1-((G604+'2_密度換算'!$C$8)^2*(G604+'2_密度換算'!$C$9))/('2_密度換算'!$C$10*(G604+'2_密度換算'!$C$11)))/1000)</f>
        <v/>
      </c>
      <c r="J604" s="22">
        <f>IF($A604="","",1+'2_密度換算'!$C$6*(1/I604-1/'2_密度換算'!$C$7))</f>
        <v/>
      </c>
      <c r="K604" s="23">
        <f>IF($A604="","",E604*J604/I604)</f>
        <v/>
      </c>
    </row>
    <row r="605">
      <c r="I605" s="22">
        <f>IF($A605="","",'2_密度換算'!$C$12*(1-((G605+'2_密度換算'!$C$8)^2*(G605+'2_密度換算'!$C$9))/('2_密度換算'!$C$10*(G605+'2_密度換算'!$C$11)))/1000)</f>
        <v/>
      </c>
      <c r="J605" s="22">
        <f>IF($A605="","",1+'2_密度換算'!$C$6*(1/I605-1/'2_密度換算'!$C$7))</f>
        <v/>
      </c>
      <c r="K605" s="23">
        <f>IF($A605="","",E605*J605/I605)</f>
        <v/>
      </c>
    </row>
    <row r="606">
      <c r="I606" s="22">
        <f>IF($A606="","",'2_密度換算'!$C$12*(1-((G606+'2_密度換算'!$C$8)^2*(G606+'2_密度換算'!$C$9))/('2_密度換算'!$C$10*(G606+'2_密度換算'!$C$11)))/1000)</f>
        <v/>
      </c>
      <c r="J606" s="22">
        <f>IF($A606="","",1+'2_密度換算'!$C$6*(1/I606-1/'2_密度換算'!$C$7))</f>
        <v/>
      </c>
      <c r="K606" s="23">
        <f>IF($A606="","",E606*J606/I606)</f>
        <v/>
      </c>
    </row>
    <row r="607">
      <c r="I607" s="22">
        <f>IF($A607="","",'2_密度換算'!$C$12*(1-((G607+'2_密度換算'!$C$8)^2*(G607+'2_密度換算'!$C$9))/('2_密度換算'!$C$10*(G607+'2_密度換算'!$C$11)))/1000)</f>
        <v/>
      </c>
      <c r="J607" s="22">
        <f>IF($A607="","",1+'2_密度換算'!$C$6*(1/I607-1/'2_密度換算'!$C$7))</f>
        <v/>
      </c>
      <c r="K607" s="23">
        <f>IF($A607="","",E607*J607/I607)</f>
        <v/>
      </c>
    </row>
    <row r="608">
      <c r="I608" s="22">
        <f>IF($A608="","",'2_密度換算'!$C$12*(1-((G608+'2_密度換算'!$C$8)^2*(G608+'2_密度換算'!$C$9))/('2_密度換算'!$C$10*(G608+'2_密度換算'!$C$11)))/1000)</f>
        <v/>
      </c>
      <c r="J608" s="22">
        <f>IF($A608="","",1+'2_密度換算'!$C$6*(1/I608-1/'2_密度換算'!$C$7))</f>
        <v/>
      </c>
      <c r="K608" s="23">
        <f>IF($A608="","",E608*J608/I608)</f>
        <v/>
      </c>
    </row>
    <row r="609">
      <c r="I609" s="22">
        <f>IF($A609="","",'2_密度換算'!$C$12*(1-((G609+'2_密度換算'!$C$8)^2*(G609+'2_密度換算'!$C$9))/('2_密度換算'!$C$10*(G609+'2_密度換算'!$C$11)))/1000)</f>
        <v/>
      </c>
      <c r="J609" s="22">
        <f>IF($A609="","",1+'2_密度換算'!$C$6*(1/I609-1/'2_密度換算'!$C$7))</f>
        <v/>
      </c>
      <c r="K609" s="23">
        <f>IF($A609="","",E609*J609/I609)</f>
        <v/>
      </c>
    </row>
    <row r="610">
      <c r="I610" s="22">
        <f>IF($A610="","",'2_密度換算'!$C$12*(1-((G610+'2_密度換算'!$C$8)^2*(G610+'2_密度換算'!$C$9))/('2_密度換算'!$C$10*(G610+'2_密度換算'!$C$11)))/1000)</f>
        <v/>
      </c>
      <c r="J610" s="22">
        <f>IF($A610="","",1+'2_密度換算'!$C$6*(1/I610-1/'2_密度換算'!$C$7))</f>
        <v/>
      </c>
      <c r="K610" s="23">
        <f>IF($A610="","",E610*J610/I610)</f>
        <v/>
      </c>
    </row>
    <row r="611">
      <c r="I611" s="22">
        <f>IF($A611="","",'2_密度換算'!$C$12*(1-((G611+'2_密度換算'!$C$8)^2*(G611+'2_密度換算'!$C$9))/('2_密度換算'!$C$10*(G611+'2_密度換算'!$C$11)))/1000)</f>
        <v/>
      </c>
      <c r="J611" s="22">
        <f>IF($A611="","",1+'2_密度換算'!$C$6*(1/I611-1/'2_密度換算'!$C$7))</f>
        <v/>
      </c>
      <c r="K611" s="23">
        <f>IF($A611="","",E611*J611/I611)</f>
        <v/>
      </c>
    </row>
    <row r="612">
      <c r="I612" s="22">
        <f>IF($A612="","",'2_密度換算'!$C$12*(1-((G612+'2_密度換算'!$C$8)^2*(G612+'2_密度換算'!$C$9))/('2_密度換算'!$C$10*(G612+'2_密度換算'!$C$11)))/1000)</f>
        <v/>
      </c>
      <c r="J612" s="22">
        <f>IF($A612="","",1+'2_密度換算'!$C$6*(1/I612-1/'2_密度換算'!$C$7))</f>
        <v/>
      </c>
      <c r="K612" s="23">
        <f>IF($A612="","",E612*J612/I612)</f>
        <v/>
      </c>
    </row>
    <row r="613">
      <c r="I613" s="22">
        <f>IF($A613="","",'2_密度換算'!$C$12*(1-((G613+'2_密度換算'!$C$8)^2*(G613+'2_密度換算'!$C$9))/('2_密度換算'!$C$10*(G613+'2_密度換算'!$C$11)))/1000)</f>
        <v/>
      </c>
      <c r="J613" s="22">
        <f>IF($A613="","",1+'2_密度換算'!$C$6*(1/I613-1/'2_密度換算'!$C$7))</f>
        <v/>
      </c>
      <c r="K613" s="23">
        <f>IF($A613="","",E613*J613/I613)</f>
        <v/>
      </c>
    </row>
    <row r="614">
      <c r="I614" s="22">
        <f>IF($A614="","",'2_密度換算'!$C$12*(1-((G614+'2_密度換算'!$C$8)^2*(G614+'2_密度換算'!$C$9))/('2_密度換算'!$C$10*(G614+'2_密度換算'!$C$11)))/1000)</f>
        <v/>
      </c>
      <c r="J614" s="22">
        <f>IF($A614="","",1+'2_密度換算'!$C$6*(1/I614-1/'2_密度換算'!$C$7))</f>
        <v/>
      </c>
      <c r="K614" s="23">
        <f>IF($A614="","",E614*J614/I614)</f>
        <v/>
      </c>
    </row>
    <row r="615">
      <c r="I615" s="22">
        <f>IF($A615="","",'2_密度換算'!$C$12*(1-((G615+'2_密度換算'!$C$8)^2*(G615+'2_密度換算'!$C$9))/('2_密度換算'!$C$10*(G615+'2_密度換算'!$C$11)))/1000)</f>
        <v/>
      </c>
      <c r="J615" s="22">
        <f>IF($A615="","",1+'2_密度換算'!$C$6*(1/I615-1/'2_密度換算'!$C$7))</f>
        <v/>
      </c>
      <c r="K615" s="23">
        <f>IF($A615="","",E615*J615/I615)</f>
        <v/>
      </c>
    </row>
    <row r="616">
      <c r="I616" s="22">
        <f>IF($A616="","",'2_密度換算'!$C$12*(1-((G616+'2_密度換算'!$C$8)^2*(G616+'2_密度換算'!$C$9))/('2_密度換算'!$C$10*(G616+'2_密度換算'!$C$11)))/1000)</f>
        <v/>
      </c>
      <c r="J616" s="22">
        <f>IF($A616="","",1+'2_密度換算'!$C$6*(1/I616-1/'2_密度換算'!$C$7))</f>
        <v/>
      </c>
      <c r="K616" s="23">
        <f>IF($A616="","",E616*J616/I616)</f>
        <v/>
      </c>
    </row>
    <row r="617">
      <c r="I617" s="22">
        <f>IF($A617="","",'2_密度換算'!$C$12*(1-((G617+'2_密度換算'!$C$8)^2*(G617+'2_密度換算'!$C$9))/('2_密度換算'!$C$10*(G617+'2_密度換算'!$C$11)))/1000)</f>
        <v/>
      </c>
      <c r="J617" s="22">
        <f>IF($A617="","",1+'2_密度換算'!$C$6*(1/I617-1/'2_密度換算'!$C$7))</f>
        <v/>
      </c>
      <c r="K617" s="23">
        <f>IF($A617="","",E617*J617/I617)</f>
        <v/>
      </c>
    </row>
    <row r="618">
      <c r="I618" s="22">
        <f>IF($A618="","",'2_密度換算'!$C$12*(1-((G618+'2_密度換算'!$C$8)^2*(G618+'2_密度換算'!$C$9))/('2_密度換算'!$C$10*(G618+'2_密度換算'!$C$11)))/1000)</f>
        <v/>
      </c>
      <c r="J618" s="22">
        <f>IF($A618="","",1+'2_密度換算'!$C$6*(1/I618-1/'2_密度換算'!$C$7))</f>
        <v/>
      </c>
      <c r="K618" s="23">
        <f>IF($A618="","",E618*J618/I618)</f>
        <v/>
      </c>
    </row>
    <row r="619">
      <c r="I619" s="22">
        <f>IF($A619="","",'2_密度換算'!$C$12*(1-((G619+'2_密度換算'!$C$8)^2*(G619+'2_密度換算'!$C$9))/('2_密度換算'!$C$10*(G619+'2_密度換算'!$C$11)))/1000)</f>
        <v/>
      </c>
      <c r="J619" s="22">
        <f>IF($A619="","",1+'2_密度換算'!$C$6*(1/I619-1/'2_密度換算'!$C$7))</f>
        <v/>
      </c>
      <c r="K619" s="23">
        <f>IF($A619="","",E619*J619/I619)</f>
        <v/>
      </c>
    </row>
    <row r="620">
      <c r="I620" s="22">
        <f>IF($A620="","",'2_密度換算'!$C$12*(1-((G620+'2_密度換算'!$C$8)^2*(G620+'2_密度換算'!$C$9))/('2_密度換算'!$C$10*(G620+'2_密度換算'!$C$11)))/1000)</f>
        <v/>
      </c>
      <c r="J620" s="22">
        <f>IF($A620="","",1+'2_密度換算'!$C$6*(1/I620-1/'2_密度換算'!$C$7))</f>
        <v/>
      </c>
      <c r="K620" s="23">
        <f>IF($A620="","",E620*J620/I620)</f>
        <v/>
      </c>
    </row>
    <row r="621">
      <c r="I621" s="22">
        <f>IF($A621="","",'2_密度換算'!$C$12*(1-((G621+'2_密度換算'!$C$8)^2*(G621+'2_密度換算'!$C$9))/('2_密度換算'!$C$10*(G621+'2_密度換算'!$C$11)))/1000)</f>
        <v/>
      </c>
      <c r="J621" s="22">
        <f>IF($A621="","",1+'2_密度換算'!$C$6*(1/I621-1/'2_密度換算'!$C$7))</f>
        <v/>
      </c>
      <c r="K621" s="23">
        <f>IF($A621="","",E621*J621/I621)</f>
        <v/>
      </c>
    </row>
    <row r="622">
      <c r="I622" s="22">
        <f>IF($A622="","",'2_密度換算'!$C$12*(1-((G622+'2_密度換算'!$C$8)^2*(G622+'2_密度換算'!$C$9))/('2_密度換算'!$C$10*(G622+'2_密度換算'!$C$11)))/1000)</f>
        <v/>
      </c>
      <c r="J622" s="22">
        <f>IF($A622="","",1+'2_密度換算'!$C$6*(1/I622-1/'2_密度換算'!$C$7))</f>
        <v/>
      </c>
      <c r="K622" s="23">
        <f>IF($A622="","",E622*J622/I622)</f>
        <v/>
      </c>
    </row>
    <row r="623">
      <c r="I623" s="22">
        <f>IF($A623="","",'2_密度換算'!$C$12*(1-((G623+'2_密度換算'!$C$8)^2*(G623+'2_密度換算'!$C$9))/('2_密度換算'!$C$10*(G623+'2_密度換算'!$C$11)))/1000)</f>
        <v/>
      </c>
      <c r="J623" s="22">
        <f>IF($A623="","",1+'2_密度換算'!$C$6*(1/I623-1/'2_密度換算'!$C$7))</f>
        <v/>
      </c>
      <c r="K623" s="23">
        <f>IF($A623="","",E623*J623/I623)</f>
        <v/>
      </c>
    </row>
    <row r="624">
      <c r="I624" s="22">
        <f>IF($A624="","",'2_密度換算'!$C$12*(1-((G624+'2_密度換算'!$C$8)^2*(G624+'2_密度換算'!$C$9))/('2_密度換算'!$C$10*(G624+'2_密度換算'!$C$11)))/1000)</f>
        <v/>
      </c>
      <c r="J624" s="22">
        <f>IF($A624="","",1+'2_密度換算'!$C$6*(1/I624-1/'2_密度換算'!$C$7))</f>
        <v/>
      </c>
      <c r="K624" s="23">
        <f>IF($A624="","",E624*J624/I624)</f>
        <v/>
      </c>
    </row>
    <row r="625">
      <c r="I625" s="22">
        <f>IF($A625="","",'2_密度換算'!$C$12*(1-((G625+'2_密度換算'!$C$8)^2*(G625+'2_密度換算'!$C$9))/('2_密度換算'!$C$10*(G625+'2_密度換算'!$C$11)))/1000)</f>
        <v/>
      </c>
      <c r="J625" s="22">
        <f>IF($A625="","",1+'2_密度換算'!$C$6*(1/I625-1/'2_密度換算'!$C$7))</f>
        <v/>
      </c>
      <c r="K625" s="23">
        <f>IF($A625="","",E625*J625/I625)</f>
        <v/>
      </c>
    </row>
    <row r="626">
      <c r="I626" s="22">
        <f>IF($A626="","",'2_密度換算'!$C$12*(1-((G626+'2_密度換算'!$C$8)^2*(G626+'2_密度換算'!$C$9))/('2_密度換算'!$C$10*(G626+'2_密度換算'!$C$11)))/1000)</f>
        <v/>
      </c>
      <c r="J626" s="22">
        <f>IF($A626="","",1+'2_密度換算'!$C$6*(1/I626-1/'2_密度換算'!$C$7))</f>
        <v/>
      </c>
      <c r="K626" s="23">
        <f>IF($A626="","",E626*J626/I626)</f>
        <v/>
      </c>
    </row>
    <row r="627">
      <c r="I627" s="22">
        <f>IF($A627="","",'2_密度換算'!$C$12*(1-((G627+'2_密度換算'!$C$8)^2*(G627+'2_密度換算'!$C$9))/('2_密度換算'!$C$10*(G627+'2_密度換算'!$C$11)))/1000)</f>
        <v/>
      </c>
      <c r="J627" s="22">
        <f>IF($A627="","",1+'2_密度換算'!$C$6*(1/I627-1/'2_密度換算'!$C$7))</f>
        <v/>
      </c>
      <c r="K627" s="23">
        <f>IF($A627="","",E627*J627/I627)</f>
        <v/>
      </c>
    </row>
    <row r="628">
      <c r="I628" s="22">
        <f>IF($A628="","",'2_密度換算'!$C$12*(1-((G628+'2_密度換算'!$C$8)^2*(G628+'2_密度換算'!$C$9))/('2_密度換算'!$C$10*(G628+'2_密度換算'!$C$11)))/1000)</f>
        <v/>
      </c>
      <c r="J628" s="22">
        <f>IF($A628="","",1+'2_密度換算'!$C$6*(1/I628-1/'2_密度換算'!$C$7))</f>
        <v/>
      </c>
      <c r="K628" s="23">
        <f>IF($A628="","",E628*J628/I628)</f>
        <v/>
      </c>
    </row>
    <row r="629">
      <c r="I629" s="22">
        <f>IF($A629="","",'2_密度換算'!$C$12*(1-((G629+'2_密度換算'!$C$8)^2*(G629+'2_密度換算'!$C$9))/('2_密度換算'!$C$10*(G629+'2_密度換算'!$C$11)))/1000)</f>
        <v/>
      </c>
      <c r="J629" s="22">
        <f>IF($A629="","",1+'2_密度換算'!$C$6*(1/I629-1/'2_密度換算'!$C$7))</f>
        <v/>
      </c>
      <c r="K629" s="23">
        <f>IF($A629="","",E629*J629/I629)</f>
        <v/>
      </c>
    </row>
    <row r="630">
      <c r="I630" s="22">
        <f>IF($A630="","",'2_密度換算'!$C$12*(1-((G630+'2_密度換算'!$C$8)^2*(G630+'2_密度換算'!$C$9))/('2_密度換算'!$C$10*(G630+'2_密度換算'!$C$11)))/1000)</f>
        <v/>
      </c>
      <c r="J630" s="22">
        <f>IF($A630="","",1+'2_密度換算'!$C$6*(1/I630-1/'2_密度換算'!$C$7))</f>
        <v/>
      </c>
      <c r="K630" s="23">
        <f>IF($A630="","",E630*J630/I630)</f>
        <v/>
      </c>
    </row>
    <row r="631">
      <c r="I631" s="22">
        <f>IF($A631="","",'2_密度換算'!$C$12*(1-((G631+'2_密度換算'!$C$8)^2*(G631+'2_密度換算'!$C$9))/('2_密度換算'!$C$10*(G631+'2_密度換算'!$C$11)))/1000)</f>
        <v/>
      </c>
      <c r="J631" s="22">
        <f>IF($A631="","",1+'2_密度換算'!$C$6*(1/I631-1/'2_密度換算'!$C$7))</f>
        <v/>
      </c>
      <c r="K631" s="23">
        <f>IF($A631="","",E631*J631/I631)</f>
        <v/>
      </c>
    </row>
    <row r="632">
      <c r="I632" s="22">
        <f>IF($A632="","",'2_密度換算'!$C$12*(1-((G632+'2_密度換算'!$C$8)^2*(G632+'2_密度換算'!$C$9))/('2_密度換算'!$C$10*(G632+'2_密度換算'!$C$11)))/1000)</f>
        <v/>
      </c>
      <c r="J632" s="22">
        <f>IF($A632="","",1+'2_密度換算'!$C$6*(1/I632-1/'2_密度換算'!$C$7))</f>
        <v/>
      </c>
      <c r="K632" s="23">
        <f>IF($A632="","",E632*J632/I632)</f>
        <v/>
      </c>
    </row>
    <row r="633">
      <c r="I633" s="22">
        <f>IF($A633="","",'2_密度換算'!$C$12*(1-((G633+'2_密度換算'!$C$8)^2*(G633+'2_密度換算'!$C$9))/('2_密度換算'!$C$10*(G633+'2_密度換算'!$C$11)))/1000)</f>
        <v/>
      </c>
      <c r="J633" s="22">
        <f>IF($A633="","",1+'2_密度換算'!$C$6*(1/I633-1/'2_密度換算'!$C$7))</f>
        <v/>
      </c>
      <c r="K633" s="23">
        <f>IF($A633="","",E633*J633/I633)</f>
        <v/>
      </c>
    </row>
    <row r="634">
      <c r="I634" s="22">
        <f>IF($A634="","",'2_密度換算'!$C$12*(1-((G634+'2_密度換算'!$C$8)^2*(G634+'2_密度換算'!$C$9))/('2_密度換算'!$C$10*(G634+'2_密度換算'!$C$11)))/1000)</f>
        <v/>
      </c>
      <c r="J634" s="22">
        <f>IF($A634="","",1+'2_密度換算'!$C$6*(1/I634-1/'2_密度換算'!$C$7))</f>
        <v/>
      </c>
      <c r="K634" s="23">
        <f>IF($A634="","",E634*J634/I634)</f>
        <v/>
      </c>
    </row>
    <row r="635">
      <c r="I635" s="22">
        <f>IF($A635="","",'2_密度換算'!$C$12*(1-((G635+'2_密度換算'!$C$8)^2*(G635+'2_密度換算'!$C$9))/('2_密度換算'!$C$10*(G635+'2_密度換算'!$C$11)))/1000)</f>
        <v/>
      </c>
      <c r="J635" s="22">
        <f>IF($A635="","",1+'2_密度換算'!$C$6*(1/I635-1/'2_密度換算'!$C$7))</f>
        <v/>
      </c>
      <c r="K635" s="23">
        <f>IF($A635="","",E635*J635/I635)</f>
        <v/>
      </c>
    </row>
    <row r="636">
      <c r="I636" s="22">
        <f>IF($A636="","",'2_密度換算'!$C$12*(1-((G636+'2_密度換算'!$C$8)^2*(G636+'2_密度換算'!$C$9))/('2_密度換算'!$C$10*(G636+'2_密度換算'!$C$11)))/1000)</f>
        <v/>
      </c>
      <c r="J636" s="22">
        <f>IF($A636="","",1+'2_密度換算'!$C$6*(1/I636-1/'2_密度換算'!$C$7))</f>
        <v/>
      </c>
      <c r="K636" s="23">
        <f>IF($A636="","",E636*J636/I636)</f>
        <v/>
      </c>
    </row>
    <row r="637">
      <c r="I637" s="22">
        <f>IF($A637="","",'2_密度換算'!$C$12*(1-((G637+'2_密度換算'!$C$8)^2*(G637+'2_密度換算'!$C$9))/('2_密度換算'!$C$10*(G637+'2_密度換算'!$C$11)))/1000)</f>
        <v/>
      </c>
      <c r="J637" s="22">
        <f>IF($A637="","",1+'2_密度換算'!$C$6*(1/I637-1/'2_密度換算'!$C$7))</f>
        <v/>
      </c>
      <c r="K637" s="23">
        <f>IF($A637="","",E637*J637/I637)</f>
        <v/>
      </c>
    </row>
    <row r="638">
      <c r="I638" s="22">
        <f>IF($A638="","",'2_密度換算'!$C$12*(1-((G638+'2_密度換算'!$C$8)^2*(G638+'2_密度換算'!$C$9))/('2_密度換算'!$C$10*(G638+'2_密度換算'!$C$11)))/1000)</f>
        <v/>
      </c>
      <c r="J638" s="22">
        <f>IF($A638="","",1+'2_密度換算'!$C$6*(1/I638-1/'2_密度換算'!$C$7))</f>
        <v/>
      </c>
      <c r="K638" s="23">
        <f>IF($A638="","",E638*J638/I638)</f>
        <v/>
      </c>
    </row>
    <row r="639">
      <c r="I639" s="22">
        <f>IF($A639="","",'2_密度換算'!$C$12*(1-((G639+'2_密度換算'!$C$8)^2*(G639+'2_密度換算'!$C$9))/('2_密度換算'!$C$10*(G639+'2_密度換算'!$C$11)))/1000)</f>
        <v/>
      </c>
      <c r="J639" s="22">
        <f>IF($A639="","",1+'2_密度換算'!$C$6*(1/I639-1/'2_密度換算'!$C$7))</f>
        <v/>
      </c>
      <c r="K639" s="23">
        <f>IF($A639="","",E639*J639/I639)</f>
        <v/>
      </c>
    </row>
    <row r="640">
      <c r="I640" s="22">
        <f>IF($A640="","",'2_密度換算'!$C$12*(1-((G640+'2_密度換算'!$C$8)^2*(G640+'2_密度換算'!$C$9))/('2_密度換算'!$C$10*(G640+'2_密度換算'!$C$11)))/1000)</f>
        <v/>
      </c>
      <c r="J640" s="22">
        <f>IF($A640="","",1+'2_密度換算'!$C$6*(1/I640-1/'2_密度換算'!$C$7))</f>
        <v/>
      </c>
      <c r="K640" s="23">
        <f>IF($A640="","",E640*J640/I640)</f>
        <v/>
      </c>
    </row>
    <row r="641">
      <c r="I641" s="22">
        <f>IF($A641="","",'2_密度換算'!$C$12*(1-((G641+'2_密度換算'!$C$8)^2*(G641+'2_密度換算'!$C$9))/('2_密度換算'!$C$10*(G641+'2_密度換算'!$C$11)))/1000)</f>
        <v/>
      </c>
      <c r="J641" s="22">
        <f>IF($A641="","",1+'2_密度換算'!$C$6*(1/I641-1/'2_密度換算'!$C$7))</f>
        <v/>
      </c>
      <c r="K641" s="23">
        <f>IF($A641="","",E641*J641/I641)</f>
        <v/>
      </c>
    </row>
    <row r="642">
      <c r="I642" s="22">
        <f>IF($A642="","",'2_密度換算'!$C$12*(1-((G642+'2_密度換算'!$C$8)^2*(G642+'2_密度換算'!$C$9))/('2_密度換算'!$C$10*(G642+'2_密度換算'!$C$11)))/1000)</f>
        <v/>
      </c>
      <c r="J642" s="22">
        <f>IF($A642="","",1+'2_密度換算'!$C$6*(1/I642-1/'2_密度換算'!$C$7))</f>
        <v/>
      </c>
      <c r="K642" s="23">
        <f>IF($A642="","",E642*J642/I642)</f>
        <v/>
      </c>
    </row>
    <row r="643">
      <c r="I643" s="22">
        <f>IF($A643="","",'2_密度換算'!$C$12*(1-((G643+'2_密度換算'!$C$8)^2*(G643+'2_密度換算'!$C$9))/('2_密度換算'!$C$10*(G643+'2_密度換算'!$C$11)))/1000)</f>
        <v/>
      </c>
      <c r="J643" s="22">
        <f>IF($A643="","",1+'2_密度換算'!$C$6*(1/I643-1/'2_密度換算'!$C$7))</f>
        <v/>
      </c>
      <c r="K643" s="23">
        <f>IF($A643="","",E643*J643/I643)</f>
        <v/>
      </c>
    </row>
    <row r="644">
      <c r="I644" s="22">
        <f>IF($A644="","",'2_密度換算'!$C$12*(1-((G644+'2_密度換算'!$C$8)^2*(G644+'2_密度換算'!$C$9))/('2_密度換算'!$C$10*(G644+'2_密度換算'!$C$11)))/1000)</f>
        <v/>
      </c>
      <c r="J644" s="22">
        <f>IF($A644="","",1+'2_密度換算'!$C$6*(1/I644-1/'2_密度換算'!$C$7))</f>
        <v/>
      </c>
      <c r="K644" s="23">
        <f>IF($A644="","",E644*J644/I644)</f>
        <v/>
      </c>
    </row>
    <row r="645">
      <c r="I645" s="22">
        <f>IF($A645="","",'2_密度換算'!$C$12*(1-((G645+'2_密度換算'!$C$8)^2*(G645+'2_密度換算'!$C$9))/('2_密度換算'!$C$10*(G645+'2_密度換算'!$C$11)))/1000)</f>
        <v/>
      </c>
      <c r="J645" s="22">
        <f>IF($A645="","",1+'2_密度換算'!$C$6*(1/I645-1/'2_密度換算'!$C$7))</f>
        <v/>
      </c>
      <c r="K645" s="23">
        <f>IF($A645="","",E645*J645/I645)</f>
        <v/>
      </c>
    </row>
    <row r="646">
      <c r="I646" s="22">
        <f>IF($A646="","",'2_密度換算'!$C$12*(1-((G646+'2_密度換算'!$C$8)^2*(G646+'2_密度換算'!$C$9))/('2_密度換算'!$C$10*(G646+'2_密度換算'!$C$11)))/1000)</f>
        <v/>
      </c>
      <c r="J646" s="22">
        <f>IF($A646="","",1+'2_密度換算'!$C$6*(1/I646-1/'2_密度換算'!$C$7))</f>
        <v/>
      </c>
      <c r="K646" s="23">
        <f>IF($A646="","",E646*J646/I646)</f>
        <v/>
      </c>
    </row>
    <row r="647">
      <c r="I647" s="22">
        <f>IF($A647="","",'2_密度換算'!$C$12*(1-((G647+'2_密度換算'!$C$8)^2*(G647+'2_密度換算'!$C$9))/('2_密度換算'!$C$10*(G647+'2_密度換算'!$C$11)))/1000)</f>
        <v/>
      </c>
      <c r="J647" s="22">
        <f>IF($A647="","",1+'2_密度換算'!$C$6*(1/I647-1/'2_密度換算'!$C$7))</f>
        <v/>
      </c>
      <c r="K647" s="23">
        <f>IF($A647="","",E647*J647/I647)</f>
        <v/>
      </c>
    </row>
    <row r="648">
      <c r="I648" s="22">
        <f>IF($A648="","",'2_密度換算'!$C$12*(1-((G648+'2_密度換算'!$C$8)^2*(G648+'2_密度換算'!$C$9))/('2_密度換算'!$C$10*(G648+'2_密度換算'!$C$11)))/1000)</f>
        <v/>
      </c>
      <c r="J648" s="22">
        <f>IF($A648="","",1+'2_密度換算'!$C$6*(1/I648-1/'2_密度換算'!$C$7))</f>
        <v/>
      </c>
      <c r="K648" s="23">
        <f>IF($A648="","",E648*J648/I648)</f>
        <v/>
      </c>
    </row>
    <row r="649">
      <c r="I649" s="22">
        <f>IF($A649="","",'2_密度換算'!$C$12*(1-((G649+'2_密度換算'!$C$8)^2*(G649+'2_密度換算'!$C$9))/('2_密度換算'!$C$10*(G649+'2_密度換算'!$C$11)))/1000)</f>
        <v/>
      </c>
      <c r="J649" s="22">
        <f>IF($A649="","",1+'2_密度換算'!$C$6*(1/I649-1/'2_密度換算'!$C$7))</f>
        <v/>
      </c>
      <c r="K649" s="23">
        <f>IF($A649="","",E649*J649/I649)</f>
        <v/>
      </c>
    </row>
    <row r="650">
      <c r="I650" s="22">
        <f>IF($A650="","",'2_密度換算'!$C$12*(1-((G650+'2_密度換算'!$C$8)^2*(G650+'2_密度換算'!$C$9))/('2_密度換算'!$C$10*(G650+'2_密度換算'!$C$11)))/1000)</f>
        <v/>
      </c>
      <c r="J650" s="22">
        <f>IF($A650="","",1+'2_密度換算'!$C$6*(1/I650-1/'2_密度換算'!$C$7))</f>
        <v/>
      </c>
      <c r="K650" s="23">
        <f>IF($A650="","",E650*J650/I650)</f>
        <v/>
      </c>
    </row>
    <row r="651">
      <c r="I651" s="22">
        <f>IF($A651="","",'2_密度換算'!$C$12*(1-((G651+'2_密度換算'!$C$8)^2*(G651+'2_密度換算'!$C$9))/('2_密度換算'!$C$10*(G651+'2_密度換算'!$C$11)))/1000)</f>
        <v/>
      </c>
      <c r="J651" s="22">
        <f>IF($A651="","",1+'2_密度換算'!$C$6*(1/I651-1/'2_密度換算'!$C$7))</f>
        <v/>
      </c>
      <c r="K651" s="23">
        <f>IF($A651="","",E651*J651/I651)</f>
        <v/>
      </c>
    </row>
    <row r="652">
      <c r="I652" s="22">
        <f>IF($A652="","",'2_密度換算'!$C$12*(1-((G652+'2_密度換算'!$C$8)^2*(G652+'2_密度換算'!$C$9))/('2_密度換算'!$C$10*(G652+'2_密度換算'!$C$11)))/1000)</f>
        <v/>
      </c>
      <c r="J652" s="22">
        <f>IF($A652="","",1+'2_密度換算'!$C$6*(1/I652-1/'2_密度換算'!$C$7))</f>
        <v/>
      </c>
      <c r="K652" s="23">
        <f>IF($A652="","",E652*J652/I652)</f>
        <v/>
      </c>
    </row>
    <row r="653">
      <c r="I653" s="22">
        <f>IF($A653="","",'2_密度換算'!$C$12*(1-((G653+'2_密度換算'!$C$8)^2*(G653+'2_密度換算'!$C$9))/('2_密度換算'!$C$10*(G653+'2_密度換算'!$C$11)))/1000)</f>
        <v/>
      </c>
      <c r="J653" s="22">
        <f>IF($A653="","",1+'2_密度換算'!$C$6*(1/I653-1/'2_密度換算'!$C$7))</f>
        <v/>
      </c>
      <c r="K653" s="23">
        <f>IF($A653="","",E653*J653/I653)</f>
        <v/>
      </c>
    </row>
    <row r="654">
      <c r="I654" s="22">
        <f>IF($A654="","",'2_密度換算'!$C$12*(1-((G654+'2_密度換算'!$C$8)^2*(G654+'2_密度換算'!$C$9))/('2_密度換算'!$C$10*(G654+'2_密度換算'!$C$11)))/1000)</f>
        <v/>
      </c>
      <c r="J654" s="22">
        <f>IF($A654="","",1+'2_密度換算'!$C$6*(1/I654-1/'2_密度換算'!$C$7))</f>
        <v/>
      </c>
      <c r="K654" s="23">
        <f>IF($A654="","",E654*J654/I654)</f>
        <v/>
      </c>
    </row>
    <row r="655">
      <c r="I655" s="22">
        <f>IF($A655="","",'2_密度換算'!$C$12*(1-((G655+'2_密度換算'!$C$8)^2*(G655+'2_密度換算'!$C$9))/('2_密度換算'!$C$10*(G655+'2_密度換算'!$C$11)))/1000)</f>
        <v/>
      </c>
      <c r="J655" s="22">
        <f>IF($A655="","",1+'2_密度換算'!$C$6*(1/I655-1/'2_密度換算'!$C$7))</f>
        <v/>
      </c>
      <c r="K655" s="23">
        <f>IF($A655="","",E655*J655/I655)</f>
        <v/>
      </c>
    </row>
    <row r="656">
      <c r="I656" s="22">
        <f>IF($A656="","",'2_密度換算'!$C$12*(1-((G656+'2_密度換算'!$C$8)^2*(G656+'2_密度換算'!$C$9))/('2_密度換算'!$C$10*(G656+'2_密度換算'!$C$11)))/1000)</f>
        <v/>
      </c>
      <c r="J656" s="22">
        <f>IF($A656="","",1+'2_密度換算'!$C$6*(1/I656-1/'2_密度換算'!$C$7))</f>
        <v/>
      </c>
      <c r="K656" s="23">
        <f>IF($A656="","",E656*J656/I656)</f>
        <v/>
      </c>
    </row>
    <row r="657">
      <c r="I657" s="22">
        <f>IF($A657="","",'2_密度換算'!$C$12*(1-((G657+'2_密度換算'!$C$8)^2*(G657+'2_密度換算'!$C$9))/('2_密度換算'!$C$10*(G657+'2_密度換算'!$C$11)))/1000)</f>
        <v/>
      </c>
      <c r="J657" s="22">
        <f>IF($A657="","",1+'2_密度換算'!$C$6*(1/I657-1/'2_密度換算'!$C$7))</f>
        <v/>
      </c>
      <c r="K657" s="23">
        <f>IF($A657="","",E657*J657/I657)</f>
        <v/>
      </c>
    </row>
    <row r="658">
      <c r="I658" s="22">
        <f>IF($A658="","",'2_密度換算'!$C$12*(1-((G658+'2_密度換算'!$C$8)^2*(G658+'2_密度換算'!$C$9))/('2_密度換算'!$C$10*(G658+'2_密度換算'!$C$11)))/1000)</f>
        <v/>
      </c>
      <c r="J658" s="22">
        <f>IF($A658="","",1+'2_密度換算'!$C$6*(1/I658-1/'2_密度換算'!$C$7))</f>
        <v/>
      </c>
      <c r="K658" s="23">
        <f>IF($A658="","",E658*J658/I658)</f>
        <v/>
      </c>
    </row>
    <row r="659">
      <c r="I659" s="22">
        <f>IF($A659="","",'2_密度換算'!$C$12*(1-((G659+'2_密度換算'!$C$8)^2*(G659+'2_密度換算'!$C$9))/('2_密度換算'!$C$10*(G659+'2_密度換算'!$C$11)))/1000)</f>
        <v/>
      </c>
      <c r="J659" s="22">
        <f>IF($A659="","",1+'2_密度換算'!$C$6*(1/I659-1/'2_密度換算'!$C$7))</f>
        <v/>
      </c>
      <c r="K659" s="23">
        <f>IF($A659="","",E659*J659/I659)</f>
        <v/>
      </c>
    </row>
    <row r="660">
      <c r="I660" s="22">
        <f>IF($A660="","",'2_密度換算'!$C$12*(1-((G660+'2_密度換算'!$C$8)^2*(G660+'2_密度換算'!$C$9))/('2_密度換算'!$C$10*(G660+'2_密度換算'!$C$11)))/1000)</f>
        <v/>
      </c>
      <c r="J660" s="22">
        <f>IF($A660="","",1+'2_密度換算'!$C$6*(1/I660-1/'2_密度換算'!$C$7))</f>
        <v/>
      </c>
      <c r="K660" s="23">
        <f>IF($A660="","",E660*J660/I660)</f>
        <v/>
      </c>
    </row>
    <row r="661">
      <c r="I661" s="22">
        <f>IF($A661="","",'2_密度換算'!$C$12*(1-((G661+'2_密度換算'!$C$8)^2*(G661+'2_密度換算'!$C$9))/('2_密度換算'!$C$10*(G661+'2_密度換算'!$C$11)))/1000)</f>
        <v/>
      </c>
      <c r="J661" s="22">
        <f>IF($A661="","",1+'2_密度換算'!$C$6*(1/I661-1/'2_密度換算'!$C$7))</f>
        <v/>
      </c>
      <c r="K661" s="23">
        <f>IF($A661="","",E661*J661/I661)</f>
        <v/>
      </c>
    </row>
    <row r="662">
      <c r="I662" s="22">
        <f>IF($A662="","",'2_密度換算'!$C$12*(1-((G662+'2_密度換算'!$C$8)^2*(G662+'2_密度換算'!$C$9))/('2_密度換算'!$C$10*(G662+'2_密度換算'!$C$11)))/1000)</f>
        <v/>
      </c>
      <c r="J662" s="22">
        <f>IF($A662="","",1+'2_密度換算'!$C$6*(1/I662-1/'2_密度換算'!$C$7))</f>
        <v/>
      </c>
      <c r="K662" s="23">
        <f>IF($A662="","",E662*J662/I662)</f>
        <v/>
      </c>
    </row>
    <row r="663">
      <c r="I663" s="22">
        <f>IF($A663="","",'2_密度換算'!$C$12*(1-((G663+'2_密度換算'!$C$8)^2*(G663+'2_密度換算'!$C$9))/('2_密度換算'!$C$10*(G663+'2_密度換算'!$C$11)))/1000)</f>
        <v/>
      </c>
      <c r="J663" s="22">
        <f>IF($A663="","",1+'2_密度換算'!$C$6*(1/I663-1/'2_密度換算'!$C$7))</f>
        <v/>
      </c>
      <c r="K663" s="23">
        <f>IF($A663="","",E663*J663/I663)</f>
        <v/>
      </c>
    </row>
    <row r="664">
      <c r="I664" s="22">
        <f>IF($A664="","",'2_密度換算'!$C$12*(1-((G664+'2_密度換算'!$C$8)^2*(G664+'2_密度換算'!$C$9))/('2_密度換算'!$C$10*(G664+'2_密度換算'!$C$11)))/1000)</f>
        <v/>
      </c>
      <c r="J664" s="22">
        <f>IF($A664="","",1+'2_密度換算'!$C$6*(1/I664-1/'2_密度換算'!$C$7))</f>
        <v/>
      </c>
      <c r="K664" s="23">
        <f>IF($A664="","",E664*J664/I664)</f>
        <v/>
      </c>
    </row>
    <row r="665">
      <c r="I665" s="22">
        <f>IF($A665="","",'2_密度換算'!$C$12*(1-((G665+'2_密度換算'!$C$8)^2*(G665+'2_密度換算'!$C$9))/('2_密度換算'!$C$10*(G665+'2_密度換算'!$C$11)))/1000)</f>
        <v/>
      </c>
      <c r="J665" s="22">
        <f>IF($A665="","",1+'2_密度換算'!$C$6*(1/I665-1/'2_密度換算'!$C$7))</f>
        <v/>
      </c>
      <c r="K665" s="23">
        <f>IF($A665="","",E665*J665/I665)</f>
        <v/>
      </c>
    </row>
    <row r="666">
      <c r="I666" s="22">
        <f>IF($A666="","",'2_密度換算'!$C$12*(1-((G666+'2_密度換算'!$C$8)^2*(G666+'2_密度換算'!$C$9))/('2_密度換算'!$C$10*(G666+'2_密度換算'!$C$11)))/1000)</f>
        <v/>
      </c>
      <c r="J666" s="22">
        <f>IF($A666="","",1+'2_密度換算'!$C$6*(1/I666-1/'2_密度換算'!$C$7))</f>
        <v/>
      </c>
      <c r="K666" s="23">
        <f>IF($A666="","",E666*J666/I666)</f>
        <v/>
      </c>
    </row>
    <row r="667">
      <c r="I667" s="22">
        <f>IF($A667="","",'2_密度換算'!$C$12*(1-((G667+'2_密度換算'!$C$8)^2*(G667+'2_密度換算'!$C$9))/('2_密度換算'!$C$10*(G667+'2_密度換算'!$C$11)))/1000)</f>
        <v/>
      </c>
      <c r="J667" s="22">
        <f>IF($A667="","",1+'2_密度換算'!$C$6*(1/I667-1/'2_密度換算'!$C$7))</f>
        <v/>
      </c>
      <c r="K667" s="23">
        <f>IF($A667="","",E667*J667/I667)</f>
        <v/>
      </c>
    </row>
    <row r="668">
      <c r="I668" s="22">
        <f>IF($A668="","",'2_密度換算'!$C$12*(1-((G668+'2_密度換算'!$C$8)^2*(G668+'2_密度換算'!$C$9))/('2_密度換算'!$C$10*(G668+'2_密度換算'!$C$11)))/1000)</f>
        <v/>
      </c>
      <c r="J668" s="22">
        <f>IF($A668="","",1+'2_密度換算'!$C$6*(1/I668-1/'2_密度換算'!$C$7))</f>
        <v/>
      </c>
      <c r="K668" s="23">
        <f>IF($A668="","",E668*J668/I668)</f>
        <v/>
      </c>
    </row>
    <row r="669">
      <c r="I669" s="22">
        <f>IF($A669="","",'2_密度換算'!$C$12*(1-((G669+'2_密度換算'!$C$8)^2*(G669+'2_密度換算'!$C$9))/('2_密度換算'!$C$10*(G669+'2_密度換算'!$C$11)))/1000)</f>
        <v/>
      </c>
      <c r="J669" s="22">
        <f>IF($A669="","",1+'2_密度換算'!$C$6*(1/I669-1/'2_密度換算'!$C$7))</f>
        <v/>
      </c>
      <c r="K669" s="23">
        <f>IF($A669="","",E669*J669/I669)</f>
        <v/>
      </c>
    </row>
    <row r="670">
      <c r="I670" s="22">
        <f>IF($A670="","",'2_密度換算'!$C$12*(1-((G670+'2_密度換算'!$C$8)^2*(G670+'2_密度換算'!$C$9))/('2_密度換算'!$C$10*(G670+'2_密度換算'!$C$11)))/1000)</f>
        <v/>
      </c>
      <c r="J670" s="22">
        <f>IF($A670="","",1+'2_密度換算'!$C$6*(1/I670-1/'2_密度換算'!$C$7))</f>
        <v/>
      </c>
      <c r="K670" s="23">
        <f>IF($A670="","",E670*J670/I670)</f>
        <v/>
      </c>
    </row>
    <row r="671">
      <c r="I671" s="22">
        <f>IF($A671="","",'2_密度換算'!$C$12*(1-((G671+'2_密度換算'!$C$8)^2*(G671+'2_密度換算'!$C$9))/('2_密度換算'!$C$10*(G671+'2_密度換算'!$C$11)))/1000)</f>
        <v/>
      </c>
      <c r="J671" s="22">
        <f>IF($A671="","",1+'2_密度換算'!$C$6*(1/I671-1/'2_密度換算'!$C$7))</f>
        <v/>
      </c>
      <c r="K671" s="23">
        <f>IF($A671="","",E671*J671/I671)</f>
        <v/>
      </c>
    </row>
    <row r="672">
      <c r="I672" s="22">
        <f>IF($A672="","",'2_密度換算'!$C$12*(1-((G672+'2_密度換算'!$C$8)^2*(G672+'2_密度換算'!$C$9))/('2_密度換算'!$C$10*(G672+'2_密度換算'!$C$11)))/1000)</f>
        <v/>
      </c>
      <c r="J672" s="22">
        <f>IF($A672="","",1+'2_密度換算'!$C$6*(1/I672-1/'2_密度換算'!$C$7))</f>
        <v/>
      </c>
      <c r="K672" s="23">
        <f>IF($A672="","",E672*J672/I672)</f>
        <v/>
      </c>
    </row>
    <row r="673">
      <c r="I673" s="22">
        <f>IF($A673="","",'2_密度換算'!$C$12*(1-((G673+'2_密度換算'!$C$8)^2*(G673+'2_密度換算'!$C$9))/('2_密度換算'!$C$10*(G673+'2_密度換算'!$C$11)))/1000)</f>
        <v/>
      </c>
      <c r="J673" s="22">
        <f>IF($A673="","",1+'2_密度換算'!$C$6*(1/I673-1/'2_密度換算'!$C$7))</f>
        <v/>
      </c>
      <c r="K673" s="23">
        <f>IF($A673="","",E673*J673/I673)</f>
        <v/>
      </c>
    </row>
    <row r="674">
      <c r="I674" s="22">
        <f>IF($A674="","",'2_密度換算'!$C$12*(1-((G674+'2_密度換算'!$C$8)^2*(G674+'2_密度換算'!$C$9))/('2_密度換算'!$C$10*(G674+'2_密度換算'!$C$11)))/1000)</f>
        <v/>
      </c>
      <c r="J674" s="22">
        <f>IF($A674="","",1+'2_密度換算'!$C$6*(1/I674-1/'2_密度換算'!$C$7))</f>
        <v/>
      </c>
      <c r="K674" s="23">
        <f>IF($A674="","",E674*J674/I674)</f>
        <v/>
      </c>
    </row>
    <row r="675">
      <c r="I675" s="22">
        <f>IF($A675="","",'2_密度換算'!$C$12*(1-((G675+'2_密度換算'!$C$8)^2*(G675+'2_密度換算'!$C$9))/('2_密度換算'!$C$10*(G675+'2_密度換算'!$C$11)))/1000)</f>
        <v/>
      </c>
      <c r="J675" s="22">
        <f>IF($A675="","",1+'2_密度換算'!$C$6*(1/I675-1/'2_密度換算'!$C$7))</f>
        <v/>
      </c>
      <c r="K675" s="23">
        <f>IF($A675="","",E675*J675/I675)</f>
        <v/>
      </c>
    </row>
    <row r="676">
      <c r="I676" s="22">
        <f>IF($A676="","",'2_密度換算'!$C$12*(1-((G676+'2_密度換算'!$C$8)^2*(G676+'2_密度換算'!$C$9))/('2_密度換算'!$C$10*(G676+'2_密度換算'!$C$11)))/1000)</f>
        <v/>
      </c>
      <c r="J676" s="22">
        <f>IF($A676="","",1+'2_密度換算'!$C$6*(1/I676-1/'2_密度換算'!$C$7))</f>
        <v/>
      </c>
      <c r="K676" s="23">
        <f>IF($A676="","",E676*J676/I676)</f>
        <v/>
      </c>
    </row>
    <row r="677">
      <c r="I677" s="22">
        <f>IF($A677="","",'2_密度換算'!$C$12*(1-((G677+'2_密度換算'!$C$8)^2*(G677+'2_密度換算'!$C$9))/('2_密度換算'!$C$10*(G677+'2_密度換算'!$C$11)))/1000)</f>
        <v/>
      </c>
      <c r="J677" s="22">
        <f>IF($A677="","",1+'2_密度換算'!$C$6*(1/I677-1/'2_密度換算'!$C$7))</f>
        <v/>
      </c>
      <c r="K677" s="23">
        <f>IF($A677="","",E677*J677/I677)</f>
        <v/>
      </c>
    </row>
    <row r="678">
      <c r="I678" s="22">
        <f>IF($A678="","",'2_密度換算'!$C$12*(1-((G678+'2_密度換算'!$C$8)^2*(G678+'2_密度換算'!$C$9))/('2_密度換算'!$C$10*(G678+'2_密度換算'!$C$11)))/1000)</f>
        <v/>
      </c>
      <c r="J678" s="22">
        <f>IF($A678="","",1+'2_密度換算'!$C$6*(1/I678-1/'2_密度換算'!$C$7))</f>
        <v/>
      </c>
      <c r="K678" s="23">
        <f>IF($A678="","",E678*J678/I678)</f>
        <v/>
      </c>
    </row>
    <row r="679">
      <c r="I679" s="22">
        <f>IF($A679="","",'2_密度換算'!$C$12*(1-((G679+'2_密度換算'!$C$8)^2*(G679+'2_密度換算'!$C$9))/('2_密度換算'!$C$10*(G679+'2_密度換算'!$C$11)))/1000)</f>
        <v/>
      </c>
      <c r="J679" s="22">
        <f>IF($A679="","",1+'2_密度換算'!$C$6*(1/I679-1/'2_密度換算'!$C$7))</f>
        <v/>
      </c>
      <c r="K679" s="23">
        <f>IF($A679="","",E679*J679/I679)</f>
        <v/>
      </c>
    </row>
    <row r="680">
      <c r="I680" s="22">
        <f>IF($A680="","",'2_密度換算'!$C$12*(1-((G680+'2_密度換算'!$C$8)^2*(G680+'2_密度換算'!$C$9))/('2_密度換算'!$C$10*(G680+'2_密度換算'!$C$11)))/1000)</f>
        <v/>
      </c>
      <c r="J680" s="22">
        <f>IF($A680="","",1+'2_密度換算'!$C$6*(1/I680-1/'2_密度換算'!$C$7))</f>
        <v/>
      </c>
      <c r="K680" s="23">
        <f>IF($A680="","",E680*J680/I680)</f>
        <v/>
      </c>
    </row>
    <row r="681">
      <c r="I681" s="22">
        <f>IF($A681="","",'2_密度換算'!$C$12*(1-((G681+'2_密度換算'!$C$8)^2*(G681+'2_密度換算'!$C$9))/('2_密度換算'!$C$10*(G681+'2_密度換算'!$C$11)))/1000)</f>
        <v/>
      </c>
      <c r="J681" s="22">
        <f>IF($A681="","",1+'2_密度換算'!$C$6*(1/I681-1/'2_密度換算'!$C$7))</f>
        <v/>
      </c>
      <c r="K681" s="23">
        <f>IF($A681="","",E681*J681/I681)</f>
        <v/>
      </c>
    </row>
    <row r="682">
      <c r="I682" s="22">
        <f>IF($A682="","",'2_密度換算'!$C$12*(1-((G682+'2_密度換算'!$C$8)^2*(G682+'2_密度換算'!$C$9))/('2_密度換算'!$C$10*(G682+'2_密度換算'!$C$11)))/1000)</f>
        <v/>
      </c>
      <c r="J682" s="22">
        <f>IF($A682="","",1+'2_密度換算'!$C$6*(1/I682-1/'2_密度換算'!$C$7))</f>
        <v/>
      </c>
      <c r="K682" s="23">
        <f>IF($A682="","",E682*J682/I682)</f>
        <v/>
      </c>
    </row>
    <row r="683">
      <c r="I683" s="22">
        <f>IF($A683="","",'2_密度換算'!$C$12*(1-((G683+'2_密度換算'!$C$8)^2*(G683+'2_密度換算'!$C$9))/('2_密度換算'!$C$10*(G683+'2_密度換算'!$C$11)))/1000)</f>
        <v/>
      </c>
      <c r="J683" s="22">
        <f>IF($A683="","",1+'2_密度換算'!$C$6*(1/I683-1/'2_密度換算'!$C$7))</f>
        <v/>
      </c>
      <c r="K683" s="23">
        <f>IF($A683="","",E683*J683/I683)</f>
        <v/>
      </c>
    </row>
    <row r="684">
      <c r="I684" s="22">
        <f>IF($A684="","",'2_密度換算'!$C$12*(1-((G684+'2_密度換算'!$C$8)^2*(G684+'2_密度換算'!$C$9))/('2_密度換算'!$C$10*(G684+'2_密度換算'!$C$11)))/1000)</f>
        <v/>
      </c>
      <c r="J684" s="22">
        <f>IF($A684="","",1+'2_密度換算'!$C$6*(1/I684-1/'2_密度換算'!$C$7))</f>
        <v/>
      </c>
      <c r="K684" s="23">
        <f>IF($A684="","",E684*J684/I684)</f>
        <v/>
      </c>
    </row>
    <row r="685">
      <c r="I685" s="22">
        <f>IF($A685="","",'2_密度換算'!$C$12*(1-((G685+'2_密度換算'!$C$8)^2*(G685+'2_密度換算'!$C$9))/('2_密度換算'!$C$10*(G685+'2_密度換算'!$C$11)))/1000)</f>
        <v/>
      </c>
      <c r="J685" s="22">
        <f>IF($A685="","",1+'2_密度換算'!$C$6*(1/I685-1/'2_密度換算'!$C$7))</f>
        <v/>
      </c>
      <c r="K685" s="23">
        <f>IF($A685="","",E685*J685/I685)</f>
        <v/>
      </c>
    </row>
    <row r="686">
      <c r="I686" s="22">
        <f>IF($A686="","",'2_密度換算'!$C$12*(1-((G686+'2_密度換算'!$C$8)^2*(G686+'2_密度換算'!$C$9))/('2_密度換算'!$C$10*(G686+'2_密度換算'!$C$11)))/1000)</f>
        <v/>
      </c>
      <c r="J686" s="22">
        <f>IF($A686="","",1+'2_密度換算'!$C$6*(1/I686-1/'2_密度換算'!$C$7))</f>
        <v/>
      </c>
      <c r="K686" s="23">
        <f>IF($A686="","",E686*J686/I686)</f>
        <v/>
      </c>
    </row>
    <row r="687">
      <c r="I687" s="22">
        <f>IF($A687="","",'2_密度換算'!$C$12*(1-((G687+'2_密度換算'!$C$8)^2*(G687+'2_密度換算'!$C$9))/('2_密度換算'!$C$10*(G687+'2_密度換算'!$C$11)))/1000)</f>
        <v/>
      </c>
      <c r="J687" s="22">
        <f>IF($A687="","",1+'2_密度換算'!$C$6*(1/I687-1/'2_密度換算'!$C$7))</f>
        <v/>
      </c>
      <c r="K687" s="23">
        <f>IF($A687="","",E687*J687/I687)</f>
        <v/>
      </c>
    </row>
    <row r="688">
      <c r="I688" s="22">
        <f>IF($A688="","",'2_密度換算'!$C$12*(1-((G688+'2_密度換算'!$C$8)^2*(G688+'2_密度換算'!$C$9))/('2_密度換算'!$C$10*(G688+'2_密度換算'!$C$11)))/1000)</f>
        <v/>
      </c>
      <c r="J688" s="22">
        <f>IF($A688="","",1+'2_密度換算'!$C$6*(1/I688-1/'2_密度換算'!$C$7))</f>
        <v/>
      </c>
      <c r="K688" s="23">
        <f>IF($A688="","",E688*J688/I688)</f>
        <v/>
      </c>
    </row>
    <row r="689">
      <c r="I689" s="22">
        <f>IF($A689="","",'2_密度換算'!$C$12*(1-((G689+'2_密度換算'!$C$8)^2*(G689+'2_密度換算'!$C$9))/('2_密度換算'!$C$10*(G689+'2_密度換算'!$C$11)))/1000)</f>
        <v/>
      </c>
      <c r="J689" s="22">
        <f>IF($A689="","",1+'2_密度換算'!$C$6*(1/I689-1/'2_密度換算'!$C$7))</f>
        <v/>
      </c>
      <c r="K689" s="23">
        <f>IF($A689="","",E689*J689/I689)</f>
        <v/>
      </c>
    </row>
    <row r="690">
      <c r="I690" s="22">
        <f>IF($A690="","",'2_密度換算'!$C$12*(1-((G690+'2_密度換算'!$C$8)^2*(G690+'2_密度換算'!$C$9))/('2_密度換算'!$C$10*(G690+'2_密度換算'!$C$11)))/1000)</f>
        <v/>
      </c>
      <c r="J690" s="22">
        <f>IF($A690="","",1+'2_密度換算'!$C$6*(1/I690-1/'2_密度換算'!$C$7))</f>
        <v/>
      </c>
      <c r="K690" s="23">
        <f>IF($A690="","",E690*J690/I690)</f>
        <v/>
      </c>
    </row>
    <row r="691">
      <c r="I691" s="22">
        <f>IF($A691="","",'2_密度換算'!$C$12*(1-((G691+'2_密度換算'!$C$8)^2*(G691+'2_密度換算'!$C$9))/('2_密度換算'!$C$10*(G691+'2_密度換算'!$C$11)))/1000)</f>
        <v/>
      </c>
      <c r="J691" s="22">
        <f>IF($A691="","",1+'2_密度換算'!$C$6*(1/I691-1/'2_密度換算'!$C$7))</f>
        <v/>
      </c>
      <c r="K691" s="23">
        <f>IF($A691="","",E691*J691/I691)</f>
        <v/>
      </c>
    </row>
    <row r="692">
      <c r="I692" s="22">
        <f>IF($A692="","",'2_密度換算'!$C$12*(1-((G692+'2_密度換算'!$C$8)^2*(G692+'2_密度換算'!$C$9))/('2_密度換算'!$C$10*(G692+'2_密度換算'!$C$11)))/1000)</f>
        <v/>
      </c>
      <c r="J692" s="22">
        <f>IF($A692="","",1+'2_密度換算'!$C$6*(1/I692-1/'2_密度換算'!$C$7))</f>
        <v/>
      </c>
      <c r="K692" s="23">
        <f>IF($A692="","",E692*J692/I692)</f>
        <v/>
      </c>
    </row>
    <row r="693">
      <c r="I693" s="22">
        <f>IF($A693="","",'2_密度換算'!$C$12*(1-((G693+'2_密度換算'!$C$8)^2*(G693+'2_密度換算'!$C$9))/('2_密度換算'!$C$10*(G693+'2_密度換算'!$C$11)))/1000)</f>
        <v/>
      </c>
      <c r="J693" s="22">
        <f>IF($A693="","",1+'2_密度換算'!$C$6*(1/I693-1/'2_密度換算'!$C$7))</f>
        <v/>
      </c>
      <c r="K693" s="23">
        <f>IF($A693="","",E693*J693/I693)</f>
        <v/>
      </c>
    </row>
    <row r="694">
      <c r="I694" s="22">
        <f>IF($A694="","",'2_密度換算'!$C$12*(1-((G694+'2_密度換算'!$C$8)^2*(G694+'2_密度換算'!$C$9))/('2_密度換算'!$C$10*(G694+'2_密度換算'!$C$11)))/1000)</f>
        <v/>
      </c>
      <c r="J694" s="22">
        <f>IF($A694="","",1+'2_密度換算'!$C$6*(1/I694-1/'2_密度換算'!$C$7))</f>
        <v/>
      </c>
      <c r="K694" s="23">
        <f>IF($A694="","",E694*J694/I694)</f>
        <v/>
      </c>
    </row>
    <row r="695">
      <c r="I695" s="22">
        <f>IF($A695="","",'2_密度換算'!$C$12*(1-((G695+'2_密度換算'!$C$8)^2*(G695+'2_密度換算'!$C$9))/('2_密度換算'!$C$10*(G695+'2_密度換算'!$C$11)))/1000)</f>
        <v/>
      </c>
      <c r="J695" s="22">
        <f>IF($A695="","",1+'2_密度換算'!$C$6*(1/I695-1/'2_密度換算'!$C$7))</f>
        <v/>
      </c>
      <c r="K695" s="23">
        <f>IF($A695="","",E695*J695/I695)</f>
        <v/>
      </c>
    </row>
    <row r="696">
      <c r="I696" s="22">
        <f>IF($A696="","",'2_密度換算'!$C$12*(1-((G696+'2_密度換算'!$C$8)^2*(G696+'2_密度換算'!$C$9))/('2_密度換算'!$C$10*(G696+'2_密度換算'!$C$11)))/1000)</f>
        <v/>
      </c>
      <c r="J696" s="22">
        <f>IF($A696="","",1+'2_密度換算'!$C$6*(1/I696-1/'2_密度換算'!$C$7))</f>
        <v/>
      </c>
      <c r="K696" s="23">
        <f>IF($A696="","",E696*J696/I696)</f>
        <v/>
      </c>
    </row>
    <row r="697">
      <c r="I697" s="22">
        <f>IF($A697="","",'2_密度換算'!$C$12*(1-((G697+'2_密度換算'!$C$8)^2*(G697+'2_密度換算'!$C$9))/('2_密度換算'!$C$10*(G697+'2_密度換算'!$C$11)))/1000)</f>
        <v/>
      </c>
      <c r="J697" s="22">
        <f>IF($A697="","",1+'2_密度換算'!$C$6*(1/I697-1/'2_密度換算'!$C$7))</f>
        <v/>
      </c>
      <c r="K697" s="23">
        <f>IF($A697="","",E697*J697/I697)</f>
        <v/>
      </c>
    </row>
    <row r="698">
      <c r="I698" s="22">
        <f>IF($A698="","",'2_密度換算'!$C$12*(1-((G698+'2_密度換算'!$C$8)^2*(G698+'2_密度換算'!$C$9))/('2_密度換算'!$C$10*(G698+'2_密度換算'!$C$11)))/1000)</f>
        <v/>
      </c>
      <c r="J698" s="22">
        <f>IF($A698="","",1+'2_密度換算'!$C$6*(1/I698-1/'2_密度換算'!$C$7))</f>
        <v/>
      </c>
      <c r="K698" s="23">
        <f>IF($A698="","",E698*J698/I698)</f>
        <v/>
      </c>
    </row>
    <row r="699">
      <c r="I699" s="22">
        <f>IF($A699="","",'2_密度換算'!$C$12*(1-((G699+'2_密度換算'!$C$8)^2*(G699+'2_密度換算'!$C$9))/('2_密度換算'!$C$10*(G699+'2_密度換算'!$C$11)))/1000)</f>
        <v/>
      </c>
      <c r="J699" s="22">
        <f>IF($A699="","",1+'2_密度換算'!$C$6*(1/I699-1/'2_密度換算'!$C$7))</f>
        <v/>
      </c>
      <c r="K699" s="23">
        <f>IF($A699="","",E699*J699/I699)</f>
        <v/>
      </c>
    </row>
    <row r="700">
      <c r="I700" s="22">
        <f>IF($A700="","",'2_密度換算'!$C$12*(1-((G700+'2_密度換算'!$C$8)^2*(G700+'2_密度換算'!$C$9))/('2_密度換算'!$C$10*(G700+'2_密度換算'!$C$11)))/1000)</f>
        <v/>
      </c>
      <c r="J700" s="22">
        <f>IF($A700="","",1+'2_密度換算'!$C$6*(1/I700-1/'2_密度換算'!$C$7))</f>
        <v/>
      </c>
      <c r="K700" s="23">
        <f>IF($A700="","",E700*J700/I700)</f>
        <v/>
      </c>
    </row>
    <row r="701">
      <c r="I701" s="22">
        <f>IF($A701="","",'2_密度換算'!$C$12*(1-((G701+'2_密度換算'!$C$8)^2*(G701+'2_密度換算'!$C$9))/('2_密度換算'!$C$10*(G701+'2_密度換算'!$C$11)))/1000)</f>
        <v/>
      </c>
      <c r="J701" s="22">
        <f>IF($A701="","",1+'2_密度換算'!$C$6*(1/I701-1/'2_密度換算'!$C$7))</f>
        <v/>
      </c>
      <c r="K701" s="23">
        <f>IF($A701="","",E701*J701/I701)</f>
        <v/>
      </c>
    </row>
    <row r="702">
      <c r="I702" s="22">
        <f>IF($A702="","",'2_密度換算'!$C$12*(1-((G702+'2_密度換算'!$C$8)^2*(G702+'2_密度換算'!$C$9))/('2_密度換算'!$C$10*(G702+'2_密度換算'!$C$11)))/1000)</f>
        <v/>
      </c>
      <c r="J702" s="22">
        <f>IF($A702="","",1+'2_密度換算'!$C$6*(1/I702-1/'2_密度換算'!$C$7))</f>
        <v/>
      </c>
      <c r="K702" s="23">
        <f>IF($A702="","",E702*J702/I702)</f>
        <v/>
      </c>
    </row>
    <row r="703">
      <c r="I703" s="22">
        <f>IF($A703="","",'2_密度換算'!$C$12*(1-((G703+'2_密度換算'!$C$8)^2*(G703+'2_密度換算'!$C$9))/('2_密度換算'!$C$10*(G703+'2_密度換算'!$C$11)))/1000)</f>
        <v/>
      </c>
      <c r="J703" s="22">
        <f>IF($A703="","",1+'2_密度換算'!$C$6*(1/I703-1/'2_密度換算'!$C$7))</f>
        <v/>
      </c>
      <c r="K703" s="23">
        <f>IF($A703="","",E703*J703/I703)</f>
        <v/>
      </c>
    </row>
    <row r="704">
      <c r="I704" s="22">
        <f>IF($A704="","",'2_密度換算'!$C$12*(1-((G704+'2_密度換算'!$C$8)^2*(G704+'2_密度換算'!$C$9))/('2_密度換算'!$C$10*(G704+'2_密度換算'!$C$11)))/1000)</f>
        <v/>
      </c>
      <c r="J704" s="22">
        <f>IF($A704="","",1+'2_密度換算'!$C$6*(1/I704-1/'2_密度換算'!$C$7))</f>
        <v/>
      </c>
      <c r="K704" s="23">
        <f>IF($A704="","",E704*J704/I704)</f>
        <v/>
      </c>
    </row>
    <row r="705">
      <c r="I705" s="22">
        <f>IF($A705="","",'2_密度換算'!$C$12*(1-((G705+'2_密度換算'!$C$8)^2*(G705+'2_密度換算'!$C$9))/('2_密度換算'!$C$10*(G705+'2_密度換算'!$C$11)))/1000)</f>
        <v/>
      </c>
      <c r="J705" s="22">
        <f>IF($A705="","",1+'2_密度換算'!$C$6*(1/I705-1/'2_密度換算'!$C$7))</f>
        <v/>
      </c>
      <c r="K705" s="23">
        <f>IF($A705="","",E705*J705/I705)</f>
        <v/>
      </c>
    </row>
    <row r="706">
      <c r="I706" s="22">
        <f>IF($A706="","",'2_密度換算'!$C$12*(1-((G706+'2_密度換算'!$C$8)^2*(G706+'2_密度換算'!$C$9))/('2_密度換算'!$C$10*(G706+'2_密度換算'!$C$11)))/1000)</f>
        <v/>
      </c>
      <c r="J706" s="22">
        <f>IF($A706="","",1+'2_密度換算'!$C$6*(1/I706-1/'2_密度換算'!$C$7))</f>
        <v/>
      </c>
      <c r="K706" s="23">
        <f>IF($A706="","",E706*J706/I706)</f>
        <v/>
      </c>
    </row>
    <row r="707">
      <c r="I707" s="22">
        <f>IF($A707="","",'2_密度換算'!$C$12*(1-((G707+'2_密度換算'!$C$8)^2*(G707+'2_密度換算'!$C$9))/('2_密度換算'!$C$10*(G707+'2_密度換算'!$C$11)))/1000)</f>
        <v/>
      </c>
      <c r="J707" s="22">
        <f>IF($A707="","",1+'2_密度換算'!$C$6*(1/I707-1/'2_密度換算'!$C$7))</f>
        <v/>
      </c>
      <c r="K707" s="23">
        <f>IF($A707="","",E707*J707/I707)</f>
        <v/>
      </c>
    </row>
    <row r="708">
      <c r="I708" s="22">
        <f>IF($A708="","",'2_密度換算'!$C$12*(1-((G708+'2_密度換算'!$C$8)^2*(G708+'2_密度換算'!$C$9))/('2_密度換算'!$C$10*(G708+'2_密度換算'!$C$11)))/1000)</f>
        <v/>
      </c>
      <c r="J708" s="22">
        <f>IF($A708="","",1+'2_密度換算'!$C$6*(1/I708-1/'2_密度換算'!$C$7))</f>
        <v/>
      </c>
      <c r="K708" s="23">
        <f>IF($A708="","",E708*J708/I708)</f>
        <v/>
      </c>
    </row>
    <row r="709">
      <c r="I709" s="22">
        <f>IF($A709="","",'2_密度換算'!$C$12*(1-((G709+'2_密度換算'!$C$8)^2*(G709+'2_密度換算'!$C$9))/('2_密度換算'!$C$10*(G709+'2_密度換算'!$C$11)))/1000)</f>
        <v/>
      </c>
      <c r="J709" s="22">
        <f>IF($A709="","",1+'2_密度換算'!$C$6*(1/I709-1/'2_密度換算'!$C$7))</f>
        <v/>
      </c>
      <c r="K709" s="23">
        <f>IF($A709="","",E709*J709/I709)</f>
        <v/>
      </c>
    </row>
    <row r="710">
      <c r="I710" s="22">
        <f>IF($A710="","",'2_密度換算'!$C$12*(1-((G710+'2_密度換算'!$C$8)^2*(G710+'2_密度換算'!$C$9))/('2_密度換算'!$C$10*(G710+'2_密度換算'!$C$11)))/1000)</f>
        <v/>
      </c>
      <c r="J710" s="22">
        <f>IF($A710="","",1+'2_密度換算'!$C$6*(1/I710-1/'2_密度換算'!$C$7))</f>
        <v/>
      </c>
      <c r="K710" s="23">
        <f>IF($A710="","",E710*J710/I710)</f>
        <v/>
      </c>
    </row>
    <row r="711">
      <c r="I711" s="22">
        <f>IF($A711="","",'2_密度換算'!$C$12*(1-((G711+'2_密度換算'!$C$8)^2*(G711+'2_密度換算'!$C$9))/('2_密度換算'!$C$10*(G711+'2_密度換算'!$C$11)))/1000)</f>
        <v/>
      </c>
      <c r="J711" s="22">
        <f>IF($A711="","",1+'2_密度換算'!$C$6*(1/I711-1/'2_密度換算'!$C$7))</f>
        <v/>
      </c>
      <c r="K711" s="23">
        <f>IF($A711="","",E711*J711/I711)</f>
        <v/>
      </c>
    </row>
    <row r="712">
      <c r="I712" s="22">
        <f>IF($A712="","",'2_密度換算'!$C$12*(1-((G712+'2_密度換算'!$C$8)^2*(G712+'2_密度換算'!$C$9))/('2_密度換算'!$C$10*(G712+'2_密度換算'!$C$11)))/1000)</f>
        <v/>
      </c>
      <c r="J712" s="22">
        <f>IF($A712="","",1+'2_密度換算'!$C$6*(1/I712-1/'2_密度換算'!$C$7))</f>
        <v/>
      </c>
      <c r="K712" s="23">
        <f>IF($A712="","",E712*J712/I712)</f>
        <v/>
      </c>
    </row>
    <row r="713">
      <c r="I713" s="22">
        <f>IF($A713="","",'2_密度換算'!$C$12*(1-((G713+'2_密度換算'!$C$8)^2*(G713+'2_密度換算'!$C$9))/('2_密度換算'!$C$10*(G713+'2_密度換算'!$C$11)))/1000)</f>
        <v/>
      </c>
      <c r="J713" s="22">
        <f>IF($A713="","",1+'2_密度換算'!$C$6*(1/I713-1/'2_密度換算'!$C$7))</f>
        <v/>
      </c>
      <c r="K713" s="23">
        <f>IF($A713="","",E713*J713/I713)</f>
        <v/>
      </c>
    </row>
    <row r="714">
      <c r="I714" s="22">
        <f>IF($A714="","",'2_密度換算'!$C$12*(1-((G714+'2_密度換算'!$C$8)^2*(G714+'2_密度換算'!$C$9))/('2_密度換算'!$C$10*(G714+'2_密度換算'!$C$11)))/1000)</f>
        <v/>
      </c>
      <c r="J714" s="22">
        <f>IF($A714="","",1+'2_密度換算'!$C$6*(1/I714-1/'2_密度換算'!$C$7))</f>
        <v/>
      </c>
      <c r="K714" s="23">
        <f>IF($A714="","",E714*J714/I714)</f>
        <v/>
      </c>
    </row>
    <row r="715">
      <c r="I715" s="22">
        <f>IF($A715="","",'2_密度換算'!$C$12*(1-((G715+'2_密度換算'!$C$8)^2*(G715+'2_密度換算'!$C$9))/('2_密度換算'!$C$10*(G715+'2_密度換算'!$C$11)))/1000)</f>
        <v/>
      </c>
      <c r="J715" s="22">
        <f>IF($A715="","",1+'2_密度換算'!$C$6*(1/I715-1/'2_密度換算'!$C$7))</f>
        <v/>
      </c>
      <c r="K715" s="23">
        <f>IF($A715="","",E715*J715/I715)</f>
        <v/>
      </c>
    </row>
    <row r="716">
      <c r="I716" s="22">
        <f>IF($A716="","",'2_密度換算'!$C$12*(1-((G716+'2_密度換算'!$C$8)^2*(G716+'2_密度換算'!$C$9))/('2_密度換算'!$C$10*(G716+'2_密度換算'!$C$11)))/1000)</f>
        <v/>
      </c>
      <c r="J716" s="22">
        <f>IF($A716="","",1+'2_密度換算'!$C$6*(1/I716-1/'2_密度換算'!$C$7))</f>
        <v/>
      </c>
      <c r="K716" s="23">
        <f>IF($A716="","",E716*J716/I716)</f>
        <v/>
      </c>
    </row>
    <row r="717">
      <c r="I717" s="22">
        <f>IF($A717="","",'2_密度換算'!$C$12*(1-((G717+'2_密度換算'!$C$8)^2*(G717+'2_密度換算'!$C$9))/('2_密度換算'!$C$10*(G717+'2_密度換算'!$C$11)))/1000)</f>
        <v/>
      </c>
      <c r="J717" s="22">
        <f>IF($A717="","",1+'2_密度換算'!$C$6*(1/I717-1/'2_密度換算'!$C$7))</f>
        <v/>
      </c>
      <c r="K717" s="23">
        <f>IF($A717="","",E717*J717/I717)</f>
        <v/>
      </c>
    </row>
    <row r="718">
      <c r="I718" s="22">
        <f>IF($A718="","",'2_密度換算'!$C$12*(1-((G718+'2_密度換算'!$C$8)^2*(G718+'2_密度換算'!$C$9))/('2_密度換算'!$C$10*(G718+'2_密度換算'!$C$11)))/1000)</f>
        <v/>
      </c>
      <c r="J718" s="22">
        <f>IF($A718="","",1+'2_密度換算'!$C$6*(1/I718-1/'2_密度換算'!$C$7))</f>
        <v/>
      </c>
      <c r="K718" s="23">
        <f>IF($A718="","",E718*J718/I718)</f>
        <v/>
      </c>
    </row>
    <row r="719">
      <c r="I719" s="22">
        <f>IF($A719="","",'2_密度換算'!$C$12*(1-((G719+'2_密度換算'!$C$8)^2*(G719+'2_密度換算'!$C$9))/('2_密度換算'!$C$10*(G719+'2_密度換算'!$C$11)))/1000)</f>
        <v/>
      </c>
      <c r="J719" s="22">
        <f>IF($A719="","",1+'2_密度換算'!$C$6*(1/I719-1/'2_密度換算'!$C$7))</f>
        <v/>
      </c>
      <c r="K719" s="23">
        <f>IF($A719="","",E719*J719/I719)</f>
        <v/>
      </c>
    </row>
    <row r="720">
      <c r="I720" s="22">
        <f>IF($A720="","",'2_密度換算'!$C$12*(1-((G720+'2_密度換算'!$C$8)^2*(G720+'2_密度換算'!$C$9))/('2_密度換算'!$C$10*(G720+'2_密度換算'!$C$11)))/1000)</f>
        <v/>
      </c>
      <c r="J720" s="22">
        <f>IF($A720="","",1+'2_密度換算'!$C$6*(1/I720-1/'2_密度換算'!$C$7))</f>
        <v/>
      </c>
      <c r="K720" s="23">
        <f>IF($A720="","",E720*J720/I720)</f>
        <v/>
      </c>
    </row>
    <row r="721">
      <c r="I721" s="22">
        <f>IF($A721="","",'2_密度換算'!$C$12*(1-((G721+'2_密度換算'!$C$8)^2*(G721+'2_密度換算'!$C$9))/('2_密度換算'!$C$10*(G721+'2_密度換算'!$C$11)))/1000)</f>
        <v/>
      </c>
      <c r="J721" s="22">
        <f>IF($A721="","",1+'2_密度換算'!$C$6*(1/I721-1/'2_密度換算'!$C$7))</f>
        <v/>
      </c>
      <c r="K721" s="23">
        <f>IF($A721="","",E721*J721/I721)</f>
        <v/>
      </c>
    </row>
    <row r="722">
      <c r="I722" s="22">
        <f>IF($A722="","",'2_密度換算'!$C$12*(1-((G722+'2_密度換算'!$C$8)^2*(G722+'2_密度換算'!$C$9))/('2_密度換算'!$C$10*(G722+'2_密度換算'!$C$11)))/1000)</f>
        <v/>
      </c>
      <c r="J722" s="22">
        <f>IF($A722="","",1+'2_密度換算'!$C$6*(1/I722-1/'2_密度換算'!$C$7))</f>
        <v/>
      </c>
      <c r="K722" s="23">
        <f>IF($A722="","",E722*J722/I722)</f>
        <v/>
      </c>
    </row>
    <row r="723">
      <c r="I723" s="22">
        <f>IF($A723="","",'2_密度換算'!$C$12*(1-((G723+'2_密度換算'!$C$8)^2*(G723+'2_密度換算'!$C$9))/('2_密度換算'!$C$10*(G723+'2_密度換算'!$C$11)))/1000)</f>
        <v/>
      </c>
      <c r="J723" s="22">
        <f>IF($A723="","",1+'2_密度換算'!$C$6*(1/I723-1/'2_密度換算'!$C$7))</f>
        <v/>
      </c>
      <c r="K723" s="23">
        <f>IF($A723="","",E723*J723/I723)</f>
        <v/>
      </c>
    </row>
    <row r="724">
      <c r="I724" s="22">
        <f>IF($A724="","",'2_密度換算'!$C$12*(1-((G724+'2_密度換算'!$C$8)^2*(G724+'2_密度換算'!$C$9))/('2_密度換算'!$C$10*(G724+'2_密度換算'!$C$11)))/1000)</f>
        <v/>
      </c>
      <c r="J724" s="22">
        <f>IF($A724="","",1+'2_密度換算'!$C$6*(1/I724-1/'2_密度換算'!$C$7))</f>
        <v/>
      </c>
      <c r="K724" s="23">
        <f>IF($A724="","",E724*J724/I724)</f>
        <v/>
      </c>
    </row>
    <row r="725">
      <c r="I725" s="22">
        <f>IF($A725="","",'2_密度換算'!$C$12*(1-((G725+'2_密度換算'!$C$8)^2*(G725+'2_密度換算'!$C$9))/('2_密度換算'!$C$10*(G725+'2_密度換算'!$C$11)))/1000)</f>
        <v/>
      </c>
      <c r="J725" s="22">
        <f>IF($A725="","",1+'2_密度換算'!$C$6*(1/I725-1/'2_密度換算'!$C$7))</f>
        <v/>
      </c>
      <c r="K725" s="23">
        <f>IF($A725="","",E725*J725/I725)</f>
        <v/>
      </c>
    </row>
    <row r="726">
      <c r="I726" s="22">
        <f>IF($A726="","",'2_密度換算'!$C$12*(1-((G726+'2_密度換算'!$C$8)^2*(G726+'2_密度換算'!$C$9))/('2_密度換算'!$C$10*(G726+'2_密度換算'!$C$11)))/1000)</f>
        <v/>
      </c>
      <c r="J726" s="22">
        <f>IF($A726="","",1+'2_密度換算'!$C$6*(1/I726-1/'2_密度換算'!$C$7))</f>
        <v/>
      </c>
      <c r="K726" s="23">
        <f>IF($A726="","",E726*J726/I726)</f>
        <v/>
      </c>
    </row>
    <row r="727">
      <c r="I727" s="22">
        <f>IF($A727="","",'2_密度換算'!$C$12*(1-((G727+'2_密度換算'!$C$8)^2*(G727+'2_密度換算'!$C$9))/('2_密度換算'!$C$10*(G727+'2_密度換算'!$C$11)))/1000)</f>
        <v/>
      </c>
      <c r="J727" s="22">
        <f>IF($A727="","",1+'2_密度換算'!$C$6*(1/I727-1/'2_密度換算'!$C$7))</f>
        <v/>
      </c>
      <c r="K727" s="23">
        <f>IF($A727="","",E727*J727/I727)</f>
        <v/>
      </c>
    </row>
    <row r="728">
      <c r="I728" s="22">
        <f>IF($A728="","",'2_密度換算'!$C$12*(1-((G728+'2_密度換算'!$C$8)^2*(G728+'2_密度換算'!$C$9))/('2_密度換算'!$C$10*(G728+'2_密度換算'!$C$11)))/1000)</f>
        <v/>
      </c>
      <c r="J728" s="22">
        <f>IF($A728="","",1+'2_密度換算'!$C$6*(1/I728-1/'2_密度換算'!$C$7))</f>
        <v/>
      </c>
      <c r="K728" s="23">
        <f>IF($A728="","",E728*J728/I728)</f>
        <v/>
      </c>
    </row>
    <row r="729">
      <c r="I729" s="22">
        <f>IF($A729="","",'2_密度換算'!$C$12*(1-((G729+'2_密度換算'!$C$8)^2*(G729+'2_密度換算'!$C$9))/('2_密度換算'!$C$10*(G729+'2_密度換算'!$C$11)))/1000)</f>
        <v/>
      </c>
      <c r="J729" s="22">
        <f>IF($A729="","",1+'2_密度換算'!$C$6*(1/I729-1/'2_密度換算'!$C$7))</f>
        <v/>
      </c>
      <c r="K729" s="23">
        <f>IF($A729="","",E729*J729/I729)</f>
        <v/>
      </c>
    </row>
    <row r="730">
      <c r="I730" s="22">
        <f>IF($A730="","",'2_密度換算'!$C$12*(1-((G730+'2_密度換算'!$C$8)^2*(G730+'2_密度換算'!$C$9))/('2_密度換算'!$C$10*(G730+'2_密度換算'!$C$11)))/1000)</f>
        <v/>
      </c>
      <c r="J730" s="22">
        <f>IF($A730="","",1+'2_密度換算'!$C$6*(1/I730-1/'2_密度換算'!$C$7))</f>
        <v/>
      </c>
      <c r="K730" s="23">
        <f>IF($A730="","",E730*J730/I730)</f>
        <v/>
      </c>
    </row>
    <row r="731">
      <c r="I731" s="22">
        <f>IF($A731="","",'2_密度換算'!$C$12*(1-((G731+'2_密度換算'!$C$8)^2*(G731+'2_密度換算'!$C$9))/('2_密度換算'!$C$10*(G731+'2_密度換算'!$C$11)))/1000)</f>
        <v/>
      </c>
      <c r="J731" s="22">
        <f>IF($A731="","",1+'2_密度換算'!$C$6*(1/I731-1/'2_密度換算'!$C$7))</f>
        <v/>
      </c>
      <c r="K731" s="23">
        <f>IF($A731="","",E731*J731/I731)</f>
        <v/>
      </c>
    </row>
    <row r="732">
      <c r="I732" s="22">
        <f>IF($A732="","",'2_密度換算'!$C$12*(1-((G732+'2_密度換算'!$C$8)^2*(G732+'2_密度換算'!$C$9))/('2_密度換算'!$C$10*(G732+'2_密度換算'!$C$11)))/1000)</f>
        <v/>
      </c>
      <c r="J732" s="22">
        <f>IF($A732="","",1+'2_密度換算'!$C$6*(1/I732-1/'2_密度換算'!$C$7))</f>
        <v/>
      </c>
      <c r="K732" s="23">
        <f>IF($A732="","",E732*J732/I732)</f>
        <v/>
      </c>
    </row>
    <row r="733">
      <c r="I733" s="22">
        <f>IF($A733="","",'2_密度換算'!$C$12*(1-((G733+'2_密度換算'!$C$8)^2*(G733+'2_密度換算'!$C$9))/('2_密度換算'!$C$10*(G733+'2_密度換算'!$C$11)))/1000)</f>
        <v/>
      </c>
      <c r="J733" s="22">
        <f>IF($A733="","",1+'2_密度換算'!$C$6*(1/I733-1/'2_密度換算'!$C$7))</f>
        <v/>
      </c>
      <c r="K733" s="23">
        <f>IF($A733="","",E733*J733/I733)</f>
        <v/>
      </c>
    </row>
    <row r="734">
      <c r="I734" s="22">
        <f>IF($A734="","",'2_密度換算'!$C$12*(1-((G734+'2_密度換算'!$C$8)^2*(G734+'2_密度換算'!$C$9))/('2_密度換算'!$C$10*(G734+'2_密度換算'!$C$11)))/1000)</f>
        <v/>
      </c>
      <c r="J734" s="22">
        <f>IF($A734="","",1+'2_密度換算'!$C$6*(1/I734-1/'2_密度換算'!$C$7))</f>
        <v/>
      </c>
      <c r="K734" s="23">
        <f>IF($A734="","",E734*J734/I734)</f>
        <v/>
      </c>
    </row>
    <row r="735">
      <c r="I735" s="22">
        <f>IF($A735="","",'2_密度換算'!$C$12*(1-((G735+'2_密度換算'!$C$8)^2*(G735+'2_密度換算'!$C$9))/('2_密度換算'!$C$10*(G735+'2_密度換算'!$C$11)))/1000)</f>
        <v/>
      </c>
      <c r="J735" s="22">
        <f>IF($A735="","",1+'2_密度換算'!$C$6*(1/I735-1/'2_密度換算'!$C$7))</f>
        <v/>
      </c>
      <c r="K735" s="23">
        <f>IF($A735="","",E735*J735/I735)</f>
        <v/>
      </c>
    </row>
    <row r="736">
      <c r="I736" s="22">
        <f>IF($A736="","",'2_密度換算'!$C$12*(1-((G736+'2_密度換算'!$C$8)^2*(G736+'2_密度換算'!$C$9))/('2_密度換算'!$C$10*(G736+'2_密度換算'!$C$11)))/1000)</f>
        <v/>
      </c>
      <c r="J736" s="22">
        <f>IF($A736="","",1+'2_密度換算'!$C$6*(1/I736-1/'2_密度換算'!$C$7))</f>
        <v/>
      </c>
      <c r="K736" s="23">
        <f>IF($A736="","",E736*J736/I736)</f>
        <v/>
      </c>
    </row>
    <row r="737">
      <c r="I737" s="22">
        <f>IF($A737="","",'2_密度換算'!$C$12*(1-((G737+'2_密度換算'!$C$8)^2*(G737+'2_密度換算'!$C$9))/('2_密度換算'!$C$10*(G737+'2_密度換算'!$C$11)))/1000)</f>
        <v/>
      </c>
      <c r="J737" s="22">
        <f>IF($A737="","",1+'2_密度換算'!$C$6*(1/I737-1/'2_密度換算'!$C$7))</f>
        <v/>
      </c>
      <c r="K737" s="23">
        <f>IF($A737="","",E737*J737/I737)</f>
        <v/>
      </c>
    </row>
    <row r="738">
      <c r="I738" s="22">
        <f>IF($A738="","",'2_密度換算'!$C$12*(1-((G738+'2_密度換算'!$C$8)^2*(G738+'2_密度換算'!$C$9))/('2_密度換算'!$C$10*(G738+'2_密度換算'!$C$11)))/1000)</f>
        <v/>
      </c>
      <c r="J738" s="22">
        <f>IF($A738="","",1+'2_密度換算'!$C$6*(1/I738-1/'2_密度換算'!$C$7))</f>
        <v/>
      </c>
      <c r="K738" s="23">
        <f>IF($A738="","",E738*J738/I738)</f>
        <v/>
      </c>
    </row>
    <row r="739">
      <c r="I739" s="22">
        <f>IF($A739="","",'2_密度換算'!$C$12*(1-((G739+'2_密度換算'!$C$8)^2*(G739+'2_密度換算'!$C$9))/('2_密度換算'!$C$10*(G739+'2_密度換算'!$C$11)))/1000)</f>
        <v/>
      </c>
      <c r="J739" s="22">
        <f>IF($A739="","",1+'2_密度換算'!$C$6*(1/I739-1/'2_密度換算'!$C$7))</f>
        <v/>
      </c>
      <c r="K739" s="23">
        <f>IF($A739="","",E739*J739/I739)</f>
        <v/>
      </c>
    </row>
    <row r="740">
      <c r="I740" s="22">
        <f>IF($A740="","",'2_密度換算'!$C$12*(1-((G740+'2_密度換算'!$C$8)^2*(G740+'2_密度換算'!$C$9))/('2_密度換算'!$C$10*(G740+'2_密度換算'!$C$11)))/1000)</f>
        <v/>
      </c>
      <c r="J740" s="22">
        <f>IF($A740="","",1+'2_密度換算'!$C$6*(1/I740-1/'2_密度換算'!$C$7))</f>
        <v/>
      </c>
      <c r="K740" s="23">
        <f>IF($A740="","",E740*J740/I740)</f>
        <v/>
      </c>
    </row>
    <row r="741">
      <c r="I741" s="22">
        <f>IF($A741="","",'2_密度換算'!$C$12*(1-((G741+'2_密度換算'!$C$8)^2*(G741+'2_密度換算'!$C$9))/('2_密度換算'!$C$10*(G741+'2_密度換算'!$C$11)))/1000)</f>
        <v/>
      </c>
      <c r="J741" s="22">
        <f>IF($A741="","",1+'2_密度換算'!$C$6*(1/I741-1/'2_密度換算'!$C$7))</f>
        <v/>
      </c>
      <c r="K741" s="23">
        <f>IF($A741="","",E741*J741/I741)</f>
        <v/>
      </c>
    </row>
    <row r="742">
      <c r="I742" s="22">
        <f>IF($A742="","",'2_密度換算'!$C$12*(1-((G742+'2_密度換算'!$C$8)^2*(G742+'2_密度換算'!$C$9))/('2_密度換算'!$C$10*(G742+'2_密度換算'!$C$11)))/1000)</f>
        <v/>
      </c>
      <c r="J742" s="22">
        <f>IF($A742="","",1+'2_密度換算'!$C$6*(1/I742-1/'2_密度換算'!$C$7))</f>
        <v/>
      </c>
      <c r="K742" s="23">
        <f>IF($A742="","",E742*J742/I742)</f>
        <v/>
      </c>
    </row>
    <row r="743">
      <c r="I743" s="22">
        <f>IF($A743="","",'2_密度換算'!$C$12*(1-((G743+'2_密度換算'!$C$8)^2*(G743+'2_密度換算'!$C$9))/('2_密度換算'!$C$10*(G743+'2_密度換算'!$C$11)))/1000)</f>
        <v/>
      </c>
      <c r="J743" s="22">
        <f>IF($A743="","",1+'2_密度換算'!$C$6*(1/I743-1/'2_密度換算'!$C$7))</f>
        <v/>
      </c>
      <c r="K743" s="23">
        <f>IF($A743="","",E743*J743/I743)</f>
        <v/>
      </c>
    </row>
    <row r="744">
      <c r="I744" s="22">
        <f>IF($A744="","",'2_密度換算'!$C$12*(1-((G744+'2_密度換算'!$C$8)^2*(G744+'2_密度換算'!$C$9))/('2_密度換算'!$C$10*(G744+'2_密度換算'!$C$11)))/1000)</f>
        <v/>
      </c>
      <c r="J744" s="22">
        <f>IF($A744="","",1+'2_密度換算'!$C$6*(1/I744-1/'2_密度換算'!$C$7))</f>
        <v/>
      </c>
      <c r="K744" s="23">
        <f>IF($A744="","",E744*J744/I744)</f>
        <v/>
      </c>
    </row>
    <row r="745">
      <c r="I745" s="22">
        <f>IF($A745="","",'2_密度換算'!$C$12*(1-((G745+'2_密度換算'!$C$8)^2*(G745+'2_密度換算'!$C$9))/('2_密度換算'!$C$10*(G745+'2_密度換算'!$C$11)))/1000)</f>
        <v/>
      </c>
      <c r="J745" s="22">
        <f>IF($A745="","",1+'2_密度換算'!$C$6*(1/I745-1/'2_密度換算'!$C$7))</f>
        <v/>
      </c>
      <c r="K745" s="23">
        <f>IF($A745="","",E745*J745/I745)</f>
        <v/>
      </c>
    </row>
    <row r="746">
      <c r="I746" s="22">
        <f>IF($A746="","",'2_密度換算'!$C$12*(1-((G746+'2_密度換算'!$C$8)^2*(G746+'2_密度換算'!$C$9))/('2_密度換算'!$C$10*(G746+'2_密度換算'!$C$11)))/1000)</f>
        <v/>
      </c>
      <c r="J746" s="22">
        <f>IF($A746="","",1+'2_密度換算'!$C$6*(1/I746-1/'2_密度換算'!$C$7))</f>
        <v/>
      </c>
      <c r="K746" s="23">
        <f>IF($A746="","",E746*J746/I746)</f>
        <v/>
      </c>
    </row>
    <row r="747">
      <c r="I747" s="22">
        <f>IF($A747="","",'2_密度換算'!$C$12*(1-((G747+'2_密度換算'!$C$8)^2*(G747+'2_密度換算'!$C$9))/('2_密度換算'!$C$10*(G747+'2_密度換算'!$C$11)))/1000)</f>
        <v/>
      </c>
      <c r="J747" s="22">
        <f>IF($A747="","",1+'2_密度換算'!$C$6*(1/I747-1/'2_密度換算'!$C$7))</f>
        <v/>
      </c>
      <c r="K747" s="23">
        <f>IF($A747="","",E747*J747/I747)</f>
        <v/>
      </c>
    </row>
    <row r="748">
      <c r="I748" s="22">
        <f>IF($A748="","",'2_密度換算'!$C$12*(1-((G748+'2_密度換算'!$C$8)^2*(G748+'2_密度換算'!$C$9))/('2_密度換算'!$C$10*(G748+'2_密度換算'!$C$11)))/1000)</f>
        <v/>
      </c>
      <c r="J748" s="22">
        <f>IF($A748="","",1+'2_密度換算'!$C$6*(1/I748-1/'2_密度換算'!$C$7))</f>
        <v/>
      </c>
      <c r="K748" s="23">
        <f>IF($A748="","",E748*J748/I748)</f>
        <v/>
      </c>
    </row>
    <row r="749">
      <c r="I749" s="22">
        <f>IF($A749="","",'2_密度換算'!$C$12*(1-((G749+'2_密度換算'!$C$8)^2*(G749+'2_密度換算'!$C$9))/('2_密度換算'!$C$10*(G749+'2_密度換算'!$C$11)))/1000)</f>
        <v/>
      </c>
      <c r="J749" s="22">
        <f>IF($A749="","",1+'2_密度換算'!$C$6*(1/I749-1/'2_密度換算'!$C$7))</f>
        <v/>
      </c>
      <c r="K749" s="23">
        <f>IF($A749="","",E749*J749/I749)</f>
        <v/>
      </c>
    </row>
    <row r="750">
      <c r="I750" s="22">
        <f>IF($A750="","",'2_密度換算'!$C$12*(1-((G750+'2_密度換算'!$C$8)^2*(G750+'2_密度換算'!$C$9))/('2_密度換算'!$C$10*(G750+'2_密度換算'!$C$11)))/1000)</f>
        <v/>
      </c>
      <c r="J750" s="22">
        <f>IF($A750="","",1+'2_密度換算'!$C$6*(1/I750-1/'2_密度換算'!$C$7))</f>
        <v/>
      </c>
      <c r="K750" s="23">
        <f>IF($A750="","",E750*J750/I750)</f>
        <v/>
      </c>
    </row>
    <row r="751">
      <c r="I751" s="22">
        <f>IF($A751="","",'2_密度換算'!$C$12*(1-((G751+'2_密度換算'!$C$8)^2*(G751+'2_密度換算'!$C$9))/('2_密度換算'!$C$10*(G751+'2_密度換算'!$C$11)))/1000)</f>
        <v/>
      </c>
      <c r="J751" s="22">
        <f>IF($A751="","",1+'2_密度換算'!$C$6*(1/I751-1/'2_密度換算'!$C$7))</f>
        <v/>
      </c>
      <c r="K751" s="23">
        <f>IF($A751="","",E751*J751/I751)</f>
        <v/>
      </c>
    </row>
    <row r="752">
      <c r="I752" s="22">
        <f>IF($A752="","",'2_密度換算'!$C$12*(1-((G752+'2_密度換算'!$C$8)^2*(G752+'2_密度換算'!$C$9))/('2_密度換算'!$C$10*(G752+'2_密度換算'!$C$11)))/1000)</f>
        <v/>
      </c>
      <c r="J752" s="22">
        <f>IF($A752="","",1+'2_密度換算'!$C$6*(1/I752-1/'2_密度換算'!$C$7))</f>
        <v/>
      </c>
      <c r="K752" s="23">
        <f>IF($A752="","",E752*J752/I752)</f>
        <v/>
      </c>
    </row>
    <row r="753">
      <c r="I753" s="22">
        <f>IF($A753="","",'2_密度換算'!$C$12*(1-((G753+'2_密度換算'!$C$8)^2*(G753+'2_密度換算'!$C$9))/('2_密度換算'!$C$10*(G753+'2_密度換算'!$C$11)))/1000)</f>
        <v/>
      </c>
      <c r="J753" s="22">
        <f>IF($A753="","",1+'2_密度換算'!$C$6*(1/I753-1/'2_密度換算'!$C$7))</f>
        <v/>
      </c>
      <c r="K753" s="23">
        <f>IF($A753="","",E753*J753/I753)</f>
        <v/>
      </c>
    </row>
    <row r="754">
      <c r="I754" s="22">
        <f>IF($A754="","",'2_密度換算'!$C$12*(1-((G754+'2_密度換算'!$C$8)^2*(G754+'2_密度換算'!$C$9))/('2_密度換算'!$C$10*(G754+'2_密度換算'!$C$11)))/1000)</f>
        <v/>
      </c>
      <c r="J754" s="22">
        <f>IF($A754="","",1+'2_密度換算'!$C$6*(1/I754-1/'2_密度換算'!$C$7))</f>
        <v/>
      </c>
      <c r="K754" s="23">
        <f>IF($A754="","",E754*J754/I754)</f>
        <v/>
      </c>
    </row>
    <row r="755">
      <c r="I755" s="22">
        <f>IF($A755="","",'2_密度換算'!$C$12*(1-((G755+'2_密度換算'!$C$8)^2*(G755+'2_密度換算'!$C$9))/('2_密度換算'!$C$10*(G755+'2_密度換算'!$C$11)))/1000)</f>
        <v/>
      </c>
      <c r="J755" s="22">
        <f>IF($A755="","",1+'2_密度換算'!$C$6*(1/I755-1/'2_密度換算'!$C$7))</f>
        <v/>
      </c>
      <c r="K755" s="23">
        <f>IF($A755="","",E755*J755/I755)</f>
        <v/>
      </c>
    </row>
    <row r="756">
      <c r="I756" s="22">
        <f>IF($A756="","",'2_密度換算'!$C$12*(1-((G756+'2_密度換算'!$C$8)^2*(G756+'2_密度換算'!$C$9))/('2_密度換算'!$C$10*(G756+'2_密度換算'!$C$11)))/1000)</f>
        <v/>
      </c>
      <c r="J756" s="22">
        <f>IF($A756="","",1+'2_密度換算'!$C$6*(1/I756-1/'2_密度換算'!$C$7))</f>
        <v/>
      </c>
      <c r="K756" s="23">
        <f>IF($A756="","",E756*J756/I756)</f>
        <v/>
      </c>
    </row>
    <row r="757">
      <c r="I757" s="22">
        <f>IF($A757="","",'2_密度換算'!$C$12*(1-((G757+'2_密度換算'!$C$8)^2*(G757+'2_密度換算'!$C$9))/('2_密度換算'!$C$10*(G757+'2_密度換算'!$C$11)))/1000)</f>
        <v/>
      </c>
      <c r="J757" s="22">
        <f>IF($A757="","",1+'2_密度換算'!$C$6*(1/I757-1/'2_密度換算'!$C$7))</f>
        <v/>
      </c>
      <c r="K757" s="23">
        <f>IF($A757="","",E757*J757/I757)</f>
        <v/>
      </c>
    </row>
    <row r="758">
      <c r="I758" s="22">
        <f>IF($A758="","",'2_密度換算'!$C$12*(1-((G758+'2_密度換算'!$C$8)^2*(G758+'2_密度換算'!$C$9))/('2_密度換算'!$C$10*(G758+'2_密度換算'!$C$11)))/1000)</f>
        <v/>
      </c>
      <c r="J758" s="22">
        <f>IF($A758="","",1+'2_密度換算'!$C$6*(1/I758-1/'2_密度換算'!$C$7))</f>
        <v/>
      </c>
      <c r="K758" s="23">
        <f>IF($A758="","",E758*J758/I758)</f>
        <v/>
      </c>
    </row>
    <row r="759">
      <c r="I759" s="22">
        <f>IF($A759="","",'2_密度換算'!$C$12*(1-((G759+'2_密度換算'!$C$8)^2*(G759+'2_密度換算'!$C$9))/('2_密度換算'!$C$10*(G759+'2_密度換算'!$C$11)))/1000)</f>
        <v/>
      </c>
      <c r="J759" s="22">
        <f>IF($A759="","",1+'2_密度換算'!$C$6*(1/I759-1/'2_密度換算'!$C$7))</f>
        <v/>
      </c>
      <c r="K759" s="23">
        <f>IF($A759="","",E759*J759/I759)</f>
        <v/>
      </c>
    </row>
    <row r="760">
      <c r="I760" s="22">
        <f>IF($A760="","",'2_密度換算'!$C$12*(1-((G760+'2_密度換算'!$C$8)^2*(G760+'2_密度換算'!$C$9))/('2_密度換算'!$C$10*(G760+'2_密度換算'!$C$11)))/1000)</f>
        <v/>
      </c>
      <c r="J760" s="22">
        <f>IF($A760="","",1+'2_密度換算'!$C$6*(1/I760-1/'2_密度換算'!$C$7))</f>
        <v/>
      </c>
      <c r="K760" s="23">
        <f>IF($A760="","",E760*J760/I760)</f>
        <v/>
      </c>
    </row>
    <row r="761">
      <c r="I761" s="22">
        <f>IF($A761="","",'2_密度換算'!$C$12*(1-((G761+'2_密度換算'!$C$8)^2*(G761+'2_密度換算'!$C$9))/('2_密度換算'!$C$10*(G761+'2_密度換算'!$C$11)))/1000)</f>
        <v/>
      </c>
      <c r="J761" s="22">
        <f>IF($A761="","",1+'2_密度換算'!$C$6*(1/I761-1/'2_密度換算'!$C$7))</f>
        <v/>
      </c>
      <c r="K761" s="23">
        <f>IF($A761="","",E761*J761/I761)</f>
        <v/>
      </c>
    </row>
    <row r="762">
      <c r="I762" s="22">
        <f>IF($A762="","",'2_密度換算'!$C$12*(1-((G762+'2_密度換算'!$C$8)^2*(G762+'2_密度換算'!$C$9))/('2_密度換算'!$C$10*(G762+'2_密度換算'!$C$11)))/1000)</f>
        <v/>
      </c>
      <c r="J762" s="22">
        <f>IF($A762="","",1+'2_密度換算'!$C$6*(1/I762-1/'2_密度換算'!$C$7))</f>
        <v/>
      </c>
      <c r="K762" s="23">
        <f>IF($A762="","",E762*J762/I762)</f>
        <v/>
      </c>
    </row>
    <row r="763">
      <c r="I763" s="22">
        <f>IF($A763="","",'2_密度換算'!$C$12*(1-((G763+'2_密度換算'!$C$8)^2*(G763+'2_密度換算'!$C$9))/('2_密度換算'!$C$10*(G763+'2_密度換算'!$C$11)))/1000)</f>
        <v/>
      </c>
      <c r="J763" s="22">
        <f>IF($A763="","",1+'2_密度換算'!$C$6*(1/I763-1/'2_密度換算'!$C$7))</f>
        <v/>
      </c>
      <c r="K763" s="23">
        <f>IF($A763="","",E763*J763/I763)</f>
        <v/>
      </c>
    </row>
    <row r="764">
      <c r="I764" s="22">
        <f>IF($A764="","",'2_密度換算'!$C$12*(1-((G764+'2_密度換算'!$C$8)^2*(G764+'2_密度換算'!$C$9))/('2_密度換算'!$C$10*(G764+'2_密度換算'!$C$11)))/1000)</f>
        <v/>
      </c>
      <c r="J764" s="22">
        <f>IF($A764="","",1+'2_密度換算'!$C$6*(1/I764-1/'2_密度換算'!$C$7))</f>
        <v/>
      </c>
      <c r="K764" s="23">
        <f>IF($A764="","",E764*J764/I764)</f>
        <v/>
      </c>
    </row>
    <row r="765">
      <c r="I765" s="22">
        <f>IF($A765="","",'2_密度換算'!$C$12*(1-((G765+'2_密度換算'!$C$8)^2*(G765+'2_密度換算'!$C$9))/('2_密度換算'!$C$10*(G765+'2_密度換算'!$C$11)))/1000)</f>
        <v/>
      </c>
      <c r="J765" s="22">
        <f>IF($A765="","",1+'2_密度換算'!$C$6*(1/I765-1/'2_密度換算'!$C$7))</f>
        <v/>
      </c>
      <c r="K765" s="23">
        <f>IF($A765="","",E765*J765/I765)</f>
        <v/>
      </c>
    </row>
    <row r="766">
      <c r="I766" s="22">
        <f>IF($A766="","",'2_密度換算'!$C$12*(1-((G766+'2_密度換算'!$C$8)^2*(G766+'2_密度換算'!$C$9))/('2_密度換算'!$C$10*(G766+'2_密度換算'!$C$11)))/1000)</f>
        <v/>
      </c>
      <c r="J766" s="22">
        <f>IF($A766="","",1+'2_密度換算'!$C$6*(1/I766-1/'2_密度換算'!$C$7))</f>
        <v/>
      </c>
      <c r="K766" s="23">
        <f>IF($A766="","",E766*J766/I766)</f>
        <v/>
      </c>
    </row>
    <row r="767">
      <c r="I767" s="22">
        <f>IF($A767="","",'2_密度換算'!$C$12*(1-((G767+'2_密度換算'!$C$8)^2*(G767+'2_密度換算'!$C$9))/('2_密度換算'!$C$10*(G767+'2_密度換算'!$C$11)))/1000)</f>
        <v/>
      </c>
      <c r="J767" s="22">
        <f>IF($A767="","",1+'2_密度換算'!$C$6*(1/I767-1/'2_密度換算'!$C$7))</f>
        <v/>
      </c>
      <c r="K767" s="23">
        <f>IF($A767="","",E767*J767/I767)</f>
        <v/>
      </c>
    </row>
    <row r="768">
      <c r="I768" s="22">
        <f>IF($A768="","",'2_密度換算'!$C$12*(1-((G768+'2_密度換算'!$C$8)^2*(G768+'2_密度換算'!$C$9))/('2_密度換算'!$C$10*(G768+'2_密度換算'!$C$11)))/1000)</f>
        <v/>
      </c>
      <c r="J768" s="22">
        <f>IF($A768="","",1+'2_密度換算'!$C$6*(1/I768-1/'2_密度換算'!$C$7))</f>
        <v/>
      </c>
      <c r="K768" s="23">
        <f>IF($A768="","",E768*J768/I768)</f>
        <v/>
      </c>
    </row>
    <row r="769">
      <c r="I769" s="22">
        <f>IF($A769="","",'2_密度換算'!$C$12*(1-((G769+'2_密度換算'!$C$8)^2*(G769+'2_密度換算'!$C$9))/('2_密度換算'!$C$10*(G769+'2_密度換算'!$C$11)))/1000)</f>
        <v/>
      </c>
      <c r="J769" s="22">
        <f>IF($A769="","",1+'2_密度換算'!$C$6*(1/I769-1/'2_密度換算'!$C$7))</f>
        <v/>
      </c>
      <c r="K769" s="23">
        <f>IF($A769="","",E769*J769/I769)</f>
        <v/>
      </c>
    </row>
    <row r="770">
      <c r="I770" s="22">
        <f>IF($A770="","",'2_密度換算'!$C$12*(1-((G770+'2_密度換算'!$C$8)^2*(G770+'2_密度換算'!$C$9))/('2_密度換算'!$C$10*(G770+'2_密度換算'!$C$11)))/1000)</f>
        <v/>
      </c>
      <c r="J770" s="22">
        <f>IF($A770="","",1+'2_密度換算'!$C$6*(1/I770-1/'2_密度換算'!$C$7))</f>
        <v/>
      </c>
      <c r="K770" s="23">
        <f>IF($A770="","",E770*J770/I770)</f>
        <v/>
      </c>
    </row>
    <row r="771">
      <c r="I771" s="22">
        <f>IF($A771="","",'2_密度換算'!$C$12*(1-((G771+'2_密度換算'!$C$8)^2*(G771+'2_密度換算'!$C$9))/('2_密度換算'!$C$10*(G771+'2_密度換算'!$C$11)))/1000)</f>
        <v/>
      </c>
      <c r="J771" s="22">
        <f>IF($A771="","",1+'2_密度換算'!$C$6*(1/I771-1/'2_密度換算'!$C$7))</f>
        <v/>
      </c>
      <c r="K771" s="23">
        <f>IF($A771="","",E771*J771/I771)</f>
        <v/>
      </c>
    </row>
    <row r="772">
      <c r="I772" s="22">
        <f>IF($A772="","",'2_密度換算'!$C$12*(1-((G772+'2_密度換算'!$C$8)^2*(G772+'2_密度換算'!$C$9))/('2_密度換算'!$C$10*(G772+'2_密度換算'!$C$11)))/1000)</f>
        <v/>
      </c>
      <c r="J772" s="22">
        <f>IF($A772="","",1+'2_密度換算'!$C$6*(1/I772-1/'2_密度換算'!$C$7))</f>
        <v/>
      </c>
      <c r="K772" s="23">
        <f>IF($A772="","",E772*J772/I772)</f>
        <v/>
      </c>
    </row>
    <row r="773">
      <c r="I773" s="22">
        <f>IF($A773="","",'2_密度換算'!$C$12*(1-((G773+'2_密度換算'!$C$8)^2*(G773+'2_密度換算'!$C$9))/('2_密度換算'!$C$10*(G773+'2_密度換算'!$C$11)))/1000)</f>
        <v/>
      </c>
      <c r="J773" s="22">
        <f>IF($A773="","",1+'2_密度換算'!$C$6*(1/I773-1/'2_密度換算'!$C$7))</f>
        <v/>
      </c>
      <c r="K773" s="23">
        <f>IF($A773="","",E773*J773/I773)</f>
        <v/>
      </c>
    </row>
    <row r="774">
      <c r="I774" s="22">
        <f>IF($A774="","",'2_密度換算'!$C$12*(1-((G774+'2_密度換算'!$C$8)^2*(G774+'2_密度換算'!$C$9))/('2_密度換算'!$C$10*(G774+'2_密度換算'!$C$11)))/1000)</f>
        <v/>
      </c>
      <c r="J774" s="22">
        <f>IF($A774="","",1+'2_密度換算'!$C$6*(1/I774-1/'2_密度換算'!$C$7))</f>
        <v/>
      </c>
      <c r="K774" s="23">
        <f>IF($A774="","",E774*J774/I774)</f>
        <v/>
      </c>
    </row>
    <row r="775">
      <c r="I775" s="22">
        <f>IF($A775="","",'2_密度換算'!$C$12*(1-((G775+'2_密度換算'!$C$8)^2*(G775+'2_密度換算'!$C$9))/('2_密度換算'!$C$10*(G775+'2_密度換算'!$C$11)))/1000)</f>
        <v/>
      </c>
      <c r="J775" s="22">
        <f>IF($A775="","",1+'2_密度換算'!$C$6*(1/I775-1/'2_密度換算'!$C$7))</f>
        <v/>
      </c>
      <c r="K775" s="23">
        <f>IF($A775="","",E775*J775/I775)</f>
        <v/>
      </c>
    </row>
    <row r="776">
      <c r="I776" s="22">
        <f>IF($A776="","",'2_密度換算'!$C$12*(1-((G776+'2_密度換算'!$C$8)^2*(G776+'2_密度換算'!$C$9))/('2_密度換算'!$C$10*(G776+'2_密度換算'!$C$11)))/1000)</f>
        <v/>
      </c>
      <c r="J776" s="22">
        <f>IF($A776="","",1+'2_密度換算'!$C$6*(1/I776-1/'2_密度換算'!$C$7))</f>
        <v/>
      </c>
      <c r="K776" s="23">
        <f>IF($A776="","",E776*J776/I776)</f>
        <v/>
      </c>
    </row>
    <row r="777">
      <c r="I777" s="22">
        <f>IF($A777="","",'2_密度換算'!$C$12*(1-((G777+'2_密度換算'!$C$8)^2*(G777+'2_密度換算'!$C$9))/('2_密度換算'!$C$10*(G777+'2_密度換算'!$C$11)))/1000)</f>
        <v/>
      </c>
      <c r="J777" s="22">
        <f>IF($A777="","",1+'2_密度換算'!$C$6*(1/I777-1/'2_密度換算'!$C$7))</f>
        <v/>
      </c>
      <c r="K777" s="23">
        <f>IF($A777="","",E777*J777/I777)</f>
        <v/>
      </c>
    </row>
    <row r="778">
      <c r="I778" s="22">
        <f>IF($A778="","",'2_密度換算'!$C$12*(1-((G778+'2_密度換算'!$C$8)^2*(G778+'2_密度換算'!$C$9))/('2_密度換算'!$C$10*(G778+'2_密度換算'!$C$11)))/1000)</f>
        <v/>
      </c>
      <c r="J778" s="22">
        <f>IF($A778="","",1+'2_密度換算'!$C$6*(1/I778-1/'2_密度換算'!$C$7))</f>
        <v/>
      </c>
      <c r="K778" s="23">
        <f>IF($A778="","",E778*J778/I778)</f>
        <v/>
      </c>
    </row>
    <row r="779">
      <c r="I779" s="22">
        <f>IF($A779="","",'2_密度換算'!$C$12*(1-((G779+'2_密度換算'!$C$8)^2*(G779+'2_密度換算'!$C$9))/('2_密度換算'!$C$10*(G779+'2_密度換算'!$C$11)))/1000)</f>
        <v/>
      </c>
      <c r="J779" s="22">
        <f>IF($A779="","",1+'2_密度換算'!$C$6*(1/I779-1/'2_密度換算'!$C$7))</f>
        <v/>
      </c>
      <c r="K779" s="23">
        <f>IF($A779="","",E779*J779/I779)</f>
        <v/>
      </c>
    </row>
    <row r="780">
      <c r="I780" s="22">
        <f>IF($A780="","",'2_密度換算'!$C$12*(1-((G780+'2_密度換算'!$C$8)^2*(G780+'2_密度換算'!$C$9))/('2_密度換算'!$C$10*(G780+'2_密度換算'!$C$11)))/1000)</f>
        <v/>
      </c>
      <c r="J780" s="22">
        <f>IF($A780="","",1+'2_密度換算'!$C$6*(1/I780-1/'2_密度換算'!$C$7))</f>
        <v/>
      </c>
      <c r="K780" s="23">
        <f>IF($A780="","",E780*J780/I780)</f>
        <v/>
      </c>
    </row>
    <row r="781">
      <c r="I781" s="22">
        <f>IF($A781="","",'2_密度換算'!$C$12*(1-((G781+'2_密度換算'!$C$8)^2*(G781+'2_密度換算'!$C$9))/('2_密度換算'!$C$10*(G781+'2_密度換算'!$C$11)))/1000)</f>
        <v/>
      </c>
      <c r="J781" s="22">
        <f>IF($A781="","",1+'2_密度換算'!$C$6*(1/I781-1/'2_密度換算'!$C$7))</f>
        <v/>
      </c>
      <c r="K781" s="23">
        <f>IF($A781="","",E781*J781/I781)</f>
        <v/>
      </c>
    </row>
    <row r="782">
      <c r="I782" s="22">
        <f>IF($A782="","",'2_密度換算'!$C$12*(1-((G782+'2_密度換算'!$C$8)^2*(G782+'2_密度換算'!$C$9))/('2_密度換算'!$C$10*(G782+'2_密度換算'!$C$11)))/1000)</f>
        <v/>
      </c>
      <c r="J782" s="22">
        <f>IF($A782="","",1+'2_密度換算'!$C$6*(1/I782-1/'2_密度換算'!$C$7))</f>
        <v/>
      </c>
      <c r="K782" s="23">
        <f>IF($A782="","",E782*J782/I782)</f>
        <v/>
      </c>
    </row>
    <row r="783">
      <c r="I783" s="22">
        <f>IF($A783="","",'2_密度換算'!$C$12*(1-((G783+'2_密度換算'!$C$8)^2*(G783+'2_密度換算'!$C$9))/('2_密度換算'!$C$10*(G783+'2_密度換算'!$C$11)))/1000)</f>
        <v/>
      </c>
      <c r="J783" s="22">
        <f>IF($A783="","",1+'2_密度換算'!$C$6*(1/I783-1/'2_密度換算'!$C$7))</f>
        <v/>
      </c>
      <c r="K783" s="23">
        <f>IF($A783="","",E783*J783/I783)</f>
        <v/>
      </c>
    </row>
    <row r="784">
      <c r="I784" s="22">
        <f>IF($A784="","",'2_密度換算'!$C$12*(1-((G784+'2_密度換算'!$C$8)^2*(G784+'2_密度換算'!$C$9))/('2_密度換算'!$C$10*(G784+'2_密度換算'!$C$11)))/1000)</f>
        <v/>
      </c>
      <c r="J784" s="22">
        <f>IF($A784="","",1+'2_密度換算'!$C$6*(1/I784-1/'2_密度換算'!$C$7))</f>
        <v/>
      </c>
      <c r="K784" s="23">
        <f>IF($A784="","",E784*J784/I784)</f>
        <v/>
      </c>
    </row>
    <row r="785">
      <c r="I785" s="22">
        <f>IF($A785="","",'2_密度換算'!$C$12*(1-((G785+'2_密度換算'!$C$8)^2*(G785+'2_密度換算'!$C$9))/('2_密度換算'!$C$10*(G785+'2_密度換算'!$C$11)))/1000)</f>
        <v/>
      </c>
      <c r="J785" s="22">
        <f>IF($A785="","",1+'2_密度換算'!$C$6*(1/I785-1/'2_密度換算'!$C$7))</f>
        <v/>
      </c>
      <c r="K785" s="23">
        <f>IF($A785="","",E785*J785/I785)</f>
        <v/>
      </c>
    </row>
    <row r="786">
      <c r="I786" s="22">
        <f>IF($A786="","",'2_密度換算'!$C$12*(1-((G786+'2_密度換算'!$C$8)^2*(G786+'2_密度換算'!$C$9))/('2_密度換算'!$C$10*(G786+'2_密度換算'!$C$11)))/1000)</f>
        <v/>
      </c>
      <c r="J786" s="22">
        <f>IF($A786="","",1+'2_密度換算'!$C$6*(1/I786-1/'2_密度換算'!$C$7))</f>
        <v/>
      </c>
      <c r="K786" s="23">
        <f>IF($A786="","",E786*J786/I786)</f>
        <v/>
      </c>
    </row>
    <row r="787">
      <c r="I787" s="22">
        <f>IF($A787="","",'2_密度換算'!$C$12*(1-((G787+'2_密度換算'!$C$8)^2*(G787+'2_密度換算'!$C$9))/('2_密度換算'!$C$10*(G787+'2_密度換算'!$C$11)))/1000)</f>
        <v/>
      </c>
      <c r="J787" s="22">
        <f>IF($A787="","",1+'2_密度換算'!$C$6*(1/I787-1/'2_密度換算'!$C$7))</f>
        <v/>
      </c>
      <c r="K787" s="23">
        <f>IF($A787="","",E787*J787/I787)</f>
        <v/>
      </c>
    </row>
    <row r="788">
      <c r="I788" s="22">
        <f>IF($A788="","",'2_密度換算'!$C$12*(1-((G788+'2_密度換算'!$C$8)^2*(G788+'2_密度換算'!$C$9))/('2_密度換算'!$C$10*(G788+'2_密度換算'!$C$11)))/1000)</f>
        <v/>
      </c>
      <c r="J788" s="22">
        <f>IF($A788="","",1+'2_密度換算'!$C$6*(1/I788-1/'2_密度換算'!$C$7))</f>
        <v/>
      </c>
      <c r="K788" s="23">
        <f>IF($A788="","",E788*J788/I788)</f>
        <v/>
      </c>
    </row>
    <row r="789">
      <c r="I789" s="22">
        <f>IF($A789="","",'2_密度換算'!$C$12*(1-((G789+'2_密度換算'!$C$8)^2*(G789+'2_密度換算'!$C$9))/('2_密度換算'!$C$10*(G789+'2_密度換算'!$C$11)))/1000)</f>
        <v/>
      </c>
      <c r="J789" s="22">
        <f>IF($A789="","",1+'2_密度換算'!$C$6*(1/I789-1/'2_密度換算'!$C$7))</f>
        <v/>
      </c>
      <c r="K789" s="23">
        <f>IF($A789="","",E789*J789/I789)</f>
        <v/>
      </c>
    </row>
    <row r="790">
      <c r="I790" s="22">
        <f>IF($A790="","",'2_密度換算'!$C$12*(1-((G790+'2_密度換算'!$C$8)^2*(G790+'2_密度換算'!$C$9))/('2_密度換算'!$C$10*(G790+'2_密度換算'!$C$11)))/1000)</f>
        <v/>
      </c>
      <c r="J790" s="22">
        <f>IF($A790="","",1+'2_密度換算'!$C$6*(1/I790-1/'2_密度換算'!$C$7))</f>
        <v/>
      </c>
      <c r="K790" s="23">
        <f>IF($A790="","",E790*J790/I790)</f>
        <v/>
      </c>
    </row>
    <row r="791">
      <c r="I791" s="22">
        <f>IF($A791="","",'2_密度換算'!$C$12*(1-((G791+'2_密度換算'!$C$8)^2*(G791+'2_密度換算'!$C$9))/('2_密度換算'!$C$10*(G791+'2_密度換算'!$C$11)))/1000)</f>
        <v/>
      </c>
      <c r="J791" s="22">
        <f>IF($A791="","",1+'2_密度換算'!$C$6*(1/I791-1/'2_密度換算'!$C$7))</f>
        <v/>
      </c>
      <c r="K791" s="23">
        <f>IF($A791="","",E791*J791/I791)</f>
        <v/>
      </c>
    </row>
    <row r="792">
      <c r="I792" s="22">
        <f>IF($A792="","",'2_密度換算'!$C$12*(1-((G792+'2_密度換算'!$C$8)^2*(G792+'2_密度換算'!$C$9))/('2_密度換算'!$C$10*(G792+'2_密度換算'!$C$11)))/1000)</f>
        <v/>
      </c>
      <c r="J792" s="22">
        <f>IF($A792="","",1+'2_密度換算'!$C$6*(1/I792-1/'2_密度換算'!$C$7))</f>
        <v/>
      </c>
      <c r="K792" s="23">
        <f>IF($A792="","",E792*J792/I792)</f>
        <v/>
      </c>
    </row>
    <row r="793">
      <c r="I793" s="22">
        <f>IF($A793="","",'2_密度換算'!$C$12*(1-((G793+'2_密度換算'!$C$8)^2*(G793+'2_密度換算'!$C$9))/('2_密度換算'!$C$10*(G793+'2_密度換算'!$C$11)))/1000)</f>
        <v/>
      </c>
      <c r="J793" s="22">
        <f>IF($A793="","",1+'2_密度換算'!$C$6*(1/I793-1/'2_密度換算'!$C$7))</f>
        <v/>
      </c>
      <c r="K793" s="23">
        <f>IF($A793="","",E793*J793/I793)</f>
        <v/>
      </c>
    </row>
    <row r="794">
      <c r="I794" s="22">
        <f>IF($A794="","",'2_密度換算'!$C$12*(1-((G794+'2_密度換算'!$C$8)^2*(G794+'2_密度換算'!$C$9))/('2_密度換算'!$C$10*(G794+'2_密度換算'!$C$11)))/1000)</f>
        <v/>
      </c>
      <c r="J794" s="22">
        <f>IF($A794="","",1+'2_密度換算'!$C$6*(1/I794-1/'2_密度換算'!$C$7))</f>
        <v/>
      </c>
      <c r="K794" s="23">
        <f>IF($A794="","",E794*J794/I794)</f>
        <v/>
      </c>
    </row>
    <row r="795">
      <c r="I795" s="22">
        <f>IF($A795="","",'2_密度換算'!$C$12*(1-((G795+'2_密度換算'!$C$8)^2*(G795+'2_密度換算'!$C$9))/('2_密度換算'!$C$10*(G795+'2_密度換算'!$C$11)))/1000)</f>
        <v/>
      </c>
      <c r="J795" s="22">
        <f>IF($A795="","",1+'2_密度換算'!$C$6*(1/I795-1/'2_密度換算'!$C$7))</f>
        <v/>
      </c>
      <c r="K795" s="23">
        <f>IF($A795="","",E795*J795/I795)</f>
        <v/>
      </c>
    </row>
    <row r="796">
      <c r="I796" s="22">
        <f>IF($A796="","",'2_密度換算'!$C$12*(1-((G796+'2_密度換算'!$C$8)^2*(G796+'2_密度換算'!$C$9))/('2_密度換算'!$C$10*(G796+'2_密度換算'!$C$11)))/1000)</f>
        <v/>
      </c>
      <c r="J796" s="22">
        <f>IF($A796="","",1+'2_密度換算'!$C$6*(1/I796-1/'2_密度換算'!$C$7))</f>
        <v/>
      </c>
      <c r="K796" s="23">
        <f>IF($A796="","",E796*J796/I796)</f>
        <v/>
      </c>
    </row>
    <row r="797">
      <c r="I797" s="22">
        <f>IF($A797="","",'2_密度換算'!$C$12*(1-((G797+'2_密度換算'!$C$8)^2*(G797+'2_密度換算'!$C$9))/('2_密度換算'!$C$10*(G797+'2_密度換算'!$C$11)))/1000)</f>
        <v/>
      </c>
      <c r="J797" s="22">
        <f>IF($A797="","",1+'2_密度換算'!$C$6*(1/I797-1/'2_密度換算'!$C$7))</f>
        <v/>
      </c>
      <c r="K797" s="23">
        <f>IF($A797="","",E797*J797/I797)</f>
        <v/>
      </c>
    </row>
    <row r="798">
      <c r="I798" s="22">
        <f>IF($A798="","",'2_密度換算'!$C$12*(1-((G798+'2_密度換算'!$C$8)^2*(G798+'2_密度換算'!$C$9))/('2_密度換算'!$C$10*(G798+'2_密度換算'!$C$11)))/1000)</f>
        <v/>
      </c>
      <c r="J798" s="22">
        <f>IF($A798="","",1+'2_密度換算'!$C$6*(1/I798-1/'2_密度換算'!$C$7))</f>
        <v/>
      </c>
      <c r="K798" s="23">
        <f>IF($A798="","",E798*J798/I798)</f>
        <v/>
      </c>
    </row>
    <row r="799">
      <c r="I799" s="22">
        <f>IF($A799="","",'2_密度換算'!$C$12*(1-((G799+'2_密度換算'!$C$8)^2*(G799+'2_密度換算'!$C$9))/('2_密度換算'!$C$10*(G799+'2_密度換算'!$C$11)))/1000)</f>
        <v/>
      </c>
      <c r="J799" s="22">
        <f>IF($A799="","",1+'2_密度換算'!$C$6*(1/I799-1/'2_密度換算'!$C$7))</f>
        <v/>
      </c>
      <c r="K799" s="23">
        <f>IF($A799="","",E799*J799/I799)</f>
        <v/>
      </c>
    </row>
    <row r="800">
      <c r="I800" s="22">
        <f>IF($A800="","",'2_密度換算'!$C$12*(1-((G800+'2_密度換算'!$C$8)^2*(G800+'2_密度換算'!$C$9))/('2_密度換算'!$C$10*(G800+'2_密度換算'!$C$11)))/1000)</f>
        <v/>
      </c>
      <c r="J800" s="22">
        <f>IF($A800="","",1+'2_密度換算'!$C$6*(1/I800-1/'2_密度換算'!$C$7))</f>
        <v/>
      </c>
      <c r="K800" s="23">
        <f>IF($A800="","",E800*J800/I800)</f>
        <v/>
      </c>
    </row>
    <row r="801">
      <c r="I801" s="22">
        <f>IF($A801="","",'2_密度換算'!$C$12*(1-((G801+'2_密度換算'!$C$8)^2*(G801+'2_密度換算'!$C$9))/('2_密度換算'!$C$10*(G801+'2_密度換算'!$C$11)))/1000)</f>
        <v/>
      </c>
      <c r="J801" s="22">
        <f>IF($A801="","",1+'2_密度換算'!$C$6*(1/I801-1/'2_密度換算'!$C$7))</f>
        <v/>
      </c>
      <c r="K801" s="23">
        <f>IF($A801="","",E801*J801/I801)</f>
        <v/>
      </c>
    </row>
    <row r="802">
      <c r="I802" s="22">
        <f>IF($A802="","",'2_密度換算'!$C$12*(1-((G802+'2_密度換算'!$C$8)^2*(G802+'2_密度換算'!$C$9))/('2_密度換算'!$C$10*(G802+'2_密度換算'!$C$11)))/1000)</f>
        <v/>
      </c>
      <c r="J802" s="22">
        <f>IF($A802="","",1+'2_密度換算'!$C$6*(1/I802-1/'2_密度換算'!$C$7))</f>
        <v/>
      </c>
      <c r="K802" s="23">
        <f>IF($A802="","",E802*J802/I802)</f>
        <v/>
      </c>
    </row>
    <row r="803">
      <c r="I803" s="22">
        <f>IF($A803="","",'2_密度換算'!$C$12*(1-((G803+'2_密度換算'!$C$8)^2*(G803+'2_密度換算'!$C$9))/('2_密度換算'!$C$10*(G803+'2_密度換算'!$C$11)))/1000)</f>
        <v/>
      </c>
      <c r="J803" s="22">
        <f>IF($A803="","",1+'2_密度換算'!$C$6*(1/I803-1/'2_密度換算'!$C$7))</f>
        <v/>
      </c>
      <c r="K803" s="23">
        <f>IF($A803="","",E803*J803/I803)</f>
        <v/>
      </c>
    </row>
    <row r="804">
      <c r="I804" s="22">
        <f>IF($A804="","",'2_密度換算'!$C$12*(1-((G804+'2_密度換算'!$C$8)^2*(G804+'2_密度換算'!$C$9))/('2_密度換算'!$C$10*(G804+'2_密度換算'!$C$11)))/1000)</f>
        <v/>
      </c>
      <c r="J804" s="22">
        <f>IF($A804="","",1+'2_密度換算'!$C$6*(1/I804-1/'2_密度換算'!$C$7))</f>
        <v/>
      </c>
      <c r="K804" s="23">
        <f>IF($A804="","",E804*J804/I804)</f>
        <v/>
      </c>
    </row>
    <row r="805">
      <c r="I805" s="22">
        <f>IF($A805="","",'2_密度換算'!$C$12*(1-((G805+'2_密度換算'!$C$8)^2*(G805+'2_密度換算'!$C$9))/('2_密度換算'!$C$10*(G805+'2_密度換算'!$C$11)))/1000)</f>
        <v/>
      </c>
      <c r="J805" s="22">
        <f>IF($A805="","",1+'2_密度換算'!$C$6*(1/I805-1/'2_密度換算'!$C$7))</f>
        <v/>
      </c>
      <c r="K805" s="23">
        <f>IF($A805="","",E805*J805/I805)</f>
        <v/>
      </c>
    </row>
    <row r="806">
      <c r="I806" s="22">
        <f>IF($A806="","",'2_密度換算'!$C$12*(1-((G806+'2_密度換算'!$C$8)^2*(G806+'2_密度換算'!$C$9))/('2_密度換算'!$C$10*(G806+'2_密度換算'!$C$11)))/1000)</f>
        <v/>
      </c>
      <c r="J806" s="22">
        <f>IF($A806="","",1+'2_密度換算'!$C$6*(1/I806-1/'2_密度換算'!$C$7))</f>
        <v/>
      </c>
      <c r="K806" s="23">
        <f>IF($A806="","",E806*J806/I806)</f>
        <v/>
      </c>
    </row>
    <row r="807">
      <c r="I807" s="22">
        <f>IF($A807="","",'2_密度換算'!$C$12*(1-((G807+'2_密度換算'!$C$8)^2*(G807+'2_密度換算'!$C$9))/('2_密度換算'!$C$10*(G807+'2_密度換算'!$C$11)))/1000)</f>
        <v/>
      </c>
      <c r="J807" s="22">
        <f>IF($A807="","",1+'2_密度換算'!$C$6*(1/I807-1/'2_密度換算'!$C$7))</f>
        <v/>
      </c>
      <c r="K807" s="23">
        <f>IF($A807="","",E807*J807/I807)</f>
        <v/>
      </c>
    </row>
    <row r="808">
      <c r="I808" s="22">
        <f>IF($A808="","",'2_密度換算'!$C$12*(1-((G808+'2_密度換算'!$C$8)^2*(G808+'2_密度換算'!$C$9))/('2_密度換算'!$C$10*(G808+'2_密度換算'!$C$11)))/1000)</f>
        <v/>
      </c>
      <c r="J808" s="22">
        <f>IF($A808="","",1+'2_密度換算'!$C$6*(1/I808-1/'2_密度換算'!$C$7))</f>
        <v/>
      </c>
      <c r="K808" s="23">
        <f>IF($A808="","",E808*J808/I808)</f>
        <v/>
      </c>
    </row>
    <row r="809">
      <c r="I809" s="22">
        <f>IF($A809="","",'2_密度換算'!$C$12*(1-((G809+'2_密度換算'!$C$8)^2*(G809+'2_密度換算'!$C$9))/('2_密度換算'!$C$10*(G809+'2_密度換算'!$C$11)))/1000)</f>
        <v/>
      </c>
      <c r="J809" s="22">
        <f>IF($A809="","",1+'2_密度換算'!$C$6*(1/I809-1/'2_密度換算'!$C$7))</f>
        <v/>
      </c>
      <c r="K809" s="23">
        <f>IF($A809="","",E809*J809/I809)</f>
        <v/>
      </c>
    </row>
    <row r="810">
      <c r="I810" s="22">
        <f>IF($A810="","",'2_密度換算'!$C$12*(1-((G810+'2_密度換算'!$C$8)^2*(G810+'2_密度換算'!$C$9))/('2_密度換算'!$C$10*(G810+'2_密度換算'!$C$11)))/1000)</f>
        <v/>
      </c>
      <c r="J810" s="22">
        <f>IF($A810="","",1+'2_密度換算'!$C$6*(1/I810-1/'2_密度換算'!$C$7))</f>
        <v/>
      </c>
      <c r="K810" s="23">
        <f>IF($A810="","",E810*J810/I810)</f>
        <v/>
      </c>
    </row>
    <row r="811">
      <c r="I811" s="22">
        <f>IF($A811="","",'2_密度換算'!$C$12*(1-((G811+'2_密度換算'!$C$8)^2*(G811+'2_密度換算'!$C$9))/('2_密度換算'!$C$10*(G811+'2_密度換算'!$C$11)))/1000)</f>
        <v/>
      </c>
      <c r="J811" s="22">
        <f>IF($A811="","",1+'2_密度換算'!$C$6*(1/I811-1/'2_密度換算'!$C$7))</f>
        <v/>
      </c>
      <c r="K811" s="23">
        <f>IF($A811="","",E811*J811/I811)</f>
        <v/>
      </c>
    </row>
    <row r="812">
      <c r="I812" s="22">
        <f>IF($A812="","",'2_密度換算'!$C$12*(1-((G812+'2_密度換算'!$C$8)^2*(G812+'2_密度換算'!$C$9))/('2_密度換算'!$C$10*(G812+'2_密度換算'!$C$11)))/1000)</f>
        <v/>
      </c>
      <c r="J812" s="22">
        <f>IF($A812="","",1+'2_密度換算'!$C$6*(1/I812-1/'2_密度換算'!$C$7))</f>
        <v/>
      </c>
      <c r="K812" s="23">
        <f>IF($A812="","",E812*J812/I812)</f>
        <v/>
      </c>
    </row>
    <row r="813">
      <c r="I813" s="22">
        <f>IF($A813="","",'2_密度換算'!$C$12*(1-((G813+'2_密度換算'!$C$8)^2*(G813+'2_密度換算'!$C$9))/('2_密度換算'!$C$10*(G813+'2_密度換算'!$C$11)))/1000)</f>
        <v/>
      </c>
      <c r="J813" s="22">
        <f>IF($A813="","",1+'2_密度換算'!$C$6*(1/I813-1/'2_密度換算'!$C$7))</f>
        <v/>
      </c>
      <c r="K813" s="23">
        <f>IF($A813="","",E813*J813/I813)</f>
        <v/>
      </c>
    </row>
    <row r="814">
      <c r="I814" s="22">
        <f>IF($A814="","",'2_密度換算'!$C$12*(1-((G814+'2_密度換算'!$C$8)^2*(G814+'2_密度換算'!$C$9))/('2_密度換算'!$C$10*(G814+'2_密度換算'!$C$11)))/1000)</f>
        <v/>
      </c>
      <c r="J814" s="22">
        <f>IF($A814="","",1+'2_密度換算'!$C$6*(1/I814-1/'2_密度換算'!$C$7))</f>
        <v/>
      </c>
      <c r="K814" s="23">
        <f>IF($A814="","",E814*J814/I814)</f>
        <v/>
      </c>
    </row>
    <row r="815">
      <c r="I815" s="22">
        <f>IF($A815="","",'2_密度換算'!$C$12*(1-((G815+'2_密度換算'!$C$8)^2*(G815+'2_密度換算'!$C$9))/('2_密度換算'!$C$10*(G815+'2_密度換算'!$C$11)))/1000)</f>
        <v/>
      </c>
      <c r="J815" s="22">
        <f>IF($A815="","",1+'2_密度換算'!$C$6*(1/I815-1/'2_密度換算'!$C$7))</f>
        <v/>
      </c>
      <c r="K815" s="23">
        <f>IF($A815="","",E815*J815/I815)</f>
        <v/>
      </c>
    </row>
    <row r="816">
      <c r="I816" s="22">
        <f>IF($A816="","",'2_密度換算'!$C$12*(1-((G816+'2_密度換算'!$C$8)^2*(G816+'2_密度換算'!$C$9))/('2_密度換算'!$C$10*(G816+'2_密度換算'!$C$11)))/1000)</f>
        <v/>
      </c>
      <c r="J816" s="22">
        <f>IF($A816="","",1+'2_密度換算'!$C$6*(1/I816-1/'2_密度換算'!$C$7))</f>
        <v/>
      </c>
      <c r="K816" s="23">
        <f>IF($A816="","",E816*J816/I816)</f>
        <v/>
      </c>
    </row>
    <row r="817">
      <c r="I817" s="22">
        <f>IF($A817="","",'2_密度換算'!$C$12*(1-((G817+'2_密度換算'!$C$8)^2*(G817+'2_密度換算'!$C$9))/('2_密度換算'!$C$10*(G817+'2_密度換算'!$C$11)))/1000)</f>
        <v/>
      </c>
      <c r="J817" s="22">
        <f>IF($A817="","",1+'2_密度換算'!$C$6*(1/I817-1/'2_密度換算'!$C$7))</f>
        <v/>
      </c>
      <c r="K817" s="23">
        <f>IF($A817="","",E817*J817/I817)</f>
        <v/>
      </c>
    </row>
    <row r="818">
      <c r="I818" s="22">
        <f>IF($A818="","",'2_密度換算'!$C$12*(1-((G818+'2_密度換算'!$C$8)^2*(G818+'2_密度換算'!$C$9))/('2_密度換算'!$C$10*(G818+'2_密度換算'!$C$11)))/1000)</f>
        <v/>
      </c>
      <c r="J818" s="22">
        <f>IF($A818="","",1+'2_密度換算'!$C$6*(1/I818-1/'2_密度換算'!$C$7))</f>
        <v/>
      </c>
      <c r="K818" s="23">
        <f>IF($A818="","",E818*J818/I818)</f>
        <v/>
      </c>
    </row>
    <row r="819">
      <c r="I819" s="22">
        <f>IF($A819="","",'2_密度換算'!$C$12*(1-((G819+'2_密度換算'!$C$8)^2*(G819+'2_密度換算'!$C$9))/('2_密度換算'!$C$10*(G819+'2_密度換算'!$C$11)))/1000)</f>
        <v/>
      </c>
      <c r="J819" s="22">
        <f>IF($A819="","",1+'2_密度換算'!$C$6*(1/I819-1/'2_密度換算'!$C$7))</f>
        <v/>
      </c>
      <c r="K819" s="23">
        <f>IF($A819="","",E819*J819/I819)</f>
        <v/>
      </c>
    </row>
    <row r="820">
      <c r="I820" s="22">
        <f>IF($A820="","",'2_密度換算'!$C$12*(1-((G820+'2_密度換算'!$C$8)^2*(G820+'2_密度換算'!$C$9))/('2_密度換算'!$C$10*(G820+'2_密度換算'!$C$11)))/1000)</f>
        <v/>
      </c>
      <c r="J820" s="22">
        <f>IF($A820="","",1+'2_密度換算'!$C$6*(1/I820-1/'2_密度換算'!$C$7))</f>
        <v/>
      </c>
      <c r="K820" s="23">
        <f>IF($A820="","",E820*J820/I820)</f>
        <v/>
      </c>
    </row>
    <row r="821">
      <c r="I821" s="22">
        <f>IF($A821="","",'2_密度換算'!$C$12*(1-((G821+'2_密度換算'!$C$8)^2*(G821+'2_密度換算'!$C$9))/('2_密度換算'!$C$10*(G821+'2_密度換算'!$C$11)))/1000)</f>
        <v/>
      </c>
      <c r="J821" s="22">
        <f>IF($A821="","",1+'2_密度換算'!$C$6*(1/I821-1/'2_密度換算'!$C$7))</f>
        <v/>
      </c>
      <c r="K821" s="23">
        <f>IF($A821="","",E821*J821/I821)</f>
        <v/>
      </c>
    </row>
    <row r="822">
      <c r="I822" s="22">
        <f>IF($A822="","",'2_密度換算'!$C$12*(1-((G822+'2_密度換算'!$C$8)^2*(G822+'2_密度換算'!$C$9))/('2_密度換算'!$C$10*(G822+'2_密度換算'!$C$11)))/1000)</f>
        <v/>
      </c>
      <c r="J822" s="22">
        <f>IF($A822="","",1+'2_密度換算'!$C$6*(1/I822-1/'2_密度換算'!$C$7))</f>
        <v/>
      </c>
      <c r="K822" s="23">
        <f>IF($A822="","",E822*J822/I822)</f>
        <v/>
      </c>
    </row>
    <row r="823">
      <c r="I823" s="22">
        <f>IF($A823="","",'2_密度換算'!$C$12*(1-((G823+'2_密度換算'!$C$8)^2*(G823+'2_密度換算'!$C$9))/('2_密度換算'!$C$10*(G823+'2_密度換算'!$C$11)))/1000)</f>
        <v/>
      </c>
      <c r="J823" s="22">
        <f>IF($A823="","",1+'2_密度換算'!$C$6*(1/I823-1/'2_密度換算'!$C$7))</f>
        <v/>
      </c>
      <c r="K823" s="23">
        <f>IF($A823="","",E823*J823/I823)</f>
        <v/>
      </c>
    </row>
    <row r="824">
      <c r="I824" s="22">
        <f>IF($A824="","",'2_密度換算'!$C$12*(1-((G824+'2_密度換算'!$C$8)^2*(G824+'2_密度換算'!$C$9))/('2_密度換算'!$C$10*(G824+'2_密度換算'!$C$11)))/1000)</f>
        <v/>
      </c>
      <c r="J824" s="22">
        <f>IF($A824="","",1+'2_密度換算'!$C$6*(1/I824-1/'2_密度換算'!$C$7))</f>
        <v/>
      </c>
      <c r="K824" s="23">
        <f>IF($A824="","",E824*J824/I824)</f>
        <v/>
      </c>
    </row>
    <row r="825">
      <c r="I825" s="22">
        <f>IF($A825="","",'2_密度換算'!$C$12*(1-((G825+'2_密度換算'!$C$8)^2*(G825+'2_密度換算'!$C$9))/('2_密度換算'!$C$10*(G825+'2_密度換算'!$C$11)))/1000)</f>
        <v/>
      </c>
      <c r="J825" s="22">
        <f>IF($A825="","",1+'2_密度換算'!$C$6*(1/I825-1/'2_密度換算'!$C$7))</f>
        <v/>
      </c>
      <c r="K825" s="23">
        <f>IF($A825="","",E825*J825/I825)</f>
        <v/>
      </c>
    </row>
    <row r="826">
      <c r="I826" s="22">
        <f>IF($A826="","",'2_密度換算'!$C$12*(1-((G826+'2_密度換算'!$C$8)^2*(G826+'2_密度換算'!$C$9))/('2_密度換算'!$C$10*(G826+'2_密度換算'!$C$11)))/1000)</f>
        <v/>
      </c>
      <c r="J826" s="22">
        <f>IF($A826="","",1+'2_密度換算'!$C$6*(1/I826-1/'2_密度換算'!$C$7))</f>
        <v/>
      </c>
      <c r="K826" s="23">
        <f>IF($A826="","",E826*J826/I826)</f>
        <v/>
      </c>
    </row>
    <row r="827">
      <c r="I827" s="22">
        <f>IF($A827="","",'2_密度換算'!$C$12*(1-((G827+'2_密度換算'!$C$8)^2*(G827+'2_密度換算'!$C$9))/('2_密度換算'!$C$10*(G827+'2_密度換算'!$C$11)))/1000)</f>
        <v/>
      </c>
      <c r="J827" s="22">
        <f>IF($A827="","",1+'2_密度換算'!$C$6*(1/I827-1/'2_密度換算'!$C$7))</f>
        <v/>
      </c>
      <c r="K827" s="23">
        <f>IF($A827="","",E827*J827/I827)</f>
        <v/>
      </c>
    </row>
    <row r="828">
      <c r="I828" s="22">
        <f>IF($A828="","",'2_密度換算'!$C$12*(1-((G828+'2_密度換算'!$C$8)^2*(G828+'2_密度換算'!$C$9))/('2_密度換算'!$C$10*(G828+'2_密度換算'!$C$11)))/1000)</f>
        <v/>
      </c>
      <c r="J828" s="22">
        <f>IF($A828="","",1+'2_密度換算'!$C$6*(1/I828-1/'2_密度換算'!$C$7))</f>
        <v/>
      </c>
      <c r="K828" s="23">
        <f>IF($A828="","",E828*J828/I828)</f>
        <v/>
      </c>
    </row>
    <row r="829">
      <c r="I829" s="22">
        <f>IF($A829="","",'2_密度換算'!$C$12*(1-((G829+'2_密度換算'!$C$8)^2*(G829+'2_密度換算'!$C$9))/('2_密度換算'!$C$10*(G829+'2_密度換算'!$C$11)))/1000)</f>
        <v/>
      </c>
      <c r="J829" s="22">
        <f>IF($A829="","",1+'2_密度換算'!$C$6*(1/I829-1/'2_密度換算'!$C$7))</f>
        <v/>
      </c>
      <c r="K829" s="23">
        <f>IF($A829="","",E829*J829/I829)</f>
        <v/>
      </c>
    </row>
    <row r="830">
      <c r="I830" s="22">
        <f>IF($A830="","",'2_密度換算'!$C$12*(1-((G830+'2_密度換算'!$C$8)^2*(G830+'2_密度換算'!$C$9))/('2_密度換算'!$C$10*(G830+'2_密度換算'!$C$11)))/1000)</f>
        <v/>
      </c>
      <c r="J830" s="22">
        <f>IF($A830="","",1+'2_密度換算'!$C$6*(1/I830-1/'2_密度換算'!$C$7))</f>
        <v/>
      </c>
      <c r="K830" s="23">
        <f>IF($A830="","",E830*J830/I830)</f>
        <v/>
      </c>
    </row>
    <row r="831">
      <c r="I831" s="22">
        <f>IF($A831="","",'2_密度換算'!$C$12*(1-((G831+'2_密度換算'!$C$8)^2*(G831+'2_密度換算'!$C$9))/('2_密度換算'!$C$10*(G831+'2_密度換算'!$C$11)))/1000)</f>
        <v/>
      </c>
      <c r="J831" s="22">
        <f>IF($A831="","",1+'2_密度換算'!$C$6*(1/I831-1/'2_密度換算'!$C$7))</f>
        <v/>
      </c>
      <c r="K831" s="23">
        <f>IF($A831="","",E831*J831/I831)</f>
        <v/>
      </c>
    </row>
    <row r="832">
      <c r="I832" s="22">
        <f>IF($A832="","",'2_密度換算'!$C$12*(1-((G832+'2_密度換算'!$C$8)^2*(G832+'2_密度換算'!$C$9))/('2_密度換算'!$C$10*(G832+'2_密度換算'!$C$11)))/1000)</f>
        <v/>
      </c>
      <c r="J832" s="22">
        <f>IF($A832="","",1+'2_密度換算'!$C$6*(1/I832-1/'2_密度換算'!$C$7))</f>
        <v/>
      </c>
      <c r="K832" s="23">
        <f>IF($A832="","",E832*J832/I832)</f>
        <v/>
      </c>
    </row>
    <row r="833">
      <c r="I833" s="22">
        <f>IF($A833="","",'2_密度換算'!$C$12*(1-((G833+'2_密度換算'!$C$8)^2*(G833+'2_密度換算'!$C$9))/('2_密度換算'!$C$10*(G833+'2_密度換算'!$C$11)))/1000)</f>
        <v/>
      </c>
      <c r="J833" s="22">
        <f>IF($A833="","",1+'2_密度換算'!$C$6*(1/I833-1/'2_密度換算'!$C$7))</f>
        <v/>
      </c>
      <c r="K833" s="23">
        <f>IF($A833="","",E833*J833/I833)</f>
        <v/>
      </c>
    </row>
    <row r="834">
      <c r="I834" s="22">
        <f>IF($A834="","",'2_密度換算'!$C$12*(1-((G834+'2_密度換算'!$C$8)^2*(G834+'2_密度換算'!$C$9))/('2_密度換算'!$C$10*(G834+'2_密度換算'!$C$11)))/1000)</f>
        <v/>
      </c>
      <c r="J834" s="22">
        <f>IF($A834="","",1+'2_密度換算'!$C$6*(1/I834-1/'2_密度換算'!$C$7))</f>
        <v/>
      </c>
      <c r="K834" s="23">
        <f>IF($A834="","",E834*J834/I834)</f>
        <v/>
      </c>
    </row>
    <row r="835">
      <c r="I835" s="22">
        <f>IF($A835="","",'2_密度換算'!$C$12*(1-((G835+'2_密度換算'!$C$8)^2*(G835+'2_密度換算'!$C$9))/('2_密度換算'!$C$10*(G835+'2_密度換算'!$C$11)))/1000)</f>
        <v/>
      </c>
      <c r="J835" s="22">
        <f>IF($A835="","",1+'2_密度換算'!$C$6*(1/I835-1/'2_密度換算'!$C$7))</f>
        <v/>
      </c>
      <c r="K835" s="23">
        <f>IF($A835="","",E835*J835/I835)</f>
        <v/>
      </c>
    </row>
    <row r="836">
      <c r="I836" s="22">
        <f>IF($A836="","",'2_密度換算'!$C$12*(1-((G836+'2_密度換算'!$C$8)^2*(G836+'2_密度換算'!$C$9))/('2_密度換算'!$C$10*(G836+'2_密度換算'!$C$11)))/1000)</f>
        <v/>
      </c>
      <c r="J836" s="22">
        <f>IF($A836="","",1+'2_密度換算'!$C$6*(1/I836-1/'2_密度換算'!$C$7))</f>
        <v/>
      </c>
      <c r="K836" s="23">
        <f>IF($A836="","",E836*J836/I836)</f>
        <v/>
      </c>
    </row>
    <row r="837">
      <c r="I837" s="22">
        <f>IF($A837="","",'2_密度換算'!$C$12*(1-((G837+'2_密度換算'!$C$8)^2*(G837+'2_密度換算'!$C$9))/('2_密度換算'!$C$10*(G837+'2_密度換算'!$C$11)))/1000)</f>
        <v/>
      </c>
      <c r="J837" s="22">
        <f>IF($A837="","",1+'2_密度換算'!$C$6*(1/I837-1/'2_密度換算'!$C$7))</f>
        <v/>
      </c>
      <c r="K837" s="23">
        <f>IF($A837="","",E837*J837/I837)</f>
        <v/>
      </c>
    </row>
    <row r="838">
      <c r="I838" s="22">
        <f>IF($A838="","",'2_密度換算'!$C$12*(1-((G838+'2_密度換算'!$C$8)^2*(G838+'2_密度換算'!$C$9))/('2_密度換算'!$C$10*(G838+'2_密度換算'!$C$11)))/1000)</f>
        <v/>
      </c>
      <c r="J838" s="22">
        <f>IF($A838="","",1+'2_密度換算'!$C$6*(1/I838-1/'2_密度換算'!$C$7))</f>
        <v/>
      </c>
      <c r="K838" s="23">
        <f>IF($A838="","",E838*J838/I838)</f>
        <v/>
      </c>
    </row>
    <row r="839">
      <c r="I839" s="22">
        <f>IF($A839="","",'2_密度換算'!$C$12*(1-((G839+'2_密度換算'!$C$8)^2*(G839+'2_密度換算'!$C$9))/('2_密度換算'!$C$10*(G839+'2_密度換算'!$C$11)))/1000)</f>
        <v/>
      </c>
      <c r="J839" s="22">
        <f>IF($A839="","",1+'2_密度換算'!$C$6*(1/I839-1/'2_密度換算'!$C$7))</f>
        <v/>
      </c>
      <c r="K839" s="23">
        <f>IF($A839="","",E839*J839/I839)</f>
        <v/>
      </c>
    </row>
    <row r="840">
      <c r="I840" s="22">
        <f>IF($A840="","",'2_密度換算'!$C$12*(1-((G840+'2_密度換算'!$C$8)^2*(G840+'2_密度換算'!$C$9))/('2_密度換算'!$C$10*(G840+'2_密度換算'!$C$11)))/1000)</f>
        <v/>
      </c>
      <c r="J840" s="22">
        <f>IF($A840="","",1+'2_密度換算'!$C$6*(1/I840-1/'2_密度換算'!$C$7))</f>
        <v/>
      </c>
      <c r="K840" s="23">
        <f>IF($A840="","",E840*J840/I840)</f>
        <v/>
      </c>
    </row>
    <row r="841">
      <c r="I841" s="22">
        <f>IF($A841="","",'2_密度換算'!$C$12*(1-((G841+'2_密度換算'!$C$8)^2*(G841+'2_密度換算'!$C$9))/('2_密度換算'!$C$10*(G841+'2_密度換算'!$C$11)))/1000)</f>
        <v/>
      </c>
      <c r="J841" s="22">
        <f>IF($A841="","",1+'2_密度換算'!$C$6*(1/I841-1/'2_密度換算'!$C$7))</f>
        <v/>
      </c>
      <c r="K841" s="23">
        <f>IF($A841="","",E841*J841/I841)</f>
        <v/>
      </c>
    </row>
    <row r="842">
      <c r="I842" s="22">
        <f>IF($A842="","",'2_密度換算'!$C$12*(1-((G842+'2_密度換算'!$C$8)^2*(G842+'2_密度換算'!$C$9))/('2_密度換算'!$C$10*(G842+'2_密度換算'!$C$11)))/1000)</f>
        <v/>
      </c>
      <c r="J842" s="22">
        <f>IF($A842="","",1+'2_密度換算'!$C$6*(1/I842-1/'2_密度換算'!$C$7))</f>
        <v/>
      </c>
      <c r="K842" s="23">
        <f>IF($A842="","",E842*J842/I842)</f>
        <v/>
      </c>
    </row>
    <row r="843">
      <c r="I843" s="22">
        <f>IF($A843="","",'2_密度換算'!$C$12*(1-((G843+'2_密度換算'!$C$8)^2*(G843+'2_密度換算'!$C$9))/('2_密度換算'!$C$10*(G843+'2_密度換算'!$C$11)))/1000)</f>
        <v/>
      </c>
      <c r="J843" s="22">
        <f>IF($A843="","",1+'2_密度換算'!$C$6*(1/I843-1/'2_密度換算'!$C$7))</f>
        <v/>
      </c>
      <c r="K843" s="23">
        <f>IF($A843="","",E843*J843/I843)</f>
        <v/>
      </c>
    </row>
    <row r="844">
      <c r="I844" s="22">
        <f>IF($A844="","",'2_密度換算'!$C$12*(1-((G844+'2_密度換算'!$C$8)^2*(G844+'2_密度換算'!$C$9))/('2_密度換算'!$C$10*(G844+'2_密度換算'!$C$11)))/1000)</f>
        <v/>
      </c>
      <c r="J844" s="22">
        <f>IF($A844="","",1+'2_密度換算'!$C$6*(1/I844-1/'2_密度換算'!$C$7))</f>
        <v/>
      </c>
      <c r="K844" s="23">
        <f>IF($A844="","",E844*J844/I844)</f>
        <v/>
      </c>
    </row>
    <row r="845">
      <c r="I845" s="22">
        <f>IF($A845="","",'2_密度換算'!$C$12*(1-((G845+'2_密度換算'!$C$8)^2*(G845+'2_密度換算'!$C$9))/('2_密度換算'!$C$10*(G845+'2_密度換算'!$C$11)))/1000)</f>
        <v/>
      </c>
      <c r="J845" s="22">
        <f>IF($A845="","",1+'2_密度換算'!$C$6*(1/I845-1/'2_密度換算'!$C$7))</f>
        <v/>
      </c>
      <c r="K845" s="23">
        <f>IF($A845="","",E845*J845/I845)</f>
        <v/>
      </c>
    </row>
    <row r="846">
      <c r="I846" s="22">
        <f>IF($A846="","",'2_密度換算'!$C$12*(1-((G846+'2_密度換算'!$C$8)^2*(G846+'2_密度換算'!$C$9))/('2_密度換算'!$C$10*(G846+'2_密度換算'!$C$11)))/1000)</f>
        <v/>
      </c>
      <c r="J846" s="22">
        <f>IF($A846="","",1+'2_密度換算'!$C$6*(1/I846-1/'2_密度換算'!$C$7))</f>
        <v/>
      </c>
      <c r="K846" s="23">
        <f>IF($A846="","",E846*J846/I846)</f>
        <v/>
      </c>
    </row>
    <row r="847">
      <c r="I847" s="22">
        <f>IF($A847="","",'2_密度換算'!$C$12*(1-((G847+'2_密度換算'!$C$8)^2*(G847+'2_密度換算'!$C$9))/('2_密度換算'!$C$10*(G847+'2_密度換算'!$C$11)))/1000)</f>
        <v/>
      </c>
      <c r="J847" s="22">
        <f>IF($A847="","",1+'2_密度換算'!$C$6*(1/I847-1/'2_密度換算'!$C$7))</f>
        <v/>
      </c>
      <c r="K847" s="23">
        <f>IF($A847="","",E847*J847/I847)</f>
        <v/>
      </c>
    </row>
    <row r="848">
      <c r="I848" s="22">
        <f>IF($A848="","",'2_密度換算'!$C$12*(1-((G848+'2_密度換算'!$C$8)^2*(G848+'2_密度換算'!$C$9))/('2_密度換算'!$C$10*(G848+'2_密度換算'!$C$11)))/1000)</f>
        <v/>
      </c>
      <c r="J848" s="22">
        <f>IF($A848="","",1+'2_密度換算'!$C$6*(1/I848-1/'2_密度換算'!$C$7))</f>
        <v/>
      </c>
      <c r="K848" s="23">
        <f>IF($A848="","",E848*J848/I848)</f>
        <v/>
      </c>
    </row>
    <row r="849">
      <c r="I849" s="22">
        <f>IF($A849="","",'2_密度換算'!$C$12*(1-((G849+'2_密度換算'!$C$8)^2*(G849+'2_密度換算'!$C$9))/('2_密度換算'!$C$10*(G849+'2_密度換算'!$C$11)))/1000)</f>
        <v/>
      </c>
      <c r="J849" s="22">
        <f>IF($A849="","",1+'2_密度換算'!$C$6*(1/I849-1/'2_密度換算'!$C$7))</f>
        <v/>
      </c>
      <c r="K849" s="23">
        <f>IF($A849="","",E849*J849/I849)</f>
        <v/>
      </c>
    </row>
    <row r="850">
      <c r="I850" s="22">
        <f>IF($A850="","",'2_密度換算'!$C$12*(1-((G850+'2_密度換算'!$C$8)^2*(G850+'2_密度換算'!$C$9))/('2_密度換算'!$C$10*(G850+'2_密度換算'!$C$11)))/1000)</f>
        <v/>
      </c>
      <c r="J850" s="22">
        <f>IF($A850="","",1+'2_密度換算'!$C$6*(1/I850-1/'2_密度換算'!$C$7))</f>
        <v/>
      </c>
      <c r="K850" s="23">
        <f>IF($A850="","",E850*J850/I850)</f>
        <v/>
      </c>
    </row>
    <row r="851">
      <c r="I851" s="22">
        <f>IF($A851="","",'2_密度換算'!$C$12*(1-((G851+'2_密度換算'!$C$8)^2*(G851+'2_密度換算'!$C$9))/('2_密度換算'!$C$10*(G851+'2_密度換算'!$C$11)))/1000)</f>
        <v/>
      </c>
      <c r="J851" s="22">
        <f>IF($A851="","",1+'2_密度換算'!$C$6*(1/I851-1/'2_密度換算'!$C$7))</f>
        <v/>
      </c>
      <c r="K851" s="23">
        <f>IF($A851="","",E851*J851/I851)</f>
        <v/>
      </c>
    </row>
    <row r="852">
      <c r="I852" s="22">
        <f>IF($A852="","",'2_密度換算'!$C$12*(1-((G852+'2_密度換算'!$C$8)^2*(G852+'2_密度換算'!$C$9))/('2_密度換算'!$C$10*(G852+'2_密度換算'!$C$11)))/1000)</f>
        <v/>
      </c>
      <c r="J852" s="22">
        <f>IF($A852="","",1+'2_密度換算'!$C$6*(1/I852-1/'2_密度換算'!$C$7))</f>
        <v/>
      </c>
      <c r="K852" s="23">
        <f>IF($A852="","",E852*J852/I852)</f>
        <v/>
      </c>
    </row>
    <row r="853">
      <c r="I853" s="22">
        <f>IF($A853="","",'2_密度換算'!$C$12*(1-((G853+'2_密度換算'!$C$8)^2*(G853+'2_密度換算'!$C$9))/('2_密度換算'!$C$10*(G853+'2_密度換算'!$C$11)))/1000)</f>
        <v/>
      </c>
      <c r="J853" s="22">
        <f>IF($A853="","",1+'2_密度換算'!$C$6*(1/I853-1/'2_密度換算'!$C$7))</f>
        <v/>
      </c>
      <c r="K853" s="23">
        <f>IF($A853="","",E853*J853/I853)</f>
        <v/>
      </c>
    </row>
    <row r="854">
      <c r="I854" s="22">
        <f>IF($A854="","",'2_密度換算'!$C$12*(1-((G854+'2_密度換算'!$C$8)^2*(G854+'2_密度換算'!$C$9))/('2_密度換算'!$C$10*(G854+'2_密度換算'!$C$11)))/1000)</f>
        <v/>
      </c>
      <c r="J854" s="22">
        <f>IF($A854="","",1+'2_密度換算'!$C$6*(1/I854-1/'2_密度換算'!$C$7))</f>
        <v/>
      </c>
      <c r="K854" s="23">
        <f>IF($A854="","",E854*J854/I854)</f>
        <v/>
      </c>
    </row>
    <row r="855">
      <c r="I855" s="22">
        <f>IF($A855="","",'2_密度換算'!$C$12*(1-((G855+'2_密度換算'!$C$8)^2*(G855+'2_密度換算'!$C$9))/('2_密度換算'!$C$10*(G855+'2_密度換算'!$C$11)))/1000)</f>
        <v/>
      </c>
      <c r="J855" s="22">
        <f>IF($A855="","",1+'2_密度換算'!$C$6*(1/I855-1/'2_密度換算'!$C$7))</f>
        <v/>
      </c>
      <c r="K855" s="23">
        <f>IF($A855="","",E855*J855/I855)</f>
        <v/>
      </c>
    </row>
    <row r="856">
      <c r="I856" s="22">
        <f>IF($A856="","",'2_密度換算'!$C$12*(1-((G856+'2_密度換算'!$C$8)^2*(G856+'2_密度換算'!$C$9))/('2_密度換算'!$C$10*(G856+'2_密度換算'!$C$11)))/1000)</f>
        <v/>
      </c>
      <c r="J856" s="22">
        <f>IF($A856="","",1+'2_密度換算'!$C$6*(1/I856-1/'2_密度換算'!$C$7))</f>
        <v/>
      </c>
      <c r="K856" s="23">
        <f>IF($A856="","",E856*J856/I856)</f>
        <v/>
      </c>
    </row>
    <row r="857">
      <c r="I857" s="22">
        <f>IF($A857="","",'2_密度換算'!$C$12*(1-((G857+'2_密度換算'!$C$8)^2*(G857+'2_密度換算'!$C$9))/('2_密度換算'!$C$10*(G857+'2_密度換算'!$C$11)))/1000)</f>
        <v/>
      </c>
      <c r="J857" s="22">
        <f>IF($A857="","",1+'2_密度換算'!$C$6*(1/I857-1/'2_密度換算'!$C$7))</f>
        <v/>
      </c>
      <c r="K857" s="23">
        <f>IF($A857="","",E857*J857/I857)</f>
        <v/>
      </c>
    </row>
    <row r="858">
      <c r="I858" s="22">
        <f>IF($A858="","",'2_密度換算'!$C$12*(1-((G858+'2_密度換算'!$C$8)^2*(G858+'2_密度換算'!$C$9))/('2_密度換算'!$C$10*(G858+'2_密度換算'!$C$11)))/1000)</f>
        <v/>
      </c>
      <c r="J858" s="22">
        <f>IF($A858="","",1+'2_密度換算'!$C$6*(1/I858-1/'2_密度換算'!$C$7))</f>
        <v/>
      </c>
      <c r="K858" s="23">
        <f>IF($A858="","",E858*J858/I858)</f>
        <v/>
      </c>
    </row>
    <row r="859">
      <c r="I859" s="22">
        <f>IF($A859="","",'2_密度換算'!$C$12*(1-((G859+'2_密度換算'!$C$8)^2*(G859+'2_密度換算'!$C$9))/('2_密度換算'!$C$10*(G859+'2_密度換算'!$C$11)))/1000)</f>
        <v/>
      </c>
      <c r="J859" s="22">
        <f>IF($A859="","",1+'2_密度換算'!$C$6*(1/I859-1/'2_密度換算'!$C$7))</f>
        <v/>
      </c>
      <c r="K859" s="23">
        <f>IF($A859="","",E859*J859/I859)</f>
        <v/>
      </c>
    </row>
    <row r="860">
      <c r="I860" s="22">
        <f>IF($A860="","",'2_密度換算'!$C$12*(1-((G860+'2_密度換算'!$C$8)^2*(G860+'2_密度換算'!$C$9))/('2_密度換算'!$C$10*(G860+'2_密度換算'!$C$11)))/1000)</f>
        <v/>
      </c>
      <c r="J860" s="22">
        <f>IF($A860="","",1+'2_密度換算'!$C$6*(1/I860-1/'2_密度換算'!$C$7))</f>
        <v/>
      </c>
      <c r="K860" s="23">
        <f>IF($A860="","",E860*J860/I860)</f>
        <v/>
      </c>
    </row>
    <row r="861">
      <c r="I861" s="22">
        <f>IF($A861="","",'2_密度換算'!$C$12*(1-((G861+'2_密度換算'!$C$8)^2*(G861+'2_密度換算'!$C$9))/('2_密度換算'!$C$10*(G861+'2_密度換算'!$C$11)))/1000)</f>
        <v/>
      </c>
      <c r="J861" s="22">
        <f>IF($A861="","",1+'2_密度換算'!$C$6*(1/I861-1/'2_密度換算'!$C$7))</f>
        <v/>
      </c>
      <c r="K861" s="23">
        <f>IF($A861="","",E861*J861/I861)</f>
        <v/>
      </c>
    </row>
    <row r="862">
      <c r="I862" s="22">
        <f>IF($A862="","",'2_密度換算'!$C$12*(1-((G862+'2_密度換算'!$C$8)^2*(G862+'2_密度換算'!$C$9))/('2_密度換算'!$C$10*(G862+'2_密度換算'!$C$11)))/1000)</f>
        <v/>
      </c>
      <c r="J862" s="22">
        <f>IF($A862="","",1+'2_密度換算'!$C$6*(1/I862-1/'2_密度換算'!$C$7))</f>
        <v/>
      </c>
      <c r="K862" s="23">
        <f>IF($A862="","",E862*J862/I862)</f>
        <v/>
      </c>
    </row>
    <row r="863">
      <c r="I863" s="22">
        <f>IF($A863="","",'2_密度換算'!$C$12*(1-((G863+'2_密度換算'!$C$8)^2*(G863+'2_密度換算'!$C$9))/('2_密度換算'!$C$10*(G863+'2_密度換算'!$C$11)))/1000)</f>
        <v/>
      </c>
      <c r="J863" s="22">
        <f>IF($A863="","",1+'2_密度換算'!$C$6*(1/I863-1/'2_密度換算'!$C$7))</f>
        <v/>
      </c>
      <c r="K863" s="23">
        <f>IF($A863="","",E863*J863/I863)</f>
        <v/>
      </c>
    </row>
    <row r="864">
      <c r="I864" s="22">
        <f>IF($A864="","",'2_密度換算'!$C$12*(1-((G864+'2_密度換算'!$C$8)^2*(G864+'2_密度換算'!$C$9))/('2_密度換算'!$C$10*(G864+'2_密度換算'!$C$11)))/1000)</f>
        <v/>
      </c>
      <c r="J864" s="22">
        <f>IF($A864="","",1+'2_密度換算'!$C$6*(1/I864-1/'2_密度換算'!$C$7))</f>
        <v/>
      </c>
      <c r="K864" s="23">
        <f>IF($A864="","",E864*J864/I864)</f>
        <v/>
      </c>
    </row>
    <row r="865">
      <c r="I865" s="22">
        <f>IF($A865="","",'2_密度換算'!$C$12*(1-((G865+'2_密度換算'!$C$8)^2*(G865+'2_密度換算'!$C$9))/('2_密度換算'!$C$10*(G865+'2_密度換算'!$C$11)))/1000)</f>
        <v/>
      </c>
      <c r="J865" s="22">
        <f>IF($A865="","",1+'2_密度換算'!$C$6*(1/I865-1/'2_密度換算'!$C$7))</f>
        <v/>
      </c>
      <c r="K865" s="23">
        <f>IF($A865="","",E865*J865/I865)</f>
        <v/>
      </c>
    </row>
    <row r="866">
      <c r="I866" s="22">
        <f>IF($A866="","",'2_密度換算'!$C$12*(1-((G866+'2_密度換算'!$C$8)^2*(G866+'2_密度換算'!$C$9))/('2_密度換算'!$C$10*(G866+'2_密度換算'!$C$11)))/1000)</f>
        <v/>
      </c>
      <c r="J866" s="22">
        <f>IF($A866="","",1+'2_密度換算'!$C$6*(1/I866-1/'2_密度換算'!$C$7))</f>
        <v/>
      </c>
      <c r="K866" s="23">
        <f>IF($A866="","",E866*J866/I866)</f>
        <v/>
      </c>
    </row>
    <row r="867">
      <c r="I867" s="22">
        <f>IF($A867="","",'2_密度換算'!$C$12*(1-((G867+'2_密度換算'!$C$8)^2*(G867+'2_密度換算'!$C$9))/('2_密度換算'!$C$10*(G867+'2_密度換算'!$C$11)))/1000)</f>
        <v/>
      </c>
      <c r="J867" s="22">
        <f>IF($A867="","",1+'2_密度換算'!$C$6*(1/I867-1/'2_密度換算'!$C$7))</f>
        <v/>
      </c>
      <c r="K867" s="23">
        <f>IF($A867="","",E867*J867/I867)</f>
        <v/>
      </c>
    </row>
    <row r="868">
      <c r="I868" s="22">
        <f>IF($A868="","",'2_密度換算'!$C$12*(1-((G868+'2_密度換算'!$C$8)^2*(G868+'2_密度換算'!$C$9))/('2_密度換算'!$C$10*(G868+'2_密度換算'!$C$11)))/1000)</f>
        <v/>
      </c>
      <c r="J868" s="22">
        <f>IF($A868="","",1+'2_密度換算'!$C$6*(1/I868-1/'2_密度換算'!$C$7))</f>
        <v/>
      </c>
      <c r="K868" s="23">
        <f>IF($A868="","",E868*J868/I868)</f>
        <v/>
      </c>
    </row>
    <row r="869">
      <c r="I869" s="22">
        <f>IF($A869="","",'2_密度換算'!$C$12*(1-((G869+'2_密度換算'!$C$8)^2*(G869+'2_密度換算'!$C$9))/('2_密度換算'!$C$10*(G869+'2_密度換算'!$C$11)))/1000)</f>
        <v/>
      </c>
      <c r="J869" s="22">
        <f>IF($A869="","",1+'2_密度換算'!$C$6*(1/I869-1/'2_密度換算'!$C$7))</f>
        <v/>
      </c>
      <c r="K869" s="23">
        <f>IF($A869="","",E869*J869/I869)</f>
        <v/>
      </c>
    </row>
    <row r="870">
      <c r="I870" s="22">
        <f>IF($A870="","",'2_密度換算'!$C$12*(1-((G870+'2_密度換算'!$C$8)^2*(G870+'2_密度換算'!$C$9))/('2_密度換算'!$C$10*(G870+'2_密度換算'!$C$11)))/1000)</f>
        <v/>
      </c>
      <c r="J870" s="22">
        <f>IF($A870="","",1+'2_密度換算'!$C$6*(1/I870-1/'2_密度換算'!$C$7))</f>
        <v/>
      </c>
      <c r="K870" s="23">
        <f>IF($A870="","",E870*J870/I870)</f>
        <v/>
      </c>
    </row>
    <row r="871">
      <c r="I871" s="22">
        <f>IF($A871="","",'2_密度換算'!$C$12*(1-((G871+'2_密度換算'!$C$8)^2*(G871+'2_密度換算'!$C$9))/('2_密度換算'!$C$10*(G871+'2_密度換算'!$C$11)))/1000)</f>
        <v/>
      </c>
      <c r="J871" s="22">
        <f>IF($A871="","",1+'2_密度換算'!$C$6*(1/I871-1/'2_密度換算'!$C$7))</f>
        <v/>
      </c>
      <c r="K871" s="23">
        <f>IF($A871="","",E871*J871/I871)</f>
        <v/>
      </c>
    </row>
    <row r="872">
      <c r="I872" s="22">
        <f>IF($A872="","",'2_密度換算'!$C$12*(1-((G872+'2_密度換算'!$C$8)^2*(G872+'2_密度換算'!$C$9))/('2_密度換算'!$C$10*(G872+'2_密度換算'!$C$11)))/1000)</f>
        <v/>
      </c>
      <c r="J872" s="22">
        <f>IF($A872="","",1+'2_密度換算'!$C$6*(1/I872-1/'2_密度換算'!$C$7))</f>
        <v/>
      </c>
      <c r="K872" s="23">
        <f>IF($A872="","",E872*J872/I872)</f>
        <v/>
      </c>
    </row>
    <row r="873">
      <c r="I873" s="22">
        <f>IF($A873="","",'2_密度換算'!$C$12*(1-((G873+'2_密度換算'!$C$8)^2*(G873+'2_密度換算'!$C$9))/('2_密度換算'!$C$10*(G873+'2_密度換算'!$C$11)))/1000)</f>
        <v/>
      </c>
      <c r="J873" s="22">
        <f>IF($A873="","",1+'2_密度換算'!$C$6*(1/I873-1/'2_密度換算'!$C$7))</f>
        <v/>
      </c>
      <c r="K873" s="23">
        <f>IF($A873="","",E873*J873/I873)</f>
        <v/>
      </c>
    </row>
    <row r="874">
      <c r="I874" s="22">
        <f>IF($A874="","",'2_密度換算'!$C$12*(1-((G874+'2_密度換算'!$C$8)^2*(G874+'2_密度換算'!$C$9))/('2_密度換算'!$C$10*(G874+'2_密度換算'!$C$11)))/1000)</f>
        <v/>
      </c>
      <c r="J874" s="22">
        <f>IF($A874="","",1+'2_密度換算'!$C$6*(1/I874-1/'2_密度換算'!$C$7))</f>
        <v/>
      </c>
      <c r="K874" s="23">
        <f>IF($A874="","",E874*J874/I874)</f>
        <v/>
      </c>
    </row>
    <row r="875">
      <c r="I875" s="22">
        <f>IF($A875="","",'2_密度換算'!$C$12*(1-((G875+'2_密度換算'!$C$8)^2*(G875+'2_密度換算'!$C$9))/('2_密度換算'!$C$10*(G875+'2_密度換算'!$C$11)))/1000)</f>
        <v/>
      </c>
      <c r="J875" s="22">
        <f>IF($A875="","",1+'2_密度換算'!$C$6*(1/I875-1/'2_密度換算'!$C$7))</f>
        <v/>
      </c>
      <c r="K875" s="23">
        <f>IF($A875="","",E875*J875/I875)</f>
        <v/>
      </c>
    </row>
    <row r="876">
      <c r="I876" s="22">
        <f>IF($A876="","",'2_密度換算'!$C$12*(1-((G876+'2_密度換算'!$C$8)^2*(G876+'2_密度換算'!$C$9))/('2_密度換算'!$C$10*(G876+'2_密度換算'!$C$11)))/1000)</f>
        <v/>
      </c>
      <c r="J876" s="22">
        <f>IF($A876="","",1+'2_密度換算'!$C$6*(1/I876-1/'2_密度換算'!$C$7))</f>
        <v/>
      </c>
      <c r="K876" s="23">
        <f>IF($A876="","",E876*J876/I876)</f>
        <v/>
      </c>
    </row>
    <row r="877">
      <c r="I877" s="22">
        <f>IF($A877="","",'2_密度換算'!$C$12*(1-((G877+'2_密度換算'!$C$8)^2*(G877+'2_密度換算'!$C$9))/('2_密度換算'!$C$10*(G877+'2_密度換算'!$C$11)))/1000)</f>
        <v/>
      </c>
      <c r="J877" s="22">
        <f>IF($A877="","",1+'2_密度換算'!$C$6*(1/I877-1/'2_密度換算'!$C$7))</f>
        <v/>
      </c>
      <c r="K877" s="23">
        <f>IF($A877="","",E877*J877/I877)</f>
        <v/>
      </c>
    </row>
    <row r="878">
      <c r="I878" s="22">
        <f>IF($A878="","",'2_密度換算'!$C$12*(1-((G878+'2_密度換算'!$C$8)^2*(G878+'2_密度換算'!$C$9))/('2_密度換算'!$C$10*(G878+'2_密度換算'!$C$11)))/1000)</f>
        <v/>
      </c>
      <c r="J878" s="22">
        <f>IF($A878="","",1+'2_密度換算'!$C$6*(1/I878-1/'2_密度換算'!$C$7))</f>
        <v/>
      </c>
      <c r="K878" s="23">
        <f>IF($A878="","",E878*J878/I878)</f>
        <v/>
      </c>
    </row>
    <row r="879">
      <c r="I879" s="22">
        <f>IF($A879="","",'2_密度換算'!$C$12*(1-((G879+'2_密度換算'!$C$8)^2*(G879+'2_密度換算'!$C$9))/('2_密度換算'!$C$10*(G879+'2_密度換算'!$C$11)))/1000)</f>
        <v/>
      </c>
      <c r="J879" s="22">
        <f>IF($A879="","",1+'2_密度換算'!$C$6*(1/I879-1/'2_密度換算'!$C$7))</f>
        <v/>
      </c>
      <c r="K879" s="23">
        <f>IF($A879="","",E879*J879/I879)</f>
        <v/>
      </c>
    </row>
    <row r="880">
      <c r="I880" s="22">
        <f>IF($A880="","",'2_密度換算'!$C$12*(1-((G880+'2_密度換算'!$C$8)^2*(G880+'2_密度換算'!$C$9))/('2_密度換算'!$C$10*(G880+'2_密度換算'!$C$11)))/1000)</f>
        <v/>
      </c>
      <c r="J880" s="22">
        <f>IF($A880="","",1+'2_密度換算'!$C$6*(1/I880-1/'2_密度換算'!$C$7))</f>
        <v/>
      </c>
      <c r="K880" s="23">
        <f>IF($A880="","",E880*J880/I880)</f>
        <v/>
      </c>
    </row>
    <row r="881">
      <c r="I881" s="22">
        <f>IF($A881="","",'2_密度換算'!$C$12*(1-((G881+'2_密度換算'!$C$8)^2*(G881+'2_密度換算'!$C$9))/('2_密度換算'!$C$10*(G881+'2_密度換算'!$C$11)))/1000)</f>
        <v/>
      </c>
      <c r="J881" s="22">
        <f>IF($A881="","",1+'2_密度換算'!$C$6*(1/I881-1/'2_密度換算'!$C$7))</f>
        <v/>
      </c>
      <c r="K881" s="23">
        <f>IF($A881="","",E881*J881/I881)</f>
        <v/>
      </c>
    </row>
    <row r="882">
      <c r="I882" s="22">
        <f>IF($A882="","",'2_密度換算'!$C$12*(1-((G882+'2_密度換算'!$C$8)^2*(G882+'2_密度換算'!$C$9))/('2_密度換算'!$C$10*(G882+'2_密度換算'!$C$11)))/1000)</f>
        <v/>
      </c>
      <c r="J882" s="22">
        <f>IF($A882="","",1+'2_密度換算'!$C$6*(1/I882-1/'2_密度換算'!$C$7))</f>
        <v/>
      </c>
      <c r="K882" s="23">
        <f>IF($A882="","",E882*J882/I882)</f>
        <v/>
      </c>
    </row>
    <row r="883">
      <c r="I883" s="22">
        <f>IF($A883="","",'2_密度換算'!$C$12*(1-((G883+'2_密度換算'!$C$8)^2*(G883+'2_密度換算'!$C$9))/('2_密度換算'!$C$10*(G883+'2_密度換算'!$C$11)))/1000)</f>
        <v/>
      </c>
      <c r="J883" s="22">
        <f>IF($A883="","",1+'2_密度換算'!$C$6*(1/I883-1/'2_密度換算'!$C$7))</f>
        <v/>
      </c>
      <c r="K883" s="23">
        <f>IF($A883="","",E883*J883/I883)</f>
        <v/>
      </c>
    </row>
    <row r="884">
      <c r="I884" s="22">
        <f>IF($A884="","",'2_密度換算'!$C$12*(1-((G884+'2_密度換算'!$C$8)^2*(G884+'2_密度換算'!$C$9))/('2_密度換算'!$C$10*(G884+'2_密度換算'!$C$11)))/1000)</f>
        <v/>
      </c>
      <c r="J884" s="22">
        <f>IF($A884="","",1+'2_密度換算'!$C$6*(1/I884-1/'2_密度換算'!$C$7))</f>
        <v/>
      </c>
      <c r="K884" s="23">
        <f>IF($A884="","",E884*J884/I884)</f>
        <v/>
      </c>
    </row>
    <row r="885">
      <c r="I885" s="22">
        <f>IF($A885="","",'2_密度換算'!$C$12*(1-((G885+'2_密度換算'!$C$8)^2*(G885+'2_密度換算'!$C$9))/('2_密度換算'!$C$10*(G885+'2_密度換算'!$C$11)))/1000)</f>
        <v/>
      </c>
      <c r="J885" s="22">
        <f>IF($A885="","",1+'2_密度換算'!$C$6*(1/I885-1/'2_密度換算'!$C$7))</f>
        <v/>
      </c>
      <c r="K885" s="23">
        <f>IF($A885="","",E885*J885/I885)</f>
        <v/>
      </c>
    </row>
    <row r="886">
      <c r="I886" s="22">
        <f>IF($A886="","",'2_密度換算'!$C$12*(1-((G886+'2_密度換算'!$C$8)^2*(G886+'2_密度換算'!$C$9))/('2_密度換算'!$C$10*(G886+'2_密度換算'!$C$11)))/1000)</f>
        <v/>
      </c>
      <c r="J886" s="22">
        <f>IF($A886="","",1+'2_密度換算'!$C$6*(1/I886-1/'2_密度換算'!$C$7))</f>
        <v/>
      </c>
      <c r="K886" s="23">
        <f>IF($A886="","",E886*J886/I886)</f>
        <v/>
      </c>
    </row>
    <row r="887">
      <c r="I887" s="22">
        <f>IF($A887="","",'2_密度換算'!$C$12*(1-((G887+'2_密度換算'!$C$8)^2*(G887+'2_密度換算'!$C$9))/('2_密度換算'!$C$10*(G887+'2_密度換算'!$C$11)))/1000)</f>
        <v/>
      </c>
      <c r="J887" s="22">
        <f>IF($A887="","",1+'2_密度換算'!$C$6*(1/I887-1/'2_密度換算'!$C$7))</f>
        <v/>
      </c>
      <c r="K887" s="23">
        <f>IF($A887="","",E887*J887/I887)</f>
        <v/>
      </c>
    </row>
    <row r="888">
      <c r="I888" s="22">
        <f>IF($A888="","",'2_密度換算'!$C$12*(1-((G888+'2_密度換算'!$C$8)^2*(G888+'2_密度換算'!$C$9))/('2_密度換算'!$C$10*(G888+'2_密度換算'!$C$11)))/1000)</f>
        <v/>
      </c>
      <c r="J888" s="22">
        <f>IF($A888="","",1+'2_密度換算'!$C$6*(1/I888-1/'2_密度換算'!$C$7))</f>
        <v/>
      </c>
      <c r="K888" s="23">
        <f>IF($A888="","",E888*J888/I888)</f>
        <v/>
      </c>
    </row>
    <row r="889">
      <c r="I889" s="22">
        <f>IF($A889="","",'2_密度換算'!$C$12*(1-((G889+'2_密度換算'!$C$8)^2*(G889+'2_密度換算'!$C$9))/('2_密度換算'!$C$10*(G889+'2_密度換算'!$C$11)))/1000)</f>
        <v/>
      </c>
      <c r="J889" s="22">
        <f>IF($A889="","",1+'2_密度換算'!$C$6*(1/I889-1/'2_密度換算'!$C$7))</f>
        <v/>
      </c>
      <c r="K889" s="23">
        <f>IF($A889="","",E889*J889/I889)</f>
        <v/>
      </c>
    </row>
    <row r="890">
      <c r="I890" s="22">
        <f>IF($A890="","",'2_密度換算'!$C$12*(1-((G890+'2_密度換算'!$C$8)^2*(G890+'2_密度換算'!$C$9))/('2_密度換算'!$C$10*(G890+'2_密度換算'!$C$11)))/1000)</f>
        <v/>
      </c>
      <c r="J890" s="22">
        <f>IF($A890="","",1+'2_密度換算'!$C$6*(1/I890-1/'2_密度換算'!$C$7))</f>
        <v/>
      </c>
      <c r="K890" s="23">
        <f>IF($A890="","",E890*J890/I890)</f>
        <v/>
      </c>
    </row>
    <row r="891">
      <c r="I891" s="22">
        <f>IF($A891="","",'2_密度換算'!$C$12*(1-((G891+'2_密度換算'!$C$8)^2*(G891+'2_密度換算'!$C$9))/('2_密度換算'!$C$10*(G891+'2_密度換算'!$C$11)))/1000)</f>
        <v/>
      </c>
      <c r="J891" s="22">
        <f>IF($A891="","",1+'2_密度換算'!$C$6*(1/I891-1/'2_密度換算'!$C$7))</f>
        <v/>
      </c>
      <c r="K891" s="23">
        <f>IF($A891="","",E891*J891/I891)</f>
        <v/>
      </c>
    </row>
    <row r="892">
      <c r="I892" s="22">
        <f>IF($A892="","",'2_密度換算'!$C$12*(1-((G892+'2_密度換算'!$C$8)^2*(G892+'2_密度換算'!$C$9))/('2_密度換算'!$C$10*(G892+'2_密度換算'!$C$11)))/1000)</f>
        <v/>
      </c>
      <c r="J892" s="22">
        <f>IF($A892="","",1+'2_密度換算'!$C$6*(1/I892-1/'2_密度換算'!$C$7))</f>
        <v/>
      </c>
      <c r="K892" s="23">
        <f>IF($A892="","",E892*J892/I892)</f>
        <v/>
      </c>
    </row>
    <row r="893">
      <c r="I893" s="22">
        <f>IF($A893="","",'2_密度換算'!$C$12*(1-((G893+'2_密度換算'!$C$8)^2*(G893+'2_密度換算'!$C$9))/('2_密度換算'!$C$10*(G893+'2_密度換算'!$C$11)))/1000)</f>
        <v/>
      </c>
      <c r="J893" s="22">
        <f>IF($A893="","",1+'2_密度換算'!$C$6*(1/I893-1/'2_密度換算'!$C$7))</f>
        <v/>
      </c>
      <c r="K893" s="23">
        <f>IF($A893="","",E893*J893/I893)</f>
        <v/>
      </c>
    </row>
    <row r="894">
      <c r="I894" s="22">
        <f>IF($A894="","",'2_密度換算'!$C$12*(1-((G894+'2_密度換算'!$C$8)^2*(G894+'2_密度換算'!$C$9))/('2_密度換算'!$C$10*(G894+'2_密度換算'!$C$11)))/1000)</f>
        <v/>
      </c>
      <c r="J894" s="22">
        <f>IF($A894="","",1+'2_密度換算'!$C$6*(1/I894-1/'2_密度換算'!$C$7))</f>
        <v/>
      </c>
      <c r="K894" s="23">
        <f>IF($A894="","",E894*J894/I894)</f>
        <v/>
      </c>
    </row>
    <row r="895">
      <c r="I895" s="22">
        <f>IF($A895="","",'2_密度換算'!$C$12*(1-((G895+'2_密度換算'!$C$8)^2*(G895+'2_密度換算'!$C$9))/('2_密度換算'!$C$10*(G895+'2_密度換算'!$C$11)))/1000)</f>
        <v/>
      </c>
      <c r="J895" s="22">
        <f>IF($A895="","",1+'2_密度換算'!$C$6*(1/I895-1/'2_密度換算'!$C$7))</f>
        <v/>
      </c>
      <c r="K895" s="23">
        <f>IF($A895="","",E895*J895/I895)</f>
        <v/>
      </c>
    </row>
    <row r="896">
      <c r="I896" s="22">
        <f>IF($A896="","",'2_密度換算'!$C$12*(1-((G896+'2_密度換算'!$C$8)^2*(G896+'2_密度換算'!$C$9))/('2_密度換算'!$C$10*(G896+'2_密度換算'!$C$11)))/1000)</f>
        <v/>
      </c>
      <c r="J896" s="22">
        <f>IF($A896="","",1+'2_密度換算'!$C$6*(1/I896-1/'2_密度換算'!$C$7))</f>
        <v/>
      </c>
      <c r="K896" s="23">
        <f>IF($A896="","",E896*J896/I896)</f>
        <v/>
      </c>
    </row>
    <row r="897">
      <c r="I897" s="22">
        <f>IF($A897="","",'2_密度換算'!$C$12*(1-((G897+'2_密度換算'!$C$8)^2*(G897+'2_密度換算'!$C$9))/('2_密度換算'!$C$10*(G897+'2_密度換算'!$C$11)))/1000)</f>
        <v/>
      </c>
      <c r="J897" s="22">
        <f>IF($A897="","",1+'2_密度換算'!$C$6*(1/I897-1/'2_密度換算'!$C$7))</f>
        <v/>
      </c>
      <c r="K897" s="23">
        <f>IF($A897="","",E897*J897/I897)</f>
        <v/>
      </c>
    </row>
    <row r="898">
      <c r="I898" s="22">
        <f>IF($A898="","",'2_密度換算'!$C$12*(1-((G898+'2_密度換算'!$C$8)^2*(G898+'2_密度換算'!$C$9))/('2_密度換算'!$C$10*(G898+'2_密度換算'!$C$11)))/1000)</f>
        <v/>
      </c>
      <c r="J898" s="22">
        <f>IF($A898="","",1+'2_密度換算'!$C$6*(1/I898-1/'2_密度換算'!$C$7))</f>
        <v/>
      </c>
      <c r="K898" s="23">
        <f>IF($A898="","",E898*J898/I898)</f>
        <v/>
      </c>
    </row>
    <row r="899">
      <c r="I899" s="22">
        <f>IF($A899="","",'2_密度換算'!$C$12*(1-((G899+'2_密度換算'!$C$8)^2*(G899+'2_密度換算'!$C$9))/('2_密度換算'!$C$10*(G899+'2_密度換算'!$C$11)))/1000)</f>
        <v/>
      </c>
      <c r="J899" s="22">
        <f>IF($A899="","",1+'2_密度換算'!$C$6*(1/I899-1/'2_密度換算'!$C$7))</f>
        <v/>
      </c>
      <c r="K899" s="23">
        <f>IF($A899="","",E899*J899/I899)</f>
        <v/>
      </c>
    </row>
    <row r="900">
      <c r="I900" s="22">
        <f>IF($A900="","",'2_密度換算'!$C$12*(1-((G900+'2_密度換算'!$C$8)^2*(G900+'2_密度換算'!$C$9))/('2_密度換算'!$C$10*(G900+'2_密度換算'!$C$11)))/1000)</f>
        <v/>
      </c>
      <c r="J900" s="22">
        <f>IF($A900="","",1+'2_密度換算'!$C$6*(1/I900-1/'2_密度換算'!$C$7))</f>
        <v/>
      </c>
      <c r="K900" s="23">
        <f>IF($A900="","",E900*J900/I900)</f>
        <v/>
      </c>
    </row>
    <row r="901">
      <c r="I901" s="22">
        <f>IF($A901="","",'2_密度換算'!$C$12*(1-((G901+'2_密度換算'!$C$8)^2*(G901+'2_密度換算'!$C$9))/('2_密度換算'!$C$10*(G901+'2_密度換算'!$C$11)))/1000)</f>
        <v/>
      </c>
      <c r="J901" s="22">
        <f>IF($A901="","",1+'2_密度換算'!$C$6*(1/I901-1/'2_密度換算'!$C$7))</f>
        <v/>
      </c>
      <c r="K901" s="23">
        <f>IF($A901="","",E901*J901/I901)</f>
        <v/>
      </c>
    </row>
    <row r="902">
      <c r="I902" s="22">
        <f>IF($A902="","",'2_密度換算'!$C$12*(1-((G902+'2_密度換算'!$C$8)^2*(G902+'2_密度換算'!$C$9))/('2_密度換算'!$C$10*(G902+'2_密度換算'!$C$11)))/1000)</f>
        <v/>
      </c>
      <c r="J902" s="22">
        <f>IF($A902="","",1+'2_密度換算'!$C$6*(1/I902-1/'2_密度換算'!$C$7))</f>
        <v/>
      </c>
      <c r="K902" s="23">
        <f>IF($A902="","",E902*J902/I902)</f>
        <v/>
      </c>
    </row>
    <row r="903">
      <c r="I903" s="22">
        <f>IF($A903="","",'2_密度換算'!$C$12*(1-((G903+'2_密度換算'!$C$8)^2*(G903+'2_密度換算'!$C$9))/('2_密度換算'!$C$10*(G903+'2_密度換算'!$C$11)))/1000)</f>
        <v/>
      </c>
      <c r="J903" s="22">
        <f>IF($A903="","",1+'2_密度換算'!$C$6*(1/I903-1/'2_密度換算'!$C$7))</f>
        <v/>
      </c>
      <c r="K903" s="23">
        <f>IF($A903="","",E903*J903/I903)</f>
        <v/>
      </c>
    </row>
    <row r="904">
      <c r="I904" s="22">
        <f>IF($A904="","",'2_密度換算'!$C$12*(1-((G904+'2_密度換算'!$C$8)^2*(G904+'2_密度換算'!$C$9))/('2_密度換算'!$C$10*(G904+'2_密度換算'!$C$11)))/1000)</f>
        <v/>
      </c>
      <c r="J904" s="22">
        <f>IF($A904="","",1+'2_密度換算'!$C$6*(1/I904-1/'2_密度換算'!$C$7))</f>
        <v/>
      </c>
      <c r="K904" s="23">
        <f>IF($A904="","",E904*J904/I904)</f>
        <v/>
      </c>
    </row>
    <row r="905">
      <c r="I905" s="22">
        <f>IF($A905="","",'2_密度換算'!$C$12*(1-((G905+'2_密度換算'!$C$8)^2*(G905+'2_密度換算'!$C$9))/('2_密度換算'!$C$10*(G905+'2_密度換算'!$C$11)))/1000)</f>
        <v/>
      </c>
      <c r="J905" s="22">
        <f>IF($A905="","",1+'2_密度換算'!$C$6*(1/I905-1/'2_密度換算'!$C$7))</f>
        <v/>
      </c>
      <c r="K905" s="23">
        <f>IF($A905="","",E905*J905/I905)</f>
        <v/>
      </c>
    </row>
    <row r="906">
      <c r="I906" s="22">
        <f>IF($A906="","",'2_密度換算'!$C$12*(1-((G906+'2_密度換算'!$C$8)^2*(G906+'2_密度換算'!$C$9))/('2_密度換算'!$C$10*(G906+'2_密度換算'!$C$11)))/1000)</f>
        <v/>
      </c>
      <c r="J906" s="22">
        <f>IF($A906="","",1+'2_密度換算'!$C$6*(1/I906-1/'2_密度換算'!$C$7))</f>
        <v/>
      </c>
      <c r="K906" s="23">
        <f>IF($A906="","",E906*J906/I906)</f>
        <v/>
      </c>
    </row>
    <row r="907">
      <c r="I907" s="22">
        <f>IF($A907="","",'2_密度換算'!$C$12*(1-((G907+'2_密度換算'!$C$8)^2*(G907+'2_密度換算'!$C$9))/('2_密度換算'!$C$10*(G907+'2_密度換算'!$C$11)))/1000)</f>
        <v/>
      </c>
      <c r="J907" s="22">
        <f>IF($A907="","",1+'2_密度換算'!$C$6*(1/I907-1/'2_密度換算'!$C$7))</f>
        <v/>
      </c>
      <c r="K907" s="23">
        <f>IF($A907="","",E907*J907/I907)</f>
        <v/>
      </c>
    </row>
    <row r="908">
      <c r="I908" s="22">
        <f>IF($A908="","",'2_密度換算'!$C$12*(1-((G908+'2_密度換算'!$C$8)^2*(G908+'2_密度換算'!$C$9))/('2_密度換算'!$C$10*(G908+'2_密度換算'!$C$11)))/1000)</f>
        <v/>
      </c>
      <c r="J908" s="22">
        <f>IF($A908="","",1+'2_密度換算'!$C$6*(1/I908-1/'2_密度換算'!$C$7))</f>
        <v/>
      </c>
      <c r="K908" s="23">
        <f>IF($A908="","",E908*J908/I908)</f>
        <v/>
      </c>
    </row>
    <row r="909">
      <c r="I909" s="22">
        <f>IF($A909="","",'2_密度換算'!$C$12*(1-((G909+'2_密度換算'!$C$8)^2*(G909+'2_密度換算'!$C$9))/('2_密度換算'!$C$10*(G909+'2_密度換算'!$C$11)))/1000)</f>
        <v/>
      </c>
      <c r="J909" s="22">
        <f>IF($A909="","",1+'2_密度換算'!$C$6*(1/I909-1/'2_密度換算'!$C$7))</f>
        <v/>
      </c>
      <c r="K909" s="23">
        <f>IF($A909="","",E909*J909/I909)</f>
        <v/>
      </c>
    </row>
    <row r="910">
      <c r="I910" s="22">
        <f>IF($A910="","",'2_密度換算'!$C$12*(1-((G910+'2_密度換算'!$C$8)^2*(G910+'2_密度換算'!$C$9))/('2_密度換算'!$C$10*(G910+'2_密度換算'!$C$11)))/1000)</f>
        <v/>
      </c>
      <c r="J910" s="22">
        <f>IF($A910="","",1+'2_密度換算'!$C$6*(1/I910-1/'2_密度換算'!$C$7))</f>
        <v/>
      </c>
      <c r="K910" s="23">
        <f>IF($A910="","",E910*J910/I910)</f>
        <v/>
      </c>
    </row>
    <row r="911">
      <c r="I911" s="22">
        <f>IF($A911="","",'2_密度換算'!$C$12*(1-((G911+'2_密度換算'!$C$8)^2*(G911+'2_密度換算'!$C$9))/('2_密度換算'!$C$10*(G911+'2_密度換算'!$C$11)))/1000)</f>
        <v/>
      </c>
      <c r="J911" s="22">
        <f>IF($A911="","",1+'2_密度換算'!$C$6*(1/I911-1/'2_密度換算'!$C$7))</f>
        <v/>
      </c>
      <c r="K911" s="23">
        <f>IF($A911="","",E911*J911/I911)</f>
        <v/>
      </c>
    </row>
    <row r="912">
      <c r="I912" s="22">
        <f>IF($A912="","",'2_密度換算'!$C$12*(1-((G912+'2_密度換算'!$C$8)^2*(G912+'2_密度換算'!$C$9))/('2_密度換算'!$C$10*(G912+'2_密度換算'!$C$11)))/1000)</f>
        <v/>
      </c>
      <c r="J912" s="22">
        <f>IF($A912="","",1+'2_密度換算'!$C$6*(1/I912-1/'2_密度換算'!$C$7))</f>
        <v/>
      </c>
      <c r="K912" s="23">
        <f>IF($A912="","",E912*J912/I912)</f>
        <v/>
      </c>
    </row>
    <row r="913">
      <c r="I913" s="22">
        <f>IF($A913="","",'2_密度換算'!$C$12*(1-((G913+'2_密度換算'!$C$8)^2*(G913+'2_密度換算'!$C$9))/('2_密度換算'!$C$10*(G913+'2_密度換算'!$C$11)))/1000)</f>
        <v/>
      </c>
      <c r="J913" s="22">
        <f>IF($A913="","",1+'2_密度換算'!$C$6*(1/I913-1/'2_密度換算'!$C$7))</f>
        <v/>
      </c>
      <c r="K913" s="23">
        <f>IF($A913="","",E913*J913/I913)</f>
        <v/>
      </c>
    </row>
    <row r="914">
      <c r="I914" s="22">
        <f>IF($A914="","",'2_密度換算'!$C$12*(1-((G914+'2_密度換算'!$C$8)^2*(G914+'2_密度換算'!$C$9))/('2_密度換算'!$C$10*(G914+'2_密度換算'!$C$11)))/1000)</f>
        <v/>
      </c>
      <c r="J914" s="22">
        <f>IF($A914="","",1+'2_密度換算'!$C$6*(1/I914-1/'2_密度換算'!$C$7))</f>
        <v/>
      </c>
      <c r="K914" s="23">
        <f>IF($A914="","",E914*J914/I914)</f>
        <v/>
      </c>
    </row>
    <row r="915">
      <c r="I915" s="22">
        <f>IF($A915="","",'2_密度換算'!$C$12*(1-((G915+'2_密度換算'!$C$8)^2*(G915+'2_密度換算'!$C$9))/('2_密度換算'!$C$10*(G915+'2_密度換算'!$C$11)))/1000)</f>
        <v/>
      </c>
      <c r="J915" s="22">
        <f>IF($A915="","",1+'2_密度換算'!$C$6*(1/I915-1/'2_密度換算'!$C$7))</f>
        <v/>
      </c>
      <c r="K915" s="23">
        <f>IF($A915="","",E915*J915/I915)</f>
        <v/>
      </c>
    </row>
    <row r="916">
      <c r="I916" s="22">
        <f>IF($A916="","",'2_密度換算'!$C$12*(1-((G916+'2_密度換算'!$C$8)^2*(G916+'2_密度換算'!$C$9))/('2_密度換算'!$C$10*(G916+'2_密度換算'!$C$11)))/1000)</f>
        <v/>
      </c>
      <c r="J916" s="22">
        <f>IF($A916="","",1+'2_密度換算'!$C$6*(1/I916-1/'2_密度換算'!$C$7))</f>
        <v/>
      </c>
      <c r="K916" s="23">
        <f>IF($A916="","",E916*J916/I916)</f>
        <v/>
      </c>
    </row>
    <row r="917">
      <c r="I917" s="22">
        <f>IF($A917="","",'2_密度換算'!$C$12*(1-((G917+'2_密度換算'!$C$8)^2*(G917+'2_密度換算'!$C$9))/('2_密度換算'!$C$10*(G917+'2_密度換算'!$C$11)))/1000)</f>
        <v/>
      </c>
      <c r="J917" s="22">
        <f>IF($A917="","",1+'2_密度換算'!$C$6*(1/I917-1/'2_密度換算'!$C$7))</f>
        <v/>
      </c>
      <c r="K917" s="23">
        <f>IF($A917="","",E917*J917/I917)</f>
        <v/>
      </c>
    </row>
    <row r="918">
      <c r="I918" s="22">
        <f>IF($A918="","",'2_密度換算'!$C$12*(1-((G918+'2_密度換算'!$C$8)^2*(G918+'2_密度換算'!$C$9))/('2_密度換算'!$C$10*(G918+'2_密度換算'!$C$11)))/1000)</f>
        <v/>
      </c>
      <c r="J918" s="22">
        <f>IF($A918="","",1+'2_密度換算'!$C$6*(1/I918-1/'2_密度換算'!$C$7))</f>
        <v/>
      </c>
      <c r="K918" s="23">
        <f>IF($A918="","",E918*J918/I918)</f>
        <v/>
      </c>
    </row>
    <row r="919">
      <c r="I919" s="22">
        <f>IF($A919="","",'2_密度換算'!$C$12*(1-((G919+'2_密度換算'!$C$8)^2*(G919+'2_密度換算'!$C$9))/('2_密度換算'!$C$10*(G919+'2_密度換算'!$C$11)))/1000)</f>
        <v/>
      </c>
      <c r="J919" s="22">
        <f>IF($A919="","",1+'2_密度換算'!$C$6*(1/I919-1/'2_密度換算'!$C$7))</f>
        <v/>
      </c>
      <c r="K919" s="23">
        <f>IF($A919="","",E919*J919/I919)</f>
        <v/>
      </c>
    </row>
    <row r="920">
      <c r="I920" s="22">
        <f>IF($A920="","",'2_密度換算'!$C$12*(1-((G920+'2_密度換算'!$C$8)^2*(G920+'2_密度換算'!$C$9))/('2_密度換算'!$C$10*(G920+'2_密度換算'!$C$11)))/1000)</f>
        <v/>
      </c>
      <c r="J920" s="22">
        <f>IF($A920="","",1+'2_密度換算'!$C$6*(1/I920-1/'2_密度換算'!$C$7))</f>
        <v/>
      </c>
      <c r="K920" s="23">
        <f>IF($A920="","",E920*J920/I920)</f>
        <v/>
      </c>
    </row>
    <row r="921">
      <c r="I921" s="22">
        <f>IF($A921="","",'2_密度換算'!$C$12*(1-((G921+'2_密度換算'!$C$8)^2*(G921+'2_密度換算'!$C$9))/('2_密度換算'!$C$10*(G921+'2_密度換算'!$C$11)))/1000)</f>
        <v/>
      </c>
      <c r="J921" s="22">
        <f>IF($A921="","",1+'2_密度換算'!$C$6*(1/I921-1/'2_密度換算'!$C$7))</f>
        <v/>
      </c>
      <c r="K921" s="23">
        <f>IF($A921="","",E921*J921/I921)</f>
        <v/>
      </c>
    </row>
    <row r="922">
      <c r="I922" s="22">
        <f>IF($A922="","",'2_密度換算'!$C$12*(1-((G922+'2_密度換算'!$C$8)^2*(G922+'2_密度換算'!$C$9))/('2_密度換算'!$C$10*(G922+'2_密度換算'!$C$11)))/1000)</f>
        <v/>
      </c>
      <c r="J922" s="22">
        <f>IF($A922="","",1+'2_密度換算'!$C$6*(1/I922-1/'2_密度換算'!$C$7))</f>
        <v/>
      </c>
      <c r="K922" s="23">
        <f>IF($A922="","",E922*J922/I922)</f>
        <v/>
      </c>
    </row>
    <row r="923">
      <c r="I923" s="22">
        <f>IF($A923="","",'2_密度換算'!$C$12*(1-((G923+'2_密度換算'!$C$8)^2*(G923+'2_密度換算'!$C$9))/('2_密度換算'!$C$10*(G923+'2_密度換算'!$C$11)))/1000)</f>
        <v/>
      </c>
      <c r="J923" s="22">
        <f>IF($A923="","",1+'2_密度換算'!$C$6*(1/I923-1/'2_密度換算'!$C$7))</f>
        <v/>
      </c>
      <c r="K923" s="23">
        <f>IF($A923="","",E923*J923/I923)</f>
        <v/>
      </c>
    </row>
    <row r="924">
      <c r="I924" s="22">
        <f>IF($A924="","",'2_密度換算'!$C$12*(1-((G924+'2_密度換算'!$C$8)^2*(G924+'2_密度換算'!$C$9))/('2_密度換算'!$C$10*(G924+'2_密度換算'!$C$11)))/1000)</f>
        <v/>
      </c>
      <c r="J924" s="22">
        <f>IF($A924="","",1+'2_密度換算'!$C$6*(1/I924-1/'2_密度換算'!$C$7))</f>
        <v/>
      </c>
      <c r="K924" s="23">
        <f>IF($A924="","",E924*J924/I924)</f>
        <v/>
      </c>
    </row>
    <row r="925">
      <c r="I925" s="22">
        <f>IF($A925="","",'2_密度換算'!$C$12*(1-((G925+'2_密度換算'!$C$8)^2*(G925+'2_密度換算'!$C$9))/('2_密度換算'!$C$10*(G925+'2_密度換算'!$C$11)))/1000)</f>
        <v/>
      </c>
      <c r="J925" s="22">
        <f>IF($A925="","",1+'2_密度換算'!$C$6*(1/I925-1/'2_密度換算'!$C$7))</f>
        <v/>
      </c>
      <c r="K925" s="23">
        <f>IF($A925="","",E925*J925/I925)</f>
        <v/>
      </c>
    </row>
    <row r="926">
      <c r="I926" s="22">
        <f>IF($A926="","",'2_密度換算'!$C$12*(1-((G926+'2_密度換算'!$C$8)^2*(G926+'2_密度換算'!$C$9))/('2_密度換算'!$C$10*(G926+'2_密度換算'!$C$11)))/1000)</f>
        <v/>
      </c>
      <c r="J926" s="22">
        <f>IF($A926="","",1+'2_密度換算'!$C$6*(1/I926-1/'2_密度換算'!$C$7))</f>
        <v/>
      </c>
      <c r="K926" s="23">
        <f>IF($A926="","",E926*J926/I926)</f>
        <v/>
      </c>
    </row>
    <row r="927">
      <c r="I927" s="22">
        <f>IF($A927="","",'2_密度換算'!$C$12*(1-((G927+'2_密度換算'!$C$8)^2*(G927+'2_密度換算'!$C$9))/('2_密度換算'!$C$10*(G927+'2_密度換算'!$C$11)))/1000)</f>
        <v/>
      </c>
      <c r="J927" s="22">
        <f>IF($A927="","",1+'2_密度換算'!$C$6*(1/I927-1/'2_密度換算'!$C$7))</f>
        <v/>
      </c>
      <c r="K927" s="23">
        <f>IF($A927="","",E927*J927/I927)</f>
        <v/>
      </c>
    </row>
    <row r="928">
      <c r="I928" s="22">
        <f>IF($A928="","",'2_密度換算'!$C$12*(1-((G928+'2_密度換算'!$C$8)^2*(G928+'2_密度換算'!$C$9))/('2_密度換算'!$C$10*(G928+'2_密度換算'!$C$11)))/1000)</f>
        <v/>
      </c>
      <c r="J928" s="22">
        <f>IF($A928="","",1+'2_密度換算'!$C$6*(1/I928-1/'2_密度換算'!$C$7))</f>
        <v/>
      </c>
      <c r="K928" s="23">
        <f>IF($A928="","",E928*J928/I928)</f>
        <v/>
      </c>
    </row>
    <row r="929">
      <c r="I929" s="22">
        <f>IF($A929="","",'2_密度換算'!$C$12*(1-((G929+'2_密度換算'!$C$8)^2*(G929+'2_密度換算'!$C$9))/('2_密度換算'!$C$10*(G929+'2_密度換算'!$C$11)))/1000)</f>
        <v/>
      </c>
      <c r="J929" s="22">
        <f>IF($A929="","",1+'2_密度換算'!$C$6*(1/I929-1/'2_密度換算'!$C$7))</f>
        <v/>
      </c>
      <c r="K929" s="23">
        <f>IF($A929="","",E929*J929/I929)</f>
        <v/>
      </c>
    </row>
    <row r="930">
      <c r="I930" s="22">
        <f>IF($A930="","",'2_密度換算'!$C$12*(1-((G930+'2_密度換算'!$C$8)^2*(G930+'2_密度換算'!$C$9))/('2_密度換算'!$C$10*(G930+'2_密度換算'!$C$11)))/1000)</f>
        <v/>
      </c>
      <c r="J930" s="22">
        <f>IF($A930="","",1+'2_密度換算'!$C$6*(1/I930-1/'2_密度換算'!$C$7))</f>
        <v/>
      </c>
      <c r="K930" s="23">
        <f>IF($A930="","",E930*J930/I930)</f>
        <v/>
      </c>
    </row>
    <row r="931">
      <c r="I931" s="22">
        <f>IF($A931="","",'2_密度換算'!$C$12*(1-((G931+'2_密度換算'!$C$8)^2*(G931+'2_密度換算'!$C$9))/('2_密度換算'!$C$10*(G931+'2_密度換算'!$C$11)))/1000)</f>
        <v/>
      </c>
      <c r="J931" s="22">
        <f>IF($A931="","",1+'2_密度換算'!$C$6*(1/I931-1/'2_密度換算'!$C$7))</f>
        <v/>
      </c>
      <c r="K931" s="23">
        <f>IF($A931="","",E931*J931/I931)</f>
        <v/>
      </c>
    </row>
    <row r="932">
      <c r="I932" s="22">
        <f>IF($A932="","",'2_密度換算'!$C$12*(1-((G932+'2_密度換算'!$C$8)^2*(G932+'2_密度換算'!$C$9))/('2_密度換算'!$C$10*(G932+'2_密度換算'!$C$11)))/1000)</f>
        <v/>
      </c>
      <c r="J932" s="22">
        <f>IF($A932="","",1+'2_密度換算'!$C$6*(1/I932-1/'2_密度換算'!$C$7))</f>
        <v/>
      </c>
      <c r="K932" s="23">
        <f>IF($A932="","",E932*J932/I932)</f>
        <v/>
      </c>
    </row>
    <row r="933">
      <c r="I933" s="22">
        <f>IF($A933="","",'2_密度換算'!$C$12*(1-((G933+'2_密度換算'!$C$8)^2*(G933+'2_密度換算'!$C$9))/('2_密度換算'!$C$10*(G933+'2_密度換算'!$C$11)))/1000)</f>
        <v/>
      </c>
      <c r="J933" s="22">
        <f>IF($A933="","",1+'2_密度換算'!$C$6*(1/I933-1/'2_密度換算'!$C$7))</f>
        <v/>
      </c>
      <c r="K933" s="23">
        <f>IF($A933="","",E933*J933/I933)</f>
        <v/>
      </c>
    </row>
    <row r="934">
      <c r="I934" s="22">
        <f>IF($A934="","",'2_密度換算'!$C$12*(1-((G934+'2_密度換算'!$C$8)^2*(G934+'2_密度換算'!$C$9))/('2_密度換算'!$C$10*(G934+'2_密度換算'!$C$11)))/1000)</f>
        <v/>
      </c>
      <c r="J934" s="22">
        <f>IF($A934="","",1+'2_密度換算'!$C$6*(1/I934-1/'2_密度換算'!$C$7))</f>
        <v/>
      </c>
      <c r="K934" s="23">
        <f>IF($A934="","",E934*J934/I934)</f>
        <v/>
      </c>
    </row>
    <row r="935">
      <c r="I935" s="22">
        <f>IF($A935="","",'2_密度換算'!$C$12*(1-((G935+'2_密度換算'!$C$8)^2*(G935+'2_密度換算'!$C$9))/('2_密度換算'!$C$10*(G935+'2_密度換算'!$C$11)))/1000)</f>
        <v/>
      </c>
      <c r="J935" s="22">
        <f>IF($A935="","",1+'2_密度換算'!$C$6*(1/I935-1/'2_密度換算'!$C$7))</f>
        <v/>
      </c>
      <c r="K935" s="23">
        <f>IF($A935="","",E935*J935/I935)</f>
        <v/>
      </c>
    </row>
    <row r="936">
      <c r="I936" s="22">
        <f>IF($A936="","",'2_密度換算'!$C$12*(1-((G936+'2_密度換算'!$C$8)^2*(G936+'2_密度換算'!$C$9))/('2_密度換算'!$C$10*(G936+'2_密度換算'!$C$11)))/1000)</f>
        <v/>
      </c>
      <c r="J936" s="22">
        <f>IF($A936="","",1+'2_密度換算'!$C$6*(1/I936-1/'2_密度換算'!$C$7))</f>
        <v/>
      </c>
      <c r="K936" s="23">
        <f>IF($A936="","",E936*J936/I936)</f>
        <v/>
      </c>
    </row>
    <row r="937">
      <c r="I937" s="22">
        <f>IF($A937="","",'2_密度換算'!$C$12*(1-((G937+'2_密度換算'!$C$8)^2*(G937+'2_密度換算'!$C$9))/('2_密度換算'!$C$10*(G937+'2_密度換算'!$C$11)))/1000)</f>
        <v/>
      </c>
      <c r="J937" s="22">
        <f>IF($A937="","",1+'2_密度換算'!$C$6*(1/I937-1/'2_密度換算'!$C$7))</f>
        <v/>
      </c>
      <c r="K937" s="23">
        <f>IF($A937="","",E937*J937/I937)</f>
        <v/>
      </c>
    </row>
    <row r="938">
      <c r="I938" s="22">
        <f>IF($A938="","",'2_密度換算'!$C$12*(1-((G938+'2_密度換算'!$C$8)^2*(G938+'2_密度換算'!$C$9))/('2_密度換算'!$C$10*(G938+'2_密度換算'!$C$11)))/1000)</f>
        <v/>
      </c>
      <c r="J938" s="22">
        <f>IF($A938="","",1+'2_密度換算'!$C$6*(1/I938-1/'2_密度換算'!$C$7))</f>
        <v/>
      </c>
      <c r="K938" s="23">
        <f>IF($A938="","",E938*J938/I938)</f>
        <v/>
      </c>
    </row>
    <row r="939">
      <c r="I939" s="22">
        <f>IF($A939="","",'2_密度換算'!$C$12*(1-((G939+'2_密度換算'!$C$8)^2*(G939+'2_密度換算'!$C$9))/('2_密度換算'!$C$10*(G939+'2_密度換算'!$C$11)))/1000)</f>
        <v/>
      </c>
      <c r="J939" s="22">
        <f>IF($A939="","",1+'2_密度換算'!$C$6*(1/I939-1/'2_密度換算'!$C$7))</f>
        <v/>
      </c>
      <c r="K939" s="23">
        <f>IF($A939="","",E939*J939/I939)</f>
        <v/>
      </c>
    </row>
    <row r="940">
      <c r="I940" s="22">
        <f>IF($A940="","",'2_密度換算'!$C$12*(1-((G940+'2_密度換算'!$C$8)^2*(G940+'2_密度換算'!$C$9))/('2_密度換算'!$C$10*(G940+'2_密度換算'!$C$11)))/1000)</f>
        <v/>
      </c>
      <c r="J940" s="22">
        <f>IF($A940="","",1+'2_密度換算'!$C$6*(1/I940-1/'2_密度換算'!$C$7))</f>
        <v/>
      </c>
      <c r="K940" s="23">
        <f>IF($A940="","",E940*J940/I940)</f>
        <v/>
      </c>
    </row>
    <row r="941">
      <c r="I941" s="22">
        <f>IF($A941="","",'2_密度換算'!$C$12*(1-((G941+'2_密度換算'!$C$8)^2*(G941+'2_密度換算'!$C$9))/('2_密度換算'!$C$10*(G941+'2_密度換算'!$C$11)))/1000)</f>
        <v/>
      </c>
      <c r="J941" s="22">
        <f>IF($A941="","",1+'2_密度換算'!$C$6*(1/I941-1/'2_密度換算'!$C$7))</f>
        <v/>
      </c>
      <c r="K941" s="23">
        <f>IF($A941="","",E941*J941/I941)</f>
        <v/>
      </c>
    </row>
    <row r="942">
      <c r="I942" s="22">
        <f>IF($A942="","",'2_密度換算'!$C$12*(1-((G942+'2_密度換算'!$C$8)^2*(G942+'2_密度換算'!$C$9))/('2_密度換算'!$C$10*(G942+'2_密度換算'!$C$11)))/1000)</f>
        <v/>
      </c>
      <c r="J942" s="22">
        <f>IF($A942="","",1+'2_密度換算'!$C$6*(1/I942-1/'2_密度換算'!$C$7))</f>
        <v/>
      </c>
      <c r="K942" s="23">
        <f>IF($A942="","",E942*J942/I942)</f>
        <v/>
      </c>
    </row>
    <row r="943">
      <c r="I943" s="22">
        <f>IF($A943="","",'2_密度換算'!$C$12*(1-((G943+'2_密度換算'!$C$8)^2*(G943+'2_密度換算'!$C$9))/('2_密度換算'!$C$10*(G943+'2_密度換算'!$C$11)))/1000)</f>
        <v/>
      </c>
      <c r="J943" s="22">
        <f>IF($A943="","",1+'2_密度換算'!$C$6*(1/I943-1/'2_密度換算'!$C$7))</f>
        <v/>
      </c>
      <c r="K943" s="23">
        <f>IF($A943="","",E943*J943/I943)</f>
        <v/>
      </c>
    </row>
    <row r="944">
      <c r="I944" s="22">
        <f>IF($A944="","",'2_密度換算'!$C$12*(1-((G944+'2_密度換算'!$C$8)^2*(G944+'2_密度換算'!$C$9))/('2_密度換算'!$C$10*(G944+'2_密度換算'!$C$11)))/1000)</f>
        <v/>
      </c>
      <c r="J944" s="22">
        <f>IF($A944="","",1+'2_密度換算'!$C$6*(1/I944-1/'2_密度換算'!$C$7))</f>
        <v/>
      </c>
      <c r="K944" s="23">
        <f>IF($A944="","",E944*J944/I944)</f>
        <v/>
      </c>
    </row>
    <row r="945">
      <c r="I945" s="22">
        <f>IF($A945="","",'2_密度換算'!$C$12*(1-((G945+'2_密度換算'!$C$8)^2*(G945+'2_密度換算'!$C$9))/('2_密度換算'!$C$10*(G945+'2_密度換算'!$C$11)))/1000)</f>
        <v/>
      </c>
      <c r="J945" s="22">
        <f>IF($A945="","",1+'2_密度換算'!$C$6*(1/I945-1/'2_密度換算'!$C$7))</f>
        <v/>
      </c>
      <c r="K945" s="23">
        <f>IF($A945="","",E945*J945/I945)</f>
        <v/>
      </c>
    </row>
    <row r="946">
      <c r="I946" s="22">
        <f>IF($A946="","",'2_密度換算'!$C$12*(1-((G946+'2_密度換算'!$C$8)^2*(G946+'2_密度換算'!$C$9))/('2_密度換算'!$C$10*(G946+'2_密度換算'!$C$11)))/1000)</f>
        <v/>
      </c>
      <c r="J946" s="22">
        <f>IF($A946="","",1+'2_密度換算'!$C$6*(1/I946-1/'2_密度換算'!$C$7))</f>
        <v/>
      </c>
      <c r="K946" s="23">
        <f>IF($A946="","",E946*J946/I946)</f>
        <v/>
      </c>
    </row>
    <row r="947">
      <c r="I947" s="22">
        <f>IF($A947="","",'2_密度換算'!$C$12*(1-((G947+'2_密度換算'!$C$8)^2*(G947+'2_密度換算'!$C$9))/('2_密度換算'!$C$10*(G947+'2_密度換算'!$C$11)))/1000)</f>
        <v/>
      </c>
      <c r="J947" s="22">
        <f>IF($A947="","",1+'2_密度換算'!$C$6*(1/I947-1/'2_密度換算'!$C$7))</f>
        <v/>
      </c>
      <c r="K947" s="23">
        <f>IF($A947="","",E947*J947/I947)</f>
        <v/>
      </c>
    </row>
    <row r="948">
      <c r="I948" s="22">
        <f>IF($A948="","",'2_密度換算'!$C$12*(1-((G948+'2_密度換算'!$C$8)^2*(G948+'2_密度換算'!$C$9))/('2_密度換算'!$C$10*(G948+'2_密度換算'!$C$11)))/1000)</f>
        <v/>
      </c>
      <c r="J948" s="22">
        <f>IF($A948="","",1+'2_密度換算'!$C$6*(1/I948-1/'2_密度換算'!$C$7))</f>
        <v/>
      </c>
      <c r="K948" s="23">
        <f>IF($A948="","",E948*J948/I948)</f>
        <v/>
      </c>
    </row>
    <row r="949">
      <c r="I949" s="22">
        <f>IF($A949="","",'2_密度換算'!$C$12*(1-((G949+'2_密度換算'!$C$8)^2*(G949+'2_密度換算'!$C$9))/('2_密度換算'!$C$10*(G949+'2_密度換算'!$C$11)))/1000)</f>
        <v/>
      </c>
      <c r="J949" s="22">
        <f>IF($A949="","",1+'2_密度換算'!$C$6*(1/I949-1/'2_密度換算'!$C$7))</f>
        <v/>
      </c>
      <c r="K949" s="23">
        <f>IF($A949="","",E949*J949/I949)</f>
        <v/>
      </c>
    </row>
    <row r="950">
      <c r="I950" s="22">
        <f>IF($A950="","",'2_密度換算'!$C$12*(1-((G950+'2_密度換算'!$C$8)^2*(G950+'2_密度換算'!$C$9))/('2_密度換算'!$C$10*(G950+'2_密度換算'!$C$11)))/1000)</f>
        <v/>
      </c>
      <c r="J950" s="22">
        <f>IF($A950="","",1+'2_密度換算'!$C$6*(1/I950-1/'2_密度換算'!$C$7))</f>
        <v/>
      </c>
      <c r="K950" s="23">
        <f>IF($A950="","",E950*J950/I950)</f>
        <v/>
      </c>
    </row>
    <row r="951">
      <c r="I951" s="22">
        <f>IF($A951="","",'2_密度換算'!$C$12*(1-((G951+'2_密度換算'!$C$8)^2*(G951+'2_密度換算'!$C$9))/('2_密度換算'!$C$10*(G951+'2_密度換算'!$C$11)))/1000)</f>
        <v/>
      </c>
      <c r="J951" s="22">
        <f>IF($A951="","",1+'2_密度換算'!$C$6*(1/I951-1/'2_密度換算'!$C$7))</f>
        <v/>
      </c>
      <c r="K951" s="23">
        <f>IF($A951="","",E951*J951/I951)</f>
        <v/>
      </c>
    </row>
    <row r="952">
      <c r="I952" s="22">
        <f>IF($A952="","",'2_密度換算'!$C$12*(1-((G952+'2_密度換算'!$C$8)^2*(G952+'2_密度換算'!$C$9))/('2_密度換算'!$C$10*(G952+'2_密度換算'!$C$11)))/1000)</f>
        <v/>
      </c>
      <c r="J952" s="22">
        <f>IF($A952="","",1+'2_密度換算'!$C$6*(1/I952-1/'2_密度換算'!$C$7))</f>
        <v/>
      </c>
      <c r="K952" s="23">
        <f>IF($A952="","",E952*J952/I952)</f>
        <v/>
      </c>
    </row>
    <row r="953">
      <c r="I953" s="22">
        <f>IF($A953="","",'2_密度換算'!$C$12*(1-((G953+'2_密度換算'!$C$8)^2*(G953+'2_密度換算'!$C$9))/('2_密度換算'!$C$10*(G953+'2_密度換算'!$C$11)))/1000)</f>
        <v/>
      </c>
      <c r="J953" s="22">
        <f>IF($A953="","",1+'2_密度換算'!$C$6*(1/I953-1/'2_密度換算'!$C$7))</f>
        <v/>
      </c>
      <c r="K953" s="23">
        <f>IF($A953="","",E953*J953/I953)</f>
        <v/>
      </c>
    </row>
    <row r="954">
      <c r="I954" s="22">
        <f>IF($A954="","",'2_密度換算'!$C$12*(1-((G954+'2_密度換算'!$C$8)^2*(G954+'2_密度換算'!$C$9))/('2_密度換算'!$C$10*(G954+'2_密度換算'!$C$11)))/1000)</f>
        <v/>
      </c>
      <c r="J954" s="22">
        <f>IF($A954="","",1+'2_密度換算'!$C$6*(1/I954-1/'2_密度換算'!$C$7))</f>
        <v/>
      </c>
      <c r="K954" s="23">
        <f>IF($A954="","",E954*J954/I954)</f>
        <v/>
      </c>
    </row>
    <row r="955">
      <c r="I955" s="22">
        <f>IF($A955="","",'2_密度換算'!$C$12*(1-((G955+'2_密度換算'!$C$8)^2*(G955+'2_密度換算'!$C$9))/('2_密度換算'!$C$10*(G955+'2_密度換算'!$C$11)))/1000)</f>
        <v/>
      </c>
      <c r="J955" s="22">
        <f>IF($A955="","",1+'2_密度換算'!$C$6*(1/I955-1/'2_密度換算'!$C$7))</f>
        <v/>
      </c>
      <c r="K955" s="23">
        <f>IF($A955="","",E955*J955/I955)</f>
        <v/>
      </c>
    </row>
    <row r="956">
      <c r="I956" s="22">
        <f>IF($A956="","",'2_密度換算'!$C$12*(1-((G956+'2_密度換算'!$C$8)^2*(G956+'2_密度換算'!$C$9))/('2_密度換算'!$C$10*(G956+'2_密度換算'!$C$11)))/1000)</f>
        <v/>
      </c>
      <c r="J956" s="22">
        <f>IF($A956="","",1+'2_密度換算'!$C$6*(1/I956-1/'2_密度換算'!$C$7))</f>
        <v/>
      </c>
      <c r="K956" s="23">
        <f>IF($A956="","",E956*J956/I956)</f>
        <v/>
      </c>
    </row>
    <row r="957">
      <c r="I957" s="22">
        <f>IF($A957="","",'2_密度換算'!$C$12*(1-((G957+'2_密度換算'!$C$8)^2*(G957+'2_密度換算'!$C$9))/('2_密度換算'!$C$10*(G957+'2_密度換算'!$C$11)))/1000)</f>
        <v/>
      </c>
      <c r="J957" s="22">
        <f>IF($A957="","",1+'2_密度換算'!$C$6*(1/I957-1/'2_密度換算'!$C$7))</f>
        <v/>
      </c>
      <c r="K957" s="23">
        <f>IF($A957="","",E957*J957/I957)</f>
        <v/>
      </c>
    </row>
    <row r="958">
      <c r="I958" s="22">
        <f>IF($A958="","",'2_密度換算'!$C$12*(1-((G958+'2_密度換算'!$C$8)^2*(G958+'2_密度換算'!$C$9))/('2_密度換算'!$C$10*(G958+'2_密度換算'!$C$11)))/1000)</f>
        <v/>
      </c>
      <c r="J958" s="22">
        <f>IF($A958="","",1+'2_密度換算'!$C$6*(1/I958-1/'2_密度換算'!$C$7))</f>
        <v/>
      </c>
      <c r="K958" s="23">
        <f>IF($A958="","",E958*J958/I958)</f>
        <v/>
      </c>
    </row>
    <row r="959">
      <c r="I959" s="22">
        <f>IF($A959="","",'2_密度換算'!$C$12*(1-((G959+'2_密度換算'!$C$8)^2*(G959+'2_密度換算'!$C$9))/('2_密度換算'!$C$10*(G959+'2_密度換算'!$C$11)))/1000)</f>
        <v/>
      </c>
      <c r="J959" s="22">
        <f>IF($A959="","",1+'2_密度換算'!$C$6*(1/I959-1/'2_密度換算'!$C$7))</f>
        <v/>
      </c>
      <c r="K959" s="23">
        <f>IF($A959="","",E959*J959/I959)</f>
        <v/>
      </c>
    </row>
    <row r="960">
      <c r="I960" s="22">
        <f>IF($A960="","",'2_密度換算'!$C$12*(1-((G960+'2_密度換算'!$C$8)^2*(G960+'2_密度換算'!$C$9))/('2_密度換算'!$C$10*(G960+'2_密度換算'!$C$11)))/1000)</f>
        <v/>
      </c>
      <c r="J960" s="22">
        <f>IF($A960="","",1+'2_密度換算'!$C$6*(1/I960-1/'2_密度換算'!$C$7))</f>
        <v/>
      </c>
      <c r="K960" s="23">
        <f>IF($A960="","",E960*J960/I960)</f>
        <v/>
      </c>
    </row>
    <row r="961">
      <c r="I961" s="22">
        <f>IF($A961="","",'2_密度換算'!$C$12*(1-((G961+'2_密度換算'!$C$8)^2*(G961+'2_密度換算'!$C$9))/('2_密度換算'!$C$10*(G961+'2_密度換算'!$C$11)))/1000)</f>
        <v/>
      </c>
      <c r="J961" s="22">
        <f>IF($A961="","",1+'2_密度換算'!$C$6*(1/I961-1/'2_密度換算'!$C$7))</f>
        <v/>
      </c>
      <c r="K961" s="23">
        <f>IF($A961="","",E961*J961/I961)</f>
        <v/>
      </c>
    </row>
    <row r="962">
      <c r="I962" s="22">
        <f>IF($A962="","",'2_密度換算'!$C$12*(1-((G962+'2_密度換算'!$C$8)^2*(G962+'2_密度換算'!$C$9))/('2_密度換算'!$C$10*(G962+'2_密度換算'!$C$11)))/1000)</f>
        <v/>
      </c>
      <c r="J962" s="22">
        <f>IF($A962="","",1+'2_密度換算'!$C$6*(1/I962-1/'2_密度換算'!$C$7))</f>
        <v/>
      </c>
      <c r="K962" s="23">
        <f>IF($A962="","",E962*J962/I962)</f>
        <v/>
      </c>
    </row>
    <row r="963">
      <c r="I963" s="22">
        <f>IF($A963="","",'2_密度換算'!$C$12*(1-((G963+'2_密度換算'!$C$8)^2*(G963+'2_密度換算'!$C$9))/('2_密度換算'!$C$10*(G963+'2_密度換算'!$C$11)))/1000)</f>
        <v/>
      </c>
      <c r="J963" s="22">
        <f>IF($A963="","",1+'2_密度換算'!$C$6*(1/I963-1/'2_密度換算'!$C$7))</f>
        <v/>
      </c>
      <c r="K963" s="23">
        <f>IF($A963="","",E963*J963/I963)</f>
        <v/>
      </c>
    </row>
    <row r="964">
      <c r="I964" s="22">
        <f>IF($A964="","",'2_密度換算'!$C$12*(1-((G964+'2_密度換算'!$C$8)^2*(G964+'2_密度換算'!$C$9))/('2_密度換算'!$C$10*(G964+'2_密度換算'!$C$11)))/1000)</f>
        <v/>
      </c>
      <c r="J964" s="22">
        <f>IF($A964="","",1+'2_密度換算'!$C$6*(1/I964-1/'2_密度換算'!$C$7))</f>
        <v/>
      </c>
      <c r="K964" s="23">
        <f>IF($A964="","",E964*J964/I964)</f>
        <v/>
      </c>
    </row>
    <row r="965">
      <c r="I965" s="22">
        <f>IF($A965="","",'2_密度換算'!$C$12*(1-((G965+'2_密度換算'!$C$8)^2*(G965+'2_密度換算'!$C$9))/('2_密度換算'!$C$10*(G965+'2_密度換算'!$C$11)))/1000)</f>
        <v/>
      </c>
      <c r="J965" s="22">
        <f>IF($A965="","",1+'2_密度換算'!$C$6*(1/I965-1/'2_密度換算'!$C$7))</f>
        <v/>
      </c>
      <c r="K965" s="23">
        <f>IF($A965="","",E965*J965/I965)</f>
        <v/>
      </c>
    </row>
    <row r="966">
      <c r="I966" s="22">
        <f>IF($A966="","",'2_密度換算'!$C$12*(1-((G966+'2_密度換算'!$C$8)^2*(G966+'2_密度換算'!$C$9))/('2_密度換算'!$C$10*(G966+'2_密度換算'!$C$11)))/1000)</f>
        <v/>
      </c>
      <c r="J966" s="22">
        <f>IF($A966="","",1+'2_密度換算'!$C$6*(1/I966-1/'2_密度換算'!$C$7))</f>
        <v/>
      </c>
      <c r="K966" s="23">
        <f>IF($A966="","",E966*J966/I966)</f>
        <v/>
      </c>
    </row>
    <row r="967">
      <c r="I967" s="22">
        <f>IF($A967="","",'2_密度換算'!$C$12*(1-((G967+'2_密度換算'!$C$8)^2*(G967+'2_密度換算'!$C$9))/('2_密度換算'!$C$10*(G967+'2_密度換算'!$C$11)))/1000)</f>
        <v/>
      </c>
      <c r="J967" s="22">
        <f>IF($A967="","",1+'2_密度換算'!$C$6*(1/I967-1/'2_密度換算'!$C$7))</f>
        <v/>
      </c>
      <c r="K967" s="23">
        <f>IF($A967="","",E967*J967/I967)</f>
        <v/>
      </c>
    </row>
    <row r="968">
      <c r="I968" s="22">
        <f>IF($A968="","",'2_密度換算'!$C$12*(1-((G968+'2_密度換算'!$C$8)^2*(G968+'2_密度換算'!$C$9))/('2_密度換算'!$C$10*(G968+'2_密度換算'!$C$11)))/1000)</f>
        <v/>
      </c>
      <c r="J968" s="22">
        <f>IF($A968="","",1+'2_密度換算'!$C$6*(1/I968-1/'2_密度換算'!$C$7))</f>
        <v/>
      </c>
      <c r="K968" s="23">
        <f>IF($A968="","",E968*J968/I968)</f>
        <v/>
      </c>
    </row>
    <row r="969">
      <c r="I969" s="22">
        <f>IF($A969="","",'2_密度換算'!$C$12*(1-((G969+'2_密度換算'!$C$8)^2*(G969+'2_密度換算'!$C$9))/('2_密度換算'!$C$10*(G969+'2_密度換算'!$C$11)))/1000)</f>
        <v/>
      </c>
      <c r="J969" s="22">
        <f>IF($A969="","",1+'2_密度換算'!$C$6*(1/I969-1/'2_密度換算'!$C$7))</f>
        <v/>
      </c>
      <c r="K969" s="23">
        <f>IF($A969="","",E969*J969/I969)</f>
        <v/>
      </c>
    </row>
    <row r="970">
      <c r="I970" s="22">
        <f>IF($A970="","",'2_密度換算'!$C$12*(1-((G970+'2_密度換算'!$C$8)^2*(G970+'2_密度換算'!$C$9))/('2_密度換算'!$C$10*(G970+'2_密度換算'!$C$11)))/1000)</f>
        <v/>
      </c>
      <c r="J970" s="22">
        <f>IF($A970="","",1+'2_密度換算'!$C$6*(1/I970-1/'2_密度換算'!$C$7))</f>
        <v/>
      </c>
      <c r="K970" s="23">
        <f>IF($A970="","",E970*J970/I970)</f>
        <v/>
      </c>
    </row>
    <row r="971">
      <c r="I971" s="22">
        <f>IF($A971="","",'2_密度換算'!$C$12*(1-((G971+'2_密度換算'!$C$8)^2*(G971+'2_密度換算'!$C$9))/('2_密度換算'!$C$10*(G971+'2_密度換算'!$C$11)))/1000)</f>
        <v/>
      </c>
      <c r="J971" s="22">
        <f>IF($A971="","",1+'2_密度換算'!$C$6*(1/I971-1/'2_密度換算'!$C$7))</f>
        <v/>
      </c>
      <c r="K971" s="23">
        <f>IF($A971="","",E971*J971/I971)</f>
        <v/>
      </c>
    </row>
    <row r="972">
      <c r="I972" s="22">
        <f>IF($A972="","",'2_密度換算'!$C$12*(1-((G972+'2_密度換算'!$C$8)^2*(G972+'2_密度換算'!$C$9))/('2_密度換算'!$C$10*(G972+'2_密度換算'!$C$11)))/1000)</f>
        <v/>
      </c>
      <c r="J972" s="22">
        <f>IF($A972="","",1+'2_密度換算'!$C$6*(1/I972-1/'2_密度換算'!$C$7))</f>
        <v/>
      </c>
      <c r="K972" s="23">
        <f>IF($A972="","",E972*J972/I972)</f>
        <v/>
      </c>
    </row>
    <row r="973">
      <c r="I973" s="22">
        <f>IF($A973="","",'2_密度換算'!$C$12*(1-((G973+'2_密度換算'!$C$8)^2*(G973+'2_密度換算'!$C$9))/('2_密度換算'!$C$10*(G973+'2_密度換算'!$C$11)))/1000)</f>
        <v/>
      </c>
      <c r="J973" s="22">
        <f>IF($A973="","",1+'2_密度換算'!$C$6*(1/I973-1/'2_密度換算'!$C$7))</f>
        <v/>
      </c>
      <c r="K973" s="23">
        <f>IF($A973="","",E973*J973/I973)</f>
        <v/>
      </c>
    </row>
    <row r="974">
      <c r="I974" s="22">
        <f>IF($A974="","",'2_密度換算'!$C$12*(1-((G974+'2_密度換算'!$C$8)^2*(G974+'2_密度換算'!$C$9))/('2_密度換算'!$C$10*(G974+'2_密度換算'!$C$11)))/1000)</f>
        <v/>
      </c>
      <c r="J974" s="22">
        <f>IF($A974="","",1+'2_密度換算'!$C$6*(1/I974-1/'2_密度換算'!$C$7))</f>
        <v/>
      </c>
      <c r="K974" s="23">
        <f>IF($A974="","",E974*J974/I974)</f>
        <v/>
      </c>
    </row>
    <row r="975">
      <c r="I975" s="22">
        <f>IF($A975="","",'2_密度換算'!$C$12*(1-((G975+'2_密度換算'!$C$8)^2*(G975+'2_密度換算'!$C$9))/('2_密度換算'!$C$10*(G975+'2_密度換算'!$C$11)))/1000)</f>
        <v/>
      </c>
      <c r="J975" s="22">
        <f>IF($A975="","",1+'2_密度換算'!$C$6*(1/I975-1/'2_密度換算'!$C$7))</f>
        <v/>
      </c>
      <c r="K975" s="23">
        <f>IF($A975="","",E975*J975/I975)</f>
        <v/>
      </c>
    </row>
    <row r="976">
      <c r="I976" s="22">
        <f>IF($A976="","",'2_密度換算'!$C$12*(1-((G976+'2_密度換算'!$C$8)^2*(G976+'2_密度換算'!$C$9))/('2_密度換算'!$C$10*(G976+'2_密度換算'!$C$11)))/1000)</f>
        <v/>
      </c>
      <c r="J976" s="22">
        <f>IF($A976="","",1+'2_密度換算'!$C$6*(1/I976-1/'2_密度換算'!$C$7))</f>
        <v/>
      </c>
      <c r="K976" s="23">
        <f>IF($A976="","",E976*J976/I976)</f>
        <v/>
      </c>
    </row>
    <row r="977">
      <c r="I977" s="22">
        <f>IF($A977="","",'2_密度換算'!$C$12*(1-((G977+'2_密度換算'!$C$8)^2*(G977+'2_密度換算'!$C$9))/('2_密度換算'!$C$10*(G977+'2_密度換算'!$C$11)))/1000)</f>
        <v/>
      </c>
      <c r="J977" s="22">
        <f>IF($A977="","",1+'2_密度換算'!$C$6*(1/I977-1/'2_密度換算'!$C$7))</f>
        <v/>
      </c>
      <c r="K977" s="23">
        <f>IF($A977="","",E977*J977/I977)</f>
        <v/>
      </c>
    </row>
    <row r="978">
      <c r="I978" s="22">
        <f>IF($A978="","",'2_密度換算'!$C$12*(1-((G978+'2_密度換算'!$C$8)^2*(G978+'2_密度換算'!$C$9))/('2_密度換算'!$C$10*(G978+'2_密度換算'!$C$11)))/1000)</f>
        <v/>
      </c>
      <c r="J978" s="22">
        <f>IF($A978="","",1+'2_密度換算'!$C$6*(1/I978-1/'2_密度換算'!$C$7))</f>
        <v/>
      </c>
      <c r="K978" s="23">
        <f>IF($A978="","",E978*J978/I978)</f>
        <v/>
      </c>
    </row>
    <row r="979">
      <c r="I979" s="22">
        <f>IF($A979="","",'2_密度換算'!$C$12*(1-((G979+'2_密度換算'!$C$8)^2*(G979+'2_密度換算'!$C$9))/('2_密度換算'!$C$10*(G979+'2_密度換算'!$C$11)))/1000)</f>
        <v/>
      </c>
      <c r="J979" s="22">
        <f>IF($A979="","",1+'2_密度換算'!$C$6*(1/I979-1/'2_密度換算'!$C$7))</f>
        <v/>
      </c>
      <c r="K979" s="23">
        <f>IF($A979="","",E979*J979/I979)</f>
        <v/>
      </c>
    </row>
    <row r="980">
      <c r="I980" s="22">
        <f>IF($A980="","",'2_密度換算'!$C$12*(1-((G980+'2_密度換算'!$C$8)^2*(G980+'2_密度換算'!$C$9))/('2_密度換算'!$C$10*(G980+'2_密度換算'!$C$11)))/1000)</f>
        <v/>
      </c>
      <c r="J980" s="22">
        <f>IF($A980="","",1+'2_密度換算'!$C$6*(1/I980-1/'2_密度換算'!$C$7))</f>
        <v/>
      </c>
      <c r="K980" s="23">
        <f>IF($A980="","",E980*J980/I980)</f>
        <v/>
      </c>
    </row>
    <row r="981">
      <c r="I981" s="22">
        <f>IF($A981="","",'2_密度換算'!$C$12*(1-((G981+'2_密度換算'!$C$8)^2*(G981+'2_密度換算'!$C$9))/('2_密度換算'!$C$10*(G981+'2_密度換算'!$C$11)))/1000)</f>
        <v/>
      </c>
      <c r="J981" s="22">
        <f>IF($A981="","",1+'2_密度換算'!$C$6*(1/I981-1/'2_密度換算'!$C$7))</f>
        <v/>
      </c>
      <c r="K981" s="23">
        <f>IF($A981="","",E981*J981/I981)</f>
        <v/>
      </c>
    </row>
    <row r="982">
      <c r="I982" s="22">
        <f>IF($A982="","",'2_密度換算'!$C$12*(1-((G982+'2_密度換算'!$C$8)^2*(G982+'2_密度換算'!$C$9))/('2_密度換算'!$C$10*(G982+'2_密度換算'!$C$11)))/1000)</f>
        <v/>
      </c>
      <c r="J982" s="22">
        <f>IF($A982="","",1+'2_密度換算'!$C$6*(1/I982-1/'2_密度換算'!$C$7))</f>
        <v/>
      </c>
      <c r="K982" s="23">
        <f>IF($A982="","",E982*J982/I982)</f>
        <v/>
      </c>
    </row>
    <row r="983">
      <c r="I983" s="22">
        <f>IF($A983="","",'2_密度換算'!$C$12*(1-((G983+'2_密度換算'!$C$8)^2*(G983+'2_密度換算'!$C$9))/('2_密度換算'!$C$10*(G983+'2_密度換算'!$C$11)))/1000)</f>
        <v/>
      </c>
      <c r="J983" s="22">
        <f>IF($A983="","",1+'2_密度換算'!$C$6*(1/I983-1/'2_密度換算'!$C$7))</f>
        <v/>
      </c>
      <c r="K983" s="23">
        <f>IF($A983="","",E983*J983/I983)</f>
        <v/>
      </c>
    </row>
    <row r="984">
      <c r="I984" s="22">
        <f>IF($A984="","",'2_密度換算'!$C$12*(1-((G984+'2_密度換算'!$C$8)^2*(G984+'2_密度換算'!$C$9))/('2_密度換算'!$C$10*(G984+'2_密度換算'!$C$11)))/1000)</f>
        <v/>
      </c>
      <c r="J984" s="22">
        <f>IF($A984="","",1+'2_密度換算'!$C$6*(1/I984-1/'2_密度換算'!$C$7))</f>
        <v/>
      </c>
      <c r="K984" s="23">
        <f>IF($A984="","",E984*J984/I984)</f>
        <v/>
      </c>
    </row>
    <row r="985">
      <c r="I985" s="22">
        <f>IF($A985="","",'2_密度換算'!$C$12*(1-((G985+'2_密度換算'!$C$8)^2*(G985+'2_密度換算'!$C$9))/('2_密度換算'!$C$10*(G985+'2_密度換算'!$C$11)))/1000)</f>
        <v/>
      </c>
      <c r="J985" s="22">
        <f>IF($A985="","",1+'2_密度換算'!$C$6*(1/I985-1/'2_密度換算'!$C$7))</f>
        <v/>
      </c>
      <c r="K985" s="23">
        <f>IF($A985="","",E985*J985/I985)</f>
        <v/>
      </c>
    </row>
    <row r="986">
      <c r="I986" s="22">
        <f>IF($A986="","",'2_密度換算'!$C$12*(1-((G986+'2_密度換算'!$C$8)^2*(G986+'2_密度換算'!$C$9))/('2_密度換算'!$C$10*(G986+'2_密度換算'!$C$11)))/1000)</f>
        <v/>
      </c>
      <c r="J986" s="22">
        <f>IF($A986="","",1+'2_密度換算'!$C$6*(1/I986-1/'2_密度換算'!$C$7))</f>
        <v/>
      </c>
      <c r="K986" s="23">
        <f>IF($A986="","",E986*J986/I986)</f>
        <v/>
      </c>
    </row>
    <row r="987">
      <c r="I987" s="22">
        <f>IF($A987="","",'2_密度換算'!$C$12*(1-((G987+'2_密度換算'!$C$8)^2*(G987+'2_密度換算'!$C$9))/('2_密度換算'!$C$10*(G987+'2_密度換算'!$C$11)))/1000)</f>
        <v/>
      </c>
      <c r="J987" s="22">
        <f>IF($A987="","",1+'2_密度換算'!$C$6*(1/I987-1/'2_密度換算'!$C$7))</f>
        <v/>
      </c>
      <c r="K987" s="23">
        <f>IF($A987="","",E987*J987/I987)</f>
        <v/>
      </c>
    </row>
    <row r="988">
      <c r="I988" s="22">
        <f>IF($A988="","",'2_密度換算'!$C$12*(1-((G988+'2_密度換算'!$C$8)^2*(G988+'2_密度換算'!$C$9))/('2_密度換算'!$C$10*(G988+'2_密度換算'!$C$11)))/1000)</f>
        <v/>
      </c>
      <c r="J988" s="22">
        <f>IF($A988="","",1+'2_密度換算'!$C$6*(1/I988-1/'2_密度換算'!$C$7))</f>
        <v/>
      </c>
      <c r="K988" s="23">
        <f>IF($A988="","",E988*J988/I988)</f>
        <v/>
      </c>
    </row>
    <row r="989">
      <c r="I989" s="22">
        <f>IF($A989="","",'2_密度換算'!$C$12*(1-((G989+'2_密度換算'!$C$8)^2*(G989+'2_密度換算'!$C$9))/('2_密度換算'!$C$10*(G989+'2_密度換算'!$C$11)))/1000)</f>
        <v/>
      </c>
      <c r="J989" s="22">
        <f>IF($A989="","",1+'2_密度換算'!$C$6*(1/I989-1/'2_密度換算'!$C$7))</f>
        <v/>
      </c>
      <c r="K989" s="23">
        <f>IF($A989="","",E989*J989/I989)</f>
        <v/>
      </c>
    </row>
    <row r="990">
      <c r="I990" s="22">
        <f>IF($A990="","",'2_密度換算'!$C$12*(1-((G990+'2_密度換算'!$C$8)^2*(G990+'2_密度換算'!$C$9))/('2_密度換算'!$C$10*(G990+'2_密度換算'!$C$11)))/1000)</f>
        <v/>
      </c>
      <c r="J990" s="22">
        <f>IF($A990="","",1+'2_密度換算'!$C$6*(1/I990-1/'2_密度換算'!$C$7))</f>
        <v/>
      </c>
      <c r="K990" s="23">
        <f>IF($A990="","",E990*J990/I990)</f>
        <v/>
      </c>
    </row>
    <row r="991">
      <c r="I991" s="22">
        <f>IF($A991="","",'2_密度換算'!$C$12*(1-((G991+'2_密度換算'!$C$8)^2*(G991+'2_密度換算'!$C$9))/('2_密度換算'!$C$10*(G991+'2_密度換算'!$C$11)))/1000)</f>
        <v/>
      </c>
      <c r="J991" s="22">
        <f>IF($A991="","",1+'2_密度換算'!$C$6*(1/I991-1/'2_密度換算'!$C$7))</f>
        <v/>
      </c>
      <c r="K991" s="23">
        <f>IF($A991="","",E991*J991/I991)</f>
        <v/>
      </c>
    </row>
    <row r="992">
      <c r="I992" s="22">
        <f>IF($A992="","",'2_密度換算'!$C$12*(1-((G992+'2_密度換算'!$C$8)^2*(G992+'2_密度換算'!$C$9))/('2_密度換算'!$C$10*(G992+'2_密度換算'!$C$11)))/1000)</f>
        <v/>
      </c>
      <c r="J992" s="22">
        <f>IF($A992="","",1+'2_密度換算'!$C$6*(1/I992-1/'2_密度換算'!$C$7))</f>
        <v/>
      </c>
      <c r="K992" s="23">
        <f>IF($A992="","",E992*J992/I992)</f>
        <v/>
      </c>
    </row>
    <row r="993">
      <c r="I993" s="22">
        <f>IF($A993="","",'2_密度換算'!$C$12*(1-((G993+'2_密度換算'!$C$8)^2*(G993+'2_密度換算'!$C$9))/('2_密度換算'!$C$10*(G993+'2_密度換算'!$C$11)))/1000)</f>
        <v/>
      </c>
      <c r="J993" s="22">
        <f>IF($A993="","",1+'2_密度換算'!$C$6*(1/I993-1/'2_密度換算'!$C$7))</f>
        <v/>
      </c>
      <c r="K993" s="23">
        <f>IF($A993="","",E993*J993/I993)</f>
        <v/>
      </c>
    </row>
    <row r="994">
      <c r="I994" s="22">
        <f>IF($A994="","",'2_密度換算'!$C$12*(1-((G994+'2_密度換算'!$C$8)^2*(G994+'2_密度換算'!$C$9))/('2_密度換算'!$C$10*(G994+'2_密度換算'!$C$11)))/1000)</f>
        <v/>
      </c>
      <c r="J994" s="22">
        <f>IF($A994="","",1+'2_密度換算'!$C$6*(1/I994-1/'2_密度換算'!$C$7))</f>
        <v/>
      </c>
      <c r="K994" s="23">
        <f>IF($A994="","",E994*J994/I994)</f>
        <v/>
      </c>
    </row>
    <row r="995">
      <c r="I995" s="22">
        <f>IF($A995="","",'2_密度換算'!$C$12*(1-((G995+'2_密度換算'!$C$8)^2*(G995+'2_密度換算'!$C$9))/('2_密度換算'!$C$10*(G995+'2_密度換算'!$C$11)))/1000)</f>
        <v/>
      </c>
      <c r="J995" s="22">
        <f>IF($A995="","",1+'2_密度換算'!$C$6*(1/I995-1/'2_密度換算'!$C$7))</f>
        <v/>
      </c>
      <c r="K995" s="23">
        <f>IF($A995="","",E995*J995/I995)</f>
        <v/>
      </c>
    </row>
    <row r="996">
      <c r="I996" s="22">
        <f>IF($A996="","",'2_密度換算'!$C$12*(1-((G996+'2_密度換算'!$C$8)^2*(G996+'2_密度換算'!$C$9))/('2_密度換算'!$C$10*(G996+'2_密度換算'!$C$11)))/1000)</f>
        <v/>
      </c>
      <c r="J996" s="22">
        <f>IF($A996="","",1+'2_密度換算'!$C$6*(1/I996-1/'2_密度換算'!$C$7))</f>
        <v/>
      </c>
      <c r="K996" s="23">
        <f>IF($A996="","",E996*J996/I996)</f>
        <v/>
      </c>
    </row>
    <row r="997">
      <c r="I997" s="22">
        <f>IF($A997="","",'2_密度換算'!$C$12*(1-((G997+'2_密度換算'!$C$8)^2*(G997+'2_密度換算'!$C$9))/('2_密度換算'!$C$10*(G997+'2_密度換算'!$C$11)))/1000)</f>
        <v/>
      </c>
      <c r="J997" s="22">
        <f>IF($A997="","",1+'2_密度換算'!$C$6*(1/I997-1/'2_密度換算'!$C$7))</f>
        <v/>
      </c>
      <c r="K997" s="23">
        <f>IF($A997="","",E997*J997/I997)</f>
        <v/>
      </c>
    </row>
    <row r="998">
      <c r="I998" s="22">
        <f>IF($A998="","",'2_密度換算'!$C$12*(1-((G998+'2_密度換算'!$C$8)^2*(G998+'2_密度換算'!$C$9))/('2_密度換算'!$C$10*(G998+'2_密度換算'!$C$11)))/1000)</f>
        <v/>
      </c>
      <c r="J998" s="22">
        <f>IF($A998="","",1+'2_密度換算'!$C$6*(1/I998-1/'2_密度換算'!$C$7))</f>
        <v/>
      </c>
      <c r="K998" s="23">
        <f>IF($A998="","",E998*J998/I998)</f>
        <v/>
      </c>
    </row>
    <row r="999">
      <c r="I999" s="22">
        <f>IF($A999="","",'2_密度換算'!$C$12*(1-((G999+'2_密度換算'!$C$8)^2*(G999+'2_密度換算'!$C$9))/('2_密度換算'!$C$10*(G999+'2_密度換算'!$C$11)))/1000)</f>
        <v/>
      </c>
      <c r="J999" s="22">
        <f>IF($A999="","",1+'2_密度換算'!$C$6*(1/I999-1/'2_密度換算'!$C$7))</f>
        <v/>
      </c>
      <c r="K999" s="23">
        <f>IF($A999="","",E999*J999/I999)</f>
        <v/>
      </c>
    </row>
    <row r="1000">
      <c r="I1000" s="22">
        <f>IF($A1000="","",'2_密度換算'!$C$12*(1-((G1000+'2_密度換算'!$C$8)^2*(G1000+'2_密度換算'!$C$9))/('2_密度換算'!$C$10*(G1000+'2_密度換算'!$C$11)))/1000)</f>
        <v/>
      </c>
      <c r="J1000" s="22">
        <f>IF($A1000="","",1+'2_密度換算'!$C$6*(1/I1000-1/'2_密度換算'!$C$7))</f>
        <v/>
      </c>
      <c r="K1000" s="23">
        <f>IF($A1000="","",E1000*J1000/I1000)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F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B1" s="1" t="inlineStr">
        <is>
          <t>步驟 1　水的密度與空氣浮力校正</t>
        </is>
      </c>
    </row>
    <row r="2">
      <c r="B2" s="18" t="inlineStr">
        <is>
          <t>天平讀到的是「表觀質量」。先用水溫查水的密度，再做空氣浮力校正，才能換成真正的體積。</t>
        </is>
      </c>
    </row>
    <row r="4">
      <c r="B4" s="3" t="inlineStr">
        <is>
          <t>參數</t>
        </is>
      </c>
    </row>
    <row r="5">
      <c r="B5" s="9" t="inlineStr">
        <is>
          <t>參數</t>
        </is>
      </c>
      <c r="C5" s="9" t="inlineStr">
        <is>
          <t>數值</t>
        </is>
      </c>
      <c r="D5" s="9" t="inlineStr">
        <is>
          <t>單位</t>
        </is>
      </c>
    </row>
    <row r="6">
      <c r="B6" s="24" t="inlineStr">
        <is>
          <t>空氣密度 ρ_air</t>
        </is>
      </c>
      <c r="C6" s="5" t="n">
        <v>0.0012</v>
      </c>
      <c r="D6" s="24" t="inlineStr">
        <is>
          <t>g/mL</t>
        </is>
      </c>
      <c r="F6" s="18" t="inlineStr">
        <is>
          <t>ρ_air 與 ρ_weights 可以改（黃色），其他 Tanaka 係數請不要動。</t>
        </is>
      </c>
    </row>
    <row r="7">
      <c r="B7" s="24" t="inlineStr">
        <is>
          <t>砝碼密度 ρ_weights</t>
        </is>
      </c>
      <c r="C7" s="5" t="n">
        <v>8</v>
      </c>
      <c r="D7" s="24" t="inlineStr">
        <is>
          <t>g/mL</t>
        </is>
      </c>
    </row>
    <row r="8">
      <c r="B8" s="24" t="inlineStr">
        <is>
          <t>Tanaka a1</t>
        </is>
      </c>
      <c r="C8" s="5" t="n">
        <v>-3.983035</v>
      </c>
      <c r="D8" s="24" t="inlineStr">
        <is>
          <t>°C</t>
        </is>
      </c>
    </row>
    <row r="9">
      <c r="B9" s="24" t="inlineStr">
        <is>
          <t>Tanaka a2</t>
        </is>
      </c>
      <c r="C9" s="5" t="n">
        <v>301.797</v>
      </c>
      <c r="D9" s="24" t="inlineStr">
        <is>
          <t>°C</t>
        </is>
      </c>
    </row>
    <row r="10">
      <c r="B10" s="24" t="inlineStr">
        <is>
          <t>Tanaka a3</t>
        </is>
      </c>
      <c r="C10" s="5" t="n">
        <v>522528.9</v>
      </c>
      <c r="D10" s="24" t="inlineStr">
        <is>
          <t>°C²</t>
        </is>
      </c>
    </row>
    <row r="11">
      <c r="B11" s="24" t="inlineStr">
        <is>
          <t>Tanaka a4</t>
        </is>
      </c>
      <c r="C11" s="5" t="n">
        <v>69.34881</v>
      </c>
      <c r="D11" s="24" t="inlineStr">
        <is>
          <t>°C</t>
        </is>
      </c>
    </row>
    <row r="12">
      <c r="B12" s="24" t="inlineStr">
        <is>
          <t>Tanaka a5</t>
        </is>
      </c>
      <c r="C12" s="5" t="n">
        <v>999.97495</v>
      </c>
      <c r="D12" s="24" t="inlineStr">
        <is>
          <t>kg/m³</t>
        </is>
      </c>
    </row>
    <row r="15">
      <c r="B15" s="3" t="inlineStr">
        <is>
          <t>公式</t>
        </is>
      </c>
    </row>
    <row r="16">
      <c r="B16" s="25" t="inlineStr">
        <is>
          <t>水的密度（Tanaka 2001）</t>
        </is>
      </c>
      <c r="C16" s="6" t="inlineStr">
        <is>
          <t>ρw = a5 × [1 − (t + a1)²(t + a2) / (a3 (t + a4))] ÷ 1000　（g/mL）</t>
        </is>
      </c>
    </row>
    <row r="17">
      <c r="B17" s="25" t="inlineStr">
        <is>
          <t>浮力校正因子</t>
        </is>
      </c>
      <c r="C17" s="6" t="inlineStr">
        <is>
          <t>factor = 1 + ρ_air × (1/ρw − 1/ρ_weights)　（約 1.00105）</t>
        </is>
      </c>
    </row>
    <row r="18">
      <c r="B18" s="25" t="inlineStr">
        <is>
          <t>真實體積</t>
        </is>
      </c>
      <c r="C18" s="6" t="inlineStr">
        <is>
          <t>V = 表觀質量 × factor ÷ ρw</t>
        </is>
      </c>
    </row>
    <row r="20">
      <c r="B20" s="3" t="inlineStr">
        <is>
          <t>密度對照表（20–30 °C）</t>
        </is>
      </c>
    </row>
    <row r="21">
      <c r="B21" s="9" t="inlineStr">
        <is>
          <t>水溫 (°C)</t>
        </is>
      </c>
      <c r="C21" s="9" t="inlineStr">
        <is>
          <t>密度 ρw (g/mL)</t>
        </is>
      </c>
      <c r="D21" s="9" t="inlineStr">
        <is>
          <t>浮力因子</t>
        </is>
      </c>
      <c r="E21" s="9" t="inlineStr">
        <is>
          <t>1 °C 密度變化 (%)</t>
        </is>
      </c>
    </row>
    <row r="22">
      <c r="B22" s="5" t="n">
        <v>20</v>
      </c>
      <c r="C22" s="11">
        <f>'2_密度換算'!$C$12*(1-((B22+'2_密度換算'!$C$8)^2*(B22+'2_密度換算'!$C$9))/('2_密度換算'!$C$10*(B22+'2_密度換算'!$C$11)))/1000</f>
        <v/>
      </c>
      <c r="D22" s="11">
        <f>1+'2_密度換算'!$C$6*(1/C22-1/'2_密度換算'!$C$7)</f>
        <v/>
      </c>
      <c r="F22" s="18" t="inlineStr">
        <is>
          <t>觀察：溫度每升高 1 °C，密度下降約 0.02–0.03%。水溫記錄錯誤會直接變成體積誤差。</t>
        </is>
      </c>
    </row>
    <row r="23">
      <c r="B23" s="5" t="n">
        <v>21</v>
      </c>
      <c r="C23" s="11">
        <f>'2_密度換算'!$C$12*(1-((B23+'2_密度換算'!$C$8)^2*(B23+'2_密度換算'!$C$9))/('2_密度換算'!$C$10*(B23+'2_密度換算'!$C$11)))/1000</f>
        <v/>
      </c>
      <c r="D23" s="11">
        <f>1+'2_密度換算'!$C$6*(1/C23-1/'2_密度換算'!$C$7)</f>
        <v/>
      </c>
      <c r="E23" s="14">
        <f>(C23-C22)/C22*100</f>
        <v/>
      </c>
    </row>
    <row r="24">
      <c r="B24" s="5" t="n">
        <v>22</v>
      </c>
      <c r="C24" s="11">
        <f>'2_密度換算'!$C$12*(1-((B24+'2_密度換算'!$C$8)^2*(B24+'2_密度換算'!$C$9))/('2_密度換算'!$C$10*(B24+'2_密度換算'!$C$11)))/1000</f>
        <v/>
      </c>
      <c r="D24" s="11">
        <f>1+'2_密度換算'!$C$6*(1/C24-1/'2_密度換算'!$C$7)</f>
        <v/>
      </c>
      <c r="E24" s="14">
        <f>(C24-C23)/C23*100</f>
        <v/>
      </c>
    </row>
    <row r="25">
      <c r="B25" s="5" t="n">
        <v>23</v>
      </c>
      <c r="C25" s="11">
        <f>'2_密度換算'!$C$12*(1-((B25+'2_密度換算'!$C$8)^2*(B25+'2_密度換算'!$C$9))/('2_密度換算'!$C$10*(B25+'2_密度換算'!$C$11)))/1000</f>
        <v/>
      </c>
      <c r="D25" s="11">
        <f>1+'2_密度換算'!$C$6*(1/C25-1/'2_密度換算'!$C$7)</f>
        <v/>
      </c>
      <c r="E25" s="14">
        <f>(C25-C24)/C24*100</f>
        <v/>
      </c>
    </row>
    <row r="26">
      <c r="B26" s="5" t="n">
        <v>24</v>
      </c>
      <c r="C26" s="11">
        <f>'2_密度換算'!$C$12*(1-((B26+'2_密度換算'!$C$8)^2*(B26+'2_密度換算'!$C$9))/('2_密度換算'!$C$10*(B26+'2_密度換算'!$C$11)))/1000</f>
        <v/>
      </c>
      <c r="D26" s="11">
        <f>1+'2_密度換算'!$C$6*(1/C26-1/'2_密度換算'!$C$7)</f>
        <v/>
      </c>
      <c r="E26" s="14">
        <f>(C26-C25)/C25*100</f>
        <v/>
      </c>
    </row>
    <row r="27">
      <c r="B27" s="5" t="n">
        <v>25</v>
      </c>
      <c r="C27" s="11">
        <f>'2_密度換算'!$C$12*(1-((B27+'2_密度換算'!$C$8)^2*(B27+'2_密度換算'!$C$9))/('2_密度換算'!$C$10*(B27+'2_密度換算'!$C$11)))/1000</f>
        <v/>
      </c>
      <c r="D27" s="11">
        <f>1+'2_密度換算'!$C$6*(1/C27-1/'2_密度換算'!$C$7)</f>
        <v/>
      </c>
      <c r="E27" s="14">
        <f>(C27-C26)/C26*100</f>
        <v/>
      </c>
    </row>
    <row r="28">
      <c r="B28" s="5" t="n">
        <v>26</v>
      </c>
      <c r="C28" s="11">
        <f>'2_密度換算'!$C$12*(1-((B28+'2_密度換算'!$C$8)^2*(B28+'2_密度換算'!$C$9))/('2_密度換算'!$C$10*(B28+'2_密度換算'!$C$11)))/1000</f>
        <v/>
      </c>
      <c r="D28" s="11">
        <f>1+'2_密度換算'!$C$6*(1/C28-1/'2_密度換算'!$C$7)</f>
        <v/>
      </c>
      <c r="E28" s="14">
        <f>(C28-C27)/C27*100</f>
        <v/>
      </c>
    </row>
    <row r="29">
      <c r="B29" s="5" t="n">
        <v>27</v>
      </c>
      <c r="C29" s="11">
        <f>'2_密度換算'!$C$12*(1-((B29+'2_密度換算'!$C$8)^2*(B29+'2_密度換算'!$C$9))/('2_密度換算'!$C$10*(B29+'2_密度換算'!$C$11)))/1000</f>
        <v/>
      </c>
      <c r="D29" s="11">
        <f>1+'2_密度換算'!$C$6*(1/C29-1/'2_密度換算'!$C$7)</f>
        <v/>
      </c>
      <c r="E29" s="14">
        <f>(C29-C28)/C28*100</f>
        <v/>
      </c>
    </row>
    <row r="30">
      <c r="B30" s="5" t="n">
        <v>28</v>
      </c>
      <c r="C30" s="11">
        <f>'2_密度換算'!$C$12*(1-((B30+'2_密度換算'!$C$8)^2*(B30+'2_密度換算'!$C$9))/('2_密度換算'!$C$10*(B30+'2_密度換算'!$C$11)))/1000</f>
        <v/>
      </c>
      <c r="D30" s="11">
        <f>1+'2_密度換算'!$C$6*(1/C30-1/'2_密度換算'!$C$7)</f>
        <v/>
      </c>
      <c r="E30" s="14">
        <f>(C30-C29)/C29*100</f>
        <v/>
      </c>
    </row>
    <row r="31">
      <c r="B31" s="5" t="n">
        <v>29</v>
      </c>
      <c r="C31" s="11">
        <f>'2_密度換算'!$C$12*(1-((B31+'2_密度換算'!$C$8)^2*(B31+'2_密度換算'!$C$9))/('2_密度換算'!$C$10*(B31+'2_密度換算'!$C$11)))/1000</f>
        <v/>
      </c>
      <c r="D31" s="11">
        <f>1+'2_密度換算'!$C$6*(1/C31-1/'2_密度換算'!$C$7)</f>
        <v/>
      </c>
      <c r="E31" s="14">
        <f>(C31-C30)/C30*100</f>
        <v/>
      </c>
    </row>
    <row r="32">
      <c r="B32" s="5" t="n">
        <v>30</v>
      </c>
      <c r="C32" s="11">
        <f>'2_密度換算'!$C$12*(1-((B32+'2_密度換算'!$C$8)^2*(B32+'2_密度換算'!$C$9))/('2_密度換算'!$C$10*(B32+'2_密度換算'!$C$11)))/1000</f>
        <v/>
      </c>
      <c r="D32" s="11">
        <f>1+'2_密度換算'!$C$6*(1/C32-1/'2_密度換算'!$C$7)</f>
        <v/>
      </c>
      <c r="E32" s="14">
        <f>(C32-C31)/C31*100</f>
        <v/>
      </c>
    </row>
    <row r="35">
      <c r="B35" s="3" t="inlineStr">
        <is>
          <t>自我檢查：9.9700 g、25 °C 的水是多少 mL？</t>
        </is>
      </c>
    </row>
    <row r="36">
      <c r="B36" s="24" t="inlineStr">
        <is>
          <t>表觀質量 (g)</t>
        </is>
      </c>
      <c r="C36" s="5" t="n">
        <v>9.970000000000001</v>
      </c>
    </row>
    <row r="37">
      <c r="B37" s="24" t="inlineStr">
        <is>
          <t>水溫 (°C)</t>
        </is>
      </c>
      <c r="C37" s="5" t="n">
        <v>25</v>
      </c>
    </row>
    <row r="38">
      <c r="B38" s="24" t="inlineStr">
        <is>
          <t>ρw (g/mL)</t>
        </is>
      </c>
      <c r="C38" s="11">
        <f>'2_密度換算'!$C$12*(1-((C37+'2_密度換算'!$C$8)^2*(C37+'2_密度換算'!$C$9))/('2_密度換算'!$C$10*(C37+'2_密度換算'!$C$11)))/1000</f>
        <v/>
      </c>
      <c r="D38" s="18" t="inlineStr">
        <is>
          <t>應約為 0.997047</t>
        </is>
      </c>
    </row>
    <row r="39">
      <c r="B39" s="24" t="inlineStr">
        <is>
          <t>浮力因子</t>
        </is>
      </c>
      <c r="C39" s="11">
        <f>1+'2_密度換算'!$C$6*(1/C38-1/'2_密度換算'!$C$7)</f>
        <v/>
      </c>
      <c r="D39" s="18" t="inlineStr">
        <is>
          <t>應約為 1.00105</t>
        </is>
      </c>
    </row>
    <row r="40">
      <c r="B40" s="24" t="inlineStr">
        <is>
          <t>真實體積 (mL)</t>
        </is>
      </c>
      <c r="C40" s="26">
        <f>C36*C39/C38</f>
        <v/>
      </c>
      <c r="D40" s="18" t="inlineStr">
        <is>
          <t>應接近 10.00 mL</t>
        </is>
      </c>
    </row>
    <row r="41">
      <c r="B41" s="24" t="inlineStr">
        <is>
          <t>與 10.00 mL 的差 (mL)</t>
        </is>
      </c>
      <c r="C41" s="11">
        <f>C40-10</f>
        <v/>
      </c>
    </row>
  </sheetData>
  <mergeCells count="7">
    <mergeCell ref="D38:F38"/>
    <mergeCell ref="C18:F18"/>
    <mergeCell ref="C17:F17"/>
    <mergeCell ref="B2:F2"/>
    <mergeCell ref="D40:F40"/>
    <mergeCell ref="C16:F16"/>
    <mergeCell ref="D39:F39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AF8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5" customWidth="1" min="16" max="16"/>
    <col width="11" customWidth="1" min="17" max="17"/>
    <col width="10" customWidth="1" min="18" max="18"/>
    <col width="9" customWidth="1" min="19" max="19"/>
    <col width="9" customWidth="1" min="20" max="20"/>
    <col width="11" customWidth="1" min="21" max="21"/>
    <col width="10" customWidth="1" min="22" max="22"/>
    <col width="8" customWidth="1" min="23" max="23"/>
    <col width="8" customWidth="1" min="24" max="24"/>
    <col width="20" customWidth="1" min="25" max="25"/>
    <col width="22" customWidth="1" min="26" max="26"/>
  </cols>
  <sheetData>
    <row r="1">
      <c r="A1" s="1" t="inlineStr">
        <is>
          <t>步驟 2　每位同學的平均、SD、RSD、95% 信賴區間與偏差</t>
        </is>
      </c>
    </row>
    <row r="2" ht="32" customHeight="1">
      <c r="A2" s="18" t="inlineStr">
        <is>
          <t>每一列是一位同學 × 一種器具。F–O 欄用 SUMIFS 從原始數據把 10 次重複的體積抓過來，後面的統計量都是一般 Excel 函式。換成班級數據時，只要改 A–C 欄（黃色）的組別、學生代號與器具。</t>
        </is>
      </c>
    </row>
    <row r="3">
      <c r="AB3" s="2" t="inlineStr">
        <is>
          <t>圖用輔助數據（公差線、精密度門檻線，自動計算）</t>
        </is>
      </c>
    </row>
    <row r="4" ht="32" customHeight="1">
      <c r="A4" s="9" t="inlineStr">
        <is>
          <t>組別</t>
        </is>
      </c>
      <c r="B4" s="9" t="inlineStr">
        <is>
          <t>學生</t>
        </is>
      </c>
      <c r="C4" s="9" t="inlineStr">
        <is>
          <t>器具</t>
        </is>
      </c>
      <c r="D4" s="9" t="inlineStr">
        <is>
          <t>標稱值 (mL)</t>
        </is>
      </c>
      <c r="E4" s="9" t="inlineStr">
        <is>
          <t>公差 (mL)</t>
        </is>
      </c>
      <c r="F4" s="9" t="inlineStr">
        <is>
          <t>第1次</t>
        </is>
      </c>
      <c r="G4" s="9" t="inlineStr">
        <is>
          <t>第2次</t>
        </is>
      </c>
      <c r="H4" s="9" t="inlineStr">
        <is>
          <t>第3次</t>
        </is>
      </c>
      <c r="I4" s="9" t="inlineStr">
        <is>
          <t>第4次</t>
        </is>
      </c>
      <c r="J4" s="9" t="inlineStr">
        <is>
          <t>第5次</t>
        </is>
      </c>
      <c r="K4" s="9" t="inlineStr">
        <is>
          <t>第6次</t>
        </is>
      </c>
      <c r="L4" s="9" t="inlineStr">
        <is>
          <t>第7次</t>
        </is>
      </c>
      <c r="M4" s="9" t="inlineStr">
        <is>
          <t>第8次</t>
        </is>
      </c>
      <c r="N4" s="9" t="inlineStr">
        <is>
          <t>第9次</t>
        </is>
      </c>
      <c r="O4" s="9" t="inlineStr">
        <is>
          <t>第10次</t>
        </is>
      </c>
      <c r="P4" s="9" t="inlineStr">
        <is>
          <t>n</t>
        </is>
      </c>
      <c r="Q4" s="9" t="inlineStr">
        <is>
          <t>平均 (mL)</t>
        </is>
      </c>
      <c r="R4" s="9" t="inlineStr">
        <is>
          <t>SD (mL)</t>
        </is>
      </c>
      <c r="S4" s="9" t="inlineStr">
        <is>
          <t>RSD (%)</t>
        </is>
      </c>
      <c r="T4" s="9" t="inlineStr">
        <is>
          <t>t 臨界值</t>
        </is>
      </c>
      <c r="U4" s="9" t="inlineStr">
        <is>
          <t>95% CI 半寬</t>
        </is>
      </c>
      <c r="V4" s="9" t="inlineStr">
        <is>
          <t>偏差 bias</t>
        </is>
      </c>
      <c r="W4" s="9" t="inlineStr">
        <is>
          <t>準確？</t>
        </is>
      </c>
      <c r="X4" s="9" t="inlineStr">
        <is>
          <t>精密？</t>
        </is>
      </c>
      <c r="Y4" s="9" t="inlineStr">
        <is>
          <t>分類</t>
        </is>
      </c>
      <c r="Z4" s="9" t="inlineStr">
        <is>
          <t>報告寫法</t>
        </is>
      </c>
      <c r="AB4" s="9" t="inlineStr">
        <is>
          <t>pip x</t>
        </is>
      </c>
      <c r="AC4" s="9" t="inlineStr">
        <is>
          <t>y</t>
        </is>
      </c>
      <c r="AE4" s="9" t="inlineStr">
        <is>
          <t>bur x</t>
        </is>
      </c>
      <c r="AF4" s="9" t="inlineStr">
        <is>
          <t>y</t>
        </is>
      </c>
    </row>
    <row r="5">
      <c r="A5" s="5" t="n">
        <v>1</v>
      </c>
      <c r="B5" s="5" t="inlineStr">
        <is>
          <t>G1_S1</t>
        </is>
      </c>
      <c r="C5" s="5" t="inlineStr">
        <is>
          <t>pipette_10mL</t>
        </is>
      </c>
      <c r="D5" s="27">
        <f>IF(C5="pipette_10mL",10,IF(C5="burette_25mL",25,""))</f>
        <v/>
      </c>
      <c r="E5" s="27">
        <f>IF(C5="pipette_10mL",0.02,IF(C5="burette_25mL",0.05,""))</f>
        <v/>
      </c>
      <c r="F5" s="14">
        <f>IF(COUNTIFS('1_原始數據'!$B$2:$B$1000,$B5,'1_原始數據'!$C$2:$C$1000,$C5,'1_原始數據'!$D$2:$D$1000,1)=0,"",SUMIFS('1_原始數據'!$K$2:$K$1000,'1_原始數據'!$B$2:$B$1000,$B5,'1_原始數據'!$C$2:$C$1000,$C5,'1_原始數據'!$D$2:$D$1000,1))</f>
        <v/>
      </c>
      <c r="G5" s="14">
        <f>IF(COUNTIFS('1_原始數據'!$B$2:$B$1000,$B5,'1_原始數據'!$C$2:$C$1000,$C5,'1_原始數據'!$D$2:$D$1000,2)=0,"",SUMIFS('1_原始數據'!$K$2:$K$1000,'1_原始數據'!$B$2:$B$1000,$B5,'1_原始數據'!$C$2:$C$1000,$C5,'1_原始數據'!$D$2:$D$1000,2))</f>
        <v/>
      </c>
      <c r="H5" s="14">
        <f>IF(COUNTIFS('1_原始數據'!$B$2:$B$1000,$B5,'1_原始數據'!$C$2:$C$1000,$C5,'1_原始數據'!$D$2:$D$1000,3)=0,"",SUMIFS('1_原始數據'!$K$2:$K$1000,'1_原始數據'!$B$2:$B$1000,$B5,'1_原始數據'!$C$2:$C$1000,$C5,'1_原始數據'!$D$2:$D$1000,3))</f>
        <v/>
      </c>
      <c r="I5" s="14">
        <f>IF(COUNTIFS('1_原始數據'!$B$2:$B$1000,$B5,'1_原始數據'!$C$2:$C$1000,$C5,'1_原始數據'!$D$2:$D$1000,4)=0,"",SUMIFS('1_原始數據'!$K$2:$K$1000,'1_原始數據'!$B$2:$B$1000,$B5,'1_原始數據'!$C$2:$C$1000,$C5,'1_原始數據'!$D$2:$D$1000,4))</f>
        <v/>
      </c>
      <c r="J5" s="14">
        <f>IF(COUNTIFS('1_原始數據'!$B$2:$B$1000,$B5,'1_原始數據'!$C$2:$C$1000,$C5,'1_原始數據'!$D$2:$D$1000,5)=0,"",SUMIFS('1_原始數據'!$K$2:$K$1000,'1_原始數據'!$B$2:$B$1000,$B5,'1_原始數據'!$C$2:$C$1000,$C5,'1_原始數據'!$D$2:$D$1000,5))</f>
        <v/>
      </c>
      <c r="K5" s="14">
        <f>IF(COUNTIFS('1_原始數據'!$B$2:$B$1000,$B5,'1_原始數據'!$C$2:$C$1000,$C5,'1_原始數據'!$D$2:$D$1000,6)=0,"",SUMIFS('1_原始數據'!$K$2:$K$1000,'1_原始數據'!$B$2:$B$1000,$B5,'1_原始數據'!$C$2:$C$1000,$C5,'1_原始數據'!$D$2:$D$1000,6))</f>
        <v/>
      </c>
      <c r="L5" s="14">
        <f>IF(COUNTIFS('1_原始數據'!$B$2:$B$1000,$B5,'1_原始數據'!$C$2:$C$1000,$C5,'1_原始數據'!$D$2:$D$1000,7)=0,"",SUMIFS('1_原始數據'!$K$2:$K$1000,'1_原始數據'!$B$2:$B$1000,$B5,'1_原始數據'!$C$2:$C$1000,$C5,'1_原始數據'!$D$2:$D$1000,7))</f>
        <v/>
      </c>
      <c r="M5" s="14">
        <f>IF(COUNTIFS('1_原始數據'!$B$2:$B$1000,$B5,'1_原始數據'!$C$2:$C$1000,$C5,'1_原始數據'!$D$2:$D$1000,8)=0,"",SUMIFS('1_原始數據'!$K$2:$K$1000,'1_原始數據'!$B$2:$B$1000,$B5,'1_原始數據'!$C$2:$C$1000,$C5,'1_原始數據'!$D$2:$D$1000,8))</f>
        <v/>
      </c>
      <c r="N5" s="14">
        <f>IF(COUNTIFS('1_原始數據'!$B$2:$B$1000,$B5,'1_原始數據'!$C$2:$C$1000,$C5,'1_原始數據'!$D$2:$D$1000,9)=0,"",SUMIFS('1_原始數據'!$K$2:$K$1000,'1_原始數據'!$B$2:$B$1000,$B5,'1_原始數據'!$C$2:$C$1000,$C5,'1_原始數據'!$D$2:$D$1000,9))</f>
        <v/>
      </c>
      <c r="O5" s="14">
        <f>IF(COUNTIFS('1_原始數據'!$B$2:$B$1000,$B5,'1_原始數據'!$C$2:$C$1000,$C5,'1_原始數據'!$D$2:$D$1000,10)=0,"",SUMIFS('1_原始數據'!$K$2:$K$1000,'1_原始數據'!$B$2:$B$1000,$B5,'1_原始數據'!$C$2:$C$1000,$C5,'1_原始數據'!$D$2:$D$1000,10))</f>
        <v/>
      </c>
      <c r="P5" s="28">
        <f>COUNT(F5:O5)</f>
        <v/>
      </c>
      <c r="Q5" s="29">
        <f>AVERAGE(F5:O5)</f>
        <v/>
      </c>
      <c r="R5" s="29">
        <f>_xlfn.STDEV.S(F5:O5)</f>
        <v/>
      </c>
      <c r="S5" s="16">
        <f>R5/Q5*100</f>
        <v/>
      </c>
      <c r="T5" s="16">
        <f>_xlfn.T.INV.2T(0.05,P5-1)</f>
        <v/>
      </c>
      <c r="U5" s="29">
        <f>T5*R5/SQRT(P5)</f>
        <v/>
      </c>
      <c r="V5" s="30">
        <f>Q5-D5</f>
        <v/>
      </c>
      <c r="W5" s="13">
        <f>IF(ABS(V5)&lt;=E5,"是","否")</f>
        <v/>
      </c>
      <c r="X5" s="13">
        <f>IF(R5&lt;=E5/2,"是","否")</f>
        <v/>
      </c>
      <c r="Y5" s="13">
        <f>IF(W5="是",IF(X5="是","準確且精密","準確但不精密"),IF(X5="是","精密但不準確","不準確且不精密"))</f>
        <v/>
      </c>
      <c r="Z5" s="13">
        <f>FIXED(Q5,MAX(0,1-INT(LOG10(ABS(U5)))))&amp;" ± "&amp;FIXED(U5,MAX(0,1-INT(LOG10(ABS(U5)))))&amp;" mL"</f>
        <v/>
      </c>
      <c r="AB5" s="16">
        <f>-E5</f>
        <v/>
      </c>
      <c r="AC5" s="16">
        <f>0</f>
        <v/>
      </c>
      <c r="AE5" s="16">
        <f>-E20</f>
        <v/>
      </c>
      <c r="AF5" s="16">
        <f>0</f>
        <v/>
      </c>
    </row>
    <row r="6">
      <c r="A6" s="5" t="n">
        <v>1</v>
      </c>
      <c r="B6" s="5" t="inlineStr">
        <is>
          <t>G1_S2</t>
        </is>
      </c>
      <c r="C6" s="5" t="inlineStr">
        <is>
          <t>pipette_10mL</t>
        </is>
      </c>
      <c r="D6" s="27">
        <f>IF(C6="pipette_10mL",10,IF(C6="burette_25mL",25,""))</f>
        <v/>
      </c>
      <c r="E6" s="27">
        <f>IF(C6="pipette_10mL",0.02,IF(C6="burette_25mL",0.05,""))</f>
        <v/>
      </c>
      <c r="F6" s="14">
        <f>IF(COUNTIFS('1_原始數據'!$B$2:$B$1000,$B6,'1_原始數據'!$C$2:$C$1000,$C6,'1_原始數據'!$D$2:$D$1000,1)=0,"",SUMIFS('1_原始數據'!$K$2:$K$1000,'1_原始數據'!$B$2:$B$1000,$B6,'1_原始數據'!$C$2:$C$1000,$C6,'1_原始數據'!$D$2:$D$1000,1))</f>
        <v/>
      </c>
      <c r="G6" s="14">
        <f>IF(COUNTIFS('1_原始數據'!$B$2:$B$1000,$B6,'1_原始數據'!$C$2:$C$1000,$C6,'1_原始數據'!$D$2:$D$1000,2)=0,"",SUMIFS('1_原始數據'!$K$2:$K$1000,'1_原始數據'!$B$2:$B$1000,$B6,'1_原始數據'!$C$2:$C$1000,$C6,'1_原始數據'!$D$2:$D$1000,2))</f>
        <v/>
      </c>
      <c r="H6" s="14">
        <f>IF(COUNTIFS('1_原始數據'!$B$2:$B$1000,$B6,'1_原始數據'!$C$2:$C$1000,$C6,'1_原始數據'!$D$2:$D$1000,3)=0,"",SUMIFS('1_原始數據'!$K$2:$K$1000,'1_原始數據'!$B$2:$B$1000,$B6,'1_原始數據'!$C$2:$C$1000,$C6,'1_原始數據'!$D$2:$D$1000,3))</f>
        <v/>
      </c>
      <c r="I6" s="14">
        <f>IF(COUNTIFS('1_原始數據'!$B$2:$B$1000,$B6,'1_原始數據'!$C$2:$C$1000,$C6,'1_原始數據'!$D$2:$D$1000,4)=0,"",SUMIFS('1_原始數據'!$K$2:$K$1000,'1_原始數據'!$B$2:$B$1000,$B6,'1_原始數據'!$C$2:$C$1000,$C6,'1_原始數據'!$D$2:$D$1000,4))</f>
        <v/>
      </c>
      <c r="J6" s="14">
        <f>IF(COUNTIFS('1_原始數據'!$B$2:$B$1000,$B6,'1_原始數據'!$C$2:$C$1000,$C6,'1_原始數據'!$D$2:$D$1000,5)=0,"",SUMIFS('1_原始數據'!$K$2:$K$1000,'1_原始數據'!$B$2:$B$1000,$B6,'1_原始數據'!$C$2:$C$1000,$C6,'1_原始數據'!$D$2:$D$1000,5))</f>
        <v/>
      </c>
      <c r="K6" s="14">
        <f>IF(COUNTIFS('1_原始數據'!$B$2:$B$1000,$B6,'1_原始數據'!$C$2:$C$1000,$C6,'1_原始數據'!$D$2:$D$1000,6)=0,"",SUMIFS('1_原始數據'!$K$2:$K$1000,'1_原始數據'!$B$2:$B$1000,$B6,'1_原始數據'!$C$2:$C$1000,$C6,'1_原始數據'!$D$2:$D$1000,6))</f>
        <v/>
      </c>
      <c r="L6" s="14">
        <f>IF(COUNTIFS('1_原始數據'!$B$2:$B$1000,$B6,'1_原始數據'!$C$2:$C$1000,$C6,'1_原始數據'!$D$2:$D$1000,7)=0,"",SUMIFS('1_原始數據'!$K$2:$K$1000,'1_原始數據'!$B$2:$B$1000,$B6,'1_原始數據'!$C$2:$C$1000,$C6,'1_原始數據'!$D$2:$D$1000,7))</f>
        <v/>
      </c>
      <c r="M6" s="14">
        <f>IF(COUNTIFS('1_原始數據'!$B$2:$B$1000,$B6,'1_原始數據'!$C$2:$C$1000,$C6,'1_原始數據'!$D$2:$D$1000,8)=0,"",SUMIFS('1_原始數據'!$K$2:$K$1000,'1_原始數據'!$B$2:$B$1000,$B6,'1_原始數據'!$C$2:$C$1000,$C6,'1_原始數據'!$D$2:$D$1000,8))</f>
        <v/>
      </c>
      <c r="N6" s="14">
        <f>IF(COUNTIFS('1_原始數據'!$B$2:$B$1000,$B6,'1_原始數據'!$C$2:$C$1000,$C6,'1_原始數據'!$D$2:$D$1000,9)=0,"",SUMIFS('1_原始數據'!$K$2:$K$1000,'1_原始數據'!$B$2:$B$1000,$B6,'1_原始數據'!$C$2:$C$1000,$C6,'1_原始數據'!$D$2:$D$1000,9))</f>
        <v/>
      </c>
      <c r="O6" s="14">
        <f>IF(COUNTIFS('1_原始數據'!$B$2:$B$1000,$B6,'1_原始數據'!$C$2:$C$1000,$C6,'1_原始數據'!$D$2:$D$1000,10)=0,"",SUMIFS('1_原始數據'!$K$2:$K$1000,'1_原始數據'!$B$2:$B$1000,$B6,'1_原始數據'!$C$2:$C$1000,$C6,'1_原始數據'!$D$2:$D$1000,10))</f>
        <v/>
      </c>
      <c r="P6" s="28">
        <f>COUNT(F6:O6)</f>
        <v/>
      </c>
      <c r="Q6" s="29">
        <f>AVERAGE(F6:O6)</f>
        <v/>
      </c>
      <c r="R6" s="29">
        <f>_xlfn.STDEV.S(F6:O6)</f>
        <v/>
      </c>
      <c r="S6" s="16">
        <f>R6/Q6*100</f>
        <v/>
      </c>
      <c r="T6" s="16">
        <f>_xlfn.T.INV.2T(0.05,P6-1)</f>
        <v/>
      </c>
      <c r="U6" s="29">
        <f>T6*R6/SQRT(P6)</f>
        <v/>
      </c>
      <c r="V6" s="30">
        <f>Q6-D6</f>
        <v/>
      </c>
      <c r="W6" s="13">
        <f>IF(ABS(V6)&lt;=E6,"是","否")</f>
        <v/>
      </c>
      <c r="X6" s="13">
        <f>IF(R6&lt;=E6/2,"是","否")</f>
        <v/>
      </c>
      <c r="Y6" s="13">
        <f>IF(W6="是",IF(X6="是","準確且精密","準確但不精密"),IF(X6="是","精密但不準確","不準確且不精密"))</f>
        <v/>
      </c>
      <c r="Z6" s="13">
        <f>FIXED(Q6,MAX(0,1-INT(LOG10(ABS(U6)))))&amp;" ± "&amp;FIXED(U6,MAX(0,1-INT(LOG10(ABS(U6)))))&amp;" mL"</f>
        <v/>
      </c>
      <c r="AB6" s="16">
        <f>-E5</f>
        <v/>
      </c>
      <c r="AC6" s="16">
        <f>MAX(E5,MAX(R5:R19)*1.1)</f>
        <v/>
      </c>
      <c r="AE6" s="16">
        <f>-E20</f>
        <v/>
      </c>
      <c r="AF6" s="16">
        <f>MAX(E20,MAX(R20:R34)*1.1)</f>
        <v/>
      </c>
    </row>
    <row r="7">
      <c r="A7" s="5" t="n">
        <v>1</v>
      </c>
      <c r="B7" s="5" t="inlineStr">
        <is>
          <t>G1_S3</t>
        </is>
      </c>
      <c r="C7" s="5" t="inlineStr">
        <is>
          <t>pipette_10mL</t>
        </is>
      </c>
      <c r="D7" s="27">
        <f>IF(C7="pipette_10mL",10,IF(C7="burette_25mL",25,""))</f>
        <v/>
      </c>
      <c r="E7" s="27">
        <f>IF(C7="pipette_10mL",0.02,IF(C7="burette_25mL",0.05,""))</f>
        <v/>
      </c>
      <c r="F7" s="14">
        <f>IF(COUNTIFS('1_原始數據'!$B$2:$B$1000,$B7,'1_原始數據'!$C$2:$C$1000,$C7,'1_原始數據'!$D$2:$D$1000,1)=0,"",SUMIFS('1_原始數據'!$K$2:$K$1000,'1_原始數據'!$B$2:$B$1000,$B7,'1_原始數據'!$C$2:$C$1000,$C7,'1_原始數據'!$D$2:$D$1000,1))</f>
        <v/>
      </c>
      <c r="G7" s="14">
        <f>IF(COUNTIFS('1_原始數據'!$B$2:$B$1000,$B7,'1_原始數據'!$C$2:$C$1000,$C7,'1_原始數據'!$D$2:$D$1000,2)=0,"",SUMIFS('1_原始數據'!$K$2:$K$1000,'1_原始數據'!$B$2:$B$1000,$B7,'1_原始數據'!$C$2:$C$1000,$C7,'1_原始數據'!$D$2:$D$1000,2))</f>
        <v/>
      </c>
      <c r="H7" s="14">
        <f>IF(COUNTIFS('1_原始數據'!$B$2:$B$1000,$B7,'1_原始數據'!$C$2:$C$1000,$C7,'1_原始數據'!$D$2:$D$1000,3)=0,"",SUMIFS('1_原始數據'!$K$2:$K$1000,'1_原始數據'!$B$2:$B$1000,$B7,'1_原始數據'!$C$2:$C$1000,$C7,'1_原始數據'!$D$2:$D$1000,3))</f>
        <v/>
      </c>
      <c r="I7" s="14">
        <f>IF(COUNTIFS('1_原始數據'!$B$2:$B$1000,$B7,'1_原始數據'!$C$2:$C$1000,$C7,'1_原始數據'!$D$2:$D$1000,4)=0,"",SUMIFS('1_原始數據'!$K$2:$K$1000,'1_原始數據'!$B$2:$B$1000,$B7,'1_原始數據'!$C$2:$C$1000,$C7,'1_原始數據'!$D$2:$D$1000,4))</f>
        <v/>
      </c>
      <c r="J7" s="14">
        <f>IF(COUNTIFS('1_原始數據'!$B$2:$B$1000,$B7,'1_原始數據'!$C$2:$C$1000,$C7,'1_原始數據'!$D$2:$D$1000,5)=0,"",SUMIFS('1_原始數據'!$K$2:$K$1000,'1_原始數據'!$B$2:$B$1000,$B7,'1_原始數據'!$C$2:$C$1000,$C7,'1_原始數據'!$D$2:$D$1000,5))</f>
        <v/>
      </c>
      <c r="K7" s="14">
        <f>IF(COUNTIFS('1_原始數據'!$B$2:$B$1000,$B7,'1_原始數據'!$C$2:$C$1000,$C7,'1_原始數據'!$D$2:$D$1000,6)=0,"",SUMIFS('1_原始數據'!$K$2:$K$1000,'1_原始數據'!$B$2:$B$1000,$B7,'1_原始數據'!$C$2:$C$1000,$C7,'1_原始數據'!$D$2:$D$1000,6))</f>
        <v/>
      </c>
      <c r="L7" s="14">
        <f>IF(COUNTIFS('1_原始數據'!$B$2:$B$1000,$B7,'1_原始數據'!$C$2:$C$1000,$C7,'1_原始數據'!$D$2:$D$1000,7)=0,"",SUMIFS('1_原始數據'!$K$2:$K$1000,'1_原始數據'!$B$2:$B$1000,$B7,'1_原始數據'!$C$2:$C$1000,$C7,'1_原始數據'!$D$2:$D$1000,7))</f>
        <v/>
      </c>
      <c r="M7" s="14">
        <f>IF(COUNTIFS('1_原始數據'!$B$2:$B$1000,$B7,'1_原始數據'!$C$2:$C$1000,$C7,'1_原始數據'!$D$2:$D$1000,8)=0,"",SUMIFS('1_原始數據'!$K$2:$K$1000,'1_原始數據'!$B$2:$B$1000,$B7,'1_原始數據'!$C$2:$C$1000,$C7,'1_原始數據'!$D$2:$D$1000,8))</f>
        <v/>
      </c>
      <c r="N7" s="14">
        <f>IF(COUNTIFS('1_原始數據'!$B$2:$B$1000,$B7,'1_原始數據'!$C$2:$C$1000,$C7,'1_原始數據'!$D$2:$D$1000,9)=0,"",SUMIFS('1_原始數據'!$K$2:$K$1000,'1_原始數據'!$B$2:$B$1000,$B7,'1_原始數據'!$C$2:$C$1000,$C7,'1_原始數據'!$D$2:$D$1000,9))</f>
        <v/>
      </c>
      <c r="O7" s="14">
        <f>IF(COUNTIFS('1_原始數據'!$B$2:$B$1000,$B7,'1_原始數據'!$C$2:$C$1000,$C7,'1_原始數據'!$D$2:$D$1000,10)=0,"",SUMIFS('1_原始數據'!$K$2:$K$1000,'1_原始數據'!$B$2:$B$1000,$B7,'1_原始數據'!$C$2:$C$1000,$C7,'1_原始數據'!$D$2:$D$1000,10))</f>
        <v/>
      </c>
      <c r="P7" s="28">
        <f>COUNT(F7:O7)</f>
        <v/>
      </c>
      <c r="Q7" s="29">
        <f>AVERAGE(F7:O7)</f>
        <v/>
      </c>
      <c r="R7" s="29">
        <f>_xlfn.STDEV.S(F7:O7)</f>
        <v/>
      </c>
      <c r="S7" s="16">
        <f>R7/Q7*100</f>
        <v/>
      </c>
      <c r="T7" s="16">
        <f>_xlfn.T.INV.2T(0.05,P7-1)</f>
        <v/>
      </c>
      <c r="U7" s="29">
        <f>T7*R7/SQRT(P7)</f>
        <v/>
      </c>
      <c r="V7" s="30">
        <f>Q7-D7</f>
        <v/>
      </c>
      <c r="W7" s="13">
        <f>IF(ABS(V7)&lt;=E7,"是","否")</f>
        <v/>
      </c>
      <c r="X7" s="13">
        <f>IF(R7&lt;=E7/2,"是","否")</f>
        <v/>
      </c>
      <c r="Y7" s="13">
        <f>IF(W7="是",IF(X7="是","準確且精密","準確但不精密"),IF(X7="是","精密但不準確","不準確且不精密"))</f>
        <v/>
      </c>
      <c r="Z7" s="13">
        <f>FIXED(Q7,MAX(0,1-INT(LOG10(ABS(U7)))))&amp;" ± "&amp;FIXED(U7,MAX(0,1-INT(LOG10(ABS(U7)))))&amp;" mL"</f>
        <v/>
      </c>
      <c r="AB7" s="16">
        <f>E5</f>
        <v/>
      </c>
      <c r="AC7" s="16">
        <f>0</f>
        <v/>
      </c>
      <c r="AE7" s="16">
        <f>E20</f>
        <v/>
      </c>
      <c r="AF7" s="16">
        <f>0</f>
        <v/>
      </c>
    </row>
    <row r="8">
      <c r="A8" s="5" t="n">
        <v>2</v>
      </c>
      <c r="B8" s="5" t="inlineStr">
        <is>
          <t>G2_S1</t>
        </is>
      </c>
      <c r="C8" s="5" t="inlineStr">
        <is>
          <t>pipette_10mL</t>
        </is>
      </c>
      <c r="D8" s="27">
        <f>IF(C8="pipette_10mL",10,IF(C8="burette_25mL",25,""))</f>
        <v/>
      </c>
      <c r="E8" s="27">
        <f>IF(C8="pipette_10mL",0.02,IF(C8="burette_25mL",0.05,""))</f>
        <v/>
      </c>
      <c r="F8" s="14">
        <f>IF(COUNTIFS('1_原始數據'!$B$2:$B$1000,$B8,'1_原始數據'!$C$2:$C$1000,$C8,'1_原始數據'!$D$2:$D$1000,1)=0,"",SUMIFS('1_原始數據'!$K$2:$K$1000,'1_原始數據'!$B$2:$B$1000,$B8,'1_原始數據'!$C$2:$C$1000,$C8,'1_原始數據'!$D$2:$D$1000,1))</f>
        <v/>
      </c>
      <c r="G8" s="14">
        <f>IF(COUNTIFS('1_原始數據'!$B$2:$B$1000,$B8,'1_原始數據'!$C$2:$C$1000,$C8,'1_原始數據'!$D$2:$D$1000,2)=0,"",SUMIFS('1_原始數據'!$K$2:$K$1000,'1_原始數據'!$B$2:$B$1000,$B8,'1_原始數據'!$C$2:$C$1000,$C8,'1_原始數據'!$D$2:$D$1000,2))</f>
        <v/>
      </c>
      <c r="H8" s="14">
        <f>IF(COUNTIFS('1_原始數據'!$B$2:$B$1000,$B8,'1_原始數據'!$C$2:$C$1000,$C8,'1_原始數據'!$D$2:$D$1000,3)=0,"",SUMIFS('1_原始數據'!$K$2:$K$1000,'1_原始數據'!$B$2:$B$1000,$B8,'1_原始數據'!$C$2:$C$1000,$C8,'1_原始數據'!$D$2:$D$1000,3))</f>
        <v/>
      </c>
      <c r="I8" s="14">
        <f>IF(COUNTIFS('1_原始數據'!$B$2:$B$1000,$B8,'1_原始數據'!$C$2:$C$1000,$C8,'1_原始數據'!$D$2:$D$1000,4)=0,"",SUMIFS('1_原始數據'!$K$2:$K$1000,'1_原始數據'!$B$2:$B$1000,$B8,'1_原始數據'!$C$2:$C$1000,$C8,'1_原始數據'!$D$2:$D$1000,4))</f>
        <v/>
      </c>
      <c r="J8" s="14">
        <f>IF(COUNTIFS('1_原始數據'!$B$2:$B$1000,$B8,'1_原始數據'!$C$2:$C$1000,$C8,'1_原始數據'!$D$2:$D$1000,5)=0,"",SUMIFS('1_原始數據'!$K$2:$K$1000,'1_原始數據'!$B$2:$B$1000,$B8,'1_原始數據'!$C$2:$C$1000,$C8,'1_原始數據'!$D$2:$D$1000,5))</f>
        <v/>
      </c>
      <c r="K8" s="14">
        <f>IF(COUNTIFS('1_原始數據'!$B$2:$B$1000,$B8,'1_原始數據'!$C$2:$C$1000,$C8,'1_原始數據'!$D$2:$D$1000,6)=0,"",SUMIFS('1_原始數據'!$K$2:$K$1000,'1_原始數據'!$B$2:$B$1000,$B8,'1_原始數據'!$C$2:$C$1000,$C8,'1_原始數據'!$D$2:$D$1000,6))</f>
        <v/>
      </c>
      <c r="L8" s="14">
        <f>IF(COUNTIFS('1_原始數據'!$B$2:$B$1000,$B8,'1_原始數據'!$C$2:$C$1000,$C8,'1_原始數據'!$D$2:$D$1000,7)=0,"",SUMIFS('1_原始數據'!$K$2:$K$1000,'1_原始數據'!$B$2:$B$1000,$B8,'1_原始數據'!$C$2:$C$1000,$C8,'1_原始數據'!$D$2:$D$1000,7))</f>
        <v/>
      </c>
      <c r="M8" s="14">
        <f>IF(COUNTIFS('1_原始數據'!$B$2:$B$1000,$B8,'1_原始數據'!$C$2:$C$1000,$C8,'1_原始數據'!$D$2:$D$1000,8)=0,"",SUMIFS('1_原始數據'!$K$2:$K$1000,'1_原始數據'!$B$2:$B$1000,$B8,'1_原始數據'!$C$2:$C$1000,$C8,'1_原始數據'!$D$2:$D$1000,8))</f>
        <v/>
      </c>
      <c r="N8" s="14">
        <f>IF(COUNTIFS('1_原始數據'!$B$2:$B$1000,$B8,'1_原始數據'!$C$2:$C$1000,$C8,'1_原始數據'!$D$2:$D$1000,9)=0,"",SUMIFS('1_原始數據'!$K$2:$K$1000,'1_原始數據'!$B$2:$B$1000,$B8,'1_原始數據'!$C$2:$C$1000,$C8,'1_原始數據'!$D$2:$D$1000,9))</f>
        <v/>
      </c>
      <c r="O8" s="14">
        <f>IF(COUNTIFS('1_原始數據'!$B$2:$B$1000,$B8,'1_原始數據'!$C$2:$C$1000,$C8,'1_原始數據'!$D$2:$D$1000,10)=0,"",SUMIFS('1_原始數據'!$K$2:$K$1000,'1_原始數據'!$B$2:$B$1000,$B8,'1_原始數據'!$C$2:$C$1000,$C8,'1_原始數據'!$D$2:$D$1000,10))</f>
        <v/>
      </c>
      <c r="P8" s="28">
        <f>COUNT(F8:O8)</f>
        <v/>
      </c>
      <c r="Q8" s="29">
        <f>AVERAGE(F8:O8)</f>
        <v/>
      </c>
      <c r="R8" s="29">
        <f>_xlfn.STDEV.S(F8:O8)</f>
        <v/>
      </c>
      <c r="S8" s="16">
        <f>R8/Q8*100</f>
        <v/>
      </c>
      <c r="T8" s="16">
        <f>_xlfn.T.INV.2T(0.05,P8-1)</f>
        <v/>
      </c>
      <c r="U8" s="29">
        <f>T8*R8/SQRT(P8)</f>
        <v/>
      </c>
      <c r="V8" s="30">
        <f>Q8-D8</f>
        <v/>
      </c>
      <c r="W8" s="13">
        <f>IF(ABS(V8)&lt;=E8,"是","否")</f>
        <v/>
      </c>
      <c r="X8" s="13">
        <f>IF(R8&lt;=E8/2,"是","否")</f>
        <v/>
      </c>
      <c r="Y8" s="13">
        <f>IF(W8="是",IF(X8="是","準確且精密","準確但不精密"),IF(X8="是","精密但不準確","不準確且不精密"))</f>
        <v/>
      </c>
      <c r="Z8" s="13">
        <f>FIXED(Q8,MAX(0,1-INT(LOG10(ABS(U8)))))&amp;" ± "&amp;FIXED(U8,MAX(0,1-INT(LOG10(ABS(U8)))))&amp;" mL"</f>
        <v/>
      </c>
      <c r="AB8" s="16">
        <f>E5</f>
        <v/>
      </c>
      <c r="AC8" s="16">
        <f>MAX(E5,MAX(R5:R19)*1.1)</f>
        <v/>
      </c>
      <c r="AE8" s="16">
        <f>E20</f>
        <v/>
      </c>
      <c r="AF8" s="16">
        <f>MAX(E20,MAX(R20:R34)*1.1)</f>
        <v/>
      </c>
    </row>
    <row r="9">
      <c r="A9" s="5" t="n">
        <v>2</v>
      </c>
      <c r="B9" s="5" t="inlineStr">
        <is>
          <t>G2_S2</t>
        </is>
      </c>
      <c r="C9" s="5" t="inlineStr">
        <is>
          <t>pipette_10mL</t>
        </is>
      </c>
      <c r="D9" s="27">
        <f>IF(C9="pipette_10mL",10,IF(C9="burette_25mL",25,""))</f>
        <v/>
      </c>
      <c r="E9" s="27">
        <f>IF(C9="pipette_10mL",0.02,IF(C9="burette_25mL",0.05,""))</f>
        <v/>
      </c>
      <c r="F9" s="14">
        <f>IF(COUNTIFS('1_原始數據'!$B$2:$B$1000,$B9,'1_原始數據'!$C$2:$C$1000,$C9,'1_原始數據'!$D$2:$D$1000,1)=0,"",SUMIFS('1_原始數據'!$K$2:$K$1000,'1_原始數據'!$B$2:$B$1000,$B9,'1_原始數據'!$C$2:$C$1000,$C9,'1_原始數據'!$D$2:$D$1000,1))</f>
        <v/>
      </c>
      <c r="G9" s="14">
        <f>IF(COUNTIFS('1_原始數據'!$B$2:$B$1000,$B9,'1_原始數據'!$C$2:$C$1000,$C9,'1_原始數據'!$D$2:$D$1000,2)=0,"",SUMIFS('1_原始數據'!$K$2:$K$1000,'1_原始數據'!$B$2:$B$1000,$B9,'1_原始數據'!$C$2:$C$1000,$C9,'1_原始數據'!$D$2:$D$1000,2))</f>
        <v/>
      </c>
      <c r="H9" s="14">
        <f>IF(COUNTIFS('1_原始數據'!$B$2:$B$1000,$B9,'1_原始數據'!$C$2:$C$1000,$C9,'1_原始數據'!$D$2:$D$1000,3)=0,"",SUMIFS('1_原始數據'!$K$2:$K$1000,'1_原始數據'!$B$2:$B$1000,$B9,'1_原始數據'!$C$2:$C$1000,$C9,'1_原始數據'!$D$2:$D$1000,3))</f>
        <v/>
      </c>
      <c r="I9" s="14">
        <f>IF(COUNTIFS('1_原始數據'!$B$2:$B$1000,$B9,'1_原始數據'!$C$2:$C$1000,$C9,'1_原始數據'!$D$2:$D$1000,4)=0,"",SUMIFS('1_原始數據'!$K$2:$K$1000,'1_原始數據'!$B$2:$B$1000,$B9,'1_原始數據'!$C$2:$C$1000,$C9,'1_原始數據'!$D$2:$D$1000,4))</f>
        <v/>
      </c>
      <c r="J9" s="14">
        <f>IF(COUNTIFS('1_原始數據'!$B$2:$B$1000,$B9,'1_原始數據'!$C$2:$C$1000,$C9,'1_原始數據'!$D$2:$D$1000,5)=0,"",SUMIFS('1_原始數據'!$K$2:$K$1000,'1_原始數據'!$B$2:$B$1000,$B9,'1_原始數據'!$C$2:$C$1000,$C9,'1_原始數據'!$D$2:$D$1000,5))</f>
        <v/>
      </c>
      <c r="K9" s="14">
        <f>IF(COUNTIFS('1_原始數據'!$B$2:$B$1000,$B9,'1_原始數據'!$C$2:$C$1000,$C9,'1_原始數據'!$D$2:$D$1000,6)=0,"",SUMIFS('1_原始數據'!$K$2:$K$1000,'1_原始數據'!$B$2:$B$1000,$B9,'1_原始數據'!$C$2:$C$1000,$C9,'1_原始數據'!$D$2:$D$1000,6))</f>
        <v/>
      </c>
      <c r="L9" s="14">
        <f>IF(COUNTIFS('1_原始數據'!$B$2:$B$1000,$B9,'1_原始數據'!$C$2:$C$1000,$C9,'1_原始數據'!$D$2:$D$1000,7)=0,"",SUMIFS('1_原始數據'!$K$2:$K$1000,'1_原始數據'!$B$2:$B$1000,$B9,'1_原始數據'!$C$2:$C$1000,$C9,'1_原始數據'!$D$2:$D$1000,7))</f>
        <v/>
      </c>
      <c r="M9" s="14">
        <f>IF(COUNTIFS('1_原始數據'!$B$2:$B$1000,$B9,'1_原始數據'!$C$2:$C$1000,$C9,'1_原始數據'!$D$2:$D$1000,8)=0,"",SUMIFS('1_原始數據'!$K$2:$K$1000,'1_原始數據'!$B$2:$B$1000,$B9,'1_原始數據'!$C$2:$C$1000,$C9,'1_原始數據'!$D$2:$D$1000,8))</f>
        <v/>
      </c>
      <c r="N9" s="14">
        <f>IF(COUNTIFS('1_原始數據'!$B$2:$B$1000,$B9,'1_原始數據'!$C$2:$C$1000,$C9,'1_原始數據'!$D$2:$D$1000,9)=0,"",SUMIFS('1_原始數據'!$K$2:$K$1000,'1_原始數據'!$B$2:$B$1000,$B9,'1_原始數據'!$C$2:$C$1000,$C9,'1_原始數據'!$D$2:$D$1000,9))</f>
        <v/>
      </c>
      <c r="O9" s="14">
        <f>IF(COUNTIFS('1_原始數據'!$B$2:$B$1000,$B9,'1_原始數據'!$C$2:$C$1000,$C9,'1_原始數據'!$D$2:$D$1000,10)=0,"",SUMIFS('1_原始數據'!$K$2:$K$1000,'1_原始數據'!$B$2:$B$1000,$B9,'1_原始數據'!$C$2:$C$1000,$C9,'1_原始數據'!$D$2:$D$1000,10))</f>
        <v/>
      </c>
      <c r="P9" s="28">
        <f>COUNT(F9:O9)</f>
        <v/>
      </c>
      <c r="Q9" s="29">
        <f>AVERAGE(F9:O9)</f>
        <v/>
      </c>
      <c r="R9" s="29">
        <f>_xlfn.STDEV.S(F9:O9)</f>
        <v/>
      </c>
      <c r="S9" s="16">
        <f>R9/Q9*100</f>
        <v/>
      </c>
      <c r="T9" s="16">
        <f>_xlfn.T.INV.2T(0.05,P9-1)</f>
        <v/>
      </c>
      <c r="U9" s="29">
        <f>T9*R9/SQRT(P9)</f>
        <v/>
      </c>
      <c r="V9" s="30">
        <f>Q9-D9</f>
        <v/>
      </c>
      <c r="W9" s="13">
        <f>IF(ABS(V9)&lt;=E9,"是","否")</f>
        <v/>
      </c>
      <c r="X9" s="13">
        <f>IF(R9&lt;=E9/2,"是","否")</f>
        <v/>
      </c>
      <c r="Y9" s="13">
        <f>IF(W9="是",IF(X9="是","準確且精密","準確但不精密"),IF(X9="是","精密但不準確","不準確且不精密"))</f>
        <v/>
      </c>
      <c r="Z9" s="13">
        <f>FIXED(Q9,MAX(0,1-INT(LOG10(ABS(U9)))))&amp;" ± "&amp;FIXED(U9,MAX(0,1-INT(LOG10(ABS(U9)))))&amp;" mL"</f>
        <v/>
      </c>
      <c r="AB9" s="16">
        <f>-MAX(E5*1.5,MAX(ABS(MAX(V5:V19)),ABS(MIN(V5:V19)))*1.1)</f>
        <v/>
      </c>
      <c r="AC9" s="16">
        <f>E5/2</f>
        <v/>
      </c>
      <c r="AE9" s="16">
        <f>-MAX(E20*1.5,MAX(ABS(MAX(V20:V34)),ABS(MIN(V20:V34)))*1.1)</f>
        <v/>
      </c>
      <c r="AF9" s="16">
        <f>E20/2</f>
        <v/>
      </c>
    </row>
    <row r="10">
      <c r="A10" s="5" t="n">
        <v>2</v>
      </c>
      <c r="B10" s="5" t="inlineStr">
        <is>
          <t>G2_S3</t>
        </is>
      </c>
      <c r="C10" s="5" t="inlineStr">
        <is>
          <t>pipette_10mL</t>
        </is>
      </c>
      <c r="D10" s="27">
        <f>IF(C10="pipette_10mL",10,IF(C10="burette_25mL",25,""))</f>
        <v/>
      </c>
      <c r="E10" s="27">
        <f>IF(C10="pipette_10mL",0.02,IF(C10="burette_25mL",0.05,""))</f>
        <v/>
      </c>
      <c r="F10" s="14">
        <f>IF(COUNTIFS('1_原始數據'!$B$2:$B$1000,$B10,'1_原始數據'!$C$2:$C$1000,$C10,'1_原始數據'!$D$2:$D$1000,1)=0,"",SUMIFS('1_原始數據'!$K$2:$K$1000,'1_原始數據'!$B$2:$B$1000,$B10,'1_原始數據'!$C$2:$C$1000,$C10,'1_原始數據'!$D$2:$D$1000,1))</f>
        <v/>
      </c>
      <c r="G10" s="14">
        <f>IF(COUNTIFS('1_原始數據'!$B$2:$B$1000,$B10,'1_原始數據'!$C$2:$C$1000,$C10,'1_原始數據'!$D$2:$D$1000,2)=0,"",SUMIFS('1_原始數據'!$K$2:$K$1000,'1_原始數據'!$B$2:$B$1000,$B10,'1_原始數據'!$C$2:$C$1000,$C10,'1_原始數據'!$D$2:$D$1000,2))</f>
        <v/>
      </c>
      <c r="H10" s="14">
        <f>IF(COUNTIFS('1_原始數據'!$B$2:$B$1000,$B10,'1_原始數據'!$C$2:$C$1000,$C10,'1_原始數據'!$D$2:$D$1000,3)=0,"",SUMIFS('1_原始數據'!$K$2:$K$1000,'1_原始數據'!$B$2:$B$1000,$B10,'1_原始數據'!$C$2:$C$1000,$C10,'1_原始數據'!$D$2:$D$1000,3))</f>
        <v/>
      </c>
      <c r="I10" s="14">
        <f>IF(COUNTIFS('1_原始數據'!$B$2:$B$1000,$B10,'1_原始數據'!$C$2:$C$1000,$C10,'1_原始數據'!$D$2:$D$1000,4)=0,"",SUMIFS('1_原始數據'!$K$2:$K$1000,'1_原始數據'!$B$2:$B$1000,$B10,'1_原始數據'!$C$2:$C$1000,$C10,'1_原始數據'!$D$2:$D$1000,4))</f>
        <v/>
      </c>
      <c r="J10" s="14">
        <f>IF(COUNTIFS('1_原始數據'!$B$2:$B$1000,$B10,'1_原始數據'!$C$2:$C$1000,$C10,'1_原始數據'!$D$2:$D$1000,5)=0,"",SUMIFS('1_原始數據'!$K$2:$K$1000,'1_原始數據'!$B$2:$B$1000,$B10,'1_原始數據'!$C$2:$C$1000,$C10,'1_原始數據'!$D$2:$D$1000,5))</f>
        <v/>
      </c>
      <c r="K10" s="14">
        <f>IF(COUNTIFS('1_原始數據'!$B$2:$B$1000,$B10,'1_原始數據'!$C$2:$C$1000,$C10,'1_原始數據'!$D$2:$D$1000,6)=0,"",SUMIFS('1_原始數據'!$K$2:$K$1000,'1_原始數據'!$B$2:$B$1000,$B10,'1_原始數據'!$C$2:$C$1000,$C10,'1_原始數據'!$D$2:$D$1000,6))</f>
        <v/>
      </c>
      <c r="L10" s="14">
        <f>IF(COUNTIFS('1_原始數據'!$B$2:$B$1000,$B10,'1_原始數據'!$C$2:$C$1000,$C10,'1_原始數據'!$D$2:$D$1000,7)=0,"",SUMIFS('1_原始數據'!$K$2:$K$1000,'1_原始數據'!$B$2:$B$1000,$B10,'1_原始數據'!$C$2:$C$1000,$C10,'1_原始數據'!$D$2:$D$1000,7))</f>
        <v/>
      </c>
      <c r="M10" s="14">
        <f>IF(COUNTIFS('1_原始數據'!$B$2:$B$1000,$B10,'1_原始數據'!$C$2:$C$1000,$C10,'1_原始數據'!$D$2:$D$1000,8)=0,"",SUMIFS('1_原始數據'!$K$2:$K$1000,'1_原始數據'!$B$2:$B$1000,$B10,'1_原始數據'!$C$2:$C$1000,$C10,'1_原始數據'!$D$2:$D$1000,8))</f>
        <v/>
      </c>
      <c r="N10" s="14">
        <f>IF(COUNTIFS('1_原始數據'!$B$2:$B$1000,$B10,'1_原始數據'!$C$2:$C$1000,$C10,'1_原始數據'!$D$2:$D$1000,9)=0,"",SUMIFS('1_原始數據'!$K$2:$K$1000,'1_原始數據'!$B$2:$B$1000,$B10,'1_原始數據'!$C$2:$C$1000,$C10,'1_原始數據'!$D$2:$D$1000,9))</f>
        <v/>
      </c>
      <c r="O10" s="14">
        <f>IF(COUNTIFS('1_原始數據'!$B$2:$B$1000,$B10,'1_原始數據'!$C$2:$C$1000,$C10,'1_原始數據'!$D$2:$D$1000,10)=0,"",SUMIFS('1_原始數據'!$K$2:$K$1000,'1_原始數據'!$B$2:$B$1000,$B10,'1_原始數據'!$C$2:$C$1000,$C10,'1_原始數據'!$D$2:$D$1000,10))</f>
        <v/>
      </c>
      <c r="P10" s="28">
        <f>COUNT(F10:O10)</f>
        <v/>
      </c>
      <c r="Q10" s="29">
        <f>AVERAGE(F10:O10)</f>
        <v/>
      </c>
      <c r="R10" s="29">
        <f>_xlfn.STDEV.S(F10:O10)</f>
        <v/>
      </c>
      <c r="S10" s="16">
        <f>R10/Q10*100</f>
        <v/>
      </c>
      <c r="T10" s="16">
        <f>_xlfn.T.INV.2T(0.05,P10-1)</f>
        <v/>
      </c>
      <c r="U10" s="29">
        <f>T10*R10/SQRT(P10)</f>
        <v/>
      </c>
      <c r="V10" s="30">
        <f>Q10-D10</f>
        <v/>
      </c>
      <c r="W10" s="13">
        <f>IF(ABS(V10)&lt;=E10,"是","否")</f>
        <v/>
      </c>
      <c r="X10" s="13">
        <f>IF(R10&lt;=E10/2,"是","否")</f>
        <v/>
      </c>
      <c r="Y10" s="13">
        <f>IF(W10="是",IF(X10="是","準確且精密","準確但不精密"),IF(X10="是","精密但不準確","不準確且不精密"))</f>
        <v/>
      </c>
      <c r="Z10" s="13">
        <f>FIXED(Q10,MAX(0,1-INT(LOG10(ABS(U10)))))&amp;" ± "&amp;FIXED(U10,MAX(0,1-INT(LOG10(ABS(U10)))))&amp;" mL"</f>
        <v/>
      </c>
      <c r="AB10" s="16">
        <f>MAX(E5*1.5,MAX(ABS(MAX(V5:V19)),ABS(MIN(V5:V19)))*1.1)</f>
        <v/>
      </c>
      <c r="AC10" s="16">
        <f>E5/2</f>
        <v/>
      </c>
      <c r="AE10" s="16">
        <f>MAX(E20*1.5,MAX(ABS(MAX(V20:V34)),ABS(MIN(V20:V34)))*1.1)</f>
        <v/>
      </c>
      <c r="AF10" s="16">
        <f>E20/2</f>
        <v/>
      </c>
    </row>
    <row r="11">
      <c r="A11" s="5" t="n">
        <v>3</v>
      </c>
      <c r="B11" s="5" t="inlineStr">
        <is>
          <t>G3_S1</t>
        </is>
      </c>
      <c r="C11" s="5" t="inlineStr">
        <is>
          <t>pipette_10mL</t>
        </is>
      </c>
      <c r="D11" s="27">
        <f>IF(C11="pipette_10mL",10,IF(C11="burette_25mL",25,""))</f>
        <v/>
      </c>
      <c r="E11" s="27">
        <f>IF(C11="pipette_10mL",0.02,IF(C11="burette_25mL",0.05,""))</f>
        <v/>
      </c>
      <c r="F11" s="14">
        <f>IF(COUNTIFS('1_原始數據'!$B$2:$B$1000,$B11,'1_原始數據'!$C$2:$C$1000,$C11,'1_原始數據'!$D$2:$D$1000,1)=0,"",SUMIFS('1_原始數據'!$K$2:$K$1000,'1_原始數據'!$B$2:$B$1000,$B11,'1_原始數據'!$C$2:$C$1000,$C11,'1_原始數據'!$D$2:$D$1000,1))</f>
        <v/>
      </c>
      <c r="G11" s="14">
        <f>IF(COUNTIFS('1_原始數據'!$B$2:$B$1000,$B11,'1_原始數據'!$C$2:$C$1000,$C11,'1_原始數據'!$D$2:$D$1000,2)=0,"",SUMIFS('1_原始數據'!$K$2:$K$1000,'1_原始數據'!$B$2:$B$1000,$B11,'1_原始數據'!$C$2:$C$1000,$C11,'1_原始數據'!$D$2:$D$1000,2))</f>
        <v/>
      </c>
      <c r="H11" s="14">
        <f>IF(COUNTIFS('1_原始數據'!$B$2:$B$1000,$B11,'1_原始數據'!$C$2:$C$1000,$C11,'1_原始數據'!$D$2:$D$1000,3)=0,"",SUMIFS('1_原始數據'!$K$2:$K$1000,'1_原始數據'!$B$2:$B$1000,$B11,'1_原始數據'!$C$2:$C$1000,$C11,'1_原始數據'!$D$2:$D$1000,3))</f>
        <v/>
      </c>
      <c r="I11" s="14">
        <f>IF(COUNTIFS('1_原始數據'!$B$2:$B$1000,$B11,'1_原始數據'!$C$2:$C$1000,$C11,'1_原始數據'!$D$2:$D$1000,4)=0,"",SUMIFS('1_原始數據'!$K$2:$K$1000,'1_原始數據'!$B$2:$B$1000,$B11,'1_原始數據'!$C$2:$C$1000,$C11,'1_原始數據'!$D$2:$D$1000,4))</f>
        <v/>
      </c>
      <c r="J11" s="14">
        <f>IF(COUNTIFS('1_原始數據'!$B$2:$B$1000,$B11,'1_原始數據'!$C$2:$C$1000,$C11,'1_原始數據'!$D$2:$D$1000,5)=0,"",SUMIFS('1_原始數據'!$K$2:$K$1000,'1_原始數據'!$B$2:$B$1000,$B11,'1_原始數據'!$C$2:$C$1000,$C11,'1_原始數據'!$D$2:$D$1000,5))</f>
        <v/>
      </c>
      <c r="K11" s="14">
        <f>IF(COUNTIFS('1_原始數據'!$B$2:$B$1000,$B11,'1_原始數據'!$C$2:$C$1000,$C11,'1_原始數據'!$D$2:$D$1000,6)=0,"",SUMIFS('1_原始數據'!$K$2:$K$1000,'1_原始數據'!$B$2:$B$1000,$B11,'1_原始數據'!$C$2:$C$1000,$C11,'1_原始數據'!$D$2:$D$1000,6))</f>
        <v/>
      </c>
      <c r="L11" s="14">
        <f>IF(COUNTIFS('1_原始數據'!$B$2:$B$1000,$B11,'1_原始數據'!$C$2:$C$1000,$C11,'1_原始數據'!$D$2:$D$1000,7)=0,"",SUMIFS('1_原始數據'!$K$2:$K$1000,'1_原始數據'!$B$2:$B$1000,$B11,'1_原始數據'!$C$2:$C$1000,$C11,'1_原始數據'!$D$2:$D$1000,7))</f>
        <v/>
      </c>
      <c r="M11" s="14">
        <f>IF(COUNTIFS('1_原始數據'!$B$2:$B$1000,$B11,'1_原始數據'!$C$2:$C$1000,$C11,'1_原始數據'!$D$2:$D$1000,8)=0,"",SUMIFS('1_原始數據'!$K$2:$K$1000,'1_原始數據'!$B$2:$B$1000,$B11,'1_原始數據'!$C$2:$C$1000,$C11,'1_原始數據'!$D$2:$D$1000,8))</f>
        <v/>
      </c>
      <c r="N11" s="14">
        <f>IF(COUNTIFS('1_原始數據'!$B$2:$B$1000,$B11,'1_原始數據'!$C$2:$C$1000,$C11,'1_原始數據'!$D$2:$D$1000,9)=0,"",SUMIFS('1_原始數據'!$K$2:$K$1000,'1_原始數據'!$B$2:$B$1000,$B11,'1_原始數據'!$C$2:$C$1000,$C11,'1_原始數據'!$D$2:$D$1000,9))</f>
        <v/>
      </c>
      <c r="O11" s="14">
        <f>IF(COUNTIFS('1_原始數據'!$B$2:$B$1000,$B11,'1_原始數據'!$C$2:$C$1000,$C11,'1_原始數據'!$D$2:$D$1000,10)=0,"",SUMIFS('1_原始數據'!$K$2:$K$1000,'1_原始數據'!$B$2:$B$1000,$B11,'1_原始數據'!$C$2:$C$1000,$C11,'1_原始數據'!$D$2:$D$1000,10))</f>
        <v/>
      </c>
      <c r="P11" s="28">
        <f>COUNT(F11:O11)</f>
        <v/>
      </c>
      <c r="Q11" s="29">
        <f>AVERAGE(F11:O11)</f>
        <v/>
      </c>
      <c r="R11" s="29">
        <f>_xlfn.STDEV.S(F11:O11)</f>
        <v/>
      </c>
      <c r="S11" s="16">
        <f>R11/Q11*100</f>
        <v/>
      </c>
      <c r="T11" s="16">
        <f>_xlfn.T.INV.2T(0.05,P11-1)</f>
        <v/>
      </c>
      <c r="U11" s="29">
        <f>T11*R11/SQRT(P11)</f>
        <v/>
      </c>
      <c r="V11" s="30">
        <f>Q11-D11</f>
        <v/>
      </c>
      <c r="W11" s="13">
        <f>IF(ABS(V11)&lt;=E11,"是","否")</f>
        <v/>
      </c>
      <c r="X11" s="13">
        <f>IF(R11&lt;=E11/2,"是","否")</f>
        <v/>
      </c>
      <c r="Y11" s="13">
        <f>IF(W11="是",IF(X11="是","準確且精密","準確但不精密"),IF(X11="是","精密但不準確","不準確且不精密"))</f>
        <v/>
      </c>
      <c r="Z11" s="13">
        <f>FIXED(Q11,MAX(0,1-INT(LOG10(ABS(U11)))))&amp;" ± "&amp;FIXED(U11,MAX(0,1-INT(LOG10(ABS(U11)))))&amp;" mL"</f>
        <v/>
      </c>
    </row>
    <row r="12">
      <c r="A12" s="5" t="n">
        <v>3</v>
      </c>
      <c r="B12" s="5" t="inlineStr">
        <is>
          <t>G3_S2</t>
        </is>
      </c>
      <c r="C12" s="5" t="inlineStr">
        <is>
          <t>pipette_10mL</t>
        </is>
      </c>
      <c r="D12" s="27">
        <f>IF(C12="pipette_10mL",10,IF(C12="burette_25mL",25,""))</f>
        <v/>
      </c>
      <c r="E12" s="27">
        <f>IF(C12="pipette_10mL",0.02,IF(C12="burette_25mL",0.05,""))</f>
        <v/>
      </c>
      <c r="F12" s="14">
        <f>IF(COUNTIFS('1_原始數據'!$B$2:$B$1000,$B12,'1_原始數據'!$C$2:$C$1000,$C12,'1_原始數據'!$D$2:$D$1000,1)=0,"",SUMIFS('1_原始數據'!$K$2:$K$1000,'1_原始數據'!$B$2:$B$1000,$B12,'1_原始數據'!$C$2:$C$1000,$C12,'1_原始數據'!$D$2:$D$1000,1))</f>
        <v/>
      </c>
      <c r="G12" s="14">
        <f>IF(COUNTIFS('1_原始數據'!$B$2:$B$1000,$B12,'1_原始數據'!$C$2:$C$1000,$C12,'1_原始數據'!$D$2:$D$1000,2)=0,"",SUMIFS('1_原始數據'!$K$2:$K$1000,'1_原始數據'!$B$2:$B$1000,$B12,'1_原始數據'!$C$2:$C$1000,$C12,'1_原始數據'!$D$2:$D$1000,2))</f>
        <v/>
      </c>
      <c r="H12" s="14">
        <f>IF(COUNTIFS('1_原始數據'!$B$2:$B$1000,$B12,'1_原始數據'!$C$2:$C$1000,$C12,'1_原始數據'!$D$2:$D$1000,3)=0,"",SUMIFS('1_原始數據'!$K$2:$K$1000,'1_原始數據'!$B$2:$B$1000,$B12,'1_原始數據'!$C$2:$C$1000,$C12,'1_原始數據'!$D$2:$D$1000,3))</f>
        <v/>
      </c>
      <c r="I12" s="14">
        <f>IF(COUNTIFS('1_原始數據'!$B$2:$B$1000,$B12,'1_原始數據'!$C$2:$C$1000,$C12,'1_原始數據'!$D$2:$D$1000,4)=0,"",SUMIFS('1_原始數據'!$K$2:$K$1000,'1_原始數據'!$B$2:$B$1000,$B12,'1_原始數據'!$C$2:$C$1000,$C12,'1_原始數據'!$D$2:$D$1000,4))</f>
        <v/>
      </c>
      <c r="J12" s="14">
        <f>IF(COUNTIFS('1_原始數據'!$B$2:$B$1000,$B12,'1_原始數據'!$C$2:$C$1000,$C12,'1_原始數據'!$D$2:$D$1000,5)=0,"",SUMIFS('1_原始數據'!$K$2:$K$1000,'1_原始數據'!$B$2:$B$1000,$B12,'1_原始數據'!$C$2:$C$1000,$C12,'1_原始數據'!$D$2:$D$1000,5))</f>
        <v/>
      </c>
      <c r="K12" s="14">
        <f>IF(COUNTIFS('1_原始數據'!$B$2:$B$1000,$B12,'1_原始數據'!$C$2:$C$1000,$C12,'1_原始數據'!$D$2:$D$1000,6)=0,"",SUMIFS('1_原始數據'!$K$2:$K$1000,'1_原始數據'!$B$2:$B$1000,$B12,'1_原始數據'!$C$2:$C$1000,$C12,'1_原始數據'!$D$2:$D$1000,6))</f>
        <v/>
      </c>
      <c r="L12" s="14">
        <f>IF(COUNTIFS('1_原始數據'!$B$2:$B$1000,$B12,'1_原始數據'!$C$2:$C$1000,$C12,'1_原始數據'!$D$2:$D$1000,7)=0,"",SUMIFS('1_原始數據'!$K$2:$K$1000,'1_原始數據'!$B$2:$B$1000,$B12,'1_原始數據'!$C$2:$C$1000,$C12,'1_原始數據'!$D$2:$D$1000,7))</f>
        <v/>
      </c>
      <c r="M12" s="14">
        <f>IF(COUNTIFS('1_原始數據'!$B$2:$B$1000,$B12,'1_原始數據'!$C$2:$C$1000,$C12,'1_原始數據'!$D$2:$D$1000,8)=0,"",SUMIFS('1_原始數據'!$K$2:$K$1000,'1_原始數據'!$B$2:$B$1000,$B12,'1_原始數據'!$C$2:$C$1000,$C12,'1_原始數據'!$D$2:$D$1000,8))</f>
        <v/>
      </c>
      <c r="N12" s="14">
        <f>IF(COUNTIFS('1_原始數據'!$B$2:$B$1000,$B12,'1_原始數據'!$C$2:$C$1000,$C12,'1_原始數據'!$D$2:$D$1000,9)=0,"",SUMIFS('1_原始數據'!$K$2:$K$1000,'1_原始數據'!$B$2:$B$1000,$B12,'1_原始數據'!$C$2:$C$1000,$C12,'1_原始數據'!$D$2:$D$1000,9))</f>
        <v/>
      </c>
      <c r="O12" s="14">
        <f>IF(COUNTIFS('1_原始數據'!$B$2:$B$1000,$B12,'1_原始數據'!$C$2:$C$1000,$C12,'1_原始數據'!$D$2:$D$1000,10)=0,"",SUMIFS('1_原始數據'!$K$2:$K$1000,'1_原始數據'!$B$2:$B$1000,$B12,'1_原始數據'!$C$2:$C$1000,$C12,'1_原始數據'!$D$2:$D$1000,10))</f>
        <v/>
      </c>
      <c r="P12" s="28">
        <f>COUNT(F12:O12)</f>
        <v/>
      </c>
      <c r="Q12" s="29">
        <f>AVERAGE(F12:O12)</f>
        <v/>
      </c>
      <c r="R12" s="29">
        <f>_xlfn.STDEV.S(F12:O12)</f>
        <v/>
      </c>
      <c r="S12" s="16">
        <f>R12/Q12*100</f>
        <v/>
      </c>
      <c r="T12" s="16">
        <f>_xlfn.T.INV.2T(0.05,P12-1)</f>
        <v/>
      </c>
      <c r="U12" s="29">
        <f>T12*R12/SQRT(P12)</f>
        <v/>
      </c>
      <c r="V12" s="30">
        <f>Q12-D12</f>
        <v/>
      </c>
      <c r="W12" s="13">
        <f>IF(ABS(V12)&lt;=E12,"是","否")</f>
        <v/>
      </c>
      <c r="X12" s="13">
        <f>IF(R12&lt;=E12/2,"是","否")</f>
        <v/>
      </c>
      <c r="Y12" s="13">
        <f>IF(W12="是",IF(X12="是","準確且精密","準確但不精密"),IF(X12="是","精密但不準確","不準確且不精密"))</f>
        <v/>
      </c>
      <c r="Z12" s="13">
        <f>FIXED(Q12,MAX(0,1-INT(LOG10(ABS(U12)))))&amp;" ± "&amp;FIXED(U12,MAX(0,1-INT(LOG10(ABS(U12)))))&amp;" mL"</f>
        <v/>
      </c>
    </row>
    <row r="13">
      <c r="A13" s="5" t="n">
        <v>3</v>
      </c>
      <c r="B13" s="5" t="inlineStr">
        <is>
          <t>G3_S3</t>
        </is>
      </c>
      <c r="C13" s="5" t="inlineStr">
        <is>
          <t>pipette_10mL</t>
        </is>
      </c>
      <c r="D13" s="27">
        <f>IF(C13="pipette_10mL",10,IF(C13="burette_25mL",25,""))</f>
        <v/>
      </c>
      <c r="E13" s="27">
        <f>IF(C13="pipette_10mL",0.02,IF(C13="burette_25mL",0.05,""))</f>
        <v/>
      </c>
      <c r="F13" s="14">
        <f>IF(COUNTIFS('1_原始數據'!$B$2:$B$1000,$B13,'1_原始數據'!$C$2:$C$1000,$C13,'1_原始數據'!$D$2:$D$1000,1)=0,"",SUMIFS('1_原始數據'!$K$2:$K$1000,'1_原始數據'!$B$2:$B$1000,$B13,'1_原始數據'!$C$2:$C$1000,$C13,'1_原始數據'!$D$2:$D$1000,1))</f>
        <v/>
      </c>
      <c r="G13" s="14">
        <f>IF(COUNTIFS('1_原始數據'!$B$2:$B$1000,$B13,'1_原始數據'!$C$2:$C$1000,$C13,'1_原始數據'!$D$2:$D$1000,2)=0,"",SUMIFS('1_原始數據'!$K$2:$K$1000,'1_原始數據'!$B$2:$B$1000,$B13,'1_原始數據'!$C$2:$C$1000,$C13,'1_原始數據'!$D$2:$D$1000,2))</f>
        <v/>
      </c>
      <c r="H13" s="14">
        <f>IF(COUNTIFS('1_原始數據'!$B$2:$B$1000,$B13,'1_原始數據'!$C$2:$C$1000,$C13,'1_原始數據'!$D$2:$D$1000,3)=0,"",SUMIFS('1_原始數據'!$K$2:$K$1000,'1_原始數據'!$B$2:$B$1000,$B13,'1_原始數據'!$C$2:$C$1000,$C13,'1_原始數據'!$D$2:$D$1000,3))</f>
        <v/>
      </c>
      <c r="I13" s="14">
        <f>IF(COUNTIFS('1_原始數據'!$B$2:$B$1000,$B13,'1_原始數據'!$C$2:$C$1000,$C13,'1_原始數據'!$D$2:$D$1000,4)=0,"",SUMIFS('1_原始數據'!$K$2:$K$1000,'1_原始數據'!$B$2:$B$1000,$B13,'1_原始數據'!$C$2:$C$1000,$C13,'1_原始數據'!$D$2:$D$1000,4))</f>
        <v/>
      </c>
      <c r="J13" s="14">
        <f>IF(COUNTIFS('1_原始數據'!$B$2:$B$1000,$B13,'1_原始數據'!$C$2:$C$1000,$C13,'1_原始數據'!$D$2:$D$1000,5)=0,"",SUMIFS('1_原始數據'!$K$2:$K$1000,'1_原始數據'!$B$2:$B$1000,$B13,'1_原始數據'!$C$2:$C$1000,$C13,'1_原始數據'!$D$2:$D$1000,5))</f>
        <v/>
      </c>
      <c r="K13" s="14">
        <f>IF(COUNTIFS('1_原始數據'!$B$2:$B$1000,$B13,'1_原始數據'!$C$2:$C$1000,$C13,'1_原始數據'!$D$2:$D$1000,6)=0,"",SUMIFS('1_原始數據'!$K$2:$K$1000,'1_原始數據'!$B$2:$B$1000,$B13,'1_原始數據'!$C$2:$C$1000,$C13,'1_原始數據'!$D$2:$D$1000,6))</f>
        <v/>
      </c>
      <c r="L13" s="14">
        <f>IF(COUNTIFS('1_原始數據'!$B$2:$B$1000,$B13,'1_原始數據'!$C$2:$C$1000,$C13,'1_原始數據'!$D$2:$D$1000,7)=0,"",SUMIFS('1_原始數據'!$K$2:$K$1000,'1_原始數據'!$B$2:$B$1000,$B13,'1_原始數據'!$C$2:$C$1000,$C13,'1_原始數據'!$D$2:$D$1000,7))</f>
        <v/>
      </c>
      <c r="M13" s="14">
        <f>IF(COUNTIFS('1_原始數據'!$B$2:$B$1000,$B13,'1_原始數據'!$C$2:$C$1000,$C13,'1_原始數據'!$D$2:$D$1000,8)=0,"",SUMIFS('1_原始數據'!$K$2:$K$1000,'1_原始數據'!$B$2:$B$1000,$B13,'1_原始數據'!$C$2:$C$1000,$C13,'1_原始數據'!$D$2:$D$1000,8))</f>
        <v/>
      </c>
      <c r="N13" s="14">
        <f>IF(COUNTIFS('1_原始數據'!$B$2:$B$1000,$B13,'1_原始數據'!$C$2:$C$1000,$C13,'1_原始數據'!$D$2:$D$1000,9)=0,"",SUMIFS('1_原始數據'!$K$2:$K$1000,'1_原始數據'!$B$2:$B$1000,$B13,'1_原始數據'!$C$2:$C$1000,$C13,'1_原始數據'!$D$2:$D$1000,9))</f>
        <v/>
      </c>
      <c r="O13" s="14">
        <f>IF(COUNTIFS('1_原始數據'!$B$2:$B$1000,$B13,'1_原始數據'!$C$2:$C$1000,$C13,'1_原始數據'!$D$2:$D$1000,10)=0,"",SUMIFS('1_原始數據'!$K$2:$K$1000,'1_原始數據'!$B$2:$B$1000,$B13,'1_原始數據'!$C$2:$C$1000,$C13,'1_原始數據'!$D$2:$D$1000,10))</f>
        <v/>
      </c>
      <c r="P13" s="28">
        <f>COUNT(F13:O13)</f>
        <v/>
      </c>
      <c r="Q13" s="29">
        <f>AVERAGE(F13:O13)</f>
        <v/>
      </c>
      <c r="R13" s="29">
        <f>_xlfn.STDEV.S(F13:O13)</f>
        <v/>
      </c>
      <c r="S13" s="16">
        <f>R13/Q13*100</f>
        <v/>
      </c>
      <c r="T13" s="16">
        <f>_xlfn.T.INV.2T(0.05,P13-1)</f>
        <v/>
      </c>
      <c r="U13" s="29">
        <f>T13*R13/SQRT(P13)</f>
        <v/>
      </c>
      <c r="V13" s="30">
        <f>Q13-D13</f>
        <v/>
      </c>
      <c r="W13" s="13">
        <f>IF(ABS(V13)&lt;=E13,"是","否")</f>
        <v/>
      </c>
      <c r="X13" s="13">
        <f>IF(R13&lt;=E13/2,"是","否")</f>
        <v/>
      </c>
      <c r="Y13" s="13">
        <f>IF(W13="是",IF(X13="是","準確且精密","準確但不精密"),IF(X13="是","精密但不準確","不準確且不精密"))</f>
        <v/>
      </c>
      <c r="Z13" s="13">
        <f>FIXED(Q13,MAX(0,1-INT(LOG10(ABS(U13)))))&amp;" ± "&amp;FIXED(U13,MAX(0,1-INT(LOG10(ABS(U13)))))&amp;" mL"</f>
        <v/>
      </c>
    </row>
    <row r="14">
      <c r="A14" s="5" t="n">
        <v>4</v>
      </c>
      <c r="B14" s="5" t="inlineStr">
        <is>
          <t>G4_S1</t>
        </is>
      </c>
      <c r="C14" s="5" t="inlineStr">
        <is>
          <t>pipette_10mL</t>
        </is>
      </c>
      <c r="D14" s="27">
        <f>IF(C14="pipette_10mL",10,IF(C14="burette_25mL",25,""))</f>
        <v/>
      </c>
      <c r="E14" s="27">
        <f>IF(C14="pipette_10mL",0.02,IF(C14="burette_25mL",0.05,""))</f>
        <v/>
      </c>
      <c r="F14" s="14">
        <f>IF(COUNTIFS('1_原始數據'!$B$2:$B$1000,$B14,'1_原始數據'!$C$2:$C$1000,$C14,'1_原始數據'!$D$2:$D$1000,1)=0,"",SUMIFS('1_原始數據'!$K$2:$K$1000,'1_原始數據'!$B$2:$B$1000,$B14,'1_原始數據'!$C$2:$C$1000,$C14,'1_原始數據'!$D$2:$D$1000,1))</f>
        <v/>
      </c>
      <c r="G14" s="14">
        <f>IF(COUNTIFS('1_原始數據'!$B$2:$B$1000,$B14,'1_原始數據'!$C$2:$C$1000,$C14,'1_原始數據'!$D$2:$D$1000,2)=0,"",SUMIFS('1_原始數據'!$K$2:$K$1000,'1_原始數據'!$B$2:$B$1000,$B14,'1_原始數據'!$C$2:$C$1000,$C14,'1_原始數據'!$D$2:$D$1000,2))</f>
        <v/>
      </c>
      <c r="H14" s="14">
        <f>IF(COUNTIFS('1_原始數據'!$B$2:$B$1000,$B14,'1_原始數據'!$C$2:$C$1000,$C14,'1_原始數據'!$D$2:$D$1000,3)=0,"",SUMIFS('1_原始數據'!$K$2:$K$1000,'1_原始數據'!$B$2:$B$1000,$B14,'1_原始數據'!$C$2:$C$1000,$C14,'1_原始數據'!$D$2:$D$1000,3))</f>
        <v/>
      </c>
      <c r="I14" s="14">
        <f>IF(COUNTIFS('1_原始數據'!$B$2:$B$1000,$B14,'1_原始數據'!$C$2:$C$1000,$C14,'1_原始數據'!$D$2:$D$1000,4)=0,"",SUMIFS('1_原始數據'!$K$2:$K$1000,'1_原始數據'!$B$2:$B$1000,$B14,'1_原始數據'!$C$2:$C$1000,$C14,'1_原始數據'!$D$2:$D$1000,4))</f>
        <v/>
      </c>
      <c r="J14" s="14">
        <f>IF(COUNTIFS('1_原始數據'!$B$2:$B$1000,$B14,'1_原始數據'!$C$2:$C$1000,$C14,'1_原始數據'!$D$2:$D$1000,5)=0,"",SUMIFS('1_原始數據'!$K$2:$K$1000,'1_原始數據'!$B$2:$B$1000,$B14,'1_原始數據'!$C$2:$C$1000,$C14,'1_原始數據'!$D$2:$D$1000,5))</f>
        <v/>
      </c>
      <c r="K14" s="14">
        <f>IF(COUNTIFS('1_原始數據'!$B$2:$B$1000,$B14,'1_原始數據'!$C$2:$C$1000,$C14,'1_原始數據'!$D$2:$D$1000,6)=0,"",SUMIFS('1_原始數據'!$K$2:$K$1000,'1_原始數據'!$B$2:$B$1000,$B14,'1_原始數據'!$C$2:$C$1000,$C14,'1_原始數據'!$D$2:$D$1000,6))</f>
        <v/>
      </c>
      <c r="L14" s="14">
        <f>IF(COUNTIFS('1_原始數據'!$B$2:$B$1000,$B14,'1_原始數據'!$C$2:$C$1000,$C14,'1_原始數據'!$D$2:$D$1000,7)=0,"",SUMIFS('1_原始數據'!$K$2:$K$1000,'1_原始數據'!$B$2:$B$1000,$B14,'1_原始數據'!$C$2:$C$1000,$C14,'1_原始數據'!$D$2:$D$1000,7))</f>
        <v/>
      </c>
      <c r="M14" s="14">
        <f>IF(COUNTIFS('1_原始數據'!$B$2:$B$1000,$B14,'1_原始數據'!$C$2:$C$1000,$C14,'1_原始數據'!$D$2:$D$1000,8)=0,"",SUMIFS('1_原始數據'!$K$2:$K$1000,'1_原始數據'!$B$2:$B$1000,$B14,'1_原始數據'!$C$2:$C$1000,$C14,'1_原始數據'!$D$2:$D$1000,8))</f>
        <v/>
      </c>
      <c r="N14" s="14">
        <f>IF(COUNTIFS('1_原始數據'!$B$2:$B$1000,$B14,'1_原始數據'!$C$2:$C$1000,$C14,'1_原始數據'!$D$2:$D$1000,9)=0,"",SUMIFS('1_原始數據'!$K$2:$K$1000,'1_原始數據'!$B$2:$B$1000,$B14,'1_原始數據'!$C$2:$C$1000,$C14,'1_原始數據'!$D$2:$D$1000,9))</f>
        <v/>
      </c>
      <c r="O14" s="14">
        <f>IF(COUNTIFS('1_原始數據'!$B$2:$B$1000,$B14,'1_原始數據'!$C$2:$C$1000,$C14,'1_原始數據'!$D$2:$D$1000,10)=0,"",SUMIFS('1_原始數據'!$K$2:$K$1000,'1_原始數據'!$B$2:$B$1000,$B14,'1_原始數據'!$C$2:$C$1000,$C14,'1_原始數據'!$D$2:$D$1000,10))</f>
        <v/>
      </c>
      <c r="P14" s="28">
        <f>COUNT(F14:O14)</f>
        <v/>
      </c>
      <c r="Q14" s="29">
        <f>AVERAGE(F14:O14)</f>
        <v/>
      </c>
      <c r="R14" s="29">
        <f>_xlfn.STDEV.S(F14:O14)</f>
        <v/>
      </c>
      <c r="S14" s="16">
        <f>R14/Q14*100</f>
        <v/>
      </c>
      <c r="T14" s="16">
        <f>_xlfn.T.INV.2T(0.05,P14-1)</f>
        <v/>
      </c>
      <c r="U14" s="29">
        <f>T14*R14/SQRT(P14)</f>
        <v/>
      </c>
      <c r="V14" s="30">
        <f>Q14-D14</f>
        <v/>
      </c>
      <c r="W14" s="13">
        <f>IF(ABS(V14)&lt;=E14,"是","否")</f>
        <v/>
      </c>
      <c r="X14" s="13">
        <f>IF(R14&lt;=E14/2,"是","否")</f>
        <v/>
      </c>
      <c r="Y14" s="13">
        <f>IF(W14="是",IF(X14="是","準確且精密","準確但不精密"),IF(X14="是","精密但不準確","不準確且不精密"))</f>
        <v/>
      </c>
      <c r="Z14" s="13">
        <f>FIXED(Q14,MAX(0,1-INT(LOG10(ABS(U14)))))&amp;" ± "&amp;FIXED(U14,MAX(0,1-INT(LOG10(ABS(U14)))))&amp;" mL"</f>
        <v/>
      </c>
    </row>
    <row r="15">
      <c r="A15" s="5" t="n">
        <v>4</v>
      </c>
      <c r="B15" s="5" t="inlineStr">
        <is>
          <t>G4_S2</t>
        </is>
      </c>
      <c r="C15" s="5" t="inlineStr">
        <is>
          <t>pipette_10mL</t>
        </is>
      </c>
      <c r="D15" s="27">
        <f>IF(C15="pipette_10mL",10,IF(C15="burette_25mL",25,""))</f>
        <v/>
      </c>
      <c r="E15" s="27">
        <f>IF(C15="pipette_10mL",0.02,IF(C15="burette_25mL",0.05,""))</f>
        <v/>
      </c>
      <c r="F15" s="14">
        <f>IF(COUNTIFS('1_原始數據'!$B$2:$B$1000,$B15,'1_原始數據'!$C$2:$C$1000,$C15,'1_原始數據'!$D$2:$D$1000,1)=0,"",SUMIFS('1_原始數據'!$K$2:$K$1000,'1_原始數據'!$B$2:$B$1000,$B15,'1_原始數據'!$C$2:$C$1000,$C15,'1_原始數據'!$D$2:$D$1000,1))</f>
        <v/>
      </c>
      <c r="G15" s="14">
        <f>IF(COUNTIFS('1_原始數據'!$B$2:$B$1000,$B15,'1_原始數據'!$C$2:$C$1000,$C15,'1_原始數據'!$D$2:$D$1000,2)=0,"",SUMIFS('1_原始數據'!$K$2:$K$1000,'1_原始數據'!$B$2:$B$1000,$B15,'1_原始數據'!$C$2:$C$1000,$C15,'1_原始數據'!$D$2:$D$1000,2))</f>
        <v/>
      </c>
      <c r="H15" s="14">
        <f>IF(COUNTIFS('1_原始數據'!$B$2:$B$1000,$B15,'1_原始數據'!$C$2:$C$1000,$C15,'1_原始數據'!$D$2:$D$1000,3)=0,"",SUMIFS('1_原始數據'!$K$2:$K$1000,'1_原始數據'!$B$2:$B$1000,$B15,'1_原始數據'!$C$2:$C$1000,$C15,'1_原始數據'!$D$2:$D$1000,3))</f>
        <v/>
      </c>
      <c r="I15" s="14">
        <f>IF(COUNTIFS('1_原始數據'!$B$2:$B$1000,$B15,'1_原始數據'!$C$2:$C$1000,$C15,'1_原始數據'!$D$2:$D$1000,4)=0,"",SUMIFS('1_原始數據'!$K$2:$K$1000,'1_原始數據'!$B$2:$B$1000,$B15,'1_原始數據'!$C$2:$C$1000,$C15,'1_原始數據'!$D$2:$D$1000,4))</f>
        <v/>
      </c>
      <c r="J15" s="14">
        <f>IF(COUNTIFS('1_原始數據'!$B$2:$B$1000,$B15,'1_原始數據'!$C$2:$C$1000,$C15,'1_原始數據'!$D$2:$D$1000,5)=0,"",SUMIFS('1_原始數據'!$K$2:$K$1000,'1_原始數據'!$B$2:$B$1000,$B15,'1_原始數據'!$C$2:$C$1000,$C15,'1_原始數據'!$D$2:$D$1000,5))</f>
        <v/>
      </c>
      <c r="K15" s="14">
        <f>IF(COUNTIFS('1_原始數據'!$B$2:$B$1000,$B15,'1_原始數據'!$C$2:$C$1000,$C15,'1_原始數據'!$D$2:$D$1000,6)=0,"",SUMIFS('1_原始數據'!$K$2:$K$1000,'1_原始數據'!$B$2:$B$1000,$B15,'1_原始數據'!$C$2:$C$1000,$C15,'1_原始數據'!$D$2:$D$1000,6))</f>
        <v/>
      </c>
      <c r="L15" s="14">
        <f>IF(COUNTIFS('1_原始數據'!$B$2:$B$1000,$B15,'1_原始數據'!$C$2:$C$1000,$C15,'1_原始數據'!$D$2:$D$1000,7)=0,"",SUMIFS('1_原始數據'!$K$2:$K$1000,'1_原始數據'!$B$2:$B$1000,$B15,'1_原始數據'!$C$2:$C$1000,$C15,'1_原始數據'!$D$2:$D$1000,7))</f>
        <v/>
      </c>
      <c r="M15" s="14">
        <f>IF(COUNTIFS('1_原始數據'!$B$2:$B$1000,$B15,'1_原始數據'!$C$2:$C$1000,$C15,'1_原始數據'!$D$2:$D$1000,8)=0,"",SUMIFS('1_原始數據'!$K$2:$K$1000,'1_原始數據'!$B$2:$B$1000,$B15,'1_原始數據'!$C$2:$C$1000,$C15,'1_原始數據'!$D$2:$D$1000,8))</f>
        <v/>
      </c>
      <c r="N15" s="14">
        <f>IF(COUNTIFS('1_原始數據'!$B$2:$B$1000,$B15,'1_原始數據'!$C$2:$C$1000,$C15,'1_原始數據'!$D$2:$D$1000,9)=0,"",SUMIFS('1_原始數據'!$K$2:$K$1000,'1_原始數據'!$B$2:$B$1000,$B15,'1_原始數據'!$C$2:$C$1000,$C15,'1_原始數據'!$D$2:$D$1000,9))</f>
        <v/>
      </c>
      <c r="O15" s="14">
        <f>IF(COUNTIFS('1_原始數據'!$B$2:$B$1000,$B15,'1_原始數據'!$C$2:$C$1000,$C15,'1_原始數據'!$D$2:$D$1000,10)=0,"",SUMIFS('1_原始數據'!$K$2:$K$1000,'1_原始數據'!$B$2:$B$1000,$B15,'1_原始數據'!$C$2:$C$1000,$C15,'1_原始數據'!$D$2:$D$1000,10))</f>
        <v/>
      </c>
      <c r="P15" s="28">
        <f>COUNT(F15:O15)</f>
        <v/>
      </c>
      <c r="Q15" s="29">
        <f>AVERAGE(F15:O15)</f>
        <v/>
      </c>
      <c r="R15" s="29">
        <f>_xlfn.STDEV.S(F15:O15)</f>
        <v/>
      </c>
      <c r="S15" s="16">
        <f>R15/Q15*100</f>
        <v/>
      </c>
      <c r="T15" s="16">
        <f>_xlfn.T.INV.2T(0.05,P15-1)</f>
        <v/>
      </c>
      <c r="U15" s="29">
        <f>T15*R15/SQRT(P15)</f>
        <v/>
      </c>
      <c r="V15" s="30">
        <f>Q15-D15</f>
        <v/>
      </c>
      <c r="W15" s="13">
        <f>IF(ABS(V15)&lt;=E15,"是","否")</f>
        <v/>
      </c>
      <c r="X15" s="13">
        <f>IF(R15&lt;=E15/2,"是","否")</f>
        <v/>
      </c>
      <c r="Y15" s="13">
        <f>IF(W15="是",IF(X15="是","準確且精密","準確但不精密"),IF(X15="是","精密但不準確","不準確且不精密"))</f>
        <v/>
      </c>
      <c r="Z15" s="13">
        <f>FIXED(Q15,MAX(0,1-INT(LOG10(ABS(U15)))))&amp;" ± "&amp;FIXED(U15,MAX(0,1-INT(LOG10(ABS(U15)))))&amp;" mL"</f>
        <v/>
      </c>
    </row>
    <row r="16">
      <c r="A16" s="5" t="n">
        <v>4</v>
      </c>
      <c r="B16" s="5" t="inlineStr">
        <is>
          <t>G4_S3</t>
        </is>
      </c>
      <c r="C16" s="5" t="inlineStr">
        <is>
          <t>pipette_10mL</t>
        </is>
      </c>
      <c r="D16" s="27">
        <f>IF(C16="pipette_10mL",10,IF(C16="burette_25mL",25,""))</f>
        <v/>
      </c>
      <c r="E16" s="27">
        <f>IF(C16="pipette_10mL",0.02,IF(C16="burette_25mL",0.05,""))</f>
        <v/>
      </c>
      <c r="F16" s="14">
        <f>IF(COUNTIFS('1_原始數據'!$B$2:$B$1000,$B16,'1_原始數據'!$C$2:$C$1000,$C16,'1_原始數據'!$D$2:$D$1000,1)=0,"",SUMIFS('1_原始數據'!$K$2:$K$1000,'1_原始數據'!$B$2:$B$1000,$B16,'1_原始數據'!$C$2:$C$1000,$C16,'1_原始數據'!$D$2:$D$1000,1))</f>
        <v/>
      </c>
      <c r="G16" s="14">
        <f>IF(COUNTIFS('1_原始數據'!$B$2:$B$1000,$B16,'1_原始數據'!$C$2:$C$1000,$C16,'1_原始數據'!$D$2:$D$1000,2)=0,"",SUMIFS('1_原始數據'!$K$2:$K$1000,'1_原始數據'!$B$2:$B$1000,$B16,'1_原始數據'!$C$2:$C$1000,$C16,'1_原始數據'!$D$2:$D$1000,2))</f>
        <v/>
      </c>
      <c r="H16" s="14">
        <f>IF(COUNTIFS('1_原始數據'!$B$2:$B$1000,$B16,'1_原始數據'!$C$2:$C$1000,$C16,'1_原始數據'!$D$2:$D$1000,3)=0,"",SUMIFS('1_原始數據'!$K$2:$K$1000,'1_原始數據'!$B$2:$B$1000,$B16,'1_原始數據'!$C$2:$C$1000,$C16,'1_原始數據'!$D$2:$D$1000,3))</f>
        <v/>
      </c>
      <c r="I16" s="14">
        <f>IF(COUNTIFS('1_原始數據'!$B$2:$B$1000,$B16,'1_原始數據'!$C$2:$C$1000,$C16,'1_原始數據'!$D$2:$D$1000,4)=0,"",SUMIFS('1_原始數據'!$K$2:$K$1000,'1_原始數據'!$B$2:$B$1000,$B16,'1_原始數據'!$C$2:$C$1000,$C16,'1_原始數據'!$D$2:$D$1000,4))</f>
        <v/>
      </c>
      <c r="J16" s="14">
        <f>IF(COUNTIFS('1_原始數據'!$B$2:$B$1000,$B16,'1_原始數據'!$C$2:$C$1000,$C16,'1_原始數據'!$D$2:$D$1000,5)=0,"",SUMIFS('1_原始數據'!$K$2:$K$1000,'1_原始數據'!$B$2:$B$1000,$B16,'1_原始數據'!$C$2:$C$1000,$C16,'1_原始數據'!$D$2:$D$1000,5))</f>
        <v/>
      </c>
      <c r="K16" s="14">
        <f>IF(COUNTIFS('1_原始數據'!$B$2:$B$1000,$B16,'1_原始數據'!$C$2:$C$1000,$C16,'1_原始數據'!$D$2:$D$1000,6)=0,"",SUMIFS('1_原始數據'!$K$2:$K$1000,'1_原始數據'!$B$2:$B$1000,$B16,'1_原始數據'!$C$2:$C$1000,$C16,'1_原始數據'!$D$2:$D$1000,6))</f>
        <v/>
      </c>
      <c r="L16" s="14">
        <f>IF(COUNTIFS('1_原始數據'!$B$2:$B$1000,$B16,'1_原始數據'!$C$2:$C$1000,$C16,'1_原始數據'!$D$2:$D$1000,7)=0,"",SUMIFS('1_原始數據'!$K$2:$K$1000,'1_原始數據'!$B$2:$B$1000,$B16,'1_原始數據'!$C$2:$C$1000,$C16,'1_原始數據'!$D$2:$D$1000,7))</f>
        <v/>
      </c>
      <c r="M16" s="14">
        <f>IF(COUNTIFS('1_原始數據'!$B$2:$B$1000,$B16,'1_原始數據'!$C$2:$C$1000,$C16,'1_原始數據'!$D$2:$D$1000,8)=0,"",SUMIFS('1_原始數據'!$K$2:$K$1000,'1_原始數據'!$B$2:$B$1000,$B16,'1_原始數據'!$C$2:$C$1000,$C16,'1_原始數據'!$D$2:$D$1000,8))</f>
        <v/>
      </c>
      <c r="N16" s="14">
        <f>IF(COUNTIFS('1_原始數據'!$B$2:$B$1000,$B16,'1_原始數據'!$C$2:$C$1000,$C16,'1_原始數據'!$D$2:$D$1000,9)=0,"",SUMIFS('1_原始數據'!$K$2:$K$1000,'1_原始數據'!$B$2:$B$1000,$B16,'1_原始數據'!$C$2:$C$1000,$C16,'1_原始數據'!$D$2:$D$1000,9))</f>
        <v/>
      </c>
      <c r="O16" s="14">
        <f>IF(COUNTIFS('1_原始數據'!$B$2:$B$1000,$B16,'1_原始數據'!$C$2:$C$1000,$C16,'1_原始數據'!$D$2:$D$1000,10)=0,"",SUMIFS('1_原始數據'!$K$2:$K$1000,'1_原始數據'!$B$2:$B$1000,$B16,'1_原始數據'!$C$2:$C$1000,$C16,'1_原始數據'!$D$2:$D$1000,10))</f>
        <v/>
      </c>
      <c r="P16" s="28">
        <f>COUNT(F16:O16)</f>
        <v/>
      </c>
      <c r="Q16" s="29">
        <f>AVERAGE(F16:O16)</f>
        <v/>
      </c>
      <c r="R16" s="29">
        <f>_xlfn.STDEV.S(F16:O16)</f>
        <v/>
      </c>
      <c r="S16" s="16">
        <f>R16/Q16*100</f>
        <v/>
      </c>
      <c r="T16" s="16">
        <f>_xlfn.T.INV.2T(0.05,P16-1)</f>
        <v/>
      </c>
      <c r="U16" s="29">
        <f>T16*R16/SQRT(P16)</f>
        <v/>
      </c>
      <c r="V16" s="30">
        <f>Q16-D16</f>
        <v/>
      </c>
      <c r="W16" s="13">
        <f>IF(ABS(V16)&lt;=E16,"是","否")</f>
        <v/>
      </c>
      <c r="X16" s="13">
        <f>IF(R16&lt;=E16/2,"是","否")</f>
        <v/>
      </c>
      <c r="Y16" s="13">
        <f>IF(W16="是",IF(X16="是","準確且精密","準確但不精密"),IF(X16="是","精密但不準確","不準確且不精密"))</f>
        <v/>
      </c>
      <c r="Z16" s="13">
        <f>FIXED(Q16,MAX(0,1-INT(LOG10(ABS(U16)))))&amp;" ± "&amp;FIXED(U16,MAX(0,1-INT(LOG10(ABS(U16)))))&amp;" mL"</f>
        <v/>
      </c>
    </row>
    <row r="17">
      <c r="A17" s="5" t="n">
        <v>5</v>
      </c>
      <c r="B17" s="5" t="inlineStr">
        <is>
          <t>G5_S1</t>
        </is>
      </c>
      <c r="C17" s="5" t="inlineStr">
        <is>
          <t>pipette_10mL</t>
        </is>
      </c>
      <c r="D17" s="27">
        <f>IF(C17="pipette_10mL",10,IF(C17="burette_25mL",25,""))</f>
        <v/>
      </c>
      <c r="E17" s="27">
        <f>IF(C17="pipette_10mL",0.02,IF(C17="burette_25mL",0.05,""))</f>
        <v/>
      </c>
      <c r="F17" s="14">
        <f>IF(COUNTIFS('1_原始數據'!$B$2:$B$1000,$B17,'1_原始數據'!$C$2:$C$1000,$C17,'1_原始數據'!$D$2:$D$1000,1)=0,"",SUMIFS('1_原始數據'!$K$2:$K$1000,'1_原始數據'!$B$2:$B$1000,$B17,'1_原始數據'!$C$2:$C$1000,$C17,'1_原始數據'!$D$2:$D$1000,1))</f>
        <v/>
      </c>
      <c r="G17" s="14">
        <f>IF(COUNTIFS('1_原始數據'!$B$2:$B$1000,$B17,'1_原始數據'!$C$2:$C$1000,$C17,'1_原始數據'!$D$2:$D$1000,2)=0,"",SUMIFS('1_原始數據'!$K$2:$K$1000,'1_原始數據'!$B$2:$B$1000,$B17,'1_原始數據'!$C$2:$C$1000,$C17,'1_原始數據'!$D$2:$D$1000,2))</f>
        <v/>
      </c>
      <c r="H17" s="14">
        <f>IF(COUNTIFS('1_原始數據'!$B$2:$B$1000,$B17,'1_原始數據'!$C$2:$C$1000,$C17,'1_原始數據'!$D$2:$D$1000,3)=0,"",SUMIFS('1_原始數據'!$K$2:$K$1000,'1_原始數據'!$B$2:$B$1000,$B17,'1_原始數據'!$C$2:$C$1000,$C17,'1_原始數據'!$D$2:$D$1000,3))</f>
        <v/>
      </c>
      <c r="I17" s="14">
        <f>IF(COUNTIFS('1_原始數據'!$B$2:$B$1000,$B17,'1_原始數據'!$C$2:$C$1000,$C17,'1_原始數據'!$D$2:$D$1000,4)=0,"",SUMIFS('1_原始數據'!$K$2:$K$1000,'1_原始數據'!$B$2:$B$1000,$B17,'1_原始數據'!$C$2:$C$1000,$C17,'1_原始數據'!$D$2:$D$1000,4))</f>
        <v/>
      </c>
      <c r="J17" s="14">
        <f>IF(COUNTIFS('1_原始數據'!$B$2:$B$1000,$B17,'1_原始數據'!$C$2:$C$1000,$C17,'1_原始數據'!$D$2:$D$1000,5)=0,"",SUMIFS('1_原始數據'!$K$2:$K$1000,'1_原始數據'!$B$2:$B$1000,$B17,'1_原始數據'!$C$2:$C$1000,$C17,'1_原始數據'!$D$2:$D$1000,5))</f>
        <v/>
      </c>
      <c r="K17" s="14">
        <f>IF(COUNTIFS('1_原始數據'!$B$2:$B$1000,$B17,'1_原始數據'!$C$2:$C$1000,$C17,'1_原始數據'!$D$2:$D$1000,6)=0,"",SUMIFS('1_原始數據'!$K$2:$K$1000,'1_原始數據'!$B$2:$B$1000,$B17,'1_原始數據'!$C$2:$C$1000,$C17,'1_原始數據'!$D$2:$D$1000,6))</f>
        <v/>
      </c>
      <c r="L17" s="14">
        <f>IF(COUNTIFS('1_原始數據'!$B$2:$B$1000,$B17,'1_原始數據'!$C$2:$C$1000,$C17,'1_原始數據'!$D$2:$D$1000,7)=0,"",SUMIFS('1_原始數據'!$K$2:$K$1000,'1_原始數據'!$B$2:$B$1000,$B17,'1_原始數據'!$C$2:$C$1000,$C17,'1_原始數據'!$D$2:$D$1000,7))</f>
        <v/>
      </c>
      <c r="M17" s="14">
        <f>IF(COUNTIFS('1_原始數據'!$B$2:$B$1000,$B17,'1_原始數據'!$C$2:$C$1000,$C17,'1_原始數據'!$D$2:$D$1000,8)=0,"",SUMIFS('1_原始數據'!$K$2:$K$1000,'1_原始數據'!$B$2:$B$1000,$B17,'1_原始數據'!$C$2:$C$1000,$C17,'1_原始數據'!$D$2:$D$1000,8))</f>
        <v/>
      </c>
      <c r="N17" s="14">
        <f>IF(COUNTIFS('1_原始數據'!$B$2:$B$1000,$B17,'1_原始數據'!$C$2:$C$1000,$C17,'1_原始數據'!$D$2:$D$1000,9)=0,"",SUMIFS('1_原始數據'!$K$2:$K$1000,'1_原始數據'!$B$2:$B$1000,$B17,'1_原始數據'!$C$2:$C$1000,$C17,'1_原始數據'!$D$2:$D$1000,9))</f>
        <v/>
      </c>
      <c r="O17" s="14">
        <f>IF(COUNTIFS('1_原始數據'!$B$2:$B$1000,$B17,'1_原始數據'!$C$2:$C$1000,$C17,'1_原始數據'!$D$2:$D$1000,10)=0,"",SUMIFS('1_原始數據'!$K$2:$K$1000,'1_原始數據'!$B$2:$B$1000,$B17,'1_原始數據'!$C$2:$C$1000,$C17,'1_原始數據'!$D$2:$D$1000,10))</f>
        <v/>
      </c>
      <c r="P17" s="28">
        <f>COUNT(F17:O17)</f>
        <v/>
      </c>
      <c r="Q17" s="29">
        <f>AVERAGE(F17:O17)</f>
        <v/>
      </c>
      <c r="R17" s="29">
        <f>_xlfn.STDEV.S(F17:O17)</f>
        <v/>
      </c>
      <c r="S17" s="16">
        <f>R17/Q17*100</f>
        <v/>
      </c>
      <c r="T17" s="16">
        <f>_xlfn.T.INV.2T(0.05,P17-1)</f>
        <v/>
      </c>
      <c r="U17" s="29">
        <f>T17*R17/SQRT(P17)</f>
        <v/>
      </c>
      <c r="V17" s="30">
        <f>Q17-D17</f>
        <v/>
      </c>
      <c r="W17" s="13">
        <f>IF(ABS(V17)&lt;=E17,"是","否")</f>
        <v/>
      </c>
      <c r="X17" s="13">
        <f>IF(R17&lt;=E17/2,"是","否")</f>
        <v/>
      </c>
      <c r="Y17" s="13">
        <f>IF(W17="是",IF(X17="是","準確且精密","準確但不精密"),IF(X17="是","精密但不準確","不準確且不精密"))</f>
        <v/>
      </c>
      <c r="Z17" s="13">
        <f>FIXED(Q17,MAX(0,1-INT(LOG10(ABS(U17)))))&amp;" ± "&amp;FIXED(U17,MAX(0,1-INT(LOG10(ABS(U17)))))&amp;" mL"</f>
        <v/>
      </c>
    </row>
    <row r="18">
      <c r="A18" s="5" t="n">
        <v>5</v>
      </c>
      <c r="B18" s="5" t="inlineStr">
        <is>
          <t>G5_S2</t>
        </is>
      </c>
      <c r="C18" s="5" t="inlineStr">
        <is>
          <t>pipette_10mL</t>
        </is>
      </c>
      <c r="D18" s="27">
        <f>IF(C18="pipette_10mL",10,IF(C18="burette_25mL",25,""))</f>
        <v/>
      </c>
      <c r="E18" s="27">
        <f>IF(C18="pipette_10mL",0.02,IF(C18="burette_25mL",0.05,""))</f>
        <v/>
      </c>
      <c r="F18" s="14">
        <f>IF(COUNTIFS('1_原始數據'!$B$2:$B$1000,$B18,'1_原始數據'!$C$2:$C$1000,$C18,'1_原始數據'!$D$2:$D$1000,1)=0,"",SUMIFS('1_原始數據'!$K$2:$K$1000,'1_原始數據'!$B$2:$B$1000,$B18,'1_原始數據'!$C$2:$C$1000,$C18,'1_原始數據'!$D$2:$D$1000,1))</f>
        <v/>
      </c>
      <c r="G18" s="14">
        <f>IF(COUNTIFS('1_原始數據'!$B$2:$B$1000,$B18,'1_原始數據'!$C$2:$C$1000,$C18,'1_原始數據'!$D$2:$D$1000,2)=0,"",SUMIFS('1_原始數據'!$K$2:$K$1000,'1_原始數據'!$B$2:$B$1000,$B18,'1_原始數據'!$C$2:$C$1000,$C18,'1_原始數據'!$D$2:$D$1000,2))</f>
        <v/>
      </c>
      <c r="H18" s="14">
        <f>IF(COUNTIFS('1_原始數據'!$B$2:$B$1000,$B18,'1_原始數據'!$C$2:$C$1000,$C18,'1_原始數據'!$D$2:$D$1000,3)=0,"",SUMIFS('1_原始數據'!$K$2:$K$1000,'1_原始數據'!$B$2:$B$1000,$B18,'1_原始數據'!$C$2:$C$1000,$C18,'1_原始數據'!$D$2:$D$1000,3))</f>
        <v/>
      </c>
      <c r="I18" s="14">
        <f>IF(COUNTIFS('1_原始數據'!$B$2:$B$1000,$B18,'1_原始數據'!$C$2:$C$1000,$C18,'1_原始數據'!$D$2:$D$1000,4)=0,"",SUMIFS('1_原始數據'!$K$2:$K$1000,'1_原始數據'!$B$2:$B$1000,$B18,'1_原始數據'!$C$2:$C$1000,$C18,'1_原始數據'!$D$2:$D$1000,4))</f>
        <v/>
      </c>
      <c r="J18" s="14">
        <f>IF(COUNTIFS('1_原始數據'!$B$2:$B$1000,$B18,'1_原始數據'!$C$2:$C$1000,$C18,'1_原始數據'!$D$2:$D$1000,5)=0,"",SUMIFS('1_原始數據'!$K$2:$K$1000,'1_原始數據'!$B$2:$B$1000,$B18,'1_原始數據'!$C$2:$C$1000,$C18,'1_原始數據'!$D$2:$D$1000,5))</f>
        <v/>
      </c>
      <c r="K18" s="14">
        <f>IF(COUNTIFS('1_原始數據'!$B$2:$B$1000,$B18,'1_原始數據'!$C$2:$C$1000,$C18,'1_原始數據'!$D$2:$D$1000,6)=0,"",SUMIFS('1_原始數據'!$K$2:$K$1000,'1_原始數據'!$B$2:$B$1000,$B18,'1_原始數據'!$C$2:$C$1000,$C18,'1_原始數據'!$D$2:$D$1000,6))</f>
        <v/>
      </c>
      <c r="L18" s="14">
        <f>IF(COUNTIFS('1_原始數據'!$B$2:$B$1000,$B18,'1_原始數據'!$C$2:$C$1000,$C18,'1_原始數據'!$D$2:$D$1000,7)=0,"",SUMIFS('1_原始數據'!$K$2:$K$1000,'1_原始數據'!$B$2:$B$1000,$B18,'1_原始數據'!$C$2:$C$1000,$C18,'1_原始數據'!$D$2:$D$1000,7))</f>
        <v/>
      </c>
      <c r="M18" s="14">
        <f>IF(COUNTIFS('1_原始數據'!$B$2:$B$1000,$B18,'1_原始數據'!$C$2:$C$1000,$C18,'1_原始數據'!$D$2:$D$1000,8)=0,"",SUMIFS('1_原始數據'!$K$2:$K$1000,'1_原始數據'!$B$2:$B$1000,$B18,'1_原始數據'!$C$2:$C$1000,$C18,'1_原始數據'!$D$2:$D$1000,8))</f>
        <v/>
      </c>
      <c r="N18" s="14">
        <f>IF(COUNTIFS('1_原始數據'!$B$2:$B$1000,$B18,'1_原始數據'!$C$2:$C$1000,$C18,'1_原始數據'!$D$2:$D$1000,9)=0,"",SUMIFS('1_原始數據'!$K$2:$K$1000,'1_原始數據'!$B$2:$B$1000,$B18,'1_原始數據'!$C$2:$C$1000,$C18,'1_原始數據'!$D$2:$D$1000,9))</f>
        <v/>
      </c>
      <c r="O18" s="14">
        <f>IF(COUNTIFS('1_原始數據'!$B$2:$B$1000,$B18,'1_原始數據'!$C$2:$C$1000,$C18,'1_原始數據'!$D$2:$D$1000,10)=0,"",SUMIFS('1_原始數據'!$K$2:$K$1000,'1_原始數據'!$B$2:$B$1000,$B18,'1_原始數據'!$C$2:$C$1000,$C18,'1_原始數據'!$D$2:$D$1000,10))</f>
        <v/>
      </c>
      <c r="P18" s="28">
        <f>COUNT(F18:O18)</f>
        <v/>
      </c>
      <c r="Q18" s="29">
        <f>AVERAGE(F18:O18)</f>
        <v/>
      </c>
      <c r="R18" s="29">
        <f>_xlfn.STDEV.S(F18:O18)</f>
        <v/>
      </c>
      <c r="S18" s="16">
        <f>R18/Q18*100</f>
        <v/>
      </c>
      <c r="T18" s="16">
        <f>_xlfn.T.INV.2T(0.05,P18-1)</f>
        <v/>
      </c>
      <c r="U18" s="29">
        <f>T18*R18/SQRT(P18)</f>
        <v/>
      </c>
      <c r="V18" s="30">
        <f>Q18-D18</f>
        <v/>
      </c>
      <c r="W18" s="13">
        <f>IF(ABS(V18)&lt;=E18,"是","否")</f>
        <v/>
      </c>
      <c r="X18" s="13">
        <f>IF(R18&lt;=E18/2,"是","否")</f>
        <v/>
      </c>
      <c r="Y18" s="13">
        <f>IF(W18="是",IF(X18="是","準確且精密","準確但不精密"),IF(X18="是","精密但不準確","不準確且不精密"))</f>
        <v/>
      </c>
      <c r="Z18" s="13">
        <f>FIXED(Q18,MAX(0,1-INT(LOG10(ABS(U18)))))&amp;" ± "&amp;FIXED(U18,MAX(0,1-INT(LOG10(ABS(U18)))))&amp;" mL"</f>
        <v/>
      </c>
    </row>
    <row r="19">
      <c r="A19" s="5" t="n">
        <v>5</v>
      </c>
      <c r="B19" s="5" t="inlineStr">
        <is>
          <t>G5_S3</t>
        </is>
      </c>
      <c r="C19" s="5" t="inlineStr">
        <is>
          <t>pipette_10mL</t>
        </is>
      </c>
      <c r="D19" s="27">
        <f>IF(C19="pipette_10mL",10,IF(C19="burette_25mL",25,""))</f>
        <v/>
      </c>
      <c r="E19" s="27">
        <f>IF(C19="pipette_10mL",0.02,IF(C19="burette_25mL",0.05,""))</f>
        <v/>
      </c>
      <c r="F19" s="14">
        <f>IF(COUNTIFS('1_原始數據'!$B$2:$B$1000,$B19,'1_原始數據'!$C$2:$C$1000,$C19,'1_原始數據'!$D$2:$D$1000,1)=0,"",SUMIFS('1_原始數據'!$K$2:$K$1000,'1_原始數據'!$B$2:$B$1000,$B19,'1_原始數據'!$C$2:$C$1000,$C19,'1_原始數據'!$D$2:$D$1000,1))</f>
        <v/>
      </c>
      <c r="G19" s="14">
        <f>IF(COUNTIFS('1_原始數據'!$B$2:$B$1000,$B19,'1_原始數據'!$C$2:$C$1000,$C19,'1_原始數據'!$D$2:$D$1000,2)=0,"",SUMIFS('1_原始數據'!$K$2:$K$1000,'1_原始數據'!$B$2:$B$1000,$B19,'1_原始數據'!$C$2:$C$1000,$C19,'1_原始數據'!$D$2:$D$1000,2))</f>
        <v/>
      </c>
      <c r="H19" s="14">
        <f>IF(COUNTIFS('1_原始數據'!$B$2:$B$1000,$B19,'1_原始數據'!$C$2:$C$1000,$C19,'1_原始數據'!$D$2:$D$1000,3)=0,"",SUMIFS('1_原始數據'!$K$2:$K$1000,'1_原始數據'!$B$2:$B$1000,$B19,'1_原始數據'!$C$2:$C$1000,$C19,'1_原始數據'!$D$2:$D$1000,3))</f>
        <v/>
      </c>
      <c r="I19" s="14">
        <f>IF(COUNTIFS('1_原始數據'!$B$2:$B$1000,$B19,'1_原始數據'!$C$2:$C$1000,$C19,'1_原始數據'!$D$2:$D$1000,4)=0,"",SUMIFS('1_原始數據'!$K$2:$K$1000,'1_原始數據'!$B$2:$B$1000,$B19,'1_原始數據'!$C$2:$C$1000,$C19,'1_原始數據'!$D$2:$D$1000,4))</f>
        <v/>
      </c>
      <c r="J19" s="14">
        <f>IF(COUNTIFS('1_原始數據'!$B$2:$B$1000,$B19,'1_原始數據'!$C$2:$C$1000,$C19,'1_原始數據'!$D$2:$D$1000,5)=0,"",SUMIFS('1_原始數據'!$K$2:$K$1000,'1_原始數據'!$B$2:$B$1000,$B19,'1_原始數據'!$C$2:$C$1000,$C19,'1_原始數據'!$D$2:$D$1000,5))</f>
        <v/>
      </c>
      <c r="K19" s="14">
        <f>IF(COUNTIFS('1_原始數據'!$B$2:$B$1000,$B19,'1_原始數據'!$C$2:$C$1000,$C19,'1_原始數據'!$D$2:$D$1000,6)=0,"",SUMIFS('1_原始數據'!$K$2:$K$1000,'1_原始數據'!$B$2:$B$1000,$B19,'1_原始數據'!$C$2:$C$1000,$C19,'1_原始數據'!$D$2:$D$1000,6))</f>
        <v/>
      </c>
      <c r="L19" s="14">
        <f>IF(COUNTIFS('1_原始數據'!$B$2:$B$1000,$B19,'1_原始數據'!$C$2:$C$1000,$C19,'1_原始數據'!$D$2:$D$1000,7)=0,"",SUMIFS('1_原始數據'!$K$2:$K$1000,'1_原始數據'!$B$2:$B$1000,$B19,'1_原始數據'!$C$2:$C$1000,$C19,'1_原始數據'!$D$2:$D$1000,7))</f>
        <v/>
      </c>
      <c r="M19" s="14">
        <f>IF(COUNTIFS('1_原始數據'!$B$2:$B$1000,$B19,'1_原始數據'!$C$2:$C$1000,$C19,'1_原始數據'!$D$2:$D$1000,8)=0,"",SUMIFS('1_原始數據'!$K$2:$K$1000,'1_原始數據'!$B$2:$B$1000,$B19,'1_原始數據'!$C$2:$C$1000,$C19,'1_原始數據'!$D$2:$D$1000,8))</f>
        <v/>
      </c>
      <c r="N19" s="14">
        <f>IF(COUNTIFS('1_原始數據'!$B$2:$B$1000,$B19,'1_原始數據'!$C$2:$C$1000,$C19,'1_原始數據'!$D$2:$D$1000,9)=0,"",SUMIFS('1_原始數據'!$K$2:$K$1000,'1_原始數據'!$B$2:$B$1000,$B19,'1_原始數據'!$C$2:$C$1000,$C19,'1_原始數據'!$D$2:$D$1000,9))</f>
        <v/>
      </c>
      <c r="O19" s="14">
        <f>IF(COUNTIFS('1_原始數據'!$B$2:$B$1000,$B19,'1_原始數據'!$C$2:$C$1000,$C19,'1_原始數據'!$D$2:$D$1000,10)=0,"",SUMIFS('1_原始數據'!$K$2:$K$1000,'1_原始數據'!$B$2:$B$1000,$B19,'1_原始數據'!$C$2:$C$1000,$C19,'1_原始數據'!$D$2:$D$1000,10))</f>
        <v/>
      </c>
      <c r="P19" s="28">
        <f>COUNT(F19:O19)</f>
        <v/>
      </c>
      <c r="Q19" s="29">
        <f>AVERAGE(F19:O19)</f>
        <v/>
      </c>
      <c r="R19" s="29">
        <f>_xlfn.STDEV.S(F19:O19)</f>
        <v/>
      </c>
      <c r="S19" s="16">
        <f>R19/Q19*100</f>
        <v/>
      </c>
      <c r="T19" s="16">
        <f>_xlfn.T.INV.2T(0.05,P19-1)</f>
        <v/>
      </c>
      <c r="U19" s="29">
        <f>T19*R19/SQRT(P19)</f>
        <v/>
      </c>
      <c r="V19" s="30">
        <f>Q19-D19</f>
        <v/>
      </c>
      <c r="W19" s="13">
        <f>IF(ABS(V19)&lt;=E19,"是","否")</f>
        <v/>
      </c>
      <c r="X19" s="13">
        <f>IF(R19&lt;=E19/2,"是","否")</f>
        <v/>
      </c>
      <c r="Y19" s="13">
        <f>IF(W19="是",IF(X19="是","準確且精密","準確但不精密"),IF(X19="是","精密但不準確","不準確且不精密"))</f>
        <v/>
      </c>
      <c r="Z19" s="13">
        <f>FIXED(Q19,MAX(0,1-INT(LOG10(ABS(U19)))))&amp;" ± "&amp;FIXED(U19,MAX(0,1-INT(LOG10(ABS(U19)))))&amp;" mL"</f>
        <v/>
      </c>
    </row>
    <row r="20">
      <c r="A20" s="5" t="n">
        <v>1</v>
      </c>
      <c r="B20" s="5" t="inlineStr">
        <is>
          <t>G1_S1</t>
        </is>
      </c>
      <c r="C20" s="5" t="inlineStr">
        <is>
          <t>burette_25mL</t>
        </is>
      </c>
      <c r="D20" s="27">
        <f>IF(C20="pipette_10mL",10,IF(C20="burette_25mL",25,""))</f>
        <v/>
      </c>
      <c r="E20" s="27">
        <f>IF(C20="pipette_10mL",0.02,IF(C20="burette_25mL",0.05,""))</f>
        <v/>
      </c>
      <c r="F20" s="14">
        <f>IF(COUNTIFS('1_原始數據'!$B$2:$B$1000,$B20,'1_原始數據'!$C$2:$C$1000,$C20,'1_原始數據'!$D$2:$D$1000,1)=0,"",SUMIFS('1_原始數據'!$K$2:$K$1000,'1_原始數據'!$B$2:$B$1000,$B20,'1_原始數據'!$C$2:$C$1000,$C20,'1_原始數據'!$D$2:$D$1000,1))</f>
        <v/>
      </c>
      <c r="G20" s="14">
        <f>IF(COUNTIFS('1_原始數據'!$B$2:$B$1000,$B20,'1_原始數據'!$C$2:$C$1000,$C20,'1_原始數據'!$D$2:$D$1000,2)=0,"",SUMIFS('1_原始數據'!$K$2:$K$1000,'1_原始數據'!$B$2:$B$1000,$B20,'1_原始數據'!$C$2:$C$1000,$C20,'1_原始數據'!$D$2:$D$1000,2))</f>
        <v/>
      </c>
      <c r="H20" s="14">
        <f>IF(COUNTIFS('1_原始數據'!$B$2:$B$1000,$B20,'1_原始數據'!$C$2:$C$1000,$C20,'1_原始數據'!$D$2:$D$1000,3)=0,"",SUMIFS('1_原始數據'!$K$2:$K$1000,'1_原始數據'!$B$2:$B$1000,$B20,'1_原始數據'!$C$2:$C$1000,$C20,'1_原始數據'!$D$2:$D$1000,3))</f>
        <v/>
      </c>
      <c r="I20" s="14">
        <f>IF(COUNTIFS('1_原始數據'!$B$2:$B$1000,$B20,'1_原始數據'!$C$2:$C$1000,$C20,'1_原始數據'!$D$2:$D$1000,4)=0,"",SUMIFS('1_原始數據'!$K$2:$K$1000,'1_原始數據'!$B$2:$B$1000,$B20,'1_原始數據'!$C$2:$C$1000,$C20,'1_原始數據'!$D$2:$D$1000,4))</f>
        <v/>
      </c>
      <c r="J20" s="14">
        <f>IF(COUNTIFS('1_原始數據'!$B$2:$B$1000,$B20,'1_原始數據'!$C$2:$C$1000,$C20,'1_原始數據'!$D$2:$D$1000,5)=0,"",SUMIFS('1_原始數據'!$K$2:$K$1000,'1_原始數據'!$B$2:$B$1000,$B20,'1_原始數據'!$C$2:$C$1000,$C20,'1_原始數據'!$D$2:$D$1000,5))</f>
        <v/>
      </c>
      <c r="K20" s="14">
        <f>IF(COUNTIFS('1_原始數據'!$B$2:$B$1000,$B20,'1_原始數據'!$C$2:$C$1000,$C20,'1_原始數據'!$D$2:$D$1000,6)=0,"",SUMIFS('1_原始數據'!$K$2:$K$1000,'1_原始數據'!$B$2:$B$1000,$B20,'1_原始數據'!$C$2:$C$1000,$C20,'1_原始數據'!$D$2:$D$1000,6))</f>
        <v/>
      </c>
      <c r="L20" s="14">
        <f>IF(COUNTIFS('1_原始數據'!$B$2:$B$1000,$B20,'1_原始數據'!$C$2:$C$1000,$C20,'1_原始數據'!$D$2:$D$1000,7)=0,"",SUMIFS('1_原始數據'!$K$2:$K$1000,'1_原始數據'!$B$2:$B$1000,$B20,'1_原始數據'!$C$2:$C$1000,$C20,'1_原始數據'!$D$2:$D$1000,7))</f>
        <v/>
      </c>
      <c r="M20" s="14">
        <f>IF(COUNTIFS('1_原始數據'!$B$2:$B$1000,$B20,'1_原始數據'!$C$2:$C$1000,$C20,'1_原始數據'!$D$2:$D$1000,8)=0,"",SUMIFS('1_原始數據'!$K$2:$K$1000,'1_原始數據'!$B$2:$B$1000,$B20,'1_原始數據'!$C$2:$C$1000,$C20,'1_原始數據'!$D$2:$D$1000,8))</f>
        <v/>
      </c>
      <c r="N20" s="14">
        <f>IF(COUNTIFS('1_原始數據'!$B$2:$B$1000,$B20,'1_原始數據'!$C$2:$C$1000,$C20,'1_原始數據'!$D$2:$D$1000,9)=0,"",SUMIFS('1_原始數據'!$K$2:$K$1000,'1_原始數據'!$B$2:$B$1000,$B20,'1_原始數據'!$C$2:$C$1000,$C20,'1_原始數據'!$D$2:$D$1000,9))</f>
        <v/>
      </c>
      <c r="O20" s="14">
        <f>IF(COUNTIFS('1_原始數據'!$B$2:$B$1000,$B20,'1_原始數據'!$C$2:$C$1000,$C20,'1_原始數據'!$D$2:$D$1000,10)=0,"",SUMIFS('1_原始數據'!$K$2:$K$1000,'1_原始數據'!$B$2:$B$1000,$B20,'1_原始數據'!$C$2:$C$1000,$C20,'1_原始數據'!$D$2:$D$1000,10))</f>
        <v/>
      </c>
      <c r="P20" s="28">
        <f>COUNT(F20:O20)</f>
        <v/>
      </c>
      <c r="Q20" s="29">
        <f>AVERAGE(F20:O20)</f>
        <v/>
      </c>
      <c r="R20" s="29">
        <f>_xlfn.STDEV.S(F20:O20)</f>
        <v/>
      </c>
      <c r="S20" s="16">
        <f>R20/Q20*100</f>
        <v/>
      </c>
      <c r="T20" s="16">
        <f>_xlfn.T.INV.2T(0.05,P20-1)</f>
        <v/>
      </c>
      <c r="U20" s="29">
        <f>T20*R20/SQRT(P20)</f>
        <v/>
      </c>
      <c r="V20" s="30">
        <f>Q20-D20</f>
        <v/>
      </c>
      <c r="W20" s="13">
        <f>IF(ABS(V20)&lt;=E20,"是","否")</f>
        <v/>
      </c>
      <c r="X20" s="13">
        <f>IF(R20&lt;=E20/2,"是","否")</f>
        <v/>
      </c>
      <c r="Y20" s="13">
        <f>IF(W20="是",IF(X20="是","準確且精密","準確但不精密"),IF(X20="是","精密但不準確","不準確且不精密"))</f>
        <v/>
      </c>
      <c r="Z20" s="13">
        <f>FIXED(Q20,MAX(0,1-INT(LOG10(ABS(U20)))))&amp;" ± "&amp;FIXED(U20,MAX(0,1-INT(LOG10(ABS(U20)))))&amp;" mL"</f>
        <v/>
      </c>
    </row>
    <row r="21">
      <c r="A21" s="5" t="n">
        <v>1</v>
      </c>
      <c r="B21" s="5" t="inlineStr">
        <is>
          <t>G1_S2</t>
        </is>
      </c>
      <c r="C21" s="5" t="inlineStr">
        <is>
          <t>burette_25mL</t>
        </is>
      </c>
      <c r="D21" s="27">
        <f>IF(C21="pipette_10mL",10,IF(C21="burette_25mL",25,""))</f>
        <v/>
      </c>
      <c r="E21" s="27">
        <f>IF(C21="pipette_10mL",0.02,IF(C21="burette_25mL",0.05,""))</f>
        <v/>
      </c>
      <c r="F21" s="14">
        <f>IF(COUNTIFS('1_原始數據'!$B$2:$B$1000,$B21,'1_原始數據'!$C$2:$C$1000,$C21,'1_原始數據'!$D$2:$D$1000,1)=0,"",SUMIFS('1_原始數據'!$K$2:$K$1000,'1_原始數據'!$B$2:$B$1000,$B21,'1_原始數據'!$C$2:$C$1000,$C21,'1_原始數據'!$D$2:$D$1000,1))</f>
        <v/>
      </c>
      <c r="G21" s="14">
        <f>IF(COUNTIFS('1_原始數據'!$B$2:$B$1000,$B21,'1_原始數據'!$C$2:$C$1000,$C21,'1_原始數據'!$D$2:$D$1000,2)=0,"",SUMIFS('1_原始數據'!$K$2:$K$1000,'1_原始數據'!$B$2:$B$1000,$B21,'1_原始數據'!$C$2:$C$1000,$C21,'1_原始數據'!$D$2:$D$1000,2))</f>
        <v/>
      </c>
      <c r="H21" s="14">
        <f>IF(COUNTIFS('1_原始數據'!$B$2:$B$1000,$B21,'1_原始數據'!$C$2:$C$1000,$C21,'1_原始數據'!$D$2:$D$1000,3)=0,"",SUMIFS('1_原始數據'!$K$2:$K$1000,'1_原始數據'!$B$2:$B$1000,$B21,'1_原始數據'!$C$2:$C$1000,$C21,'1_原始數據'!$D$2:$D$1000,3))</f>
        <v/>
      </c>
      <c r="I21" s="14">
        <f>IF(COUNTIFS('1_原始數據'!$B$2:$B$1000,$B21,'1_原始數據'!$C$2:$C$1000,$C21,'1_原始數據'!$D$2:$D$1000,4)=0,"",SUMIFS('1_原始數據'!$K$2:$K$1000,'1_原始數據'!$B$2:$B$1000,$B21,'1_原始數據'!$C$2:$C$1000,$C21,'1_原始數據'!$D$2:$D$1000,4))</f>
        <v/>
      </c>
      <c r="J21" s="14">
        <f>IF(COUNTIFS('1_原始數據'!$B$2:$B$1000,$B21,'1_原始數據'!$C$2:$C$1000,$C21,'1_原始數據'!$D$2:$D$1000,5)=0,"",SUMIFS('1_原始數據'!$K$2:$K$1000,'1_原始數據'!$B$2:$B$1000,$B21,'1_原始數據'!$C$2:$C$1000,$C21,'1_原始數據'!$D$2:$D$1000,5))</f>
        <v/>
      </c>
      <c r="K21" s="14">
        <f>IF(COUNTIFS('1_原始數據'!$B$2:$B$1000,$B21,'1_原始數據'!$C$2:$C$1000,$C21,'1_原始數據'!$D$2:$D$1000,6)=0,"",SUMIFS('1_原始數據'!$K$2:$K$1000,'1_原始數據'!$B$2:$B$1000,$B21,'1_原始數據'!$C$2:$C$1000,$C21,'1_原始數據'!$D$2:$D$1000,6))</f>
        <v/>
      </c>
      <c r="L21" s="14">
        <f>IF(COUNTIFS('1_原始數據'!$B$2:$B$1000,$B21,'1_原始數據'!$C$2:$C$1000,$C21,'1_原始數據'!$D$2:$D$1000,7)=0,"",SUMIFS('1_原始數據'!$K$2:$K$1000,'1_原始數據'!$B$2:$B$1000,$B21,'1_原始數據'!$C$2:$C$1000,$C21,'1_原始數據'!$D$2:$D$1000,7))</f>
        <v/>
      </c>
      <c r="M21" s="14">
        <f>IF(COUNTIFS('1_原始數據'!$B$2:$B$1000,$B21,'1_原始數據'!$C$2:$C$1000,$C21,'1_原始數據'!$D$2:$D$1000,8)=0,"",SUMIFS('1_原始數據'!$K$2:$K$1000,'1_原始數據'!$B$2:$B$1000,$B21,'1_原始數據'!$C$2:$C$1000,$C21,'1_原始數據'!$D$2:$D$1000,8))</f>
        <v/>
      </c>
      <c r="N21" s="14">
        <f>IF(COUNTIFS('1_原始數據'!$B$2:$B$1000,$B21,'1_原始數據'!$C$2:$C$1000,$C21,'1_原始數據'!$D$2:$D$1000,9)=0,"",SUMIFS('1_原始數據'!$K$2:$K$1000,'1_原始數據'!$B$2:$B$1000,$B21,'1_原始數據'!$C$2:$C$1000,$C21,'1_原始數據'!$D$2:$D$1000,9))</f>
        <v/>
      </c>
      <c r="O21" s="14">
        <f>IF(COUNTIFS('1_原始數據'!$B$2:$B$1000,$B21,'1_原始數據'!$C$2:$C$1000,$C21,'1_原始數據'!$D$2:$D$1000,10)=0,"",SUMIFS('1_原始數據'!$K$2:$K$1000,'1_原始數據'!$B$2:$B$1000,$B21,'1_原始數據'!$C$2:$C$1000,$C21,'1_原始數據'!$D$2:$D$1000,10))</f>
        <v/>
      </c>
      <c r="P21" s="28">
        <f>COUNT(F21:O21)</f>
        <v/>
      </c>
      <c r="Q21" s="29">
        <f>AVERAGE(F21:O21)</f>
        <v/>
      </c>
      <c r="R21" s="29">
        <f>_xlfn.STDEV.S(F21:O21)</f>
        <v/>
      </c>
      <c r="S21" s="16">
        <f>R21/Q21*100</f>
        <v/>
      </c>
      <c r="T21" s="16">
        <f>_xlfn.T.INV.2T(0.05,P21-1)</f>
        <v/>
      </c>
      <c r="U21" s="29">
        <f>T21*R21/SQRT(P21)</f>
        <v/>
      </c>
      <c r="V21" s="30">
        <f>Q21-D21</f>
        <v/>
      </c>
      <c r="W21" s="13">
        <f>IF(ABS(V21)&lt;=E21,"是","否")</f>
        <v/>
      </c>
      <c r="X21" s="13">
        <f>IF(R21&lt;=E21/2,"是","否")</f>
        <v/>
      </c>
      <c r="Y21" s="13">
        <f>IF(W21="是",IF(X21="是","準確且精密","準確但不精密"),IF(X21="是","精密但不準確","不準確且不精密"))</f>
        <v/>
      </c>
      <c r="Z21" s="13">
        <f>FIXED(Q21,MAX(0,1-INT(LOG10(ABS(U21)))))&amp;" ± "&amp;FIXED(U21,MAX(0,1-INT(LOG10(ABS(U21)))))&amp;" mL"</f>
        <v/>
      </c>
    </row>
    <row r="22">
      <c r="A22" s="5" t="n">
        <v>1</v>
      </c>
      <c r="B22" s="5" t="inlineStr">
        <is>
          <t>G1_S3</t>
        </is>
      </c>
      <c r="C22" s="5" t="inlineStr">
        <is>
          <t>burette_25mL</t>
        </is>
      </c>
      <c r="D22" s="27">
        <f>IF(C22="pipette_10mL",10,IF(C22="burette_25mL",25,""))</f>
        <v/>
      </c>
      <c r="E22" s="27">
        <f>IF(C22="pipette_10mL",0.02,IF(C22="burette_25mL",0.05,""))</f>
        <v/>
      </c>
      <c r="F22" s="14">
        <f>IF(COUNTIFS('1_原始數據'!$B$2:$B$1000,$B22,'1_原始數據'!$C$2:$C$1000,$C22,'1_原始數據'!$D$2:$D$1000,1)=0,"",SUMIFS('1_原始數據'!$K$2:$K$1000,'1_原始數據'!$B$2:$B$1000,$B22,'1_原始數據'!$C$2:$C$1000,$C22,'1_原始數據'!$D$2:$D$1000,1))</f>
        <v/>
      </c>
      <c r="G22" s="14">
        <f>IF(COUNTIFS('1_原始數據'!$B$2:$B$1000,$B22,'1_原始數據'!$C$2:$C$1000,$C22,'1_原始數據'!$D$2:$D$1000,2)=0,"",SUMIFS('1_原始數據'!$K$2:$K$1000,'1_原始數據'!$B$2:$B$1000,$B22,'1_原始數據'!$C$2:$C$1000,$C22,'1_原始數據'!$D$2:$D$1000,2))</f>
        <v/>
      </c>
      <c r="H22" s="14">
        <f>IF(COUNTIFS('1_原始數據'!$B$2:$B$1000,$B22,'1_原始數據'!$C$2:$C$1000,$C22,'1_原始數據'!$D$2:$D$1000,3)=0,"",SUMIFS('1_原始數據'!$K$2:$K$1000,'1_原始數據'!$B$2:$B$1000,$B22,'1_原始數據'!$C$2:$C$1000,$C22,'1_原始數據'!$D$2:$D$1000,3))</f>
        <v/>
      </c>
      <c r="I22" s="14">
        <f>IF(COUNTIFS('1_原始數據'!$B$2:$B$1000,$B22,'1_原始數據'!$C$2:$C$1000,$C22,'1_原始數據'!$D$2:$D$1000,4)=0,"",SUMIFS('1_原始數據'!$K$2:$K$1000,'1_原始數據'!$B$2:$B$1000,$B22,'1_原始數據'!$C$2:$C$1000,$C22,'1_原始數據'!$D$2:$D$1000,4))</f>
        <v/>
      </c>
      <c r="J22" s="14">
        <f>IF(COUNTIFS('1_原始數據'!$B$2:$B$1000,$B22,'1_原始數據'!$C$2:$C$1000,$C22,'1_原始數據'!$D$2:$D$1000,5)=0,"",SUMIFS('1_原始數據'!$K$2:$K$1000,'1_原始數據'!$B$2:$B$1000,$B22,'1_原始數據'!$C$2:$C$1000,$C22,'1_原始數據'!$D$2:$D$1000,5))</f>
        <v/>
      </c>
      <c r="K22" s="14">
        <f>IF(COUNTIFS('1_原始數據'!$B$2:$B$1000,$B22,'1_原始數據'!$C$2:$C$1000,$C22,'1_原始數據'!$D$2:$D$1000,6)=0,"",SUMIFS('1_原始數據'!$K$2:$K$1000,'1_原始數據'!$B$2:$B$1000,$B22,'1_原始數據'!$C$2:$C$1000,$C22,'1_原始數據'!$D$2:$D$1000,6))</f>
        <v/>
      </c>
      <c r="L22" s="14">
        <f>IF(COUNTIFS('1_原始數據'!$B$2:$B$1000,$B22,'1_原始數據'!$C$2:$C$1000,$C22,'1_原始數據'!$D$2:$D$1000,7)=0,"",SUMIFS('1_原始數據'!$K$2:$K$1000,'1_原始數據'!$B$2:$B$1000,$B22,'1_原始數據'!$C$2:$C$1000,$C22,'1_原始數據'!$D$2:$D$1000,7))</f>
        <v/>
      </c>
      <c r="M22" s="14">
        <f>IF(COUNTIFS('1_原始數據'!$B$2:$B$1000,$B22,'1_原始數據'!$C$2:$C$1000,$C22,'1_原始數據'!$D$2:$D$1000,8)=0,"",SUMIFS('1_原始數據'!$K$2:$K$1000,'1_原始數據'!$B$2:$B$1000,$B22,'1_原始數據'!$C$2:$C$1000,$C22,'1_原始數據'!$D$2:$D$1000,8))</f>
        <v/>
      </c>
      <c r="N22" s="14">
        <f>IF(COUNTIFS('1_原始數據'!$B$2:$B$1000,$B22,'1_原始數據'!$C$2:$C$1000,$C22,'1_原始數據'!$D$2:$D$1000,9)=0,"",SUMIFS('1_原始數據'!$K$2:$K$1000,'1_原始數據'!$B$2:$B$1000,$B22,'1_原始數據'!$C$2:$C$1000,$C22,'1_原始數據'!$D$2:$D$1000,9))</f>
        <v/>
      </c>
      <c r="O22" s="14">
        <f>IF(COUNTIFS('1_原始數據'!$B$2:$B$1000,$B22,'1_原始數據'!$C$2:$C$1000,$C22,'1_原始數據'!$D$2:$D$1000,10)=0,"",SUMIFS('1_原始數據'!$K$2:$K$1000,'1_原始數據'!$B$2:$B$1000,$B22,'1_原始數據'!$C$2:$C$1000,$C22,'1_原始數據'!$D$2:$D$1000,10))</f>
        <v/>
      </c>
      <c r="P22" s="28">
        <f>COUNT(F22:O22)</f>
        <v/>
      </c>
      <c r="Q22" s="29">
        <f>AVERAGE(F22:O22)</f>
        <v/>
      </c>
      <c r="R22" s="29">
        <f>_xlfn.STDEV.S(F22:O22)</f>
        <v/>
      </c>
      <c r="S22" s="16">
        <f>R22/Q22*100</f>
        <v/>
      </c>
      <c r="T22" s="16">
        <f>_xlfn.T.INV.2T(0.05,P22-1)</f>
        <v/>
      </c>
      <c r="U22" s="29">
        <f>T22*R22/SQRT(P22)</f>
        <v/>
      </c>
      <c r="V22" s="30">
        <f>Q22-D22</f>
        <v/>
      </c>
      <c r="W22" s="13">
        <f>IF(ABS(V22)&lt;=E22,"是","否")</f>
        <v/>
      </c>
      <c r="X22" s="13">
        <f>IF(R22&lt;=E22/2,"是","否")</f>
        <v/>
      </c>
      <c r="Y22" s="13">
        <f>IF(W22="是",IF(X22="是","準確且精密","準確但不精密"),IF(X22="是","精密但不準確","不準確且不精密"))</f>
        <v/>
      </c>
      <c r="Z22" s="13">
        <f>FIXED(Q22,MAX(0,1-INT(LOG10(ABS(U22)))))&amp;" ± "&amp;FIXED(U22,MAX(0,1-INT(LOG10(ABS(U22)))))&amp;" mL"</f>
        <v/>
      </c>
    </row>
    <row r="23">
      <c r="A23" s="5" t="n">
        <v>2</v>
      </c>
      <c r="B23" s="5" t="inlineStr">
        <is>
          <t>G2_S1</t>
        </is>
      </c>
      <c r="C23" s="5" t="inlineStr">
        <is>
          <t>burette_25mL</t>
        </is>
      </c>
      <c r="D23" s="27">
        <f>IF(C23="pipette_10mL",10,IF(C23="burette_25mL",25,""))</f>
        <v/>
      </c>
      <c r="E23" s="27">
        <f>IF(C23="pipette_10mL",0.02,IF(C23="burette_25mL",0.05,""))</f>
        <v/>
      </c>
      <c r="F23" s="14">
        <f>IF(COUNTIFS('1_原始數據'!$B$2:$B$1000,$B23,'1_原始數據'!$C$2:$C$1000,$C23,'1_原始數據'!$D$2:$D$1000,1)=0,"",SUMIFS('1_原始數據'!$K$2:$K$1000,'1_原始數據'!$B$2:$B$1000,$B23,'1_原始數據'!$C$2:$C$1000,$C23,'1_原始數據'!$D$2:$D$1000,1))</f>
        <v/>
      </c>
      <c r="G23" s="14">
        <f>IF(COUNTIFS('1_原始數據'!$B$2:$B$1000,$B23,'1_原始數據'!$C$2:$C$1000,$C23,'1_原始數據'!$D$2:$D$1000,2)=0,"",SUMIFS('1_原始數據'!$K$2:$K$1000,'1_原始數據'!$B$2:$B$1000,$B23,'1_原始數據'!$C$2:$C$1000,$C23,'1_原始數據'!$D$2:$D$1000,2))</f>
        <v/>
      </c>
      <c r="H23" s="14">
        <f>IF(COUNTIFS('1_原始數據'!$B$2:$B$1000,$B23,'1_原始數據'!$C$2:$C$1000,$C23,'1_原始數據'!$D$2:$D$1000,3)=0,"",SUMIFS('1_原始數據'!$K$2:$K$1000,'1_原始數據'!$B$2:$B$1000,$B23,'1_原始數據'!$C$2:$C$1000,$C23,'1_原始數據'!$D$2:$D$1000,3))</f>
        <v/>
      </c>
      <c r="I23" s="14">
        <f>IF(COUNTIFS('1_原始數據'!$B$2:$B$1000,$B23,'1_原始數據'!$C$2:$C$1000,$C23,'1_原始數據'!$D$2:$D$1000,4)=0,"",SUMIFS('1_原始數據'!$K$2:$K$1000,'1_原始數據'!$B$2:$B$1000,$B23,'1_原始數據'!$C$2:$C$1000,$C23,'1_原始數據'!$D$2:$D$1000,4))</f>
        <v/>
      </c>
      <c r="J23" s="14">
        <f>IF(COUNTIFS('1_原始數據'!$B$2:$B$1000,$B23,'1_原始數據'!$C$2:$C$1000,$C23,'1_原始數據'!$D$2:$D$1000,5)=0,"",SUMIFS('1_原始數據'!$K$2:$K$1000,'1_原始數據'!$B$2:$B$1000,$B23,'1_原始數據'!$C$2:$C$1000,$C23,'1_原始數據'!$D$2:$D$1000,5))</f>
        <v/>
      </c>
      <c r="K23" s="14">
        <f>IF(COUNTIFS('1_原始數據'!$B$2:$B$1000,$B23,'1_原始數據'!$C$2:$C$1000,$C23,'1_原始數據'!$D$2:$D$1000,6)=0,"",SUMIFS('1_原始數據'!$K$2:$K$1000,'1_原始數據'!$B$2:$B$1000,$B23,'1_原始數據'!$C$2:$C$1000,$C23,'1_原始數據'!$D$2:$D$1000,6))</f>
        <v/>
      </c>
      <c r="L23" s="14">
        <f>IF(COUNTIFS('1_原始數據'!$B$2:$B$1000,$B23,'1_原始數據'!$C$2:$C$1000,$C23,'1_原始數據'!$D$2:$D$1000,7)=0,"",SUMIFS('1_原始數據'!$K$2:$K$1000,'1_原始數據'!$B$2:$B$1000,$B23,'1_原始數據'!$C$2:$C$1000,$C23,'1_原始數據'!$D$2:$D$1000,7))</f>
        <v/>
      </c>
      <c r="M23" s="14">
        <f>IF(COUNTIFS('1_原始數據'!$B$2:$B$1000,$B23,'1_原始數據'!$C$2:$C$1000,$C23,'1_原始數據'!$D$2:$D$1000,8)=0,"",SUMIFS('1_原始數據'!$K$2:$K$1000,'1_原始數據'!$B$2:$B$1000,$B23,'1_原始數據'!$C$2:$C$1000,$C23,'1_原始數據'!$D$2:$D$1000,8))</f>
        <v/>
      </c>
      <c r="N23" s="14">
        <f>IF(COUNTIFS('1_原始數據'!$B$2:$B$1000,$B23,'1_原始數據'!$C$2:$C$1000,$C23,'1_原始數據'!$D$2:$D$1000,9)=0,"",SUMIFS('1_原始數據'!$K$2:$K$1000,'1_原始數據'!$B$2:$B$1000,$B23,'1_原始數據'!$C$2:$C$1000,$C23,'1_原始數據'!$D$2:$D$1000,9))</f>
        <v/>
      </c>
      <c r="O23" s="14">
        <f>IF(COUNTIFS('1_原始數據'!$B$2:$B$1000,$B23,'1_原始數據'!$C$2:$C$1000,$C23,'1_原始數據'!$D$2:$D$1000,10)=0,"",SUMIFS('1_原始數據'!$K$2:$K$1000,'1_原始數據'!$B$2:$B$1000,$B23,'1_原始數據'!$C$2:$C$1000,$C23,'1_原始數據'!$D$2:$D$1000,10))</f>
        <v/>
      </c>
      <c r="P23" s="28">
        <f>COUNT(F23:O23)</f>
        <v/>
      </c>
      <c r="Q23" s="29">
        <f>AVERAGE(F23:O23)</f>
        <v/>
      </c>
      <c r="R23" s="29">
        <f>_xlfn.STDEV.S(F23:O23)</f>
        <v/>
      </c>
      <c r="S23" s="16">
        <f>R23/Q23*100</f>
        <v/>
      </c>
      <c r="T23" s="16">
        <f>_xlfn.T.INV.2T(0.05,P23-1)</f>
        <v/>
      </c>
      <c r="U23" s="29">
        <f>T23*R23/SQRT(P23)</f>
        <v/>
      </c>
      <c r="V23" s="30">
        <f>Q23-D23</f>
        <v/>
      </c>
      <c r="W23" s="13">
        <f>IF(ABS(V23)&lt;=E23,"是","否")</f>
        <v/>
      </c>
      <c r="X23" s="13">
        <f>IF(R23&lt;=E23/2,"是","否")</f>
        <v/>
      </c>
      <c r="Y23" s="13">
        <f>IF(W23="是",IF(X23="是","準確且精密","準確但不精密"),IF(X23="是","精密但不準確","不準確且不精密"))</f>
        <v/>
      </c>
      <c r="Z23" s="13">
        <f>FIXED(Q23,MAX(0,1-INT(LOG10(ABS(U23)))))&amp;" ± "&amp;FIXED(U23,MAX(0,1-INT(LOG10(ABS(U23)))))&amp;" mL"</f>
        <v/>
      </c>
    </row>
    <row r="24">
      <c r="A24" s="5" t="n">
        <v>2</v>
      </c>
      <c r="B24" s="5" t="inlineStr">
        <is>
          <t>G2_S2</t>
        </is>
      </c>
      <c r="C24" s="5" t="inlineStr">
        <is>
          <t>burette_25mL</t>
        </is>
      </c>
      <c r="D24" s="27">
        <f>IF(C24="pipette_10mL",10,IF(C24="burette_25mL",25,""))</f>
        <v/>
      </c>
      <c r="E24" s="27">
        <f>IF(C24="pipette_10mL",0.02,IF(C24="burette_25mL",0.05,""))</f>
        <v/>
      </c>
      <c r="F24" s="14">
        <f>IF(COUNTIFS('1_原始數據'!$B$2:$B$1000,$B24,'1_原始數據'!$C$2:$C$1000,$C24,'1_原始數據'!$D$2:$D$1000,1)=0,"",SUMIFS('1_原始數據'!$K$2:$K$1000,'1_原始數據'!$B$2:$B$1000,$B24,'1_原始數據'!$C$2:$C$1000,$C24,'1_原始數據'!$D$2:$D$1000,1))</f>
        <v/>
      </c>
      <c r="G24" s="14">
        <f>IF(COUNTIFS('1_原始數據'!$B$2:$B$1000,$B24,'1_原始數據'!$C$2:$C$1000,$C24,'1_原始數據'!$D$2:$D$1000,2)=0,"",SUMIFS('1_原始數據'!$K$2:$K$1000,'1_原始數據'!$B$2:$B$1000,$B24,'1_原始數據'!$C$2:$C$1000,$C24,'1_原始數據'!$D$2:$D$1000,2))</f>
        <v/>
      </c>
      <c r="H24" s="14">
        <f>IF(COUNTIFS('1_原始數據'!$B$2:$B$1000,$B24,'1_原始數據'!$C$2:$C$1000,$C24,'1_原始數據'!$D$2:$D$1000,3)=0,"",SUMIFS('1_原始數據'!$K$2:$K$1000,'1_原始數據'!$B$2:$B$1000,$B24,'1_原始數據'!$C$2:$C$1000,$C24,'1_原始數據'!$D$2:$D$1000,3))</f>
        <v/>
      </c>
      <c r="I24" s="14">
        <f>IF(COUNTIFS('1_原始數據'!$B$2:$B$1000,$B24,'1_原始數據'!$C$2:$C$1000,$C24,'1_原始數據'!$D$2:$D$1000,4)=0,"",SUMIFS('1_原始數據'!$K$2:$K$1000,'1_原始數據'!$B$2:$B$1000,$B24,'1_原始數據'!$C$2:$C$1000,$C24,'1_原始數據'!$D$2:$D$1000,4))</f>
        <v/>
      </c>
      <c r="J24" s="14">
        <f>IF(COUNTIFS('1_原始數據'!$B$2:$B$1000,$B24,'1_原始數據'!$C$2:$C$1000,$C24,'1_原始數據'!$D$2:$D$1000,5)=0,"",SUMIFS('1_原始數據'!$K$2:$K$1000,'1_原始數據'!$B$2:$B$1000,$B24,'1_原始數據'!$C$2:$C$1000,$C24,'1_原始數據'!$D$2:$D$1000,5))</f>
        <v/>
      </c>
      <c r="K24" s="14">
        <f>IF(COUNTIFS('1_原始數據'!$B$2:$B$1000,$B24,'1_原始數據'!$C$2:$C$1000,$C24,'1_原始數據'!$D$2:$D$1000,6)=0,"",SUMIFS('1_原始數據'!$K$2:$K$1000,'1_原始數據'!$B$2:$B$1000,$B24,'1_原始數據'!$C$2:$C$1000,$C24,'1_原始數據'!$D$2:$D$1000,6))</f>
        <v/>
      </c>
      <c r="L24" s="14">
        <f>IF(COUNTIFS('1_原始數據'!$B$2:$B$1000,$B24,'1_原始數據'!$C$2:$C$1000,$C24,'1_原始數據'!$D$2:$D$1000,7)=0,"",SUMIFS('1_原始數據'!$K$2:$K$1000,'1_原始數據'!$B$2:$B$1000,$B24,'1_原始數據'!$C$2:$C$1000,$C24,'1_原始數據'!$D$2:$D$1000,7))</f>
        <v/>
      </c>
      <c r="M24" s="14">
        <f>IF(COUNTIFS('1_原始數據'!$B$2:$B$1000,$B24,'1_原始數據'!$C$2:$C$1000,$C24,'1_原始數據'!$D$2:$D$1000,8)=0,"",SUMIFS('1_原始數據'!$K$2:$K$1000,'1_原始數據'!$B$2:$B$1000,$B24,'1_原始數據'!$C$2:$C$1000,$C24,'1_原始數據'!$D$2:$D$1000,8))</f>
        <v/>
      </c>
      <c r="N24" s="14">
        <f>IF(COUNTIFS('1_原始數據'!$B$2:$B$1000,$B24,'1_原始數據'!$C$2:$C$1000,$C24,'1_原始數據'!$D$2:$D$1000,9)=0,"",SUMIFS('1_原始數據'!$K$2:$K$1000,'1_原始數據'!$B$2:$B$1000,$B24,'1_原始數據'!$C$2:$C$1000,$C24,'1_原始數據'!$D$2:$D$1000,9))</f>
        <v/>
      </c>
      <c r="O24" s="14">
        <f>IF(COUNTIFS('1_原始數據'!$B$2:$B$1000,$B24,'1_原始數據'!$C$2:$C$1000,$C24,'1_原始數據'!$D$2:$D$1000,10)=0,"",SUMIFS('1_原始數據'!$K$2:$K$1000,'1_原始數據'!$B$2:$B$1000,$B24,'1_原始數據'!$C$2:$C$1000,$C24,'1_原始數據'!$D$2:$D$1000,10))</f>
        <v/>
      </c>
      <c r="P24" s="28">
        <f>COUNT(F24:O24)</f>
        <v/>
      </c>
      <c r="Q24" s="29">
        <f>AVERAGE(F24:O24)</f>
        <v/>
      </c>
      <c r="R24" s="29">
        <f>_xlfn.STDEV.S(F24:O24)</f>
        <v/>
      </c>
      <c r="S24" s="16">
        <f>R24/Q24*100</f>
        <v/>
      </c>
      <c r="T24" s="16">
        <f>_xlfn.T.INV.2T(0.05,P24-1)</f>
        <v/>
      </c>
      <c r="U24" s="29">
        <f>T24*R24/SQRT(P24)</f>
        <v/>
      </c>
      <c r="V24" s="30">
        <f>Q24-D24</f>
        <v/>
      </c>
      <c r="W24" s="13">
        <f>IF(ABS(V24)&lt;=E24,"是","否")</f>
        <v/>
      </c>
      <c r="X24" s="13">
        <f>IF(R24&lt;=E24/2,"是","否")</f>
        <v/>
      </c>
      <c r="Y24" s="13">
        <f>IF(W24="是",IF(X24="是","準確且精密","準確但不精密"),IF(X24="是","精密但不準確","不準確且不精密"))</f>
        <v/>
      </c>
      <c r="Z24" s="13">
        <f>FIXED(Q24,MAX(0,1-INT(LOG10(ABS(U24)))))&amp;" ± "&amp;FIXED(U24,MAX(0,1-INT(LOG10(ABS(U24)))))&amp;" mL"</f>
        <v/>
      </c>
    </row>
    <row r="25">
      <c r="A25" s="5" t="n">
        <v>2</v>
      </c>
      <c r="B25" s="5" t="inlineStr">
        <is>
          <t>G2_S3</t>
        </is>
      </c>
      <c r="C25" s="5" t="inlineStr">
        <is>
          <t>burette_25mL</t>
        </is>
      </c>
      <c r="D25" s="27">
        <f>IF(C25="pipette_10mL",10,IF(C25="burette_25mL",25,""))</f>
        <v/>
      </c>
      <c r="E25" s="27">
        <f>IF(C25="pipette_10mL",0.02,IF(C25="burette_25mL",0.05,""))</f>
        <v/>
      </c>
      <c r="F25" s="14">
        <f>IF(COUNTIFS('1_原始數據'!$B$2:$B$1000,$B25,'1_原始數據'!$C$2:$C$1000,$C25,'1_原始數據'!$D$2:$D$1000,1)=0,"",SUMIFS('1_原始數據'!$K$2:$K$1000,'1_原始數據'!$B$2:$B$1000,$B25,'1_原始數據'!$C$2:$C$1000,$C25,'1_原始數據'!$D$2:$D$1000,1))</f>
        <v/>
      </c>
      <c r="G25" s="14">
        <f>IF(COUNTIFS('1_原始數據'!$B$2:$B$1000,$B25,'1_原始數據'!$C$2:$C$1000,$C25,'1_原始數據'!$D$2:$D$1000,2)=0,"",SUMIFS('1_原始數據'!$K$2:$K$1000,'1_原始數據'!$B$2:$B$1000,$B25,'1_原始數據'!$C$2:$C$1000,$C25,'1_原始數據'!$D$2:$D$1000,2))</f>
        <v/>
      </c>
      <c r="H25" s="14">
        <f>IF(COUNTIFS('1_原始數據'!$B$2:$B$1000,$B25,'1_原始數據'!$C$2:$C$1000,$C25,'1_原始數據'!$D$2:$D$1000,3)=0,"",SUMIFS('1_原始數據'!$K$2:$K$1000,'1_原始數據'!$B$2:$B$1000,$B25,'1_原始數據'!$C$2:$C$1000,$C25,'1_原始數據'!$D$2:$D$1000,3))</f>
        <v/>
      </c>
      <c r="I25" s="14">
        <f>IF(COUNTIFS('1_原始數據'!$B$2:$B$1000,$B25,'1_原始數據'!$C$2:$C$1000,$C25,'1_原始數據'!$D$2:$D$1000,4)=0,"",SUMIFS('1_原始數據'!$K$2:$K$1000,'1_原始數據'!$B$2:$B$1000,$B25,'1_原始數據'!$C$2:$C$1000,$C25,'1_原始數據'!$D$2:$D$1000,4))</f>
        <v/>
      </c>
      <c r="J25" s="14">
        <f>IF(COUNTIFS('1_原始數據'!$B$2:$B$1000,$B25,'1_原始數據'!$C$2:$C$1000,$C25,'1_原始數據'!$D$2:$D$1000,5)=0,"",SUMIFS('1_原始數據'!$K$2:$K$1000,'1_原始數據'!$B$2:$B$1000,$B25,'1_原始數據'!$C$2:$C$1000,$C25,'1_原始數據'!$D$2:$D$1000,5))</f>
        <v/>
      </c>
      <c r="K25" s="14">
        <f>IF(COUNTIFS('1_原始數據'!$B$2:$B$1000,$B25,'1_原始數據'!$C$2:$C$1000,$C25,'1_原始數據'!$D$2:$D$1000,6)=0,"",SUMIFS('1_原始數據'!$K$2:$K$1000,'1_原始數據'!$B$2:$B$1000,$B25,'1_原始數據'!$C$2:$C$1000,$C25,'1_原始數據'!$D$2:$D$1000,6))</f>
        <v/>
      </c>
      <c r="L25" s="14">
        <f>IF(COUNTIFS('1_原始數據'!$B$2:$B$1000,$B25,'1_原始數據'!$C$2:$C$1000,$C25,'1_原始數據'!$D$2:$D$1000,7)=0,"",SUMIFS('1_原始數據'!$K$2:$K$1000,'1_原始數據'!$B$2:$B$1000,$B25,'1_原始數據'!$C$2:$C$1000,$C25,'1_原始數據'!$D$2:$D$1000,7))</f>
        <v/>
      </c>
      <c r="M25" s="14">
        <f>IF(COUNTIFS('1_原始數據'!$B$2:$B$1000,$B25,'1_原始數據'!$C$2:$C$1000,$C25,'1_原始數據'!$D$2:$D$1000,8)=0,"",SUMIFS('1_原始數據'!$K$2:$K$1000,'1_原始數據'!$B$2:$B$1000,$B25,'1_原始數據'!$C$2:$C$1000,$C25,'1_原始數據'!$D$2:$D$1000,8))</f>
        <v/>
      </c>
      <c r="N25" s="14">
        <f>IF(COUNTIFS('1_原始數據'!$B$2:$B$1000,$B25,'1_原始數據'!$C$2:$C$1000,$C25,'1_原始數據'!$D$2:$D$1000,9)=0,"",SUMIFS('1_原始數據'!$K$2:$K$1000,'1_原始數據'!$B$2:$B$1000,$B25,'1_原始數據'!$C$2:$C$1000,$C25,'1_原始數據'!$D$2:$D$1000,9))</f>
        <v/>
      </c>
      <c r="O25" s="14">
        <f>IF(COUNTIFS('1_原始數據'!$B$2:$B$1000,$B25,'1_原始數據'!$C$2:$C$1000,$C25,'1_原始數據'!$D$2:$D$1000,10)=0,"",SUMIFS('1_原始數據'!$K$2:$K$1000,'1_原始數據'!$B$2:$B$1000,$B25,'1_原始數據'!$C$2:$C$1000,$C25,'1_原始數據'!$D$2:$D$1000,10))</f>
        <v/>
      </c>
      <c r="P25" s="28">
        <f>COUNT(F25:O25)</f>
        <v/>
      </c>
      <c r="Q25" s="29">
        <f>AVERAGE(F25:O25)</f>
        <v/>
      </c>
      <c r="R25" s="29">
        <f>_xlfn.STDEV.S(F25:O25)</f>
        <v/>
      </c>
      <c r="S25" s="16">
        <f>R25/Q25*100</f>
        <v/>
      </c>
      <c r="T25" s="16">
        <f>_xlfn.T.INV.2T(0.05,P25-1)</f>
        <v/>
      </c>
      <c r="U25" s="29">
        <f>T25*R25/SQRT(P25)</f>
        <v/>
      </c>
      <c r="V25" s="30">
        <f>Q25-D25</f>
        <v/>
      </c>
      <c r="W25" s="13">
        <f>IF(ABS(V25)&lt;=E25,"是","否")</f>
        <v/>
      </c>
      <c r="X25" s="13">
        <f>IF(R25&lt;=E25/2,"是","否")</f>
        <v/>
      </c>
      <c r="Y25" s="13">
        <f>IF(W25="是",IF(X25="是","準確且精密","準確但不精密"),IF(X25="是","精密但不準確","不準確且不精密"))</f>
        <v/>
      </c>
      <c r="Z25" s="13">
        <f>FIXED(Q25,MAX(0,1-INT(LOG10(ABS(U25)))))&amp;" ± "&amp;FIXED(U25,MAX(0,1-INT(LOG10(ABS(U25)))))&amp;" mL"</f>
        <v/>
      </c>
    </row>
    <row r="26">
      <c r="A26" s="5" t="n">
        <v>3</v>
      </c>
      <c r="B26" s="5" t="inlineStr">
        <is>
          <t>G3_S1</t>
        </is>
      </c>
      <c r="C26" s="5" t="inlineStr">
        <is>
          <t>burette_25mL</t>
        </is>
      </c>
      <c r="D26" s="27">
        <f>IF(C26="pipette_10mL",10,IF(C26="burette_25mL",25,""))</f>
        <v/>
      </c>
      <c r="E26" s="27">
        <f>IF(C26="pipette_10mL",0.02,IF(C26="burette_25mL",0.05,""))</f>
        <v/>
      </c>
      <c r="F26" s="14">
        <f>IF(COUNTIFS('1_原始數據'!$B$2:$B$1000,$B26,'1_原始數據'!$C$2:$C$1000,$C26,'1_原始數據'!$D$2:$D$1000,1)=0,"",SUMIFS('1_原始數據'!$K$2:$K$1000,'1_原始數據'!$B$2:$B$1000,$B26,'1_原始數據'!$C$2:$C$1000,$C26,'1_原始數據'!$D$2:$D$1000,1))</f>
        <v/>
      </c>
      <c r="G26" s="14">
        <f>IF(COUNTIFS('1_原始數據'!$B$2:$B$1000,$B26,'1_原始數據'!$C$2:$C$1000,$C26,'1_原始數據'!$D$2:$D$1000,2)=0,"",SUMIFS('1_原始數據'!$K$2:$K$1000,'1_原始數據'!$B$2:$B$1000,$B26,'1_原始數據'!$C$2:$C$1000,$C26,'1_原始數據'!$D$2:$D$1000,2))</f>
        <v/>
      </c>
      <c r="H26" s="14">
        <f>IF(COUNTIFS('1_原始數據'!$B$2:$B$1000,$B26,'1_原始數據'!$C$2:$C$1000,$C26,'1_原始數據'!$D$2:$D$1000,3)=0,"",SUMIFS('1_原始數據'!$K$2:$K$1000,'1_原始數據'!$B$2:$B$1000,$B26,'1_原始數據'!$C$2:$C$1000,$C26,'1_原始數據'!$D$2:$D$1000,3))</f>
        <v/>
      </c>
      <c r="I26" s="14">
        <f>IF(COUNTIFS('1_原始數據'!$B$2:$B$1000,$B26,'1_原始數據'!$C$2:$C$1000,$C26,'1_原始數據'!$D$2:$D$1000,4)=0,"",SUMIFS('1_原始數據'!$K$2:$K$1000,'1_原始數據'!$B$2:$B$1000,$B26,'1_原始數據'!$C$2:$C$1000,$C26,'1_原始數據'!$D$2:$D$1000,4))</f>
        <v/>
      </c>
      <c r="J26" s="14">
        <f>IF(COUNTIFS('1_原始數據'!$B$2:$B$1000,$B26,'1_原始數據'!$C$2:$C$1000,$C26,'1_原始數據'!$D$2:$D$1000,5)=0,"",SUMIFS('1_原始數據'!$K$2:$K$1000,'1_原始數據'!$B$2:$B$1000,$B26,'1_原始數據'!$C$2:$C$1000,$C26,'1_原始數據'!$D$2:$D$1000,5))</f>
        <v/>
      </c>
      <c r="K26" s="14">
        <f>IF(COUNTIFS('1_原始數據'!$B$2:$B$1000,$B26,'1_原始數據'!$C$2:$C$1000,$C26,'1_原始數據'!$D$2:$D$1000,6)=0,"",SUMIFS('1_原始數據'!$K$2:$K$1000,'1_原始數據'!$B$2:$B$1000,$B26,'1_原始數據'!$C$2:$C$1000,$C26,'1_原始數據'!$D$2:$D$1000,6))</f>
        <v/>
      </c>
      <c r="L26" s="14">
        <f>IF(COUNTIFS('1_原始數據'!$B$2:$B$1000,$B26,'1_原始數據'!$C$2:$C$1000,$C26,'1_原始數據'!$D$2:$D$1000,7)=0,"",SUMIFS('1_原始數據'!$K$2:$K$1000,'1_原始數據'!$B$2:$B$1000,$B26,'1_原始數據'!$C$2:$C$1000,$C26,'1_原始數據'!$D$2:$D$1000,7))</f>
        <v/>
      </c>
      <c r="M26" s="14">
        <f>IF(COUNTIFS('1_原始數據'!$B$2:$B$1000,$B26,'1_原始數據'!$C$2:$C$1000,$C26,'1_原始數據'!$D$2:$D$1000,8)=0,"",SUMIFS('1_原始數據'!$K$2:$K$1000,'1_原始數據'!$B$2:$B$1000,$B26,'1_原始數據'!$C$2:$C$1000,$C26,'1_原始數據'!$D$2:$D$1000,8))</f>
        <v/>
      </c>
      <c r="N26" s="14">
        <f>IF(COUNTIFS('1_原始數據'!$B$2:$B$1000,$B26,'1_原始數據'!$C$2:$C$1000,$C26,'1_原始數據'!$D$2:$D$1000,9)=0,"",SUMIFS('1_原始數據'!$K$2:$K$1000,'1_原始數據'!$B$2:$B$1000,$B26,'1_原始數據'!$C$2:$C$1000,$C26,'1_原始數據'!$D$2:$D$1000,9))</f>
        <v/>
      </c>
      <c r="O26" s="14">
        <f>IF(COUNTIFS('1_原始數據'!$B$2:$B$1000,$B26,'1_原始數據'!$C$2:$C$1000,$C26,'1_原始數據'!$D$2:$D$1000,10)=0,"",SUMIFS('1_原始數據'!$K$2:$K$1000,'1_原始數據'!$B$2:$B$1000,$B26,'1_原始數據'!$C$2:$C$1000,$C26,'1_原始數據'!$D$2:$D$1000,10))</f>
        <v/>
      </c>
      <c r="P26" s="28">
        <f>COUNT(F26:O26)</f>
        <v/>
      </c>
      <c r="Q26" s="29">
        <f>AVERAGE(F26:O26)</f>
        <v/>
      </c>
      <c r="R26" s="29">
        <f>_xlfn.STDEV.S(F26:O26)</f>
        <v/>
      </c>
      <c r="S26" s="16">
        <f>R26/Q26*100</f>
        <v/>
      </c>
      <c r="T26" s="16">
        <f>_xlfn.T.INV.2T(0.05,P26-1)</f>
        <v/>
      </c>
      <c r="U26" s="29">
        <f>T26*R26/SQRT(P26)</f>
        <v/>
      </c>
      <c r="V26" s="30">
        <f>Q26-D26</f>
        <v/>
      </c>
      <c r="W26" s="13">
        <f>IF(ABS(V26)&lt;=E26,"是","否")</f>
        <v/>
      </c>
      <c r="X26" s="13">
        <f>IF(R26&lt;=E26/2,"是","否")</f>
        <v/>
      </c>
      <c r="Y26" s="13">
        <f>IF(W26="是",IF(X26="是","準確且精密","準確但不精密"),IF(X26="是","精密但不準確","不準確且不精密"))</f>
        <v/>
      </c>
      <c r="Z26" s="13">
        <f>FIXED(Q26,MAX(0,1-INT(LOG10(ABS(U26)))))&amp;" ± "&amp;FIXED(U26,MAX(0,1-INT(LOG10(ABS(U26)))))&amp;" mL"</f>
        <v/>
      </c>
    </row>
    <row r="27">
      <c r="A27" s="5" t="n">
        <v>3</v>
      </c>
      <c r="B27" s="5" t="inlineStr">
        <is>
          <t>G3_S2</t>
        </is>
      </c>
      <c r="C27" s="5" t="inlineStr">
        <is>
          <t>burette_25mL</t>
        </is>
      </c>
      <c r="D27" s="27">
        <f>IF(C27="pipette_10mL",10,IF(C27="burette_25mL",25,""))</f>
        <v/>
      </c>
      <c r="E27" s="27">
        <f>IF(C27="pipette_10mL",0.02,IF(C27="burette_25mL",0.05,""))</f>
        <v/>
      </c>
      <c r="F27" s="14">
        <f>IF(COUNTIFS('1_原始數據'!$B$2:$B$1000,$B27,'1_原始數據'!$C$2:$C$1000,$C27,'1_原始數據'!$D$2:$D$1000,1)=0,"",SUMIFS('1_原始數據'!$K$2:$K$1000,'1_原始數據'!$B$2:$B$1000,$B27,'1_原始數據'!$C$2:$C$1000,$C27,'1_原始數據'!$D$2:$D$1000,1))</f>
        <v/>
      </c>
      <c r="G27" s="14">
        <f>IF(COUNTIFS('1_原始數據'!$B$2:$B$1000,$B27,'1_原始數據'!$C$2:$C$1000,$C27,'1_原始數據'!$D$2:$D$1000,2)=0,"",SUMIFS('1_原始數據'!$K$2:$K$1000,'1_原始數據'!$B$2:$B$1000,$B27,'1_原始數據'!$C$2:$C$1000,$C27,'1_原始數據'!$D$2:$D$1000,2))</f>
        <v/>
      </c>
      <c r="H27" s="14">
        <f>IF(COUNTIFS('1_原始數據'!$B$2:$B$1000,$B27,'1_原始數據'!$C$2:$C$1000,$C27,'1_原始數據'!$D$2:$D$1000,3)=0,"",SUMIFS('1_原始數據'!$K$2:$K$1000,'1_原始數據'!$B$2:$B$1000,$B27,'1_原始數據'!$C$2:$C$1000,$C27,'1_原始數據'!$D$2:$D$1000,3))</f>
        <v/>
      </c>
      <c r="I27" s="14">
        <f>IF(COUNTIFS('1_原始數據'!$B$2:$B$1000,$B27,'1_原始數據'!$C$2:$C$1000,$C27,'1_原始數據'!$D$2:$D$1000,4)=0,"",SUMIFS('1_原始數據'!$K$2:$K$1000,'1_原始數據'!$B$2:$B$1000,$B27,'1_原始數據'!$C$2:$C$1000,$C27,'1_原始數據'!$D$2:$D$1000,4))</f>
        <v/>
      </c>
      <c r="J27" s="14">
        <f>IF(COUNTIFS('1_原始數據'!$B$2:$B$1000,$B27,'1_原始數據'!$C$2:$C$1000,$C27,'1_原始數據'!$D$2:$D$1000,5)=0,"",SUMIFS('1_原始數據'!$K$2:$K$1000,'1_原始數據'!$B$2:$B$1000,$B27,'1_原始數據'!$C$2:$C$1000,$C27,'1_原始數據'!$D$2:$D$1000,5))</f>
        <v/>
      </c>
      <c r="K27" s="14">
        <f>IF(COUNTIFS('1_原始數據'!$B$2:$B$1000,$B27,'1_原始數據'!$C$2:$C$1000,$C27,'1_原始數據'!$D$2:$D$1000,6)=0,"",SUMIFS('1_原始數據'!$K$2:$K$1000,'1_原始數據'!$B$2:$B$1000,$B27,'1_原始數據'!$C$2:$C$1000,$C27,'1_原始數據'!$D$2:$D$1000,6))</f>
        <v/>
      </c>
      <c r="L27" s="14">
        <f>IF(COUNTIFS('1_原始數據'!$B$2:$B$1000,$B27,'1_原始數據'!$C$2:$C$1000,$C27,'1_原始數據'!$D$2:$D$1000,7)=0,"",SUMIFS('1_原始數據'!$K$2:$K$1000,'1_原始數據'!$B$2:$B$1000,$B27,'1_原始數據'!$C$2:$C$1000,$C27,'1_原始數據'!$D$2:$D$1000,7))</f>
        <v/>
      </c>
      <c r="M27" s="14">
        <f>IF(COUNTIFS('1_原始數據'!$B$2:$B$1000,$B27,'1_原始數據'!$C$2:$C$1000,$C27,'1_原始數據'!$D$2:$D$1000,8)=0,"",SUMIFS('1_原始數據'!$K$2:$K$1000,'1_原始數據'!$B$2:$B$1000,$B27,'1_原始數據'!$C$2:$C$1000,$C27,'1_原始數據'!$D$2:$D$1000,8))</f>
        <v/>
      </c>
      <c r="N27" s="14">
        <f>IF(COUNTIFS('1_原始數據'!$B$2:$B$1000,$B27,'1_原始數據'!$C$2:$C$1000,$C27,'1_原始數據'!$D$2:$D$1000,9)=0,"",SUMIFS('1_原始數據'!$K$2:$K$1000,'1_原始數據'!$B$2:$B$1000,$B27,'1_原始數據'!$C$2:$C$1000,$C27,'1_原始數據'!$D$2:$D$1000,9))</f>
        <v/>
      </c>
      <c r="O27" s="14">
        <f>IF(COUNTIFS('1_原始數據'!$B$2:$B$1000,$B27,'1_原始數據'!$C$2:$C$1000,$C27,'1_原始數據'!$D$2:$D$1000,10)=0,"",SUMIFS('1_原始數據'!$K$2:$K$1000,'1_原始數據'!$B$2:$B$1000,$B27,'1_原始數據'!$C$2:$C$1000,$C27,'1_原始數據'!$D$2:$D$1000,10))</f>
        <v/>
      </c>
      <c r="P27" s="28">
        <f>COUNT(F27:O27)</f>
        <v/>
      </c>
      <c r="Q27" s="29">
        <f>AVERAGE(F27:O27)</f>
        <v/>
      </c>
      <c r="R27" s="29">
        <f>_xlfn.STDEV.S(F27:O27)</f>
        <v/>
      </c>
      <c r="S27" s="16">
        <f>R27/Q27*100</f>
        <v/>
      </c>
      <c r="T27" s="16">
        <f>_xlfn.T.INV.2T(0.05,P27-1)</f>
        <v/>
      </c>
      <c r="U27" s="29">
        <f>T27*R27/SQRT(P27)</f>
        <v/>
      </c>
      <c r="V27" s="30">
        <f>Q27-D27</f>
        <v/>
      </c>
      <c r="W27" s="13">
        <f>IF(ABS(V27)&lt;=E27,"是","否")</f>
        <v/>
      </c>
      <c r="X27" s="13">
        <f>IF(R27&lt;=E27/2,"是","否")</f>
        <v/>
      </c>
      <c r="Y27" s="13">
        <f>IF(W27="是",IF(X27="是","準確且精密","準確但不精密"),IF(X27="是","精密但不準確","不準確且不精密"))</f>
        <v/>
      </c>
      <c r="Z27" s="13">
        <f>FIXED(Q27,MAX(0,1-INT(LOG10(ABS(U27)))))&amp;" ± "&amp;FIXED(U27,MAX(0,1-INT(LOG10(ABS(U27)))))&amp;" mL"</f>
        <v/>
      </c>
    </row>
    <row r="28">
      <c r="A28" s="5" t="n">
        <v>3</v>
      </c>
      <c r="B28" s="5" t="inlineStr">
        <is>
          <t>G3_S3</t>
        </is>
      </c>
      <c r="C28" s="5" t="inlineStr">
        <is>
          <t>burette_25mL</t>
        </is>
      </c>
      <c r="D28" s="27">
        <f>IF(C28="pipette_10mL",10,IF(C28="burette_25mL",25,""))</f>
        <v/>
      </c>
      <c r="E28" s="27">
        <f>IF(C28="pipette_10mL",0.02,IF(C28="burette_25mL",0.05,""))</f>
        <v/>
      </c>
      <c r="F28" s="14">
        <f>IF(COUNTIFS('1_原始數據'!$B$2:$B$1000,$B28,'1_原始數據'!$C$2:$C$1000,$C28,'1_原始數據'!$D$2:$D$1000,1)=0,"",SUMIFS('1_原始數據'!$K$2:$K$1000,'1_原始數據'!$B$2:$B$1000,$B28,'1_原始數據'!$C$2:$C$1000,$C28,'1_原始數據'!$D$2:$D$1000,1))</f>
        <v/>
      </c>
      <c r="G28" s="14">
        <f>IF(COUNTIFS('1_原始數據'!$B$2:$B$1000,$B28,'1_原始數據'!$C$2:$C$1000,$C28,'1_原始數據'!$D$2:$D$1000,2)=0,"",SUMIFS('1_原始數據'!$K$2:$K$1000,'1_原始數據'!$B$2:$B$1000,$B28,'1_原始數據'!$C$2:$C$1000,$C28,'1_原始數據'!$D$2:$D$1000,2))</f>
        <v/>
      </c>
      <c r="H28" s="14">
        <f>IF(COUNTIFS('1_原始數據'!$B$2:$B$1000,$B28,'1_原始數據'!$C$2:$C$1000,$C28,'1_原始數據'!$D$2:$D$1000,3)=0,"",SUMIFS('1_原始數據'!$K$2:$K$1000,'1_原始數據'!$B$2:$B$1000,$B28,'1_原始數據'!$C$2:$C$1000,$C28,'1_原始數據'!$D$2:$D$1000,3))</f>
        <v/>
      </c>
      <c r="I28" s="14">
        <f>IF(COUNTIFS('1_原始數據'!$B$2:$B$1000,$B28,'1_原始數據'!$C$2:$C$1000,$C28,'1_原始數據'!$D$2:$D$1000,4)=0,"",SUMIFS('1_原始數據'!$K$2:$K$1000,'1_原始數據'!$B$2:$B$1000,$B28,'1_原始數據'!$C$2:$C$1000,$C28,'1_原始數據'!$D$2:$D$1000,4))</f>
        <v/>
      </c>
      <c r="J28" s="14">
        <f>IF(COUNTIFS('1_原始數據'!$B$2:$B$1000,$B28,'1_原始數據'!$C$2:$C$1000,$C28,'1_原始數據'!$D$2:$D$1000,5)=0,"",SUMIFS('1_原始數據'!$K$2:$K$1000,'1_原始數據'!$B$2:$B$1000,$B28,'1_原始數據'!$C$2:$C$1000,$C28,'1_原始數據'!$D$2:$D$1000,5))</f>
        <v/>
      </c>
      <c r="K28" s="14">
        <f>IF(COUNTIFS('1_原始數據'!$B$2:$B$1000,$B28,'1_原始數據'!$C$2:$C$1000,$C28,'1_原始數據'!$D$2:$D$1000,6)=0,"",SUMIFS('1_原始數據'!$K$2:$K$1000,'1_原始數據'!$B$2:$B$1000,$B28,'1_原始數據'!$C$2:$C$1000,$C28,'1_原始數據'!$D$2:$D$1000,6))</f>
        <v/>
      </c>
      <c r="L28" s="14">
        <f>IF(COUNTIFS('1_原始數據'!$B$2:$B$1000,$B28,'1_原始數據'!$C$2:$C$1000,$C28,'1_原始數據'!$D$2:$D$1000,7)=0,"",SUMIFS('1_原始數據'!$K$2:$K$1000,'1_原始數據'!$B$2:$B$1000,$B28,'1_原始數據'!$C$2:$C$1000,$C28,'1_原始數據'!$D$2:$D$1000,7))</f>
        <v/>
      </c>
      <c r="M28" s="14">
        <f>IF(COUNTIFS('1_原始數據'!$B$2:$B$1000,$B28,'1_原始數據'!$C$2:$C$1000,$C28,'1_原始數據'!$D$2:$D$1000,8)=0,"",SUMIFS('1_原始數據'!$K$2:$K$1000,'1_原始數據'!$B$2:$B$1000,$B28,'1_原始數據'!$C$2:$C$1000,$C28,'1_原始數據'!$D$2:$D$1000,8))</f>
        <v/>
      </c>
      <c r="N28" s="14">
        <f>IF(COUNTIFS('1_原始數據'!$B$2:$B$1000,$B28,'1_原始數據'!$C$2:$C$1000,$C28,'1_原始數據'!$D$2:$D$1000,9)=0,"",SUMIFS('1_原始數據'!$K$2:$K$1000,'1_原始數據'!$B$2:$B$1000,$B28,'1_原始數據'!$C$2:$C$1000,$C28,'1_原始數據'!$D$2:$D$1000,9))</f>
        <v/>
      </c>
      <c r="O28" s="14">
        <f>IF(COUNTIFS('1_原始數據'!$B$2:$B$1000,$B28,'1_原始數據'!$C$2:$C$1000,$C28,'1_原始數據'!$D$2:$D$1000,10)=0,"",SUMIFS('1_原始數據'!$K$2:$K$1000,'1_原始數據'!$B$2:$B$1000,$B28,'1_原始數據'!$C$2:$C$1000,$C28,'1_原始數據'!$D$2:$D$1000,10))</f>
        <v/>
      </c>
      <c r="P28" s="28">
        <f>COUNT(F28:O28)</f>
        <v/>
      </c>
      <c r="Q28" s="29">
        <f>AVERAGE(F28:O28)</f>
        <v/>
      </c>
      <c r="R28" s="29">
        <f>_xlfn.STDEV.S(F28:O28)</f>
        <v/>
      </c>
      <c r="S28" s="16">
        <f>R28/Q28*100</f>
        <v/>
      </c>
      <c r="T28" s="16">
        <f>_xlfn.T.INV.2T(0.05,P28-1)</f>
        <v/>
      </c>
      <c r="U28" s="29">
        <f>T28*R28/SQRT(P28)</f>
        <v/>
      </c>
      <c r="V28" s="30">
        <f>Q28-D28</f>
        <v/>
      </c>
      <c r="W28" s="13">
        <f>IF(ABS(V28)&lt;=E28,"是","否")</f>
        <v/>
      </c>
      <c r="X28" s="13">
        <f>IF(R28&lt;=E28/2,"是","否")</f>
        <v/>
      </c>
      <c r="Y28" s="13">
        <f>IF(W28="是",IF(X28="是","準確且精密","準確但不精密"),IF(X28="是","精密但不準確","不準確且不精密"))</f>
        <v/>
      </c>
      <c r="Z28" s="13">
        <f>FIXED(Q28,MAX(0,1-INT(LOG10(ABS(U28)))))&amp;" ± "&amp;FIXED(U28,MAX(0,1-INT(LOG10(ABS(U28)))))&amp;" mL"</f>
        <v/>
      </c>
    </row>
    <row r="29">
      <c r="A29" s="5" t="n">
        <v>4</v>
      </c>
      <c r="B29" s="5" t="inlineStr">
        <is>
          <t>G4_S1</t>
        </is>
      </c>
      <c r="C29" s="5" t="inlineStr">
        <is>
          <t>burette_25mL</t>
        </is>
      </c>
      <c r="D29" s="27">
        <f>IF(C29="pipette_10mL",10,IF(C29="burette_25mL",25,""))</f>
        <v/>
      </c>
      <c r="E29" s="27">
        <f>IF(C29="pipette_10mL",0.02,IF(C29="burette_25mL",0.05,""))</f>
        <v/>
      </c>
      <c r="F29" s="14">
        <f>IF(COUNTIFS('1_原始數據'!$B$2:$B$1000,$B29,'1_原始數據'!$C$2:$C$1000,$C29,'1_原始數據'!$D$2:$D$1000,1)=0,"",SUMIFS('1_原始數據'!$K$2:$K$1000,'1_原始數據'!$B$2:$B$1000,$B29,'1_原始數據'!$C$2:$C$1000,$C29,'1_原始數據'!$D$2:$D$1000,1))</f>
        <v/>
      </c>
      <c r="G29" s="14">
        <f>IF(COUNTIFS('1_原始數據'!$B$2:$B$1000,$B29,'1_原始數據'!$C$2:$C$1000,$C29,'1_原始數據'!$D$2:$D$1000,2)=0,"",SUMIFS('1_原始數據'!$K$2:$K$1000,'1_原始數據'!$B$2:$B$1000,$B29,'1_原始數據'!$C$2:$C$1000,$C29,'1_原始數據'!$D$2:$D$1000,2))</f>
        <v/>
      </c>
      <c r="H29" s="14">
        <f>IF(COUNTIFS('1_原始數據'!$B$2:$B$1000,$B29,'1_原始數據'!$C$2:$C$1000,$C29,'1_原始數據'!$D$2:$D$1000,3)=0,"",SUMIFS('1_原始數據'!$K$2:$K$1000,'1_原始數據'!$B$2:$B$1000,$B29,'1_原始數據'!$C$2:$C$1000,$C29,'1_原始數據'!$D$2:$D$1000,3))</f>
        <v/>
      </c>
      <c r="I29" s="14">
        <f>IF(COUNTIFS('1_原始數據'!$B$2:$B$1000,$B29,'1_原始數據'!$C$2:$C$1000,$C29,'1_原始數據'!$D$2:$D$1000,4)=0,"",SUMIFS('1_原始數據'!$K$2:$K$1000,'1_原始數據'!$B$2:$B$1000,$B29,'1_原始數據'!$C$2:$C$1000,$C29,'1_原始數據'!$D$2:$D$1000,4))</f>
        <v/>
      </c>
      <c r="J29" s="14">
        <f>IF(COUNTIFS('1_原始數據'!$B$2:$B$1000,$B29,'1_原始數據'!$C$2:$C$1000,$C29,'1_原始數據'!$D$2:$D$1000,5)=0,"",SUMIFS('1_原始數據'!$K$2:$K$1000,'1_原始數據'!$B$2:$B$1000,$B29,'1_原始數據'!$C$2:$C$1000,$C29,'1_原始數據'!$D$2:$D$1000,5))</f>
        <v/>
      </c>
      <c r="K29" s="14">
        <f>IF(COUNTIFS('1_原始數據'!$B$2:$B$1000,$B29,'1_原始數據'!$C$2:$C$1000,$C29,'1_原始數據'!$D$2:$D$1000,6)=0,"",SUMIFS('1_原始數據'!$K$2:$K$1000,'1_原始數據'!$B$2:$B$1000,$B29,'1_原始數據'!$C$2:$C$1000,$C29,'1_原始數據'!$D$2:$D$1000,6))</f>
        <v/>
      </c>
      <c r="L29" s="14">
        <f>IF(COUNTIFS('1_原始數據'!$B$2:$B$1000,$B29,'1_原始數據'!$C$2:$C$1000,$C29,'1_原始數據'!$D$2:$D$1000,7)=0,"",SUMIFS('1_原始數據'!$K$2:$K$1000,'1_原始數據'!$B$2:$B$1000,$B29,'1_原始數據'!$C$2:$C$1000,$C29,'1_原始數據'!$D$2:$D$1000,7))</f>
        <v/>
      </c>
      <c r="M29" s="14">
        <f>IF(COUNTIFS('1_原始數據'!$B$2:$B$1000,$B29,'1_原始數據'!$C$2:$C$1000,$C29,'1_原始數據'!$D$2:$D$1000,8)=0,"",SUMIFS('1_原始數據'!$K$2:$K$1000,'1_原始數據'!$B$2:$B$1000,$B29,'1_原始數據'!$C$2:$C$1000,$C29,'1_原始數據'!$D$2:$D$1000,8))</f>
        <v/>
      </c>
      <c r="N29" s="14">
        <f>IF(COUNTIFS('1_原始數據'!$B$2:$B$1000,$B29,'1_原始數據'!$C$2:$C$1000,$C29,'1_原始數據'!$D$2:$D$1000,9)=0,"",SUMIFS('1_原始數據'!$K$2:$K$1000,'1_原始數據'!$B$2:$B$1000,$B29,'1_原始數據'!$C$2:$C$1000,$C29,'1_原始數據'!$D$2:$D$1000,9))</f>
        <v/>
      </c>
      <c r="O29" s="14">
        <f>IF(COUNTIFS('1_原始數據'!$B$2:$B$1000,$B29,'1_原始數據'!$C$2:$C$1000,$C29,'1_原始數據'!$D$2:$D$1000,10)=0,"",SUMIFS('1_原始數據'!$K$2:$K$1000,'1_原始數據'!$B$2:$B$1000,$B29,'1_原始數據'!$C$2:$C$1000,$C29,'1_原始數據'!$D$2:$D$1000,10))</f>
        <v/>
      </c>
      <c r="P29" s="28">
        <f>COUNT(F29:O29)</f>
        <v/>
      </c>
      <c r="Q29" s="29">
        <f>AVERAGE(F29:O29)</f>
        <v/>
      </c>
      <c r="R29" s="29">
        <f>_xlfn.STDEV.S(F29:O29)</f>
        <v/>
      </c>
      <c r="S29" s="16">
        <f>R29/Q29*100</f>
        <v/>
      </c>
      <c r="T29" s="16">
        <f>_xlfn.T.INV.2T(0.05,P29-1)</f>
        <v/>
      </c>
      <c r="U29" s="29">
        <f>T29*R29/SQRT(P29)</f>
        <v/>
      </c>
      <c r="V29" s="30">
        <f>Q29-D29</f>
        <v/>
      </c>
      <c r="W29" s="13">
        <f>IF(ABS(V29)&lt;=E29,"是","否")</f>
        <v/>
      </c>
      <c r="X29" s="13">
        <f>IF(R29&lt;=E29/2,"是","否")</f>
        <v/>
      </c>
      <c r="Y29" s="13">
        <f>IF(W29="是",IF(X29="是","準確且精密","準確但不精密"),IF(X29="是","精密但不準確","不準確且不精密"))</f>
        <v/>
      </c>
      <c r="Z29" s="13">
        <f>FIXED(Q29,MAX(0,1-INT(LOG10(ABS(U29)))))&amp;" ± "&amp;FIXED(U29,MAX(0,1-INT(LOG10(ABS(U29)))))&amp;" mL"</f>
        <v/>
      </c>
    </row>
    <row r="30">
      <c r="A30" s="5" t="n">
        <v>4</v>
      </c>
      <c r="B30" s="5" t="inlineStr">
        <is>
          <t>G4_S2</t>
        </is>
      </c>
      <c r="C30" s="5" t="inlineStr">
        <is>
          <t>burette_25mL</t>
        </is>
      </c>
      <c r="D30" s="27">
        <f>IF(C30="pipette_10mL",10,IF(C30="burette_25mL",25,""))</f>
        <v/>
      </c>
      <c r="E30" s="27">
        <f>IF(C30="pipette_10mL",0.02,IF(C30="burette_25mL",0.05,""))</f>
        <v/>
      </c>
      <c r="F30" s="14">
        <f>IF(COUNTIFS('1_原始數據'!$B$2:$B$1000,$B30,'1_原始數據'!$C$2:$C$1000,$C30,'1_原始數據'!$D$2:$D$1000,1)=0,"",SUMIFS('1_原始數據'!$K$2:$K$1000,'1_原始數據'!$B$2:$B$1000,$B30,'1_原始數據'!$C$2:$C$1000,$C30,'1_原始數據'!$D$2:$D$1000,1))</f>
        <v/>
      </c>
      <c r="G30" s="14">
        <f>IF(COUNTIFS('1_原始數據'!$B$2:$B$1000,$B30,'1_原始數據'!$C$2:$C$1000,$C30,'1_原始數據'!$D$2:$D$1000,2)=0,"",SUMIFS('1_原始數據'!$K$2:$K$1000,'1_原始數據'!$B$2:$B$1000,$B30,'1_原始數據'!$C$2:$C$1000,$C30,'1_原始數據'!$D$2:$D$1000,2))</f>
        <v/>
      </c>
      <c r="H30" s="14">
        <f>IF(COUNTIFS('1_原始數據'!$B$2:$B$1000,$B30,'1_原始數據'!$C$2:$C$1000,$C30,'1_原始數據'!$D$2:$D$1000,3)=0,"",SUMIFS('1_原始數據'!$K$2:$K$1000,'1_原始數據'!$B$2:$B$1000,$B30,'1_原始數據'!$C$2:$C$1000,$C30,'1_原始數據'!$D$2:$D$1000,3))</f>
        <v/>
      </c>
      <c r="I30" s="14">
        <f>IF(COUNTIFS('1_原始數據'!$B$2:$B$1000,$B30,'1_原始數據'!$C$2:$C$1000,$C30,'1_原始數據'!$D$2:$D$1000,4)=0,"",SUMIFS('1_原始數據'!$K$2:$K$1000,'1_原始數據'!$B$2:$B$1000,$B30,'1_原始數據'!$C$2:$C$1000,$C30,'1_原始數據'!$D$2:$D$1000,4))</f>
        <v/>
      </c>
      <c r="J30" s="14">
        <f>IF(COUNTIFS('1_原始數據'!$B$2:$B$1000,$B30,'1_原始數據'!$C$2:$C$1000,$C30,'1_原始數據'!$D$2:$D$1000,5)=0,"",SUMIFS('1_原始數據'!$K$2:$K$1000,'1_原始數據'!$B$2:$B$1000,$B30,'1_原始數據'!$C$2:$C$1000,$C30,'1_原始數據'!$D$2:$D$1000,5))</f>
        <v/>
      </c>
      <c r="K30" s="14">
        <f>IF(COUNTIFS('1_原始數據'!$B$2:$B$1000,$B30,'1_原始數據'!$C$2:$C$1000,$C30,'1_原始數據'!$D$2:$D$1000,6)=0,"",SUMIFS('1_原始數據'!$K$2:$K$1000,'1_原始數據'!$B$2:$B$1000,$B30,'1_原始數據'!$C$2:$C$1000,$C30,'1_原始數據'!$D$2:$D$1000,6))</f>
        <v/>
      </c>
      <c r="L30" s="14">
        <f>IF(COUNTIFS('1_原始數據'!$B$2:$B$1000,$B30,'1_原始數據'!$C$2:$C$1000,$C30,'1_原始數據'!$D$2:$D$1000,7)=0,"",SUMIFS('1_原始數據'!$K$2:$K$1000,'1_原始數據'!$B$2:$B$1000,$B30,'1_原始數據'!$C$2:$C$1000,$C30,'1_原始數據'!$D$2:$D$1000,7))</f>
        <v/>
      </c>
      <c r="M30" s="14">
        <f>IF(COUNTIFS('1_原始數據'!$B$2:$B$1000,$B30,'1_原始數據'!$C$2:$C$1000,$C30,'1_原始數據'!$D$2:$D$1000,8)=0,"",SUMIFS('1_原始數據'!$K$2:$K$1000,'1_原始數據'!$B$2:$B$1000,$B30,'1_原始數據'!$C$2:$C$1000,$C30,'1_原始數據'!$D$2:$D$1000,8))</f>
        <v/>
      </c>
      <c r="N30" s="14">
        <f>IF(COUNTIFS('1_原始數據'!$B$2:$B$1000,$B30,'1_原始數據'!$C$2:$C$1000,$C30,'1_原始數據'!$D$2:$D$1000,9)=0,"",SUMIFS('1_原始數據'!$K$2:$K$1000,'1_原始數據'!$B$2:$B$1000,$B30,'1_原始數據'!$C$2:$C$1000,$C30,'1_原始數據'!$D$2:$D$1000,9))</f>
        <v/>
      </c>
      <c r="O30" s="14">
        <f>IF(COUNTIFS('1_原始數據'!$B$2:$B$1000,$B30,'1_原始數據'!$C$2:$C$1000,$C30,'1_原始數據'!$D$2:$D$1000,10)=0,"",SUMIFS('1_原始數據'!$K$2:$K$1000,'1_原始數據'!$B$2:$B$1000,$B30,'1_原始數據'!$C$2:$C$1000,$C30,'1_原始數據'!$D$2:$D$1000,10))</f>
        <v/>
      </c>
      <c r="P30" s="28">
        <f>COUNT(F30:O30)</f>
        <v/>
      </c>
      <c r="Q30" s="29">
        <f>AVERAGE(F30:O30)</f>
        <v/>
      </c>
      <c r="R30" s="29">
        <f>_xlfn.STDEV.S(F30:O30)</f>
        <v/>
      </c>
      <c r="S30" s="16">
        <f>R30/Q30*100</f>
        <v/>
      </c>
      <c r="T30" s="16">
        <f>_xlfn.T.INV.2T(0.05,P30-1)</f>
        <v/>
      </c>
      <c r="U30" s="29">
        <f>T30*R30/SQRT(P30)</f>
        <v/>
      </c>
      <c r="V30" s="30">
        <f>Q30-D30</f>
        <v/>
      </c>
      <c r="W30" s="13">
        <f>IF(ABS(V30)&lt;=E30,"是","否")</f>
        <v/>
      </c>
      <c r="X30" s="13">
        <f>IF(R30&lt;=E30/2,"是","否")</f>
        <v/>
      </c>
      <c r="Y30" s="13">
        <f>IF(W30="是",IF(X30="是","準確且精密","準確但不精密"),IF(X30="是","精密但不準確","不準確且不精密"))</f>
        <v/>
      </c>
      <c r="Z30" s="13">
        <f>FIXED(Q30,MAX(0,1-INT(LOG10(ABS(U30)))))&amp;" ± "&amp;FIXED(U30,MAX(0,1-INT(LOG10(ABS(U30)))))&amp;" mL"</f>
        <v/>
      </c>
    </row>
    <row r="31">
      <c r="A31" s="5" t="n">
        <v>4</v>
      </c>
      <c r="B31" s="5" t="inlineStr">
        <is>
          <t>G4_S3</t>
        </is>
      </c>
      <c r="C31" s="5" t="inlineStr">
        <is>
          <t>burette_25mL</t>
        </is>
      </c>
      <c r="D31" s="27">
        <f>IF(C31="pipette_10mL",10,IF(C31="burette_25mL",25,""))</f>
        <v/>
      </c>
      <c r="E31" s="27">
        <f>IF(C31="pipette_10mL",0.02,IF(C31="burette_25mL",0.05,""))</f>
        <v/>
      </c>
      <c r="F31" s="14">
        <f>IF(COUNTIFS('1_原始數據'!$B$2:$B$1000,$B31,'1_原始數據'!$C$2:$C$1000,$C31,'1_原始數據'!$D$2:$D$1000,1)=0,"",SUMIFS('1_原始數據'!$K$2:$K$1000,'1_原始數據'!$B$2:$B$1000,$B31,'1_原始數據'!$C$2:$C$1000,$C31,'1_原始數據'!$D$2:$D$1000,1))</f>
        <v/>
      </c>
      <c r="G31" s="14">
        <f>IF(COUNTIFS('1_原始數據'!$B$2:$B$1000,$B31,'1_原始數據'!$C$2:$C$1000,$C31,'1_原始數據'!$D$2:$D$1000,2)=0,"",SUMIFS('1_原始數據'!$K$2:$K$1000,'1_原始數據'!$B$2:$B$1000,$B31,'1_原始數據'!$C$2:$C$1000,$C31,'1_原始數據'!$D$2:$D$1000,2))</f>
        <v/>
      </c>
      <c r="H31" s="14">
        <f>IF(COUNTIFS('1_原始數據'!$B$2:$B$1000,$B31,'1_原始數據'!$C$2:$C$1000,$C31,'1_原始數據'!$D$2:$D$1000,3)=0,"",SUMIFS('1_原始數據'!$K$2:$K$1000,'1_原始數據'!$B$2:$B$1000,$B31,'1_原始數據'!$C$2:$C$1000,$C31,'1_原始數據'!$D$2:$D$1000,3))</f>
        <v/>
      </c>
      <c r="I31" s="14">
        <f>IF(COUNTIFS('1_原始數據'!$B$2:$B$1000,$B31,'1_原始數據'!$C$2:$C$1000,$C31,'1_原始數據'!$D$2:$D$1000,4)=0,"",SUMIFS('1_原始數據'!$K$2:$K$1000,'1_原始數據'!$B$2:$B$1000,$B31,'1_原始數據'!$C$2:$C$1000,$C31,'1_原始數據'!$D$2:$D$1000,4))</f>
        <v/>
      </c>
      <c r="J31" s="14">
        <f>IF(COUNTIFS('1_原始數據'!$B$2:$B$1000,$B31,'1_原始數據'!$C$2:$C$1000,$C31,'1_原始數據'!$D$2:$D$1000,5)=0,"",SUMIFS('1_原始數據'!$K$2:$K$1000,'1_原始數據'!$B$2:$B$1000,$B31,'1_原始數據'!$C$2:$C$1000,$C31,'1_原始數據'!$D$2:$D$1000,5))</f>
        <v/>
      </c>
      <c r="K31" s="14">
        <f>IF(COUNTIFS('1_原始數據'!$B$2:$B$1000,$B31,'1_原始數據'!$C$2:$C$1000,$C31,'1_原始數據'!$D$2:$D$1000,6)=0,"",SUMIFS('1_原始數據'!$K$2:$K$1000,'1_原始數據'!$B$2:$B$1000,$B31,'1_原始數據'!$C$2:$C$1000,$C31,'1_原始數據'!$D$2:$D$1000,6))</f>
        <v/>
      </c>
      <c r="L31" s="14">
        <f>IF(COUNTIFS('1_原始數據'!$B$2:$B$1000,$B31,'1_原始數據'!$C$2:$C$1000,$C31,'1_原始數據'!$D$2:$D$1000,7)=0,"",SUMIFS('1_原始數據'!$K$2:$K$1000,'1_原始數據'!$B$2:$B$1000,$B31,'1_原始數據'!$C$2:$C$1000,$C31,'1_原始數據'!$D$2:$D$1000,7))</f>
        <v/>
      </c>
      <c r="M31" s="14">
        <f>IF(COUNTIFS('1_原始數據'!$B$2:$B$1000,$B31,'1_原始數據'!$C$2:$C$1000,$C31,'1_原始數據'!$D$2:$D$1000,8)=0,"",SUMIFS('1_原始數據'!$K$2:$K$1000,'1_原始數據'!$B$2:$B$1000,$B31,'1_原始數據'!$C$2:$C$1000,$C31,'1_原始數據'!$D$2:$D$1000,8))</f>
        <v/>
      </c>
      <c r="N31" s="14">
        <f>IF(COUNTIFS('1_原始數據'!$B$2:$B$1000,$B31,'1_原始數據'!$C$2:$C$1000,$C31,'1_原始數據'!$D$2:$D$1000,9)=0,"",SUMIFS('1_原始數據'!$K$2:$K$1000,'1_原始數據'!$B$2:$B$1000,$B31,'1_原始數據'!$C$2:$C$1000,$C31,'1_原始數據'!$D$2:$D$1000,9))</f>
        <v/>
      </c>
      <c r="O31" s="14">
        <f>IF(COUNTIFS('1_原始數據'!$B$2:$B$1000,$B31,'1_原始數據'!$C$2:$C$1000,$C31,'1_原始數據'!$D$2:$D$1000,10)=0,"",SUMIFS('1_原始數據'!$K$2:$K$1000,'1_原始數據'!$B$2:$B$1000,$B31,'1_原始數據'!$C$2:$C$1000,$C31,'1_原始數據'!$D$2:$D$1000,10))</f>
        <v/>
      </c>
      <c r="P31" s="28">
        <f>COUNT(F31:O31)</f>
        <v/>
      </c>
      <c r="Q31" s="29">
        <f>AVERAGE(F31:O31)</f>
        <v/>
      </c>
      <c r="R31" s="29">
        <f>_xlfn.STDEV.S(F31:O31)</f>
        <v/>
      </c>
      <c r="S31" s="16">
        <f>R31/Q31*100</f>
        <v/>
      </c>
      <c r="T31" s="16">
        <f>_xlfn.T.INV.2T(0.05,P31-1)</f>
        <v/>
      </c>
      <c r="U31" s="29">
        <f>T31*R31/SQRT(P31)</f>
        <v/>
      </c>
      <c r="V31" s="30">
        <f>Q31-D31</f>
        <v/>
      </c>
      <c r="W31" s="13">
        <f>IF(ABS(V31)&lt;=E31,"是","否")</f>
        <v/>
      </c>
      <c r="X31" s="13">
        <f>IF(R31&lt;=E31/2,"是","否")</f>
        <v/>
      </c>
      <c r="Y31" s="13">
        <f>IF(W31="是",IF(X31="是","準確且精密","準確但不精密"),IF(X31="是","精密但不準確","不準確且不精密"))</f>
        <v/>
      </c>
      <c r="Z31" s="13">
        <f>FIXED(Q31,MAX(0,1-INT(LOG10(ABS(U31)))))&amp;" ± "&amp;FIXED(U31,MAX(0,1-INT(LOG10(ABS(U31)))))&amp;" mL"</f>
        <v/>
      </c>
    </row>
    <row r="32">
      <c r="A32" s="5" t="n">
        <v>5</v>
      </c>
      <c r="B32" s="5" t="inlineStr">
        <is>
          <t>G5_S1</t>
        </is>
      </c>
      <c r="C32" s="5" t="inlineStr">
        <is>
          <t>burette_25mL</t>
        </is>
      </c>
      <c r="D32" s="27">
        <f>IF(C32="pipette_10mL",10,IF(C32="burette_25mL",25,""))</f>
        <v/>
      </c>
      <c r="E32" s="27">
        <f>IF(C32="pipette_10mL",0.02,IF(C32="burette_25mL",0.05,""))</f>
        <v/>
      </c>
      <c r="F32" s="14">
        <f>IF(COUNTIFS('1_原始數據'!$B$2:$B$1000,$B32,'1_原始數據'!$C$2:$C$1000,$C32,'1_原始數據'!$D$2:$D$1000,1)=0,"",SUMIFS('1_原始數據'!$K$2:$K$1000,'1_原始數據'!$B$2:$B$1000,$B32,'1_原始數據'!$C$2:$C$1000,$C32,'1_原始數據'!$D$2:$D$1000,1))</f>
        <v/>
      </c>
      <c r="G32" s="14">
        <f>IF(COUNTIFS('1_原始數據'!$B$2:$B$1000,$B32,'1_原始數據'!$C$2:$C$1000,$C32,'1_原始數據'!$D$2:$D$1000,2)=0,"",SUMIFS('1_原始數據'!$K$2:$K$1000,'1_原始數據'!$B$2:$B$1000,$B32,'1_原始數據'!$C$2:$C$1000,$C32,'1_原始數據'!$D$2:$D$1000,2))</f>
        <v/>
      </c>
      <c r="H32" s="14">
        <f>IF(COUNTIFS('1_原始數據'!$B$2:$B$1000,$B32,'1_原始數據'!$C$2:$C$1000,$C32,'1_原始數據'!$D$2:$D$1000,3)=0,"",SUMIFS('1_原始數據'!$K$2:$K$1000,'1_原始數據'!$B$2:$B$1000,$B32,'1_原始數據'!$C$2:$C$1000,$C32,'1_原始數據'!$D$2:$D$1000,3))</f>
        <v/>
      </c>
      <c r="I32" s="14">
        <f>IF(COUNTIFS('1_原始數據'!$B$2:$B$1000,$B32,'1_原始數據'!$C$2:$C$1000,$C32,'1_原始數據'!$D$2:$D$1000,4)=0,"",SUMIFS('1_原始數據'!$K$2:$K$1000,'1_原始數據'!$B$2:$B$1000,$B32,'1_原始數據'!$C$2:$C$1000,$C32,'1_原始數據'!$D$2:$D$1000,4))</f>
        <v/>
      </c>
      <c r="J32" s="14">
        <f>IF(COUNTIFS('1_原始數據'!$B$2:$B$1000,$B32,'1_原始數據'!$C$2:$C$1000,$C32,'1_原始數據'!$D$2:$D$1000,5)=0,"",SUMIFS('1_原始數據'!$K$2:$K$1000,'1_原始數據'!$B$2:$B$1000,$B32,'1_原始數據'!$C$2:$C$1000,$C32,'1_原始數據'!$D$2:$D$1000,5))</f>
        <v/>
      </c>
      <c r="K32" s="14">
        <f>IF(COUNTIFS('1_原始數據'!$B$2:$B$1000,$B32,'1_原始數據'!$C$2:$C$1000,$C32,'1_原始數據'!$D$2:$D$1000,6)=0,"",SUMIFS('1_原始數據'!$K$2:$K$1000,'1_原始數據'!$B$2:$B$1000,$B32,'1_原始數據'!$C$2:$C$1000,$C32,'1_原始數據'!$D$2:$D$1000,6))</f>
        <v/>
      </c>
      <c r="L32" s="14">
        <f>IF(COUNTIFS('1_原始數據'!$B$2:$B$1000,$B32,'1_原始數據'!$C$2:$C$1000,$C32,'1_原始數據'!$D$2:$D$1000,7)=0,"",SUMIFS('1_原始數據'!$K$2:$K$1000,'1_原始數據'!$B$2:$B$1000,$B32,'1_原始數據'!$C$2:$C$1000,$C32,'1_原始數據'!$D$2:$D$1000,7))</f>
        <v/>
      </c>
      <c r="M32" s="14">
        <f>IF(COUNTIFS('1_原始數據'!$B$2:$B$1000,$B32,'1_原始數據'!$C$2:$C$1000,$C32,'1_原始數據'!$D$2:$D$1000,8)=0,"",SUMIFS('1_原始數據'!$K$2:$K$1000,'1_原始數據'!$B$2:$B$1000,$B32,'1_原始數據'!$C$2:$C$1000,$C32,'1_原始數據'!$D$2:$D$1000,8))</f>
        <v/>
      </c>
      <c r="N32" s="14">
        <f>IF(COUNTIFS('1_原始數據'!$B$2:$B$1000,$B32,'1_原始數據'!$C$2:$C$1000,$C32,'1_原始數據'!$D$2:$D$1000,9)=0,"",SUMIFS('1_原始數據'!$K$2:$K$1000,'1_原始數據'!$B$2:$B$1000,$B32,'1_原始數據'!$C$2:$C$1000,$C32,'1_原始數據'!$D$2:$D$1000,9))</f>
        <v/>
      </c>
      <c r="O32" s="14">
        <f>IF(COUNTIFS('1_原始數據'!$B$2:$B$1000,$B32,'1_原始數據'!$C$2:$C$1000,$C32,'1_原始數據'!$D$2:$D$1000,10)=0,"",SUMIFS('1_原始數據'!$K$2:$K$1000,'1_原始數據'!$B$2:$B$1000,$B32,'1_原始數據'!$C$2:$C$1000,$C32,'1_原始數據'!$D$2:$D$1000,10))</f>
        <v/>
      </c>
      <c r="P32" s="28">
        <f>COUNT(F32:O32)</f>
        <v/>
      </c>
      <c r="Q32" s="29">
        <f>AVERAGE(F32:O32)</f>
        <v/>
      </c>
      <c r="R32" s="29">
        <f>_xlfn.STDEV.S(F32:O32)</f>
        <v/>
      </c>
      <c r="S32" s="16">
        <f>R32/Q32*100</f>
        <v/>
      </c>
      <c r="T32" s="16">
        <f>_xlfn.T.INV.2T(0.05,P32-1)</f>
        <v/>
      </c>
      <c r="U32" s="29">
        <f>T32*R32/SQRT(P32)</f>
        <v/>
      </c>
      <c r="V32" s="30">
        <f>Q32-D32</f>
        <v/>
      </c>
      <c r="W32" s="13">
        <f>IF(ABS(V32)&lt;=E32,"是","否")</f>
        <v/>
      </c>
      <c r="X32" s="13">
        <f>IF(R32&lt;=E32/2,"是","否")</f>
        <v/>
      </c>
      <c r="Y32" s="13">
        <f>IF(W32="是",IF(X32="是","準確且精密","準確但不精密"),IF(X32="是","精密但不準確","不準確且不精密"))</f>
        <v/>
      </c>
      <c r="Z32" s="13">
        <f>FIXED(Q32,MAX(0,1-INT(LOG10(ABS(U32)))))&amp;" ± "&amp;FIXED(U32,MAX(0,1-INT(LOG10(ABS(U32)))))&amp;" mL"</f>
        <v/>
      </c>
    </row>
    <row r="33">
      <c r="A33" s="5" t="n">
        <v>5</v>
      </c>
      <c r="B33" s="5" t="inlineStr">
        <is>
          <t>G5_S2</t>
        </is>
      </c>
      <c r="C33" s="5" t="inlineStr">
        <is>
          <t>burette_25mL</t>
        </is>
      </c>
      <c r="D33" s="27">
        <f>IF(C33="pipette_10mL",10,IF(C33="burette_25mL",25,""))</f>
        <v/>
      </c>
      <c r="E33" s="27">
        <f>IF(C33="pipette_10mL",0.02,IF(C33="burette_25mL",0.05,""))</f>
        <v/>
      </c>
      <c r="F33" s="14">
        <f>IF(COUNTIFS('1_原始數據'!$B$2:$B$1000,$B33,'1_原始數據'!$C$2:$C$1000,$C33,'1_原始數據'!$D$2:$D$1000,1)=0,"",SUMIFS('1_原始數據'!$K$2:$K$1000,'1_原始數據'!$B$2:$B$1000,$B33,'1_原始數據'!$C$2:$C$1000,$C33,'1_原始數據'!$D$2:$D$1000,1))</f>
        <v/>
      </c>
      <c r="G33" s="14">
        <f>IF(COUNTIFS('1_原始數據'!$B$2:$B$1000,$B33,'1_原始數據'!$C$2:$C$1000,$C33,'1_原始數據'!$D$2:$D$1000,2)=0,"",SUMIFS('1_原始數據'!$K$2:$K$1000,'1_原始數據'!$B$2:$B$1000,$B33,'1_原始數據'!$C$2:$C$1000,$C33,'1_原始數據'!$D$2:$D$1000,2))</f>
        <v/>
      </c>
      <c r="H33" s="14">
        <f>IF(COUNTIFS('1_原始數據'!$B$2:$B$1000,$B33,'1_原始數據'!$C$2:$C$1000,$C33,'1_原始數據'!$D$2:$D$1000,3)=0,"",SUMIFS('1_原始數據'!$K$2:$K$1000,'1_原始數據'!$B$2:$B$1000,$B33,'1_原始數據'!$C$2:$C$1000,$C33,'1_原始數據'!$D$2:$D$1000,3))</f>
        <v/>
      </c>
      <c r="I33" s="14">
        <f>IF(COUNTIFS('1_原始數據'!$B$2:$B$1000,$B33,'1_原始數據'!$C$2:$C$1000,$C33,'1_原始數據'!$D$2:$D$1000,4)=0,"",SUMIFS('1_原始數據'!$K$2:$K$1000,'1_原始數據'!$B$2:$B$1000,$B33,'1_原始數據'!$C$2:$C$1000,$C33,'1_原始數據'!$D$2:$D$1000,4))</f>
        <v/>
      </c>
      <c r="J33" s="14">
        <f>IF(COUNTIFS('1_原始數據'!$B$2:$B$1000,$B33,'1_原始數據'!$C$2:$C$1000,$C33,'1_原始數據'!$D$2:$D$1000,5)=0,"",SUMIFS('1_原始數據'!$K$2:$K$1000,'1_原始數據'!$B$2:$B$1000,$B33,'1_原始數據'!$C$2:$C$1000,$C33,'1_原始數據'!$D$2:$D$1000,5))</f>
        <v/>
      </c>
      <c r="K33" s="14">
        <f>IF(COUNTIFS('1_原始數據'!$B$2:$B$1000,$B33,'1_原始數據'!$C$2:$C$1000,$C33,'1_原始數據'!$D$2:$D$1000,6)=0,"",SUMIFS('1_原始數據'!$K$2:$K$1000,'1_原始數據'!$B$2:$B$1000,$B33,'1_原始數據'!$C$2:$C$1000,$C33,'1_原始數據'!$D$2:$D$1000,6))</f>
        <v/>
      </c>
      <c r="L33" s="14">
        <f>IF(COUNTIFS('1_原始數據'!$B$2:$B$1000,$B33,'1_原始數據'!$C$2:$C$1000,$C33,'1_原始數據'!$D$2:$D$1000,7)=0,"",SUMIFS('1_原始數據'!$K$2:$K$1000,'1_原始數據'!$B$2:$B$1000,$B33,'1_原始數據'!$C$2:$C$1000,$C33,'1_原始數據'!$D$2:$D$1000,7))</f>
        <v/>
      </c>
      <c r="M33" s="14">
        <f>IF(COUNTIFS('1_原始數據'!$B$2:$B$1000,$B33,'1_原始數據'!$C$2:$C$1000,$C33,'1_原始數據'!$D$2:$D$1000,8)=0,"",SUMIFS('1_原始數據'!$K$2:$K$1000,'1_原始數據'!$B$2:$B$1000,$B33,'1_原始數據'!$C$2:$C$1000,$C33,'1_原始數據'!$D$2:$D$1000,8))</f>
        <v/>
      </c>
      <c r="N33" s="14">
        <f>IF(COUNTIFS('1_原始數據'!$B$2:$B$1000,$B33,'1_原始數據'!$C$2:$C$1000,$C33,'1_原始數據'!$D$2:$D$1000,9)=0,"",SUMIFS('1_原始數據'!$K$2:$K$1000,'1_原始數據'!$B$2:$B$1000,$B33,'1_原始數據'!$C$2:$C$1000,$C33,'1_原始數據'!$D$2:$D$1000,9))</f>
        <v/>
      </c>
      <c r="O33" s="14">
        <f>IF(COUNTIFS('1_原始數據'!$B$2:$B$1000,$B33,'1_原始數據'!$C$2:$C$1000,$C33,'1_原始數據'!$D$2:$D$1000,10)=0,"",SUMIFS('1_原始數據'!$K$2:$K$1000,'1_原始數據'!$B$2:$B$1000,$B33,'1_原始數據'!$C$2:$C$1000,$C33,'1_原始數據'!$D$2:$D$1000,10))</f>
        <v/>
      </c>
      <c r="P33" s="28">
        <f>COUNT(F33:O33)</f>
        <v/>
      </c>
      <c r="Q33" s="29">
        <f>AVERAGE(F33:O33)</f>
        <v/>
      </c>
      <c r="R33" s="29">
        <f>_xlfn.STDEV.S(F33:O33)</f>
        <v/>
      </c>
      <c r="S33" s="16">
        <f>R33/Q33*100</f>
        <v/>
      </c>
      <c r="T33" s="16">
        <f>_xlfn.T.INV.2T(0.05,P33-1)</f>
        <v/>
      </c>
      <c r="U33" s="29">
        <f>T33*R33/SQRT(P33)</f>
        <v/>
      </c>
      <c r="V33" s="30">
        <f>Q33-D33</f>
        <v/>
      </c>
      <c r="W33" s="13">
        <f>IF(ABS(V33)&lt;=E33,"是","否")</f>
        <v/>
      </c>
      <c r="X33" s="13">
        <f>IF(R33&lt;=E33/2,"是","否")</f>
        <v/>
      </c>
      <c r="Y33" s="13">
        <f>IF(W33="是",IF(X33="是","準確且精密","準確但不精密"),IF(X33="是","精密但不準確","不準確且不精密"))</f>
        <v/>
      </c>
      <c r="Z33" s="13">
        <f>FIXED(Q33,MAX(0,1-INT(LOG10(ABS(U33)))))&amp;" ± "&amp;FIXED(U33,MAX(0,1-INT(LOG10(ABS(U33)))))&amp;" mL"</f>
        <v/>
      </c>
    </row>
    <row r="34">
      <c r="A34" s="5" t="n">
        <v>5</v>
      </c>
      <c r="B34" s="5" t="inlineStr">
        <is>
          <t>G5_S3</t>
        </is>
      </c>
      <c r="C34" s="5" t="inlineStr">
        <is>
          <t>burette_25mL</t>
        </is>
      </c>
      <c r="D34" s="27">
        <f>IF(C34="pipette_10mL",10,IF(C34="burette_25mL",25,""))</f>
        <v/>
      </c>
      <c r="E34" s="27">
        <f>IF(C34="pipette_10mL",0.02,IF(C34="burette_25mL",0.05,""))</f>
        <v/>
      </c>
      <c r="F34" s="14">
        <f>IF(COUNTIFS('1_原始數據'!$B$2:$B$1000,$B34,'1_原始數據'!$C$2:$C$1000,$C34,'1_原始數據'!$D$2:$D$1000,1)=0,"",SUMIFS('1_原始數據'!$K$2:$K$1000,'1_原始數據'!$B$2:$B$1000,$B34,'1_原始數據'!$C$2:$C$1000,$C34,'1_原始數據'!$D$2:$D$1000,1))</f>
        <v/>
      </c>
      <c r="G34" s="14">
        <f>IF(COUNTIFS('1_原始數據'!$B$2:$B$1000,$B34,'1_原始數據'!$C$2:$C$1000,$C34,'1_原始數據'!$D$2:$D$1000,2)=0,"",SUMIFS('1_原始數據'!$K$2:$K$1000,'1_原始數據'!$B$2:$B$1000,$B34,'1_原始數據'!$C$2:$C$1000,$C34,'1_原始數據'!$D$2:$D$1000,2))</f>
        <v/>
      </c>
      <c r="H34" s="14">
        <f>IF(COUNTIFS('1_原始數據'!$B$2:$B$1000,$B34,'1_原始數據'!$C$2:$C$1000,$C34,'1_原始數據'!$D$2:$D$1000,3)=0,"",SUMIFS('1_原始數據'!$K$2:$K$1000,'1_原始數據'!$B$2:$B$1000,$B34,'1_原始數據'!$C$2:$C$1000,$C34,'1_原始數據'!$D$2:$D$1000,3))</f>
        <v/>
      </c>
      <c r="I34" s="14">
        <f>IF(COUNTIFS('1_原始數據'!$B$2:$B$1000,$B34,'1_原始數據'!$C$2:$C$1000,$C34,'1_原始數據'!$D$2:$D$1000,4)=0,"",SUMIFS('1_原始數據'!$K$2:$K$1000,'1_原始數據'!$B$2:$B$1000,$B34,'1_原始數據'!$C$2:$C$1000,$C34,'1_原始數據'!$D$2:$D$1000,4))</f>
        <v/>
      </c>
      <c r="J34" s="14">
        <f>IF(COUNTIFS('1_原始數據'!$B$2:$B$1000,$B34,'1_原始數據'!$C$2:$C$1000,$C34,'1_原始數據'!$D$2:$D$1000,5)=0,"",SUMIFS('1_原始數據'!$K$2:$K$1000,'1_原始數據'!$B$2:$B$1000,$B34,'1_原始數據'!$C$2:$C$1000,$C34,'1_原始數據'!$D$2:$D$1000,5))</f>
        <v/>
      </c>
      <c r="K34" s="14">
        <f>IF(COUNTIFS('1_原始數據'!$B$2:$B$1000,$B34,'1_原始數據'!$C$2:$C$1000,$C34,'1_原始數據'!$D$2:$D$1000,6)=0,"",SUMIFS('1_原始數據'!$K$2:$K$1000,'1_原始數據'!$B$2:$B$1000,$B34,'1_原始數據'!$C$2:$C$1000,$C34,'1_原始數據'!$D$2:$D$1000,6))</f>
        <v/>
      </c>
      <c r="L34" s="14">
        <f>IF(COUNTIFS('1_原始數據'!$B$2:$B$1000,$B34,'1_原始數據'!$C$2:$C$1000,$C34,'1_原始數據'!$D$2:$D$1000,7)=0,"",SUMIFS('1_原始數據'!$K$2:$K$1000,'1_原始數據'!$B$2:$B$1000,$B34,'1_原始數據'!$C$2:$C$1000,$C34,'1_原始數據'!$D$2:$D$1000,7))</f>
        <v/>
      </c>
      <c r="M34" s="14">
        <f>IF(COUNTIFS('1_原始數據'!$B$2:$B$1000,$B34,'1_原始數據'!$C$2:$C$1000,$C34,'1_原始數據'!$D$2:$D$1000,8)=0,"",SUMIFS('1_原始數據'!$K$2:$K$1000,'1_原始數據'!$B$2:$B$1000,$B34,'1_原始數據'!$C$2:$C$1000,$C34,'1_原始數據'!$D$2:$D$1000,8))</f>
        <v/>
      </c>
      <c r="N34" s="14">
        <f>IF(COUNTIFS('1_原始數據'!$B$2:$B$1000,$B34,'1_原始數據'!$C$2:$C$1000,$C34,'1_原始數據'!$D$2:$D$1000,9)=0,"",SUMIFS('1_原始數據'!$K$2:$K$1000,'1_原始數據'!$B$2:$B$1000,$B34,'1_原始數據'!$C$2:$C$1000,$C34,'1_原始數據'!$D$2:$D$1000,9))</f>
        <v/>
      </c>
      <c r="O34" s="14">
        <f>IF(COUNTIFS('1_原始數據'!$B$2:$B$1000,$B34,'1_原始數據'!$C$2:$C$1000,$C34,'1_原始數據'!$D$2:$D$1000,10)=0,"",SUMIFS('1_原始數據'!$K$2:$K$1000,'1_原始數據'!$B$2:$B$1000,$B34,'1_原始數據'!$C$2:$C$1000,$C34,'1_原始數據'!$D$2:$D$1000,10))</f>
        <v/>
      </c>
      <c r="P34" s="28">
        <f>COUNT(F34:O34)</f>
        <v/>
      </c>
      <c r="Q34" s="29">
        <f>AVERAGE(F34:O34)</f>
        <v/>
      </c>
      <c r="R34" s="29">
        <f>_xlfn.STDEV.S(F34:O34)</f>
        <v/>
      </c>
      <c r="S34" s="16">
        <f>R34/Q34*100</f>
        <v/>
      </c>
      <c r="T34" s="16">
        <f>_xlfn.T.INV.2T(0.05,P34-1)</f>
        <v/>
      </c>
      <c r="U34" s="29">
        <f>T34*R34/SQRT(P34)</f>
        <v/>
      </c>
      <c r="V34" s="30">
        <f>Q34-D34</f>
        <v/>
      </c>
      <c r="W34" s="13">
        <f>IF(ABS(V34)&lt;=E34,"是","否")</f>
        <v/>
      </c>
      <c r="X34" s="13">
        <f>IF(R34&lt;=E34/2,"是","否")</f>
        <v/>
      </c>
      <c r="Y34" s="13">
        <f>IF(W34="是",IF(X34="是","準確且精密","準確但不精密"),IF(X34="是","精密但不準確","不準確且不精密"))</f>
        <v/>
      </c>
      <c r="Z34" s="13">
        <f>FIXED(Q34,MAX(0,1-INT(LOG10(ABS(U34)))))&amp;" ± "&amp;FIXED(U34,MAX(0,1-INT(LOG10(ABS(U34)))))&amp;" mL"</f>
        <v/>
      </c>
    </row>
    <row r="36">
      <c r="A36" s="3" t="inlineStr">
        <is>
          <t>公式說明</t>
        </is>
      </c>
    </row>
    <row r="37">
      <c r="A37" s="25" t="inlineStr">
        <is>
          <t>n</t>
        </is>
      </c>
      <c r="D37" s="6" t="inlineStr">
        <is>
          <t>=COUNT(F5:O5)　數有幾個數字</t>
        </is>
      </c>
    </row>
    <row r="38">
      <c r="A38" s="25" t="inlineStr">
        <is>
          <t>平均</t>
        </is>
      </c>
      <c r="D38" s="6" t="inlineStr">
        <is>
          <t>=AVERAGE(F5:O5)</t>
        </is>
      </c>
    </row>
    <row r="39">
      <c r="A39" s="25" t="inlineStr">
        <is>
          <t>SD</t>
        </is>
      </c>
      <c r="D39" s="6" t="inlineStr">
        <is>
          <t>=STDEV.S(F5:O5)　樣本標準差（除以 n−1）。不要用 STDEV.P。</t>
        </is>
      </c>
    </row>
    <row r="40">
      <c r="A40" s="25" t="inlineStr">
        <is>
          <t>RSD</t>
        </is>
      </c>
      <c r="D40" s="6" t="inlineStr">
        <is>
          <t>=SD/平均×100　不同大小的量測，用 RSD 比精密度</t>
        </is>
      </c>
    </row>
    <row r="41">
      <c r="A41" s="25" t="inlineStr">
        <is>
          <t>t 臨界值</t>
        </is>
      </c>
      <c r="D41" s="6" t="inlineStr">
        <is>
          <t>=T.INV.2T(0.05, n−1)　95% 雙尾；n=10 時約 2.262</t>
        </is>
      </c>
    </row>
    <row r="42">
      <c r="A42" s="25" t="inlineStr">
        <is>
          <t>95% CI 半寬</t>
        </is>
      </c>
      <c r="D42" s="6" t="inlineStr">
        <is>
          <t>= t × SD / √n　代表「平均值」的不確定度</t>
        </is>
      </c>
    </row>
    <row r="43">
      <c r="A43" s="25" t="inlineStr">
        <is>
          <t>偏差 bias</t>
        </is>
      </c>
      <c r="D43" s="6" t="inlineStr">
        <is>
          <t>= 平均 − 標稱值　反映系統誤差（準確度）</t>
        </is>
      </c>
    </row>
    <row r="44">
      <c r="A44" s="25" t="inlineStr">
        <is>
          <t>準確？</t>
        </is>
      </c>
      <c r="D44" s="6" t="inlineStr">
        <is>
          <t>|bias| ≤ Class A 公差（移液管 ±0.02、滴定管 ±0.05 mL）</t>
        </is>
      </c>
    </row>
    <row r="45">
      <c r="A45" s="25" t="inlineStr">
        <is>
          <t>精密？</t>
        </is>
      </c>
      <c r="D45" s="6" t="inlineStr">
        <is>
          <t>SD ≤ 公差 / 2（本課程的教學簡化門檻）</t>
        </is>
      </c>
    </row>
    <row r="46">
      <c r="A46" s="25" t="inlineStr">
        <is>
          <t>報告寫法</t>
        </is>
      </c>
      <c r="D46" s="6" t="inlineStr">
        <is>
          <t>CI 取 2 位有效數字，平均值報告到與 CI 相同的小數位。</t>
        </is>
      </c>
    </row>
    <row r="84" ht="32" customHeight="1">
      <c r="A84" s="18" t="inlineStr">
        <is>
          <t>看圖：target diagram 中，落在兩條綠色虛線（±公差）之間＝準確；落在橘色點線（公差/2）以下＝精密。下方的點是平均值，誤差線是 95% CI，灰色虛線是標稱值。G1_S3 的移液管 CI 特別大，回原始數據找找原因（看 note 欄）。</t>
        </is>
      </c>
    </row>
  </sheetData>
  <mergeCells count="22">
    <mergeCell ref="A41:C41"/>
    <mergeCell ref="A37:C37"/>
    <mergeCell ref="A46:C46"/>
    <mergeCell ref="D44:Z44"/>
    <mergeCell ref="A42:C42"/>
    <mergeCell ref="D46:Z46"/>
    <mergeCell ref="D40:Z40"/>
    <mergeCell ref="D45:Z45"/>
    <mergeCell ref="A43:C43"/>
    <mergeCell ref="A38:C38"/>
    <mergeCell ref="A84:Z84"/>
    <mergeCell ref="D41:Z41"/>
    <mergeCell ref="A44:C44"/>
    <mergeCell ref="A40:C40"/>
    <mergeCell ref="A2:Z2"/>
    <mergeCell ref="A39:C39"/>
    <mergeCell ref="D43:Z43"/>
    <mergeCell ref="D37:Z37"/>
    <mergeCell ref="A45:C45"/>
    <mergeCell ref="D39:Z39"/>
    <mergeCell ref="D42:Z42"/>
    <mergeCell ref="D38:Z3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3" customWidth="1" min="4" max="4"/>
    <col width="13" customWidth="1" min="5" max="5"/>
    <col width="12" customWidth="1" min="6" max="6"/>
    <col width="3" customWidth="1" min="7" max="7"/>
    <col width="60" customWidth="1" min="8" max="8"/>
  </cols>
  <sheetData>
    <row r="1">
      <c r="A1" s="1" t="inlineStr">
        <is>
          <t>步驟 3　各組平均、儀器比較、單樣本 t 檢定</t>
        </is>
      </c>
    </row>
    <row r="3">
      <c r="A3" s="3" t="inlineStr">
        <is>
          <t>3-1 各組合併（每組 3 人 × 10 次）</t>
        </is>
      </c>
    </row>
    <row r="4">
      <c r="A4" s="9" t="inlineStr">
        <is>
          <t>組別</t>
        </is>
      </c>
      <c r="B4" s="9" t="inlineStr">
        <is>
          <t>器具</t>
        </is>
      </c>
      <c r="C4" s="9" t="inlineStr">
        <is>
          <t>n</t>
        </is>
      </c>
      <c r="D4" s="9" t="inlineStr">
        <is>
          <t>平均 (mL)</t>
        </is>
      </c>
      <c r="E4" s="9" t="inlineStr">
        <is>
          <t>SD (mL)</t>
        </is>
      </c>
      <c r="F4" s="9" t="inlineStr">
        <is>
          <t>RSD (%)</t>
        </is>
      </c>
    </row>
    <row r="5" ht="60" customHeight="1">
      <c r="A5" s="5" t="n">
        <v>1</v>
      </c>
      <c r="B5" s="5" t="inlineStr">
        <is>
          <t>pipette_10mL</t>
        </is>
      </c>
      <c r="C5" s="28">
        <f>COUNTIFS('1_原始數據'!$A$2:$A$1000,A5,'1_原始數據'!$C$2:$C$1000,B5)</f>
        <v/>
      </c>
      <c r="D5" s="14">
        <f>AVERAGEIFS('1_原始數據'!$K$2:$K$1000,'1_原始數據'!$A$2:$A$1000,A5,'1_原始數據'!$C$2:$C$1000,B5)</f>
        <v/>
      </c>
      <c r="E5" s="14">
        <f t="array" ref="E5">_xlfn.STDEV.S(IF(('1_原始數據'!$A$2:$A$1000=A5)*('1_原始數據'!$C$2:$C$1000=B5),'1_原始數據'!$K$2:$K$1000))</f>
        <v/>
      </c>
      <c r="F5" s="16">
        <f>E5/D5*100</f>
        <v/>
      </c>
      <c r="H5" s="18" t="inlineStr">
        <is>
          <t>AVERAGEIFS 可以「依條件」取平均。Excel 沒有 STDEV.IFS，所以 SD 用陣列公式 {=STDEV.S(IF(條件, 數值))}：只把符合條件的數字交給 STDEV.S。自己輸入時，舊版 Excel 要按 Ctrl+Shift+Enter；Excel 365 直接按 Enter。</t>
        </is>
      </c>
    </row>
    <row r="6">
      <c r="A6" s="5" t="n">
        <v>2</v>
      </c>
      <c r="B6" s="5" t="inlineStr">
        <is>
          <t>pipette_10mL</t>
        </is>
      </c>
      <c r="C6" s="28">
        <f>COUNTIFS('1_原始數據'!$A$2:$A$1000,A6,'1_原始數據'!$C$2:$C$1000,B6)</f>
        <v/>
      </c>
      <c r="D6" s="14">
        <f>AVERAGEIFS('1_原始數據'!$K$2:$K$1000,'1_原始數據'!$A$2:$A$1000,A6,'1_原始數據'!$C$2:$C$1000,B6)</f>
        <v/>
      </c>
      <c r="E6" s="14">
        <f t="array" ref="E6">_xlfn.STDEV.S(IF(('1_原始數據'!$A$2:$A$1000=A6)*('1_原始數據'!$C$2:$C$1000=B6),'1_原始數據'!$K$2:$K$1000))</f>
        <v/>
      </c>
      <c r="F6" s="16">
        <f>E6/D6*100</f>
        <v/>
      </c>
    </row>
    <row r="7">
      <c r="A7" s="5" t="n">
        <v>3</v>
      </c>
      <c r="B7" s="5" t="inlineStr">
        <is>
          <t>pipette_10mL</t>
        </is>
      </c>
      <c r="C7" s="28">
        <f>COUNTIFS('1_原始數據'!$A$2:$A$1000,A7,'1_原始數據'!$C$2:$C$1000,B7)</f>
        <v/>
      </c>
      <c r="D7" s="14">
        <f>AVERAGEIFS('1_原始數據'!$K$2:$K$1000,'1_原始數據'!$A$2:$A$1000,A7,'1_原始數據'!$C$2:$C$1000,B7)</f>
        <v/>
      </c>
      <c r="E7" s="14">
        <f t="array" ref="E7">_xlfn.STDEV.S(IF(('1_原始數據'!$A$2:$A$1000=A7)*('1_原始數據'!$C$2:$C$1000=B7),'1_原始數據'!$K$2:$K$1000))</f>
        <v/>
      </c>
      <c r="F7" s="16">
        <f>E7/D7*100</f>
        <v/>
      </c>
    </row>
    <row r="8">
      <c r="A8" s="5" t="n">
        <v>4</v>
      </c>
      <c r="B8" s="5" t="inlineStr">
        <is>
          <t>pipette_10mL</t>
        </is>
      </c>
      <c r="C8" s="28">
        <f>COUNTIFS('1_原始數據'!$A$2:$A$1000,A8,'1_原始數據'!$C$2:$C$1000,B8)</f>
        <v/>
      </c>
      <c r="D8" s="14">
        <f>AVERAGEIFS('1_原始數據'!$K$2:$K$1000,'1_原始數據'!$A$2:$A$1000,A8,'1_原始數據'!$C$2:$C$1000,B8)</f>
        <v/>
      </c>
      <c r="E8" s="14">
        <f t="array" ref="E8">_xlfn.STDEV.S(IF(('1_原始數據'!$A$2:$A$1000=A8)*('1_原始數據'!$C$2:$C$1000=B8),'1_原始數據'!$K$2:$K$1000))</f>
        <v/>
      </c>
      <c r="F8" s="16">
        <f>E8/D8*100</f>
        <v/>
      </c>
    </row>
    <row r="9">
      <c r="A9" s="5" t="n">
        <v>5</v>
      </c>
      <c r="B9" s="5" t="inlineStr">
        <is>
          <t>pipette_10mL</t>
        </is>
      </c>
      <c r="C9" s="28">
        <f>COUNTIFS('1_原始數據'!$A$2:$A$1000,A9,'1_原始數據'!$C$2:$C$1000,B9)</f>
        <v/>
      </c>
      <c r="D9" s="14">
        <f>AVERAGEIFS('1_原始數據'!$K$2:$K$1000,'1_原始數據'!$A$2:$A$1000,A9,'1_原始數據'!$C$2:$C$1000,B9)</f>
        <v/>
      </c>
      <c r="E9" s="14">
        <f t="array" ref="E9">_xlfn.STDEV.S(IF(('1_原始數據'!$A$2:$A$1000=A9)*('1_原始數據'!$C$2:$C$1000=B9),'1_原始數據'!$K$2:$K$1000))</f>
        <v/>
      </c>
      <c r="F9" s="16">
        <f>E9/D9*100</f>
        <v/>
      </c>
    </row>
    <row r="10">
      <c r="A10" s="5" t="n">
        <v>1</v>
      </c>
      <c r="B10" s="5" t="inlineStr">
        <is>
          <t>burette_25mL</t>
        </is>
      </c>
      <c r="C10" s="28">
        <f>COUNTIFS('1_原始數據'!$A$2:$A$1000,A10,'1_原始數據'!$C$2:$C$1000,B10)</f>
        <v/>
      </c>
      <c r="D10" s="14">
        <f>AVERAGEIFS('1_原始數據'!$K$2:$K$1000,'1_原始數據'!$A$2:$A$1000,A10,'1_原始數據'!$C$2:$C$1000,B10)</f>
        <v/>
      </c>
      <c r="E10" s="14">
        <f t="array" ref="E10">_xlfn.STDEV.S(IF(('1_原始數據'!$A$2:$A$1000=A10)*('1_原始數據'!$C$2:$C$1000=B10),'1_原始數據'!$K$2:$K$1000))</f>
        <v/>
      </c>
      <c r="F10" s="16">
        <f>E10/D10*100</f>
        <v/>
      </c>
    </row>
    <row r="11">
      <c r="A11" s="5" t="n">
        <v>2</v>
      </c>
      <c r="B11" s="5" t="inlineStr">
        <is>
          <t>burette_25mL</t>
        </is>
      </c>
      <c r="C11" s="28">
        <f>COUNTIFS('1_原始數據'!$A$2:$A$1000,A11,'1_原始數據'!$C$2:$C$1000,B11)</f>
        <v/>
      </c>
      <c r="D11" s="14">
        <f>AVERAGEIFS('1_原始數據'!$K$2:$K$1000,'1_原始數據'!$A$2:$A$1000,A11,'1_原始數據'!$C$2:$C$1000,B11)</f>
        <v/>
      </c>
      <c r="E11" s="14">
        <f t="array" ref="E11">_xlfn.STDEV.S(IF(('1_原始數據'!$A$2:$A$1000=A11)*('1_原始數據'!$C$2:$C$1000=B11),'1_原始數據'!$K$2:$K$1000))</f>
        <v/>
      </c>
      <c r="F11" s="16">
        <f>E11/D11*100</f>
        <v/>
      </c>
    </row>
    <row r="12">
      <c r="A12" s="5" t="n">
        <v>3</v>
      </c>
      <c r="B12" s="5" t="inlineStr">
        <is>
          <t>burette_25mL</t>
        </is>
      </c>
      <c r="C12" s="28">
        <f>COUNTIFS('1_原始數據'!$A$2:$A$1000,A12,'1_原始數據'!$C$2:$C$1000,B12)</f>
        <v/>
      </c>
      <c r="D12" s="14">
        <f>AVERAGEIFS('1_原始數據'!$K$2:$K$1000,'1_原始數據'!$A$2:$A$1000,A12,'1_原始數據'!$C$2:$C$1000,B12)</f>
        <v/>
      </c>
      <c r="E12" s="14">
        <f t="array" ref="E12">_xlfn.STDEV.S(IF(('1_原始數據'!$A$2:$A$1000=A12)*('1_原始數據'!$C$2:$C$1000=B12),'1_原始數據'!$K$2:$K$1000))</f>
        <v/>
      </c>
      <c r="F12" s="16">
        <f>E12/D12*100</f>
        <v/>
      </c>
    </row>
    <row r="13">
      <c r="A13" s="5" t="n">
        <v>4</v>
      </c>
      <c r="B13" s="5" t="inlineStr">
        <is>
          <t>burette_25mL</t>
        </is>
      </c>
      <c r="C13" s="28">
        <f>COUNTIFS('1_原始數據'!$A$2:$A$1000,A13,'1_原始數據'!$C$2:$C$1000,B13)</f>
        <v/>
      </c>
      <c r="D13" s="14">
        <f>AVERAGEIFS('1_原始數據'!$K$2:$K$1000,'1_原始數據'!$A$2:$A$1000,A13,'1_原始數據'!$C$2:$C$1000,B13)</f>
        <v/>
      </c>
      <c r="E13" s="14">
        <f t="array" ref="E13">_xlfn.STDEV.S(IF(('1_原始數據'!$A$2:$A$1000=A13)*('1_原始數據'!$C$2:$C$1000=B13),'1_原始數據'!$K$2:$K$1000))</f>
        <v/>
      </c>
      <c r="F13" s="16">
        <f>E13/D13*100</f>
        <v/>
      </c>
    </row>
    <row r="14">
      <c r="A14" s="5" t="n">
        <v>5</v>
      </c>
      <c r="B14" s="5" t="inlineStr">
        <is>
          <t>burette_25mL</t>
        </is>
      </c>
      <c r="C14" s="28">
        <f>COUNTIFS('1_原始數據'!$A$2:$A$1000,A14,'1_原始數據'!$C$2:$C$1000,B14)</f>
        <v/>
      </c>
      <c r="D14" s="14">
        <f>AVERAGEIFS('1_原始數據'!$K$2:$K$1000,'1_原始數據'!$A$2:$A$1000,A14,'1_原始數據'!$C$2:$C$1000,B14)</f>
        <v/>
      </c>
      <c r="E14" s="14">
        <f t="array" ref="E14">_xlfn.STDEV.S(IF(('1_原始數據'!$A$2:$A$1000=A14)*('1_原始數據'!$C$2:$C$1000=B14),'1_原始數據'!$K$2:$K$1000))</f>
        <v/>
      </c>
      <c r="F14" s="16">
        <f>E14/D14*100</f>
        <v/>
      </c>
    </row>
    <row r="16">
      <c r="A16" s="3" t="inlineStr">
        <is>
          <t>3-2 兩種器具的精密度（全班 15 人的 RSD 平均）</t>
        </is>
      </c>
    </row>
    <row r="17">
      <c r="A17" s="9" t="inlineStr">
        <is>
          <t>器具</t>
        </is>
      </c>
      <c r="B17" s="9" t="inlineStr"/>
      <c r="C17" s="9" t="inlineStr"/>
      <c r="D17" s="9" t="inlineStr">
        <is>
          <t>平均 RSD (%)</t>
        </is>
      </c>
      <c r="E17" s="9" t="inlineStr">
        <is>
          <t>分類：準確且精密（人）</t>
        </is>
      </c>
      <c r="F17" s="9" t="inlineStr">
        <is>
          <t>精密但不準確（人）</t>
        </is>
      </c>
    </row>
    <row r="18">
      <c r="A18" s="5" t="inlineStr">
        <is>
          <t>pipette_10mL</t>
        </is>
      </c>
      <c r="B18" s="31" t="n"/>
      <c r="C18" s="32" t="n"/>
      <c r="D18" s="33">
        <f>AVERAGEIF('3_逐生統計'!$C$5:$C$34,A18,'3_逐生統計'!$S$5:$S$34)</f>
        <v/>
      </c>
      <c r="E18" s="28">
        <f>COUNTIFS('3_逐生統計'!$C$5:$C$34,A18,'3_逐生統計'!$Y$5:$Y$34,"準確且精密")</f>
        <v/>
      </c>
      <c r="F18" s="28">
        <f>COUNTIFS('3_逐生統計'!$C$5:$C$34,A18,'3_逐生統計'!$Y$5:$Y$34,"精密但不準確")</f>
        <v/>
      </c>
      <c r="H18" s="18" t="inlineStr">
        <is>
          <t>練習題 4 會用到：哪一種器具的 RSD 比較小？為什麼？</t>
        </is>
      </c>
    </row>
    <row r="19">
      <c r="A19" s="5" t="inlineStr">
        <is>
          <t>burette_25mL</t>
        </is>
      </c>
      <c r="B19" s="31" t="n"/>
      <c r="C19" s="32" t="n"/>
      <c r="D19" s="33">
        <f>AVERAGEIF('3_逐生統計'!$C$5:$C$34,A19,'3_逐生統計'!$S$5:$S$34)</f>
        <v/>
      </c>
      <c r="E19" s="28">
        <f>COUNTIFS('3_逐生統計'!$C$5:$C$34,A19,'3_逐生統計'!$Y$5:$Y$34,"準確且精密")</f>
        <v/>
      </c>
      <c r="F19" s="28">
        <f>COUNTIFS('3_逐生統計'!$C$5:$C$34,A19,'3_逐生統計'!$Y$5:$Y$34,"精密但不準確")</f>
        <v/>
      </c>
    </row>
    <row r="21">
      <c r="A21" s="3" t="inlineStr">
        <is>
          <t>3-3 單樣本 t 檢定：這位同學的平均體積和標稱值有差嗎？</t>
        </is>
      </c>
    </row>
    <row r="22" ht="45" customHeight="1">
      <c r="A22" s="24" t="inlineStr">
        <is>
          <t>學生（可改）</t>
        </is>
      </c>
      <c r="B22" s="5" t="inlineStr">
        <is>
          <t>G1_S1</t>
        </is>
      </c>
      <c r="H22" s="18" t="inlineStr">
        <is>
          <t>把 B 欄的學生或器具改掉，就能檢定別人。p 值用 T.DIST.2T 算（舊版 Excel 可用 TDIST(|t|, n−1, 2)）。</t>
        </is>
      </c>
    </row>
    <row r="23">
      <c r="A23" s="24" t="inlineStr">
        <is>
          <t>器具（可改）</t>
        </is>
      </c>
      <c r="B23" s="5" t="inlineStr">
        <is>
          <t>burette_25mL</t>
        </is>
      </c>
    </row>
    <row r="24">
      <c r="A24" s="24" t="inlineStr">
        <is>
          <t>n</t>
        </is>
      </c>
      <c r="B24" s="13">
        <f>COUNTIFS('1_原始數據'!$B$2:$B$1000,B22,'1_原始數據'!$C$2:$C$1000,B23)</f>
        <v/>
      </c>
    </row>
    <row r="25" ht="45" customHeight="1">
      <c r="A25" s="24" t="inlineStr">
        <is>
          <t>平均 (mL)</t>
        </is>
      </c>
      <c r="B25" s="14">
        <f>AVERAGEIFS('1_原始數據'!$K$2:$K$1000,'1_原始數據'!$B$2:$B$1000,B22,'1_原始數據'!$C$2:$C$1000,B23)</f>
        <v/>
      </c>
      <c r="H25" s="18" t="inlineStr">
        <is>
          <t>也可用「資料分析工具箱」：資料 → 資料分析 → t 檢定。但工具箱沒有單樣本 t 檢定，所以這裡直接用公式。</t>
        </is>
      </c>
    </row>
    <row r="26">
      <c r="A26" s="24" t="inlineStr">
        <is>
          <t>SD (mL)</t>
        </is>
      </c>
      <c r="B26" s="14">
        <f t="array" ref="B26">_xlfn.STDEV.S(IF(('1_原始數據'!$B$2:$B$1000=B22)*('1_原始數據'!$C$2:$C$1000=B23),'1_原始數據'!$K$2:$K$1000))</f>
        <v/>
      </c>
    </row>
    <row r="27">
      <c r="A27" s="24" t="inlineStr">
        <is>
          <t>標稱值 (mL)</t>
        </is>
      </c>
      <c r="B27" s="14">
        <f>IF(B23="pipette_10mL",10,25)</f>
        <v/>
      </c>
    </row>
    <row r="28">
      <c r="A28" s="24" t="inlineStr">
        <is>
          <t>t = (平均 − 標稱) ÷ (SD/√n)</t>
        </is>
      </c>
      <c r="B28" s="16">
        <f>(B25-B27)/(B26/SQRT(B24))</f>
        <v/>
      </c>
    </row>
    <row r="29">
      <c r="A29" s="24" t="inlineStr">
        <is>
          <t>p 值（雙尾）</t>
        </is>
      </c>
      <c r="B29" s="29">
        <f>_xlfn.T.DIST.2T(ABS(B28),B24-1)</f>
        <v/>
      </c>
    </row>
    <row r="30">
      <c r="A30" s="24" t="inlineStr">
        <is>
          <t>結論（α = 0.05）</t>
        </is>
      </c>
      <c r="B30" s="34">
        <f>IF(B29&lt;0.05,"有顯著差異：可能有系統誤差","沒有足夠證據說平均偏離標稱值")</f>
        <v/>
      </c>
    </row>
  </sheetData>
  <mergeCells count="2">
    <mergeCell ref="A18:C18"/>
    <mergeCell ref="A19:C1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16" customHeight="1">
      <c r="B3" s="35" t="inlineStr">
        <is>
          <t>問題 1：如果忘記做浮力校正（只做溫度密度校正），算出來的體積會偏高還是偏低？差多少 mL、多少 %？</t>
        </is>
      </c>
    </row>
    <row r="4" ht="15" customHeight="1">
      <c r="B4" s="18" t="inlineStr">
        <is>
          <t>提示：到「2_密度換算」第 36–41 列，把浮力因子那格暫時改成 1，看真實體積怎麼變。改完記得改回來。</t>
        </is>
      </c>
    </row>
    <row r="5" ht="60" customHeight="1">
      <c r="B5" s="36" t="inlineStr"/>
    </row>
    <row r="7" ht="16" customHeight="1">
      <c r="B7" s="35" t="inlineStr">
        <is>
          <t>問題 2：找出班上「精密但不準確」的同學，推測可能的操作原因。</t>
        </is>
      </c>
    </row>
    <row r="8" ht="15" customHeight="1">
      <c r="B8" s="18" t="inlineStr">
        <is>
          <t>提示：在「3_逐生統計」點 Y4 的標題，用「資料 → 篩選」只看某一種分類。</t>
        </is>
      </c>
    </row>
    <row r="9" ht="60" customHeight="1">
      <c r="B9" s="36" t="inlineStr"/>
    </row>
    <row r="11" ht="16" customHeight="1">
      <c r="B11" s="35" t="inlineStr">
        <is>
          <t>問題 3：如果水溫多記了 5 °C（實際 25 °C 記成 30 °C），體積會差多少 mL、多少 %？</t>
        </is>
      </c>
    </row>
    <row r="12" ht="15" customHeight="1">
      <c r="B12" s="18" t="inlineStr">
        <is>
          <t>提示：在「2_密度換算」自我檢查區把水溫改成 30，和 25 °C 的結果相減。</t>
        </is>
      </c>
    </row>
    <row r="13" ht="60" customHeight="1">
      <c r="B13" s="36" t="inlineStr"/>
    </row>
    <row r="15" ht="16" customHeight="1">
      <c r="B15" s="35" t="inlineStr">
        <is>
          <t>問題 4：比較移液管與滴定管的平均 RSD%（「4_組別與全班」3-2），哪一種精密度較好？為什麼？</t>
        </is>
      </c>
    </row>
    <row r="16" ht="60" customHeight="1">
      <c r="B16" s="36" t="inlineStr"/>
    </row>
    <row r="18" ht="16" customHeight="1">
      <c r="B18" s="35" t="inlineStr">
        <is>
          <t>問題 5：某位同學的 95% CI 涵蓋標稱值，但 bias 超出 Class A 公差，這矛盾嗎？該怎麼解讀？</t>
        </is>
      </c>
    </row>
    <row r="19" ht="15" customHeight="1">
      <c r="B19" s="18" t="inlineStr">
        <is>
          <t>提示：CI 回答「平均值有多不確定」；公差回答「器具允許偏多少」。</t>
        </is>
      </c>
    </row>
    <row r="20" ht="60" customHeight="1">
      <c r="B20" s="36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2026-09-27T19:14:58Z</dcterms:created>
  <dcterms:modified xsi:type="dcterms:W3CDTF">2026-09-27T19:14:58Z</dcterms:modified>
</cp:coreProperties>
</file>