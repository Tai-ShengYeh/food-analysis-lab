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說明" sheetId="1" state="visible" r:id="rId1"/>
    <sheet name="1_原始數據" sheetId="2" state="visible" r:id="rId2"/>
    <sheet name="2_組成表" sheetId="3" state="visible" r:id="rId3"/>
    <sheet name="3_Grubbs離群" sheetId="4" state="visible" r:id="rId4"/>
    <sheet name="4_ANOVA" sheetId="5" state="visible" r:id="rId5"/>
    <sheet name="5_z分數" sheetId="6" state="visible" r:id="rId6"/>
    <sheet name="6_管制圖" sheetId="7" state="visible" r:id="rId7"/>
    <sheet name="7_不確定度" sheetId="8" state="visible" r:id="rId8"/>
    <sheet name="8_放行判定" sheetId="9" state="visible" r:id="rId9"/>
    <sheet name="9_資料庫比對" sheetId="10" state="visible" r:id="rId10"/>
    <sheet name="練習題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00"/>
    <numFmt numFmtId="165" formatCode="0.00000"/>
    <numFmt numFmtId="166" formatCode="0.000"/>
    <numFmt numFmtId="167" formatCode="+0.000;-0.000;0.000"/>
    <numFmt numFmtId="168" formatCode="0.0"/>
    <numFmt numFmtId="169" formatCode="+0.00;-0.00"/>
  </numFmts>
  <fonts count="8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sz val="11"/>
    </font>
    <font>
      <name val="Microsoft JhengHei"/>
      <b val="1"/>
      <color rgb="001E6B66"/>
      <sz val="12"/>
    </font>
    <font>
      <name val="Microsoft JhengHei"/>
      <color rgb="005B6964"/>
      <sz val="10"/>
    </font>
    <font>
      <name val="Microsoft JhengHei"/>
      <b val="1"/>
      <color rgb="001E6B66"/>
      <sz val="16"/>
    </font>
    <font>
      <name val="Microsoft JhengHei"/>
      <b val="1"/>
      <sz val="11"/>
    </font>
    <font>
      <name val="Microsoft JhengHei"/>
      <color rgb="001E6B66"/>
      <sz val="11"/>
      <u val="single"/>
    </font>
  </fonts>
  <fills count="6">
    <fill>
      <patternFill/>
    </fill>
    <fill>
      <patternFill patternType="gray125"/>
    </fill>
    <fill>
      <patternFill patternType="solid">
        <fgColor rgb="001E6B6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C9D3CF"/>
      </left>
      <right style="thin">
        <color rgb="00C9D3CF"/>
      </right>
      <top style="thin">
        <color rgb="00C9D3CF"/>
      </top>
      <bottom style="thin">
        <color rgb="00C9D3CF"/>
      </bottom>
    </border>
    <border>
      <left/>
      <right/>
      <top style="thin">
        <color rgb="00C9D3CF"/>
      </top>
      <bottom/>
      <diagonal/>
    </border>
    <border>
      <left/>
      <right style="thin">
        <color rgb="00C9D3CF"/>
      </right>
      <top style="thin">
        <color rgb="00C9D3CF"/>
      </top>
      <bottom/>
      <diagonal/>
    </border>
    <border>
      <left/>
      <right/>
      <top style="thin">
        <color rgb="00C9D3CF"/>
      </top>
      <bottom style="thin">
        <color rgb="00C9D3CF"/>
      </bottom>
      <diagonal/>
    </border>
    <border>
      <left/>
      <right style="thin">
        <color rgb="00C9D3CF"/>
      </right>
      <top style="thin">
        <color rgb="00C9D3CF"/>
      </top>
      <bottom style="thin">
        <color rgb="00C9D3CF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3" borderId="1" pivotButton="0" quotePrefix="0" xfId="0"/>
    <xf numFmtId="0" fontId="2" fillId="0" borderId="0" pivotButton="0" quotePrefix="0" xfId="0"/>
    <xf numFmtId="0" fontId="2" fillId="4" borderId="1" pivotButton="0" quotePrefix="0" xfId="0"/>
    <xf numFmtId="0" fontId="2" fillId="5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164" fontId="2" fillId="4" borderId="1" applyAlignment="1" pivotButton="0" quotePrefix="0" xfId="0">
      <alignment horizontal="right" vertical="center"/>
    </xf>
    <xf numFmtId="164" fontId="2" fillId="0" borderId="1" pivotButton="0" quotePrefix="0" xfId="0"/>
    <xf numFmtId="0" fontId="2" fillId="4" borderId="1" applyAlignment="1" pivotButton="0" quotePrefix="0" xfId="0">
      <alignment horizontal="right" vertical="center"/>
    </xf>
    <xf numFmtId="165" fontId="2" fillId="4" borderId="1" applyAlignment="1" pivotButton="0" quotePrefix="0" xfId="0">
      <alignment horizontal="right" vertical="center"/>
    </xf>
    <xf numFmtId="165" fontId="2" fillId="0" borderId="1" pivotButton="0" quotePrefix="0" xfId="0"/>
    <xf numFmtId="166" fontId="2" fillId="4" borderId="1" applyAlignment="1" pivotButton="0" quotePrefix="0" xfId="0">
      <alignment horizontal="right" vertical="center"/>
    </xf>
    <xf numFmtId="166" fontId="2" fillId="0" borderId="1" pivotButton="0" quotePrefix="0" xfId="0"/>
    <xf numFmtId="0" fontId="4" fillId="0" borderId="0" applyAlignment="1" pivotButton="0" quotePrefix="0" xfId="0">
      <alignment vertical="top" wrapText="1"/>
    </xf>
    <xf numFmtId="0" fontId="7" fillId="0" borderId="0" pivotButton="0" quotePrefix="0" xfId="0"/>
    <xf numFmtId="0" fontId="2" fillId="3" borderId="0" pivotButton="0" quotePrefix="0" xfId="0"/>
    <xf numFmtId="0" fontId="4" fillId="0" borderId="0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right" vertical="center"/>
    </xf>
    <xf numFmtId="1" fontId="2" fillId="4" borderId="1" applyAlignment="1" pivotButton="0" quotePrefix="0" xfId="0">
      <alignment horizontal="right" vertical="center"/>
    </xf>
    <xf numFmtId="0" fontId="6" fillId="0" borderId="1" pivotButton="0" quotePrefix="0" xfId="0"/>
    <xf numFmtId="164" fontId="6" fillId="4" borderId="1" applyAlignment="1" pivotButton="0" quotePrefix="0" xfId="0">
      <alignment horizontal="right" vertical="center"/>
    </xf>
    <xf numFmtId="0" fontId="6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  <xf numFmtId="166" fontId="6" fillId="5" borderId="1" applyAlignment="1" pivotButton="0" quotePrefix="0" xfId="0">
      <alignment horizontal="right" vertical="center"/>
    </xf>
    <xf numFmtId="2" fontId="2" fillId="3" borderId="1" pivotButton="0" quotePrefix="0" xfId="0"/>
    <xf numFmtId="167" fontId="2" fillId="4" borderId="1" applyAlignment="1" pivotButton="0" quotePrefix="0" xfId="0">
      <alignment horizontal="right" vertical="center"/>
    </xf>
    <xf numFmtId="1" fontId="6" fillId="5" borderId="1" applyAlignment="1" pivotButton="0" quotePrefix="0" xfId="0">
      <alignment horizontal="right" vertical="center"/>
    </xf>
    <xf numFmtId="0" fontId="4" fillId="0" borderId="1" pivotButton="0" quotePrefix="0" xfId="0"/>
    <xf numFmtId="0" fontId="2" fillId="0" borderId="0" applyAlignment="1" pivotButton="0" quotePrefix="0" xfId="0">
      <alignment horizontal="right"/>
    </xf>
    <xf numFmtId="0" fontId="4" fillId="0" borderId="1" applyAlignment="1" pivotButton="0" quotePrefix="0" xfId="0">
      <alignment vertical="top" wrapText="1"/>
    </xf>
    <xf numFmtId="164" fontId="2" fillId="3" borderId="1" pivotButton="0" quotePrefix="0" xfId="0"/>
    <xf numFmtId="168" fontId="2" fillId="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9" fontId="2" fillId="3" borderId="1" pivotButton="0" quotePrefix="0" xfId="0"/>
    <xf numFmtId="2" fontId="6" fillId="5" borderId="1" applyAlignment="1" pivotButton="0" quotePrefix="0" xfId="0">
      <alignment horizontal="right" vertical="center"/>
    </xf>
    <xf numFmtId="169" fontId="6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Group mean ± SD (selected item)</a:t>
            </a:r>
          </a:p>
        </rich>
      </tx>
    </title>
    <plotArea>
      <lineChart>
        <grouping val="standard"/>
        <ser>
          <idx val="0"/>
          <order val="0"/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rgbClr val="B3306A"/>
              </a:solidFill>
              <a:ln>
                <a:solidFill>
                  <a:srgbClr val="B3306A"/>
                </a:solidFill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'4_ANOVA'!$E$8:$E$12</f>
              </numRef>
            </minus>
            <plus>
              <numRef>
                <f>'4_ANOVA'!$E$8:$E$12</f>
              </numRef>
            </plus>
          </errBars>
          <cat>
            <numRef>
              <f>'4_ANOVA'!$B$8:$B$12</f>
            </numRef>
          </cat>
          <val>
            <numRef>
              <f>'4_ANOVA'!$D$8:$D$12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Group</a:t>
                </a:r>
              </a:p>
            </rich>
          </tx>
        </title>
        <majorTickMark val="none"/>
        <minorTickMark val="none"/>
        <tickLblPos val="low"/>
        <crossAx val="100"/>
        <crosses val="min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Value (%)</a:t>
                </a:r>
              </a:p>
            </rich>
          </tx>
        </title>
        <majorTickMark val="none"/>
        <minorTickMark val="none"/>
        <tickLblPos val="low"/>
        <crossAx val="10"/>
        <crosses val="min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z-scores by group (dashed = ±2, dotted = ±3)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'5_z分數'!H9</f>
            </strRef>
          </tx>
          <spPr>
            <a:solidFill>
              <a:srgbClr val="4E8F5A"/>
            </a:solidFill>
            <a:ln>
              <a:solidFill>
                <a:srgbClr val="4E8F5A"/>
              </a:solidFill>
              <a:prstDash val="solid"/>
            </a:ln>
          </spPr>
          <cat>
            <numRef>
              <f>'5_z分數'!$B$10:$B$14</f>
            </numRef>
          </cat>
          <val>
            <numRef>
              <f>'5_z分數'!$H$10:$H$14</f>
            </numRef>
          </val>
        </ser>
        <ser>
          <idx val="1"/>
          <order val="1"/>
          <tx>
            <strRef>
              <f>'5_z分數'!I9</f>
            </strRef>
          </tx>
          <spPr>
            <a:solidFill>
              <a:srgbClr val="D08A1E"/>
            </a:solidFill>
            <a:ln>
              <a:solidFill>
                <a:srgbClr val="D08A1E"/>
              </a:solidFill>
              <a:prstDash val="solid"/>
            </a:ln>
          </spPr>
          <cat>
            <numRef>
              <f>'5_z分數'!$B$10:$B$14</f>
            </numRef>
          </cat>
          <val>
            <numRef>
              <f>'5_z分數'!$I$10:$I$14</f>
            </numRef>
          </val>
        </ser>
        <ser>
          <idx val="2"/>
          <order val="2"/>
          <tx>
            <strRef>
              <f>'5_z分數'!J9</f>
            </strRef>
          </tx>
          <spPr>
            <a:solidFill>
              <a:srgbClr val="B3306A"/>
            </a:solidFill>
            <a:ln>
              <a:solidFill>
                <a:srgbClr val="B3306A"/>
              </a:solidFill>
              <a:prstDash val="solid"/>
            </a:ln>
          </spPr>
          <cat>
            <numRef>
              <f>'5_z分數'!$B$10:$B$14</f>
            </numRef>
          </cat>
          <val>
            <numRef>
              <f>'5_z分數'!$J$10:$J$14</f>
            </numRef>
          </val>
        </ser>
        <gapWidth val="60"/>
        <overlap val="100"/>
        <axId val="10"/>
        <axId val="100"/>
      </barChart>
      <lineChart>
        <grouping val="standard"/>
        <ser>
          <idx val="3"/>
          <order val="3"/>
          <tx>
            <strRef>
              <f>'5_z分數'!K9</f>
            </strRef>
          </tx>
          <spPr>
            <a:ln w="19050">
              <a:solidFill>
                <a:srgbClr val="5B6964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'5_z分數'!$B$10:$B$14</f>
            </numRef>
          </cat>
          <val>
            <numRef>
              <f>'5_z分數'!$K$10:$K$14</f>
            </numRef>
          </val>
          <smooth val="0"/>
        </ser>
        <ser>
          <idx val="4"/>
          <order val="4"/>
          <tx>
            <strRef>
              <f>'5_z分數'!L9</f>
            </strRef>
          </tx>
          <spPr>
            <a:ln w="19050">
              <a:solidFill>
                <a:srgbClr val="5B6964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'5_z分數'!$B$10:$B$14</f>
            </numRef>
          </cat>
          <val>
            <numRef>
              <f>'5_z分數'!$L$10:$L$14</f>
            </numRef>
          </val>
          <smooth val="0"/>
        </ser>
        <ser>
          <idx val="5"/>
          <order val="5"/>
          <tx>
            <strRef>
              <f>'5_z分數'!M9</f>
            </strRef>
          </tx>
          <spPr>
            <a:ln w="19050">
              <a:solidFill>
                <a:srgbClr val="B3306A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'5_z分數'!$B$10:$B$14</f>
            </numRef>
          </cat>
          <val>
            <numRef>
              <f>'5_z分數'!$M$10:$M$14</f>
            </numRef>
          </val>
          <smooth val="0"/>
        </ser>
        <ser>
          <idx val="6"/>
          <order val="6"/>
          <tx>
            <strRef>
              <f>'5_z分數'!N9</f>
            </strRef>
          </tx>
          <spPr>
            <a:ln w="19050">
              <a:solidFill>
                <a:srgbClr val="B3306A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'5_z分數'!$B$10:$B$14</f>
            </numRef>
          </cat>
          <val>
            <numRef>
              <f>'5_z分數'!$N$10:$N$14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Group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z-score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Shewhart control chart: QC check sample (established mean/s)</a:t>
            </a:r>
          </a:p>
        </rich>
      </tx>
    </title>
    <plotArea>
      <scatterChart>
        <scatterStyle val="lineMarker"/>
        <ser>
          <idx val="0"/>
          <order val="0"/>
          <tx>
            <v>QC value</v>
          </tx>
          <spPr>
            <a:ln w="19050">
              <a:solidFill>
                <a:srgbClr val="4A6FA5"/>
              </a:solidFill>
              <a:prstDash val="solid"/>
            </a:ln>
          </spPr>
          <marker>
            <symbol val="circle"/>
            <size val="7"/>
            <spPr>
              <a:solidFill>
                <a:srgbClr val="4A6FA5"/>
              </a:solidFill>
              <a:ln>
                <a:solidFill>
                  <a:srgbClr val="4A6FA5"/>
                </a:solidFill>
                <a:prstDash val="solid"/>
              </a:ln>
            </spPr>
          </marker>
          <xVal>
            <numRef>
              <f>'6_管制圖'!$B$10:$B$21</f>
            </numRef>
          </xVal>
          <yVal>
            <numRef>
              <f>'6_管制圖'!$C$10:$C$21</f>
            </numRef>
          </yVal>
          <smooth val="0"/>
        </ser>
        <ser>
          <idx val="1"/>
          <order val="1"/>
          <tx>
            <v>mean</v>
          </tx>
          <spPr>
            <a:ln w="19050"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'6_管制圖'!$N$10:$N$11</f>
            </numRef>
          </xVal>
          <yVal>
            <numRef>
              <f>'6_管制圖'!$O$10:$O$11</f>
            </numRef>
          </yVal>
          <smooth val="0"/>
        </ser>
        <ser>
          <idx val="2"/>
          <order val="2"/>
          <tx>
            <v>+2s</v>
          </tx>
          <spPr>
            <a:ln w="19050">
              <a:solidFill>
                <a:srgbClr val="D08A1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'6_管制圖'!$N$12:$N$13</f>
            </numRef>
          </xVal>
          <yVal>
            <numRef>
              <f>'6_管制圖'!$O$12:$O$13</f>
            </numRef>
          </yVal>
          <smooth val="0"/>
        </ser>
        <ser>
          <idx val="3"/>
          <order val="3"/>
          <tx>
            <v>−2s</v>
          </tx>
          <spPr>
            <a:ln w="19050">
              <a:solidFill>
                <a:srgbClr val="D08A1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'6_管制圖'!$N$14:$N$15</f>
            </numRef>
          </xVal>
          <yVal>
            <numRef>
              <f>'6_管制圖'!$O$14:$O$15</f>
            </numRef>
          </yVal>
          <smooth val="0"/>
        </ser>
        <ser>
          <idx val="4"/>
          <order val="4"/>
          <tx>
            <v>+3s</v>
          </tx>
          <spPr>
            <a:ln w="19050">
              <a:solidFill>
                <a:srgbClr val="B3306A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'6_管制圖'!$N$16:$N$17</f>
            </numRef>
          </xVal>
          <yVal>
            <numRef>
              <f>'6_管制圖'!$O$16:$O$17</f>
            </numRef>
          </yVal>
          <smooth val="0"/>
        </ser>
        <ser>
          <idx val="5"/>
          <order val="5"/>
          <tx>
            <v>−3s</v>
          </tx>
          <spPr>
            <a:ln w="19050">
              <a:solidFill>
                <a:srgbClr val="B3306A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'6_管制圖'!$N$18:$N$19</f>
            </numRef>
          </xVal>
          <yVal>
            <numRef>
              <f>'6_管制圖'!$O$18:$O$19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Run number</a:t>
                </a:r>
              </a:p>
            </rich>
          </tx>
        </title>
        <majorTickMark val="none"/>
        <minorTickMark val="none"/>
        <tickLblPos val="low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QC value (%)</a:t>
                </a:r>
              </a:p>
            </rich>
          </tx>
        </title>
        <majorTickMark val="none"/>
        <minorTickMark val="none"/>
        <tickLblPos val="low"/>
        <crossAx val="10"/>
        <crosses val="min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Protein uncertainty budget (relative standard uncertainty, %)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'7_不確定度'!G9</f>
            </strRef>
          </tx>
          <spPr>
            <a:solidFill>
              <a:srgbClr val="4A6FA5"/>
            </a:solidFill>
            <a:ln>
              <a:solidFill>
                <a:srgbClr val="4A6FA5"/>
              </a:solidFill>
              <a:prstDash val="solid"/>
            </a:ln>
          </spPr>
          <cat>
            <numRef>
              <f>'7_不確定度'!$B$10:$B$14</f>
            </numRef>
          </cat>
          <val>
            <numRef>
              <f>'7_不確定度'!$G$10:$G$14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u (%)</a:t>
                </a:r>
              </a:p>
            </rich>
          </tx>
        </title>
        <numFmt formatCode="0.0" sourceLinked="0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Carbohydrate by difference vs database range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'9_資料庫比對'!C60</f>
            </strRef>
          </tx>
          <spPr>
            <a:solidFill>
              <a:srgbClr val="4A6FA5"/>
            </a:solidFill>
            <a:ln>
              <a:solidFill>
                <a:srgbClr val="4A6FA5"/>
              </a:solidFill>
              <a:prstDash val="solid"/>
            </a:ln>
          </spPr>
          <cat>
            <numRef>
              <f>'9_資料庫比對'!$B$61:$B$65</f>
            </numRef>
          </cat>
          <val>
            <numRef>
              <f>'9_資料庫比對'!$C$61:$C$65</f>
            </numRef>
          </val>
        </ser>
        <ser>
          <idx val="1"/>
          <order val="1"/>
          <tx>
            <strRef>
              <f>'9_資料庫比對'!D60</f>
            </strRef>
          </tx>
          <spPr>
            <a:solidFill>
              <a:srgbClr val="4E8F5A"/>
            </a:solidFill>
            <a:ln>
              <a:solidFill>
                <a:srgbClr val="4E8F5A"/>
              </a:solidFill>
              <a:prstDash val="solid"/>
            </a:ln>
          </spPr>
          <cat>
            <numRef>
              <f>'9_資料庫比對'!$B$61:$B$65</f>
            </numRef>
          </cat>
          <val>
            <numRef>
              <f>'9_資料庫比對'!$D$61:$D$65</f>
            </numRef>
          </val>
        </ser>
        <gapWidth val="80"/>
        <axId val="10"/>
        <axId val="100"/>
      </barChart>
      <lineChart>
        <grouping val="standard"/>
        <ser>
          <idx val="2"/>
          <order val="2"/>
          <tx>
            <strRef>
              <f>'9_資料庫比對'!E60</f>
            </strRef>
          </tx>
          <spPr>
            <a:ln w="19050">
              <a:solidFill>
                <a:srgbClr val="B3306A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'9_資料庫比對'!$B$61:$B$65</f>
            </numRef>
          </cat>
          <val>
            <numRef>
              <f>'9_資料庫比對'!$E$61:$E$65</f>
            </numRef>
          </val>
          <smooth val="0"/>
        </ser>
        <ser>
          <idx val="3"/>
          <order val="3"/>
          <tx>
            <strRef>
              <f>'9_資料庫比對'!F60</f>
            </strRef>
          </tx>
          <spPr>
            <a:ln w="19050">
              <a:solidFill>
                <a:srgbClr val="B3306A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'9_資料庫比對'!$B$61:$B$65</f>
            </numRef>
          </cat>
          <val>
            <numRef>
              <f>'9_資料庫比對'!$F$61:$F$65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Group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  <min val="3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Carbohydrate (g/100 g)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26</row>
      <rowOff>0</rowOff>
    </from>
    <ext cx="54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33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35</row>
      <rowOff>0</rowOff>
    </from>
    <ext cx="57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36</row>
      <rowOff>0</rowOff>
    </from>
    <ext cx="576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ai-shengyeh.github.io/food-analysis-lab/labs/w08_proficiency/index.html" TargetMode="External" Id="rId1" /><Relationship Type="http://schemas.openxmlformats.org/officeDocument/2006/relationships/hyperlink" Target="https://tai-shengyeh.github.io/food-analysis-lab/orange/OR08_proficiency_anova.ows" TargetMode="External" Id="rId2" /><Relationship Type="http://schemas.openxmlformats.org/officeDocument/2006/relationships/hyperlink" Target="https://colab.research.google.com/github/Tai-ShengYeh/food-analysis-lab/blob/main/notebooks/NB08_proficiency_qc.ipynb" TargetMode="External" Id="rId3" /><Relationship Type="http://schemas.openxmlformats.org/officeDocument/2006/relationships/hyperlink" Target="https://tai-shengyeh.github.io/food-analysis-lab/tools.html" TargetMode="External" Id="rId4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tabColor rgb="001E6B66"/>
    <outlinePr summaryBelow="1" summaryRight="1"/>
    <pageSetUpPr fitToPage="1"/>
  </sheetPr>
  <dimension ref="B1:E5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22" customWidth="1" min="3" max="3"/>
    <col width="22" customWidth="1" min="4" max="4"/>
    <col width="40" customWidth="1" min="5" max="5"/>
  </cols>
  <sheetData>
    <row r="1" ht="28" customHeight="1">
      <c r="B1" s="1" t="inlineStr">
        <is>
          <t>EX08｜W8 全班能力試驗與數據品管</t>
        </is>
      </c>
    </row>
    <row r="2">
      <c r="B2" s="2" t="inlineStr">
        <is>
          <t>食品分析實驗・入門數據分析（Excel 版）。不用寫程式；同一份數據在 Colab 筆記本做進階分析，答案應該一致。</t>
        </is>
      </c>
    </row>
    <row r="4">
      <c r="B4" s="3" t="inlineStr">
        <is>
          <t>學習目標</t>
        </is>
      </c>
    </row>
    <row r="5">
      <c r="B5" s="4" t="inlineStr">
        <is>
          <t>•  把 5 組的水分、灰分、蛋白質、脂肪彙整成 proximate 表，用差減法算碳水化合物。</t>
        </is>
      </c>
    </row>
    <row r="6">
      <c r="B6" s="4" t="inlineStr">
        <is>
          <t>•  用 T.INV 算 Grubbs 臨界值，比較組內 n=3 與班級層級 n=5 的離群值檢定力。</t>
        </is>
      </c>
    </row>
    <row r="7">
      <c r="B7" s="4" t="inlineStr">
        <is>
          <t>•  用公式做一元 ANOVA（SS、MS、F、F.DIST.RT 的 p 值），分出重複性 s_r 與再現性 s_R。</t>
        </is>
      </c>
    </row>
    <row r="8">
      <c r="B8" s="4" t="inlineStr">
        <is>
          <t>•  算 z-score（指定值＝中位數、σ_pt 固定 0.40%），依 |z|≤2／2&lt;|z|&lt;3／|z|≥3 分成滿意／問題／不滿意。</t>
        </is>
      </c>
    </row>
    <row r="9">
      <c r="B9" s="4" t="inlineStr">
        <is>
          <t>•  畫 Shewhart 管制圖（±2s／±3s），用 Westgard 規則找出違規的 run。</t>
        </is>
      </c>
    </row>
    <row r="10">
      <c r="B10" s="4" t="inlineStr">
        <is>
          <t>•  建立蛋白質不確定度預算：平方和開根號得到 u_c，U = k·u_c（k=2）；再用 guard band 做放行判定。</t>
        </is>
      </c>
    </row>
    <row r="11">
      <c r="B11" s="4" t="inlineStr">
        <is>
          <t>•  跟 USDA／TFND 資料庫比，分辨「我這組有問題」和「全班／方法有問題」。</t>
        </is>
      </c>
    </row>
    <row r="13">
      <c r="B13" s="3" t="inlineStr">
        <is>
          <t>顏色代表什麼</t>
        </is>
      </c>
    </row>
    <row r="14">
      <c r="B14" s="5" t="inlineStr"/>
      <c r="C14" s="6" t="inlineStr">
        <is>
          <t>黃色：輸入或貼上數據的地方</t>
        </is>
      </c>
    </row>
    <row r="15">
      <c r="B15" s="7" t="inlineStr"/>
      <c r="C15" s="6" t="inlineStr">
        <is>
          <t>綠色：公式，會自動計算，不要改</t>
        </is>
      </c>
    </row>
    <row r="16">
      <c r="B16" s="8" t="inlineStr"/>
      <c r="C16" s="6" t="inlineStr">
        <is>
          <t>橘色：重點結果，寫報告時用</t>
        </is>
      </c>
    </row>
    <row r="18">
      <c r="B18" s="3" t="inlineStr">
        <is>
          <t>操作步驟</t>
        </is>
      </c>
    </row>
    <row r="19" ht="30" customHeight="1">
      <c r="B19" s="4" t="inlineStr">
        <is>
          <t>1. 看「1_原始數據」：一列是一個量測值。G1–G5 是 5 組盲樣，QC 是管制圖樣品，TA 是助教的蛋白質重複。</t>
        </is>
      </c>
    </row>
    <row r="20" ht="15" customHeight="1">
      <c r="B20" s="4" t="inlineStr">
        <is>
          <t>2. 「2_組成表」：各組 proximate 表與差減法碳水化合物。</t>
        </is>
      </c>
    </row>
    <row r="21" ht="15" customHeight="1">
      <c r="B21" s="4" t="inlineStr">
        <is>
          <t>3. 「3_Grubbs離群」：先看臨界值表（n=3 為什麼測不出來），再做組內與班級層級的檢定。</t>
        </is>
      </c>
    </row>
    <row r="22" ht="15" customHeight="1">
      <c r="B22" s="4" t="inlineStr">
        <is>
          <t>4. 「4_ANOVA」：灰分的一元 ANOVA、s_r／s_L／s_R；可用資料分析工具箱對答案。</t>
        </is>
      </c>
    </row>
    <row r="23" ht="15" customHeight="1">
      <c r="B23" s="4" t="inlineStr">
        <is>
          <t>5. 「5_z分數」：每組蛋白質的 z-score 與分級，看長條圖。</t>
        </is>
      </c>
    </row>
    <row r="24" ht="15" customHeight="1">
      <c r="B24" s="4" t="inlineStr">
        <is>
          <t>6. 「6_管制圖」：QC 樣品 12 次 run 的管制圖與 5 條 Westgard 規則。</t>
        </is>
      </c>
    </row>
    <row r="25" ht="15" customHeight="1">
      <c r="B25" s="4" t="inlineStr">
        <is>
          <t>7. 「7_不確定度」：蛋白質不確定度預算與碳水化合物的 U。</t>
        </is>
      </c>
    </row>
    <row r="26" ht="15" customHeight="1">
      <c r="B26" s="4" t="inlineStr">
        <is>
          <t>8. 「8_放行判定」：6 個案例的放行／不放行／無法判斷；可加入自己的案例。</t>
        </is>
      </c>
    </row>
    <row r="27" ht="15" customHeight="1">
      <c r="B27" s="4" t="inlineStr">
        <is>
          <t>9. 「9_資料庫比對」：全班結果 vs USDA／TFND，找出脂肪的方法偏差。</t>
        </is>
      </c>
    </row>
    <row r="28" ht="30" customHeight="1">
      <c r="B28" s="4" t="inlineStr">
        <is>
          <t>10. 完成「練習題」。換成班級數據：把共用 Google Sheet 的數據貼到「1_原始數據」A2 起（組別須為 G1–G5，或改「2_組成表」A 欄）。</t>
        </is>
      </c>
    </row>
    <row r="30">
      <c r="B30" s="3" t="inlineStr">
        <is>
          <t>對答案：用內建範例數據時，你的結果應該等於</t>
        </is>
      </c>
    </row>
    <row r="31">
      <c r="B31" s="9" t="inlineStr">
        <is>
          <t>項目</t>
        </is>
      </c>
      <c r="C31" s="9" t="inlineStr">
        <is>
          <t>本檔計算值</t>
        </is>
      </c>
      <c r="D31" s="9" t="inlineStr">
        <is>
          <t>Colab 筆記本的值</t>
        </is>
      </c>
      <c r="E31" s="9" t="inlineStr">
        <is>
          <t>一致？</t>
        </is>
      </c>
    </row>
    <row r="32">
      <c r="B32" s="10" t="inlineStr">
        <is>
          <t>G1 碳水化合物（差減法, %）</t>
        </is>
      </c>
      <c r="C32" s="11">
        <f>'2_組成表'!F6</f>
        <v/>
      </c>
      <c r="D32" s="12" t="n">
        <v>44.49</v>
      </c>
      <c r="E32" s="13">
        <f>IF(ABS(C32-D32)&lt;=0.004449001000000001,"✔ 一致","✘ 不一致（換成班級數據後本來就會不同）")</f>
        <v/>
      </c>
    </row>
    <row r="33">
      <c r="B33" s="10" t="inlineStr">
        <is>
          <t>G_crit (n=3, α=0.05)</t>
        </is>
      </c>
      <c r="C33" s="11">
        <f>'3_Grubbs離群'!D8</f>
        <v/>
      </c>
      <c r="D33" s="12" t="n">
        <v>1.154304851344039</v>
      </c>
      <c r="E33" s="13">
        <f>IF(ABS(C33-D33)&lt;=0.00011543148513440387,"✔ 一致","✘ 不一致（換成班級數據後本來就會不同）")</f>
        <v/>
      </c>
    </row>
    <row r="34">
      <c r="B34" s="10" t="inlineStr">
        <is>
          <t>G4 蛋白質 Grubbs G（班級層級）</t>
        </is>
      </c>
      <c r="C34" s="11">
        <f>'3_Grubbs離群'!C51</f>
        <v/>
      </c>
      <c r="D34" s="12" t="n">
        <v>1.775059678509602</v>
      </c>
      <c r="E34" s="13">
        <f>IF(ABS(C34-D34)&lt;=0.00017750696785096017,"✔ 一致","✘ 不一致（換成班級數據後本來就會不同）")</f>
        <v/>
      </c>
    </row>
    <row r="35">
      <c r="B35" s="10" t="inlineStr">
        <is>
          <t>灰分 ANOVA F</t>
        </is>
      </c>
      <c r="C35" s="11">
        <f>'4_ANOVA'!F20</f>
        <v/>
      </c>
      <c r="D35" s="12" t="n">
        <v>14.24257425742591</v>
      </c>
      <c r="E35" s="13">
        <f>IF(ABS(C35-D35)&lt;=0.001424258425742591,"✔ 一致","✘ 不一致（換成班級數據後本來就會不同）")</f>
        <v/>
      </c>
    </row>
    <row r="36">
      <c r="B36" s="10" t="inlineStr">
        <is>
          <t>灰分 ANOVA p 值</t>
        </is>
      </c>
      <c r="C36" s="14">
        <f>'4_ANOVA'!G20</f>
        <v/>
      </c>
      <c r="D36" s="15" t="n">
        <v>0.0003899683611692361</v>
      </c>
      <c r="E36" s="13">
        <f>IF(ABS(C36-D36)&lt;=3.999683611692361e-08,"✔ 一致","✘ 不一致（換成班級數據後本來就會不同）")</f>
        <v/>
      </c>
    </row>
    <row r="37">
      <c r="B37" s="10" t="inlineStr">
        <is>
          <t>G4 蛋白質 z-score</t>
        </is>
      </c>
      <c r="C37" s="16">
        <f>'5_z分數'!D13</f>
        <v/>
      </c>
      <c r="D37" s="17" t="n">
        <v>-3.825</v>
      </c>
      <c r="E37" s="13">
        <f>IF(ABS(C37-D37)&lt;=0.00038250100000000004,"✔ 一致","✘ 不一致（換成班級數據後本來就會不同）")</f>
        <v/>
      </c>
    </row>
    <row r="38">
      <c r="B38" s="10" t="inlineStr">
        <is>
          <t>蛋白質擴充不確定度 U (k=2, %)</t>
        </is>
      </c>
      <c r="C38" s="11">
        <f>'7_不確定度'!C18</f>
        <v/>
      </c>
      <c r="D38" s="12" t="n">
        <v>0.3758187986774625</v>
      </c>
      <c r="E38" s="13">
        <f>IF(ABS(C38-D38)&lt;=3.7582879867746255e-05,"✔ 一致","✘ 不一致（換成班級數據後本來就會不同）")</f>
        <v/>
      </c>
    </row>
    <row r="39">
      <c r="B39" s="10" t="inlineStr">
        <is>
          <t>碳水化合物 U_碳水 (k=2, %)</t>
        </is>
      </c>
      <c r="C39" s="11">
        <f>'7_不確定度'!C31</f>
        <v/>
      </c>
      <c r="D39" s="12" t="n">
        <v>0.8166025774141121</v>
      </c>
      <c r="E39" s="13">
        <f>IF(ABS(C39-D39)&lt;=8.166125774141122e-05,"✔ 一致","✘ 不一致（換成班級數據後本來就會不同）")</f>
        <v/>
      </c>
    </row>
    <row r="40">
      <c r="B40" s="18" t="inlineStr">
        <is>
          <t>「Colab 筆記本的值」是用內建模擬數據算出的答案；換成全班數據後，這一欄就不再適用。</t>
        </is>
      </c>
    </row>
    <row r="42">
      <c r="B42" s="3" t="inlineStr">
        <is>
          <t>相關連結</t>
        </is>
      </c>
    </row>
    <row r="43">
      <c r="B43" s="19" t="inlineStr">
        <is>
          <t>本週實驗投影片</t>
        </is>
      </c>
      <c r="C43" s="2" t="inlineStr">
        <is>
          <t>https://tai-shengyeh.github.io/food-analysis-lab/labs/w08_proficiency/index.html</t>
        </is>
      </c>
    </row>
    <row r="44">
      <c r="B44" s="19" t="inlineStr">
        <is>
          <t>Orange 流程檔</t>
        </is>
      </c>
      <c r="C44" s="2" t="inlineStr">
        <is>
          <t>https://tai-shengyeh.github.io/food-analysis-lab/orange/OR08_proficiency_anova.ows</t>
        </is>
      </c>
    </row>
    <row r="45">
      <c r="B45" s="19" t="inlineStr">
        <is>
          <t>進階：Colab 筆記本（Python）</t>
        </is>
      </c>
      <c r="C45" s="2" t="inlineStr">
        <is>
          <t>https://colab.research.google.com/github/Tai-ShengYeh/food-analysis-lab/blob/main/notebooks/NB08_proficiency_qc.ipynb</t>
        </is>
      </c>
    </row>
    <row r="46">
      <c r="B46" s="19" t="inlineStr">
        <is>
          <t>數據分析工具指南（Excel／Orange／Colab）</t>
        </is>
      </c>
      <c r="C46" s="2" t="inlineStr">
        <is>
          <t>https://tai-shengyeh.github.io/food-analysis-lab/tools.html</t>
        </is>
      </c>
    </row>
    <row r="48">
      <c r="B48" s="3" t="inlineStr">
        <is>
          <t>小提醒</t>
        </is>
      </c>
    </row>
    <row r="49" ht="30" customHeight="1">
      <c r="B49" s="4" t="inlineStr">
        <is>
          <t>•  本檔固定 5 組、QC 12 次 run、每組最多 3 重複（ANOVA 工具箱排列區）；數量不同時請用 Colab 筆記本。</t>
        </is>
      </c>
    </row>
    <row r="50" ht="45" customHeight="1">
      <c r="B50" s="4" t="inlineStr">
        <is>
          <t>•  進階：資料庫比對的自動診斷旗標（單位／換算錯誤、乾濕基不一致、N 換算係數）、18 種食品的完整 reference_foods.json、逐項小圖（plot_vs_reference）與 R 語言版本，請看 Colab 筆記本。</t>
        </is>
      </c>
    </row>
    <row r="51" ht="30" customHeight="1">
      <c r="B51" s="4" t="inlineStr">
        <is>
          <t>•  「4_ANOVA」可用 Excel「資料 → 資料分析 → 單因子變異數分析」對答案；工具箱結果不會隨數據更新，所以本檔用公式。</t>
        </is>
      </c>
    </row>
    <row r="52" ht="30" customHeight="1">
      <c r="B52" s="4" t="inlineStr">
        <is>
          <t>•  Google 試算表也能開這個檔（檔案 → 匯入），公式都一樣能用。看到 #NAME? 表示 Excel 版本太舊，請改用 Google 試算表。</t>
        </is>
      </c>
    </row>
  </sheetData>
  <mergeCells count="22">
    <mergeCell ref="B40:E40"/>
    <mergeCell ref="B9:E9"/>
    <mergeCell ref="B49:E49"/>
    <mergeCell ref="B6:E6"/>
    <mergeCell ref="B24:E24"/>
    <mergeCell ref="B5:E5"/>
    <mergeCell ref="B20:E20"/>
    <mergeCell ref="B51:E51"/>
    <mergeCell ref="B26:E26"/>
    <mergeCell ref="B50:E50"/>
    <mergeCell ref="B7:E7"/>
    <mergeCell ref="B25:E25"/>
    <mergeCell ref="B22:E22"/>
    <mergeCell ref="B27:E27"/>
    <mergeCell ref="B52:E52"/>
    <mergeCell ref="B21:E21"/>
    <mergeCell ref="B11:E11"/>
    <mergeCell ref="B23:E23"/>
    <mergeCell ref="B8:E8"/>
    <mergeCell ref="B19:E19"/>
    <mergeCell ref="B10:E10"/>
    <mergeCell ref="B28:E28"/>
  </mergeCells>
  <hyperlinks>
    <hyperlink xmlns:r="http://schemas.openxmlformats.org/officeDocument/2006/relationships" ref="B43" r:id="rId1"/>
    <hyperlink xmlns:r="http://schemas.openxmlformats.org/officeDocument/2006/relationships" ref="B44" r:id="rId2"/>
    <hyperlink xmlns:r="http://schemas.openxmlformats.org/officeDocument/2006/relationships" ref="B45" r:id="rId3"/>
    <hyperlink xmlns:r="http://schemas.openxmlformats.org/officeDocument/2006/relationships" ref="B46" r:id="rId4"/>
  </hyperlink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 fitToPage="0"/>
  </sheetPr>
  <dimension ref="A1:J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0" customWidth="1" min="10" max="10"/>
  </cols>
  <sheetData>
    <row r="1">
      <c r="A1" s="9" t="inlineStr">
        <is>
          <t>group</t>
        </is>
      </c>
      <c r="B1" s="9" t="inlineStr">
        <is>
          <t>student</t>
        </is>
      </c>
      <c r="C1" s="9" t="inlineStr">
        <is>
          <t>item</t>
        </is>
      </c>
      <c r="D1" s="9" t="inlineStr">
        <is>
          <t>rep</t>
        </is>
      </c>
      <c r="E1" s="9" t="inlineStr">
        <is>
          <t>value</t>
        </is>
      </c>
      <c r="F1" s="9" t="inlineStr">
        <is>
          <t>unit</t>
        </is>
      </c>
      <c r="G1" s="9" t="inlineStr">
        <is>
          <t>temp_C</t>
        </is>
      </c>
      <c r="H1" s="9" t="inlineStr">
        <is>
          <t>note</t>
        </is>
      </c>
      <c r="J1" s="3" t="inlineStr">
        <is>
          <t>這張工作表怎麼用</t>
        </is>
      </c>
    </row>
    <row r="2" ht="30" customHeight="1">
      <c r="A2" s="20" t="inlineStr">
        <is>
          <t>G1</t>
        </is>
      </c>
      <c r="B2" s="20" t="inlineStr">
        <is>
          <t>G1</t>
        </is>
      </c>
      <c r="C2" s="20" t="inlineStr">
        <is>
          <t>moisture</t>
        </is>
      </c>
      <c r="D2" s="20" t="n">
        <v>1</v>
      </c>
      <c r="E2" s="20" t="n">
        <v>2.75</v>
      </c>
      <c r="F2" s="20" t="inlineStr">
        <is>
          <t>%</t>
        </is>
      </c>
      <c r="G2" s="20" t="n"/>
      <c r="H2" s="20" t="n"/>
      <c r="J2" s="18" t="inlineStr">
        <is>
          <t>本週欄位：group＝組別（G1–G5 是 5 組共同盲樣；QC＝管制圖的檢核樣品；TA＝助教的蛋白質重複性數據）。</t>
        </is>
      </c>
    </row>
    <row r="3" ht="60" customHeight="1">
      <c r="A3" s="20" t="inlineStr">
        <is>
          <t>G1</t>
        </is>
      </c>
      <c r="B3" s="20" t="inlineStr">
        <is>
          <t>G1</t>
        </is>
      </c>
      <c r="C3" s="20" t="inlineStr">
        <is>
          <t>moisture</t>
        </is>
      </c>
      <c r="D3" s="20" t="n">
        <v>2</v>
      </c>
      <c r="E3" s="20" t="n">
        <v>2.78</v>
      </c>
      <c r="F3" s="20" t="inlineStr">
        <is>
          <t>%</t>
        </is>
      </c>
      <c r="G3" s="20" t="n"/>
      <c r="H3" s="20" t="n"/>
      <c r="J3" s="18" t="inlineStr">
        <is>
          <t>item＝項目：moisture 水分、ash 灰分、protein 蛋白質（每組單次測定）、fat 脂肪（W6 直接 Soxhlet 三重複）、fat_qc_check QC 檢核樣品（rep＝第幾次 run）、protein_repeatability 助教蛋白質三重複。</t>
        </is>
      </c>
    </row>
    <row r="4" ht="15" customHeight="1">
      <c r="A4" s="20" t="inlineStr">
        <is>
          <t>G1</t>
        </is>
      </c>
      <c r="B4" s="20" t="inlineStr">
        <is>
          <t>G1</t>
        </is>
      </c>
      <c r="C4" s="20" t="inlineStr">
        <is>
          <t>moisture</t>
        </is>
      </c>
      <c r="D4" s="20" t="n">
        <v>3</v>
      </c>
      <c r="E4" s="20" t="n">
        <v>2.8</v>
      </c>
      <c r="F4" s="20" t="inlineStr">
        <is>
          <t>%</t>
        </is>
      </c>
      <c r="G4" s="20" t="n"/>
      <c r="H4" s="20" t="n"/>
      <c r="J4" s="18" t="inlineStr">
        <is>
          <t>value＝量測值（%）。temp_C 本週不用，留空。</t>
        </is>
      </c>
    </row>
    <row r="5" ht="30" customHeight="1">
      <c r="A5" s="20" t="inlineStr">
        <is>
          <t>G1</t>
        </is>
      </c>
      <c r="B5" s="20" t="inlineStr">
        <is>
          <t>G1</t>
        </is>
      </c>
      <c r="C5" s="20" t="inlineStr">
        <is>
          <t>ash</t>
        </is>
      </c>
      <c r="D5" s="20" t="n">
        <v>1</v>
      </c>
      <c r="E5" s="20" t="n">
        <v>5.95</v>
      </c>
      <c r="F5" s="20" t="inlineStr">
        <is>
          <t>%</t>
        </is>
      </c>
      <c r="G5" s="20" t="n"/>
      <c r="H5" s="20" t="n"/>
      <c r="J5" s="18" t="inlineStr">
        <is>
          <t>黃色欄位＝原始數據。換成全班數據時：從共用 Google Sheet 複製，貼到 A2（欄位順序必須一樣），舊資料多出來的列要整列刪除。</t>
        </is>
      </c>
    </row>
    <row r="6" ht="15" customHeight="1">
      <c r="A6" s="20" t="inlineStr">
        <is>
          <t>G1</t>
        </is>
      </c>
      <c r="B6" s="20" t="inlineStr">
        <is>
          <t>G1</t>
        </is>
      </c>
      <c r="C6" s="20" t="inlineStr">
        <is>
          <t>ash</t>
        </is>
      </c>
      <c r="D6" s="20" t="n">
        <v>2</v>
      </c>
      <c r="E6" s="20" t="n">
        <v>6.02</v>
      </c>
      <c r="F6" s="20" t="inlineStr">
        <is>
          <t>%</t>
        </is>
      </c>
      <c r="G6" s="20" t="n"/>
      <c r="H6" s="20" t="n"/>
      <c r="J6" s="18" t="inlineStr">
        <is>
          <t>綠色欄位＝公式，會自動算到第 1000 列，不要手動修改。</t>
        </is>
      </c>
    </row>
    <row r="7">
      <c r="A7" s="20" t="inlineStr">
        <is>
          <t>G1</t>
        </is>
      </c>
      <c r="B7" s="20" t="inlineStr">
        <is>
          <t>G1</t>
        </is>
      </c>
      <c r="C7" s="20" t="inlineStr">
        <is>
          <t>ash</t>
        </is>
      </c>
      <c r="D7" s="20" t="n">
        <v>3</v>
      </c>
      <c r="E7" s="20" t="n">
        <v>5.98</v>
      </c>
      <c r="F7" s="20" t="inlineStr">
        <is>
          <t>%</t>
        </is>
      </c>
      <c r="G7" s="20" t="n"/>
      <c r="H7" s="20" t="n"/>
    </row>
    <row r="8">
      <c r="A8" s="20" t="inlineStr">
        <is>
          <t>G1</t>
        </is>
      </c>
      <c r="B8" s="20" t="inlineStr">
        <is>
          <t>G1</t>
        </is>
      </c>
      <c r="C8" s="20" t="inlineStr">
        <is>
          <t>protein</t>
        </is>
      </c>
      <c r="D8" s="20" t="n">
        <v>1</v>
      </c>
      <c r="E8" s="20" t="n">
        <v>25.93</v>
      </c>
      <c r="F8" s="20" t="inlineStr">
        <is>
          <t>%</t>
        </is>
      </c>
      <c r="G8" s="20" t="n"/>
      <c r="H8" s="20" t="n"/>
    </row>
    <row r="9">
      <c r="A9" s="20" t="inlineStr">
        <is>
          <t>G1</t>
        </is>
      </c>
      <c r="B9" s="20" t="inlineStr">
        <is>
          <t>G1</t>
        </is>
      </c>
      <c r="C9" s="20" t="inlineStr">
        <is>
          <t>fat</t>
        </is>
      </c>
      <c r="D9" s="20" t="n">
        <v>1</v>
      </c>
      <c r="E9" s="20" t="n">
        <v>21.13</v>
      </c>
      <c r="F9" s="20" t="inlineStr">
        <is>
          <t>%</t>
        </is>
      </c>
      <c r="G9" s="20" t="n"/>
      <c r="H9" s="20" t="inlineStr">
        <is>
          <t>W6 直接 Soxhlet(未水解) 盲樣三重複</t>
        </is>
      </c>
    </row>
    <row r="10">
      <c r="A10" s="20" t="inlineStr">
        <is>
          <t>G1</t>
        </is>
      </c>
      <c r="B10" s="20" t="inlineStr">
        <is>
          <t>G1</t>
        </is>
      </c>
      <c r="C10" s="20" t="inlineStr">
        <is>
          <t>fat</t>
        </is>
      </c>
      <c r="D10" s="20" t="n">
        <v>2</v>
      </c>
      <c r="E10" s="20" t="n">
        <v>20.78</v>
      </c>
      <c r="F10" s="20" t="inlineStr">
        <is>
          <t>%</t>
        </is>
      </c>
      <c r="G10" s="20" t="n"/>
      <c r="H10" s="20" t="inlineStr">
        <is>
          <t>W6 直接 Soxhlet(未水解) 盲樣三重複</t>
        </is>
      </c>
    </row>
    <row r="11">
      <c r="A11" s="20" t="inlineStr">
        <is>
          <t>G1</t>
        </is>
      </c>
      <c r="B11" s="20" t="inlineStr">
        <is>
          <t>G1</t>
        </is>
      </c>
      <c r="C11" s="20" t="inlineStr">
        <is>
          <t>fat</t>
        </is>
      </c>
      <c r="D11" s="20" t="n">
        <v>3</v>
      </c>
      <c r="E11" s="20" t="n">
        <v>20.55</v>
      </c>
      <c r="F11" s="20" t="inlineStr">
        <is>
          <t>%</t>
        </is>
      </c>
      <c r="G11" s="20" t="n"/>
      <c r="H11" s="20" t="inlineStr">
        <is>
          <t>W6 直接 Soxhlet(未水解) 盲樣三重複</t>
        </is>
      </c>
    </row>
    <row r="12">
      <c r="A12" s="20" t="inlineStr">
        <is>
          <t>G2</t>
        </is>
      </c>
      <c r="B12" s="20" t="inlineStr">
        <is>
          <t>G2</t>
        </is>
      </c>
      <c r="C12" s="20" t="inlineStr">
        <is>
          <t>moisture</t>
        </is>
      </c>
      <c r="D12" s="20" t="n">
        <v>1</v>
      </c>
      <c r="E12" s="20" t="n">
        <v>2.85</v>
      </c>
      <c r="F12" s="20" t="inlineStr">
        <is>
          <t>%</t>
        </is>
      </c>
      <c r="G12" s="20" t="n"/>
      <c r="H12" s="20" t="n"/>
    </row>
    <row r="13">
      <c r="A13" s="20" t="inlineStr">
        <is>
          <t>G2</t>
        </is>
      </c>
      <c r="B13" s="20" t="inlineStr">
        <is>
          <t>G2</t>
        </is>
      </c>
      <c r="C13" s="20" t="inlineStr">
        <is>
          <t>moisture</t>
        </is>
      </c>
      <c r="D13" s="20" t="n">
        <v>2</v>
      </c>
      <c r="E13" s="20" t="n">
        <v>2.88</v>
      </c>
      <c r="F13" s="20" t="inlineStr">
        <is>
          <t>%</t>
        </is>
      </c>
      <c r="G13" s="20" t="n"/>
      <c r="H13" s="20" t="n"/>
    </row>
    <row r="14">
      <c r="A14" s="20" t="inlineStr">
        <is>
          <t>G2</t>
        </is>
      </c>
      <c r="B14" s="20" t="inlineStr">
        <is>
          <t>G2</t>
        </is>
      </c>
      <c r="C14" s="20" t="inlineStr">
        <is>
          <t>moisture</t>
        </is>
      </c>
      <c r="D14" s="20" t="n">
        <v>3</v>
      </c>
      <c r="E14" s="20" t="n">
        <v>2.83</v>
      </c>
      <c r="F14" s="20" t="inlineStr">
        <is>
          <t>%</t>
        </is>
      </c>
      <c r="G14" s="20" t="n"/>
      <c r="H14" s="20" t="n"/>
    </row>
    <row r="15">
      <c r="A15" s="20" t="inlineStr">
        <is>
          <t>G2</t>
        </is>
      </c>
      <c r="B15" s="20" t="inlineStr">
        <is>
          <t>G2</t>
        </is>
      </c>
      <c r="C15" s="20" t="inlineStr">
        <is>
          <t>ash</t>
        </is>
      </c>
      <c r="D15" s="20" t="n">
        <v>1</v>
      </c>
      <c r="E15" s="20" t="n">
        <v>6.1</v>
      </c>
      <c r="F15" s="20" t="inlineStr">
        <is>
          <t>%</t>
        </is>
      </c>
      <c r="G15" s="20" t="n"/>
      <c r="H15" s="20" t="n"/>
    </row>
    <row r="16">
      <c r="A16" s="20" t="inlineStr">
        <is>
          <t>G2</t>
        </is>
      </c>
      <c r="B16" s="20" t="inlineStr">
        <is>
          <t>G2</t>
        </is>
      </c>
      <c r="C16" s="20" t="inlineStr">
        <is>
          <t>ash</t>
        </is>
      </c>
      <c r="D16" s="20" t="n">
        <v>2</v>
      </c>
      <c r="E16" s="20" t="n">
        <v>6.05</v>
      </c>
      <c r="F16" s="20" t="inlineStr">
        <is>
          <t>%</t>
        </is>
      </c>
      <c r="G16" s="20" t="n"/>
      <c r="H16" s="20" t="n"/>
    </row>
    <row r="17">
      <c r="A17" s="20" t="inlineStr">
        <is>
          <t>G2</t>
        </is>
      </c>
      <c r="B17" s="20" t="inlineStr">
        <is>
          <t>G2</t>
        </is>
      </c>
      <c r="C17" s="20" t="inlineStr">
        <is>
          <t>ash</t>
        </is>
      </c>
      <c r="D17" s="20" t="n">
        <v>3</v>
      </c>
      <c r="E17" s="20" t="n">
        <v>6.08</v>
      </c>
      <c r="F17" s="20" t="inlineStr">
        <is>
          <t>%</t>
        </is>
      </c>
      <c r="G17" s="20" t="n"/>
      <c r="H17" s="20" t="n"/>
    </row>
    <row r="18">
      <c r="A18" s="20" t="inlineStr">
        <is>
          <t>G2</t>
        </is>
      </c>
      <c r="B18" s="20" t="inlineStr">
        <is>
          <t>G2</t>
        </is>
      </c>
      <c r="C18" s="20" t="inlineStr">
        <is>
          <t>protein</t>
        </is>
      </c>
      <c r="D18" s="20" t="n">
        <v>1</v>
      </c>
      <c r="E18" s="20" t="n">
        <v>26.17</v>
      </c>
      <c r="F18" s="20" t="inlineStr">
        <is>
          <t>%</t>
        </is>
      </c>
      <c r="G18" s="20" t="n"/>
      <c r="H18" s="20" t="n"/>
    </row>
    <row r="19">
      <c r="A19" s="20" t="inlineStr">
        <is>
          <t>G2</t>
        </is>
      </c>
      <c r="B19" s="20" t="inlineStr">
        <is>
          <t>G2</t>
        </is>
      </c>
      <c r="C19" s="20" t="inlineStr">
        <is>
          <t>fat</t>
        </is>
      </c>
      <c r="D19" s="20" t="n">
        <v>1</v>
      </c>
      <c r="E19" s="20" t="n">
        <v>21.84</v>
      </c>
      <c r="F19" s="20" t="inlineStr">
        <is>
          <t>%</t>
        </is>
      </c>
      <c r="G19" s="20" t="n"/>
      <c r="H19" s="20" t="inlineStr">
        <is>
          <t>W6 直接 Soxhlet(未水解) 盲樣三重複</t>
        </is>
      </c>
    </row>
    <row r="20">
      <c r="A20" s="20" t="inlineStr">
        <is>
          <t>G2</t>
        </is>
      </c>
      <c r="B20" s="20" t="inlineStr">
        <is>
          <t>G2</t>
        </is>
      </c>
      <c r="C20" s="20" t="inlineStr">
        <is>
          <t>fat</t>
        </is>
      </c>
      <c r="D20" s="20" t="n">
        <v>2</v>
      </c>
      <c r="E20" s="20" t="n">
        <v>22.06</v>
      </c>
      <c r="F20" s="20" t="inlineStr">
        <is>
          <t>%</t>
        </is>
      </c>
      <c r="G20" s="20" t="n"/>
      <c r="H20" s="20" t="inlineStr">
        <is>
          <t>W6 直接 Soxhlet(未水解) 盲樣三重複</t>
        </is>
      </c>
    </row>
    <row r="21">
      <c r="A21" s="20" t="inlineStr">
        <is>
          <t>G2</t>
        </is>
      </c>
      <c r="B21" s="20" t="inlineStr">
        <is>
          <t>G2</t>
        </is>
      </c>
      <c r="C21" s="20" t="inlineStr">
        <is>
          <t>fat</t>
        </is>
      </c>
      <c r="D21" s="20" t="n">
        <v>3</v>
      </c>
      <c r="E21" s="20" t="n">
        <v>21.89</v>
      </c>
      <c r="F21" s="20" t="inlineStr">
        <is>
          <t>%</t>
        </is>
      </c>
      <c r="G21" s="20" t="n"/>
      <c r="H21" s="20" t="inlineStr">
        <is>
          <t>W6 直接 Soxhlet(未水解) 盲樣三重複</t>
        </is>
      </c>
    </row>
    <row r="22">
      <c r="A22" s="20" t="inlineStr">
        <is>
          <t>G3</t>
        </is>
      </c>
      <c r="B22" s="20" t="inlineStr">
        <is>
          <t>G3</t>
        </is>
      </c>
      <c r="C22" s="20" t="inlineStr">
        <is>
          <t>moisture</t>
        </is>
      </c>
      <c r="D22" s="20" t="n">
        <v>1</v>
      </c>
      <c r="E22" s="20" t="n">
        <v>2.7</v>
      </c>
      <c r="F22" s="20" t="inlineStr">
        <is>
          <t>%</t>
        </is>
      </c>
      <c r="G22" s="20" t="n"/>
      <c r="H22" s="20" t="n"/>
    </row>
    <row r="23">
      <c r="A23" s="20" t="inlineStr">
        <is>
          <t>G3</t>
        </is>
      </c>
      <c r="B23" s="20" t="inlineStr">
        <is>
          <t>G3</t>
        </is>
      </c>
      <c r="C23" s="20" t="inlineStr">
        <is>
          <t>moisture</t>
        </is>
      </c>
      <c r="D23" s="20" t="n">
        <v>2</v>
      </c>
      <c r="E23" s="20" t="n">
        <v>2.74</v>
      </c>
      <c r="F23" s="20" t="inlineStr">
        <is>
          <t>%</t>
        </is>
      </c>
      <c r="G23" s="20" t="n"/>
      <c r="H23" s="20" t="n"/>
    </row>
    <row r="24">
      <c r="A24" s="20" t="inlineStr">
        <is>
          <t>G3</t>
        </is>
      </c>
      <c r="B24" s="20" t="inlineStr">
        <is>
          <t>G3</t>
        </is>
      </c>
      <c r="C24" s="20" t="inlineStr">
        <is>
          <t>moisture</t>
        </is>
      </c>
      <c r="D24" s="20" t="n">
        <v>3</v>
      </c>
      <c r="E24" s="20" t="n">
        <v>3.3</v>
      </c>
      <c r="F24" s="20" t="inlineStr">
        <is>
          <t>%</t>
        </is>
      </c>
      <c r="G24" s="20" t="n"/>
      <c r="H24" s="20" t="inlineStr">
        <is>
          <t>疑似離群值 (possible outlier)</t>
        </is>
      </c>
    </row>
    <row r="25">
      <c r="A25" s="20" t="inlineStr">
        <is>
          <t>G3</t>
        </is>
      </c>
      <c r="B25" s="20" t="inlineStr">
        <is>
          <t>G3</t>
        </is>
      </c>
      <c r="C25" s="20" t="inlineStr">
        <is>
          <t>ash</t>
        </is>
      </c>
      <c r="D25" s="20" t="n">
        <v>1</v>
      </c>
      <c r="E25" s="20" t="n">
        <v>5.9</v>
      </c>
      <c r="F25" s="20" t="inlineStr">
        <is>
          <t>%</t>
        </is>
      </c>
      <c r="G25" s="20" t="n"/>
      <c r="H25" s="20" t="n"/>
    </row>
    <row r="26">
      <c r="A26" s="20" t="inlineStr">
        <is>
          <t>G3</t>
        </is>
      </c>
      <c r="B26" s="20" t="inlineStr">
        <is>
          <t>G3</t>
        </is>
      </c>
      <c r="C26" s="20" t="inlineStr">
        <is>
          <t>ash</t>
        </is>
      </c>
      <c r="D26" s="20" t="n">
        <v>2</v>
      </c>
      <c r="E26" s="20" t="n">
        <v>5.95</v>
      </c>
      <c r="F26" s="20" t="inlineStr">
        <is>
          <t>%</t>
        </is>
      </c>
      <c r="G26" s="20" t="n"/>
      <c r="H26" s="20" t="n"/>
    </row>
    <row r="27">
      <c r="A27" s="20" t="inlineStr">
        <is>
          <t>G3</t>
        </is>
      </c>
      <c r="B27" s="20" t="inlineStr">
        <is>
          <t>G3</t>
        </is>
      </c>
      <c r="C27" s="20" t="inlineStr">
        <is>
          <t>ash</t>
        </is>
      </c>
      <c r="D27" s="20" t="n">
        <v>3</v>
      </c>
      <c r="E27" s="20" t="n">
        <v>5.92</v>
      </c>
      <c r="F27" s="20" t="inlineStr">
        <is>
          <t>%</t>
        </is>
      </c>
      <c r="G27" s="20" t="n"/>
      <c r="H27" s="20" t="n"/>
    </row>
    <row r="28">
      <c r="A28" s="20" t="inlineStr">
        <is>
          <t>G3</t>
        </is>
      </c>
      <c r="B28" s="20" t="inlineStr">
        <is>
          <t>G3</t>
        </is>
      </c>
      <c r="C28" s="20" t="inlineStr">
        <is>
          <t>protein</t>
        </is>
      </c>
      <c r="D28" s="20" t="n">
        <v>1</v>
      </c>
      <c r="E28" s="20" t="n">
        <v>26.03</v>
      </c>
      <c r="F28" s="20" t="inlineStr">
        <is>
          <t>%</t>
        </is>
      </c>
      <c r="G28" s="20" t="n"/>
      <c r="H28" s="20" t="n"/>
    </row>
    <row r="29">
      <c r="A29" s="20" t="inlineStr">
        <is>
          <t>G3</t>
        </is>
      </c>
      <c r="B29" s="20" t="inlineStr">
        <is>
          <t>G3</t>
        </is>
      </c>
      <c r="C29" s="20" t="inlineStr">
        <is>
          <t>fat</t>
        </is>
      </c>
      <c r="D29" s="20" t="n">
        <v>1</v>
      </c>
      <c r="E29" s="20" t="n">
        <v>21.47</v>
      </c>
      <c r="F29" s="20" t="inlineStr">
        <is>
          <t>%</t>
        </is>
      </c>
      <c r="G29" s="20" t="n"/>
      <c r="H29" s="20" t="inlineStr">
        <is>
          <t>W6 直接 Soxhlet(未水解) 盲樣三重複</t>
        </is>
      </c>
    </row>
    <row r="30">
      <c r="A30" s="20" t="inlineStr">
        <is>
          <t>G3</t>
        </is>
      </c>
      <c r="B30" s="20" t="inlineStr">
        <is>
          <t>G3</t>
        </is>
      </c>
      <c r="C30" s="20" t="inlineStr">
        <is>
          <t>fat</t>
        </is>
      </c>
      <c r="D30" s="20" t="n">
        <v>2</v>
      </c>
      <c r="E30" s="20" t="n">
        <v>21.48</v>
      </c>
      <c r="F30" s="20" t="inlineStr">
        <is>
          <t>%</t>
        </is>
      </c>
      <c r="G30" s="20" t="n"/>
      <c r="H30" s="20" t="inlineStr">
        <is>
          <t>W6 直接 Soxhlet(未水解) 盲樣三重複</t>
        </is>
      </c>
    </row>
    <row r="31">
      <c r="A31" s="20" t="inlineStr">
        <is>
          <t>G3</t>
        </is>
      </c>
      <c r="B31" s="20" t="inlineStr">
        <is>
          <t>G3</t>
        </is>
      </c>
      <c r="C31" s="20" t="inlineStr">
        <is>
          <t>fat</t>
        </is>
      </c>
      <c r="D31" s="20" t="n">
        <v>3</v>
      </c>
      <c r="E31" s="20" t="n">
        <v>21.16</v>
      </c>
      <c r="F31" s="20" t="inlineStr">
        <is>
          <t>%</t>
        </is>
      </c>
      <c r="G31" s="20" t="n"/>
      <c r="H31" s="20" t="inlineStr">
        <is>
          <t>W6 直接 Soxhlet(未水解) 盲樣三重複</t>
        </is>
      </c>
    </row>
    <row r="32">
      <c r="A32" s="20" t="inlineStr">
        <is>
          <t>G4</t>
        </is>
      </c>
      <c r="B32" s="20" t="inlineStr">
        <is>
          <t>G4</t>
        </is>
      </c>
      <c r="C32" s="20" t="inlineStr">
        <is>
          <t>moisture</t>
        </is>
      </c>
      <c r="D32" s="20" t="n">
        <v>1</v>
      </c>
      <c r="E32" s="20" t="n">
        <v>2.9</v>
      </c>
      <c r="F32" s="20" t="inlineStr">
        <is>
          <t>%</t>
        </is>
      </c>
      <c r="G32" s="20" t="n"/>
      <c r="H32" s="20" t="n"/>
    </row>
    <row r="33">
      <c r="A33" s="20" t="inlineStr">
        <is>
          <t>G4</t>
        </is>
      </c>
      <c r="B33" s="20" t="inlineStr">
        <is>
          <t>G4</t>
        </is>
      </c>
      <c r="C33" s="20" t="inlineStr">
        <is>
          <t>moisture</t>
        </is>
      </c>
      <c r="D33" s="20" t="n">
        <v>2</v>
      </c>
      <c r="E33" s="20" t="n">
        <v>2.92</v>
      </c>
      <c r="F33" s="20" t="inlineStr">
        <is>
          <t>%</t>
        </is>
      </c>
      <c r="G33" s="20" t="n"/>
      <c r="H33" s="20" t="n"/>
    </row>
    <row r="34">
      <c r="A34" s="20" t="inlineStr">
        <is>
          <t>G4</t>
        </is>
      </c>
      <c r="B34" s="20" t="inlineStr">
        <is>
          <t>G4</t>
        </is>
      </c>
      <c r="C34" s="20" t="inlineStr">
        <is>
          <t>moisture</t>
        </is>
      </c>
      <c r="D34" s="20" t="n">
        <v>3</v>
      </c>
      <c r="E34" s="20" t="n">
        <v>2.89</v>
      </c>
      <c r="F34" s="20" t="inlineStr">
        <is>
          <t>%</t>
        </is>
      </c>
      <c r="G34" s="20" t="n"/>
      <c r="H34" s="20" t="n"/>
    </row>
    <row r="35">
      <c r="A35" s="20" t="inlineStr">
        <is>
          <t>G4</t>
        </is>
      </c>
      <c r="B35" s="20" t="inlineStr">
        <is>
          <t>G4</t>
        </is>
      </c>
      <c r="C35" s="20" t="inlineStr">
        <is>
          <t>ash</t>
        </is>
      </c>
      <c r="D35" s="20" t="n">
        <v>1</v>
      </c>
      <c r="E35" s="20" t="n">
        <v>6.05</v>
      </c>
      <c r="F35" s="20" t="inlineStr">
        <is>
          <t>%</t>
        </is>
      </c>
      <c r="G35" s="20" t="n"/>
      <c r="H35" s="20" t="n"/>
    </row>
    <row r="36">
      <c r="A36" s="20" t="inlineStr">
        <is>
          <t>G4</t>
        </is>
      </c>
      <c r="B36" s="20" t="inlineStr">
        <is>
          <t>G4</t>
        </is>
      </c>
      <c r="C36" s="20" t="inlineStr">
        <is>
          <t>ash</t>
        </is>
      </c>
      <c r="D36" s="20" t="n">
        <v>2</v>
      </c>
      <c r="E36" s="20" t="n">
        <v>6</v>
      </c>
      <c r="F36" s="20" t="inlineStr">
        <is>
          <t>%</t>
        </is>
      </c>
      <c r="G36" s="20" t="n"/>
      <c r="H36" s="20" t="n"/>
    </row>
    <row r="37">
      <c r="A37" s="20" t="inlineStr">
        <is>
          <t>G4</t>
        </is>
      </c>
      <c r="B37" s="20" t="inlineStr">
        <is>
          <t>G4</t>
        </is>
      </c>
      <c r="C37" s="20" t="inlineStr">
        <is>
          <t>ash</t>
        </is>
      </c>
      <c r="D37" s="20" t="n">
        <v>3</v>
      </c>
      <c r="E37" s="20" t="n">
        <v>6.03</v>
      </c>
      <c r="F37" s="20" t="inlineStr">
        <is>
          <t>%</t>
        </is>
      </c>
      <c r="G37" s="20" t="n"/>
      <c r="H37" s="20" t="n"/>
    </row>
    <row r="38">
      <c r="A38" s="20" t="inlineStr">
        <is>
          <t>G4</t>
        </is>
      </c>
      <c r="B38" s="20" t="inlineStr">
        <is>
          <t>G4</t>
        </is>
      </c>
      <c r="C38" s="20" t="inlineStr">
        <is>
          <t>protein</t>
        </is>
      </c>
      <c r="D38" s="20" t="n">
        <v>1</v>
      </c>
      <c r="E38" s="20" t="n">
        <v>24.47</v>
      </c>
      <c r="F38" s="20" t="inlineStr">
        <is>
          <t>%</t>
        </is>
      </c>
      <c r="G38" s="20" t="n"/>
      <c r="H38" s="20" t="inlineStr">
        <is>
          <t>系統性偏低 (systematic bias, ~1.5 個百分點)</t>
        </is>
      </c>
    </row>
    <row r="39">
      <c r="A39" s="20" t="inlineStr">
        <is>
          <t>G4</t>
        </is>
      </c>
      <c r="B39" s="20" t="inlineStr">
        <is>
          <t>G4</t>
        </is>
      </c>
      <c r="C39" s="20" t="inlineStr">
        <is>
          <t>fat</t>
        </is>
      </c>
      <c r="D39" s="20" t="n">
        <v>1</v>
      </c>
      <c r="E39" s="20" t="n">
        <v>21.19</v>
      </c>
      <c r="F39" s="20" t="inlineStr">
        <is>
          <t>%</t>
        </is>
      </c>
      <c r="G39" s="20" t="n"/>
      <c r="H39" s="20" t="inlineStr">
        <is>
          <t>W6 直接 Soxhlet(未水解) 盲樣三重複</t>
        </is>
      </c>
    </row>
    <row r="40">
      <c r="A40" s="20" t="inlineStr">
        <is>
          <t>G4</t>
        </is>
      </c>
      <c r="B40" s="20" t="inlineStr">
        <is>
          <t>G4</t>
        </is>
      </c>
      <c r="C40" s="20" t="inlineStr">
        <is>
          <t>fat</t>
        </is>
      </c>
      <c r="D40" s="20" t="n">
        <v>2</v>
      </c>
      <c r="E40" s="20" t="n">
        <v>21.16</v>
      </c>
      <c r="F40" s="20" t="inlineStr">
        <is>
          <t>%</t>
        </is>
      </c>
      <c r="G40" s="20" t="n"/>
      <c r="H40" s="20" t="inlineStr">
        <is>
          <t>W6 直接 Soxhlet(未水解) 盲樣三重複</t>
        </is>
      </c>
    </row>
    <row r="41">
      <c r="A41" s="20" t="inlineStr">
        <is>
          <t>G4</t>
        </is>
      </c>
      <c r="B41" s="20" t="inlineStr">
        <is>
          <t>G4</t>
        </is>
      </c>
      <c r="C41" s="20" t="inlineStr">
        <is>
          <t>fat</t>
        </is>
      </c>
      <c r="D41" s="20" t="n">
        <v>3</v>
      </c>
      <c r="E41" s="20" t="n">
        <v>21.52</v>
      </c>
      <c r="F41" s="20" t="inlineStr">
        <is>
          <t>%</t>
        </is>
      </c>
      <c r="G41" s="20" t="n"/>
      <c r="H41" s="20" t="inlineStr">
        <is>
          <t>W6 直接 Soxhlet(未水解) 盲樣三重複</t>
        </is>
      </c>
    </row>
    <row r="42">
      <c r="A42" s="20" t="inlineStr">
        <is>
          <t>G5</t>
        </is>
      </c>
      <c r="B42" s="20" t="inlineStr">
        <is>
          <t>G5</t>
        </is>
      </c>
      <c r="C42" s="20" t="inlineStr">
        <is>
          <t>moisture</t>
        </is>
      </c>
      <c r="D42" s="20" t="n">
        <v>1</v>
      </c>
      <c r="E42" s="20" t="n">
        <v>2.79</v>
      </c>
      <c r="F42" s="20" t="inlineStr">
        <is>
          <t>%</t>
        </is>
      </c>
      <c r="G42" s="20" t="n"/>
      <c r="H42" s="20" t="n"/>
    </row>
    <row r="43">
      <c r="A43" s="20" t="inlineStr">
        <is>
          <t>G5</t>
        </is>
      </c>
      <c r="B43" s="20" t="inlineStr">
        <is>
          <t>G5</t>
        </is>
      </c>
      <c r="C43" s="20" t="inlineStr">
        <is>
          <t>moisture</t>
        </is>
      </c>
      <c r="D43" s="20" t="n">
        <v>2</v>
      </c>
      <c r="E43" s="20" t="n">
        <v>2.81</v>
      </c>
      <c r="F43" s="20" t="inlineStr">
        <is>
          <t>%</t>
        </is>
      </c>
      <c r="G43" s="20" t="n"/>
      <c r="H43" s="20" t="n"/>
    </row>
    <row r="44">
      <c r="A44" s="20" t="inlineStr">
        <is>
          <t>G5</t>
        </is>
      </c>
      <c r="B44" s="20" t="inlineStr">
        <is>
          <t>G5</t>
        </is>
      </c>
      <c r="C44" s="20" t="inlineStr">
        <is>
          <t>moisture</t>
        </is>
      </c>
      <c r="D44" s="20" t="n">
        <v>3</v>
      </c>
      <c r="E44" s="20" t="n">
        <v>2.8</v>
      </c>
      <c r="F44" s="20" t="inlineStr">
        <is>
          <t>%</t>
        </is>
      </c>
      <c r="G44" s="20" t="n"/>
      <c r="H44" s="20" t="n"/>
    </row>
    <row r="45">
      <c r="A45" s="20" t="inlineStr">
        <is>
          <t>G5</t>
        </is>
      </c>
      <c r="B45" s="20" t="inlineStr">
        <is>
          <t>G5</t>
        </is>
      </c>
      <c r="C45" s="20" t="inlineStr">
        <is>
          <t>ash</t>
        </is>
      </c>
      <c r="D45" s="20" t="n">
        <v>1</v>
      </c>
      <c r="E45" s="20" t="n">
        <v>5.98</v>
      </c>
      <c r="F45" s="20" t="inlineStr">
        <is>
          <t>%</t>
        </is>
      </c>
      <c r="G45" s="20" t="n"/>
      <c r="H45" s="20" t="n"/>
    </row>
    <row r="46">
      <c r="A46" s="20" t="inlineStr">
        <is>
          <t>G5</t>
        </is>
      </c>
      <c r="B46" s="20" t="inlineStr">
        <is>
          <t>G5</t>
        </is>
      </c>
      <c r="C46" s="20" t="inlineStr">
        <is>
          <t>ash</t>
        </is>
      </c>
      <c r="D46" s="20" t="n">
        <v>2</v>
      </c>
      <c r="E46" s="20" t="n">
        <v>6.01</v>
      </c>
      <c r="F46" s="20" t="inlineStr">
        <is>
          <t>%</t>
        </is>
      </c>
      <c r="G46" s="20" t="n"/>
      <c r="H46" s="20" t="n"/>
    </row>
    <row r="47">
      <c r="A47" s="20" t="inlineStr">
        <is>
          <t>G5</t>
        </is>
      </c>
      <c r="B47" s="20" t="inlineStr">
        <is>
          <t>G5</t>
        </is>
      </c>
      <c r="C47" s="20" t="inlineStr">
        <is>
          <t>ash</t>
        </is>
      </c>
      <c r="D47" s="20" t="n">
        <v>3</v>
      </c>
      <c r="E47" s="20" t="n">
        <v>5.99</v>
      </c>
      <c r="F47" s="20" t="inlineStr">
        <is>
          <t>%</t>
        </is>
      </c>
      <c r="G47" s="20" t="n"/>
      <c r="H47" s="20" t="n"/>
    </row>
    <row r="48">
      <c r="A48" s="20" t="inlineStr">
        <is>
          <t>G5</t>
        </is>
      </c>
      <c r="B48" s="20" t="inlineStr">
        <is>
          <t>G5</t>
        </is>
      </c>
      <c r="C48" s="20" t="inlineStr">
        <is>
          <t>protein</t>
        </is>
      </c>
      <c r="D48" s="20" t="n">
        <v>1</v>
      </c>
      <c r="E48" s="20" t="n">
        <v>26</v>
      </c>
      <c r="F48" s="20" t="inlineStr">
        <is>
          <t>%</t>
        </is>
      </c>
      <c r="G48" s="20" t="n"/>
      <c r="H48" s="20" t="n"/>
    </row>
    <row r="49">
      <c r="A49" s="20" t="inlineStr">
        <is>
          <t>G5</t>
        </is>
      </c>
      <c r="B49" s="20" t="inlineStr">
        <is>
          <t>G5</t>
        </is>
      </c>
      <c r="C49" s="20" t="inlineStr">
        <is>
          <t>fat</t>
        </is>
      </c>
      <c r="D49" s="20" t="n">
        <v>1</v>
      </c>
      <c r="E49" s="20" t="n">
        <v>21.14</v>
      </c>
      <c r="F49" s="20" t="inlineStr">
        <is>
          <t>%</t>
        </is>
      </c>
      <c r="G49" s="20" t="n"/>
      <c r="H49" s="20" t="inlineStr">
        <is>
          <t>W6 直接 Soxhlet(未水解) 盲樣三重複</t>
        </is>
      </c>
    </row>
    <row r="50">
      <c r="A50" s="20" t="inlineStr">
        <is>
          <t>G5</t>
        </is>
      </c>
      <c r="B50" s="20" t="inlineStr">
        <is>
          <t>G5</t>
        </is>
      </c>
      <c r="C50" s="20" t="inlineStr">
        <is>
          <t>fat</t>
        </is>
      </c>
      <c r="D50" s="20" t="n">
        <v>2</v>
      </c>
      <c r="E50" s="20" t="n">
        <v>21.27</v>
      </c>
      <c r="F50" s="20" t="inlineStr">
        <is>
          <t>%</t>
        </is>
      </c>
      <c r="G50" s="20" t="n"/>
      <c r="H50" s="20" t="inlineStr">
        <is>
          <t>W6 直接 Soxhlet(未水解) 盲樣三重複</t>
        </is>
      </c>
    </row>
    <row r="51">
      <c r="A51" s="20" t="inlineStr">
        <is>
          <t>G5</t>
        </is>
      </c>
      <c r="B51" s="20" t="inlineStr">
        <is>
          <t>G5</t>
        </is>
      </c>
      <c r="C51" s="20" t="inlineStr">
        <is>
          <t>fat</t>
        </is>
      </c>
      <c r="D51" s="20" t="n">
        <v>3</v>
      </c>
      <c r="E51" s="20" t="n">
        <v>20.56</v>
      </c>
      <c r="F51" s="20" t="inlineStr">
        <is>
          <t>%</t>
        </is>
      </c>
      <c r="G51" s="20" t="n"/>
      <c r="H51" s="20" t="inlineStr">
        <is>
          <t>W6 直接 Soxhlet(未水解) 盲樣三重複</t>
        </is>
      </c>
    </row>
    <row r="52">
      <c r="A52" s="20" t="inlineStr">
        <is>
          <t>QC</t>
        </is>
      </c>
      <c r="B52" s="20" t="inlineStr">
        <is>
          <t>QC</t>
        </is>
      </c>
      <c r="C52" s="20" t="inlineStr">
        <is>
          <t>fat_qc_check</t>
        </is>
      </c>
      <c r="D52" s="20" t="n">
        <v>1</v>
      </c>
      <c r="E52" s="20" t="n">
        <v>25.95</v>
      </c>
      <c r="F52" s="20" t="inlineStr">
        <is>
          <t>%</t>
        </is>
      </c>
      <c r="G52" s="20" t="n"/>
      <c r="H52" s="20" t="n"/>
    </row>
    <row r="53">
      <c r="A53" s="20" t="inlineStr">
        <is>
          <t>QC</t>
        </is>
      </c>
      <c r="B53" s="20" t="inlineStr">
        <is>
          <t>QC</t>
        </is>
      </c>
      <c r="C53" s="20" t="inlineStr">
        <is>
          <t>fat_qc_check</t>
        </is>
      </c>
      <c r="D53" s="20" t="n">
        <v>2</v>
      </c>
      <c r="E53" s="20" t="n">
        <v>26.15</v>
      </c>
      <c r="F53" s="20" t="inlineStr">
        <is>
          <t>%</t>
        </is>
      </c>
      <c r="G53" s="20" t="n"/>
      <c r="H53" s="20" t="n"/>
    </row>
    <row r="54">
      <c r="A54" s="20" t="inlineStr">
        <is>
          <t>QC</t>
        </is>
      </c>
      <c r="B54" s="20" t="inlineStr">
        <is>
          <t>QC</t>
        </is>
      </c>
      <c r="C54" s="20" t="inlineStr">
        <is>
          <t>fat_qc_check</t>
        </is>
      </c>
      <c r="D54" s="20" t="n">
        <v>3</v>
      </c>
      <c r="E54" s="20" t="n">
        <v>25.85</v>
      </c>
      <c r="F54" s="20" t="inlineStr">
        <is>
          <t>%</t>
        </is>
      </c>
      <c r="G54" s="20" t="n"/>
      <c r="H54" s="20" t="n"/>
    </row>
    <row r="55">
      <c r="A55" s="20" t="inlineStr">
        <is>
          <t>QC</t>
        </is>
      </c>
      <c r="B55" s="20" t="inlineStr">
        <is>
          <t>QC</t>
        </is>
      </c>
      <c r="C55" s="20" t="inlineStr">
        <is>
          <t>fat_qc_check</t>
        </is>
      </c>
      <c r="D55" s="20" t="n">
        <v>4</v>
      </c>
      <c r="E55" s="20" t="n">
        <v>26.2</v>
      </c>
      <c r="F55" s="20" t="inlineStr">
        <is>
          <t>%</t>
        </is>
      </c>
      <c r="G55" s="20" t="n"/>
      <c r="H55" s="20" t="n"/>
    </row>
    <row r="56">
      <c r="A56" s="20" t="inlineStr">
        <is>
          <t>QC</t>
        </is>
      </c>
      <c r="B56" s="20" t="inlineStr">
        <is>
          <t>QC</t>
        </is>
      </c>
      <c r="C56" s="20" t="inlineStr">
        <is>
          <t>fat_qc_check</t>
        </is>
      </c>
      <c r="D56" s="20" t="n">
        <v>5</v>
      </c>
      <c r="E56" s="20" t="n">
        <v>25.9</v>
      </c>
      <c r="F56" s="20" t="inlineStr">
        <is>
          <t>%</t>
        </is>
      </c>
      <c r="G56" s="20" t="n"/>
      <c r="H56" s="20" t="n"/>
    </row>
    <row r="57">
      <c r="A57" s="20" t="inlineStr">
        <is>
          <t>QC</t>
        </is>
      </c>
      <c r="B57" s="20" t="inlineStr">
        <is>
          <t>QC</t>
        </is>
      </c>
      <c r="C57" s="20" t="inlineStr">
        <is>
          <t>fat_qc_check</t>
        </is>
      </c>
      <c r="D57" s="20" t="n">
        <v>6</v>
      </c>
      <c r="E57" s="20" t="n">
        <v>26.05</v>
      </c>
      <c r="F57" s="20" t="inlineStr">
        <is>
          <t>%</t>
        </is>
      </c>
      <c r="G57" s="20" t="n"/>
      <c r="H57" s="20" t="n"/>
    </row>
    <row r="58">
      <c r="A58" s="20" t="inlineStr">
        <is>
          <t>QC</t>
        </is>
      </c>
      <c r="B58" s="20" t="inlineStr">
        <is>
          <t>QC</t>
        </is>
      </c>
      <c r="C58" s="20" t="inlineStr">
        <is>
          <t>fat_qc_check</t>
        </is>
      </c>
      <c r="D58" s="20" t="n">
        <v>7</v>
      </c>
      <c r="E58" s="20" t="n">
        <v>26.1</v>
      </c>
      <c r="F58" s="20" t="inlineStr">
        <is>
          <t>%</t>
        </is>
      </c>
      <c r="G58" s="20" t="n"/>
      <c r="H58" s="20" t="n"/>
    </row>
    <row r="59">
      <c r="A59" s="20" t="inlineStr">
        <is>
          <t>QC</t>
        </is>
      </c>
      <c r="B59" s="20" t="inlineStr">
        <is>
          <t>QC</t>
        </is>
      </c>
      <c r="C59" s="20" t="inlineStr">
        <is>
          <t>fat_qc_check</t>
        </is>
      </c>
      <c r="D59" s="20" t="n">
        <v>8</v>
      </c>
      <c r="E59" s="20" t="n">
        <v>26.95</v>
      </c>
      <c r="F59" s="20" t="inlineStr">
        <is>
          <t>%</t>
        </is>
      </c>
      <c r="G59" s="20" t="n"/>
      <c r="H59" s="20" t="n"/>
    </row>
    <row r="60">
      <c r="A60" s="20" t="inlineStr">
        <is>
          <t>QC</t>
        </is>
      </c>
      <c r="B60" s="20" t="inlineStr">
        <is>
          <t>QC</t>
        </is>
      </c>
      <c r="C60" s="20" t="inlineStr">
        <is>
          <t>fat_qc_check</t>
        </is>
      </c>
      <c r="D60" s="20" t="n">
        <v>9</v>
      </c>
      <c r="E60" s="20" t="n">
        <v>25.8</v>
      </c>
      <c r="F60" s="20" t="inlineStr">
        <is>
          <t>%</t>
        </is>
      </c>
      <c r="G60" s="20" t="n"/>
      <c r="H60" s="20" t="n"/>
    </row>
    <row r="61">
      <c r="A61" s="20" t="inlineStr">
        <is>
          <t>QC</t>
        </is>
      </c>
      <c r="B61" s="20" t="inlineStr">
        <is>
          <t>QC</t>
        </is>
      </c>
      <c r="C61" s="20" t="inlineStr">
        <is>
          <t>fat_qc_check</t>
        </is>
      </c>
      <c r="D61" s="20" t="n">
        <v>10</v>
      </c>
      <c r="E61" s="20" t="n">
        <v>25.3</v>
      </c>
      <c r="F61" s="20" t="inlineStr">
        <is>
          <t>%</t>
        </is>
      </c>
      <c r="G61" s="20" t="n"/>
      <c r="H61" s="20" t="n"/>
    </row>
    <row r="62">
      <c r="A62" s="20" t="inlineStr">
        <is>
          <t>QC</t>
        </is>
      </c>
      <c r="B62" s="20" t="inlineStr">
        <is>
          <t>QC</t>
        </is>
      </c>
      <c r="C62" s="20" t="inlineStr">
        <is>
          <t>fat_qc_check</t>
        </is>
      </c>
      <c r="D62" s="20" t="n">
        <v>11</v>
      </c>
      <c r="E62" s="20" t="n">
        <v>25.25</v>
      </c>
      <c r="F62" s="20" t="inlineStr">
        <is>
          <t>%</t>
        </is>
      </c>
      <c r="G62" s="20" t="n"/>
      <c r="H62" s="20" t="n"/>
    </row>
    <row r="63">
      <c r="A63" s="20" t="inlineStr">
        <is>
          <t>QC</t>
        </is>
      </c>
      <c r="B63" s="20" t="inlineStr">
        <is>
          <t>QC</t>
        </is>
      </c>
      <c r="C63" s="20" t="inlineStr">
        <is>
          <t>fat_qc_check</t>
        </is>
      </c>
      <c r="D63" s="20" t="n">
        <v>12</v>
      </c>
      <c r="E63" s="20" t="n">
        <v>26</v>
      </c>
      <c r="F63" s="20" t="inlineStr">
        <is>
          <t>%</t>
        </is>
      </c>
      <c r="G63" s="20" t="n"/>
      <c r="H63" s="20" t="n"/>
    </row>
    <row r="64">
      <c r="A64" s="20" t="inlineStr">
        <is>
          <t>TA</t>
        </is>
      </c>
      <c r="B64" s="20" t="inlineStr">
        <is>
          <t>TA</t>
        </is>
      </c>
      <c r="C64" s="20" t="inlineStr">
        <is>
          <t>protein_repeatability</t>
        </is>
      </c>
      <c r="D64" s="20" t="n">
        <v>1</v>
      </c>
      <c r="E64" s="20" t="n">
        <v>25.95</v>
      </c>
      <c r="F64" s="20" t="inlineStr">
        <is>
          <t>%</t>
        </is>
      </c>
      <c r="G64" s="20" t="n"/>
      <c r="H64" s="20" t="n"/>
    </row>
    <row r="65">
      <c r="A65" s="20" t="inlineStr">
        <is>
          <t>TA</t>
        </is>
      </c>
      <c r="B65" s="20" t="inlineStr">
        <is>
          <t>TA</t>
        </is>
      </c>
      <c r="C65" s="20" t="inlineStr">
        <is>
          <t>protein_repeatability</t>
        </is>
      </c>
      <c r="D65" s="20" t="n">
        <v>2</v>
      </c>
      <c r="E65" s="20" t="n">
        <v>26.15</v>
      </c>
      <c r="F65" s="20" t="inlineStr">
        <is>
          <t>%</t>
        </is>
      </c>
      <c r="G65" s="20" t="n"/>
      <c r="H65" s="20" t="n"/>
    </row>
    <row r="66">
      <c r="A66" s="20" t="inlineStr">
        <is>
          <t>TA</t>
        </is>
      </c>
      <c r="B66" s="20" t="inlineStr">
        <is>
          <t>TA</t>
        </is>
      </c>
      <c r="C66" s="20" t="inlineStr">
        <is>
          <t>protein_repeatability</t>
        </is>
      </c>
      <c r="D66" s="20" t="n">
        <v>3</v>
      </c>
      <c r="E66" s="20" t="n">
        <v>25.85</v>
      </c>
      <c r="F66" s="20" t="inlineStr">
        <is>
          <t>%</t>
        </is>
      </c>
      <c r="G66" s="20" t="n"/>
      <c r="H66" s="20" t="n"/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tabColor rgb="004E8F5A"/>
    <outlinePr summaryBelow="1" summaryRight="1"/>
    <pageSetUpPr fitToPage="1"/>
  </sheetPr>
  <dimension ref="A1:M2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3" customWidth="1" min="7" max="7"/>
    <col width="8" customWidth="1" min="8" max="8"/>
    <col width="8" customWidth="1" min="9" max="9"/>
    <col width="8" customWidth="1" min="10" max="10"/>
    <col width="8" customWidth="1" min="11" max="11"/>
    <col width="3" customWidth="1" min="12" max="12"/>
    <col width="60" customWidth="1" min="13" max="13"/>
  </cols>
  <sheetData>
    <row r="1">
      <c r="A1" s="1" t="inlineStr">
        <is>
          <t>步驟 1　Proximate 組成表與差減法碳水化合物</t>
        </is>
      </c>
    </row>
    <row r="2" ht="32" customHeight="1">
      <c r="A2" s="18" t="inlineStr">
        <is>
          <t>把 5 組的水分、灰分、蛋白質、脂肪彙整成一張表。碳水化合物不是測出來的，而是用差減法：碳水化合物% = 100 − (水分% + 灰分% + 蛋白質% + 脂肪%)。</t>
        </is>
      </c>
    </row>
    <row r="4">
      <c r="A4" s="2" t="inlineStr">
        <is>
          <t>項目代號 →</t>
        </is>
      </c>
      <c r="B4" s="21" t="inlineStr">
        <is>
          <t>moisture</t>
        </is>
      </c>
      <c r="C4" s="21" t="inlineStr">
        <is>
          <t>ash</t>
        </is>
      </c>
      <c r="D4" s="21" t="inlineStr">
        <is>
          <t>protein</t>
        </is>
      </c>
      <c r="E4" s="21" t="inlineStr">
        <is>
          <t>fat</t>
        </is>
      </c>
      <c r="F4" s="21" t="inlineStr">
        <is>
          <t>carbohydrate</t>
        </is>
      </c>
    </row>
    <row r="5" ht="32" customHeight="1">
      <c r="A5" s="9" t="inlineStr">
        <is>
          <t>組別</t>
        </is>
      </c>
      <c r="B5" s="9" t="inlineStr">
        <is>
          <t>水分 (%)</t>
        </is>
      </c>
      <c r="C5" s="9" t="inlineStr">
        <is>
          <t>灰分 (%)</t>
        </is>
      </c>
      <c r="D5" s="9" t="inlineStr">
        <is>
          <t>蛋白質 (%)</t>
        </is>
      </c>
      <c r="E5" s="9" t="inlineStr">
        <is>
          <t>脂肪 (%)</t>
        </is>
      </c>
      <c r="F5" s="9" t="inlineStr">
        <is>
          <t>碳水化合物 (%)
差減法</t>
        </is>
      </c>
      <c r="H5" s="9" t="inlineStr">
        <is>
          <t>水分 n</t>
        </is>
      </c>
      <c r="I5" s="9" t="inlineStr">
        <is>
          <t>灰分 n</t>
        </is>
      </c>
      <c r="J5" s="9" t="inlineStr">
        <is>
          <t>蛋白質 n</t>
        </is>
      </c>
      <c r="K5" s="9" t="inlineStr">
        <is>
          <t>脂肪 n</t>
        </is>
      </c>
      <c r="M5" s="2" t="inlineStr">
        <is>
          <t>A 欄的組別名稱（黃色）要和「1_原始數據」的 group 欄一模一樣。本檔固定 5 組；</t>
        </is>
      </c>
    </row>
    <row r="6">
      <c r="A6" s="5" t="inlineStr">
        <is>
          <t>G1</t>
        </is>
      </c>
      <c r="B6" s="11">
        <f>AVERAGEIFS('1_原始數據'!$E$2:$E$1000,'1_原始數據'!$A$2:$A$1000,$A6,'1_原始數據'!$C$2:$C$1000,B$4)</f>
        <v/>
      </c>
      <c r="C6" s="11">
        <f>AVERAGEIFS('1_原始數據'!$E$2:$E$1000,'1_原始數據'!$A$2:$A$1000,$A6,'1_原始數據'!$C$2:$C$1000,C$4)</f>
        <v/>
      </c>
      <c r="D6" s="11">
        <f>AVERAGEIFS('1_原始數據'!$E$2:$E$1000,'1_原始數據'!$A$2:$A$1000,$A6,'1_原始數據'!$C$2:$C$1000,D$4)</f>
        <v/>
      </c>
      <c r="E6" s="11">
        <f>AVERAGEIFS('1_原始數據'!$E$2:$E$1000,'1_原始數據'!$A$2:$A$1000,$A6,'1_原始數據'!$C$2:$C$1000,E$4)</f>
        <v/>
      </c>
      <c r="F6" s="22">
        <f>100-SUM(B6:E6)</f>
        <v/>
      </c>
      <c r="H6" s="23">
        <f>COUNTIFS('1_原始數據'!$A$2:$A$1000,$A6,'1_原始數據'!$C$2:$C$1000,B$4)</f>
        <v/>
      </c>
      <c r="I6" s="23">
        <f>COUNTIFS('1_原始數據'!$A$2:$A$1000,$A6,'1_原始數據'!$C$2:$C$1000,C$4)</f>
        <v/>
      </c>
      <c r="J6" s="23">
        <f>COUNTIFS('1_原始數據'!$A$2:$A$1000,$A6,'1_原始數據'!$C$2:$C$1000,D$4)</f>
        <v/>
      </c>
      <c r="K6" s="23">
        <f>COUNTIFS('1_原始數據'!$A$2:$A$1000,$A6,'1_原始數據'!$C$2:$C$1000,E$4)</f>
        <v/>
      </c>
      <c r="M6" s="2" t="inlineStr">
        <is>
          <t>組數不同時請用 Colab 筆記本。</t>
        </is>
      </c>
    </row>
    <row r="7">
      <c r="A7" s="5" t="inlineStr">
        <is>
          <t>G2</t>
        </is>
      </c>
      <c r="B7" s="11">
        <f>AVERAGEIFS('1_原始數據'!$E$2:$E$1000,'1_原始數據'!$A$2:$A$1000,$A7,'1_原始數據'!$C$2:$C$1000,B$4)</f>
        <v/>
      </c>
      <c r="C7" s="11">
        <f>AVERAGEIFS('1_原始數據'!$E$2:$E$1000,'1_原始數據'!$A$2:$A$1000,$A7,'1_原始數據'!$C$2:$C$1000,C$4)</f>
        <v/>
      </c>
      <c r="D7" s="11">
        <f>AVERAGEIFS('1_原始數據'!$E$2:$E$1000,'1_原始數據'!$A$2:$A$1000,$A7,'1_原始數據'!$C$2:$C$1000,D$4)</f>
        <v/>
      </c>
      <c r="E7" s="11">
        <f>AVERAGEIFS('1_原始數據'!$E$2:$E$1000,'1_原始數據'!$A$2:$A$1000,$A7,'1_原始數據'!$C$2:$C$1000,E$4)</f>
        <v/>
      </c>
      <c r="F7" s="22">
        <f>100-SUM(B7:E7)</f>
        <v/>
      </c>
      <c r="H7" s="23">
        <f>COUNTIFS('1_原始數據'!$A$2:$A$1000,$A7,'1_原始數據'!$C$2:$C$1000,B$4)</f>
        <v/>
      </c>
      <c r="I7" s="23">
        <f>COUNTIFS('1_原始數據'!$A$2:$A$1000,$A7,'1_原始數據'!$C$2:$C$1000,C$4)</f>
        <v/>
      </c>
      <c r="J7" s="23">
        <f>COUNTIFS('1_原始數據'!$A$2:$A$1000,$A7,'1_原始數據'!$C$2:$C$1000,D$4)</f>
        <v/>
      </c>
      <c r="K7" s="23">
        <f>COUNTIFS('1_原始數據'!$A$2:$A$1000,$A7,'1_原始數據'!$C$2:$C$1000,E$4)</f>
        <v/>
      </c>
    </row>
    <row r="8">
      <c r="A8" s="5" t="inlineStr">
        <is>
          <t>G3</t>
        </is>
      </c>
      <c r="B8" s="11">
        <f>AVERAGEIFS('1_原始數據'!$E$2:$E$1000,'1_原始數據'!$A$2:$A$1000,$A8,'1_原始數據'!$C$2:$C$1000,B$4)</f>
        <v/>
      </c>
      <c r="C8" s="11">
        <f>AVERAGEIFS('1_原始數據'!$E$2:$E$1000,'1_原始數據'!$A$2:$A$1000,$A8,'1_原始數據'!$C$2:$C$1000,C$4)</f>
        <v/>
      </c>
      <c r="D8" s="11">
        <f>AVERAGEIFS('1_原始數據'!$E$2:$E$1000,'1_原始數據'!$A$2:$A$1000,$A8,'1_原始數據'!$C$2:$C$1000,D$4)</f>
        <v/>
      </c>
      <c r="E8" s="11">
        <f>AVERAGEIFS('1_原始數據'!$E$2:$E$1000,'1_原始數據'!$A$2:$A$1000,$A8,'1_原始數據'!$C$2:$C$1000,E$4)</f>
        <v/>
      </c>
      <c r="F8" s="22">
        <f>100-SUM(B8:E8)</f>
        <v/>
      </c>
      <c r="H8" s="23">
        <f>COUNTIFS('1_原始數據'!$A$2:$A$1000,$A8,'1_原始數據'!$C$2:$C$1000,B$4)</f>
        <v/>
      </c>
      <c r="I8" s="23">
        <f>COUNTIFS('1_原始數據'!$A$2:$A$1000,$A8,'1_原始數據'!$C$2:$C$1000,C$4)</f>
        <v/>
      </c>
      <c r="J8" s="23">
        <f>COUNTIFS('1_原始數據'!$A$2:$A$1000,$A8,'1_原始數據'!$C$2:$C$1000,D$4)</f>
        <v/>
      </c>
      <c r="K8" s="23">
        <f>COUNTIFS('1_原始數據'!$A$2:$A$1000,$A8,'1_原始數據'!$C$2:$C$1000,E$4)</f>
        <v/>
      </c>
      <c r="M8" s="2" t="inlineStr">
        <is>
          <t xml:space="preserve">B–E 欄公式都一樣：AVERAGEIFS(數值, group 欄, 本列組別, item </t>
        </is>
      </c>
    </row>
    <row r="9">
      <c r="A9" s="5" t="inlineStr">
        <is>
          <t>G4</t>
        </is>
      </c>
      <c r="B9" s="11">
        <f>AVERAGEIFS('1_原始數據'!$E$2:$E$1000,'1_原始數據'!$A$2:$A$1000,$A9,'1_原始數據'!$C$2:$C$1000,B$4)</f>
        <v/>
      </c>
      <c r="C9" s="11">
        <f>AVERAGEIFS('1_原始數據'!$E$2:$E$1000,'1_原始數據'!$A$2:$A$1000,$A9,'1_原始數據'!$C$2:$C$1000,C$4)</f>
        <v/>
      </c>
      <c r="D9" s="11">
        <f>AVERAGEIFS('1_原始數據'!$E$2:$E$1000,'1_原始數據'!$A$2:$A$1000,$A9,'1_原始數據'!$C$2:$C$1000,D$4)</f>
        <v/>
      </c>
      <c r="E9" s="11">
        <f>AVERAGEIFS('1_原始數據'!$E$2:$E$1000,'1_原始數據'!$A$2:$A$1000,$A9,'1_原始數據'!$C$2:$C$1000,E$4)</f>
        <v/>
      </c>
      <c r="F9" s="22">
        <f>100-SUM(B9:E9)</f>
        <v/>
      </c>
      <c r="H9" s="23">
        <f>COUNTIFS('1_原始數據'!$A$2:$A$1000,$A9,'1_原始數據'!$C$2:$C$1000,B$4)</f>
        <v/>
      </c>
      <c r="I9" s="23">
        <f>COUNTIFS('1_原始數據'!$A$2:$A$1000,$A9,'1_原始數據'!$C$2:$C$1000,C$4)</f>
        <v/>
      </c>
      <c r="J9" s="23">
        <f>COUNTIFS('1_原始數據'!$A$2:$A$1000,$A9,'1_原始數據'!$C$2:$C$1000,D$4)</f>
        <v/>
      </c>
      <c r="K9" s="23">
        <f>COUNTIFS('1_原始數據'!$A$2:$A$1000,$A9,'1_原始數據'!$C$2:$C$1000,E$4)</f>
        <v/>
      </c>
      <c r="M9" s="2" t="inlineStr">
        <is>
          <t>欄, 第 4 列的項目代號)。蛋白質每組只有 1 次測定（n=1），所以「平均」就是那一個值</t>
        </is>
      </c>
    </row>
    <row r="10">
      <c r="A10" s="5" t="inlineStr">
        <is>
          <t>G5</t>
        </is>
      </c>
      <c r="B10" s="11">
        <f>AVERAGEIFS('1_原始數據'!$E$2:$E$1000,'1_原始數據'!$A$2:$A$1000,$A10,'1_原始數據'!$C$2:$C$1000,B$4)</f>
        <v/>
      </c>
      <c r="C10" s="11">
        <f>AVERAGEIFS('1_原始數據'!$E$2:$E$1000,'1_原始數據'!$A$2:$A$1000,$A10,'1_原始數據'!$C$2:$C$1000,C$4)</f>
        <v/>
      </c>
      <c r="D10" s="11">
        <f>AVERAGEIFS('1_原始數據'!$E$2:$E$1000,'1_原始數據'!$A$2:$A$1000,$A10,'1_原始數據'!$C$2:$C$1000,D$4)</f>
        <v/>
      </c>
      <c r="E10" s="11">
        <f>AVERAGEIFS('1_原始數據'!$E$2:$E$1000,'1_原始數據'!$A$2:$A$1000,$A10,'1_原始數據'!$C$2:$C$1000,E$4)</f>
        <v/>
      </c>
      <c r="F10" s="22">
        <f>100-SUM(B10:E10)</f>
        <v/>
      </c>
      <c r="H10" s="23">
        <f>COUNTIFS('1_原始數據'!$A$2:$A$1000,$A10,'1_原始數據'!$C$2:$C$1000,B$4)</f>
        <v/>
      </c>
      <c r="I10" s="23">
        <f>COUNTIFS('1_原始數據'!$A$2:$A$1000,$A10,'1_原始數據'!$C$2:$C$1000,C$4)</f>
        <v/>
      </c>
      <c r="J10" s="23">
        <f>COUNTIFS('1_原始數據'!$A$2:$A$1000,$A10,'1_原始數據'!$C$2:$C$1000,D$4)</f>
        <v/>
      </c>
      <c r="K10" s="23">
        <f>COUNTIFS('1_原始數據'!$A$2:$A$1000,$A10,'1_原始數據'!$C$2:$C$1000,E$4)</f>
        <v/>
      </c>
      <c r="M10" s="2" t="inlineStr">
        <is>
          <t>。</t>
        </is>
      </c>
    </row>
    <row r="11">
      <c r="A11" s="24" t="inlineStr">
        <is>
          <t>中位數 (median)</t>
        </is>
      </c>
      <c r="B11" s="25">
        <f>MEDIAN(B6:B10)</f>
        <v/>
      </c>
      <c r="C11" s="25">
        <f>MEDIAN(C6:C10)</f>
        <v/>
      </c>
      <c r="D11" s="25">
        <f>MEDIAN(D6:D10)</f>
        <v/>
      </c>
      <c r="E11" s="25">
        <f>MEDIAN(E6:E10)</f>
        <v/>
      </c>
      <c r="F11" s="25">
        <f>MEDIAN(F6:F10)</f>
        <v/>
      </c>
      <c r="M11" s="2" t="inlineStr">
        <is>
          <t>H–K 欄是每一項的重複數 n，確認數據有沒有漏貼：水分/灰分/脂肪應為 3，</t>
        </is>
      </c>
    </row>
    <row r="12">
      <c r="A12" s="24" t="inlineStr">
        <is>
          <t>平均 (mean)</t>
        </is>
      </c>
      <c r="B12" s="11">
        <f>AVERAGE(B6:B10)</f>
        <v/>
      </c>
      <c r="C12" s="11">
        <f>AVERAGE(C6:C10)</f>
        <v/>
      </c>
      <c r="D12" s="11">
        <f>AVERAGE(D6:D10)</f>
        <v/>
      </c>
      <c r="E12" s="11">
        <f>AVERAGE(E6:E10)</f>
        <v/>
      </c>
      <c r="F12" s="11">
        <f>AVERAGE(F6:F10)</f>
        <v/>
      </c>
      <c r="M12" s="2" t="inlineStr">
        <is>
          <t>蛋白質為 1。</t>
        </is>
      </c>
    </row>
    <row r="13">
      <c r="A13" s="24" t="inlineStr">
        <is>
          <t>組間 SD</t>
        </is>
      </c>
      <c r="B13" s="11">
        <f>_xlfn.STDEV.S(B6:B10)</f>
        <v/>
      </c>
      <c r="C13" s="11">
        <f>_xlfn.STDEV.S(C6:C10)</f>
        <v/>
      </c>
      <c r="D13" s="11">
        <f>_xlfn.STDEV.S(D6:D10)</f>
        <v/>
      </c>
      <c r="E13" s="11">
        <f>_xlfn.STDEV.S(E6:E10)</f>
        <v/>
      </c>
      <c r="F13" s="11">
        <f>_xlfn.STDEV.S(F6:F10)</f>
        <v/>
      </c>
    </row>
    <row r="14">
      <c r="M14" s="2" t="inlineStr">
        <is>
          <t>中位數（median）不容易被一個離群組拉走，第 3、5、9 張表會用它當「全班代表值／指定</t>
        </is>
      </c>
    </row>
    <row r="15">
      <c r="M15" s="2" t="inlineStr">
        <is>
          <t>值」。</t>
        </is>
      </c>
    </row>
    <row r="16">
      <c r="A16" s="3" t="inlineStr">
        <is>
          <t>公式說明</t>
        </is>
      </c>
    </row>
    <row r="17" ht="15" customHeight="1">
      <c r="A17" s="26" t="inlineStr">
        <is>
          <t>AVERAGEIFS</t>
        </is>
      </c>
      <c r="B17" s="4" t="inlineStr">
        <is>
          <t>=AVERAGEIFS(平均的範圍, 條件範圍1, 條件1, 條件範圍2, 條件2)　只把同時符合「組別」與「項目」的數字拿來平均</t>
        </is>
      </c>
    </row>
    <row r="18" ht="15" customHeight="1">
      <c r="A18" s="26" t="inlineStr">
        <is>
          <t>碳水化合物</t>
        </is>
      </c>
      <c r="B18" s="4" t="inlineStr">
        <is>
          <t>=100-SUM(B6:E6)　差減法沒有自己的實驗步驟，只是拿其他四項做減法</t>
        </is>
      </c>
    </row>
    <row r="19" ht="15" customHeight="1">
      <c r="A19" s="26" t="inlineStr">
        <is>
          <t>MEDIAN</t>
        </is>
      </c>
      <c r="B19" s="4" t="inlineStr">
        <is>
          <t>=MEDIAN(B6:B10)　把 5 個數字排好取中間那一個</t>
        </is>
      </c>
    </row>
    <row r="20" ht="15" customHeight="1">
      <c r="A20" s="26" t="inlineStr">
        <is>
          <t>STDEV.S</t>
        </is>
      </c>
      <c r="B20" s="4" t="inlineStr">
        <is>
          <t>=STDEV.S(B6:B10)　組間標準差（除以 n−1 的樣本 SD）</t>
        </is>
      </c>
    </row>
    <row r="21" ht="15" customHeight="1">
      <c r="A21" s="26" t="inlineStr">
        <is>
          <t>和 Colab 的差異</t>
        </is>
      </c>
      <c r="B21" s="4" t="inlineStr">
        <is>
          <t>Colab 先把各項平均四捨五入到小數 4 位再相減，Excel 用完整數字，所以 G3 碳水化合物可能在小數第 4 位差 1。</t>
        </is>
      </c>
    </row>
    <row r="23" ht="32" customHeight="1">
      <c r="A23" s="18" t="inlineStr">
        <is>
          <t>差減法「繼承所有人的誤差」：任何一項偏低，碳水化合物就偏高。碳水化合物的不確定度要用平方和開根號合併，算法在「7_不確定度」7-2；和資料庫的比對在「9_資料庫比對」。</t>
        </is>
      </c>
    </row>
  </sheetData>
  <mergeCells count="7">
    <mergeCell ref="A23:M23"/>
    <mergeCell ref="B17:K17"/>
    <mergeCell ref="B18:K18"/>
    <mergeCell ref="B21:K21"/>
    <mergeCell ref="B20:K20"/>
    <mergeCell ref="A2:M2"/>
    <mergeCell ref="B19:K19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tabColor rgb="004E8F5A"/>
    <outlinePr summaryBelow="1" summaryRight="1"/>
    <pageSetUpPr fitToPage="1"/>
  </sheetPr>
  <dimension ref="B1:H5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3" customWidth="1" min="7" max="7"/>
    <col width="64" customWidth="1" min="8" max="8"/>
  </cols>
  <sheetData>
    <row r="1">
      <c r="B1" s="1" t="inlineStr">
        <is>
          <t>步驟 2　Grubbs 離群值檢定（組內 n=3 vs 班級層級 n=5）</t>
        </is>
      </c>
    </row>
    <row r="2">
      <c r="B2" s="18" t="inlineStr">
        <is>
          <t>G = 最大的 |x − 平均| ÷ SD。G 大於臨界值 G_crit 才判定為離群值。臨界值用 t 分布的公式直接算，不用查表。</t>
        </is>
      </c>
    </row>
    <row r="4">
      <c r="B4" s="27" t="inlineStr">
        <is>
          <t>α（顯著水準，雙側）</t>
        </is>
      </c>
      <c r="C4" s="5" t="n">
        <v>0.05</v>
      </c>
    </row>
    <row r="6">
      <c r="B6" s="3" t="inlineStr">
        <is>
          <t>2-1 臨界值 G_crit 與理論上界</t>
        </is>
      </c>
    </row>
    <row r="7" ht="32" customHeight="1">
      <c r="B7" s="9" t="inlineStr">
        <is>
          <t>n（數據個數）</t>
        </is>
      </c>
      <c r="C7" s="9" t="inlineStr">
        <is>
          <t>t 值</t>
        </is>
      </c>
      <c r="D7" s="9" t="inlineStr">
        <is>
          <t>G_crit</t>
        </is>
      </c>
      <c r="E7" s="9" t="inlineStr">
        <is>
          <t>理論上界 (n−1)/√n</t>
        </is>
      </c>
      <c r="F7" s="9" t="inlineStr">
        <is>
          <t>上界 − G_crit</t>
        </is>
      </c>
      <c r="H7" s="2" t="inlineStr">
        <is>
          <t>t 值 =T.INV(1−α/(2n), n−2)：T.INV 是 t 分布的「反函數」，</t>
        </is>
      </c>
    </row>
    <row r="8">
      <c r="B8" s="5" t="n">
        <v>3</v>
      </c>
      <c r="C8" s="11">
        <f>_xlfn.T.INV(1-$C$4/(2*B8),B8-2)</f>
        <v/>
      </c>
      <c r="D8" s="22">
        <f>(B8-1)/SQRT(B8)*SQRT(C8^2/(B8-2+C8^2))</f>
        <v/>
      </c>
      <c r="E8" s="11">
        <f>(B8-1)/SQRT(B8)</f>
        <v/>
      </c>
      <c r="F8" s="11">
        <f>E8-D8</f>
        <v/>
      </c>
      <c r="H8" s="2" t="inlineStr">
        <is>
          <t>給機率、給自由度，回傳 t 值。G_crit = (n−1)/√n × √(t² ÷ (n−</t>
        </is>
      </c>
    </row>
    <row r="9">
      <c r="B9" s="5" t="n">
        <v>4</v>
      </c>
      <c r="C9" s="11">
        <f>_xlfn.T.INV(1-$C$4/(2*B9),B9-2)</f>
        <v/>
      </c>
      <c r="D9" s="11">
        <f>(B9-1)/SQRT(B9)*SQRT(C9^2/(B9-2+C9^2))</f>
        <v/>
      </c>
      <c r="E9" s="11">
        <f>(B9-1)/SQRT(B9)</f>
        <v/>
      </c>
      <c r="F9" s="11">
        <f>E9-D9</f>
        <v/>
      </c>
      <c r="H9" s="2" t="inlineStr">
        <is>
          <t>2+t²))。</t>
        </is>
      </c>
    </row>
    <row r="10">
      <c r="B10" s="5" t="n">
        <v>5</v>
      </c>
      <c r="C10" s="11">
        <f>_xlfn.T.INV(1-$C$4/(2*B10),B10-2)</f>
        <v/>
      </c>
      <c r="D10" s="22">
        <f>(B10-1)/SQRT(B10)*SQRT(C10^2/(B10-2+C10^2))</f>
        <v/>
      </c>
      <c r="E10" s="11">
        <f>(B10-1)/SQRT(B10)</f>
        <v/>
      </c>
      <c r="F10" s="11">
        <f>E10-D10</f>
        <v/>
      </c>
    </row>
    <row r="11">
      <c r="B11" s="5" t="n">
        <v>6</v>
      </c>
      <c r="C11" s="11">
        <f>_xlfn.T.INV(1-$C$4/(2*B11),B11-2)</f>
        <v/>
      </c>
      <c r="D11" s="11">
        <f>(B11-1)/SQRT(B11)*SQRT(C11^2/(B11-2+C11^2))</f>
        <v/>
      </c>
      <c r="E11" s="11">
        <f>(B11-1)/SQRT(B11)</f>
        <v/>
      </c>
      <c r="F11" s="11">
        <f>E11-D11</f>
        <v/>
      </c>
      <c r="H11" s="2" t="inlineStr">
        <is>
          <t xml:space="preserve">看 n=3 這一列：G 最大也只能到 (n−1)/√n = 1.1547，而 G_crit </t>
        </is>
      </c>
    </row>
    <row r="12">
      <c r="B12" s="5" t="n">
        <v>8</v>
      </c>
      <c r="C12" s="11">
        <f>_xlfn.T.INV(1-$C$4/(2*B12),B12-2)</f>
        <v/>
      </c>
      <c r="D12" s="11">
        <f>(B12-1)/SQRT(B12)*SQRT(C12^2/(B12-2+C12^2))</f>
        <v/>
      </c>
      <c r="E12" s="11">
        <f>(B12-1)/SQRT(B12)</f>
        <v/>
      </c>
      <c r="F12" s="11">
        <f>E12-D12</f>
        <v/>
      </c>
      <c r="H12" s="2" t="inlineStr">
        <is>
          <t>≈ 1.1543，只差 0.0004。所以只有 3 個重複值時，Grubbs 實質上永遠判不</t>
        </is>
      </c>
    </row>
    <row r="13">
      <c r="B13" s="5" t="n">
        <v>10</v>
      </c>
      <c r="C13" s="11">
        <f>_xlfn.T.INV(1-$C$4/(2*B13),B13-2)</f>
        <v/>
      </c>
      <c r="D13" s="11">
        <f>(B13-1)/SQRT(B13)*SQRT(C13^2/(B13-2+C13^2))</f>
        <v/>
      </c>
      <c r="E13" s="11">
        <f>(B13-1)/SQRT(B13)</f>
        <v/>
      </c>
      <c r="F13" s="11">
        <f>E13-D13</f>
        <v/>
      </c>
      <c r="H13" s="2" t="inlineStr">
        <is>
          <t>出離群值。</t>
        </is>
      </c>
    </row>
    <row r="16">
      <c r="B16" s="3" t="inlineStr">
        <is>
          <t>2-2 組內層級（n=3）：某一組某一項的重複值</t>
        </is>
      </c>
    </row>
    <row r="17">
      <c r="B17" s="27" t="inlineStr">
        <is>
          <t>組別</t>
        </is>
      </c>
      <c r="C17" s="5" t="inlineStr">
        <is>
          <t>G3</t>
        </is>
      </c>
      <c r="H17" s="2" t="inlineStr">
        <is>
          <t>黃色格子可改：換別組或別的項目（moisture / ash / fat）。</t>
        </is>
      </c>
    </row>
    <row r="18">
      <c r="B18" s="27" t="inlineStr">
        <is>
          <t>項目代號</t>
        </is>
      </c>
      <c r="C18" s="5" t="inlineStr">
        <is>
          <t>moisture</t>
        </is>
      </c>
    </row>
    <row r="20">
      <c r="B20" s="9" t="inlineStr">
        <is>
          <t>重複 rep</t>
        </is>
      </c>
      <c r="C20" s="9" t="inlineStr">
        <is>
          <t>數值 (%)</t>
        </is>
      </c>
      <c r="D20" s="9" t="inlineStr">
        <is>
          <t>|x − 平均|</t>
        </is>
      </c>
    </row>
    <row r="21">
      <c r="B21" s="28" t="n">
        <v>1</v>
      </c>
      <c r="C21" s="29">
        <f>IF(COUNTIFS('1_原始數據'!$A$2:$A$1000,$C$17,'1_原始數據'!$C$2:$C$1000,$C$18,'1_原始數據'!$D$2:$D$1000,B21)=0,"",SUMIFS('1_原始數據'!$E$2:$E$1000,'1_原始數據'!$A$2:$A$1000,$C$17,'1_原始數據'!$C$2:$C$1000,$C$18,'1_原始數據'!$D$2:$D$1000,B21))</f>
        <v/>
      </c>
      <c r="D21" s="11">
        <f>IF(C21="","",ABS(C21-$C$29))</f>
        <v/>
      </c>
    </row>
    <row r="22">
      <c r="B22" s="28" t="n">
        <v>2</v>
      </c>
      <c r="C22" s="29">
        <f>IF(COUNTIFS('1_原始數據'!$A$2:$A$1000,$C$17,'1_原始數據'!$C$2:$C$1000,$C$18,'1_原始數據'!$D$2:$D$1000,B22)=0,"",SUMIFS('1_原始數據'!$E$2:$E$1000,'1_原始數據'!$A$2:$A$1000,$C$17,'1_原始數據'!$C$2:$C$1000,$C$18,'1_原始數據'!$D$2:$D$1000,B22))</f>
        <v/>
      </c>
      <c r="D22" s="11">
        <f>IF(C22="","",ABS(C22-$C$29))</f>
        <v/>
      </c>
    </row>
    <row r="23">
      <c r="B23" s="28" t="n">
        <v>3</v>
      </c>
      <c r="C23" s="29">
        <f>IF(COUNTIFS('1_原始數據'!$A$2:$A$1000,$C$17,'1_原始數據'!$C$2:$C$1000,$C$18,'1_原始數據'!$D$2:$D$1000,B23)=0,"",SUMIFS('1_原始數據'!$E$2:$E$1000,'1_原始數據'!$A$2:$A$1000,$C$17,'1_原始數據'!$C$2:$C$1000,$C$18,'1_原始數據'!$D$2:$D$1000,B23))</f>
        <v/>
      </c>
      <c r="D23" s="11">
        <f>IF(C23="","",ABS(C23-$C$29))</f>
        <v/>
      </c>
    </row>
    <row r="24">
      <c r="B24" s="28" t="n">
        <v>4</v>
      </c>
      <c r="C24" s="29">
        <f>IF(COUNTIFS('1_原始數據'!$A$2:$A$1000,$C$17,'1_原始數據'!$C$2:$C$1000,$C$18,'1_原始數據'!$D$2:$D$1000,B24)=0,"",SUMIFS('1_原始數據'!$E$2:$E$1000,'1_原始數據'!$A$2:$A$1000,$C$17,'1_原始數據'!$C$2:$C$1000,$C$18,'1_原始數據'!$D$2:$D$1000,B24))</f>
        <v/>
      </c>
      <c r="D24" s="11">
        <f>IF(C24="","",ABS(C24-$C$29))</f>
        <v/>
      </c>
    </row>
    <row r="25">
      <c r="B25" s="28" t="n">
        <v>5</v>
      </c>
      <c r="C25" s="29">
        <f>IF(COUNTIFS('1_原始數據'!$A$2:$A$1000,$C$17,'1_原始數據'!$C$2:$C$1000,$C$18,'1_原始數據'!$D$2:$D$1000,B25)=0,"",SUMIFS('1_原始數據'!$E$2:$E$1000,'1_原始數據'!$A$2:$A$1000,$C$17,'1_原始數據'!$C$2:$C$1000,$C$18,'1_原始數據'!$D$2:$D$1000,B25))</f>
        <v/>
      </c>
      <c r="D25" s="11">
        <f>IF(C25="","",ABS(C25-$C$29))</f>
        <v/>
      </c>
    </row>
    <row r="26">
      <c r="B26" s="28" t="n">
        <v>6</v>
      </c>
      <c r="C26" s="29">
        <f>IF(COUNTIFS('1_原始數據'!$A$2:$A$1000,$C$17,'1_原始數據'!$C$2:$C$1000,$C$18,'1_原始數據'!$D$2:$D$1000,B26)=0,"",SUMIFS('1_原始數據'!$E$2:$E$1000,'1_原始數據'!$A$2:$A$1000,$C$17,'1_原始數據'!$C$2:$C$1000,$C$18,'1_原始數據'!$D$2:$D$1000,B26))</f>
        <v/>
      </c>
      <c r="D26" s="11">
        <f>IF(C26="","",ABS(C26-$C$29))</f>
        <v/>
      </c>
    </row>
    <row r="28">
      <c r="B28" s="27" t="inlineStr">
        <is>
          <t>n</t>
        </is>
      </c>
      <c r="C28" s="23">
        <f>COUNT(C21:C26)</f>
        <v/>
      </c>
      <c r="H28" s="2" t="inlineStr">
        <is>
          <t>最大 |x − 平均| 用 MAX 找出離平均最遠的那一點。G = 最大偏離 ÷ SD。</t>
        </is>
      </c>
    </row>
    <row r="29">
      <c r="B29" s="27" t="inlineStr">
        <is>
          <t>平均</t>
        </is>
      </c>
      <c r="C29" s="11">
        <f>AVERAGE(C21:C26)</f>
        <v/>
      </c>
    </row>
    <row r="30">
      <c r="B30" s="27" t="inlineStr">
        <is>
          <t>SD</t>
        </is>
      </c>
      <c r="C30" s="11">
        <f>_xlfn.STDEV.S(C21:C26)</f>
        <v/>
      </c>
    </row>
    <row r="31">
      <c r="B31" s="27" t="inlineStr">
        <is>
          <t>最大 |x − 平均|</t>
        </is>
      </c>
      <c r="C31" s="11">
        <f>MAX(D21:D26)</f>
        <v/>
      </c>
    </row>
    <row r="32">
      <c r="B32" s="27" t="inlineStr">
        <is>
          <t>G</t>
        </is>
      </c>
      <c r="C32" s="22">
        <f>C31/C30</f>
        <v/>
      </c>
      <c r="H32" s="2" t="inlineStr">
        <is>
          <t xml:space="preserve">G3 水分：3.30% 用眼睛看很像離群值，但 G = 1.1526 &lt; G_crit = </t>
        </is>
      </c>
    </row>
    <row r="33">
      <c r="B33" s="27" t="inlineStr">
        <is>
          <t>G_crit（依 n 計算）</t>
        </is>
      </c>
      <c r="C33" s="11">
        <f>(C28-1)/SQRT(C28)*SQRT(_xlfn.T.INV(1-$C$4/(2*C28),C28-2)^2/(C28-2+_xlfn.T.INV(1-$C$4/(2*C28),C28-2)^2))</f>
        <v/>
      </c>
      <c r="H33" s="2" t="inlineStr">
        <is>
          <t>1.1543，統計上判不出來——n=3 太少了。</t>
        </is>
      </c>
    </row>
    <row r="34">
      <c r="B34" s="27" t="inlineStr">
        <is>
          <t>理論上界 (n−1)/√n</t>
        </is>
      </c>
      <c r="C34" s="11">
        <f>(C28-1)/SQRT(C28)</f>
        <v/>
      </c>
    </row>
    <row r="35">
      <c r="B35" s="27" t="inlineStr">
        <is>
          <t>判定</t>
        </is>
      </c>
      <c r="C35" s="30">
        <f>IF(C32&gt;C33,"G &gt; G_crit：判定為離群值","G ≤ G_crit：統計上測不出來，不能判定為離群值")</f>
        <v/>
      </c>
      <c r="D35" s="31" t="n"/>
      <c r="E35" s="31" t="n"/>
      <c r="F35" s="32" t="n"/>
    </row>
    <row r="38">
      <c r="B38" s="3" t="inlineStr">
        <is>
          <t>2-3 班級層級（n=5）：5 組的結果互相比</t>
        </is>
      </c>
    </row>
    <row r="39">
      <c r="B39" s="27" t="inlineStr">
        <is>
          <t>項目代號</t>
        </is>
      </c>
      <c r="C39" s="5" t="inlineStr">
        <is>
          <t>protein</t>
        </is>
      </c>
      <c r="H39" s="2" t="inlineStr">
        <is>
          <t>數值直接取自「2_組成表」各組結果（蛋白質是單次測定值）。可改成其他項目。</t>
        </is>
      </c>
    </row>
    <row r="41">
      <c r="B41" s="9" t="inlineStr">
        <is>
          <t>組別</t>
        </is>
      </c>
      <c r="C41" s="9" t="inlineStr">
        <is>
          <t>數值 (%)</t>
        </is>
      </c>
      <c r="D41" s="9" t="inlineStr">
        <is>
          <t>|x − 平均|</t>
        </is>
      </c>
      <c r="E41" s="9" t="inlineStr">
        <is>
          <t>G</t>
        </is>
      </c>
    </row>
    <row r="42">
      <c r="B42" s="13">
        <f>'2_組成表'!A6</f>
        <v/>
      </c>
      <c r="C42" s="29">
        <f>INDEX('2_組成表'!$B$6:$F$10,1,MATCH($C$39,'2_組成表'!$B$4:$F$4,0))</f>
        <v/>
      </c>
      <c r="D42" s="11">
        <f>ABS(C42-$C$49)</f>
        <v/>
      </c>
      <c r="E42" s="11">
        <f>D42/$C$50</f>
        <v/>
      </c>
    </row>
    <row r="43">
      <c r="B43" s="13">
        <f>'2_組成表'!A7</f>
        <v/>
      </c>
      <c r="C43" s="29">
        <f>INDEX('2_組成表'!$B$6:$F$10,2,MATCH($C$39,'2_組成表'!$B$4:$F$4,0))</f>
        <v/>
      </c>
      <c r="D43" s="11">
        <f>ABS(C43-$C$49)</f>
        <v/>
      </c>
      <c r="E43" s="11">
        <f>D43/$C$50</f>
        <v/>
      </c>
    </row>
    <row r="44">
      <c r="B44" s="13">
        <f>'2_組成表'!A8</f>
        <v/>
      </c>
      <c r="C44" s="29">
        <f>INDEX('2_組成表'!$B$6:$F$10,3,MATCH($C$39,'2_組成表'!$B$4:$F$4,0))</f>
        <v/>
      </c>
      <c r="D44" s="11">
        <f>ABS(C44-$C$49)</f>
        <v/>
      </c>
      <c r="E44" s="11">
        <f>D44/$C$50</f>
        <v/>
      </c>
    </row>
    <row r="45">
      <c r="B45" s="13">
        <f>'2_組成表'!A9</f>
        <v/>
      </c>
      <c r="C45" s="29">
        <f>INDEX('2_組成表'!$B$6:$F$10,4,MATCH($C$39,'2_組成表'!$B$4:$F$4,0))</f>
        <v/>
      </c>
      <c r="D45" s="11">
        <f>ABS(C45-$C$49)</f>
        <v/>
      </c>
      <c r="E45" s="11">
        <f>D45/$C$50</f>
        <v/>
      </c>
    </row>
    <row r="46">
      <c r="B46" s="13">
        <f>'2_組成表'!A10</f>
        <v/>
      </c>
      <c r="C46" s="29">
        <f>INDEX('2_組成表'!$B$6:$F$10,5,MATCH($C$39,'2_組成表'!$B$4:$F$4,0))</f>
        <v/>
      </c>
      <c r="D46" s="11">
        <f>ABS(C46-$C$49)</f>
        <v/>
      </c>
      <c r="E46" s="11">
        <f>D46/$C$50</f>
        <v/>
      </c>
    </row>
    <row r="48">
      <c r="B48" s="27" t="inlineStr">
        <is>
          <t>n</t>
        </is>
      </c>
      <c r="C48" s="23">
        <f>COUNT(C42:C46)</f>
        <v/>
      </c>
    </row>
    <row r="49">
      <c r="B49" s="27" t="inlineStr">
        <is>
          <t>平均</t>
        </is>
      </c>
      <c r="C49" s="11">
        <f>AVERAGE(C42:C46)</f>
        <v/>
      </c>
    </row>
    <row r="50">
      <c r="B50" s="27" t="inlineStr">
        <is>
          <t>SD</t>
        </is>
      </c>
      <c r="C50" s="11">
        <f>_xlfn.STDEV.S(C42:C46)</f>
        <v/>
      </c>
    </row>
    <row r="51">
      <c r="B51" s="27" t="inlineStr">
        <is>
          <t>最大 G</t>
        </is>
      </c>
      <c r="C51" s="22">
        <f>MAX(E42:E46)</f>
        <v/>
      </c>
      <c r="H51" s="2" t="inlineStr">
        <is>
          <t>MAX 找出最大的 G；INDEX(組別, MATCH(最大值, G 欄, 0)) 回傳「最</t>
        </is>
      </c>
    </row>
    <row r="52">
      <c r="B52" s="27" t="inlineStr">
        <is>
          <t>最大 G 的組別</t>
        </is>
      </c>
      <c r="C52" s="30">
        <f>INDEX(B42:B46,MATCH(C51,E42:E46,0))</f>
        <v/>
      </c>
      <c r="H52" s="2" t="inlineStr">
        <is>
          <t>大 G 在第幾列」對應的組別名稱。</t>
        </is>
      </c>
    </row>
    <row r="53">
      <c r="B53" s="27" t="inlineStr">
        <is>
          <t>G_crit（依 n 計算）</t>
        </is>
      </c>
      <c r="C53" s="11">
        <f>(C48-1)/SQRT(C48)*SQRT(_xlfn.T.INV(1-$C$4/(2*C48),C48-2)^2/(C48-2+_xlfn.T.INV(1-$C$4/(2*C48),C48-2)^2))</f>
        <v/>
      </c>
    </row>
    <row r="54">
      <c r="B54" s="27" t="inlineStr">
        <is>
          <t>判定</t>
        </is>
      </c>
      <c r="C54" s="30">
        <f>IF(C51&gt;C53,C52&amp;" 的 G &gt; G_crit：判定為離群值","最大 G ≤ G_crit：沒有離群值")</f>
        <v/>
      </c>
      <c r="D54" s="31" t="n"/>
      <c r="E54" s="31" t="n"/>
      <c r="F54" s="32" t="n"/>
      <c r="H54" s="2" t="inlineStr">
        <is>
          <t>G4 蛋白質 G = 1.7751 &gt; G_crit(n=5) = 1.7150 → 判定離</t>
        </is>
      </c>
    </row>
    <row r="55">
      <c r="H55" s="2" t="inlineStr">
        <is>
          <t>群。n=5 時才有足夠的檢定力；下一步看「5_z分數」，同一組也會被 z-score 抓到。</t>
        </is>
      </c>
    </row>
    <row r="58" ht="32" customHeight="1">
      <c r="B58" s="18" t="inlineStr">
        <is>
          <t>Grubbs 只檢查「最極端的那一點」。一次只能剔除一個；剔除後要重新計算平均與 SD 再檢定。不能只因為數字「看起來怪」就刪掉——要有統計依據，也要回頭找實驗原因。</t>
        </is>
      </c>
    </row>
  </sheetData>
  <mergeCells count="4">
    <mergeCell ref="C35:F35"/>
    <mergeCell ref="C54:F54"/>
    <mergeCell ref="B2:H2"/>
    <mergeCell ref="B58:H58"/>
  </mergeCells>
  <dataValidations count="2">
    <dataValidation sqref="C18" showDropDown="0" showInputMessage="0" showErrorMessage="0" allowBlank="0" type="list">
      <formula1>"moisture,ash,fat"</formula1>
    </dataValidation>
    <dataValidation sqref="C39" showDropDown="0" showInputMessage="0" showErrorMessage="0" allowBlank="0" type="list">
      <formula1>"moisture,ash,protein,fat,carbohydrate"</formula1>
    </dataValidation>
  </dataValidation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tabColor rgb="004E8F5A"/>
    <outlinePr summaryBelow="1" summaryRight="1"/>
    <pageSetUpPr fitToPage="1"/>
  </sheetPr>
  <dimension ref="B1:Q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3" customWidth="1" min="9" max="9"/>
    <col width="8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3" customWidth="1" min="16" max="16"/>
    <col width="60" customWidth="1" min="17" max="17"/>
  </cols>
  <sheetData>
    <row r="1">
      <c r="B1" s="1" t="inlineStr">
        <is>
          <t>步驟 3　一元 ANOVA：組間差異與重複性 s_r／再現性 s_R（以灰分為例）</t>
        </is>
      </c>
    </row>
    <row r="2" ht="32" customHeight="1">
      <c r="B2" s="18" t="inlineStr">
        <is>
          <t>把總變異拆成「組內」（同一組重複測定的隨機誤差）與「組間」（各組平均的差異）。F = MS組間 ÷ MS組內；F 很大、p &lt; 0.05 代表組間差異不能只用隨機誤差解釋。</t>
        </is>
      </c>
    </row>
    <row r="4">
      <c r="B4" s="27" t="inlineStr">
        <is>
          <t>項目代號</t>
        </is>
      </c>
      <c r="C4" s="5" t="inlineStr">
        <is>
          <t>ash</t>
        </is>
      </c>
    </row>
    <row r="5">
      <c r="B5" s="27" t="inlineStr">
        <is>
          <t>α</t>
        </is>
      </c>
      <c r="C5" s="5" t="n">
        <v>0.05</v>
      </c>
    </row>
    <row r="6">
      <c r="J6" s="3" t="inlineStr">
        <is>
          <t>給「資料分析工具箱」用的排列（自動）</t>
        </is>
      </c>
    </row>
    <row r="7" ht="32" customHeight="1">
      <c r="B7" s="9" t="inlineStr">
        <is>
          <t>組別</t>
        </is>
      </c>
      <c r="C7" s="9" t="inlineStr">
        <is>
          <t>n</t>
        </is>
      </c>
      <c r="D7" s="9" t="inlineStr">
        <is>
          <t>平均 (%)</t>
        </is>
      </c>
      <c r="E7" s="9" t="inlineStr">
        <is>
          <t>SD (%)</t>
        </is>
      </c>
      <c r="F7" s="9" t="inlineStr">
        <is>
          <t>組內平方和
(n−1)·SD²</t>
        </is>
      </c>
      <c r="G7" s="9" t="inlineStr">
        <is>
          <t>組間平方和
n·(平均−總平均)²</t>
        </is>
      </c>
      <c r="J7" s="9" t="inlineStr">
        <is>
          <t>rep</t>
        </is>
      </c>
      <c r="K7" s="33">
        <f>B8</f>
        <v/>
      </c>
      <c r="L7" s="33">
        <f>B9</f>
        <v/>
      </c>
      <c r="M7" s="33">
        <f>B10</f>
        <v/>
      </c>
      <c r="N7" s="33">
        <f>B11</f>
        <v/>
      </c>
      <c r="O7" s="33">
        <f>B12</f>
        <v/>
      </c>
    </row>
    <row r="8">
      <c r="B8" s="13">
        <f>'2_組成表'!A6</f>
        <v/>
      </c>
      <c r="C8" s="23">
        <f>COUNTIFS('1_原始數據'!$A$2:$A$1000,B8,'1_原始數據'!$C$2:$C$1000,$C$4)</f>
        <v/>
      </c>
      <c r="D8" s="11">
        <f>AVERAGEIFS('1_原始數據'!$E$2:$E$1000,'1_原始數據'!$A$2:$A$1000,B8,'1_原始數據'!$C$2:$C$1000,$C$4)</f>
        <v/>
      </c>
      <c r="E8" s="11">
        <f t="array" ref="E8">_xlfn.STDEV.S(IF(('1_原始數據'!$A$2:$A$1000=B8)*('1_原始數據'!$C$2:$C$1000=$C$4),'1_原始數據'!$E$2:$E$1000))</f>
        <v/>
      </c>
      <c r="F8" s="14">
        <f>(C8-1)*E8^2</f>
        <v/>
      </c>
      <c r="G8" s="14">
        <f>C8*(D8-$D$14)^2</f>
        <v/>
      </c>
      <c r="J8" s="28" t="n">
        <v>1</v>
      </c>
      <c r="K8" s="29">
        <f>IF(COUNTIFS('1_原始數據'!$A$2:$A$1000,K$7,'1_原始數據'!$C$2:$C$1000,$C$4,'1_原始數據'!$D$2:$D$1000,$J8)=0,"",SUMIFS('1_原始數據'!$E$2:$E$1000,'1_原始數據'!$A$2:$A$1000,K$7,'1_原始數據'!$C$2:$C$1000,$C$4,'1_原始數據'!$D$2:$D$1000,$J8))</f>
        <v/>
      </c>
      <c r="L8" s="29">
        <f>IF(COUNTIFS('1_原始數據'!$A$2:$A$1000,L$7,'1_原始數據'!$C$2:$C$1000,$C$4,'1_原始數據'!$D$2:$D$1000,$J8)=0,"",SUMIFS('1_原始數據'!$E$2:$E$1000,'1_原始數據'!$A$2:$A$1000,L$7,'1_原始數據'!$C$2:$C$1000,$C$4,'1_原始數據'!$D$2:$D$1000,$J8))</f>
        <v/>
      </c>
      <c r="M8" s="29">
        <f>IF(COUNTIFS('1_原始數據'!$A$2:$A$1000,M$7,'1_原始數據'!$C$2:$C$1000,$C$4,'1_原始數據'!$D$2:$D$1000,$J8)=0,"",SUMIFS('1_原始數據'!$E$2:$E$1000,'1_原始數據'!$A$2:$A$1000,M$7,'1_原始數據'!$C$2:$C$1000,$C$4,'1_原始數據'!$D$2:$D$1000,$J8))</f>
        <v/>
      </c>
      <c r="N8" s="29">
        <f>IF(COUNTIFS('1_原始數據'!$A$2:$A$1000,N$7,'1_原始數據'!$C$2:$C$1000,$C$4,'1_原始數據'!$D$2:$D$1000,$J8)=0,"",SUMIFS('1_原始數據'!$E$2:$E$1000,'1_原始數據'!$A$2:$A$1000,N$7,'1_原始數據'!$C$2:$C$1000,$C$4,'1_原始數據'!$D$2:$D$1000,$J8))</f>
        <v/>
      </c>
      <c r="O8" s="29">
        <f>IF(COUNTIFS('1_原始數據'!$A$2:$A$1000,O$7,'1_原始數據'!$C$2:$C$1000,$C$4,'1_原始數據'!$D$2:$D$1000,$J8)=0,"",SUMIFS('1_原始數據'!$E$2:$E$1000,'1_原始數據'!$A$2:$A$1000,O$7,'1_原始數據'!$C$2:$C$1000,$C$4,'1_原始數據'!$D$2:$D$1000,$J8))</f>
        <v/>
      </c>
    </row>
    <row r="9">
      <c r="B9" s="13">
        <f>'2_組成表'!A7</f>
        <v/>
      </c>
      <c r="C9" s="23">
        <f>COUNTIFS('1_原始數據'!$A$2:$A$1000,B9,'1_原始數據'!$C$2:$C$1000,$C$4)</f>
        <v/>
      </c>
      <c r="D9" s="11">
        <f>AVERAGEIFS('1_原始數據'!$E$2:$E$1000,'1_原始數據'!$A$2:$A$1000,B9,'1_原始數據'!$C$2:$C$1000,$C$4)</f>
        <v/>
      </c>
      <c r="E9" s="11">
        <f t="array" ref="E9">_xlfn.STDEV.S(IF(('1_原始數據'!$A$2:$A$1000=B9)*('1_原始數據'!$C$2:$C$1000=$C$4),'1_原始數據'!$E$2:$E$1000))</f>
        <v/>
      </c>
      <c r="F9" s="14">
        <f>(C9-1)*E9^2</f>
        <v/>
      </c>
      <c r="G9" s="14">
        <f>C9*(D9-$D$14)^2</f>
        <v/>
      </c>
      <c r="J9" s="28" t="n">
        <v>2</v>
      </c>
      <c r="K9" s="29">
        <f>IF(COUNTIFS('1_原始數據'!$A$2:$A$1000,K$7,'1_原始數據'!$C$2:$C$1000,$C$4,'1_原始數據'!$D$2:$D$1000,$J9)=0,"",SUMIFS('1_原始數據'!$E$2:$E$1000,'1_原始數據'!$A$2:$A$1000,K$7,'1_原始數據'!$C$2:$C$1000,$C$4,'1_原始數據'!$D$2:$D$1000,$J9))</f>
        <v/>
      </c>
      <c r="L9" s="29">
        <f>IF(COUNTIFS('1_原始數據'!$A$2:$A$1000,L$7,'1_原始數據'!$C$2:$C$1000,$C$4,'1_原始數據'!$D$2:$D$1000,$J9)=0,"",SUMIFS('1_原始數據'!$E$2:$E$1000,'1_原始數據'!$A$2:$A$1000,L$7,'1_原始數據'!$C$2:$C$1000,$C$4,'1_原始數據'!$D$2:$D$1000,$J9))</f>
        <v/>
      </c>
      <c r="M9" s="29">
        <f>IF(COUNTIFS('1_原始數據'!$A$2:$A$1000,M$7,'1_原始數據'!$C$2:$C$1000,$C$4,'1_原始數據'!$D$2:$D$1000,$J9)=0,"",SUMIFS('1_原始數據'!$E$2:$E$1000,'1_原始數據'!$A$2:$A$1000,M$7,'1_原始數據'!$C$2:$C$1000,$C$4,'1_原始數據'!$D$2:$D$1000,$J9))</f>
        <v/>
      </c>
      <c r="N9" s="29">
        <f>IF(COUNTIFS('1_原始數據'!$A$2:$A$1000,N$7,'1_原始數據'!$C$2:$C$1000,$C$4,'1_原始數據'!$D$2:$D$1000,$J9)=0,"",SUMIFS('1_原始數據'!$E$2:$E$1000,'1_原始數據'!$A$2:$A$1000,N$7,'1_原始數據'!$C$2:$C$1000,$C$4,'1_原始數據'!$D$2:$D$1000,$J9))</f>
        <v/>
      </c>
      <c r="O9" s="29">
        <f>IF(COUNTIFS('1_原始數據'!$A$2:$A$1000,O$7,'1_原始數據'!$C$2:$C$1000,$C$4,'1_原始數據'!$D$2:$D$1000,$J9)=0,"",SUMIFS('1_原始數據'!$E$2:$E$1000,'1_原始數據'!$A$2:$A$1000,O$7,'1_原始數據'!$C$2:$C$1000,$C$4,'1_原始數據'!$D$2:$D$1000,$J9))</f>
        <v/>
      </c>
    </row>
    <row r="10">
      <c r="B10" s="13">
        <f>'2_組成表'!A8</f>
        <v/>
      </c>
      <c r="C10" s="23">
        <f>COUNTIFS('1_原始數據'!$A$2:$A$1000,B10,'1_原始數據'!$C$2:$C$1000,$C$4)</f>
        <v/>
      </c>
      <c r="D10" s="11">
        <f>AVERAGEIFS('1_原始數據'!$E$2:$E$1000,'1_原始數據'!$A$2:$A$1000,B10,'1_原始數據'!$C$2:$C$1000,$C$4)</f>
        <v/>
      </c>
      <c r="E10" s="11">
        <f t="array" ref="E10">_xlfn.STDEV.S(IF(('1_原始數據'!$A$2:$A$1000=B10)*('1_原始數據'!$C$2:$C$1000=$C$4),'1_原始數據'!$E$2:$E$1000))</f>
        <v/>
      </c>
      <c r="F10" s="14">
        <f>(C10-1)*E10^2</f>
        <v/>
      </c>
      <c r="G10" s="14">
        <f>C10*(D10-$D$14)^2</f>
        <v/>
      </c>
      <c r="J10" s="28" t="n">
        <v>3</v>
      </c>
      <c r="K10" s="29">
        <f>IF(COUNTIFS('1_原始數據'!$A$2:$A$1000,K$7,'1_原始數據'!$C$2:$C$1000,$C$4,'1_原始數據'!$D$2:$D$1000,$J10)=0,"",SUMIFS('1_原始數據'!$E$2:$E$1000,'1_原始數據'!$A$2:$A$1000,K$7,'1_原始數據'!$C$2:$C$1000,$C$4,'1_原始數據'!$D$2:$D$1000,$J10))</f>
        <v/>
      </c>
      <c r="L10" s="29">
        <f>IF(COUNTIFS('1_原始數據'!$A$2:$A$1000,L$7,'1_原始數據'!$C$2:$C$1000,$C$4,'1_原始數據'!$D$2:$D$1000,$J10)=0,"",SUMIFS('1_原始數據'!$E$2:$E$1000,'1_原始數據'!$A$2:$A$1000,L$7,'1_原始數據'!$C$2:$C$1000,$C$4,'1_原始數據'!$D$2:$D$1000,$J10))</f>
        <v/>
      </c>
      <c r="M10" s="29">
        <f>IF(COUNTIFS('1_原始數據'!$A$2:$A$1000,M$7,'1_原始數據'!$C$2:$C$1000,$C$4,'1_原始數據'!$D$2:$D$1000,$J10)=0,"",SUMIFS('1_原始數據'!$E$2:$E$1000,'1_原始數據'!$A$2:$A$1000,M$7,'1_原始數據'!$C$2:$C$1000,$C$4,'1_原始數據'!$D$2:$D$1000,$J10))</f>
        <v/>
      </c>
      <c r="N10" s="29">
        <f>IF(COUNTIFS('1_原始數據'!$A$2:$A$1000,N$7,'1_原始數據'!$C$2:$C$1000,$C$4,'1_原始數據'!$D$2:$D$1000,$J10)=0,"",SUMIFS('1_原始數據'!$E$2:$E$1000,'1_原始數據'!$A$2:$A$1000,N$7,'1_原始數據'!$C$2:$C$1000,$C$4,'1_原始數據'!$D$2:$D$1000,$J10))</f>
        <v/>
      </c>
      <c r="O10" s="29">
        <f>IF(COUNTIFS('1_原始數據'!$A$2:$A$1000,O$7,'1_原始數據'!$C$2:$C$1000,$C$4,'1_原始數據'!$D$2:$D$1000,$J10)=0,"",SUMIFS('1_原始數據'!$E$2:$E$1000,'1_原始數據'!$A$2:$A$1000,O$7,'1_原始數據'!$C$2:$C$1000,$C$4,'1_原始數據'!$D$2:$D$1000,$J10))</f>
        <v/>
      </c>
    </row>
    <row r="11">
      <c r="B11" s="13">
        <f>'2_組成表'!A9</f>
        <v/>
      </c>
      <c r="C11" s="23">
        <f>COUNTIFS('1_原始數據'!$A$2:$A$1000,B11,'1_原始數據'!$C$2:$C$1000,$C$4)</f>
        <v/>
      </c>
      <c r="D11" s="11">
        <f>AVERAGEIFS('1_原始數據'!$E$2:$E$1000,'1_原始數據'!$A$2:$A$1000,B11,'1_原始數據'!$C$2:$C$1000,$C$4)</f>
        <v/>
      </c>
      <c r="E11" s="11">
        <f t="array" ref="E11">_xlfn.STDEV.S(IF(('1_原始數據'!$A$2:$A$1000=B11)*('1_原始數據'!$C$2:$C$1000=$C$4),'1_原始數據'!$E$2:$E$1000))</f>
        <v/>
      </c>
      <c r="F11" s="14">
        <f>(C11-1)*E11^2</f>
        <v/>
      </c>
      <c r="G11" s="14">
        <f>C11*(D11-$D$14)^2</f>
        <v/>
      </c>
    </row>
    <row r="12" ht="20" customHeight="1">
      <c r="B12" s="13">
        <f>'2_組成表'!A10</f>
        <v/>
      </c>
      <c r="C12" s="23">
        <f>COUNTIFS('1_原始數據'!$A$2:$A$1000,B12,'1_原始數據'!$C$2:$C$1000,$C$4)</f>
        <v/>
      </c>
      <c r="D12" s="11">
        <f>AVERAGEIFS('1_原始數據'!$E$2:$E$1000,'1_原始數據'!$A$2:$A$1000,B12,'1_原始數據'!$C$2:$C$1000,$C$4)</f>
        <v/>
      </c>
      <c r="E12" s="11">
        <f t="array" ref="E12">_xlfn.STDEV.S(IF(('1_原始數據'!$A$2:$A$1000=B12)*('1_原始數據'!$C$2:$C$1000=$C$4),'1_原始數據'!$E$2:$E$1000))</f>
        <v/>
      </c>
      <c r="F12" s="14">
        <f>(C12-1)*E12^2</f>
        <v/>
      </c>
      <c r="G12" s="14">
        <f>C12*(D12-$D$14)^2</f>
        <v/>
      </c>
      <c r="J12" s="18" t="inlineStr">
        <is>
          <t>對答案用：Excel「資料 → 資料分析 → 單因子變異數分析（Anova: Single Factor）」，輸入範圍選 K7:O10、分組方式選「逐欄」、勾「類別軸標記是在第一列上」、α = 0.05。工具箱算出的 F、P-值、F 臨界值應該和左邊 ANOVA 表相同。（工具箱結果是靜態數字，數據改了不會自動更新，所以本檔用公式。Mac 版要先到「工具 → Excel 增益集」勾選「分析工具箱」。）</t>
        </is>
      </c>
    </row>
    <row r="13">
      <c r="B13" s="24" t="inlineStr">
        <is>
          <t>合計</t>
        </is>
      </c>
      <c r="C13" s="23">
        <f>SUM(C8:C12)</f>
        <v/>
      </c>
      <c r="F13" s="34">
        <f>SUM(F8:F12)</f>
        <v/>
      </c>
      <c r="G13" s="34">
        <f>SUM(G8:G12)</f>
        <v/>
      </c>
    </row>
    <row r="14">
      <c r="B14" s="27" t="inlineStr">
        <is>
          <t>總平均 (grand mean)</t>
        </is>
      </c>
      <c r="D14" s="11">
        <f>SUMPRODUCT(C8:C12,D8:D12)/C13</f>
        <v/>
      </c>
    </row>
    <row r="15">
      <c r="B15" s="27" t="inlineStr">
        <is>
          <t>組數 k</t>
        </is>
      </c>
      <c r="C15" s="23">
        <f>COUNTIF(C8:C12,"&gt;0")</f>
        <v/>
      </c>
    </row>
    <row r="16">
      <c r="B16" s="27" t="inlineStr">
        <is>
          <t>每組重複數 n</t>
        </is>
      </c>
      <c r="C16" s="29">
        <f>C13/C15</f>
        <v/>
      </c>
    </row>
    <row r="17"/>
    <row r="18">
      <c r="B18" s="3" t="inlineStr">
        <is>
          <t>ANOVA 表</t>
        </is>
      </c>
    </row>
    <row r="19">
      <c r="B19" s="9" t="inlineStr">
        <is>
          <t>變異來源</t>
        </is>
      </c>
      <c r="C19" s="9" t="inlineStr">
        <is>
          <t>SS 平方和</t>
        </is>
      </c>
      <c r="D19" s="9" t="inlineStr">
        <is>
          <t>df 自由度</t>
        </is>
      </c>
      <c r="E19" s="9" t="inlineStr">
        <is>
          <t>MS 均方</t>
        </is>
      </c>
      <c r="F19" s="9" t="inlineStr">
        <is>
          <t>F</t>
        </is>
      </c>
      <c r="G19" s="9" t="inlineStr">
        <is>
          <t>p 值</t>
        </is>
      </c>
      <c r="H19" s="9" t="inlineStr">
        <is>
          <t>F 臨界值</t>
        </is>
      </c>
    </row>
    <row r="20">
      <c r="B20" s="27" t="inlineStr">
        <is>
          <t>組間 (between)</t>
        </is>
      </c>
      <c r="C20" s="14">
        <f>G13</f>
        <v/>
      </c>
      <c r="D20" s="23">
        <f>C15-1</f>
        <v/>
      </c>
      <c r="E20" s="14">
        <f>C20/D20</f>
        <v/>
      </c>
      <c r="F20" s="22">
        <f>E20/E21</f>
        <v/>
      </c>
      <c r="G20" s="35">
        <f>_xlfn.F.DIST.RT(F20,D20,D21)</f>
        <v/>
      </c>
      <c r="H20" s="11">
        <f>_xlfn.F.INV.RT($C$5,D20,D21)</f>
        <v/>
      </c>
    </row>
    <row r="21">
      <c r="B21" s="27" t="inlineStr">
        <is>
          <t>組內 (within)</t>
        </is>
      </c>
      <c r="C21" s="14">
        <f>F13</f>
        <v/>
      </c>
      <c r="D21" s="23">
        <f>C13-C15</f>
        <v/>
      </c>
      <c r="E21" s="14">
        <f>C21/D21</f>
        <v/>
      </c>
    </row>
    <row r="22">
      <c r="B22" s="27" t="inlineStr">
        <is>
          <t>總和 (total)</t>
        </is>
      </c>
      <c r="C22" s="14">
        <f>C20+C21</f>
        <v/>
      </c>
      <c r="D22" s="23">
        <f>C13-1</f>
        <v/>
      </c>
    </row>
    <row r="23">
      <c r="B23" s="27" t="inlineStr">
        <is>
          <t>結論</t>
        </is>
      </c>
      <c r="C23" s="30">
        <f>IF(G20&lt;$C$5,"p &lt; α：各組平均有顯著差異，組間有真實的系統性落差","p ≥ α：沒有足夠證據說各組平均不同")</f>
        <v/>
      </c>
      <c r="D23" s="31" t="n"/>
      <c r="E23" s="31" t="n"/>
      <c r="F23" s="31" t="n"/>
      <c r="G23" s="31" t="n"/>
      <c r="H23" s="32" t="n"/>
    </row>
    <row r="25">
      <c r="B25" s="3" t="inlineStr">
        <is>
          <t>重複性與再現性</t>
        </is>
      </c>
    </row>
    <row r="26">
      <c r="B26" s="27" t="inlineStr">
        <is>
          <t>s_r 重複性 = √MSW</t>
        </is>
      </c>
      <c r="C26" s="22">
        <f>SQRT(E21)</f>
        <v/>
      </c>
    </row>
    <row r="27">
      <c r="B27" s="27" t="inlineStr">
        <is>
          <t>s_L 組間 = √max(0, (MSB−MSW)/n)</t>
        </is>
      </c>
      <c r="C27" s="22">
        <f>SQRT(MAX(0,(E20-E21)/C16))</f>
        <v/>
      </c>
    </row>
    <row r="28">
      <c r="B28" s="27" t="inlineStr">
        <is>
          <t>s_R 再現性 = √(s_r² + s_L²)</t>
        </is>
      </c>
      <c r="C28" s="22">
        <f>SQRT(C26^2+C27^2)</f>
        <v/>
      </c>
    </row>
    <row r="30">
      <c r="B30" s="3" t="inlineStr">
        <is>
          <t>公式說明</t>
        </is>
      </c>
    </row>
    <row r="31" ht="15" customHeight="1">
      <c r="B31" s="26" t="inlineStr">
        <is>
          <t>組內平方和</t>
        </is>
      </c>
      <c r="C31" s="4" t="inlineStr">
        <is>
          <t>=(n−1)*SD^2　就是每一組「每個值減本組平均」的平方加總；SSW = 各組相加</t>
        </is>
      </c>
    </row>
    <row r="32" ht="15" customHeight="1">
      <c r="B32" s="26" t="inlineStr">
        <is>
          <t>組間平方和</t>
        </is>
      </c>
      <c r="C32" s="4" t="inlineStr">
        <is>
          <t>=n*(本組平均−總平均)^2　SSB = 各組相加</t>
        </is>
      </c>
    </row>
    <row r="33" ht="15" customHeight="1">
      <c r="B33" s="26" t="inlineStr">
        <is>
          <t>MS</t>
        </is>
      </c>
      <c r="C33" s="4" t="inlineStr">
        <is>
          <t>= SS ÷ df　組間 df = k−1，組內 df = N−k</t>
        </is>
      </c>
    </row>
    <row r="34" ht="15" customHeight="1">
      <c r="B34" s="26" t="inlineStr">
        <is>
          <t>F.DIST.RT</t>
        </is>
      </c>
      <c r="C34" s="4" t="inlineStr">
        <is>
          <t>=F.DIST.RT(F, df組間, df組內)　F 分布的右尾機率，就是 p 值</t>
        </is>
      </c>
    </row>
    <row r="35" ht="15" customHeight="1">
      <c r="B35" s="26" t="inlineStr">
        <is>
          <t>F.INV.RT</t>
        </is>
      </c>
      <c r="C35" s="4" t="inlineStr">
        <is>
          <t>=F.INV.RT(α, df組間, df組內)　F 臨界值；F 大於它就等於 p &lt; α</t>
        </is>
      </c>
    </row>
    <row r="36" ht="30" customHeight="1">
      <c r="B36" s="26" t="inlineStr">
        <is>
          <t>SD 陣列公式</t>
        </is>
      </c>
      <c r="C36" s="4" t="inlineStr">
        <is>
          <t>{=STDEV.S(IF(條件, 數值))}　只把符合條件的數字交給 STDEV.S；舊版 Excel 輸入時按 Ctrl+Shift+Enter</t>
        </is>
      </c>
    </row>
    <row r="37" ht="32" customHeight="1">
      <c r="B37" s="18" t="inlineStr">
        <is>
          <t>s_r 只看「同一組重複做」的變異；s_R 還加上「換一組人做」的變異。灰分 s_L &gt; s_r：組與組之間的差（秤重習慣、坩堝恆重判斷…）比組內重複的差更大，所以報告再現性要用 s_R。</t>
        </is>
      </c>
      <c r="J37" s="18" t="inlineStr">
        <is>
          <t>看圖：誤差線（±SD）是組內的重複性；點與點之間的上下落差是組間差異。落差明顯大於誤差線時，F 就會很大。</t>
        </is>
      </c>
    </row>
  </sheetData>
  <mergeCells count="11">
    <mergeCell ref="C33:H33"/>
    <mergeCell ref="C32:H32"/>
    <mergeCell ref="C36:H36"/>
    <mergeCell ref="C31:H31"/>
    <mergeCell ref="C23:H23"/>
    <mergeCell ref="C35:H35"/>
    <mergeCell ref="C34:H34"/>
    <mergeCell ref="B2:Q2"/>
    <mergeCell ref="B37:H37"/>
    <mergeCell ref="J37:Q37"/>
    <mergeCell ref="J12:O18"/>
  </mergeCells>
  <dataValidations count="1">
    <dataValidation sqref="C4" showDropDown="0" showInputMessage="0" showErrorMessage="0" allowBlank="0" type="list">
      <formula1>"moisture,ash,fat"</formula1>
    </dataValidation>
  </dataValidation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4E8F5A"/>
    <outlinePr summaryBelow="1" summaryRight="1"/>
    <pageSetUpPr fitToPage="1"/>
  </sheetPr>
  <dimension ref="B1:P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2" customWidth="1" min="3" max="3"/>
    <col width="12" customWidth="1" min="4" max="4"/>
    <col width="10" customWidth="1" min="5" max="5"/>
    <col width="26" customWidth="1" min="6" max="6"/>
    <col width="3" customWidth="1" min="7" max="7"/>
    <col width="10" customWidth="1" min="8" max="8"/>
    <col width="10" customWidth="1" min="9" max="9"/>
    <col width="10" customWidth="1" min="10" max="10"/>
    <col width="7" customWidth="1" min="11" max="11"/>
    <col width="7" customWidth="1" min="12" max="12"/>
    <col width="7" customWidth="1" min="13" max="13"/>
    <col width="7" customWidth="1" min="14" max="14"/>
    <col width="3" customWidth="1" min="15" max="15"/>
    <col width="60" customWidth="1" min="16" max="16"/>
  </cols>
  <sheetData>
    <row r="1">
      <c r="B1" s="1" t="inlineStr">
        <is>
          <t>步驟 4　z-score 與分級</t>
        </is>
      </c>
    </row>
    <row r="2" ht="32" customHeight="1">
      <c r="B2" s="18" t="inlineStr">
        <is>
          <t>z = (本組結果 − 指定值) ÷ σ_pt。指定值用全班中位數（穩健、不易被離群組拉走）；σ_pt 是事先訂好的目標標準差（本課固定 0.40%），不是用班上算出來的 SD。</t>
        </is>
      </c>
    </row>
    <row r="4">
      <c r="B4" s="27" t="inlineStr">
        <is>
          <t>項目代號</t>
        </is>
      </c>
      <c r="C4" s="5" t="inlineStr">
        <is>
          <t>protein</t>
        </is>
      </c>
      <c r="P4" s="2" t="inlineStr">
        <is>
          <t>黃色可改：項目代號（練習題 7 改成 fat）、σ_pt。</t>
        </is>
      </c>
    </row>
    <row r="5">
      <c r="B5" s="27" t="inlineStr">
        <is>
          <t>σ_pt（目標標準差, %）</t>
        </is>
      </c>
      <c r="C5" s="5" t="n">
        <v>0.4</v>
      </c>
    </row>
    <row r="6">
      <c r="B6" s="27" t="inlineStr">
        <is>
          <t>指定值 x_assigned（中位數）</t>
        </is>
      </c>
      <c r="C6" s="22">
        <f>MEDIAN(C10:C14)</f>
        <v/>
      </c>
      <c r="P6" s="2" t="inlineStr">
        <is>
          <t>MEDIAN 取 5 組結果的中位數。這個數字也是「7_不確定度」蛋白質預算的參考量。</t>
        </is>
      </c>
    </row>
    <row r="8">
      <c r="H8" s="2" t="inlineStr">
        <is>
          <t>圖用輔助數據（自動）</t>
        </is>
      </c>
    </row>
    <row r="9" ht="30" customHeight="1">
      <c r="B9" s="9" t="inlineStr">
        <is>
          <t>組別</t>
        </is>
      </c>
      <c r="C9" s="9" t="inlineStr">
        <is>
          <t>結果 (%)</t>
        </is>
      </c>
      <c r="D9" s="9" t="inlineStr">
        <is>
          <t>z</t>
        </is>
      </c>
      <c r="E9" s="9" t="inlineStr">
        <is>
          <t>|z|</t>
        </is>
      </c>
      <c r="F9" s="9" t="inlineStr">
        <is>
          <t>分級</t>
        </is>
      </c>
      <c r="H9" s="9" t="inlineStr">
        <is>
          <t>satisfactory</t>
        </is>
      </c>
      <c r="I9" s="9" t="inlineStr">
        <is>
          <t>questionable</t>
        </is>
      </c>
      <c r="J9" s="9" t="inlineStr">
        <is>
          <t>unsatisfactory</t>
        </is>
      </c>
      <c r="K9" s="9" t="inlineStr">
        <is>
          <t>+2</t>
        </is>
      </c>
      <c r="L9" s="9" t="inlineStr">
        <is>
          <t>−2</t>
        </is>
      </c>
      <c r="M9" s="9" t="inlineStr">
        <is>
          <t>+3</t>
        </is>
      </c>
      <c r="N9" s="9" t="inlineStr">
        <is>
          <t>−3</t>
        </is>
      </c>
    </row>
    <row r="10">
      <c r="B10" s="13">
        <f>'2_組成表'!A6</f>
        <v/>
      </c>
      <c r="C10" s="29">
        <f>INDEX('2_組成表'!$B$6:$F$10,1,MATCH($C$4,'2_組成表'!$B$4:$F$4,0))</f>
        <v/>
      </c>
      <c r="D10" s="36">
        <f>(C10-$C$6)/$C$5</f>
        <v/>
      </c>
      <c r="E10" s="16">
        <f>ABS(D10)</f>
        <v/>
      </c>
      <c r="F10" s="30">
        <f>IF(E10&lt;=2,"滿意 (satisfactory)",IF(E10&lt;3,"問題 (questionable)","不滿意 (unsatisfactory)"))</f>
        <v/>
      </c>
      <c r="H10" s="16">
        <f>IF(E10&lt;=2,D10,0)</f>
        <v/>
      </c>
      <c r="I10" s="16">
        <f>IF(AND(E10&gt;2,E10&lt;3),D10,0)</f>
        <v/>
      </c>
      <c r="J10" s="16">
        <f>IF(E10&gt;=3,D10,0)</f>
        <v/>
      </c>
      <c r="K10" s="23">
        <f>2</f>
        <v/>
      </c>
      <c r="L10" s="23">
        <f>-2</f>
        <v/>
      </c>
      <c r="M10" s="23">
        <f>3</f>
        <v/>
      </c>
      <c r="N10" s="23">
        <f>-3</f>
        <v/>
      </c>
      <c r="P10" s="2" t="inlineStr">
        <is>
          <t>分級用巢狀 IF：先問 |z| ≤ 2？是→滿意；不是再問 |z| &lt; 3？是→問題；</t>
        </is>
      </c>
    </row>
    <row r="11">
      <c r="B11" s="13">
        <f>'2_組成表'!A7</f>
        <v/>
      </c>
      <c r="C11" s="29">
        <f>INDEX('2_組成表'!$B$6:$F$10,2,MATCH($C$4,'2_組成表'!$B$4:$F$4,0))</f>
        <v/>
      </c>
      <c r="D11" s="36">
        <f>(C11-$C$6)/$C$5</f>
        <v/>
      </c>
      <c r="E11" s="16">
        <f>ABS(D11)</f>
        <v/>
      </c>
      <c r="F11" s="30">
        <f>IF(E11&lt;=2,"滿意 (satisfactory)",IF(E11&lt;3,"問題 (questionable)","不滿意 (unsatisfactory)"))</f>
        <v/>
      </c>
      <c r="H11" s="16">
        <f>IF(E11&lt;=2,D11,0)</f>
        <v/>
      </c>
      <c r="I11" s="16">
        <f>IF(AND(E11&gt;2,E11&lt;3),D11,0)</f>
        <v/>
      </c>
      <c r="J11" s="16">
        <f>IF(E11&gt;=3,D11,0)</f>
        <v/>
      </c>
      <c r="K11" s="23">
        <f>2</f>
        <v/>
      </c>
      <c r="L11" s="23">
        <f>-2</f>
        <v/>
      </c>
      <c r="M11" s="23">
        <f>3</f>
        <v/>
      </c>
      <c r="N11" s="23">
        <f>-3</f>
        <v/>
      </c>
      <c r="P11" s="2" t="inlineStr">
        <is>
          <t>都不是→不滿意。</t>
        </is>
      </c>
    </row>
    <row r="12">
      <c r="B12" s="13">
        <f>'2_組成表'!A8</f>
        <v/>
      </c>
      <c r="C12" s="29">
        <f>INDEX('2_組成表'!$B$6:$F$10,3,MATCH($C$4,'2_組成表'!$B$4:$F$4,0))</f>
        <v/>
      </c>
      <c r="D12" s="36">
        <f>(C12-$C$6)/$C$5</f>
        <v/>
      </c>
      <c r="E12" s="16">
        <f>ABS(D12)</f>
        <v/>
      </c>
      <c r="F12" s="30">
        <f>IF(E12&lt;=2,"滿意 (satisfactory)",IF(E12&lt;3,"問題 (questionable)","不滿意 (unsatisfactory)"))</f>
        <v/>
      </c>
      <c r="H12" s="16">
        <f>IF(E12&lt;=2,D12,0)</f>
        <v/>
      </c>
      <c r="I12" s="16">
        <f>IF(AND(E12&gt;2,E12&lt;3),D12,0)</f>
        <v/>
      </c>
      <c r="J12" s="16">
        <f>IF(E12&gt;=3,D12,0)</f>
        <v/>
      </c>
      <c r="K12" s="23">
        <f>2</f>
        <v/>
      </c>
      <c r="L12" s="23">
        <f>-2</f>
        <v/>
      </c>
      <c r="M12" s="23">
        <f>3</f>
        <v/>
      </c>
      <c r="N12" s="23">
        <f>-3</f>
        <v/>
      </c>
    </row>
    <row r="13">
      <c r="B13" s="13">
        <f>'2_組成表'!A9</f>
        <v/>
      </c>
      <c r="C13" s="29">
        <f>INDEX('2_組成表'!$B$6:$F$10,4,MATCH($C$4,'2_組成表'!$B$4:$F$4,0))</f>
        <v/>
      </c>
      <c r="D13" s="36">
        <f>(C13-$C$6)/$C$5</f>
        <v/>
      </c>
      <c r="E13" s="16">
        <f>ABS(D13)</f>
        <v/>
      </c>
      <c r="F13" s="30">
        <f>IF(E13&lt;=2,"滿意 (satisfactory)",IF(E13&lt;3,"問題 (questionable)","不滿意 (unsatisfactory)"))</f>
        <v/>
      </c>
      <c r="H13" s="16">
        <f>IF(E13&lt;=2,D13,0)</f>
        <v/>
      </c>
      <c r="I13" s="16">
        <f>IF(AND(E13&gt;2,E13&lt;3),D13,0)</f>
        <v/>
      </c>
      <c r="J13" s="16">
        <f>IF(E13&gt;=3,D13,0)</f>
        <v/>
      </c>
      <c r="K13" s="23">
        <f>2</f>
        <v/>
      </c>
      <c r="L13" s="23">
        <f>-2</f>
        <v/>
      </c>
      <c r="M13" s="23">
        <f>3</f>
        <v/>
      </c>
      <c r="N13" s="23">
        <f>-3</f>
        <v/>
      </c>
      <c r="P13" s="2" t="inlineStr">
        <is>
          <t>G4 蛋白質 z = −3.825 → 不滿意；和「3_Grubbs離群」2-3 抓到的是同</t>
        </is>
      </c>
    </row>
    <row r="14">
      <c r="B14" s="13">
        <f>'2_組成表'!A10</f>
        <v/>
      </c>
      <c r="C14" s="29">
        <f>INDEX('2_組成表'!$B$6:$F$10,5,MATCH($C$4,'2_組成表'!$B$4:$F$4,0))</f>
        <v/>
      </c>
      <c r="D14" s="36">
        <f>(C14-$C$6)/$C$5</f>
        <v/>
      </c>
      <c r="E14" s="16">
        <f>ABS(D14)</f>
        <v/>
      </c>
      <c r="F14" s="30">
        <f>IF(E14&lt;=2,"滿意 (satisfactory)",IF(E14&lt;3,"問題 (questionable)","不滿意 (unsatisfactory)"))</f>
        <v/>
      </c>
      <c r="H14" s="16">
        <f>IF(E14&lt;=2,D14,0)</f>
        <v/>
      </c>
      <c r="I14" s="16">
        <f>IF(AND(E14&gt;2,E14&lt;3),D14,0)</f>
        <v/>
      </c>
      <c r="J14" s="16">
        <f>IF(E14&gt;=3,D14,0)</f>
        <v/>
      </c>
      <c r="K14" s="23">
        <f>2</f>
        <v/>
      </c>
      <c r="L14" s="23">
        <f>-2</f>
        <v/>
      </c>
      <c r="M14" s="23">
        <f>3</f>
        <v/>
      </c>
      <c r="N14" s="23">
        <f>-3</f>
        <v/>
      </c>
      <c r="P14" s="2" t="inlineStr">
        <is>
          <t>一組，兩種方法互相印證。</t>
        </is>
      </c>
    </row>
    <row r="16">
      <c r="B16" s="3" t="inlineStr">
        <is>
          <t>分級規則</t>
        </is>
      </c>
    </row>
    <row r="17">
      <c r="B17" s="27" t="inlineStr">
        <is>
          <t>|z| ≤ 2</t>
        </is>
      </c>
      <c r="C17" s="27" t="inlineStr">
        <is>
          <t>滿意 (satisfactory)</t>
        </is>
      </c>
      <c r="D17" s="31" t="n"/>
      <c r="E17" s="31" t="n"/>
      <c r="F17" s="32" t="n"/>
    </row>
    <row r="18">
      <c r="B18" s="27" t="inlineStr">
        <is>
          <t>2 &lt; |z| &lt; 3</t>
        </is>
      </c>
      <c r="C18" s="27" t="inlineStr">
        <is>
          <t>問題 (questionable)：要查原因</t>
        </is>
      </c>
      <c r="D18" s="31" t="n"/>
      <c r="E18" s="31" t="n"/>
      <c r="F18" s="32" t="n"/>
    </row>
    <row r="19">
      <c r="B19" s="27" t="inlineStr">
        <is>
          <t>|z| ≥ 3</t>
        </is>
      </c>
      <c r="C19" s="27" t="inlineStr">
        <is>
          <t>不滿意 (unsatisfactory)：要找出原因並改正</t>
        </is>
      </c>
      <c r="D19" s="31" t="n"/>
      <c r="E19" s="31" t="n"/>
      <c r="F19" s="32" t="n"/>
    </row>
    <row r="21">
      <c r="B21" s="3" t="inlineStr">
        <is>
          <t>各等級組數</t>
        </is>
      </c>
    </row>
    <row r="22">
      <c r="B22" s="27" t="inlineStr">
        <is>
          <t>滿意</t>
        </is>
      </c>
      <c r="C22" s="23">
        <f>COUNTIF($F$10:$F$14,"滿意 (satisfactory)")</f>
        <v/>
      </c>
    </row>
    <row r="23">
      <c r="B23" s="27" t="inlineStr">
        <is>
          <t>問題</t>
        </is>
      </c>
      <c r="C23" s="23">
        <f>COUNTIF($F$10:$F$14,"問題 (questionable)")</f>
        <v/>
      </c>
    </row>
    <row r="24">
      <c r="B24" s="27" t="inlineStr">
        <is>
          <t>不滿意</t>
        </is>
      </c>
      <c r="C24" s="23">
        <f>COUNTIF($F$10:$F$14,"不滿意 (unsatisfactory)")</f>
        <v/>
      </c>
    </row>
  </sheetData>
  <mergeCells count="4">
    <mergeCell ref="C19:F19"/>
    <mergeCell ref="C18:F18"/>
    <mergeCell ref="C17:F17"/>
    <mergeCell ref="B2:P2"/>
  </mergeCells>
  <dataValidations count="1">
    <dataValidation sqref="C4" showDropDown="0" showInputMessage="0" showErrorMessage="0" allowBlank="0" type="list">
      <formula1>"moisture,ash,protein,fat,carbohydrate"</formula1>
    </dataValidation>
  </dataValidation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4E8F5A"/>
    <outlinePr summaryBelow="1" summaryRight="1"/>
    <pageSetUpPr fitToPage="1"/>
  </sheetPr>
  <dimension ref="B1:Q5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0" customWidth="1" min="3" max="3"/>
    <col width="9" customWidth="1" min="4" max="4"/>
    <col width="7" customWidth="1" min="5" max="5"/>
    <col width="7" customWidth="1" min="6" max="6"/>
    <col width="7" customWidth="1" min="7" max="7"/>
    <col width="8" customWidth="1" min="8" max="8"/>
    <col width="7" customWidth="1" min="9" max="9"/>
    <col width="8" customWidth="1" min="10" max="10"/>
    <col width="7" customWidth="1" min="11" max="11"/>
    <col width="9" customWidth="1" min="12" max="12"/>
    <col width="3" customWidth="1" min="13" max="13"/>
    <col width="9" customWidth="1" min="14" max="14"/>
    <col width="9" customWidth="1" min="15" max="15"/>
    <col width="3" customWidth="1" min="16" max="16"/>
    <col width="60" customWidth="1" min="17" max="17"/>
  </cols>
  <sheetData>
    <row r="1">
      <c r="B1" s="1" t="inlineStr">
        <is>
          <t>步驟 5　Shewhart 管制圖與 Westgard 規則（QC 檢核樣品）</t>
        </is>
      </c>
    </row>
    <row r="2" ht="32" customHeight="1">
      <c r="B2" s="18" t="inlineStr">
        <is>
          <t>管制界線用「既有基準」（歷史建立的平均與 s），不是用這 12 點自己算——否則違規點會把界線撐大，自己把自己吃掉。</t>
        </is>
      </c>
    </row>
    <row r="4">
      <c r="B4" s="27" t="inlineStr">
        <is>
          <t>QC 項目代號</t>
        </is>
      </c>
      <c r="C4" s="32" t="n"/>
      <c r="D4" s="5" t="inlineStr">
        <is>
          <t>fat_qc_check</t>
        </is>
      </c>
      <c r="E4" s="32" t="n"/>
    </row>
    <row r="5">
      <c r="B5" s="27" t="inlineStr">
        <is>
          <t>既有平均</t>
        </is>
      </c>
      <c r="C5" s="32" t="n"/>
      <c r="D5" s="37" t="n">
        <v>26</v>
      </c>
    </row>
    <row r="6">
      <c r="B6" s="27" t="inlineStr">
        <is>
          <t>既有 s</t>
        </is>
      </c>
      <c r="C6" s="32" t="n"/>
      <c r="D6" s="37" t="n">
        <v>0.3</v>
      </c>
    </row>
    <row r="8">
      <c r="N8" s="2" t="inlineStr">
        <is>
          <t>圖用輔助數據（界線）</t>
        </is>
      </c>
    </row>
    <row r="9" ht="32" customHeight="1">
      <c r="B9" s="9" t="inlineStr">
        <is>
          <t>run</t>
        </is>
      </c>
      <c r="C9" s="9" t="inlineStr">
        <is>
          <t>數值 (%)</t>
        </is>
      </c>
      <c r="D9" s="9" t="inlineStr">
        <is>
          <t>z</t>
        </is>
      </c>
      <c r="E9" s="9" t="inlineStr">
        <is>
          <t>1_3s</t>
        </is>
      </c>
      <c r="F9" s="9" t="inlineStr">
        <is>
          <t>2_2s</t>
        </is>
      </c>
      <c r="G9" s="9" t="inlineStr">
        <is>
          <t>R_4s</t>
        </is>
      </c>
      <c r="H9" s="9" t="inlineStr">
        <is>
          <t>4_1s 起點</t>
        </is>
      </c>
      <c r="I9" s="9" t="inlineStr">
        <is>
          <t>4_1s</t>
        </is>
      </c>
      <c r="J9" s="9" t="inlineStr">
        <is>
          <t>10_x 起點</t>
        </is>
      </c>
      <c r="K9" s="9" t="inlineStr">
        <is>
          <t>10_x</t>
        </is>
      </c>
      <c r="L9" s="9" t="inlineStr">
        <is>
          <t>任一違規</t>
        </is>
      </c>
      <c r="N9" s="9" t="inlineStr">
        <is>
          <t>x</t>
        </is>
      </c>
      <c r="O9" s="9" t="inlineStr">
        <is>
          <t>y</t>
        </is>
      </c>
      <c r="Q9" s="2" t="inlineStr">
        <is>
          <t>z = (數值 − 既有平均) ÷ 既有 s，代表「離中心線幾個 s」。每條規則一欄，</t>
        </is>
      </c>
    </row>
    <row r="10">
      <c r="B10" s="5" t="n">
        <v>1</v>
      </c>
      <c r="C10" s="29">
        <f>IF(COUNTIFS('1_原始數據'!$C$2:$C$1000,$D$4,'1_原始數據'!$D$2:$D$1000,B10)=0,"",SUMIFS('1_原始數據'!$E$2:$E$1000,'1_原始數據'!$C$2:$C$1000,$D$4,'1_原始數據'!$D$2:$D$1000,B10))</f>
        <v/>
      </c>
      <c r="D10" s="38">
        <f>(C10-$D$5)/$D$6</f>
        <v/>
      </c>
      <c r="E10" s="13">
        <f>IF(ABS(D10)&gt;3,"✘","")</f>
        <v/>
      </c>
      <c r="F10" s="13">
        <f>IF(OR(AND(ABS(D10)&gt;2,ABS(D11)&gt;2,(D10&gt;0)=(D11&gt;0))),"✘","")</f>
        <v/>
      </c>
      <c r="G10" s="13">
        <f>IF(ABS(D10-D11)&gt;4,"✘","")</f>
        <v/>
      </c>
      <c r="H10" s="13">
        <f>IF(OR(COUNTIF(D10:D13,"&gt;1")=4,COUNTIF(D10:D13,"&lt;-1")=4),"起點","")</f>
        <v/>
      </c>
      <c r="I10" s="13">
        <f>IF(COUNTIF(H10:H10,"起點")&gt;0,"✘","")</f>
        <v/>
      </c>
      <c r="J10" s="13">
        <f>IF(OR(COUNTIF(D10:D19,"&gt;0")=10,COUNTIF(D10:D19,"&lt;0")=10),"起點","")</f>
        <v/>
      </c>
      <c r="K10" s="13">
        <f>IF(COUNTIF(J10:J10,"起點")&gt;0,"✘","")</f>
        <v/>
      </c>
      <c r="L10" s="30">
        <f>IF(COUNTIF(E10:K10,"✘")&gt;0,"違規","")</f>
        <v/>
      </c>
      <c r="N10" s="23">
        <f>MIN($B$10:$B$21)</f>
        <v/>
      </c>
      <c r="O10" s="29">
        <f>$D$5+(0)*$D$6</f>
        <v/>
      </c>
      <c r="Q10" s="2" t="inlineStr">
        <is>
          <t>違規打 ✘；4_1s 與 10_x 要看一段連續的點，所以先標出「起點」，再把這一段裡的每一</t>
        </is>
      </c>
    </row>
    <row r="11">
      <c r="B11" s="5" t="n">
        <v>2</v>
      </c>
      <c r="C11" s="29">
        <f>IF(COUNTIFS('1_原始數據'!$C$2:$C$1000,$D$4,'1_原始數據'!$D$2:$D$1000,B11)=0,"",SUMIFS('1_原始數據'!$E$2:$E$1000,'1_原始數據'!$C$2:$C$1000,$D$4,'1_原始數據'!$D$2:$D$1000,B11))</f>
        <v/>
      </c>
      <c r="D11" s="38">
        <f>(C11-$D$5)/$D$6</f>
        <v/>
      </c>
      <c r="E11" s="13">
        <f>IF(ABS(D11)&gt;3,"✘","")</f>
        <v/>
      </c>
      <c r="F11" s="13">
        <f>IF(OR(AND(ABS(D10)&gt;2,ABS(D11)&gt;2,(D10&gt;0)=(D11&gt;0)),AND(ABS(D11)&gt;2,ABS(D12)&gt;2,(D11&gt;0)=(D12&gt;0))),"✘","")</f>
        <v/>
      </c>
      <c r="G11" s="13">
        <f>IF(ABS(D11-D12)&gt;4,"✘","")</f>
        <v/>
      </c>
      <c r="H11" s="13">
        <f>IF(OR(COUNTIF(D11:D14,"&gt;1")=4,COUNTIF(D11:D14,"&lt;-1")=4),"起點","")</f>
        <v/>
      </c>
      <c r="I11" s="13">
        <f>IF(COUNTIF(H10:H11,"起點")&gt;0,"✘","")</f>
        <v/>
      </c>
      <c r="J11" s="13">
        <f>IF(OR(COUNTIF(D11:D20,"&gt;0")=10,COUNTIF(D11:D20,"&lt;0")=10),"起點","")</f>
        <v/>
      </c>
      <c r="K11" s="13">
        <f>IF(COUNTIF(J10:J11,"起點")&gt;0,"✘","")</f>
        <v/>
      </c>
      <c r="L11" s="30">
        <f>IF(COUNTIF(E11:K11,"✘")&gt;0,"違規","")</f>
        <v/>
      </c>
      <c r="N11" s="23">
        <f>MAX($B$10:$B$21)</f>
        <v/>
      </c>
      <c r="O11" s="29">
        <f>$D$5+(0)*$D$6</f>
        <v/>
      </c>
      <c r="Q11" s="2" t="inlineStr">
        <is>
          <t>點都標 ✘。</t>
        </is>
      </c>
    </row>
    <row r="12">
      <c r="B12" s="5" t="n">
        <v>3</v>
      </c>
      <c r="C12" s="29">
        <f>IF(COUNTIFS('1_原始數據'!$C$2:$C$1000,$D$4,'1_原始數據'!$D$2:$D$1000,B12)=0,"",SUMIFS('1_原始數據'!$E$2:$E$1000,'1_原始數據'!$C$2:$C$1000,$D$4,'1_原始數據'!$D$2:$D$1000,B12))</f>
        <v/>
      </c>
      <c r="D12" s="38">
        <f>(C12-$D$5)/$D$6</f>
        <v/>
      </c>
      <c r="E12" s="13">
        <f>IF(ABS(D12)&gt;3,"✘","")</f>
        <v/>
      </c>
      <c r="F12" s="13">
        <f>IF(OR(AND(ABS(D11)&gt;2,ABS(D12)&gt;2,(D11&gt;0)=(D12&gt;0)),AND(ABS(D12)&gt;2,ABS(D13)&gt;2,(D12&gt;0)=(D13&gt;0))),"✘","")</f>
        <v/>
      </c>
      <c r="G12" s="13">
        <f>IF(ABS(D12-D13)&gt;4,"✘","")</f>
        <v/>
      </c>
      <c r="H12" s="13">
        <f>IF(OR(COUNTIF(D12:D15,"&gt;1")=4,COUNTIF(D12:D15,"&lt;-1")=4),"起點","")</f>
        <v/>
      </c>
      <c r="I12" s="13">
        <f>IF(COUNTIF(H10:H12,"起點")&gt;0,"✘","")</f>
        <v/>
      </c>
      <c r="J12" s="13">
        <f>IF(OR(COUNTIF(D12:D21,"&gt;0")=10,COUNTIF(D12:D21,"&lt;0")=10),"起點","")</f>
        <v/>
      </c>
      <c r="K12" s="13">
        <f>IF(COUNTIF(J10:J12,"起點")&gt;0,"✘","")</f>
        <v/>
      </c>
      <c r="L12" s="30">
        <f>IF(COUNTIF(E12:K12,"✘")&gt;0,"違規","")</f>
        <v/>
      </c>
      <c r="N12" s="23">
        <f>MIN($B$10:$B$21)</f>
        <v/>
      </c>
      <c r="O12" s="29">
        <f>$D$5+(2)*$D$6</f>
        <v/>
      </c>
      <c r="Q12" s="2" t="inlineStr">
        <is>
          <t>=IF(ABS(D10)&gt;3,"✘","")　1_3s：|z| &gt; 3 就違規</t>
        </is>
      </c>
    </row>
    <row r="13">
      <c r="B13" s="5" t="n">
        <v>4</v>
      </c>
      <c r="C13" s="29">
        <f>IF(COUNTIFS('1_原始數據'!$C$2:$C$1000,$D$4,'1_原始數據'!$D$2:$D$1000,B13)=0,"",SUMIFS('1_原始數據'!$E$2:$E$1000,'1_原始數據'!$C$2:$C$1000,$D$4,'1_原始數據'!$D$2:$D$1000,B13))</f>
        <v/>
      </c>
      <c r="D13" s="38">
        <f>(C13-$D$5)/$D$6</f>
        <v/>
      </c>
      <c r="E13" s="13">
        <f>IF(ABS(D13)&gt;3,"✘","")</f>
        <v/>
      </c>
      <c r="F13" s="13">
        <f>IF(OR(AND(ABS(D12)&gt;2,ABS(D13)&gt;2,(D12&gt;0)=(D13&gt;0)),AND(ABS(D13)&gt;2,ABS(D14)&gt;2,(D13&gt;0)=(D14&gt;0))),"✘","")</f>
        <v/>
      </c>
      <c r="G13" s="13">
        <f>IF(ABS(D13-D14)&gt;4,"✘","")</f>
        <v/>
      </c>
      <c r="H13" s="13">
        <f>IF(OR(COUNTIF(D13:D16,"&gt;1")=4,COUNTIF(D13:D16,"&lt;-1")=4),"起點","")</f>
        <v/>
      </c>
      <c r="I13" s="13">
        <f>IF(COUNTIF(H10:H13,"起點")&gt;0,"✘","")</f>
        <v/>
      </c>
      <c r="J13" s="13">
        <f>""</f>
        <v/>
      </c>
      <c r="K13" s="13">
        <f>IF(COUNTIF(J10:J12,"起點")&gt;0,"✘","")</f>
        <v/>
      </c>
      <c r="L13" s="30">
        <f>IF(COUNTIF(E13:K13,"✘")&gt;0,"違規","")</f>
        <v/>
      </c>
      <c r="N13" s="23">
        <f>MAX($B$10:$B$21)</f>
        <v/>
      </c>
      <c r="O13" s="29">
        <f>$D$5+(2)*$D$6</f>
        <v/>
      </c>
      <c r="Q13" s="2" t="inlineStr">
        <is>
          <t>2_2s：這一點和前一點（或後一點）都 |z| &gt; 2，而且同號 (D&gt;0)=(D&gt;0)</t>
        </is>
      </c>
    </row>
    <row r="14">
      <c r="B14" s="5" t="n">
        <v>5</v>
      </c>
      <c r="C14" s="29">
        <f>IF(COUNTIFS('1_原始數據'!$C$2:$C$1000,$D$4,'1_原始數據'!$D$2:$D$1000,B14)=0,"",SUMIFS('1_原始數據'!$E$2:$E$1000,'1_原始數據'!$C$2:$C$1000,$D$4,'1_原始數據'!$D$2:$D$1000,B14))</f>
        <v/>
      </c>
      <c r="D14" s="38">
        <f>(C14-$D$5)/$D$6</f>
        <v/>
      </c>
      <c r="E14" s="13">
        <f>IF(ABS(D14)&gt;3,"✘","")</f>
        <v/>
      </c>
      <c r="F14" s="13">
        <f>IF(OR(AND(ABS(D13)&gt;2,ABS(D14)&gt;2,(D13&gt;0)=(D14&gt;0)),AND(ABS(D14)&gt;2,ABS(D15)&gt;2,(D14&gt;0)=(D15&gt;0))),"✘","")</f>
        <v/>
      </c>
      <c r="G14" s="13">
        <f>IF(ABS(D14-D15)&gt;4,"✘","")</f>
        <v/>
      </c>
      <c r="H14" s="13">
        <f>IF(OR(COUNTIF(D14:D17,"&gt;1")=4,COUNTIF(D14:D17,"&lt;-1")=4),"起點","")</f>
        <v/>
      </c>
      <c r="I14" s="13">
        <f>IF(COUNTIF(H11:H14,"起點")&gt;0,"✘","")</f>
        <v/>
      </c>
      <c r="J14" s="13">
        <f>""</f>
        <v/>
      </c>
      <c r="K14" s="13">
        <f>IF(COUNTIF(J10:J12,"起點")&gt;0,"✘","")</f>
        <v/>
      </c>
      <c r="L14" s="30">
        <f>IF(COUNTIF(E14:K14,"✘")&gt;0,"違規","")</f>
        <v/>
      </c>
      <c r="N14" s="23">
        <f>MIN($B$10:$B$21)</f>
        <v/>
      </c>
      <c r="O14" s="29">
        <f>$D$5+(-2)*$D$6</f>
        <v/>
      </c>
    </row>
    <row r="15">
      <c r="B15" s="5" t="n">
        <v>6</v>
      </c>
      <c r="C15" s="29">
        <f>IF(COUNTIFS('1_原始數據'!$C$2:$C$1000,$D$4,'1_原始數據'!$D$2:$D$1000,B15)=0,"",SUMIFS('1_原始數據'!$E$2:$E$1000,'1_原始數據'!$C$2:$C$1000,$D$4,'1_原始數據'!$D$2:$D$1000,B15))</f>
        <v/>
      </c>
      <c r="D15" s="38">
        <f>(C15-$D$5)/$D$6</f>
        <v/>
      </c>
      <c r="E15" s="13">
        <f>IF(ABS(D15)&gt;3,"✘","")</f>
        <v/>
      </c>
      <c r="F15" s="13">
        <f>IF(OR(AND(ABS(D14)&gt;2,ABS(D15)&gt;2,(D14&gt;0)=(D15&gt;0)),AND(ABS(D15)&gt;2,ABS(D16)&gt;2,(D15&gt;0)=(D16&gt;0))),"✘","")</f>
        <v/>
      </c>
      <c r="G15" s="13">
        <f>IF(ABS(D15-D16)&gt;4,"✘","")</f>
        <v/>
      </c>
      <c r="H15" s="13">
        <f>IF(OR(COUNTIF(D15:D18,"&gt;1")=4,COUNTIF(D15:D18,"&lt;-1")=4),"起點","")</f>
        <v/>
      </c>
      <c r="I15" s="13">
        <f>IF(COUNTIF(H12:H15,"起點")&gt;0,"✘","")</f>
        <v/>
      </c>
      <c r="J15" s="13">
        <f>""</f>
        <v/>
      </c>
      <c r="K15" s="13">
        <f>IF(COUNTIF(J10:J12,"起點")&gt;0,"✘","")</f>
        <v/>
      </c>
      <c r="L15" s="30">
        <f>IF(COUNTIF(E15:K15,"✘")&gt;0,"違規","")</f>
        <v/>
      </c>
      <c r="N15" s="23">
        <f>MAX($B$10:$B$21)</f>
        <v/>
      </c>
      <c r="O15" s="29">
        <f>$D$5+(-2)*$D$6</f>
        <v/>
      </c>
      <c r="Q15" s="2" t="inlineStr">
        <is>
          <t xml:space="preserve">4_1s 起點：=COUNTIF(D10:D13,"&gt;1")=4　四點都 &gt; +1s（或都 </t>
        </is>
      </c>
    </row>
    <row r="16">
      <c r="B16" s="5" t="n">
        <v>7</v>
      </c>
      <c r="C16" s="29">
        <f>IF(COUNTIFS('1_原始數據'!$C$2:$C$1000,$D$4,'1_原始數據'!$D$2:$D$1000,B16)=0,"",SUMIFS('1_原始數據'!$E$2:$E$1000,'1_原始數據'!$C$2:$C$1000,$D$4,'1_原始數據'!$D$2:$D$1000,B16))</f>
        <v/>
      </c>
      <c r="D16" s="38">
        <f>(C16-$D$5)/$D$6</f>
        <v/>
      </c>
      <c r="E16" s="13">
        <f>IF(ABS(D16)&gt;3,"✘","")</f>
        <v/>
      </c>
      <c r="F16" s="13">
        <f>IF(OR(AND(ABS(D15)&gt;2,ABS(D16)&gt;2,(D15&gt;0)=(D16&gt;0)),AND(ABS(D16)&gt;2,ABS(D17)&gt;2,(D16&gt;0)=(D17&gt;0))),"✘","")</f>
        <v/>
      </c>
      <c r="G16" s="13">
        <f>IF(ABS(D16-D17)&gt;4,"✘","")</f>
        <v/>
      </c>
      <c r="H16" s="13">
        <f>IF(OR(COUNTIF(D16:D19,"&gt;1")=4,COUNTIF(D16:D19,"&lt;-1")=4),"起點","")</f>
        <v/>
      </c>
      <c r="I16" s="13">
        <f>IF(COUNTIF(H13:H16,"起點")&gt;0,"✘","")</f>
        <v/>
      </c>
      <c r="J16" s="13">
        <f>""</f>
        <v/>
      </c>
      <c r="K16" s="13">
        <f>IF(COUNTIF(J10:J12,"起點")&gt;0,"✘","")</f>
        <v/>
      </c>
      <c r="L16" s="30">
        <f>IF(COUNTIF(E16:K16,"✘")&gt;0,"違規","")</f>
        <v/>
      </c>
      <c r="N16" s="23">
        <f>MIN($B$10:$B$21)</f>
        <v/>
      </c>
      <c r="O16" s="29">
        <f>$D$5+(3)*$D$6</f>
        <v/>
      </c>
      <c r="Q16" s="2" t="inlineStr">
        <is>
          <t>&lt; −1s）</t>
        </is>
      </c>
    </row>
    <row r="17">
      <c r="B17" s="5" t="n">
        <v>8</v>
      </c>
      <c r="C17" s="29">
        <f>IF(COUNTIFS('1_原始數據'!$C$2:$C$1000,$D$4,'1_原始數據'!$D$2:$D$1000,B17)=0,"",SUMIFS('1_原始數據'!$E$2:$E$1000,'1_原始數據'!$C$2:$C$1000,$D$4,'1_原始數據'!$D$2:$D$1000,B17))</f>
        <v/>
      </c>
      <c r="D17" s="38">
        <f>(C17-$D$5)/$D$6</f>
        <v/>
      </c>
      <c r="E17" s="13">
        <f>IF(ABS(D17)&gt;3,"✘","")</f>
        <v/>
      </c>
      <c r="F17" s="13">
        <f>IF(OR(AND(ABS(D16)&gt;2,ABS(D17)&gt;2,(D16&gt;0)=(D17&gt;0)),AND(ABS(D17)&gt;2,ABS(D18)&gt;2,(D17&gt;0)=(D18&gt;0))),"✘","")</f>
        <v/>
      </c>
      <c r="G17" s="13">
        <f>IF(ABS(D17-D18)&gt;4,"✘","")</f>
        <v/>
      </c>
      <c r="H17" s="13">
        <f>IF(OR(COUNTIF(D17:D20,"&gt;1")=4,COUNTIF(D17:D20,"&lt;-1")=4),"起點","")</f>
        <v/>
      </c>
      <c r="I17" s="13">
        <f>IF(COUNTIF(H14:H17,"起點")&gt;0,"✘","")</f>
        <v/>
      </c>
      <c r="J17" s="13">
        <f>""</f>
        <v/>
      </c>
      <c r="K17" s="13">
        <f>IF(COUNTIF(J10:J12,"起點")&gt;0,"✘","")</f>
        <v/>
      </c>
      <c r="L17" s="30">
        <f>IF(COUNTIF(E17:K17,"✘")&gt;0,"違規","")</f>
        <v/>
      </c>
      <c r="N17" s="23">
        <f>MAX($B$10:$B$21)</f>
        <v/>
      </c>
      <c r="O17" s="29">
        <f>$D$5+(3)*$D$6</f>
        <v/>
      </c>
    </row>
    <row r="18">
      <c r="B18" s="5" t="n">
        <v>9</v>
      </c>
      <c r="C18" s="29">
        <f>IF(COUNTIFS('1_原始數據'!$C$2:$C$1000,$D$4,'1_原始數據'!$D$2:$D$1000,B18)=0,"",SUMIFS('1_原始數據'!$E$2:$E$1000,'1_原始數據'!$C$2:$C$1000,$D$4,'1_原始數據'!$D$2:$D$1000,B18))</f>
        <v/>
      </c>
      <c r="D18" s="38">
        <f>(C18-$D$5)/$D$6</f>
        <v/>
      </c>
      <c r="E18" s="13">
        <f>IF(ABS(D18)&gt;3,"✘","")</f>
        <v/>
      </c>
      <c r="F18" s="13">
        <f>IF(OR(AND(ABS(D17)&gt;2,ABS(D18)&gt;2,(D17&gt;0)=(D18&gt;0)),AND(ABS(D18)&gt;2,ABS(D19)&gt;2,(D18&gt;0)=(D19&gt;0))),"✘","")</f>
        <v/>
      </c>
      <c r="G18" s="13">
        <f>IF(ABS(D18-D19)&gt;4,"✘","")</f>
        <v/>
      </c>
      <c r="H18" s="13">
        <f>IF(OR(COUNTIF(D18:D21,"&gt;1")=4,COUNTIF(D18:D21,"&lt;-1")=4),"起點","")</f>
        <v/>
      </c>
      <c r="I18" s="13">
        <f>IF(COUNTIF(H15:H18,"起點")&gt;0,"✘","")</f>
        <v/>
      </c>
      <c r="J18" s="13">
        <f>""</f>
        <v/>
      </c>
      <c r="K18" s="13">
        <f>IF(COUNTIF(J10:J12,"起點")&gt;0,"✘","")</f>
        <v/>
      </c>
      <c r="L18" s="30">
        <f>IF(COUNTIF(E18:K18,"✘")&gt;0,"違規","")</f>
        <v/>
      </c>
      <c r="N18" s="23">
        <f>MIN($B$10:$B$21)</f>
        <v/>
      </c>
      <c r="O18" s="29">
        <f>$D$5+(-3)*$D$6</f>
        <v/>
      </c>
    </row>
    <row r="19">
      <c r="B19" s="5" t="n">
        <v>10</v>
      </c>
      <c r="C19" s="29">
        <f>IF(COUNTIFS('1_原始數據'!$C$2:$C$1000,$D$4,'1_原始數據'!$D$2:$D$1000,B19)=0,"",SUMIFS('1_原始數據'!$E$2:$E$1000,'1_原始數據'!$C$2:$C$1000,$D$4,'1_原始數據'!$D$2:$D$1000,B19))</f>
        <v/>
      </c>
      <c r="D19" s="38">
        <f>(C19-$D$5)/$D$6</f>
        <v/>
      </c>
      <c r="E19" s="13">
        <f>IF(ABS(D19)&gt;3,"✘","")</f>
        <v/>
      </c>
      <c r="F19" s="13">
        <f>IF(OR(AND(ABS(D18)&gt;2,ABS(D19)&gt;2,(D18&gt;0)=(D19&gt;0)),AND(ABS(D19)&gt;2,ABS(D20)&gt;2,(D19&gt;0)=(D20&gt;0))),"✘","")</f>
        <v/>
      </c>
      <c r="G19" s="13">
        <f>IF(ABS(D19-D20)&gt;4,"✘","")</f>
        <v/>
      </c>
      <c r="H19" s="13">
        <f>""</f>
        <v/>
      </c>
      <c r="I19" s="13">
        <f>IF(COUNTIF(H16:H18,"起點")&gt;0,"✘","")</f>
        <v/>
      </c>
      <c r="J19" s="13">
        <f>""</f>
        <v/>
      </c>
      <c r="K19" s="13">
        <f>IF(COUNTIF(J10:J12,"起點")&gt;0,"✘","")</f>
        <v/>
      </c>
      <c r="L19" s="30">
        <f>IF(COUNTIF(E19:K19,"✘")&gt;0,"違規","")</f>
        <v/>
      </c>
      <c r="N19" s="23">
        <f>MAX($B$10:$B$21)</f>
        <v/>
      </c>
      <c r="O19" s="29">
        <f>$D$5+(-3)*$D$6</f>
        <v/>
      </c>
    </row>
    <row r="20">
      <c r="B20" s="5" t="n">
        <v>11</v>
      </c>
      <c r="C20" s="29">
        <f>IF(COUNTIFS('1_原始數據'!$C$2:$C$1000,$D$4,'1_原始數據'!$D$2:$D$1000,B20)=0,"",SUMIFS('1_原始數據'!$E$2:$E$1000,'1_原始數據'!$C$2:$C$1000,$D$4,'1_原始數據'!$D$2:$D$1000,B20))</f>
        <v/>
      </c>
      <c r="D20" s="38">
        <f>(C20-$D$5)/$D$6</f>
        <v/>
      </c>
      <c r="E20" s="13">
        <f>IF(ABS(D20)&gt;3,"✘","")</f>
        <v/>
      </c>
      <c r="F20" s="13">
        <f>IF(OR(AND(ABS(D19)&gt;2,ABS(D20)&gt;2,(D19&gt;0)=(D20&gt;0)),AND(ABS(D20)&gt;2,ABS(D21)&gt;2,(D20&gt;0)=(D21&gt;0))),"✘","")</f>
        <v/>
      </c>
      <c r="G20" s="13">
        <f>IF(ABS(D20-D21)&gt;4,"✘","")</f>
        <v/>
      </c>
      <c r="H20" s="13">
        <f>""</f>
        <v/>
      </c>
      <c r="I20" s="13">
        <f>IF(COUNTIF(H17:H18,"起點")&gt;0,"✘","")</f>
        <v/>
      </c>
      <c r="J20" s="13">
        <f>""</f>
        <v/>
      </c>
      <c r="K20" s="13">
        <f>IF(COUNTIF(J11:J12,"起點")&gt;0,"✘","")</f>
        <v/>
      </c>
      <c r="L20" s="30">
        <f>IF(COUNTIF(E20:K20,"✘")&gt;0,"違規","")</f>
        <v/>
      </c>
    </row>
    <row r="21">
      <c r="B21" s="5" t="n">
        <v>12</v>
      </c>
      <c r="C21" s="29">
        <f>IF(COUNTIFS('1_原始數據'!$C$2:$C$1000,$D$4,'1_原始數據'!$D$2:$D$1000,B21)=0,"",SUMIFS('1_原始數據'!$E$2:$E$1000,'1_原始數據'!$C$2:$C$1000,$D$4,'1_原始數據'!$D$2:$D$1000,B21))</f>
        <v/>
      </c>
      <c r="D21" s="38">
        <f>(C21-$D$5)/$D$6</f>
        <v/>
      </c>
      <c r="E21" s="13">
        <f>IF(ABS(D21)&gt;3,"✘","")</f>
        <v/>
      </c>
      <c r="F21" s="13">
        <f>IF(OR(AND(ABS(D20)&gt;2,ABS(D21)&gt;2,(D20&gt;0)=(D21&gt;0))),"✘","")</f>
        <v/>
      </c>
      <c r="G21" s="13">
        <f>""</f>
        <v/>
      </c>
      <c r="H21" s="13">
        <f>""</f>
        <v/>
      </c>
      <c r="I21" s="13">
        <f>IF(COUNTIF(H18:H18,"起點")&gt;0,"✘","")</f>
        <v/>
      </c>
      <c r="J21" s="13">
        <f>""</f>
        <v/>
      </c>
      <c r="K21" s="13">
        <f>IF(COUNTIF(J12:J12,"起點")&gt;0,"✘","")</f>
        <v/>
      </c>
      <c r="L21" s="30">
        <f>IF(COUNTIF(E21:K21,"✘")&gt;0,"違規","")</f>
        <v/>
      </c>
    </row>
    <row r="22">
      <c r="Q22" s="2" t="inlineStr">
        <is>
          <t>本批數據：run 8 觸發 1_3s（26.95%），run 10、11 觸發 2_2s；</t>
        </is>
      </c>
    </row>
    <row r="23">
      <c r="Q23" s="2" t="inlineStr">
        <is>
          <t>R_4s、4_1s、10_x 沒有觸發——不同規則抓不同型態的異常，這批沒有緩慢飄移。</t>
        </is>
      </c>
    </row>
    <row r="24">
      <c r="B24" s="3" t="inlineStr">
        <is>
          <t>規則檢查結果</t>
        </is>
      </c>
    </row>
    <row r="25">
      <c r="B25" s="9" t="inlineStr">
        <is>
          <t>規則</t>
        </is>
      </c>
      <c r="C25" s="32" t="n"/>
      <c r="D25" s="9" t="inlineStr">
        <is>
          <t>違規點數</t>
        </is>
      </c>
      <c r="E25" s="9" t="inlineStr">
        <is>
          <t>第一個違規 run</t>
        </is>
      </c>
      <c r="F25" s="32" t="n"/>
      <c r="G25" s="9" t="inlineStr">
        <is>
          <t>意思</t>
        </is>
      </c>
      <c r="H25" s="31" t="n"/>
      <c r="I25" s="31" t="n"/>
      <c r="J25" s="31" t="n"/>
      <c r="K25" s="31" t="n"/>
      <c r="L25" s="32" t="n"/>
    </row>
    <row r="26">
      <c r="B26" s="24" t="inlineStr">
        <is>
          <t>1_3s</t>
        </is>
      </c>
      <c r="C26" s="32" t="n"/>
      <c r="D26" s="39">
        <f>COUNTIF(E10:E21,"✘")</f>
        <v/>
      </c>
      <c r="E26" s="30">
        <f>IF(D26=0,"沒有違規",INDEX($B$10:$B$21,MATCH("✘",E10:E21,0)))</f>
        <v/>
      </c>
      <c r="F26" s="32" t="n"/>
      <c r="G26" s="40" t="inlineStr">
        <is>
          <t>任一點超出 ±3s：單次劇烈失控</t>
        </is>
      </c>
      <c r="H26" s="31" t="n"/>
      <c r="I26" s="31" t="n"/>
      <c r="J26" s="31" t="n"/>
      <c r="K26" s="31" t="n"/>
      <c r="L26" s="32" t="n"/>
    </row>
    <row r="27">
      <c r="B27" s="24" t="inlineStr">
        <is>
          <t>2_2s</t>
        </is>
      </c>
      <c r="C27" s="32" t="n"/>
      <c r="D27" s="39">
        <f>COUNTIF(F10:F21,"✘")</f>
        <v/>
      </c>
      <c r="E27" s="30">
        <f>IF(D27=0,"沒有違規",INDEX($B$10:$B$21,MATCH("✘",F10:F21,0)))</f>
        <v/>
      </c>
      <c r="F27" s="32" t="n"/>
      <c r="G27" s="40" t="inlineStr">
        <is>
          <t>連續兩點同側超出 ±2s：短期系統性偏移</t>
        </is>
      </c>
      <c r="H27" s="31" t="n"/>
      <c r="I27" s="31" t="n"/>
      <c r="J27" s="31" t="n"/>
      <c r="K27" s="31" t="n"/>
      <c r="L27" s="32" t="n"/>
    </row>
    <row r="28">
      <c r="B28" s="24" t="inlineStr">
        <is>
          <t>R_4s</t>
        </is>
      </c>
      <c r="C28" s="32" t="n"/>
      <c r="D28" s="39">
        <f>COUNTIF(G10:G21,"✘")</f>
        <v/>
      </c>
      <c r="E28" s="30">
        <f>IF(D28=0,"沒有違規",INDEX($B$10:$B$21,MATCH("✘",G10:G21,0)))</f>
        <v/>
      </c>
      <c r="F28" s="32" t="n"/>
      <c r="G28" s="40" t="inlineStr">
        <is>
          <t>相鄰兩點差距超過 4s（標在前一點）：隨機誤差變大</t>
        </is>
      </c>
      <c r="H28" s="31" t="n"/>
      <c r="I28" s="31" t="n"/>
      <c r="J28" s="31" t="n"/>
      <c r="K28" s="31" t="n"/>
      <c r="L28" s="32" t="n"/>
    </row>
    <row r="29">
      <c r="B29" s="24" t="inlineStr">
        <is>
          <t>4_1s</t>
        </is>
      </c>
      <c r="C29" s="32" t="n"/>
      <c r="D29" s="39">
        <f>COUNTIF(I10:I21,"✘")</f>
        <v/>
      </c>
      <c r="E29" s="30">
        <f>IF(D29=0,"沒有違規",INDEX($B$10:$B$21,MATCH("✘",I10:I21,0)))</f>
        <v/>
      </c>
      <c r="F29" s="32" t="n"/>
      <c r="G29" s="40" t="inlineStr">
        <is>
          <t>連續四點同側超出 ±1s：緩慢飄移</t>
        </is>
      </c>
      <c r="H29" s="31" t="n"/>
      <c r="I29" s="31" t="n"/>
      <c r="J29" s="31" t="n"/>
      <c r="K29" s="31" t="n"/>
      <c r="L29" s="32" t="n"/>
    </row>
    <row r="30">
      <c r="B30" s="24" t="inlineStr">
        <is>
          <t>10_x</t>
        </is>
      </c>
      <c r="C30" s="32" t="n"/>
      <c r="D30" s="39">
        <f>COUNTIF(K10:K21,"✘")</f>
        <v/>
      </c>
      <c r="E30" s="30">
        <f>IF(D30=0,"沒有違規",INDEX($B$10:$B$21,MATCH("✘",K10:K21,0)))</f>
        <v/>
      </c>
      <c r="F30" s="32" t="n"/>
      <c r="G30" s="40" t="inlineStr">
        <is>
          <t>連續十點在中心線同一側：緩慢飄移</t>
        </is>
      </c>
      <c r="H30" s="31" t="n"/>
      <c r="I30" s="31" t="n"/>
      <c r="J30" s="31" t="n"/>
      <c r="K30" s="31" t="n"/>
      <c r="L30" s="32" t="n"/>
    </row>
    <row r="31">
      <c r="B31" s="24" t="inlineStr">
        <is>
          <t>結論</t>
        </is>
      </c>
      <c r="C31" s="32" t="n"/>
      <c r="D31" s="30">
        <f>IF(COUNTIF(L10:L21,"違規")&gt;0,"有違規（紅色列）：這些 run 失控，要先找原因，該批結果不能直接報告","全部在管制內")</f>
        <v/>
      </c>
      <c r="E31" s="31" t="n"/>
      <c r="F31" s="31" t="n"/>
      <c r="G31" s="31" t="n"/>
      <c r="H31" s="31" t="n"/>
      <c r="I31" s="31" t="n"/>
      <c r="J31" s="31" t="n"/>
      <c r="K31" s="31" t="n"/>
      <c r="L31" s="32" t="n"/>
    </row>
    <row r="53" ht="32" customHeight="1">
      <c r="B53" s="18" t="inlineStr">
        <is>
          <t>看圖：黑線＝既有平均；橘色虛線＝±2s（警告線）；紅色點線＝±3s（管制線）。run 8 跑出紅線上方，run 10、11 連續兩點在下方橘線以外。</t>
        </is>
      </c>
    </row>
  </sheetData>
  <mergeCells count="26">
    <mergeCell ref="B25:C25"/>
    <mergeCell ref="G28:L28"/>
    <mergeCell ref="B31:C31"/>
    <mergeCell ref="B27:C27"/>
    <mergeCell ref="G30:L30"/>
    <mergeCell ref="E29:F29"/>
    <mergeCell ref="E28:F28"/>
    <mergeCell ref="G26:L26"/>
    <mergeCell ref="G29:L29"/>
    <mergeCell ref="B53:L53"/>
    <mergeCell ref="G25:L25"/>
    <mergeCell ref="E30:F30"/>
    <mergeCell ref="B29:C29"/>
    <mergeCell ref="B28:C28"/>
    <mergeCell ref="E27:F27"/>
    <mergeCell ref="D4:E4"/>
    <mergeCell ref="B2:Q2"/>
    <mergeCell ref="E26:F26"/>
    <mergeCell ref="B6:C6"/>
    <mergeCell ref="B30:C30"/>
    <mergeCell ref="G27:L27"/>
    <mergeCell ref="E25:F25"/>
    <mergeCell ref="B5:C5"/>
    <mergeCell ref="D31:L31"/>
    <mergeCell ref="B26:C26"/>
    <mergeCell ref="B4:C4"/>
  </mergeCells>
  <conditionalFormatting sqref="B10:L21">
    <cfRule type="expression" priority="1" dxfId="0">
      <formula>$L10="違規"</formula>
    </cfRule>
  </conditionalFormatting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4E8F5A"/>
    <outlinePr summaryBelow="1" summaryRight="1"/>
    <pageSetUpPr fitToPage="1"/>
  </sheetPr>
  <dimension ref="B1:J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30" customWidth="1" min="3" max="3"/>
    <col width="11" customWidth="1" min="4" max="4"/>
    <col width="9" customWidth="1" min="5" max="5"/>
    <col width="11" customWidth="1" min="6" max="6"/>
    <col width="14" customWidth="1" min="7" max="7"/>
    <col width="12" customWidth="1" min="8" max="8"/>
    <col width="3" customWidth="1" min="9" max="9"/>
    <col width="60" customWidth="1" min="10" max="10"/>
  </cols>
  <sheetData>
    <row r="1">
      <c r="B1" s="1" t="inlineStr">
        <is>
          <t>步驟 6　量測不確定度預算（蛋白質 Kjeldahl）與碳水化合物的不確定度</t>
        </is>
      </c>
    </row>
    <row r="2" ht="32" customHeight="1">
      <c r="B2" s="18" t="inlineStr">
        <is>
          <t>每個來源先換成「標準不確定度」（矩形分布＝半寬 ÷ √3；已經是標準差型式的直接用），再用平方和開根號合併成 u_c，最後乘上涵蓋因子 k=2 得到擴充不確定度 U（約 95% 信心水準）。</t>
        </is>
      </c>
    </row>
    <row r="4">
      <c r="B4" s="10" t="inlineStr">
        <is>
          <t>參考量：蛋白質指定值（5 組中位數, %）</t>
        </is>
      </c>
      <c r="C4" s="11">
        <f>MEDIAN('2_組成表'!D6:D10)</f>
        <v/>
      </c>
    </row>
    <row r="5">
      <c r="B5" s="27" t="inlineStr">
        <is>
          <t>涵蓋因子 k</t>
        </is>
      </c>
      <c r="C5" s="5" t="n">
        <v>2</v>
      </c>
    </row>
    <row r="6">
      <c r="B6" s="27" t="inlineStr">
        <is>
          <t>助教重複測定 s_r (%)</t>
        </is>
      </c>
      <c r="C6" s="11">
        <f t="array" ref="C6">_xlfn.STDEV.S(IF('1_原始數據'!$C$2:$C$1000="protein_repeatability",'1_原始數據'!$E$2:$E$1000))</f>
        <v/>
      </c>
      <c r="D6" s="41" t="inlineStr">
        <is>
          <t>n =</t>
        </is>
      </c>
      <c r="E6" s="23">
        <f>COUNTIF('1_原始數據'!$C$2:$C$1000,"protein_repeatability")</f>
        <v/>
      </c>
    </row>
    <row r="8">
      <c r="B8" s="3" t="inlineStr">
        <is>
          <t>7-1 蛋白質不確定度預算</t>
        </is>
      </c>
    </row>
    <row r="9" ht="32" customHeight="1">
      <c r="B9" s="9" t="inlineStr">
        <is>
          <t>來源</t>
        </is>
      </c>
      <c r="C9" s="9" t="inlineStr">
        <is>
          <t>說明</t>
        </is>
      </c>
      <c r="D9" s="9" t="inlineStr">
        <is>
          <t>輸入值</t>
        </is>
      </c>
      <c r="E9" s="9" t="inlineStr">
        <is>
          <t>除數</t>
        </is>
      </c>
      <c r="F9" s="9" t="inlineStr">
        <is>
          <t>參考量</t>
        </is>
      </c>
      <c r="G9" s="9" t="inlineStr">
        <is>
          <t>相對標準不確定度 (%)</t>
        </is>
      </c>
      <c r="H9" s="9" t="inlineStr">
        <is>
          <t>占 u_c² (%)</t>
        </is>
      </c>
      <c r="J9" s="2" t="inlineStr">
        <is>
          <t>黃色格子可改（練習題 4：把滴定劑濃度 0.30 改成 0.10）。除數 √3 是矩形分布；</t>
        </is>
      </c>
    </row>
    <row r="10" ht="30" customHeight="1">
      <c r="B10" s="27" t="inlineStr">
        <is>
          <t>秤重 weighing</t>
        </is>
      </c>
      <c r="C10" s="42" t="inlineStr">
        <is>
          <t>分析天平 ±0.0002 g，矩形分布；樣品 1.0000 g</t>
        </is>
      </c>
      <c r="D10" s="5" t="n">
        <v>0.0002</v>
      </c>
      <c r="E10" s="43">
        <f>SQRT(3)</f>
        <v/>
      </c>
      <c r="F10" s="43" t="n">
        <v>1</v>
      </c>
      <c r="G10" s="22">
        <f>D10/E10/F10*100</f>
        <v/>
      </c>
      <c r="H10" s="44">
        <f>G10^2/SUMSQ($G$10:$G$14)*100</f>
        <v/>
      </c>
      <c r="J10" s="2" t="inlineStr">
        <is>
          <t>已經是 SD 的來源除數填 1。</t>
        </is>
      </c>
    </row>
    <row r="11" ht="30" customHeight="1">
      <c r="B11" s="27" t="inlineStr">
        <is>
          <t>滴定劑濃度 titrant conc.</t>
        </is>
      </c>
      <c r="C11" s="42" t="inlineStr">
        <is>
          <t>HCl 標定後的相對標準不確定度 0.30%（已是標準差型式）</t>
        </is>
      </c>
      <c r="D11" s="5" t="n">
        <v>0.3</v>
      </c>
      <c r="E11" s="43" t="n">
        <v>1</v>
      </c>
      <c r="F11" s="40" t="inlineStr">
        <is>
          <t>（已是 %）</t>
        </is>
      </c>
      <c r="G11" s="22">
        <f>D11/E11</f>
        <v/>
      </c>
      <c r="H11" s="44">
        <f>G11^2/SUMSQ($G$10:$G$14)*100</f>
        <v/>
      </c>
      <c r="J11" s="2" t="inlineStr">
        <is>
          <t>相對標準不確定度 = 輸入值 ÷ 除數 ÷ 參考量 × 100。</t>
        </is>
      </c>
    </row>
    <row r="12" ht="30" customHeight="1">
      <c r="B12" s="27" t="inlineStr">
        <is>
          <t>滴定體積 titration volume</t>
        </is>
      </c>
      <c r="C12" s="42" t="inlineStr">
        <is>
          <t>滴定管刻度 ±0.05 mL，矩形分布；滴定約 25.0 mL</t>
        </is>
      </c>
      <c r="D12" s="5" t="n">
        <v>0.05</v>
      </c>
      <c r="E12" s="43">
        <f>SQRT(3)</f>
        <v/>
      </c>
      <c r="F12" s="43" t="n">
        <v>25</v>
      </c>
      <c r="G12" s="22">
        <f>D12/E12/F12*100</f>
        <v/>
      </c>
      <c r="H12" s="44">
        <f>G12^2/SUMSQ($G$10:$G$14)*100</f>
        <v/>
      </c>
    </row>
    <row r="13" ht="30" customHeight="1">
      <c r="B13" s="27" t="inlineStr">
        <is>
          <t>轉換因子 6.38</t>
        </is>
      </c>
      <c r="C13" s="42" t="inlineStr">
        <is>
          <t>牛乳蛋白質係數 6.38 ± 0.03，矩形分布</t>
        </is>
      </c>
      <c r="D13" s="5" t="n">
        <v>0.03</v>
      </c>
      <c r="E13" s="43">
        <f>SQRT(3)</f>
        <v/>
      </c>
      <c r="F13" s="43" t="n">
        <v>6.38</v>
      </c>
      <c r="G13" s="22">
        <f>D13/E13/F13*100</f>
        <v/>
      </c>
      <c r="H13" s="44">
        <f>G13^2/SUMSQ($G$10:$G$14)*100</f>
        <v/>
      </c>
    </row>
    <row r="14" ht="30" customHeight="1">
      <c r="B14" s="27" t="inlineStr">
        <is>
          <t>重複性 repeatability</t>
        </is>
      </c>
      <c r="C14" s="42" t="inlineStr">
        <is>
          <t>助教 3 重複的 s_r；每組報告單次值，所以不除以 √n</t>
        </is>
      </c>
      <c r="D14" s="11">
        <f>C6</f>
        <v/>
      </c>
      <c r="E14" s="43" t="n">
        <v>1</v>
      </c>
      <c r="F14" s="11">
        <f>C4</f>
        <v/>
      </c>
      <c r="G14" s="22">
        <f>D14/E14/F14*100</f>
        <v/>
      </c>
      <c r="H14" s="44">
        <f>G14^2/SUMSQ($G$10:$G$14)*100</f>
        <v/>
      </c>
      <c r="J14" s="2" t="inlineStr">
        <is>
          <t>重複性這一項：每組蛋白質只消化 1 管（n=1），無法用組內重複估計 s_r，</t>
        </is>
      </c>
    </row>
    <row r="15">
      <c r="J15" s="2" t="inlineStr">
        <is>
          <t>改用助教同一份奶粉的 3 重複。</t>
        </is>
      </c>
    </row>
    <row r="16">
      <c r="B16" s="10" t="inlineStr">
        <is>
          <t>合併相對標準不確定度 u_c (%)</t>
        </is>
      </c>
      <c r="C16" s="22">
        <f>SQRT(SUMSQ(G10:G14))</f>
        <v/>
      </c>
      <c r="J16" s="2" t="inlineStr">
        <is>
          <t>=SQRT(SUMSQ(G10:G14))　SUMSQ 把每個數平方後加總；</t>
        </is>
      </c>
    </row>
    <row r="17">
      <c r="B17" s="10" t="inlineStr">
        <is>
          <t>合併絕對標準不確定度 u_c (%)</t>
        </is>
      </c>
      <c r="C17" s="22">
        <f>C4*C16/100</f>
        <v/>
      </c>
      <c r="J17" s="2" t="inlineStr">
        <is>
          <t>再開根號就是「平方和開根號」(RSS)。</t>
        </is>
      </c>
    </row>
    <row r="18">
      <c r="B18" s="10" t="inlineStr">
        <is>
          <t>擴充不確定度 U = k·u_c (%)</t>
        </is>
      </c>
      <c r="C18" s="22">
        <f>C5*C17</f>
        <v/>
      </c>
      <c r="J18" s="2" t="inlineStr">
        <is>
          <t>u_c(絕對) = 指定值 × u_c(相對) ÷ 100</t>
        </is>
      </c>
    </row>
    <row r="19">
      <c r="B19" s="10" t="inlineStr">
        <is>
          <t>最大的分量</t>
        </is>
      </c>
      <c r="C19" s="30">
        <f>INDEX(B10:B14,MATCH(MAX(G10:G14),G10:G14,0))</f>
        <v/>
      </c>
      <c r="J19" s="2" t="inlineStr">
        <is>
          <t>U = k × u_c；k = 2 約對應 95% 信心水準。</t>
        </is>
      </c>
    </row>
    <row r="20">
      <c r="B20" s="10" t="inlineStr">
        <is>
          <t>報告寫法</t>
        </is>
      </c>
      <c r="C20" s="45">
        <f>"蛋白質 = "&amp;FIXED(C4,2)&amp;"% ± "&amp;FIXED(C18,2)&amp;"%（U, k="&amp;C5&amp;"）"</f>
        <v/>
      </c>
      <c r="D20" s="31" t="n"/>
      <c r="E20" s="31" t="n"/>
      <c r="F20" s="32" t="n"/>
      <c r="J20" s="2" t="inlineStr">
        <is>
          <t>FIXED(數字, 2) 把數字轉成小數 2 位的文字，用 &amp; 串成一句話。</t>
        </is>
      </c>
    </row>
    <row r="23">
      <c r="B23" s="3" t="inlineStr">
        <is>
          <t>7-2 碳水化合物（差減法）的不確定度</t>
        </is>
      </c>
    </row>
    <row r="24" ht="32" customHeight="1">
      <c r="B24" s="9" t="inlineStr">
        <is>
          <t>成分</t>
        </is>
      </c>
      <c r="C24" s="9" t="inlineStr">
        <is>
          <t>來源</t>
        </is>
      </c>
      <c r="D24" s="9" t="inlineStr">
        <is>
          <t>標準不確定度 u (%)</t>
        </is>
      </c>
      <c r="E24" s="9" t="inlineStr">
        <is>
          <t>u²</t>
        </is>
      </c>
    </row>
    <row r="25">
      <c r="B25" s="27" t="inlineStr">
        <is>
          <t>水分</t>
        </is>
      </c>
      <c r="C25" s="40" t="inlineStr">
        <is>
          <t>W2 方法精密度（示意值，給定）</t>
        </is>
      </c>
      <c r="D25" s="43" t="n">
        <v>0.05</v>
      </c>
      <c r="E25" s="14">
        <f>D25^2</f>
        <v/>
      </c>
      <c r="J25" s="2" t="inlineStr">
        <is>
          <t>差減法沒有自己的實驗步驟，四項的不確定度都被帶進碳水化合物，所以它永遠是 proximate</t>
        </is>
      </c>
    </row>
    <row r="26">
      <c r="B26" s="27" t="inlineStr">
        <is>
          <t>灰分</t>
        </is>
      </c>
      <c r="C26" s="40" t="inlineStr">
        <is>
          <t>W3 方法精密度（示意值，給定）</t>
        </is>
      </c>
      <c r="D26" s="43" t="n">
        <v>0.08</v>
      </c>
      <c r="E26" s="14">
        <f>D26^2</f>
        <v/>
      </c>
      <c r="J26" s="2" t="inlineStr">
        <is>
          <t xml:space="preserve"> 分析中不確定度最大的一項。</t>
        </is>
      </c>
    </row>
    <row r="27">
      <c r="B27" s="27" t="inlineStr">
        <is>
          <t>蛋白質</t>
        </is>
      </c>
      <c r="C27" s="40" t="inlineStr">
        <is>
          <t>上面 7-1 的 u_c（絕對）</t>
        </is>
      </c>
      <c r="D27" s="11">
        <f>C17</f>
        <v/>
      </c>
      <c r="E27" s="14">
        <f>D27^2</f>
        <v/>
      </c>
    </row>
    <row r="28">
      <c r="B28" s="27" t="inlineStr">
        <is>
          <t>脂肪</t>
        </is>
      </c>
      <c r="C28" s="40" t="inlineStr">
        <is>
          <t>W6 Soxhlet 精密度（示意值，給定）</t>
        </is>
      </c>
      <c r="D28" s="43" t="n">
        <v>0.35</v>
      </c>
      <c r="E28" s="14">
        <f>D28^2</f>
        <v/>
      </c>
    </row>
    <row r="30">
      <c r="B30" s="27" t="inlineStr">
        <is>
          <t>u_碳水 = √(Σu²) (%)</t>
        </is>
      </c>
      <c r="C30" s="22">
        <f>SQRT(SUMSQ(D25:D28))</f>
        <v/>
      </c>
      <c r="J30" s="2" t="inlineStr">
        <is>
          <t>不確定度不能直接相加：隨機誤差會部分抵銷，所以用平方和開根號。直接相加會高估。</t>
        </is>
      </c>
    </row>
    <row r="31">
      <c r="B31" s="27" t="inlineStr">
        <is>
          <t>U_碳水 = k·u (%)</t>
        </is>
      </c>
      <c r="C31" s="22">
        <f>C5*C30</f>
        <v/>
      </c>
    </row>
    <row r="32">
      <c r="B32" s="27" t="inlineStr">
        <is>
          <t>對照：直接相加（錯誤做法）(%)</t>
        </is>
      </c>
      <c r="C32" s="11">
        <f>SUM(D25:D28)</f>
        <v/>
      </c>
      <c r="J32" s="2" t="inlineStr">
        <is>
          <t>注意：U_碳水 只涵蓋隨機的不確定度（約 ±0.8%）。脂肪用直接 Soxhlet 造成的方</t>
        </is>
      </c>
    </row>
    <row r="33">
      <c r="J33" s="2" t="inlineStr">
        <is>
          <t>法偏差（約 −4.4 個百分點）會原封不動加到碳水化合物上，U 蓋不住它——</t>
        </is>
      </c>
    </row>
    <row r="34">
      <c r="J34" s="2" t="inlineStr">
        <is>
          <t>見「9_資料庫比對」。</t>
        </is>
      </c>
    </row>
  </sheetData>
  <mergeCells count="2">
    <mergeCell ref="C20:F20"/>
    <mergeCell ref="B2:J2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4E8F5A"/>
    <outlinePr summaryBelow="1" summaryRight="1"/>
    <pageSetUpPr fitToPage="1"/>
  </sheetPr>
  <dimension ref="B1:K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9" customWidth="1" min="3" max="3"/>
    <col width="8" customWidth="1" min="4" max="4"/>
    <col width="9" customWidth="1" min="5" max="5"/>
    <col width="11" customWidth="1" min="6" max="6"/>
    <col width="11" customWidth="1" min="7" max="7"/>
    <col width="11" customWidth="1" min="8" max="8"/>
    <col width="22" customWidth="1" min="9" max="9"/>
    <col width="3" customWidth="1" min="10" max="10"/>
    <col width="60" customWidth="1" min="11" max="11"/>
  </cols>
  <sheetData>
    <row r="1">
      <c r="B1" s="1" t="inlineStr">
        <is>
          <t>步驟 7　放行判定：guard band（防護帶）規則</t>
        </is>
      </c>
    </row>
    <row r="2" ht="32" customHeight="1">
      <c r="B2" s="18" t="inlineStr">
        <is>
          <t>奶油測得 80.3% ± 0.4%（U, k=2），規格乳脂 ≥ 80%，可以放行嗎？點估計高於規格 ≠ 這批一定合格。要看「結果 ± U」整段和規格的關係。</t>
        </is>
      </c>
    </row>
    <row r="5" ht="32" customHeight="1">
      <c r="B5" s="9" t="inlineStr">
        <is>
          <t>案例</t>
        </is>
      </c>
      <c r="C5" s="9" t="inlineStr">
        <is>
          <t>結果</t>
        </is>
      </c>
      <c r="D5" s="9" t="inlineStr">
        <is>
          <t>U (k=2)</t>
        </is>
      </c>
      <c r="E5" s="9" t="inlineStr">
        <is>
          <t>規格</t>
        </is>
      </c>
      <c r="F5" s="9" t="inlineStr">
        <is>
          <t>規格類型
≥ 下限／≤ 上限</t>
        </is>
      </c>
      <c r="G5" s="9" t="inlineStr">
        <is>
          <t>最壞情況</t>
        </is>
      </c>
      <c r="H5" s="9" t="inlineStr">
        <is>
          <t>最佳情況</t>
        </is>
      </c>
      <c r="I5" s="9" t="inlineStr">
        <is>
          <t>判定</t>
        </is>
      </c>
      <c r="K5" s="2" t="inlineStr">
        <is>
          <t xml:space="preserve">黃色都可以改。第 12、13 列留給你自己的案例（例如「7_不確定度」算出的蛋白質 ± U </t>
        </is>
      </c>
    </row>
    <row r="6">
      <c r="B6" s="5" t="inlineStr">
        <is>
          <t>奶油 乳脂 (butter fat, %)</t>
        </is>
      </c>
      <c r="C6" s="5" t="n">
        <v>80.3</v>
      </c>
      <c r="D6" s="5" t="n">
        <v>0.4</v>
      </c>
      <c r="E6" s="5" t="n">
        <v>80</v>
      </c>
      <c r="F6" s="46" t="inlineStr">
        <is>
          <t>≥</t>
        </is>
      </c>
      <c r="G6" s="29">
        <f>IF(C6="","",IF(F6="≥",C6-D6,C6+D6))</f>
        <v/>
      </c>
      <c r="H6" s="29">
        <f>IF(C6="","",IF(F6="≥",C6+D6,C6-D6))</f>
        <v/>
      </c>
      <c r="I6" s="30">
        <f>IF(C6="","",IF(F6="≥",IF(G6&gt;=E6,"放行 (pass)",IF(H6&lt;E6,"不放行 (fail)","無法判斷 (inconclusive)")),IF(G6&lt;=E6,"放行 (pass)",IF(H6&gt;E6,"不放行 (fail)","無法判斷 (inconclusive)"))))</f>
        <v/>
      </c>
      <c r="K6" s="2" t="inlineStr">
        <is>
          <t>對規格 ≥ 25%）。F 欄用下拉選單選 ≥ 或 ≤。</t>
        </is>
      </c>
    </row>
    <row r="7">
      <c r="B7" s="5" t="inlineStr">
        <is>
          <t>全脂奶粉 蛋白質 (milk powder protein, %)</t>
        </is>
      </c>
      <c r="C7" s="5" t="n">
        <v>26.5</v>
      </c>
      <c r="D7" s="5" t="n">
        <v>0.3</v>
      </c>
      <c r="E7" s="5" t="n">
        <v>25</v>
      </c>
      <c r="F7" s="46" t="inlineStr">
        <is>
          <t>≥</t>
        </is>
      </c>
      <c r="G7" s="29">
        <f>IF(C7="","",IF(F7="≥",C7-D7,C7+D7))</f>
        <v/>
      </c>
      <c r="H7" s="29">
        <f>IF(C7="","",IF(F7="≥",C7+D7,C7-D7))</f>
        <v/>
      </c>
      <c r="I7" s="30">
        <f>IF(C7="","",IF(F7="≥",IF(G7&gt;=E7,"放行 (pass)",IF(H7&lt;E7,"不放行 (fail)","無法判斷 (inconclusive)")),IF(G7&lt;=E7,"放行 (pass)",IF(H7&gt;E7,"不放行 (fail)","無法判斷 (inconclusive)"))))</f>
        <v/>
      </c>
      <c r="K7" s="2" t="inlineStr">
        <is>
          <t>判定公式是兩層 IF：先看規格類型，再依序問「最壞情況過關嗎？」「最佳情況也不過關嗎？」。</t>
        </is>
      </c>
    </row>
    <row r="8">
      <c r="B8" s="5" t="inlineStr">
        <is>
          <t>全脂奶粉 水分 (milk powder moisture, %)</t>
        </is>
      </c>
      <c r="C8" s="5" t="n">
        <v>3.6</v>
      </c>
      <c r="D8" s="5" t="n">
        <v>0.15</v>
      </c>
      <c r="E8" s="5" t="n">
        <v>3.5</v>
      </c>
      <c r="F8" s="46" t="inlineStr">
        <is>
          <t>≤</t>
        </is>
      </c>
      <c r="G8" s="29">
        <f>IF(C8="","",IF(F8="≥",C8-D8,C8+D8))</f>
        <v/>
      </c>
      <c r="H8" s="29">
        <f>IF(C8="","",IF(F8="≥",C8+D8,C8-D8))</f>
        <v/>
      </c>
      <c r="I8" s="30">
        <f>IF(C8="","",IF(F8="≥",IF(G8&gt;=E8,"放行 (pass)",IF(H8&lt;E8,"不放行 (fail)","無法判斷 (inconclusive)")),IF(G8&lt;=E8,"放行 (pass)",IF(H8&gt;E8,"不放行 (fail)","無法判斷 (inconclusive)"))))</f>
        <v/>
      </c>
    </row>
    <row r="9">
      <c r="B9" s="5" t="inlineStr">
        <is>
          <t>罐頭湯 鈉 (canned soup sodium, mg/100g)</t>
        </is>
      </c>
      <c r="C9" s="5" t="n">
        <v>620</v>
      </c>
      <c r="D9" s="5" t="n">
        <v>15</v>
      </c>
      <c r="E9" s="5" t="n">
        <v>500</v>
      </c>
      <c r="F9" s="46" t="inlineStr">
        <is>
          <t>≤</t>
        </is>
      </c>
      <c r="G9" s="29">
        <f>IF(C9="","",IF(F9="≥",C9-D9,C9+D9))</f>
        <v/>
      </c>
      <c r="H9" s="29">
        <f>IF(C9="","",IF(F9="≥",C9+D9,C9-D9))</f>
        <v/>
      </c>
      <c r="I9" s="30">
        <f>IF(C9="","",IF(F9="≥",IF(G9&gt;=E9,"放行 (pass)",IF(H9&lt;E9,"不放行 (fail)","無法判斷 (inconclusive)")),IF(G9&lt;=E9,"放行 (pass)",IF(H9&gt;E9,"不放行 (fail)","無法判斷 (inconclusive)"))))</f>
        <v/>
      </c>
    </row>
    <row r="10">
      <c r="B10" s="5" t="inlineStr">
        <is>
          <t>果汁 維生素C (juice vitamin C, mg/100mL)</t>
        </is>
      </c>
      <c r="C10" s="5" t="n">
        <v>33</v>
      </c>
      <c r="D10" s="5" t="n">
        <v>1</v>
      </c>
      <c r="E10" s="5" t="n">
        <v>30</v>
      </c>
      <c r="F10" s="46" t="inlineStr">
        <is>
          <t>≥</t>
        </is>
      </c>
      <c r="G10" s="29">
        <f>IF(C10="","",IF(F10="≥",C10-D10,C10+D10))</f>
        <v/>
      </c>
      <c r="H10" s="29">
        <f>IF(C10="","",IF(F10="≥",C10+D10,C10-D10))</f>
        <v/>
      </c>
      <c r="I10" s="30">
        <f>IF(C10="","",IF(F10="≥",IF(G10&gt;=E10,"放行 (pass)",IF(H10&lt;E10,"不放行 (fail)","無法判斷 (inconclusive)")),IF(G10&lt;=E10,"放行 (pass)",IF(H10&gt;E10,"不放行 (fail)","無法判斷 (inconclusive)"))))</f>
        <v/>
      </c>
    </row>
    <row r="11">
      <c r="B11" s="5" t="inlineStr">
        <is>
          <t>巧克力 水分 (chocolate moisture, %)</t>
        </is>
      </c>
      <c r="C11" s="5" t="n">
        <v>2.3</v>
      </c>
      <c r="D11" s="5" t="n">
        <v>0.1</v>
      </c>
      <c r="E11" s="5" t="n">
        <v>2</v>
      </c>
      <c r="F11" s="46" t="inlineStr">
        <is>
          <t>≤</t>
        </is>
      </c>
      <c r="G11" s="29">
        <f>IF(C11="","",IF(F11="≥",C11-D11,C11+D11))</f>
        <v/>
      </c>
      <c r="H11" s="29">
        <f>IF(C11="","",IF(F11="≥",C11+D11,C11-D11))</f>
        <v/>
      </c>
      <c r="I11" s="30">
        <f>IF(C11="","",IF(F11="≥",IF(G11&gt;=E11,"放行 (pass)",IF(H11&lt;E11,"不放行 (fail)","無法判斷 (inconclusive)")),IF(G11&lt;=E11,"放行 (pass)",IF(H11&gt;E11,"不放行 (fail)","無法判斷 (inconclusive)"))))</f>
        <v/>
      </c>
    </row>
    <row r="12">
      <c r="B12" s="5" t="inlineStr">
        <is>
          <t>（自己的案例）</t>
        </is>
      </c>
      <c r="C12" s="5" t="n"/>
      <c r="D12" s="5" t="n"/>
      <c r="E12" s="5" t="n"/>
      <c r="F12" s="46" t="n"/>
      <c r="G12" s="29">
        <f>IF(C12="","",IF(F12="≥",C12-D12,C12+D12))</f>
        <v/>
      </c>
      <c r="H12" s="29">
        <f>IF(C12="","",IF(F12="≥",C12+D12,C12-D12))</f>
        <v/>
      </c>
      <c r="I12" s="30">
        <f>IF(C12="","",IF(F12="≥",IF(G12&gt;=E12,"放行 (pass)",IF(H12&lt;E12,"不放行 (fail)","無法判斷 (inconclusive)")),IF(G12&lt;=E12,"放行 (pass)",IF(H12&gt;E12,"不放行 (fail)","無法判斷 (inconclusive)"))))</f>
        <v/>
      </c>
    </row>
    <row r="13">
      <c r="B13" s="5" t="inlineStr">
        <is>
          <t>（自己的案例）</t>
        </is>
      </c>
      <c r="C13" s="5" t="n"/>
      <c r="D13" s="5" t="n"/>
      <c r="E13" s="5" t="n"/>
      <c r="F13" s="46" t="n"/>
      <c r="G13" s="29">
        <f>IF(C13="","",IF(F13="≥",C13-D13,C13+D13))</f>
        <v/>
      </c>
      <c r="H13" s="29">
        <f>IF(C13="","",IF(F13="≥",C13+D13,C13-D13))</f>
        <v/>
      </c>
      <c r="I13" s="30">
        <f>IF(C13="","",IF(F13="≥",IF(G13&gt;=E13,"放行 (pass)",IF(H13&lt;E13,"不放行 (fail)","無法判斷 (inconclusive)")),IF(G13&lt;=E13,"放行 (pass)",IF(H13&gt;E13,"不放行 (fail)","無法判斷 (inconclusive)"))))</f>
        <v/>
      </c>
    </row>
    <row r="16">
      <c r="B16" s="3" t="inlineStr">
        <is>
          <t>guard band 規則（本課採用）</t>
        </is>
      </c>
    </row>
    <row r="17" ht="32" customHeight="1">
      <c r="B17" s="4" t="inlineStr">
        <is>
          <t>•  規格是「≥ 下限」：最壞情況＝結果 − U，最佳情況＝結果 + U。最壞情況 ≥ 規格 → 放行；最佳情況 &lt; 規格 → 不放行；其餘 → 無法判斷。</t>
        </is>
      </c>
    </row>
    <row r="18" ht="32" customHeight="1">
      <c r="B18" s="4" t="inlineStr">
        <is>
          <t>•  規格是「≤ 上限」：最壞情況＝結果 + U，最佳情況＝結果 − U。最壞情況 ≤ 規格 → 放行；最佳情況 &gt; 規格 → 不放行；其餘 → 無法判斷。</t>
        </is>
      </c>
    </row>
    <row r="19" ht="32" customHeight="1">
      <c r="B19" s="4" t="inlineStr">
        <is>
          <t>•  「無法判斷」＝規格落在「結果 ± U」區間內：需要複測（降低 U）或和客戶協商，不是直接放行。</t>
        </is>
      </c>
    </row>
    <row r="20" ht="32" customHeight="1">
      <c r="B20" s="4" t="inlineStr">
        <is>
          <t>•  奶油：80.3 已高於 80，但最壞情況 80.3 − 0.4 = 79.9 &lt; 80，所以是「無法判斷」，不是「放行」。</t>
        </is>
      </c>
    </row>
  </sheetData>
  <mergeCells count="5">
    <mergeCell ref="B18:I18"/>
    <mergeCell ref="B20:I20"/>
    <mergeCell ref="B19:I19"/>
    <mergeCell ref="B2:K2"/>
    <mergeCell ref="B17:I17"/>
  </mergeCells>
  <dataValidations count="1">
    <dataValidation sqref="F6 F7 F8 F9 F10 F11 F12 F13" showDropDown="0" showInputMessage="0" showErrorMessage="0" allowBlank="1" type="list">
      <formula1>"≥,≤"</formula1>
    </dataValidation>
  </dataValidations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tabColor rgb="004E8F5A"/>
    <outlinePr summaryBelow="1" summaryRight="1"/>
    <pageSetUpPr fitToPage="1"/>
  </sheetPr>
  <dimension ref="B1:Z6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3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3" customWidth="1" min="25" max="25"/>
    <col width="60" customWidth="1" min="26" max="26"/>
  </cols>
  <sheetData>
    <row r="1">
      <c r="B1" s="1" t="inlineStr">
        <is>
          <t>步驟 8　用資料庫檢查全班盲樣：全脂奶粉 vs USDA 與 TFND</t>
        </is>
      </c>
    </row>
    <row r="2" ht="32" customHeight="1">
      <c r="B2" s="18" t="inlineStr">
        <is>
          <t>前面的 Grubbs、ANOVA、z-score 都是「全班互相比」。這裡換成外部參考：USDA FoodData Central SR Legacy 170876（173454 的一般成分數值相同）與衛福部食藥署食品營養成分資料庫 L0200101「全脂奶粉」。單位都是 g/100 g（濕基）。</t>
        </is>
      </c>
    </row>
    <row r="4">
      <c r="B4" s="3" t="inlineStr">
        <is>
          <t>9-1 全班 proximate 結果 vs 資料庫合理範圍</t>
        </is>
      </c>
    </row>
    <row r="5" ht="45" customHeight="1">
      <c r="B5" s="9" t="inlineStr">
        <is>
          <t>營養素</t>
        </is>
      </c>
      <c r="C5" s="9" t="inlineStr">
        <is>
          <t>中文</t>
        </is>
      </c>
      <c r="D5" s="9" t="inlineStr">
        <is>
          <t>本班項目</t>
        </is>
      </c>
      <c r="E5" s="9" t="inlineStr">
        <is>
          <t>USDA 170876</t>
        </is>
      </c>
      <c r="F5" s="9" t="inlineStr">
        <is>
          <t>USDA 173454</t>
        </is>
      </c>
      <c r="G5" s="9" t="inlineStr">
        <is>
          <t>TFND L0200101</t>
        </is>
      </c>
      <c r="H5" s="9" t="inlineStr">
        <is>
          <t>TFND SD</t>
        </is>
      </c>
      <c r="I5" s="9" t="inlineStr">
        <is>
          <t>TFND n</t>
        </is>
      </c>
      <c r="J5" s="9" t="inlineStr">
        <is>
          <t>相對容許差</t>
        </is>
      </c>
      <c r="K5" s="9" t="inlineStr">
        <is>
          <t>絕對下限</t>
        </is>
      </c>
      <c r="L5" s="9" t="inlineStr">
        <is>
          <t>USDA 下限</t>
        </is>
      </c>
      <c r="M5" s="9" t="inlineStr">
        <is>
          <t>USDA 上限</t>
        </is>
      </c>
      <c r="N5" s="9" t="inlineStr">
        <is>
          <t>TFND 下限</t>
        </is>
      </c>
      <c r="O5" s="9" t="inlineStr">
        <is>
          <t>TFND 上限</t>
        </is>
      </c>
      <c r="P5" s="9" t="inlineStr">
        <is>
          <t>合理範圍 下限</t>
        </is>
      </c>
      <c r="Q5" s="9" t="inlineStr">
        <is>
          <t>合理範圍 上限</t>
        </is>
      </c>
      <c r="R5" s="9" t="inlineStr">
        <is>
          <t>中心值</t>
        </is>
      </c>
      <c r="S5" s="9" t="inlineStr">
        <is>
          <t>全班中位數</t>
        </is>
      </c>
      <c r="T5" s="9" t="inlineStr">
        <is>
          <t>狀態</t>
        </is>
      </c>
      <c r="U5" s="9" t="inlineStr">
        <is>
          <t>USDA 涵蓋？</t>
        </is>
      </c>
      <c r="V5" s="9" t="inlineStr">
        <is>
          <t>TFND 涵蓋？</t>
        </is>
      </c>
      <c r="W5" s="9" t="inlineStr">
        <is>
          <t>全班 − 中心值</t>
        </is>
      </c>
      <c r="Z5" s="2" t="inlineStr">
        <is>
          <t>E–K 欄（黃色）是資料庫數值與教學預設容許差，取自 data/reference_food</t>
        </is>
      </c>
    </row>
    <row r="6">
      <c r="B6" s="27" t="inlineStr">
        <is>
          <t>water</t>
        </is>
      </c>
      <c r="C6" s="27" t="inlineStr">
        <is>
          <t>水分</t>
        </is>
      </c>
      <c r="D6" s="5" t="inlineStr">
        <is>
          <t>moisture</t>
        </is>
      </c>
      <c r="E6" s="5" t="n">
        <v>2.47</v>
      </c>
      <c r="F6" s="5" t="n">
        <v>2.47</v>
      </c>
      <c r="G6" s="5" t="n">
        <v>2.8</v>
      </c>
      <c r="H6" s="5" t="n">
        <v>0.1</v>
      </c>
      <c r="I6" s="5" t="n">
        <v>2</v>
      </c>
      <c r="J6" s="47" t="n">
        <v>0.1</v>
      </c>
      <c r="K6" s="5" t="n">
        <v>0.3</v>
      </c>
      <c r="L6" s="29">
        <f>MAX(0,E6-MAX($J6*E6,$K6))</f>
        <v/>
      </c>
      <c r="M6" s="29">
        <f>E6+MAX($J6*E6,$K6)</f>
        <v/>
      </c>
      <c r="N6" s="29">
        <f>MAX(0,IF(AND(H6&lt;&gt;"",I6&gt;=2),MIN(G6-MAX($J6*G6,$K6),G6-2*H6),G6-MAX($J6*G6,$K6)))</f>
        <v/>
      </c>
      <c r="O6" s="29">
        <f>IF(AND(H6&lt;&gt;"",I6&gt;=2),MAX(G6+MAX($J6*G6,$K6),G6+2*H6),G6+MAX($J6*G6,$K6))</f>
        <v/>
      </c>
      <c r="P6" s="48">
        <f>MIN(L6,N6)</f>
        <v/>
      </c>
      <c r="Q6" s="48">
        <f>MAX(M6,O6)</f>
        <v/>
      </c>
      <c r="R6" s="16">
        <f>AVERAGE(E6:G6)</f>
        <v/>
      </c>
      <c r="S6" s="16">
        <f>INDEX('2_組成表'!$B$11:$F$11,MATCH(D6,'2_組成表'!$B$4:$F$4,0))</f>
        <v/>
      </c>
      <c r="T6" s="30">
        <f>IF(S6&lt;P6,"偏低",IF(S6&gt;Q6,"偏高","範圍內"))</f>
        <v/>
      </c>
      <c r="U6" s="13">
        <f>IF(AND(S6&gt;=L6,S6&lt;=M6),"✓","✗")</f>
        <v/>
      </c>
      <c r="V6" s="13">
        <f>IF(AND(S6&gt;=N6,S6&lt;=O6),"✓","✗")</f>
        <v/>
      </c>
      <c r="W6" s="38">
        <f>S6-R6</f>
        <v/>
      </c>
      <c r="Z6" s="2" t="inlineStr">
        <is>
          <t>s.json，不要亂改。每一筆資料庫數值的區間 = 數值 ± max(相對容許差 × 數值,</t>
        </is>
      </c>
    </row>
    <row r="7">
      <c r="B7" s="27" t="inlineStr">
        <is>
          <t>ash</t>
        </is>
      </c>
      <c r="C7" s="27" t="inlineStr">
        <is>
          <t>灰分</t>
        </is>
      </c>
      <c r="D7" s="5" t="inlineStr">
        <is>
          <t>ash</t>
        </is>
      </c>
      <c r="E7" s="5" t="n">
        <v>6.08</v>
      </c>
      <c r="F7" s="5" t="n">
        <v>6.08</v>
      </c>
      <c r="G7" s="5" t="n">
        <v>5.6</v>
      </c>
      <c r="H7" s="5" t="n">
        <v>0</v>
      </c>
      <c r="I7" s="5" t="n">
        <v>2</v>
      </c>
      <c r="J7" s="47" t="n">
        <v>0.15</v>
      </c>
      <c r="K7" s="5" t="n">
        <v>0.05</v>
      </c>
      <c r="L7" s="29">
        <f>MAX(0,E7-MAX($J7*E7,$K7))</f>
        <v/>
      </c>
      <c r="M7" s="29">
        <f>E7+MAX($J7*E7,$K7)</f>
        <v/>
      </c>
      <c r="N7" s="29">
        <f>MAX(0,IF(AND(H7&lt;&gt;"",I7&gt;=2),MIN(G7-MAX($J7*G7,$K7),G7-2*H7),G7-MAX($J7*G7,$K7)))</f>
        <v/>
      </c>
      <c r="O7" s="29">
        <f>IF(AND(H7&lt;&gt;"",I7&gt;=2),MAX(G7+MAX($J7*G7,$K7),G7+2*H7),G7+MAX($J7*G7,$K7))</f>
        <v/>
      </c>
      <c r="P7" s="48">
        <f>MIN(L7,N7)</f>
        <v/>
      </c>
      <c r="Q7" s="48">
        <f>MAX(M7,O7)</f>
        <v/>
      </c>
      <c r="R7" s="16">
        <f>AVERAGE(E7:G7)</f>
        <v/>
      </c>
      <c r="S7" s="16">
        <f>INDEX('2_組成表'!$B$11:$F$11,MATCH(D7,'2_組成表'!$B$4:$F$4,0))</f>
        <v/>
      </c>
      <c r="T7" s="30">
        <f>IF(S7&lt;P7,"偏低",IF(S7&gt;Q7,"偏高","範圍內"))</f>
        <v/>
      </c>
      <c r="U7" s="13">
        <f>IF(AND(S7&gt;=L7,S7&lt;=M7),"✓","✗")</f>
        <v/>
      </c>
      <c r="V7" s="13">
        <f>IF(AND(S7&gt;=N7,S7&lt;=O7),"✓","✗")</f>
        <v/>
      </c>
      <c r="W7" s="38">
        <f>S7-R7</f>
        <v/>
      </c>
      <c r="Z7" s="2" t="inlineStr">
        <is>
          <t xml:space="preserve"> 絕對下限)；TFND 有 SD 且 n ≥ 2 時再和「平均 ± 2SD」取聯集。</t>
        </is>
      </c>
    </row>
    <row r="8">
      <c r="B8" s="27" t="inlineStr">
        <is>
          <t>protein</t>
        </is>
      </c>
      <c r="C8" s="27" t="inlineStr">
        <is>
          <t>蛋白質</t>
        </is>
      </c>
      <c r="D8" s="5" t="inlineStr">
        <is>
          <t>protein</t>
        </is>
      </c>
      <c r="E8" s="5" t="n">
        <v>26.32</v>
      </c>
      <c r="F8" s="5" t="n">
        <v>26.32</v>
      </c>
      <c r="G8" s="5" t="n">
        <v>26.4</v>
      </c>
      <c r="H8" s="5" t="n">
        <v>0.3</v>
      </c>
      <c r="I8" s="5" t="n">
        <v>2</v>
      </c>
      <c r="J8" s="47" t="n">
        <v>0.1</v>
      </c>
      <c r="K8" s="5" t="n">
        <v>0.3</v>
      </c>
      <c r="L8" s="29">
        <f>MAX(0,E8-MAX($J8*E8,$K8))</f>
        <v/>
      </c>
      <c r="M8" s="29">
        <f>E8+MAX($J8*E8,$K8)</f>
        <v/>
      </c>
      <c r="N8" s="29">
        <f>MAX(0,IF(AND(H8&lt;&gt;"",I8&gt;=2),MIN(G8-MAX($J8*G8,$K8),G8-2*H8),G8-MAX($J8*G8,$K8)))</f>
        <v/>
      </c>
      <c r="O8" s="29">
        <f>IF(AND(H8&lt;&gt;"",I8&gt;=2),MAX(G8+MAX($J8*G8,$K8),G8+2*H8),G8+MAX($J8*G8,$K8))</f>
        <v/>
      </c>
      <c r="P8" s="48">
        <f>MIN(L8,N8)</f>
        <v/>
      </c>
      <c r="Q8" s="48">
        <f>MAX(M8,O8)</f>
        <v/>
      </c>
      <c r="R8" s="16">
        <f>AVERAGE(E8:G8)</f>
        <v/>
      </c>
      <c r="S8" s="16">
        <f>INDEX('2_組成表'!$B$11:$F$11,MATCH(D8,'2_組成表'!$B$4:$F$4,0))</f>
        <v/>
      </c>
      <c r="T8" s="30">
        <f>IF(S8&lt;P8,"偏低",IF(S8&gt;Q8,"偏高","範圍內"))</f>
        <v/>
      </c>
      <c r="U8" s="13">
        <f>IF(AND(S8&gt;=L8,S8&lt;=M8),"✓","✗")</f>
        <v/>
      </c>
      <c r="V8" s="13">
        <f>IF(AND(S8&gt;=N8,S8&lt;=O8),"✓","✗")</f>
        <v/>
      </c>
      <c r="W8" s="38">
        <f>S8-R8</f>
        <v/>
      </c>
      <c r="Z8" s="2" t="inlineStr">
        <is>
          <t>合理範圍 = 各筆區間的聯集（最小的下限到最大的上限）。容許差是教學假設，不是資料庫數值。</t>
        </is>
      </c>
    </row>
    <row r="9">
      <c r="B9" s="27" t="inlineStr">
        <is>
          <t>fat</t>
        </is>
      </c>
      <c r="C9" s="27" t="inlineStr">
        <is>
          <t>脂肪</t>
        </is>
      </c>
      <c r="D9" s="5" t="inlineStr">
        <is>
          <t>fat</t>
        </is>
      </c>
      <c r="E9" s="5" t="n">
        <v>26.71</v>
      </c>
      <c r="F9" s="5" t="n">
        <v>26.71</v>
      </c>
      <c r="G9" s="5" t="n">
        <v>28.2</v>
      </c>
      <c r="H9" s="5" t="n">
        <v>0.6</v>
      </c>
      <c r="I9" s="5" t="n">
        <v>2</v>
      </c>
      <c r="J9" s="47" t="n">
        <v>0.15</v>
      </c>
      <c r="K9" s="5" t="n">
        <v>0.3</v>
      </c>
      <c r="L9" s="29">
        <f>MAX(0,E9-MAX($J9*E9,$K9))</f>
        <v/>
      </c>
      <c r="M9" s="29">
        <f>E9+MAX($J9*E9,$K9)</f>
        <v/>
      </c>
      <c r="N9" s="29">
        <f>MAX(0,IF(AND(H9&lt;&gt;"",I9&gt;=2),MIN(G9-MAX($J9*G9,$K9),G9-2*H9),G9-MAX($J9*G9,$K9)))</f>
        <v/>
      </c>
      <c r="O9" s="29">
        <f>IF(AND(H9&lt;&gt;"",I9&gt;=2),MAX(G9+MAX($J9*G9,$K9),G9+2*H9),G9+MAX($J9*G9,$K9))</f>
        <v/>
      </c>
      <c r="P9" s="48">
        <f>MIN(L9,N9)</f>
        <v/>
      </c>
      <c r="Q9" s="48">
        <f>MAX(M9,O9)</f>
        <v/>
      </c>
      <c r="R9" s="16">
        <f>AVERAGE(E9:G9)</f>
        <v/>
      </c>
      <c r="S9" s="16">
        <f>INDEX('2_組成表'!$B$11:$F$11,MATCH(D9,'2_組成表'!$B$4:$F$4,0))</f>
        <v/>
      </c>
      <c r="T9" s="30">
        <f>IF(S9&lt;P9,"偏低",IF(S9&gt;Q9,"偏高","範圍內"))</f>
        <v/>
      </c>
      <c r="U9" s="13">
        <f>IF(AND(S9&gt;=L9,S9&lt;=M9),"✓","✗")</f>
        <v/>
      </c>
      <c r="V9" s="13">
        <f>IF(AND(S9&gt;=N9,S9&lt;=O9),"✓","✗")</f>
        <v/>
      </c>
      <c r="W9" s="38">
        <f>S9-R9</f>
        <v/>
      </c>
      <c r="Z9" s="2" t="inlineStr">
        <is>
          <t>水分：全班 2.85% 在合理範圍內，但只被 TFND 那一筆涵蓋（USDA ✗）</t>
        </is>
      </c>
    </row>
    <row r="10">
      <c r="B10" s="27" t="inlineStr">
        <is>
          <t>carbohydrate</t>
        </is>
      </c>
      <c r="C10" s="27" t="inlineStr">
        <is>
          <t>碳水化合物</t>
        </is>
      </c>
      <c r="D10" s="5" t="inlineStr">
        <is>
          <t>carbohydrate</t>
        </is>
      </c>
      <c r="E10" s="5" t="n">
        <v>38.42</v>
      </c>
      <c r="F10" s="5" t="n">
        <v>38.42</v>
      </c>
      <c r="G10" s="5" t="n">
        <v>37</v>
      </c>
      <c r="H10" s="5" t="n"/>
      <c r="I10" s="5" t="n"/>
      <c r="J10" s="47" t="n">
        <v>0.1</v>
      </c>
      <c r="K10" s="5" t="n">
        <v>1</v>
      </c>
      <c r="L10" s="29">
        <f>MAX(0,E10-MAX($J10*E10,$K10))</f>
        <v/>
      </c>
      <c r="M10" s="29">
        <f>E10+MAX($J10*E10,$K10)</f>
        <v/>
      </c>
      <c r="N10" s="29">
        <f>MAX(0,IF(AND(H10&lt;&gt;"",I10&gt;=2),MIN(G10-MAX($J10*G10,$K10),G10-2*H10),G10-MAX($J10*G10,$K10)))</f>
        <v/>
      </c>
      <c r="O10" s="29">
        <f>IF(AND(H10&lt;&gt;"",I10&gt;=2),MAX(G10+MAX($J10*G10,$K10),G10+2*H10),G10+MAX($J10*G10,$K10))</f>
        <v/>
      </c>
      <c r="P10" s="48">
        <f>MIN(L10,N10)</f>
        <v/>
      </c>
      <c r="Q10" s="48">
        <f>MAX(M10,O10)</f>
        <v/>
      </c>
      <c r="R10" s="16">
        <f>AVERAGE(E10:G10)</f>
        <v/>
      </c>
      <c r="S10" s="16">
        <f>INDEX('2_組成表'!$B$11:$F$11,MATCH(D10,'2_組成表'!$B$4:$F$4,0))</f>
        <v/>
      </c>
      <c r="T10" s="30">
        <f>IF(S10&lt;P10,"偏低",IF(S10&gt;Q10,"偏高","範圍內"))</f>
        <v/>
      </c>
      <c r="U10" s="13">
        <f>IF(AND(S10&gt;=L10,S10&lt;=M10),"✓","✗")</f>
        <v/>
      </c>
      <c r="V10" s="13">
        <f>IF(AND(S10&gt;=N10,S10&lt;=O10),"✓","✗")</f>
        <v/>
      </c>
      <c r="W10" s="38">
        <f>S10-R10</f>
        <v/>
      </c>
      <c r="Z10" s="2" t="inlineStr">
        <is>
          <t>——看 U、V 欄，不要只看「範圍內」。</t>
        </is>
      </c>
    </row>
    <row r="11">
      <c r="B11" s="27" t="inlineStr">
        <is>
          <t>sugars_total</t>
        </is>
      </c>
      <c r="C11" s="27" t="inlineStr">
        <is>
          <t>總糖</t>
        </is>
      </c>
      <c r="D11" s="5" t="inlineStr">
        <is>
          <t>carbohydrate</t>
        </is>
      </c>
      <c r="E11" s="5" t="n">
        <v>38.42</v>
      </c>
      <c r="F11" s="5" t="n">
        <v>38.42</v>
      </c>
      <c r="G11" s="5" t="n">
        <v>36.4</v>
      </c>
      <c r="H11" s="5" t="n"/>
      <c r="I11" s="5" t="n"/>
      <c r="J11" s="47" t="n">
        <v>0.15</v>
      </c>
      <c r="K11" s="5" t="n">
        <v>0.5</v>
      </c>
      <c r="L11" s="29">
        <f>MAX(0,E11-MAX($J11*E11,$K11))</f>
        <v/>
      </c>
      <c r="M11" s="29">
        <f>E11+MAX($J11*E11,$K11)</f>
        <v/>
      </c>
      <c r="N11" s="29">
        <f>MAX(0,IF(AND(H11&lt;&gt;"",I11&gt;=2),MIN(G11-MAX($J11*G11,$K11),G11-2*H11),G11-MAX($J11*G11,$K11)))</f>
        <v/>
      </c>
      <c r="O11" s="29">
        <f>IF(AND(H11&lt;&gt;"",I11&gt;=2),MAX(G11+MAX($J11*G11,$K11),G11+2*H11),G11+MAX($J11*G11,$K11))</f>
        <v/>
      </c>
      <c r="P11" s="48">
        <f>MIN(L11,N11)</f>
        <v/>
      </c>
      <c r="Q11" s="48">
        <f>MAX(M11,O11)</f>
        <v/>
      </c>
      <c r="R11" s="16">
        <f>AVERAGE(E11:G11)</f>
        <v/>
      </c>
      <c r="S11" s="16">
        <f>INDEX('2_組成表'!$B$11:$F$11,MATCH(D11,'2_組成表'!$B$4:$F$4,0))</f>
        <v/>
      </c>
      <c r="T11" s="30">
        <f>IF(S11&lt;P11,"偏低",IF(S11&gt;Q11,"偏高","範圍內"))</f>
        <v/>
      </c>
      <c r="U11" s="13">
        <f>IF(AND(S11&gt;=L11,S11&lt;=M11),"✓","✗")</f>
        <v/>
      </c>
      <c r="V11" s="13">
        <f>IF(AND(S11&gt;=N11,S11&lt;=O11),"✓","✗")</f>
        <v/>
      </c>
      <c r="W11" s="38">
        <f>S11-R11</f>
        <v/>
      </c>
      <c r="Z11" s="2" t="inlineStr">
        <is>
          <t>脂肪偏低、碳水化合物偏高：看 W 欄「全班 − 中心值」，脂肪約 −6、碳水約 +6，</t>
        </is>
      </c>
    </row>
    <row r="12">
      <c r="Z12" s="2" t="inlineStr">
        <is>
          <t>其他三項都在 ±0.5 以內——碳水偏高幾乎完全是脂肪低估傳過來的（誤差傳遞）</t>
        </is>
      </c>
    </row>
    <row r="13">
      <c r="B13" s="18" t="inlineStr">
        <is>
          <t>蛋白質：USDA 全脂奶粉用換算係數 6.38（乳品係數），本課 W5 也用 6.38，可以直接比；TFND 開放資料沒有註明係數。</t>
        </is>
      </c>
      <c r="Z13" s="2" t="inlineStr">
        <is>
          <t>。</t>
        </is>
      </c>
    </row>
    <row r="14">
      <c r="Z14" s="2" t="inlineStr">
        <is>
          <t xml:space="preserve">最後一列故意拿「差減法碳水化合物」去比資料庫的「總糖」：兩者不是同一件事。USDA 的總糖 </t>
        </is>
      </c>
    </row>
    <row r="15">
      <c r="B15" s="3" t="inlineStr">
        <is>
          <t>9-2 脂肪：全班「直接 Soxhlet」一起偏低</t>
        </is>
      </c>
      <c r="Z15" s="2" t="inlineStr">
        <is>
          <t>38.42 是由其他營養素推算（n = 0），TFND 則實際分析（36.4）</t>
        </is>
      </c>
    </row>
    <row r="16">
      <c r="B16" s="27" t="inlineStr">
        <is>
          <t>Röse–Gottlieb 參考法脂肪 (%)</t>
        </is>
      </c>
      <c r="C16" s="31" t="n"/>
      <c r="D16" s="32" t="n"/>
      <c r="E16" s="5" t="n">
        <v>25.7</v>
      </c>
      <c r="Z16" s="2" t="inlineStr">
        <is>
          <t>。比對前先確認資料庫欄位的定義。</t>
        </is>
      </c>
    </row>
    <row r="18" ht="45" customHeight="1">
      <c r="B18" s="9" t="inlineStr">
        <is>
          <t>組別</t>
        </is>
      </c>
      <c r="C18" s="9" t="inlineStr"/>
      <c r="D18" s="9" t="inlineStr">
        <is>
          <t>脂肪 (%)
直接 Soxhlet</t>
        </is>
      </c>
      <c r="E18" s="9" t="inlineStr">
        <is>
          <t>脂肪狀態</t>
        </is>
      </c>
      <c r="F18" s="9" t="inlineStr">
        <is>
          <t>碳水 (%)
差減法</t>
        </is>
      </c>
      <c r="G18" s="9" t="inlineStr">
        <is>
          <t>碳水狀態</t>
        </is>
      </c>
      <c r="H18" s="9" t="inlineStr">
        <is>
          <t>碳水 (%)
脂肪改用 RG</t>
        </is>
      </c>
      <c r="I18" s="9" t="inlineStr">
        <is>
          <t>狀態</t>
        </is>
      </c>
    </row>
    <row r="19">
      <c r="B19" s="13">
        <f>'2_組成表'!A6</f>
        <v/>
      </c>
      <c r="D19" s="29">
        <f>'2_組成表'!E6</f>
        <v/>
      </c>
      <c r="E19" s="13">
        <f>IF(D19&lt;$P$9,"偏低",IF(D19&gt;$Q$9,"偏高","範圍內"))</f>
        <v/>
      </c>
      <c r="F19" s="29">
        <f>'2_組成表'!F6</f>
        <v/>
      </c>
      <c r="G19" s="13">
        <f>IF(F19&lt;$P$10,"偏低",IF(F19&gt;$Q$10,"偏高","範圍內"))</f>
        <v/>
      </c>
      <c r="H19" s="48">
        <f>100-('2_組成表'!B6+'2_組成表'!C6+'2_組成表'!D6+$E$16)</f>
        <v/>
      </c>
      <c r="I19" s="30">
        <f>IF(H19&lt;$P$10,"偏低",IF(H19&gt;$Q$10,"偏高","範圍內"))</f>
        <v/>
      </c>
      <c r="K19" s="2" t="inlineStr">
        <is>
          <t>5 組彼此非常接近（組間 SD 不到 0.5），卻一起落在資料庫範圍之下；Röse–Gott</t>
        </is>
      </c>
    </row>
    <row r="20">
      <c r="B20" s="13">
        <f>'2_組成表'!A7</f>
        <v/>
      </c>
      <c r="D20" s="29">
        <f>'2_組成表'!E7</f>
        <v/>
      </c>
      <c r="E20" s="13">
        <f>IF(D20&lt;$P$9,"偏低",IF(D20&gt;$Q$9,"偏高","範圍內"))</f>
        <v/>
      </c>
      <c r="F20" s="29">
        <f>'2_組成表'!F7</f>
        <v/>
      </c>
      <c r="G20" s="13">
        <f>IF(F20&lt;$P$10,"偏低",IF(F20&gt;$Q$10,"偏高","範圍內"))</f>
        <v/>
      </c>
      <c r="H20" s="48">
        <f>100-('2_組成表'!B7+'2_組成表'!C7+'2_組成表'!D7+$E$16)</f>
        <v/>
      </c>
      <c r="I20" s="30">
        <f>IF(H20&lt;$P$10,"偏低",IF(H20&gt;$Q$10,"偏高","範圍內"))</f>
        <v/>
      </c>
      <c r="K20" s="2" t="inlineStr">
        <is>
          <t>lieb 參考法則在範圍內——這是方法本身的系統偏差（奶粉脂肪被蛋白質／乳糖包覆，</t>
        </is>
      </c>
    </row>
    <row r="21">
      <c r="B21" s="13">
        <f>'2_組成表'!A8</f>
        <v/>
      </c>
      <c r="D21" s="29">
        <f>'2_組成表'!E8</f>
        <v/>
      </c>
      <c r="E21" s="13">
        <f>IF(D21&lt;$P$9,"偏低",IF(D21&gt;$Q$9,"偏高","範圍內"))</f>
        <v/>
      </c>
      <c r="F21" s="29">
        <f>'2_組成表'!F8</f>
        <v/>
      </c>
      <c r="G21" s="13">
        <f>IF(F21&lt;$P$10,"偏低",IF(F21&gt;$Q$10,"偏高","範圍內"))</f>
        <v/>
      </c>
      <c r="H21" s="48">
        <f>100-('2_組成表'!B8+'2_組成表'!C8+'2_組成表'!D8+$E$16)</f>
        <v/>
      </c>
      <c r="I21" s="30">
        <f>IF(H21&lt;$P$10,"偏低",IF(H21&gt;$Q$10,"偏高","範圍內"))</f>
        <v/>
      </c>
      <c r="K21" s="2" t="inlineStr">
        <is>
          <t>未水解就萃取不完全），不是哪一組做錯。</t>
        </is>
      </c>
    </row>
    <row r="22">
      <c r="B22" s="13">
        <f>'2_組成表'!A9</f>
        <v/>
      </c>
      <c r="D22" s="29">
        <f>'2_組成表'!E9</f>
        <v/>
      </c>
      <c r="E22" s="13">
        <f>IF(D22&lt;$P$9,"偏低",IF(D22&gt;$Q$9,"偏高","範圍內"))</f>
        <v/>
      </c>
      <c r="F22" s="29">
        <f>'2_組成表'!F9</f>
        <v/>
      </c>
      <c r="G22" s="13">
        <f>IF(F22&lt;$P$10,"偏低",IF(F22&gt;$Q$10,"偏高","範圍內"))</f>
        <v/>
      </c>
      <c r="H22" s="48">
        <f>100-('2_組成表'!B9+'2_組成表'!C9+'2_組成表'!D9+$E$16)</f>
        <v/>
      </c>
      <c r="I22" s="30">
        <f>IF(H22&lt;$P$10,"偏低",IF(H22&gt;$Q$10,"偏高","範圍內"))</f>
        <v/>
      </c>
    </row>
    <row r="23">
      <c r="B23" s="13">
        <f>'2_組成表'!A10</f>
        <v/>
      </c>
      <c r="D23" s="29">
        <f>'2_組成表'!E10</f>
        <v/>
      </c>
      <c r="E23" s="13">
        <f>IF(D23&lt;$P$9,"偏低",IF(D23&gt;$Q$9,"偏高","範圍內"))</f>
        <v/>
      </c>
      <c r="F23" s="29">
        <f>'2_組成表'!F10</f>
        <v/>
      </c>
      <c r="G23" s="13">
        <f>IF(F23&lt;$P$10,"偏低",IF(F23&gt;$Q$10,"偏高","範圍內"))</f>
        <v/>
      </c>
      <c r="H23" s="48">
        <f>100-('2_組成表'!B10+'2_組成表'!C10+'2_組成表'!D10+$E$16)</f>
        <v/>
      </c>
      <c r="I23" s="30">
        <f>IF(H23&lt;$P$10,"偏低",IF(H23&gt;$Q$10,"偏高","範圍內"))</f>
        <v/>
      </c>
      <c r="K23" s="2" t="inlineStr">
        <is>
          <t>H 欄：把脂肪換成 Röse–Gottlieb 值（其他三項不變）重算差減法碳水，</t>
        </is>
      </c>
    </row>
    <row r="24">
      <c r="B24" s="24" t="inlineStr">
        <is>
          <t>全班平均</t>
        </is>
      </c>
      <c r="D24" s="48">
        <f>AVERAGE(D19:D23)</f>
        <v/>
      </c>
      <c r="K24" s="2" t="inlineStr">
        <is>
          <t>5 組全部回到範圍內。看到差減法碳水偏高時，先回頭檢查其他四項。</t>
        </is>
      </c>
    </row>
    <row r="25">
      <c r="B25" s="24" t="inlineStr">
        <is>
          <t>組間 SD</t>
        </is>
      </c>
      <c r="D25" s="29">
        <f>_xlfn.STDEV.S(D19:D23)</f>
        <v/>
      </c>
    </row>
    <row r="26">
      <c r="B26" s="24" t="inlineStr">
        <is>
          <t>bias = 全班平均 − RG</t>
        </is>
      </c>
      <c r="C26" s="32" t="n"/>
      <c r="D26" s="49">
        <f>D24-E16</f>
        <v/>
      </c>
    </row>
    <row r="27">
      <c r="B27" s="24" t="inlineStr">
        <is>
          <t>RG 參考值狀態</t>
        </is>
      </c>
      <c r="C27" s="32" t="n"/>
      <c r="D27" s="13">
        <f>IF(E16&lt;$P$9,"偏低",IF(E16&gt;$Q$9,"偏高","範圍內"))</f>
        <v/>
      </c>
      <c r="K27" s="2" t="inlineStr">
        <is>
          <t>z-score 的指定值是全班中位數，全班一起偏掉時每組 z 都「滿意」（練習題 7）</t>
        </is>
      </c>
    </row>
    <row r="28">
      <c r="K28" s="2" t="inlineStr">
        <is>
          <t>；資料庫範圍很寬，單一組別的小錯（例如 G4 蛋白質）它又看不出來。兩種檢查互補。</t>
        </is>
      </c>
    </row>
    <row r="30">
      <c r="B30" s="3" t="inlineStr">
        <is>
          <t>9-3 判斷：「我這組有問題」還是「全班／方法有問題」？</t>
        </is>
      </c>
    </row>
    <row r="31">
      <c r="B31" s="9" t="inlineStr">
        <is>
          <t>線索</t>
        </is>
      </c>
      <c r="C31" s="32" t="n"/>
      <c r="D31" s="9" t="inlineStr">
        <is>
          <t>我這組有問題</t>
        </is>
      </c>
      <c r="E31" s="31" t="n"/>
      <c r="F31" s="31" t="n"/>
      <c r="G31" s="31" t="n"/>
      <c r="H31" s="32" t="n"/>
      <c r="I31" s="9" t="inlineStr">
        <is>
          <t>全班／方法有問題</t>
        </is>
      </c>
      <c r="J31" s="31" t="n"/>
      <c r="K31" s="31" t="n"/>
      <c r="L31" s="31" t="n"/>
      <c r="M31" s="31" t="n"/>
      <c r="N31" s="32" t="n"/>
    </row>
    <row r="32" ht="32" customHeight="1">
      <c r="B32" s="50" t="inlineStr">
        <is>
          <t>跟全班比（z、Grubbs）</t>
        </is>
      </c>
      <c r="C32" s="32" t="n"/>
      <c r="D32" s="10" t="inlineStr">
        <is>
          <t>只有我這組偏離</t>
        </is>
      </c>
      <c r="E32" s="31" t="n"/>
      <c r="F32" s="31" t="n"/>
      <c r="G32" s="31" t="n"/>
      <c r="H32" s="32" t="n"/>
      <c r="I32" s="10" t="inlineStr">
        <is>
          <t>各組彼此接近，z-score 都「滿意」</t>
        </is>
      </c>
      <c r="J32" s="31" t="n"/>
      <c r="K32" s="31" t="n"/>
      <c r="L32" s="31" t="n"/>
      <c r="M32" s="31" t="n"/>
      <c r="N32" s="32" t="n"/>
    </row>
    <row r="33" ht="32" customHeight="1">
      <c r="B33" s="50" t="inlineStr">
        <is>
          <t>跟資料庫或參考方法比</t>
        </is>
      </c>
      <c r="C33" s="32" t="n"/>
      <c r="D33" s="10" t="inlineStr">
        <is>
          <t>常常仍在資料庫範圍內（範圍很寬）</t>
        </is>
      </c>
      <c r="E33" s="31" t="n"/>
      <c r="F33" s="31" t="n"/>
      <c r="G33" s="31" t="n"/>
      <c r="H33" s="32" t="n"/>
      <c r="I33" s="10" t="inlineStr">
        <is>
          <t>全班一起偏向同一側，甚至一起落在範圍外</t>
        </is>
      </c>
      <c r="J33" s="31" t="n"/>
      <c r="K33" s="31" t="n"/>
      <c r="L33" s="31" t="n"/>
      <c r="M33" s="31" t="n"/>
      <c r="N33" s="32" t="n"/>
    </row>
    <row r="34" ht="32" customHeight="1">
      <c r="B34" s="50" t="inlineStr">
        <is>
          <t>下一步</t>
        </is>
      </c>
      <c r="C34" s="32" t="n"/>
      <c r="D34" s="10" t="inlineStr">
        <is>
          <t>檢查本組計算、試劑濃度、操作，重做</t>
        </is>
      </c>
      <c r="E34" s="31" t="n"/>
      <c r="F34" s="31" t="n"/>
      <c r="G34" s="31" t="n"/>
      <c r="H34" s="32" t="n"/>
      <c r="I34" s="10" t="inlineStr">
        <is>
          <t>換方法或加前處理（例如水解），用參考物質／參考方法校正</t>
        </is>
      </c>
      <c r="J34" s="31" t="n"/>
      <c r="K34" s="31" t="n"/>
      <c r="L34" s="31" t="n"/>
      <c r="M34" s="31" t="n"/>
      <c r="N34" s="32" t="n"/>
    </row>
    <row r="55" ht="32" customHeight="1">
      <c r="B55" s="18" t="inlineStr">
        <is>
          <t>看圖：藍色（脂肪用直接 Soxhlet）的碳水都高過紅色虛線上限；綠色（脂肪改用 Röse–Gottlieb）全部回到兩條紅線之間。（縱軸從 30 開始。）</t>
        </is>
      </c>
    </row>
    <row r="57" ht="32" customHeight="1">
      <c r="B57" s="18" t="inlineStr">
        <is>
          <t>資料來源：USDA FoodData Central SR Legacy (2018-04)，公共領域／CC0 1.0；衛生福利部食品藥物管理署「食品營養成分資料庫」，政府資料開放平臺 data.gov.tw 資料集 8543，依政府資料開放授權條款第1版釋出。</t>
        </is>
      </c>
    </row>
    <row r="59">
      <c r="B59" s="2" t="inlineStr">
        <is>
          <t>圖用輔助數據（自動）</t>
        </is>
      </c>
    </row>
    <row r="60" ht="30" customHeight="1">
      <c r="B60" s="9" t="inlineStr">
        <is>
          <t>組別</t>
        </is>
      </c>
      <c r="C60" s="9" t="inlineStr">
        <is>
          <t>carb (Soxhlet fat)</t>
        </is>
      </c>
      <c r="D60" s="9" t="inlineStr">
        <is>
          <t>carb (RG fat)</t>
        </is>
      </c>
      <c r="E60" s="9" t="inlineStr">
        <is>
          <t>range low</t>
        </is>
      </c>
      <c r="F60" s="9" t="inlineStr">
        <is>
          <t>range high</t>
        </is>
      </c>
    </row>
    <row r="61">
      <c r="B61" s="13">
        <f>B19</f>
        <v/>
      </c>
      <c r="C61" s="29">
        <f>F19</f>
        <v/>
      </c>
      <c r="D61" s="29">
        <f>H19</f>
        <v/>
      </c>
      <c r="E61" s="29">
        <f>$P$10</f>
        <v/>
      </c>
      <c r="F61" s="29">
        <f>$Q$10</f>
        <v/>
      </c>
    </row>
    <row r="62">
      <c r="B62" s="13">
        <f>B20</f>
        <v/>
      </c>
      <c r="C62" s="29">
        <f>F20</f>
        <v/>
      </c>
      <c r="D62" s="29">
        <f>H20</f>
        <v/>
      </c>
      <c r="E62" s="29">
        <f>$P$10</f>
        <v/>
      </c>
      <c r="F62" s="29">
        <f>$Q$10</f>
        <v/>
      </c>
    </row>
    <row r="63">
      <c r="B63" s="13">
        <f>B21</f>
        <v/>
      </c>
      <c r="C63" s="29">
        <f>F21</f>
        <v/>
      </c>
      <c r="D63" s="29">
        <f>H21</f>
        <v/>
      </c>
      <c r="E63" s="29">
        <f>$P$10</f>
        <v/>
      </c>
      <c r="F63" s="29">
        <f>$Q$10</f>
        <v/>
      </c>
    </row>
    <row r="64">
      <c r="B64" s="13">
        <f>B22</f>
        <v/>
      </c>
      <c r="C64" s="29">
        <f>F22</f>
        <v/>
      </c>
      <c r="D64" s="29">
        <f>H22</f>
        <v/>
      </c>
      <c r="E64" s="29">
        <f>$P$10</f>
        <v/>
      </c>
      <c r="F64" s="29">
        <f>$Q$10</f>
        <v/>
      </c>
    </row>
    <row r="65">
      <c r="B65" s="13">
        <f>B23</f>
        <v/>
      </c>
      <c r="C65" s="29">
        <f>F23</f>
        <v/>
      </c>
      <c r="D65" s="29">
        <f>H23</f>
        <v/>
      </c>
      <c r="E65" s="29">
        <f>$P$10</f>
        <v/>
      </c>
      <c r="F65" s="29">
        <f>$Q$10</f>
        <v/>
      </c>
    </row>
  </sheetData>
  <mergeCells count="19">
    <mergeCell ref="I32:N32"/>
    <mergeCell ref="D34:H34"/>
    <mergeCell ref="B31:C31"/>
    <mergeCell ref="D31:H31"/>
    <mergeCell ref="B55:N55"/>
    <mergeCell ref="B27:C27"/>
    <mergeCell ref="I33:N33"/>
    <mergeCell ref="D32:H32"/>
    <mergeCell ref="B34:C34"/>
    <mergeCell ref="I31:N31"/>
    <mergeCell ref="I34:N34"/>
    <mergeCell ref="B16:D16"/>
    <mergeCell ref="B2:Z2"/>
    <mergeCell ref="B33:C33"/>
    <mergeCell ref="D33:H33"/>
    <mergeCell ref="B57:W57"/>
    <mergeCell ref="B32:C32"/>
    <mergeCell ref="B13:W13"/>
    <mergeCell ref="B26:C26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00B3306A"/>
    <outlinePr summaryBelow="1" summaryRight="1"/>
    <pageSetUpPr fitToPage="1"/>
  </sheetPr>
  <dimension ref="B1:B2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>
      <c r="B1" s="1" t="inlineStr">
        <is>
          <t>練習題（寫在黃色格子裡，交報告時一起附上）</t>
        </is>
      </c>
    </row>
    <row r="3" ht="32" customHeight="1">
      <c r="B3" s="51" t="inlineStr">
        <is>
          <t>問題 1：如果 G3 水分的第 3 重複值不是 3.30%，而是 3.60%，Grubbs 的 G 值變成多少？是否仍然「測不出來」（G &lt; G_crit）？</t>
        </is>
      </c>
    </row>
    <row r="4" ht="30" customHeight="1">
      <c r="B4" s="18" t="inlineStr">
        <is>
          <t>提示：到「1_原始數據」把 E24（G3 moisture rep 3）改成 3.6，看「3_Grubbs離群」C32 與 C35。再想：G 的理論上界 C34 是多少？改完記得改回 3.3。</t>
        </is>
      </c>
    </row>
    <row r="5" ht="60" customHeight="1">
      <c r="B5" s="52" t="inlineStr"/>
    </row>
    <row r="7" ht="32" customHeight="1">
      <c r="B7" s="51" t="inlineStr">
        <is>
          <t>問題 2：班級層級 Grubbs（5 組蛋白質）中，除了被標記離群的那一組，G 值第二大的是哪一組？它的 z-score 屬於哪個等級？</t>
        </is>
      </c>
    </row>
    <row r="8" ht="30" customHeight="1">
      <c r="B8" s="18" t="inlineStr">
        <is>
          <t>提示：「3_Grubbs離群」E42:E46 是各組 G，可以用 =LARGE(E42:E46,2) 找第二大；再到「5_z分數」看同一組的分級。</t>
        </is>
      </c>
    </row>
    <row r="9" ht="60" customHeight="1">
      <c r="B9" s="52" t="inlineStr"/>
    </row>
    <row r="11" ht="32" customHeight="1">
      <c r="B11" s="51" t="inlineStr">
        <is>
          <t>問題 3：灰分 ANOVA 的 s_r（重複性）與 s_L（組間）哪一個大？這代表什麼？如果 s_L 降到幾乎 0，s_R 會接近什麼？</t>
        </is>
      </c>
    </row>
    <row r="12" ht="15" customHeight="1">
      <c r="B12" s="18" t="inlineStr">
        <is>
          <t>提示：「4_ANOVA」C26:C28。s_R = √(s_r² + s_L²)。</t>
        </is>
      </c>
    </row>
    <row r="13" ht="60" customHeight="1">
      <c r="B13" s="52" t="inlineStr"/>
    </row>
    <row r="15" ht="32" customHeight="1">
      <c r="B15" s="51" t="inlineStr">
        <is>
          <t>問題 4：蛋白質不確定度預算中哪一個分量貢獻最大？把滴定劑濃度的相對標準不確定度從 0.30% 降到 0.10%，u_c（相對）變成多少？影響大不大？</t>
        </is>
      </c>
    </row>
    <row r="16" ht="15" customHeight="1">
      <c r="B16" s="18" t="inlineStr">
        <is>
          <t>提示：「7_不確定度」H 欄是每一項占 u_c² 的比例；把 D11 改成 0.1，看 C16。改完記得改回 0.30。</t>
        </is>
      </c>
    </row>
    <row r="17" ht="60" customHeight="1">
      <c r="B17" s="52" t="inlineStr"/>
    </row>
    <row r="19" ht="32" customHeight="1">
      <c r="B19" s="51" t="inlineStr">
        <is>
          <t>問題 5：巧克力水分的規格從 ≤ 2% 放寬成 ≤ 2.5%，結果仍是 2.30% ± 0.10%，用 guard band 規則重新判定，結論會改變嗎？</t>
        </is>
      </c>
    </row>
    <row r="20" ht="15" customHeight="1">
      <c r="B20" s="18" t="inlineStr">
        <is>
          <t>提示：「8_放行判定」把 E11 改成 2.5。</t>
        </is>
      </c>
    </row>
    <row r="21" ht="60" customHeight="1">
      <c r="B21" s="52" t="inlineStr"/>
    </row>
    <row r="23" ht="32" customHeight="1">
      <c r="B23" s="51" t="inlineStr">
        <is>
          <t>問題 6：假設 G4 是把含氮量乘上一般係數 6.25 才得到 24.47%。換回 6.38 後蛋白質是多少？用同樣的指定值與 σ_pt，G4 的 z 與分級變成什麼？「用錯換算係數」能完全解釋 G4 偏低嗎？</t>
        </is>
      </c>
    </row>
    <row r="24" ht="30" customHeight="1">
      <c r="B24" s="18" t="inlineStr">
        <is>
          <t>提示：在任一空白格輸入 =24.47/6.25*6.38；z = (這個值 − 「5_z分數」C6) ÷ C5。z 仍然 &lt; −2 的話，還要找其他原因（例如 HCl 濃度用標示值而非標定值）。</t>
        </is>
      </c>
    </row>
    <row r="25" ht="60" customHeight="1">
      <c r="B25" s="52" t="inlineStr"/>
    </row>
    <row r="27" ht="32" customHeight="1">
      <c r="B27" s="51" t="inlineStr">
        <is>
          <t>問題 7：全班脂肪（直接 Soxhlet）彼此很接近。用脂肪中位數當指定值、σ_pt = 0.40%，各組 z 分級如何？跟資料庫比的結果呢？這是「某一組有問題」還是「全班／方法有問題」？只看 z-score 會得到什麼錯誤結論？</t>
        </is>
      </c>
    </row>
    <row r="28" ht="15" customHeight="1">
      <c r="B28" s="18" t="inlineStr">
        <is>
          <t>提示：「5_z分數」C4 改成 fat；再看「9_資料庫比對」9-1 脂肪列與 9-2。看完把 C4 改回 protein。</t>
        </is>
      </c>
    </row>
    <row r="29" ht="60" customHeight="1">
      <c r="B29" s="52" t="inlineStr"/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2026-09-27T19:14:59Z</dcterms:created>
  <dcterms:modified xsi:type="dcterms:W3CDTF">2026-09-27T19:14:59Z</dcterms:modified>
</cp:coreProperties>
</file>