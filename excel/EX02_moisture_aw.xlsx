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說明" sheetId="1" state="visible" r:id="rId1"/>
    <sheet xmlns:r="http://schemas.openxmlformats.org/officeDocument/2006/relationships" name="1_原始數據" sheetId="2" state="visible" r:id="rId2"/>
    <sheet xmlns:r="http://schemas.openxmlformats.org/officeDocument/2006/relationships" name="2_濕基乾基" sheetId="3" state="visible" r:id="rId3"/>
    <sheet xmlns:r="http://schemas.openxmlformats.org/officeDocument/2006/relationships" name="3_烘箱法恆重" sheetId="4" state="visible" r:id="rId4"/>
    <sheet xmlns:r="http://schemas.openxmlformats.org/officeDocument/2006/relationships" name="4_各組統計" sheetId="5" state="visible" r:id="rId5"/>
    <sheet xmlns:r="http://schemas.openxmlformats.org/officeDocument/2006/relationships" name="5_烘箱vs紅外線" sheetId="6" state="visible" r:id="rId6"/>
    <sheet xmlns:r="http://schemas.openxmlformats.org/officeDocument/2006/relationships" name="6_水活性" sheetId="7" state="visible" r:id="rId7"/>
    <sheet xmlns:r="http://schemas.openxmlformats.org/officeDocument/2006/relationships" name="7_共同盲樣" sheetId="8" state="visible" r:id="rId8"/>
    <sheet xmlns:r="http://schemas.openxmlformats.org/officeDocument/2006/relationships" name="8_吸濕曲線" sheetId="9" state="visible" r:id="rId9"/>
    <sheet xmlns:r="http://schemas.openxmlformats.org/officeDocument/2006/relationships" name="練習題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"/>
    <numFmt numFmtId="166" formatCode="0.0"/>
    <numFmt numFmtId="167" formatCode="+0.000;-0.000;0.000"/>
    <numFmt numFmtId="168" formatCode="+0.000;-0.000"/>
    <numFmt numFmtId="169" formatCode="0.0000E+00"/>
    <numFmt numFmtId="170" formatCode="0.000000"/>
  </numFmts>
  <fonts count="9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1"/>
    </font>
    <font>
      <name val="Microsoft JhengHei"/>
      <b val="1"/>
      <color rgb="001E6B66"/>
      <sz val="12"/>
    </font>
    <font>
      <name val="Microsoft JhengHei"/>
      <color rgb="005B6964"/>
      <sz val="10"/>
    </font>
    <font>
      <name val="Microsoft JhengHei"/>
      <b val="1"/>
      <color rgb="001E6B66"/>
      <sz val="16"/>
    </font>
    <font>
      <name val="Microsoft JhengHei"/>
      <b val="1"/>
      <sz val="11"/>
    </font>
    <font>
      <name val="Microsoft JhengHei"/>
      <color rgb="001E6B66"/>
      <sz val="11"/>
      <u val="single"/>
    </font>
    <font>
      <name val="Microsoft JhengHei"/>
      <color rgb="005B6964"/>
      <sz val="11"/>
    </font>
  </fonts>
  <fills count="6">
    <fill>
      <patternFill/>
    </fill>
    <fill>
      <patternFill patternType="gray125"/>
    </fill>
    <fill>
      <patternFill patternType="solid">
        <fgColor rgb="001E6B6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C9D3CF"/>
      </left>
      <right style="thin">
        <color rgb="00C9D3CF"/>
      </right>
      <top style="thin">
        <color rgb="00C9D3CF"/>
      </top>
      <bottom style="thin">
        <color rgb="00C9D3CF"/>
      </bottom>
    </border>
    <border>
      <left/>
      <right/>
      <top style="thin">
        <color rgb="00C9D3CF"/>
      </top>
      <bottom/>
      <diagonal/>
    </border>
    <border>
      <left/>
      <right style="thin">
        <color rgb="00C9D3CF"/>
      </right>
      <top style="thin">
        <color rgb="00C9D3CF"/>
      </top>
      <bottom/>
      <diagonal/>
    </border>
    <border>
      <left/>
      <right style="thin">
        <color rgb="00C9D3CF"/>
      </right>
      <top style="thin">
        <color rgb="00C9D3CF"/>
      </top>
      <bottom style="thin">
        <color rgb="00C9D3CF"/>
      </bottom>
      <diagonal/>
    </border>
    <border>
      <left/>
      <right/>
      <top style="thin">
        <color rgb="00C9D3CF"/>
      </top>
      <bottom style="thin">
        <color rgb="00C9D3CF"/>
      </bottom>
      <diagonal/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1" pivotButton="0" quotePrefix="0" xfId="0"/>
    <xf numFmtId="0" fontId="2" fillId="0" borderId="0" pivotButton="0" quotePrefix="0" xfId="0"/>
    <xf numFmtId="0" fontId="2" fillId="4" borderId="1" pivotButton="0" quotePrefix="0" xfId="0"/>
    <xf numFmtId="0" fontId="2" fillId="5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right" vertical="center"/>
    </xf>
    <xf numFmtId="164" fontId="2" fillId="0" borderId="1" pivotButton="0" quotePrefix="0" xfId="0"/>
    <xf numFmtId="0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165" fontId="2" fillId="0" borderId="1" pivotButton="0" quotePrefix="0" xfId="0"/>
    <xf numFmtId="2" fontId="2" fillId="4" borderId="1" applyAlignment="1" pivotButton="0" quotePrefix="0" xfId="0">
      <alignment horizontal="right" vertical="center"/>
    </xf>
    <xf numFmtId="2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2" fillId="3" borderId="0" pivotButton="0" quotePrefix="0" xfId="0"/>
    <xf numFmtId="0" fontId="2" fillId="0" borderId="1" pivotButton="0" quotePrefix="0" xfId="0"/>
    <xf numFmtId="166" fontId="2" fillId="3" borderId="1" pivotButton="0" quotePrefix="0" xfId="0"/>
    <xf numFmtId="164" fontId="2" fillId="3" borderId="1" pivotButton="0" quotePrefix="0" xfId="0"/>
    <xf numFmtId="2" fontId="6" fillId="5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0" fillId="0" borderId="4" pivotButton="0" quotePrefix="0" xfId="0"/>
    <xf numFmtId="164" fontId="6" fillId="5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right" vertical="center"/>
    </xf>
    <xf numFmtId="0" fontId="6" fillId="0" borderId="0" pivotButton="0" quotePrefix="0" xfId="0"/>
    <xf numFmtId="0" fontId="0" fillId="0" borderId="5" pivotButton="0" quotePrefix="0" xfId="0"/>
    <xf numFmtId="167" fontId="2" fillId="4" borderId="1" applyAlignment="1" pivotButton="0" quotePrefix="0" xfId="0">
      <alignment horizontal="right" vertical="center"/>
    </xf>
    <xf numFmtId="168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9" fontId="6" fillId="5" borderId="1" applyAlignment="1" pivotButton="0" quotePrefix="0" xfId="0">
      <alignment horizontal="right" vertical="center"/>
    </xf>
    <xf numFmtId="169" fontId="2" fillId="4" borderId="1" applyAlignment="1" pivotButton="0" quotePrefix="0" xfId="0">
      <alignment horizontal="right" vertical="center"/>
    </xf>
    <xf numFmtId="168" fontId="2" fillId="4" borderId="1" applyAlignment="1" pivotButton="0" quotePrefix="0" xfId="0">
      <alignment horizontal="right" vertical="center"/>
    </xf>
    <xf numFmtId="2" fontId="2" fillId="3" borderId="1" pivotButton="0" quotePrefix="0" xfId="0"/>
    <xf numFmtId="166" fontId="6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right" vertical="center"/>
    </xf>
    <xf numFmtId="164" fontId="2" fillId="0" borderId="1" pivotButton="0" quotePrefix="0" xfId="0"/>
    <xf numFmtId="165" fontId="2" fillId="4" borderId="1" applyAlignment="1" pivotButton="0" quotePrefix="0" xfId="0">
      <alignment horizontal="right" vertical="center"/>
    </xf>
    <xf numFmtId="165" fontId="2" fillId="0" borderId="1" pivotButton="0" quotePrefix="0" xfId="0"/>
    <xf numFmtId="166" fontId="2" fillId="3" borderId="1" pivotButton="0" quotePrefix="0" xfId="0"/>
    <xf numFmtId="164" fontId="2" fillId="3" borderId="1" pivotButton="0" quotePrefix="0" xfId="0"/>
    <xf numFmtId="166" fontId="2" fillId="4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/>
    </xf>
    <xf numFmtId="165" fontId="2" fillId="3" borderId="1" pivotButton="0" quotePrefix="0" xfId="0"/>
    <xf numFmtId="164" fontId="2" fillId="4" borderId="1" applyAlignment="1" pivotButton="0" quotePrefix="0" xfId="0">
      <alignment horizontal="right"/>
    </xf>
    <xf numFmtId="2" fontId="2" fillId="4" borderId="1" applyAlignment="1" pivotButton="0" quotePrefix="0" xfId="0">
      <alignment horizontal="right"/>
    </xf>
    <xf numFmtId="165" fontId="2" fillId="4" borderId="1" applyAlignment="1" pivotButton="0" quotePrefix="0" xfId="0">
      <alignment horizontal="right"/>
    </xf>
    <xf numFmtId="2" fontId="2" fillId="3" borderId="1" applyAlignment="1" pivotButton="0" quotePrefix="0" xfId="0">
      <alignment horizontal="right"/>
    </xf>
    <xf numFmtId="2" fontId="2" fillId="4" borderId="1" pivotButton="0" quotePrefix="0" xfId="0"/>
    <xf numFmtId="164" fontId="2" fillId="4" borderId="1" pivotButton="0" quotePrefix="0" xfId="0"/>
    <xf numFmtId="1" fontId="2" fillId="4" borderId="1" applyAlignment="1" pivotButton="0" quotePrefix="0" xfId="0">
      <alignment horizontal="right"/>
    </xf>
    <xf numFmtId="2" fontId="2" fillId="5" borderId="1" applyAlignment="1" pivotButton="0" quotePrefix="0" xfId="0">
      <alignment horizontal="right"/>
    </xf>
    <xf numFmtId="164" fontId="2" fillId="5" borderId="1" applyAlignment="1" pivotButton="0" quotePrefix="0" xfId="0">
      <alignment horizontal="right"/>
    </xf>
    <xf numFmtId="2" fontId="8" fillId="0" borderId="1" pivotButton="0" quotePrefix="0" xfId="0"/>
    <xf numFmtId="164" fontId="8" fillId="0" borderId="1" pivotButton="0" quotePrefix="0" xfId="0"/>
    <xf numFmtId="170" fontId="2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165" fontId="2" fillId="4" borderId="1" pivotButton="0" quotePrefix="0" xfId="0"/>
    <xf numFmtId="165" fontId="2" fillId="3" borderId="1" applyAlignment="1" pivotButton="0" quotePrefix="0" xfId="0">
      <alignment horizontal="right"/>
    </xf>
    <xf numFmtId="166" fontId="2" fillId="4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Oven vs IR moisture: difference plot (preview of Bland-Altman, NB04)</a:t>
            </a:r>
          </a:p>
        </rich>
      </tx>
    </title>
    <plotArea>
      <scatterChart>
        <scatterStyle val="lineMarker"/>
        <ser>
          <idx val="0"/>
          <order val="0"/>
          <tx>
            <v>each student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4A6FA5"/>
              </a:solidFill>
              <a:ln xmlns:a="http://schemas.openxmlformats.org/drawingml/2006/main">
                <a:solidFill>
                  <a:srgbClr val="4A6FA5"/>
                </a:solidFill>
                <a:prstDash val="solid"/>
              </a:ln>
            </spPr>
          </marker>
          <xVal>
            <numRef>
              <f>'5_烘箱vs紅外線'!$G$5:$G$19</f>
            </numRef>
          </xVal>
          <yVal>
            <numRef>
              <f>'5_烘箱vs紅外線'!$F$5:$F$19</f>
            </numRef>
          </yVal>
          <smooth val="0"/>
        </ser>
        <ser>
          <idx val="1"/>
          <order val="1"/>
          <tx>
            <v>mean bias</v>
          </tx>
          <spPr>
            <a:ln xmlns:a="http://schemas.openxmlformats.org/drawingml/2006/main" w="19050">
              <a:solidFill>
                <a:srgbClr val="B3306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'5_烘箱vs紅外線'!$M$5:$M$6</f>
            </numRef>
          </xVal>
          <yVal>
            <numRef>
              <f>'5_烘箱vs紅外線'!$N$5:$N$6</f>
            </numRef>
          </yVal>
          <smooth val="0"/>
        </ser>
        <ser>
          <idx val="2"/>
          <order val="2"/>
          <tx>
            <v>zero</v>
          </tx>
          <spPr>
            <a:ln xmlns:a="http://schemas.openxmlformats.org/drawingml/2006/main" w="19050">
              <a:solidFill>
                <a:srgbClr val="5B6964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'5_烘箱vs紅外線'!$M$5:$M$6</f>
            </numRef>
          </xVal>
          <yVal>
            <numRef>
              <f>'5_烘箱vs紅外線'!$O$5:$O$6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Mean of oven and IR moisture (%)</a:t>
                </a:r>
              </a:p>
            </rich>
          </tx>
        </title>
        <majorTickMark val="none"/>
        <minorTickMark val="none"/>
        <tickLblPos val="low"/>
        <crossAx val="20"/>
        <crosses val="min"/>
      </valAx>
      <valAx>
        <axId val="2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Difference: IR - oven (%)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10"/>
        <crosses val="min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aw vs moisture across different foods (n=5 groups per food)</a:t>
            </a:r>
          </a:p>
        </rich>
      </tx>
    </title>
    <plotArea>
      <scatterChart>
        <scatterStyle val="lineMarker"/>
        <ser>
          <idx val="0"/>
          <order val="0"/>
          <tx>
            <v>beef_jerky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B3306A"/>
              </a:solidFill>
              <a:ln xmlns:a="http://schemas.openxmlformats.org/drawingml/2006/main">
                <a:solidFill>
                  <a:srgbClr val="B3306A"/>
                </a:solidFill>
                <a:prstDash val="solid"/>
              </a:ln>
            </spPr>
          </marker>
          <xVal>
            <numRef>
              <f>'6_水活性'!$C$5:$C$9</f>
            </numRef>
          </xVal>
          <yVal>
            <numRef>
              <f>'6_水活性'!$D$5:$D$9</f>
            </numRef>
          </yVal>
          <smooth val="0"/>
        </ser>
        <ser>
          <idx val="1"/>
          <order val="1"/>
          <tx>
            <v>dried_longan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1E6B66"/>
              </a:solidFill>
              <a:ln xmlns:a="http://schemas.openxmlformats.org/drawingml/2006/main">
                <a:solidFill>
                  <a:srgbClr val="1E6B66"/>
                </a:solidFill>
                <a:prstDash val="solid"/>
              </a:ln>
            </spPr>
          </marker>
          <xVal>
            <numRef>
              <f>'6_水活性'!$C$10:$C$14</f>
            </numRef>
          </xVal>
          <yVal>
            <numRef>
              <f>'6_水活性'!$D$10:$D$14</f>
            </numRef>
          </yVal>
          <smooth val="0"/>
        </ser>
        <ser>
          <idx val="2"/>
          <order val="2"/>
          <tx>
            <v>white_bread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7"/>
            <spPr>
              <a:solidFill xmlns:a="http://schemas.openxmlformats.org/drawingml/2006/main">
                <a:srgbClr val="D08A1E"/>
              </a:solidFill>
              <a:ln xmlns:a="http://schemas.openxmlformats.org/drawingml/2006/main">
                <a:solidFill>
                  <a:srgbClr val="D08A1E"/>
                </a:solidFill>
                <a:prstDash val="solid"/>
              </a:ln>
            </spPr>
          </marker>
          <xVal>
            <numRef>
              <f>'6_水活性'!$C$15:$C$19</f>
            </numRef>
          </xVal>
          <yVal>
            <numRef>
              <f>'6_水活性'!$D$15:$D$19</f>
            </numRef>
          </yVal>
          <smooth val="0"/>
        </ser>
        <ser>
          <idx val="3"/>
          <order val="3"/>
          <tx>
            <v>potato_chips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7"/>
            <spPr>
              <a:solidFill xmlns:a="http://schemas.openxmlformats.org/drawingml/2006/main">
                <a:srgbClr val="4A6FA5"/>
              </a:solidFill>
              <a:ln xmlns:a="http://schemas.openxmlformats.org/drawingml/2006/main">
                <a:solidFill>
                  <a:srgbClr val="4A6FA5"/>
                </a:solidFill>
                <a:prstDash val="solid"/>
              </a:ln>
            </spPr>
          </marker>
          <xVal>
            <numRef>
              <f>'6_水活性'!$C$20:$C$24</f>
            </numRef>
          </xVal>
          <yVal>
            <numRef>
              <f>'6_水活性'!$D$20:$D$24</f>
            </numRef>
          </yVal>
          <smooth val="0"/>
        </ser>
        <ser>
          <idx val="4"/>
          <order val="4"/>
          <tx>
            <v>milk_powder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7A5C99"/>
              </a:solidFill>
              <a:ln xmlns:a="http://schemas.openxmlformats.org/drawingml/2006/main">
                <a:solidFill>
                  <a:srgbClr val="7A5C99"/>
                </a:solidFill>
                <a:prstDash val="solid"/>
              </a:ln>
            </spPr>
          </marker>
          <xVal>
            <numRef>
              <f>'6_水活性'!$C$25:$C$29</f>
            </numRef>
          </xVal>
          <yVal>
            <numRef>
              <f>'6_水活性'!$D$25:$D$29</f>
            </numRef>
          </yVal>
          <smooth val="0"/>
        </ser>
        <ser>
          <idx val="5"/>
          <order val="5"/>
          <tx>
            <v>honey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6B8E23"/>
              </a:solidFill>
              <a:ln xmlns:a="http://schemas.openxmlformats.org/drawingml/2006/main">
                <a:solidFill>
                  <a:srgbClr val="6B8E23"/>
                </a:solidFill>
                <a:prstDash val="solid"/>
              </a:ln>
            </spPr>
          </marker>
          <xVal>
            <numRef>
              <f>'6_水活性'!$C$30:$C$34</f>
            </numRef>
          </xVal>
          <yVal>
            <numRef>
              <f>'6_水活性'!$D$30:$D$34</f>
            </numRef>
          </yVal>
          <smooth val="0"/>
        </ser>
        <ser>
          <idx val="6"/>
          <order val="6"/>
          <tx>
            <v>bacteria min</v>
          </tx>
          <spPr>
            <a:ln xmlns:a="http://schemas.openxmlformats.org/drawingml/2006/main" w="12700">
              <a:solidFill>
                <a:srgbClr val="6F7A76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'6_水活性'!$L$5:$L$6</f>
            </numRef>
          </xVal>
          <yVal>
            <numRef>
              <f>'6_水活性'!$M$5:$M$6</f>
            </numRef>
          </yVal>
          <smooth val="0"/>
        </ser>
        <ser>
          <idx val="7"/>
          <order val="7"/>
          <tx>
            <v>yeast min</v>
          </tx>
          <spPr>
            <a:ln xmlns:a="http://schemas.openxmlformats.org/drawingml/2006/main" w="12700">
              <a:solidFill>
                <a:srgbClr val="6F7A76"/>
              </a:solidFill>
              <a:prstDash val="sys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'6_水活性'!$L$7:$L$8</f>
            </numRef>
          </xVal>
          <yVal>
            <numRef>
              <f>'6_水活性'!$M$7:$M$8</f>
            </numRef>
          </yVal>
          <smooth val="0"/>
        </ser>
        <ser>
          <idx val="8"/>
          <order val="8"/>
          <tx>
            <v>mold min</v>
          </tx>
          <spPr>
            <a:ln xmlns:a="http://schemas.openxmlformats.org/drawingml/2006/main" w="12700">
              <a:solidFill>
                <a:srgbClr val="6F7A76"/>
              </a:solidFill>
              <a:prstDash val="dashDot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'6_水活性'!$L$9:$L$10</f>
            </numRef>
          </xVal>
          <yVal>
            <numRef>
              <f>'6_水活性'!$M$9:$M$10</f>
            </numRef>
          </yVal>
          <smooth val="0"/>
        </ser>
        <ser>
          <idx val="9"/>
          <order val="9"/>
          <tx>
            <v>xerophilic mold min</v>
          </tx>
          <spPr>
            <a:ln xmlns:a="http://schemas.openxmlformats.org/drawingml/2006/main" w="12700">
              <a:solidFill>
                <a:srgbClr val="6F7A76"/>
              </a:solidFill>
              <a:prstDash val="lg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'6_水活性'!$L$11:$L$12</f>
            </numRef>
          </xVal>
          <yVal>
            <numRef>
              <f>'6_水活性'!$M$11:$M$12</f>
            </numRef>
          </yVal>
          <smooth val="0"/>
        </ser>
        <axId val="10"/>
        <axId val="20"/>
      </scatterChart>
      <valAx>
        <axId val="1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Moisture content (%, wet basis)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20"/>
        <crosses val="min"/>
      </valAx>
      <valAx>
        <axId val="2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Water activity (aw)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10"/>
        <crosses val="min"/>
        <majorUnit val="0.1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Noodle isotherm (28 °C) with GAB curve from ⑤</a:t>
            </a:r>
          </a:p>
        </rich>
      </tx>
    </title>
    <plotArea>
      <scatterChart>
        <scatterStyle val="lineMarker"/>
        <ser>
          <idx val="0"/>
          <order val="0"/>
          <tx>
            <v>Oven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1E6B66"/>
              </a:solidFill>
              <a:ln xmlns:a="http://schemas.openxmlformats.org/drawingml/2006/main">
                <a:solidFill>
                  <a:srgbClr val="1E6B66"/>
                </a:solidFill>
                <a:prstDash val="solid"/>
              </a:ln>
            </spPr>
          </marker>
          <xVal>
            <numRef>
              <f>'8_吸濕曲線'!$B$5:$B$12</f>
            </numRef>
          </xVal>
          <yVal>
            <numRef>
              <f>'8_吸濕曲線'!$E$5:$E$12</f>
            </numRef>
          </yVal>
        </ser>
        <ser>
          <idx val="1"/>
          <order val="1"/>
          <tx>
            <v>FD-660 (IR)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rgbClr val="D08A1E"/>
              </a:solidFill>
              <a:ln xmlns:a="http://schemas.openxmlformats.org/drawingml/2006/main">
                <a:solidFill>
                  <a:srgbClr val="D08A1E"/>
                </a:solidFill>
                <a:prstDash val="solid"/>
              </a:ln>
            </spPr>
          </marker>
          <xVal>
            <numRef>
              <f>'8_吸濕曲線'!$B$5:$B$12</f>
            </numRef>
          </xVal>
          <yVal>
            <numRef>
              <f>'8_吸濕曲線'!$F$5:$F$12</f>
            </numRef>
          </yVal>
        </ser>
        <ser>
          <idx val="2"/>
          <order val="2"/>
          <tx>
            <v>GAB (⑤ parameters)</v>
          </tx>
          <spPr>
            <a:ln xmlns:a="http://schemas.openxmlformats.org/drawingml/2006/main" w="22000">
              <a:solidFill>
                <a:srgbClr val="B3306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'8_吸濕曲線'!$S$5:$S$23</f>
            </numRef>
          </xVal>
          <yVal>
            <numRef>
              <f>'8_吸濕曲線'!$T$5:$T$23</f>
            </numRef>
          </yVal>
          <smooth val="0"/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aw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20"/>
      </valAx>
      <valAx>
        <axId val="20"/>
        <scaling>
          <orientation val="minMax"/>
          <max val="0.3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X (g water / g dry matter)</a:t>
                </a:r>
              </a:p>
            </rich>
          </tx>
        </title>
        <numFmt formatCode="0.00" sourceLinked="0"/>
        <majorTickMark val="none"/>
        <minorTickMark val="none"/>
        <tickLblPos val="low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BET linearisation: all points lie outside aw 0.05-0.45</a:t>
            </a:r>
          </a:p>
        </rich>
      </tx>
    </title>
    <plotArea>
      <scatterChart>
        <scatterStyle val="lineMarker"/>
        <ser>
          <idx val="0"/>
          <order val="0"/>
          <tx>
            <v>data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7"/>
            <spPr>
              <a:solidFill xmlns:a="http://schemas.openxmlformats.org/drawingml/2006/main">
                <a:srgbClr val="4A6FA5"/>
              </a:solidFill>
              <a:ln xmlns:a="http://schemas.openxmlformats.org/drawingml/2006/main">
                <a:solidFill>
                  <a:srgbClr val="4A6FA5"/>
                </a:solidFill>
                <a:prstDash val="solid"/>
              </a:ln>
            </spPr>
          </marker>
          <trendline>
            <spPr>
              <a:ln xmlns:a="http://schemas.openxmlformats.org/drawingml/2006/main" w="19050">
                <a:solidFill>
                  <a:srgbClr val="B3306A"/>
                </a:solidFill>
                <a:prstDash val="dash"/>
              </a:ln>
            </spPr>
            <trendlineType val="linear"/>
            <forward val="0.08"/>
            <backward val="0.5580000000000001"/>
            <dispRSqr val="1"/>
            <dispEq val="0"/>
          </trendline>
          <xVal>
            <numRef>
              <f>'8_吸濕曲線'!$B$5:$B$12</f>
            </numRef>
          </xVal>
          <yVal>
            <numRef>
              <f>'8_吸濕曲線'!$H$5:$H$12</f>
            </numRef>
          </yVal>
        </ser>
        <axId val="10"/>
        <axId val="20"/>
      </scatterChart>
      <valAx>
        <axId val="10"/>
        <scaling>
          <orientation val="minMax"/>
          <max val="1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aw</a:t>
                </a:r>
              </a:p>
            </rich>
          </tx>
        </title>
        <numFmt formatCode="0.0" sourceLinked="0"/>
        <majorTickMark val="none"/>
        <minorTickMark val="none"/>
        <tickLblPos val="low"/>
        <crossAx val="20"/>
      </valAx>
      <valAx>
        <axId val="20"/>
        <scaling>
          <orientation val="minMax"/>
          <max val="40"/>
          <min val="-35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aw / [(1 - aw) X]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Profile of Xm: Delta below 3.84 = data cannot tell</a:t>
            </a:r>
          </a:p>
        </rich>
      </tx>
    </title>
    <plotArea>
      <scatterChart>
        <scatterStyle val="lineMarker"/>
        <ser>
          <idx val="0"/>
          <order val="0"/>
          <tx>
            <v>Delta</v>
          </tx>
          <spPr>
            <a:ln xmlns:a="http://schemas.openxmlformats.org/drawingml/2006/main" w="22000">
              <a:solidFill>
                <a:srgbClr val="1E6B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'8_吸濕曲線'!$A$20:$A$68</f>
            </numRef>
          </xVal>
          <yVal>
            <numRef>
              <f>'8_吸濕曲線'!$F$20:$F$68</f>
            </numRef>
          </yVal>
          <smooth val="0"/>
        </ser>
        <ser>
          <idx val="1"/>
          <order val="1"/>
          <tx>
            <v>3.84 (95%)</v>
          </tx>
          <spPr>
            <a:ln xmlns:a="http://schemas.openxmlformats.org/drawingml/2006/main" w="22000">
              <a:solidFill>
                <a:srgbClr val="D08A1E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'8_吸濕曲線'!$S$27:$S$28</f>
            </numRef>
          </xVal>
          <yVal>
            <numRef>
              <f>'8_吸濕曲線'!$T$27:$T$28</f>
            </numRef>
          </yVal>
          <smooth val="0"/>
        </ser>
        <axId val="10"/>
        <axId val="20"/>
      </scatterChart>
      <valAx>
        <axId val="10"/>
        <scaling>
          <orientation val="minMax"/>
          <max val="0.15"/>
          <min val="0.03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Fixed Xm (g/g)</a:t>
                </a:r>
              </a:p>
            </rich>
          </tx>
        </title>
        <numFmt formatCode="0.00" sourceLinked="0"/>
        <majorTickMark val="none"/>
        <minorTickMark val="none"/>
        <tickLblPos val="low"/>
        <crossAx val="20"/>
      </valAx>
      <valAx>
        <axId val="20"/>
        <scaling>
          <orientation val="minMax"/>
          <max val="2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Delta</a:t>
                </a:r>
              </a:p>
            </rich>
          </tx>
        </title>
        <numFmt formatCode="0" sourceLinked="0"/>
        <majorTickMark val="none"/>
        <minorTickMark val="none"/>
        <tickLblPos val="low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EX02</author>
  </authors>
  <commentList>
    <comment ref="B20" authorId="0" shapeId="0">
      <text>
        <t>C 撞到上限 1000：Xm 太小時，GAB 無論如何都配不上數據，C 被推到邊界。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71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71</row>
      <rowOff>0</rowOff>
    </from>
    <ext cx="5400000" cy="30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89</row>
      <rowOff>0</rowOff>
    </from>
    <ext cx="540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i-shengyeh.github.io/food-analysis-lab/labs/w02_moisture/index.html" TargetMode="External" Id="rId1"/><Relationship Type="http://schemas.openxmlformats.org/officeDocument/2006/relationships/hyperlink" Target="https://colab.research.google.com/github/Tai-ShengYeh/food-analysis-lab/blob/main/notebooks/NB02_moisture_aw.ipynb" TargetMode="External" Id="rId2"/><Relationship Type="http://schemas.openxmlformats.org/officeDocument/2006/relationships/hyperlink" Target="https://tai-shengyeh.github.io/food-analysis-lab/tools.html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E6B66"/>
    <outlinePr summaryBelow="1" summaryRight="1"/>
    <pageSetUpPr fitToPage="1"/>
  </sheetPr>
  <dimension ref="B1:E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22" customWidth="1" min="4" max="4"/>
    <col width="40" customWidth="1" min="5" max="5"/>
  </cols>
  <sheetData>
    <row r="1" ht="28" customHeight="1">
      <c r="B1" s="1" t="inlineStr">
        <is>
          <t>EX02｜W2 水分與水活性</t>
        </is>
      </c>
    </row>
    <row r="2">
      <c r="B2" s="2" t="inlineStr">
        <is>
          <t>食品分析實驗・入門數據分析（Excel 版）。不用寫程式；同一份數據在 Colab 筆記本做進階分析，答案應該一致。</t>
        </is>
      </c>
    </row>
    <row r="4">
      <c r="B4" s="3" t="inlineStr">
        <is>
          <t>學習目標</t>
        </is>
      </c>
    </row>
    <row r="5">
      <c r="B5" s="4" t="inlineStr">
        <is>
          <t>•  由空盤、盤+樣品、乾燥後的秤重，算出濕基 (wet basis) 與乾基 (dry basis) 水分 %。</t>
        </is>
      </c>
    </row>
    <row r="6">
      <c r="B6" s="4" t="inlineStr">
        <is>
          <t>•  用「連續兩次秤重差 ≤ 2 mg」判斷是否達恆重，決定要不要再烘一次、該用哪一次的重量。</t>
        </is>
      </c>
    </row>
    <row r="7">
      <c r="B7" s="4" t="inlineStr">
        <is>
          <t>•  用 AVERAGEIFS、STDEV.S 算各組平均、SD、RSD%。</t>
        </is>
      </c>
    </row>
    <row r="8">
      <c r="B8" s="4" t="inlineStr">
        <is>
          <t>•  用成對 t 檢定（T.DIST.2T）判斷紅外線水分計和烘箱法有沒有系統性偏差 (bias)。</t>
        </is>
      </c>
    </row>
    <row r="9">
      <c r="B9" s="4" t="inlineStr">
        <is>
          <t>•  用散佈圖說明「水分％相同 ≠ 水活性 aw 相同」，並對照微生物生長下限。</t>
        </is>
      </c>
    </row>
    <row r="10">
      <c r="B10" s="4" t="inlineStr">
        <is>
          <t>•  分析全學期共同盲樣（全脂奶粉）的班級數據 (n = 5 組)。</t>
        </is>
      </c>
    </row>
    <row r="11">
      <c r="B11" s="4" t="inlineStr">
        <is>
          <t>•  （延伸）用真實麵條數據畫等溫吸濕曲線，判斷 BET／GAB 算出的單分子層水 Xm 撐不撐得住（「8_吸濕曲線」）。</t>
        </is>
      </c>
    </row>
    <row r="12">
      <c r="B12" s="3" t="inlineStr">
        <is>
          <t>顏色代表什麼</t>
        </is>
      </c>
    </row>
    <row r="13">
      <c r="B13" s="5" t="inlineStr"/>
      <c r="C13" s="6" t="inlineStr">
        <is>
          <t>黃色：輸入或貼上數據的地方</t>
        </is>
      </c>
    </row>
    <row r="14">
      <c r="B14" s="7" t="inlineStr"/>
      <c r="C14" s="6" t="inlineStr">
        <is>
          <t>綠色：公式，會自動計算，不要改</t>
        </is>
      </c>
    </row>
    <row r="15">
      <c r="B15" s="8" t="inlineStr"/>
      <c r="C15" s="6" t="inlineStr">
        <is>
          <t>橘色：重點結果，寫報告時用</t>
        </is>
      </c>
    </row>
    <row r="17">
      <c r="B17" s="3" t="inlineStr">
        <is>
          <t>操作步驟</t>
        </is>
      </c>
    </row>
    <row r="18" ht="15" customHeight="1">
      <c r="B18" s="4" t="inlineStr">
        <is>
          <t>1. 看「1_原始數據」：一列是一次秤重或一次讀值，item 欄告訴你是哪一種。</t>
        </is>
      </c>
    </row>
    <row r="19" ht="15" customHeight="1">
      <c r="B19" s="4" t="inlineStr">
        <is>
          <t>2. 看「2_濕基乾基」：用講義例題熟悉公式，再用恆重計算器練習判斷。</t>
        </is>
      </c>
    </row>
    <row r="20" ht="15" customHeight="1">
      <c r="B20" s="4" t="inlineStr">
        <is>
          <t>3. 看「3_烘箱法恆重」：每位同學一列，自動判定恆重並算出濕基、乾基水分。</t>
        </is>
      </c>
    </row>
    <row r="21" ht="15" customHeight="1">
      <c r="B21" s="4" t="inlineStr">
        <is>
          <t>4. 看「4_各組統計」：各組（各食品）的平均、SD、RSD%。</t>
        </is>
      </c>
    </row>
    <row r="22" ht="15" customHeight="1">
      <c r="B22" s="4" t="inlineStr">
        <is>
          <t>5. 看「5_烘箱vs紅外線」：成對 t 檢定與差異圖。</t>
        </is>
      </c>
    </row>
    <row r="23" ht="15" customHeight="1">
      <c r="B23" s="4" t="inlineStr">
        <is>
          <t>6. 看「6_水活性」與「7_共同盲樣」：aw vs 水分散佈圖、奶粉盲樣的班級平均。</t>
        </is>
      </c>
    </row>
    <row r="24" ht="15" customHeight="1">
      <c r="B24" s="4" t="inlineStr">
        <is>
          <t>7. 完成「練習題」。</t>
        </is>
      </c>
    </row>
    <row r="25" ht="30" customHeight="1">
      <c r="B25" s="4" t="inlineStr">
        <is>
          <t>8. 換成班級數據：把共用 Google Sheet 的數據貼到「1_原始數據」A2 起；名單不同就改「3_烘箱法恆重」A–C 欄、「4_各組統計」A–B 欄、「6_水活性」A–B 欄。</t>
        </is>
      </c>
    </row>
    <row r="27">
      <c r="B27" s="3" t="inlineStr">
        <is>
          <t>對答案：用內建範例數據時，你的結果應該等於</t>
        </is>
      </c>
    </row>
    <row r="28">
      <c r="B28" s="9" t="inlineStr">
        <is>
          <t>項目</t>
        </is>
      </c>
      <c r="C28" s="9" t="inlineStr">
        <is>
          <t>本檔計算值</t>
        </is>
      </c>
      <c r="D28" s="9" t="inlineStr">
        <is>
          <t>Colab 筆記本的值</t>
        </is>
      </c>
      <c r="E28" s="9" t="inlineStr">
        <is>
          <t>一致？</t>
        </is>
      </c>
    </row>
    <row r="29">
      <c r="B29" s="10" t="inlineStr">
        <is>
          <t>G1_S1 牛肉乾 濕基水分 (%)</t>
        </is>
      </c>
      <c r="C29" s="43">
        <f>'3_烘箱法恆重'!Q5</f>
        <v/>
      </c>
      <c r="D29" s="44" t="n">
        <v>20.42062415196735</v>
      </c>
      <c r="E29" s="13">
        <f>IF(ABS(C29-D29)&lt;=0.002042063415196735,"✔ 一致","✘ 不一致（換成班級數據後本來就會不同）")</f>
        <v/>
      </c>
    </row>
    <row r="30">
      <c r="B30" s="10" t="inlineStr">
        <is>
          <t>G1_S1 牛肉乾 乾基水分 (%)</t>
        </is>
      </c>
      <c r="C30" s="43">
        <f>'3_烘箱法恆重'!R5</f>
        <v/>
      </c>
      <c r="D30" s="44" t="n">
        <v>25.66069906223345</v>
      </c>
      <c r="E30" s="13">
        <f>IF(ABS(C30-D30)&lt;=0.002566070906223345,"✔ 一致","✘ 不一致（換成班級數據後本來就會不同）")</f>
        <v/>
      </c>
    </row>
    <row r="31">
      <c r="B31" s="10" t="inlineStr">
        <is>
          <t>G3_S2 白吐司 濕基水分（用第 3 次秤重）(%)</t>
        </is>
      </c>
      <c r="C31" s="43">
        <f>'3_烘箱法恆重'!Q12</f>
        <v/>
      </c>
      <c r="D31" s="44" t="n">
        <v>35.28132107188775</v>
      </c>
      <c r="E31" s="13">
        <f>IF(ABS(C31-D31)&lt;=0.0035281331071887754,"✔ 一致","✘ 不一致（換成班級數據後本來就會不同）")</f>
        <v/>
      </c>
    </row>
    <row r="32">
      <c r="B32" s="10" t="inlineStr">
        <is>
          <t>白吐司（第 3 組）RSD (%)</t>
        </is>
      </c>
      <c r="C32" s="43">
        <f>'4_各組統計'!F7</f>
        <v/>
      </c>
      <c r="D32" s="44" t="n">
        <v>1.521855236270101</v>
      </c>
      <c r="E32" s="13">
        <f>IF(ABS(C32-D32)&lt;=0.00015218652362701012,"✔ 一致","✘ 不一致（換成班級數據後本來就會不同）")</f>
        <v/>
      </c>
    </row>
    <row r="33">
      <c r="B33" s="10" t="inlineStr">
        <is>
          <t>洋芋片（第 4 組）RSD (%)</t>
        </is>
      </c>
      <c r="C33" s="43">
        <f>'4_各組統計'!F8</f>
        <v/>
      </c>
      <c r="D33" s="44" t="n">
        <v>25.83607439894361</v>
      </c>
      <c r="E33" s="13">
        <f>IF(ABS(C33-D33)&lt;=0.0025836084398943608,"✔ 一致","✘ 不一致（換成班級數據後本來就會不同）")</f>
        <v/>
      </c>
    </row>
    <row r="34">
      <c r="B34" s="10" t="inlineStr">
        <is>
          <t>平均偏差 IR − 烘箱 (%)</t>
        </is>
      </c>
      <c r="C34" s="43">
        <f>'5_烘箱vs紅外線'!J6</f>
        <v/>
      </c>
      <c r="D34" s="44" t="n">
        <v>-0.4986190314390423</v>
      </c>
      <c r="E34" s="13">
        <f>IF(ABS(C34-D34)&lt;=4.986290314390424e-05,"✔ 一致","✘ 不一致（換成班級數據後本來就會不同）")</f>
        <v/>
      </c>
    </row>
    <row r="35">
      <c r="B35" s="10" t="inlineStr">
        <is>
          <t>成對 t 值</t>
        </is>
      </c>
      <c r="C35" s="45">
        <f>'5_烘箱vs紅外線'!J9</f>
        <v/>
      </c>
      <c r="D35" s="46" t="n">
        <v>-8.644386893055584</v>
      </c>
      <c r="E35" s="13">
        <f>IF(ABS(C35-D35)&lt;=0.0008644396893055584,"✔ 一致","✘ 不一致（換成班級數據後本來就會不同）")</f>
        <v/>
      </c>
    </row>
    <row r="36">
      <c r="B36" s="10" t="inlineStr">
        <is>
          <t>全脂奶粉盲樣 RSD (%)</t>
        </is>
      </c>
      <c r="C36" s="16">
        <f>'7_共同盲樣'!B15</f>
        <v/>
      </c>
      <c r="D36" s="17" t="n">
        <v>16.95368774406495</v>
      </c>
      <c r="E36" s="13">
        <f>IF(ABS(C36-D36)&lt;=0.0016953697744064955,"✔ 一致","✘ 不一致（換成班級數據後本來就會不同）")</f>
        <v/>
      </c>
    </row>
    <row r="37">
      <c r="B37" s="18" t="inlineStr">
        <is>
          <t>「Colab 筆記本的值」是用內建模擬數據算出的答案；換成全班數據後，這一欄就不再適用。</t>
        </is>
      </c>
    </row>
    <row r="39">
      <c r="B39" s="3" t="inlineStr">
        <is>
          <t>相關連結</t>
        </is>
      </c>
    </row>
    <row r="40">
      <c r="B40" s="19" t="inlineStr">
        <is>
          <t>本週實驗投影片</t>
        </is>
      </c>
      <c r="C40" s="2" t="inlineStr">
        <is>
          <t>https://tai-shengyeh.github.io/food-analysis-lab/labs/w02_moisture/index.html</t>
        </is>
      </c>
    </row>
    <row r="41">
      <c r="B41" s="19" t="inlineStr">
        <is>
          <t>進階：Colab 筆記本（Python）</t>
        </is>
      </c>
      <c r="C41" s="2" t="inlineStr">
        <is>
          <t>https://colab.research.google.com/github/Tai-ShengYeh/food-analysis-lab/blob/main/notebooks/NB02_moisture_aw.ipynb</t>
        </is>
      </c>
    </row>
    <row r="42">
      <c r="B42" s="19" t="inlineStr">
        <is>
          <t>數據分析工具指南（Excel／Orange／Colab）</t>
        </is>
      </c>
      <c r="C42" s="2" t="inlineStr">
        <is>
          <t>https://tai-shengyeh.github.io/food-analysis-lab/tools.html</t>
        </is>
      </c>
    </row>
    <row r="43">
      <c r="B43" s="19" t="inlineStr">
        <is>
          <t>延伸：麵條等溫吸濕曲線（互動網頁）</t>
        </is>
      </c>
      <c r="C43" s="2" t="inlineStr">
        <is>
          <t>https://tai-shengyeh.github.io/food-analysis-lab/labs/w02_moisture/isotherm.html</t>
        </is>
      </c>
    </row>
    <row r="44">
      <c r="B44" s="3" t="inlineStr">
        <is>
          <t>小提醒</t>
        </is>
      </c>
    </row>
    <row r="45" ht="30" customHeight="1">
      <c r="B45" s="4" t="inlineStr">
        <is>
          <t>•  成對 t 檢定的 p 值（「5_烘箱vs紅外線」J11）非常小，用科學記號顯示；Colab 印成 0.0000 是因為只顯示到小數第 4 位。</t>
        </is>
      </c>
    </row>
    <row r="46" ht="30" customHeight="1">
      <c r="B46" s="4" t="inlineStr">
        <is>
          <t>•  進階：完整的方法比較（Bland–Altman 一致性界限、F 檢定）在 W4 的 EX04／NB04；匯出 CSV 請看 Colab 筆記本。</t>
        </is>
      </c>
    </row>
    <row r="47" ht="15" customHeight="1">
      <c r="B47" s="4" t="inlineStr">
        <is>
          <t>•  Google 試算表也能開這個檔（檔案 → 匯入），公式都一樣能用。</t>
        </is>
      </c>
    </row>
    <row r="48" ht="15" customHeight="1">
      <c r="B48" s="4" t="inlineStr">
        <is>
          <t>•  看到 #NAME? 表示 Excel 版本太舊（2007 以前），請改用 Google 試算表。</t>
        </is>
      </c>
    </row>
  </sheetData>
  <mergeCells count="20">
    <mergeCell ref="B9:E9"/>
    <mergeCell ref="B6:E6"/>
    <mergeCell ref="B24:E24"/>
    <mergeCell ref="B5:E5"/>
    <mergeCell ref="B20:E20"/>
    <mergeCell ref="B45:E45"/>
    <mergeCell ref="B7:E7"/>
    <mergeCell ref="B25:E25"/>
    <mergeCell ref="B47:E47"/>
    <mergeCell ref="B46:E46"/>
    <mergeCell ref="B22:E22"/>
    <mergeCell ref="B18:E18"/>
    <mergeCell ref="B21:E21"/>
    <mergeCell ref="B48:E48"/>
    <mergeCell ref="B11:E11"/>
    <mergeCell ref="B23:E23"/>
    <mergeCell ref="B8:E8"/>
    <mergeCell ref="B19:E19"/>
    <mergeCell ref="B37:E37"/>
    <mergeCell ref="B10:E10"/>
  </mergeCells>
  <hyperlinks>
    <hyperlink xmlns:r="http://schemas.openxmlformats.org/officeDocument/2006/relationships" ref="B40" r:id="rId1"/>
    <hyperlink xmlns:r="http://schemas.openxmlformats.org/officeDocument/2006/relationships" ref="B41" r:id="rId2"/>
    <hyperlink xmlns:r="http://schemas.openxmlformats.org/officeDocument/2006/relationships" ref="B42" r:id="rId3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 fitToPage="0"/>
  </sheetPr>
  <dimension ref="A1:K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0" customWidth="1" min="11" max="11"/>
  </cols>
  <sheetData>
    <row r="1">
      <c r="A1" s="9" t="inlineStr">
        <is>
          <t>group</t>
        </is>
      </c>
      <c r="B1" s="9" t="inlineStr">
        <is>
          <t>student</t>
        </is>
      </c>
      <c r="C1" s="9" t="inlineStr">
        <is>
          <t>item</t>
        </is>
      </c>
      <c r="D1" s="9" t="inlineStr">
        <is>
          <t>rep</t>
        </is>
      </c>
      <c r="E1" s="9" t="inlineStr">
        <is>
          <t>value</t>
        </is>
      </c>
      <c r="F1" s="9" t="inlineStr">
        <is>
          <t>unit</t>
        </is>
      </c>
      <c r="G1" s="9" t="inlineStr">
        <is>
          <t>temp_C</t>
        </is>
      </c>
      <c r="H1" s="9" t="inlineStr">
        <is>
          <t>note</t>
        </is>
      </c>
      <c r="I1" s="9" t="inlineStr">
        <is>
          <t>sample</t>
        </is>
      </c>
      <c r="K1" s="3" t="inlineStr">
        <is>
          <t>這張工作表怎麼用</t>
        </is>
      </c>
    </row>
    <row r="2" ht="75" customHeight="1">
      <c r="A2" s="20" t="n">
        <v>1</v>
      </c>
      <c r="B2" s="20" t="inlineStr">
        <is>
          <t>G1_S1</t>
        </is>
      </c>
      <c r="C2" s="20" t="inlineStr">
        <is>
          <t>oven_dish_g</t>
        </is>
      </c>
      <c r="D2" s="20" t="n">
        <v>1</v>
      </c>
      <c r="E2" s="20" t="n">
        <v>18.8698</v>
      </c>
      <c r="F2" s="20" t="inlineStr">
        <is>
          <t>g</t>
        </is>
      </c>
      <c r="G2" s="20" t="n">
        <v>103.4</v>
      </c>
      <c r="H2" s="20" t="n"/>
      <c r="I2" s="20" t="inlineStr">
        <is>
          <t>beef_jerky</t>
        </is>
      </c>
      <c r="K2" s="18" t="inlineStr">
        <is>
          <t>本週欄位：item＝量測項目。oven_dish_g 空盤重、oven_wet_g 盤+樣品重、oven_dry1_g／dry2_g／dry3_g 第 1／2／3 次乾燥後（盤+乾樣品）重，單位 g；ir_moisture_pct 紅外線水分計讀值 (%)；moisture_pct_survey 與 aw_reading 是全班 6 種食品的快速水分 (%) 與水活性 aw。</t>
        </is>
      </c>
    </row>
    <row r="3" ht="45" customHeight="1">
      <c r="A3" s="20" t="n">
        <v>1</v>
      </c>
      <c r="B3" s="20" t="inlineStr">
        <is>
          <t>G1_S1</t>
        </is>
      </c>
      <c r="C3" s="20" t="inlineStr">
        <is>
          <t>oven_wet_g</t>
        </is>
      </c>
      <c r="D3" s="20" t="n">
        <v>1</v>
      </c>
      <c r="E3" s="20" t="n">
        <v>21.8178</v>
      </c>
      <c r="F3" s="20" t="inlineStr">
        <is>
          <t>g</t>
        </is>
      </c>
      <c r="G3" s="20" t="n">
        <v>103.4</v>
      </c>
      <c r="H3" s="20" t="n"/>
      <c r="I3" s="20" t="inlineStr">
        <is>
          <t>beef_jerky</t>
        </is>
      </c>
      <c r="K3" s="18" t="inlineStr">
        <is>
          <t>sample＝食品樣品名稱（beef_jerky 牛肉乾、dried_longan 龍眼乾、white_bread 白吐司、potato_chips 洋芋片、milk_powder 全脂奶粉、honey 蜂蜜）。</t>
        </is>
      </c>
    </row>
    <row r="4" ht="15" customHeight="1">
      <c r="A4" s="20" t="n">
        <v>1</v>
      </c>
      <c r="B4" s="20" t="inlineStr">
        <is>
          <t>G1_S1</t>
        </is>
      </c>
      <c r="C4" s="20" t="inlineStr">
        <is>
          <t>oven_dry1_g</t>
        </is>
      </c>
      <c r="D4" s="20" t="n">
        <v>1</v>
      </c>
      <c r="E4" s="20" t="n">
        <v>21.2171</v>
      </c>
      <c r="F4" s="20" t="inlineStr">
        <is>
          <t>g</t>
        </is>
      </c>
      <c r="G4" s="20" t="n">
        <v>103.4</v>
      </c>
      <c r="H4" s="20" t="n"/>
      <c r="I4" s="20" t="inlineStr">
        <is>
          <t>beef_jerky</t>
        </is>
      </c>
      <c r="K4" s="18" t="inlineStr">
        <is>
          <t>本週沒有需要換算的欄位，所以沒有綠色欄；計算都在後面的工作表。</t>
        </is>
      </c>
    </row>
    <row r="5" ht="30" customHeight="1">
      <c r="A5" s="20" t="n">
        <v>1</v>
      </c>
      <c r="B5" s="20" t="inlineStr">
        <is>
          <t>G1_S1</t>
        </is>
      </c>
      <c r="C5" s="20" t="inlineStr">
        <is>
          <t>oven_dry2_g</t>
        </is>
      </c>
      <c r="D5" s="20" t="n">
        <v>1</v>
      </c>
      <c r="E5" s="20" t="n">
        <v>21.2158</v>
      </c>
      <c r="F5" s="20" t="inlineStr">
        <is>
          <t>g</t>
        </is>
      </c>
      <c r="G5" s="20" t="n">
        <v>103.4</v>
      </c>
      <c r="H5" s="20" t="inlineStr">
        <is>
          <t>第2次與第1次秤重差 ≤ 2 mg，達恆重</t>
        </is>
      </c>
      <c r="I5" s="20" t="inlineStr">
        <is>
          <t>beef_jerky</t>
        </is>
      </c>
      <c r="K5" s="18" t="inlineStr">
        <is>
          <t>黃色欄位＝原始數據。換成全班數據時：從共用 Google Sheet 複製，貼到 A2（欄位順序必須一樣），舊資料多出來的列要整列刪除。</t>
        </is>
      </c>
    </row>
    <row r="6" ht="15" customHeight="1">
      <c r="A6" s="20" t="n">
        <v>1</v>
      </c>
      <c r="B6" s="20" t="inlineStr">
        <is>
          <t>G1_S1</t>
        </is>
      </c>
      <c r="C6" s="20" t="inlineStr">
        <is>
          <t>ir_moisture_pct</t>
        </is>
      </c>
      <c r="D6" s="20" t="n">
        <v>1</v>
      </c>
      <c r="E6" s="20" t="n">
        <v>19.63</v>
      </c>
      <c r="F6" s="20" t="inlineStr">
        <is>
          <t>%</t>
        </is>
      </c>
      <c r="G6" s="20" t="n">
        <v>25.5</v>
      </c>
      <c r="H6" s="20" t="n"/>
      <c r="I6" s="20" t="inlineStr">
        <is>
          <t>beef_jerky</t>
        </is>
      </c>
      <c r="K6" s="18" t="inlineStr">
        <is>
          <t>綠色欄位＝公式，會自動算到第 1000 列，不要手動修改。</t>
        </is>
      </c>
    </row>
    <row r="7">
      <c r="A7" s="20" t="n">
        <v>1</v>
      </c>
      <c r="B7" s="20" t="inlineStr">
        <is>
          <t>G1_S2</t>
        </is>
      </c>
      <c r="C7" s="20" t="inlineStr">
        <is>
          <t>oven_dish_g</t>
        </is>
      </c>
      <c r="D7" s="20" t="n">
        <v>1</v>
      </c>
      <c r="E7" s="20" t="n">
        <v>18.9303</v>
      </c>
      <c r="F7" s="20" t="inlineStr">
        <is>
          <t>g</t>
        </is>
      </c>
      <c r="G7" s="20" t="n">
        <v>105.6</v>
      </c>
      <c r="H7" s="20" t="n"/>
      <c r="I7" s="20" t="inlineStr">
        <is>
          <t>beef_jerky</t>
        </is>
      </c>
    </row>
    <row r="8">
      <c r="A8" s="20" t="n">
        <v>1</v>
      </c>
      <c r="B8" s="20" t="inlineStr">
        <is>
          <t>G1_S2</t>
        </is>
      </c>
      <c r="C8" s="20" t="inlineStr">
        <is>
          <t>oven_wet_g</t>
        </is>
      </c>
      <c r="D8" s="20" t="n">
        <v>1</v>
      </c>
      <c r="E8" s="20" t="n">
        <v>21.9295</v>
      </c>
      <c r="F8" s="20" t="inlineStr">
        <is>
          <t>g</t>
        </is>
      </c>
      <c r="G8" s="20" t="n">
        <v>105.6</v>
      </c>
      <c r="H8" s="20" t="n"/>
      <c r="I8" s="20" t="inlineStr">
        <is>
          <t>beef_jerky</t>
        </is>
      </c>
    </row>
    <row r="9">
      <c r="A9" s="20" t="n">
        <v>1</v>
      </c>
      <c r="B9" s="20" t="inlineStr">
        <is>
          <t>G1_S2</t>
        </is>
      </c>
      <c r="C9" s="20" t="inlineStr">
        <is>
          <t>oven_dry1_g</t>
        </is>
      </c>
      <c r="D9" s="20" t="n">
        <v>1</v>
      </c>
      <c r="E9" s="20" t="n">
        <v>21.3425</v>
      </c>
      <c r="F9" s="20" t="inlineStr">
        <is>
          <t>g</t>
        </is>
      </c>
      <c r="G9" s="20" t="n">
        <v>105.6</v>
      </c>
      <c r="H9" s="20" t="n"/>
      <c r="I9" s="20" t="inlineStr">
        <is>
          <t>beef_jerky</t>
        </is>
      </c>
    </row>
    <row r="10">
      <c r="A10" s="20" t="n">
        <v>1</v>
      </c>
      <c r="B10" s="20" t="inlineStr">
        <is>
          <t>G1_S2</t>
        </is>
      </c>
      <c r="C10" s="20" t="inlineStr">
        <is>
          <t>oven_dry2_g</t>
        </is>
      </c>
      <c r="D10" s="20" t="n">
        <v>1</v>
      </c>
      <c r="E10" s="20" t="n">
        <v>21.3418</v>
      </c>
      <c r="F10" s="20" t="inlineStr">
        <is>
          <t>g</t>
        </is>
      </c>
      <c r="G10" s="20" t="n">
        <v>105.6</v>
      </c>
      <c r="H10" s="20" t="inlineStr">
        <is>
          <t>第2次與第1次秤重差 ≤ 2 mg，達恆重</t>
        </is>
      </c>
      <c r="I10" s="20" t="inlineStr">
        <is>
          <t>beef_jerky</t>
        </is>
      </c>
    </row>
    <row r="11">
      <c r="A11" s="20" t="n">
        <v>1</v>
      </c>
      <c r="B11" s="20" t="inlineStr">
        <is>
          <t>G1_S2</t>
        </is>
      </c>
      <c r="C11" s="20" t="inlineStr">
        <is>
          <t>ir_moisture_pct</t>
        </is>
      </c>
      <c r="D11" s="20" t="n">
        <v>1</v>
      </c>
      <c r="E11" s="20" t="n">
        <v>19.22</v>
      </c>
      <c r="F11" s="20" t="inlineStr">
        <is>
          <t>%</t>
        </is>
      </c>
      <c r="G11" s="20" t="n">
        <v>25.6</v>
      </c>
      <c r="H11" s="20" t="n"/>
      <c r="I11" s="20" t="inlineStr">
        <is>
          <t>beef_jerky</t>
        </is>
      </c>
    </row>
    <row r="12">
      <c r="A12" s="20" t="n">
        <v>1</v>
      </c>
      <c r="B12" s="20" t="inlineStr">
        <is>
          <t>G1_S3</t>
        </is>
      </c>
      <c r="C12" s="20" t="inlineStr">
        <is>
          <t>oven_dish_g</t>
        </is>
      </c>
      <c r="D12" s="20" t="n">
        <v>1</v>
      </c>
      <c r="E12" s="20" t="n">
        <v>17.2171</v>
      </c>
      <c r="F12" s="20" t="inlineStr">
        <is>
          <t>g</t>
        </is>
      </c>
      <c r="G12" s="20" t="n">
        <v>105.7</v>
      </c>
      <c r="H12" s="20" t="n"/>
      <c r="I12" s="20" t="inlineStr">
        <is>
          <t>beef_jerky</t>
        </is>
      </c>
    </row>
    <row r="13">
      <c r="A13" s="20" t="n">
        <v>1</v>
      </c>
      <c r="B13" s="20" t="inlineStr">
        <is>
          <t>G1_S3</t>
        </is>
      </c>
      <c r="C13" s="20" t="inlineStr">
        <is>
          <t>oven_wet_g</t>
        </is>
      </c>
      <c r="D13" s="20" t="n">
        <v>1</v>
      </c>
      <c r="E13" s="20" t="n">
        <v>20.1741</v>
      </c>
      <c r="F13" s="20" t="inlineStr">
        <is>
          <t>g</t>
        </is>
      </c>
      <c r="G13" s="20" t="n">
        <v>105.7</v>
      </c>
      <c r="H13" s="20" t="n"/>
      <c r="I13" s="20" t="inlineStr">
        <is>
          <t>beef_jerky</t>
        </is>
      </c>
    </row>
    <row r="14">
      <c r="A14" s="20" t="n">
        <v>1</v>
      </c>
      <c r="B14" s="20" t="inlineStr">
        <is>
          <t>G1_S3</t>
        </is>
      </c>
      <c r="C14" s="20" t="inlineStr">
        <is>
          <t>oven_dry1_g</t>
        </is>
      </c>
      <c r="D14" s="20" t="n">
        <v>1</v>
      </c>
      <c r="E14" s="20" t="n">
        <v>19.5772</v>
      </c>
      <c r="F14" s="20" t="inlineStr">
        <is>
          <t>g</t>
        </is>
      </c>
      <c r="G14" s="20" t="n">
        <v>105.7</v>
      </c>
      <c r="H14" s="20" t="n"/>
      <c r="I14" s="20" t="inlineStr">
        <is>
          <t>beef_jerky</t>
        </is>
      </c>
    </row>
    <row r="15">
      <c r="A15" s="20" t="n">
        <v>1</v>
      </c>
      <c r="B15" s="20" t="inlineStr">
        <is>
          <t>G1_S3</t>
        </is>
      </c>
      <c r="C15" s="20" t="inlineStr">
        <is>
          <t>oven_dry2_g</t>
        </is>
      </c>
      <c r="D15" s="20" t="n">
        <v>1</v>
      </c>
      <c r="E15" s="20" t="n">
        <v>19.577</v>
      </c>
      <c r="F15" s="20" t="inlineStr">
        <is>
          <t>g</t>
        </is>
      </c>
      <c r="G15" s="20" t="n">
        <v>105.7</v>
      </c>
      <c r="H15" s="20" t="inlineStr">
        <is>
          <t>第2次與第1次秤重差 ≤ 2 mg，達恆重</t>
        </is>
      </c>
      <c r="I15" s="20" t="inlineStr">
        <is>
          <t>beef_jerky</t>
        </is>
      </c>
    </row>
    <row r="16">
      <c r="A16" s="20" t="n">
        <v>1</v>
      </c>
      <c r="B16" s="20" t="inlineStr">
        <is>
          <t>G1_S3</t>
        </is>
      </c>
      <c r="C16" s="20" t="inlineStr">
        <is>
          <t>ir_moisture_pct</t>
        </is>
      </c>
      <c r="D16" s="20" t="n">
        <v>1</v>
      </c>
      <c r="E16" s="20" t="n">
        <v>19.78</v>
      </c>
      <c r="F16" s="20" t="inlineStr">
        <is>
          <t>%</t>
        </is>
      </c>
      <c r="G16" s="20" t="n">
        <v>25.5</v>
      </c>
      <c r="H16" s="20" t="n"/>
      <c r="I16" s="20" t="inlineStr">
        <is>
          <t>beef_jerky</t>
        </is>
      </c>
    </row>
    <row r="17">
      <c r="A17" s="20" t="n">
        <v>2</v>
      </c>
      <c r="B17" s="20" t="inlineStr">
        <is>
          <t>G2_S1</t>
        </is>
      </c>
      <c r="C17" s="20" t="inlineStr">
        <is>
          <t>oven_dish_g</t>
        </is>
      </c>
      <c r="D17" s="20" t="n">
        <v>1</v>
      </c>
      <c r="E17" s="20" t="n">
        <v>16.7726</v>
      </c>
      <c r="F17" s="20" t="inlineStr">
        <is>
          <t>g</t>
        </is>
      </c>
      <c r="G17" s="20" t="n">
        <v>104.7</v>
      </c>
      <c r="H17" s="20" t="n"/>
      <c r="I17" s="20" t="inlineStr">
        <is>
          <t>dried_longan</t>
        </is>
      </c>
    </row>
    <row r="18">
      <c r="A18" s="20" t="n">
        <v>2</v>
      </c>
      <c r="B18" s="20" t="inlineStr">
        <is>
          <t>G2_S1</t>
        </is>
      </c>
      <c r="C18" s="20" t="inlineStr">
        <is>
          <t>oven_wet_g</t>
        </is>
      </c>
      <c r="D18" s="20" t="n">
        <v>1</v>
      </c>
      <c r="E18" s="20" t="n">
        <v>19.8337</v>
      </c>
      <c r="F18" s="20" t="inlineStr">
        <is>
          <t>g</t>
        </is>
      </c>
      <c r="G18" s="20" t="n">
        <v>104.7</v>
      </c>
      <c r="H18" s="20" t="n"/>
      <c r="I18" s="20" t="inlineStr">
        <is>
          <t>dried_longan</t>
        </is>
      </c>
    </row>
    <row r="19">
      <c r="A19" s="20" t="n">
        <v>2</v>
      </c>
      <c r="B19" s="20" t="inlineStr">
        <is>
          <t>G2_S1</t>
        </is>
      </c>
      <c r="C19" s="20" t="inlineStr">
        <is>
          <t>oven_dry1_g</t>
        </is>
      </c>
      <c r="D19" s="20" t="n">
        <v>1</v>
      </c>
      <c r="E19" s="20" t="n">
        <v>19.2238</v>
      </c>
      <c r="F19" s="20" t="inlineStr">
        <is>
          <t>g</t>
        </is>
      </c>
      <c r="G19" s="20" t="n">
        <v>104.7</v>
      </c>
      <c r="H19" s="20" t="n"/>
      <c r="I19" s="20" t="inlineStr">
        <is>
          <t>dried_longan</t>
        </is>
      </c>
    </row>
    <row r="20">
      <c r="A20" s="20" t="n">
        <v>2</v>
      </c>
      <c r="B20" s="20" t="inlineStr">
        <is>
          <t>G2_S1</t>
        </is>
      </c>
      <c r="C20" s="20" t="inlineStr">
        <is>
          <t>oven_dry2_g</t>
        </is>
      </c>
      <c r="D20" s="20" t="n">
        <v>1</v>
      </c>
      <c r="E20" s="20" t="n">
        <v>19.2224</v>
      </c>
      <c r="F20" s="20" t="inlineStr">
        <is>
          <t>g</t>
        </is>
      </c>
      <c r="G20" s="20" t="n">
        <v>104.7</v>
      </c>
      <c r="H20" s="20" t="inlineStr">
        <is>
          <t>第2次與第1次秤重差 ≤ 2 mg，達恆重</t>
        </is>
      </c>
      <c r="I20" s="20" t="inlineStr">
        <is>
          <t>dried_longan</t>
        </is>
      </c>
    </row>
    <row r="21">
      <c r="A21" s="20" t="n">
        <v>2</v>
      </c>
      <c r="B21" s="20" t="inlineStr">
        <is>
          <t>G2_S1</t>
        </is>
      </c>
      <c r="C21" s="20" t="inlineStr">
        <is>
          <t>ir_moisture_pct</t>
        </is>
      </c>
      <c r="D21" s="20" t="n">
        <v>1</v>
      </c>
      <c r="E21" s="20" t="n">
        <v>19.73</v>
      </c>
      <c r="F21" s="20" t="inlineStr">
        <is>
          <t>%</t>
        </is>
      </c>
      <c r="G21" s="20" t="n">
        <v>24.1</v>
      </c>
      <c r="H21" s="20" t="n"/>
      <c r="I21" s="20" t="inlineStr">
        <is>
          <t>dried_longan</t>
        </is>
      </c>
    </row>
    <row r="22">
      <c r="A22" s="20" t="n">
        <v>2</v>
      </c>
      <c r="B22" s="20" t="inlineStr">
        <is>
          <t>G2_S2</t>
        </is>
      </c>
      <c r="C22" s="20" t="inlineStr">
        <is>
          <t>oven_dish_g</t>
        </is>
      </c>
      <c r="D22" s="20" t="n">
        <v>1</v>
      </c>
      <c r="E22" s="20" t="n">
        <v>15.7714</v>
      </c>
      <c r="F22" s="20" t="inlineStr">
        <is>
          <t>g</t>
        </is>
      </c>
      <c r="G22" s="20" t="n">
        <v>104.6</v>
      </c>
      <c r="H22" s="20" t="n"/>
      <c r="I22" s="20" t="inlineStr">
        <is>
          <t>dried_longan</t>
        </is>
      </c>
    </row>
    <row r="23">
      <c r="A23" s="20" t="n">
        <v>2</v>
      </c>
      <c r="B23" s="20" t="inlineStr">
        <is>
          <t>G2_S2</t>
        </is>
      </c>
      <c r="C23" s="20" t="inlineStr">
        <is>
          <t>oven_wet_g</t>
        </is>
      </c>
      <c r="D23" s="20" t="n">
        <v>1</v>
      </c>
      <c r="E23" s="20" t="n">
        <v>18.7929</v>
      </c>
      <c r="F23" s="20" t="inlineStr">
        <is>
          <t>g</t>
        </is>
      </c>
      <c r="G23" s="20" t="n">
        <v>104.6</v>
      </c>
      <c r="H23" s="20" t="n"/>
      <c r="I23" s="20" t="inlineStr">
        <is>
          <t>dried_longan</t>
        </is>
      </c>
    </row>
    <row r="24">
      <c r="A24" s="20" t="n">
        <v>2</v>
      </c>
      <c r="B24" s="20" t="inlineStr">
        <is>
          <t>G2_S2</t>
        </is>
      </c>
      <c r="C24" s="20" t="inlineStr">
        <is>
          <t>oven_dry1_g</t>
        </is>
      </c>
      <c r="D24" s="20" t="n">
        <v>1</v>
      </c>
      <c r="E24" s="20" t="n">
        <v>18.1562</v>
      </c>
      <c r="F24" s="20" t="inlineStr">
        <is>
          <t>g</t>
        </is>
      </c>
      <c r="G24" s="20" t="n">
        <v>104.6</v>
      </c>
      <c r="H24" s="20" t="n"/>
      <c r="I24" s="20" t="inlineStr">
        <is>
          <t>dried_longan</t>
        </is>
      </c>
    </row>
    <row r="25">
      <c r="A25" s="20" t="n">
        <v>2</v>
      </c>
      <c r="B25" s="20" t="inlineStr">
        <is>
          <t>G2_S2</t>
        </is>
      </c>
      <c r="C25" s="20" t="inlineStr">
        <is>
          <t>oven_dry2_g</t>
        </is>
      </c>
      <c r="D25" s="20" t="n">
        <v>1</v>
      </c>
      <c r="E25" s="20" t="n">
        <v>18.1545</v>
      </c>
      <c r="F25" s="20" t="inlineStr">
        <is>
          <t>g</t>
        </is>
      </c>
      <c r="G25" s="20" t="n">
        <v>104.6</v>
      </c>
      <c r="H25" s="20" t="inlineStr">
        <is>
          <t>第2次與第1次秤重差 ≤ 2 mg，達恆重</t>
        </is>
      </c>
      <c r="I25" s="20" t="inlineStr">
        <is>
          <t>dried_longan</t>
        </is>
      </c>
    </row>
    <row r="26">
      <c r="A26" s="20" t="n">
        <v>2</v>
      </c>
      <c r="B26" s="20" t="inlineStr">
        <is>
          <t>G2_S2</t>
        </is>
      </c>
      <c r="C26" s="20" t="inlineStr">
        <is>
          <t>ir_moisture_pct</t>
        </is>
      </c>
      <c r="D26" s="20" t="n">
        <v>1</v>
      </c>
      <c r="E26" s="20" t="n">
        <v>20.48</v>
      </c>
      <c r="F26" s="20" t="inlineStr">
        <is>
          <t>%</t>
        </is>
      </c>
      <c r="G26" s="20" t="n">
        <v>24.9</v>
      </c>
      <c r="H26" s="20" t="n"/>
      <c r="I26" s="20" t="inlineStr">
        <is>
          <t>dried_longan</t>
        </is>
      </c>
    </row>
    <row r="27">
      <c r="A27" s="20" t="n">
        <v>2</v>
      </c>
      <c r="B27" s="20" t="inlineStr">
        <is>
          <t>G2_S3</t>
        </is>
      </c>
      <c r="C27" s="20" t="inlineStr">
        <is>
          <t>oven_dish_g</t>
        </is>
      </c>
      <c r="D27" s="20" t="n">
        <v>1</v>
      </c>
      <c r="E27" s="20" t="n">
        <v>15.9474</v>
      </c>
      <c r="F27" s="20" t="inlineStr">
        <is>
          <t>g</t>
        </is>
      </c>
      <c r="G27" s="20" t="n">
        <v>105.5</v>
      </c>
      <c r="H27" s="20" t="n"/>
      <c r="I27" s="20" t="inlineStr">
        <is>
          <t>dried_longan</t>
        </is>
      </c>
    </row>
    <row r="28">
      <c r="A28" s="20" t="n">
        <v>2</v>
      </c>
      <c r="B28" s="20" t="inlineStr">
        <is>
          <t>G2_S3</t>
        </is>
      </c>
      <c r="C28" s="20" t="inlineStr">
        <is>
          <t>oven_wet_g</t>
        </is>
      </c>
      <c r="D28" s="20" t="n">
        <v>1</v>
      </c>
      <c r="E28" s="20" t="n">
        <v>18.9417</v>
      </c>
      <c r="F28" s="20" t="inlineStr">
        <is>
          <t>g</t>
        </is>
      </c>
      <c r="G28" s="20" t="n">
        <v>105.5</v>
      </c>
      <c r="H28" s="20" t="n"/>
      <c r="I28" s="20" t="inlineStr">
        <is>
          <t>dried_longan</t>
        </is>
      </c>
    </row>
    <row r="29">
      <c r="A29" s="20" t="n">
        <v>2</v>
      </c>
      <c r="B29" s="20" t="inlineStr">
        <is>
          <t>G2_S3</t>
        </is>
      </c>
      <c r="C29" s="20" t="inlineStr">
        <is>
          <t>oven_dry1_g</t>
        </is>
      </c>
      <c r="D29" s="20" t="n">
        <v>1</v>
      </c>
      <c r="E29" s="20" t="n">
        <v>18.3554</v>
      </c>
      <c r="F29" s="20" t="inlineStr">
        <is>
          <t>g</t>
        </is>
      </c>
      <c r="G29" s="20" t="n">
        <v>105.5</v>
      </c>
      <c r="H29" s="20" t="n"/>
      <c r="I29" s="20" t="inlineStr">
        <is>
          <t>dried_longan</t>
        </is>
      </c>
    </row>
    <row r="30">
      <c r="A30" s="20" t="n">
        <v>2</v>
      </c>
      <c r="B30" s="20" t="inlineStr">
        <is>
          <t>G2_S3</t>
        </is>
      </c>
      <c r="C30" s="20" t="inlineStr">
        <is>
          <t>oven_dry2_g</t>
        </is>
      </c>
      <c r="D30" s="20" t="n">
        <v>1</v>
      </c>
      <c r="E30" s="20" t="n">
        <v>18.3549</v>
      </c>
      <c r="F30" s="20" t="inlineStr">
        <is>
          <t>g</t>
        </is>
      </c>
      <c r="G30" s="20" t="n">
        <v>105.5</v>
      </c>
      <c r="H30" s="20" t="inlineStr">
        <is>
          <t>第2次與第1次秤重差 ≤ 2 mg，達恆重</t>
        </is>
      </c>
      <c r="I30" s="20" t="inlineStr">
        <is>
          <t>dried_longan</t>
        </is>
      </c>
    </row>
    <row r="31">
      <c r="A31" s="20" t="n">
        <v>2</v>
      </c>
      <c r="B31" s="20" t="inlineStr">
        <is>
          <t>G2_S3</t>
        </is>
      </c>
      <c r="C31" s="20" t="inlineStr">
        <is>
          <t>ir_moisture_pct</t>
        </is>
      </c>
      <c r="D31" s="20" t="n">
        <v>1</v>
      </c>
      <c r="E31" s="20" t="n">
        <v>19.42</v>
      </c>
      <c r="F31" s="20" t="inlineStr">
        <is>
          <t>%</t>
        </is>
      </c>
      <c r="G31" s="20" t="n">
        <v>25.7</v>
      </c>
      <c r="H31" s="20" t="n"/>
      <c r="I31" s="20" t="inlineStr">
        <is>
          <t>dried_longan</t>
        </is>
      </c>
    </row>
    <row r="32">
      <c r="A32" s="20" t="n">
        <v>3</v>
      </c>
      <c r="B32" s="20" t="inlineStr">
        <is>
          <t>G3_S1</t>
        </is>
      </c>
      <c r="C32" s="20" t="inlineStr">
        <is>
          <t>oven_dish_g</t>
        </is>
      </c>
      <c r="D32" s="20" t="n">
        <v>1</v>
      </c>
      <c r="E32" s="20" t="n">
        <v>18.5013</v>
      </c>
      <c r="F32" s="20" t="inlineStr">
        <is>
          <t>g</t>
        </is>
      </c>
      <c r="G32" s="20" t="n">
        <v>105.1</v>
      </c>
      <c r="H32" s="20" t="n"/>
      <c r="I32" s="20" t="inlineStr">
        <is>
          <t>white_bread</t>
        </is>
      </c>
    </row>
    <row r="33">
      <c r="A33" s="20" t="n">
        <v>3</v>
      </c>
      <c r="B33" s="20" t="inlineStr">
        <is>
          <t>G3_S1</t>
        </is>
      </c>
      <c r="C33" s="20" t="inlineStr">
        <is>
          <t>oven_wet_g</t>
        </is>
      </c>
      <c r="D33" s="20" t="n">
        <v>1</v>
      </c>
      <c r="E33" s="20" t="n">
        <v>21.5285</v>
      </c>
      <c r="F33" s="20" t="inlineStr">
        <is>
          <t>g</t>
        </is>
      </c>
      <c r="G33" s="20" t="n">
        <v>105.1</v>
      </c>
      <c r="H33" s="20" t="n"/>
      <c r="I33" s="20" t="inlineStr">
        <is>
          <t>white_bread</t>
        </is>
      </c>
    </row>
    <row r="34">
      <c r="A34" s="20" t="n">
        <v>3</v>
      </c>
      <c r="B34" s="20" t="inlineStr">
        <is>
          <t>G3_S1</t>
        </is>
      </c>
      <c r="C34" s="20" t="inlineStr">
        <is>
          <t>oven_dry1_g</t>
        </is>
      </c>
      <c r="D34" s="20" t="n">
        <v>1</v>
      </c>
      <c r="E34" s="20" t="n">
        <v>20.4791</v>
      </c>
      <c r="F34" s="20" t="inlineStr">
        <is>
          <t>g</t>
        </is>
      </c>
      <c r="G34" s="20" t="n">
        <v>105.1</v>
      </c>
      <c r="H34" s="20" t="n"/>
      <c r="I34" s="20" t="inlineStr">
        <is>
          <t>white_bread</t>
        </is>
      </c>
    </row>
    <row r="35">
      <c r="A35" s="20" t="n">
        <v>3</v>
      </c>
      <c r="B35" s="20" t="inlineStr">
        <is>
          <t>G3_S1</t>
        </is>
      </c>
      <c r="C35" s="20" t="inlineStr">
        <is>
          <t>oven_dry2_g</t>
        </is>
      </c>
      <c r="D35" s="20" t="n">
        <v>1</v>
      </c>
      <c r="E35" s="20" t="n">
        <v>20.4776</v>
      </c>
      <c r="F35" s="20" t="inlineStr">
        <is>
          <t>g</t>
        </is>
      </c>
      <c r="G35" s="20" t="n">
        <v>105.1</v>
      </c>
      <c r="H35" s="20" t="inlineStr">
        <is>
          <t>第2次與第1次秤重差 ≤ 2 mg，達恆重</t>
        </is>
      </c>
      <c r="I35" s="20" t="inlineStr">
        <is>
          <t>white_bread</t>
        </is>
      </c>
    </row>
    <row r="36">
      <c r="A36" s="20" t="n">
        <v>3</v>
      </c>
      <c r="B36" s="20" t="inlineStr">
        <is>
          <t>G3_S1</t>
        </is>
      </c>
      <c r="C36" s="20" t="inlineStr">
        <is>
          <t>ir_moisture_pct</t>
        </is>
      </c>
      <c r="D36" s="20" t="n">
        <v>1</v>
      </c>
      <c r="E36" s="20" t="n">
        <v>34.38</v>
      </c>
      <c r="F36" s="20" t="inlineStr">
        <is>
          <t>%</t>
        </is>
      </c>
      <c r="G36" s="20" t="n">
        <v>25.4</v>
      </c>
      <c r="H36" s="20" t="n"/>
      <c r="I36" s="20" t="inlineStr">
        <is>
          <t>white_bread</t>
        </is>
      </c>
    </row>
    <row r="37">
      <c r="A37" s="20" t="n">
        <v>3</v>
      </c>
      <c r="B37" s="20" t="inlineStr">
        <is>
          <t>G3_S2</t>
        </is>
      </c>
      <c r="C37" s="20" t="inlineStr">
        <is>
          <t>oven_dish_g</t>
        </is>
      </c>
      <c r="D37" s="20" t="n">
        <v>1</v>
      </c>
      <c r="E37" s="20" t="n">
        <v>15.6988</v>
      </c>
      <c r="F37" s="20" t="inlineStr">
        <is>
          <t>g</t>
        </is>
      </c>
      <c r="G37" s="20" t="n">
        <v>103.8</v>
      </c>
      <c r="H37" s="20" t="n"/>
      <c r="I37" s="20" t="inlineStr">
        <is>
          <t>white_bread</t>
        </is>
      </c>
    </row>
    <row r="38">
      <c r="A38" s="20" t="n">
        <v>3</v>
      </c>
      <c r="B38" s="20" t="inlineStr">
        <is>
          <t>G3_S2</t>
        </is>
      </c>
      <c r="C38" s="20" t="inlineStr">
        <is>
          <t>oven_wet_g</t>
        </is>
      </c>
      <c r="D38" s="20" t="n">
        <v>1</v>
      </c>
      <c r="E38" s="20" t="n">
        <v>18.7327</v>
      </c>
      <c r="F38" s="20" t="inlineStr">
        <is>
          <t>g</t>
        </is>
      </c>
      <c r="G38" s="20" t="n">
        <v>103.8</v>
      </c>
      <c r="H38" s="20" t="n"/>
      <c r="I38" s="20" t="inlineStr">
        <is>
          <t>white_bread</t>
        </is>
      </c>
    </row>
    <row r="39">
      <c r="A39" s="20" t="n">
        <v>3</v>
      </c>
      <c r="B39" s="20" t="inlineStr">
        <is>
          <t>G3_S2</t>
        </is>
      </c>
      <c r="C39" s="20" t="inlineStr">
        <is>
          <t>oven_dry1_g</t>
        </is>
      </c>
      <c r="D39" s="20" t="n">
        <v>1</v>
      </c>
      <c r="E39" s="20" t="n">
        <v>17.6698</v>
      </c>
      <c r="F39" s="20" t="inlineStr">
        <is>
          <t>g</t>
        </is>
      </c>
      <c r="G39" s="20" t="n">
        <v>103.8</v>
      </c>
      <c r="H39" s="20" t="n"/>
      <c r="I39" s="20" t="inlineStr">
        <is>
          <t>white_bread</t>
        </is>
      </c>
    </row>
    <row r="40">
      <c r="A40" s="20" t="n">
        <v>3</v>
      </c>
      <c r="B40" s="20" t="inlineStr">
        <is>
          <t>G3_S2</t>
        </is>
      </c>
      <c r="C40" s="20" t="inlineStr">
        <is>
          <t>oven_dry2_g</t>
        </is>
      </c>
      <c r="D40" s="20" t="n">
        <v>1</v>
      </c>
      <c r="E40" s="20" t="n">
        <v>17.6634</v>
      </c>
      <c r="F40" s="20" t="inlineStr">
        <is>
          <t>g</t>
        </is>
      </c>
      <c r="G40" s="20" t="n">
        <v>103.8</v>
      </c>
      <c r="H40" s="20" t="inlineStr">
        <is>
          <t>第2次與第1次秤重差 &gt; 2 mg，尚未恆重，需再烘1小時</t>
        </is>
      </c>
      <c r="I40" s="20" t="inlineStr">
        <is>
          <t>white_bread</t>
        </is>
      </c>
    </row>
    <row r="41">
      <c r="A41" s="20" t="n">
        <v>3</v>
      </c>
      <c r="B41" s="20" t="inlineStr">
        <is>
          <t>G3_S2</t>
        </is>
      </c>
      <c r="C41" s="20" t="inlineStr">
        <is>
          <t>oven_dry3_g</t>
        </is>
      </c>
      <c r="D41" s="20" t="n">
        <v>1</v>
      </c>
      <c r="E41" s="20" t="n">
        <v>17.6623</v>
      </c>
      <c r="F41" s="20" t="inlineStr">
        <is>
          <t>g</t>
        </is>
      </c>
      <c r="G41" s="20" t="n">
        <v>103.8</v>
      </c>
      <c r="H41" s="20" t="inlineStr">
        <is>
          <t>第3次與第2次秤重差 ≤ 2 mg，達恆重</t>
        </is>
      </c>
      <c r="I41" s="20" t="inlineStr">
        <is>
          <t>white_bread</t>
        </is>
      </c>
    </row>
    <row r="42">
      <c r="A42" s="20" t="n">
        <v>3</v>
      </c>
      <c r="B42" s="20" t="inlineStr">
        <is>
          <t>G3_S2</t>
        </is>
      </c>
      <c r="C42" s="20" t="inlineStr">
        <is>
          <t>ir_moisture_pct</t>
        </is>
      </c>
      <c r="D42" s="20" t="n">
        <v>1</v>
      </c>
      <c r="E42" s="20" t="n">
        <v>34.79</v>
      </c>
      <c r="F42" s="20" t="inlineStr">
        <is>
          <t>%</t>
        </is>
      </c>
      <c r="G42" s="20" t="n">
        <v>24.9</v>
      </c>
      <c r="H42" s="20" t="n"/>
      <c r="I42" s="20" t="inlineStr">
        <is>
          <t>white_bread</t>
        </is>
      </c>
    </row>
    <row r="43">
      <c r="A43" s="20" t="n">
        <v>3</v>
      </c>
      <c r="B43" s="20" t="inlineStr">
        <is>
          <t>G3_S3</t>
        </is>
      </c>
      <c r="C43" s="20" t="inlineStr">
        <is>
          <t>oven_dish_g</t>
        </is>
      </c>
      <c r="D43" s="20" t="n">
        <v>1</v>
      </c>
      <c r="E43" s="20" t="n">
        <v>17.8437</v>
      </c>
      <c r="F43" s="20" t="inlineStr">
        <is>
          <t>g</t>
        </is>
      </c>
      <c r="G43" s="20" t="n">
        <v>105.8</v>
      </c>
      <c r="H43" s="20" t="n"/>
      <c r="I43" s="20" t="inlineStr">
        <is>
          <t>white_bread</t>
        </is>
      </c>
    </row>
    <row r="44">
      <c r="A44" s="20" t="n">
        <v>3</v>
      </c>
      <c r="B44" s="20" t="inlineStr">
        <is>
          <t>G3_S3</t>
        </is>
      </c>
      <c r="C44" s="20" t="inlineStr">
        <is>
          <t>oven_wet_g</t>
        </is>
      </c>
      <c r="D44" s="20" t="n">
        <v>1</v>
      </c>
      <c r="E44" s="20" t="n">
        <v>20.8299</v>
      </c>
      <c r="F44" s="20" t="inlineStr">
        <is>
          <t>g</t>
        </is>
      </c>
      <c r="G44" s="20" t="n">
        <v>105.8</v>
      </c>
      <c r="H44" s="20" t="n"/>
      <c r="I44" s="20" t="inlineStr">
        <is>
          <t>white_bread</t>
        </is>
      </c>
    </row>
    <row r="45">
      <c r="A45" s="20" t="n">
        <v>3</v>
      </c>
      <c r="B45" s="20" t="inlineStr">
        <is>
          <t>G3_S3</t>
        </is>
      </c>
      <c r="C45" s="20" t="inlineStr">
        <is>
          <t>oven_dry1_g</t>
        </is>
      </c>
      <c r="D45" s="20" t="n">
        <v>1</v>
      </c>
      <c r="E45" s="20" t="n">
        <v>19.7624</v>
      </c>
      <c r="F45" s="20" t="inlineStr">
        <is>
          <t>g</t>
        </is>
      </c>
      <c r="G45" s="20" t="n">
        <v>105.8</v>
      </c>
      <c r="H45" s="20" t="n"/>
      <c r="I45" s="20" t="inlineStr">
        <is>
          <t>white_bread</t>
        </is>
      </c>
    </row>
    <row r="46">
      <c r="A46" s="20" t="n">
        <v>3</v>
      </c>
      <c r="B46" s="20" t="inlineStr">
        <is>
          <t>G3_S3</t>
        </is>
      </c>
      <c r="C46" s="20" t="inlineStr">
        <is>
          <t>oven_dry2_g</t>
        </is>
      </c>
      <c r="D46" s="20" t="n">
        <v>1</v>
      </c>
      <c r="E46" s="20" t="n">
        <v>19.7612</v>
      </c>
      <c r="F46" s="20" t="inlineStr">
        <is>
          <t>g</t>
        </is>
      </c>
      <c r="G46" s="20" t="n">
        <v>105.8</v>
      </c>
      <c r="H46" s="20" t="inlineStr">
        <is>
          <t>第2次與第1次秤重差 ≤ 2 mg，達恆重</t>
        </is>
      </c>
      <c r="I46" s="20" t="inlineStr">
        <is>
          <t>white_bread</t>
        </is>
      </c>
    </row>
    <row r="47">
      <c r="A47" s="20" t="n">
        <v>3</v>
      </c>
      <c r="B47" s="20" t="inlineStr">
        <is>
          <t>G3_S3</t>
        </is>
      </c>
      <c r="C47" s="20" t="inlineStr">
        <is>
          <t>ir_moisture_pct</t>
        </is>
      </c>
      <c r="D47" s="20" t="n">
        <v>1</v>
      </c>
      <c r="E47" s="20" t="n">
        <v>34.88</v>
      </c>
      <c r="F47" s="20" t="inlineStr">
        <is>
          <t>%</t>
        </is>
      </c>
      <c r="G47" s="20" t="n">
        <v>25.5</v>
      </c>
      <c r="H47" s="20" t="n"/>
      <c r="I47" s="20" t="inlineStr">
        <is>
          <t>white_bread</t>
        </is>
      </c>
    </row>
    <row r="48">
      <c r="A48" s="20" t="n">
        <v>4</v>
      </c>
      <c r="B48" s="20" t="inlineStr">
        <is>
          <t>G4_S1</t>
        </is>
      </c>
      <c r="C48" s="20" t="inlineStr">
        <is>
          <t>oven_dish_g</t>
        </is>
      </c>
      <c r="D48" s="20" t="n">
        <v>1</v>
      </c>
      <c r="E48" s="20" t="n">
        <v>18.1736</v>
      </c>
      <c r="F48" s="20" t="inlineStr">
        <is>
          <t>g</t>
        </is>
      </c>
      <c r="G48" s="20" t="n">
        <v>104.7</v>
      </c>
      <c r="H48" s="20" t="n"/>
      <c r="I48" s="20" t="inlineStr">
        <is>
          <t>potato_chips</t>
        </is>
      </c>
    </row>
    <row r="49">
      <c r="A49" s="20" t="n">
        <v>4</v>
      </c>
      <c r="B49" s="20" t="inlineStr">
        <is>
          <t>G4_S1</t>
        </is>
      </c>
      <c r="C49" s="20" t="inlineStr">
        <is>
          <t>oven_wet_g</t>
        </is>
      </c>
      <c r="D49" s="20" t="n">
        <v>1</v>
      </c>
      <c r="E49" s="20" t="n">
        <v>21.2029</v>
      </c>
      <c r="F49" s="20" t="inlineStr">
        <is>
          <t>g</t>
        </is>
      </c>
      <c r="G49" s="20" t="n">
        <v>104.7</v>
      </c>
      <c r="H49" s="20" t="n"/>
      <c r="I49" s="20" t="inlineStr">
        <is>
          <t>potato_chips</t>
        </is>
      </c>
    </row>
    <row r="50">
      <c r="A50" s="20" t="n">
        <v>4</v>
      </c>
      <c r="B50" s="20" t="inlineStr">
        <is>
          <t>G4_S1</t>
        </is>
      </c>
      <c r="C50" s="20" t="inlineStr">
        <is>
          <t>oven_dry1_g</t>
        </is>
      </c>
      <c r="D50" s="20" t="n">
        <v>1</v>
      </c>
      <c r="E50" s="20" t="n">
        <v>21.1315</v>
      </c>
      <c r="F50" s="20" t="inlineStr">
        <is>
          <t>g</t>
        </is>
      </c>
      <c r="G50" s="20" t="n">
        <v>104.7</v>
      </c>
      <c r="H50" s="20" t="n"/>
      <c r="I50" s="20" t="inlineStr">
        <is>
          <t>potato_chips</t>
        </is>
      </c>
    </row>
    <row r="51">
      <c r="A51" s="20" t="n">
        <v>4</v>
      </c>
      <c r="B51" s="20" t="inlineStr">
        <is>
          <t>G4_S1</t>
        </is>
      </c>
      <c r="C51" s="20" t="inlineStr">
        <is>
          <t>oven_dry2_g</t>
        </is>
      </c>
      <c r="D51" s="20" t="n">
        <v>1</v>
      </c>
      <c r="E51" s="20" t="n">
        <v>21.1309</v>
      </c>
      <c r="F51" s="20" t="inlineStr">
        <is>
          <t>g</t>
        </is>
      </c>
      <c r="G51" s="20" t="n">
        <v>104.7</v>
      </c>
      <c r="H51" s="20" t="inlineStr">
        <is>
          <t>第2次與第1次秤重差 ≤ 2 mg，達恆重</t>
        </is>
      </c>
      <c r="I51" s="20" t="inlineStr">
        <is>
          <t>potato_chips</t>
        </is>
      </c>
    </row>
    <row r="52">
      <c r="A52" s="20" t="n">
        <v>4</v>
      </c>
      <c r="B52" s="20" t="inlineStr">
        <is>
          <t>G4_S1</t>
        </is>
      </c>
      <c r="C52" s="20" t="inlineStr">
        <is>
          <t>ir_moisture_pct</t>
        </is>
      </c>
      <c r="D52" s="20" t="n">
        <v>1</v>
      </c>
      <c r="E52" s="20" t="n">
        <v>1.84</v>
      </c>
      <c r="F52" s="20" t="inlineStr">
        <is>
          <t>%</t>
        </is>
      </c>
      <c r="G52" s="20" t="n">
        <v>24.4</v>
      </c>
      <c r="H52" s="20" t="n"/>
      <c r="I52" s="20" t="inlineStr">
        <is>
          <t>potato_chips</t>
        </is>
      </c>
    </row>
    <row r="53">
      <c r="A53" s="20" t="n">
        <v>4</v>
      </c>
      <c r="B53" s="20" t="inlineStr">
        <is>
          <t>G4_S2</t>
        </is>
      </c>
      <c r="C53" s="20" t="inlineStr">
        <is>
          <t>oven_dish_g</t>
        </is>
      </c>
      <c r="D53" s="20" t="n">
        <v>1</v>
      </c>
      <c r="E53" s="20" t="n">
        <v>17.0426</v>
      </c>
      <c r="F53" s="20" t="inlineStr">
        <is>
          <t>g</t>
        </is>
      </c>
      <c r="G53" s="20" t="n">
        <v>105.4</v>
      </c>
      <c r="H53" s="20" t="n"/>
      <c r="I53" s="20" t="inlineStr">
        <is>
          <t>potato_chips</t>
        </is>
      </c>
    </row>
    <row r="54">
      <c r="A54" s="20" t="n">
        <v>4</v>
      </c>
      <c r="B54" s="20" t="inlineStr">
        <is>
          <t>G4_S2</t>
        </is>
      </c>
      <c r="C54" s="20" t="inlineStr">
        <is>
          <t>oven_wet_g</t>
        </is>
      </c>
      <c r="D54" s="20" t="n">
        <v>1</v>
      </c>
      <c r="E54" s="20" t="n">
        <v>19.9788</v>
      </c>
      <c r="F54" s="20" t="inlineStr">
        <is>
          <t>g</t>
        </is>
      </c>
      <c r="G54" s="20" t="n">
        <v>105.4</v>
      </c>
      <c r="H54" s="20" t="n"/>
      <c r="I54" s="20" t="inlineStr">
        <is>
          <t>potato_chips</t>
        </is>
      </c>
    </row>
    <row r="55">
      <c r="A55" s="20" t="n">
        <v>4</v>
      </c>
      <c r="B55" s="20" t="inlineStr">
        <is>
          <t>G4_S2</t>
        </is>
      </c>
      <c r="C55" s="20" t="inlineStr">
        <is>
          <t>oven_dry1_g</t>
        </is>
      </c>
      <c r="D55" s="20" t="n">
        <v>1</v>
      </c>
      <c r="E55" s="20" t="n">
        <v>19.9367</v>
      </c>
      <c r="F55" s="20" t="inlineStr">
        <is>
          <t>g</t>
        </is>
      </c>
      <c r="G55" s="20" t="n">
        <v>105.4</v>
      </c>
      <c r="H55" s="20" t="n"/>
      <c r="I55" s="20" t="inlineStr">
        <is>
          <t>potato_chips</t>
        </is>
      </c>
    </row>
    <row r="56">
      <c r="A56" s="20" t="n">
        <v>4</v>
      </c>
      <c r="B56" s="20" t="inlineStr">
        <is>
          <t>G4_S2</t>
        </is>
      </c>
      <c r="C56" s="20" t="inlineStr">
        <is>
          <t>oven_dry2_g</t>
        </is>
      </c>
      <c r="D56" s="20" t="n">
        <v>1</v>
      </c>
      <c r="E56" s="20" t="n">
        <v>19.9365</v>
      </c>
      <c r="F56" s="20" t="inlineStr">
        <is>
          <t>g</t>
        </is>
      </c>
      <c r="G56" s="20" t="n">
        <v>105.4</v>
      </c>
      <c r="H56" s="20" t="inlineStr">
        <is>
          <t>第2次與第1次秤重差 ≤ 2 mg，達恆重</t>
        </is>
      </c>
      <c r="I56" s="20" t="inlineStr">
        <is>
          <t>potato_chips</t>
        </is>
      </c>
    </row>
    <row r="57">
      <c r="A57" s="20" t="n">
        <v>4</v>
      </c>
      <c r="B57" s="20" t="inlineStr">
        <is>
          <t>G4_S2</t>
        </is>
      </c>
      <c r="C57" s="20" t="inlineStr">
        <is>
          <t>ir_moisture_pct</t>
        </is>
      </c>
      <c r="D57" s="20" t="n">
        <v>1</v>
      </c>
      <c r="E57" s="20" t="n">
        <v>1.08</v>
      </c>
      <c r="F57" s="20" t="inlineStr">
        <is>
          <t>%</t>
        </is>
      </c>
      <c r="G57" s="20" t="n">
        <v>25.3</v>
      </c>
      <c r="H57" s="20" t="n"/>
      <c r="I57" s="20" t="inlineStr">
        <is>
          <t>potato_chips</t>
        </is>
      </c>
    </row>
    <row r="58">
      <c r="A58" s="20" t="n">
        <v>4</v>
      </c>
      <c r="B58" s="20" t="inlineStr">
        <is>
          <t>G4_S3</t>
        </is>
      </c>
      <c r="C58" s="20" t="inlineStr">
        <is>
          <t>oven_dish_g</t>
        </is>
      </c>
      <c r="D58" s="20" t="n">
        <v>1</v>
      </c>
      <c r="E58" s="20" t="n">
        <v>17.7852</v>
      </c>
      <c r="F58" s="20" t="inlineStr">
        <is>
          <t>g</t>
        </is>
      </c>
      <c r="G58" s="20" t="n">
        <v>105.4</v>
      </c>
      <c r="H58" s="20" t="n"/>
      <c r="I58" s="20" t="inlineStr">
        <is>
          <t>potato_chips</t>
        </is>
      </c>
    </row>
    <row r="59">
      <c r="A59" s="20" t="n">
        <v>4</v>
      </c>
      <c r="B59" s="20" t="inlineStr">
        <is>
          <t>G4_S3</t>
        </is>
      </c>
      <c r="C59" s="20" t="inlineStr">
        <is>
          <t>oven_wet_g</t>
        </is>
      </c>
      <c r="D59" s="20" t="n">
        <v>1</v>
      </c>
      <c r="E59" s="20" t="n">
        <v>20.7931</v>
      </c>
      <c r="F59" s="20" t="inlineStr">
        <is>
          <t>g</t>
        </is>
      </c>
      <c r="G59" s="20" t="n">
        <v>105.4</v>
      </c>
      <c r="H59" s="20" t="n"/>
      <c r="I59" s="20" t="inlineStr">
        <is>
          <t>potato_chips</t>
        </is>
      </c>
    </row>
    <row r="60">
      <c r="A60" s="20" t="n">
        <v>4</v>
      </c>
      <c r="B60" s="20" t="inlineStr">
        <is>
          <t>G4_S3</t>
        </is>
      </c>
      <c r="C60" s="20" t="inlineStr">
        <is>
          <t>oven_dry1_g</t>
        </is>
      </c>
      <c r="D60" s="20" t="n">
        <v>1</v>
      </c>
      <c r="E60" s="20" t="n">
        <v>20.7235</v>
      </c>
      <c r="F60" s="20" t="inlineStr">
        <is>
          <t>g</t>
        </is>
      </c>
      <c r="G60" s="20" t="n">
        <v>105.4</v>
      </c>
      <c r="H60" s="20" t="n"/>
      <c r="I60" s="20" t="inlineStr">
        <is>
          <t>potato_chips</t>
        </is>
      </c>
    </row>
    <row r="61">
      <c r="A61" s="20" t="n">
        <v>4</v>
      </c>
      <c r="B61" s="20" t="inlineStr">
        <is>
          <t>G4_S3</t>
        </is>
      </c>
      <c r="C61" s="20" t="inlineStr">
        <is>
          <t>oven_dry2_g</t>
        </is>
      </c>
      <c r="D61" s="20" t="n">
        <v>1</v>
      </c>
      <c r="E61" s="20" t="n">
        <v>20.7227</v>
      </c>
      <c r="F61" s="20" t="inlineStr">
        <is>
          <t>g</t>
        </is>
      </c>
      <c r="G61" s="20" t="n">
        <v>105.4</v>
      </c>
      <c r="H61" s="20" t="inlineStr">
        <is>
          <t>第2次與第1次秤重差 ≤ 2 mg，達恆重</t>
        </is>
      </c>
      <c r="I61" s="20" t="inlineStr">
        <is>
          <t>potato_chips</t>
        </is>
      </c>
    </row>
    <row r="62">
      <c r="A62" s="20" t="n">
        <v>4</v>
      </c>
      <c r="B62" s="20" t="inlineStr">
        <is>
          <t>G4_S3</t>
        </is>
      </c>
      <c r="C62" s="20" t="inlineStr">
        <is>
          <t>ir_moisture_pct</t>
        </is>
      </c>
      <c r="D62" s="20" t="n">
        <v>1</v>
      </c>
      <c r="E62" s="20" t="n">
        <v>1.74</v>
      </c>
      <c r="F62" s="20" t="inlineStr">
        <is>
          <t>%</t>
        </is>
      </c>
      <c r="G62" s="20" t="n">
        <v>24</v>
      </c>
      <c r="H62" s="20" t="n"/>
      <c r="I62" s="20" t="inlineStr">
        <is>
          <t>potato_chips</t>
        </is>
      </c>
    </row>
    <row r="63">
      <c r="A63" s="20" t="n">
        <v>5</v>
      </c>
      <c r="B63" s="20" t="inlineStr">
        <is>
          <t>G5_S1</t>
        </is>
      </c>
      <c r="C63" s="20" t="inlineStr">
        <is>
          <t>oven_dish_g</t>
        </is>
      </c>
      <c r="D63" s="20" t="n">
        <v>1</v>
      </c>
      <c r="E63" s="20" t="n">
        <v>15.4502</v>
      </c>
      <c r="F63" s="20" t="inlineStr">
        <is>
          <t>g</t>
        </is>
      </c>
      <c r="G63" s="20" t="n">
        <v>105</v>
      </c>
      <c r="H63" s="20" t="n"/>
      <c r="I63" s="20" t="inlineStr">
        <is>
          <t>milk_powder</t>
        </is>
      </c>
    </row>
    <row r="64">
      <c r="A64" s="20" t="n">
        <v>5</v>
      </c>
      <c r="B64" s="20" t="inlineStr">
        <is>
          <t>G5_S1</t>
        </is>
      </c>
      <c r="C64" s="20" t="inlineStr">
        <is>
          <t>oven_wet_g</t>
        </is>
      </c>
      <c r="D64" s="20" t="n">
        <v>1</v>
      </c>
      <c r="E64" s="20" t="n">
        <v>18.3904</v>
      </c>
      <c r="F64" s="20" t="inlineStr">
        <is>
          <t>g</t>
        </is>
      </c>
      <c r="G64" s="20" t="n">
        <v>105</v>
      </c>
      <c r="H64" s="20" t="n"/>
      <c r="I64" s="20" t="inlineStr">
        <is>
          <t>milk_powder</t>
        </is>
      </c>
    </row>
    <row r="65">
      <c r="A65" s="20" t="n">
        <v>5</v>
      </c>
      <c r="B65" s="20" t="inlineStr">
        <is>
          <t>G5_S1</t>
        </is>
      </c>
      <c r="C65" s="20" t="inlineStr">
        <is>
          <t>oven_dry1_g</t>
        </is>
      </c>
      <c r="D65" s="20" t="n">
        <v>1</v>
      </c>
      <c r="E65" s="20" t="n">
        <v>18.295</v>
      </c>
      <c r="F65" s="20" t="inlineStr">
        <is>
          <t>g</t>
        </is>
      </c>
      <c r="G65" s="20" t="n">
        <v>105</v>
      </c>
      <c r="H65" s="20" t="n"/>
      <c r="I65" s="20" t="inlineStr">
        <is>
          <t>milk_powder</t>
        </is>
      </c>
    </row>
    <row r="66">
      <c r="A66" s="20" t="n">
        <v>5</v>
      </c>
      <c r="B66" s="20" t="inlineStr">
        <is>
          <t>G5_S1</t>
        </is>
      </c>
      <c r="C66" s="20" t="inlineStr">
        <is>
          <t>oven_dry2_g</t>
        </is>
      </c>
      <c r="D66" s="20" t="n">
        <v>1</v>
      </c>
      <c r="E66" s="20" t="n">
        <v>18.2946</v>
      </c>
      <c r="F66" s="20" t="inlineStr">
        <is>
          <t>g</t>
        </is>
      </c>
      <c r="G66" s="20" t="n">
        <v>105</v>
      </c>
      <c r="H66" s="20" t="inlineStr">
        <is>
          <t>第2次與第1次秤重差 ≤ 2 mg，達恆重</t>
        </is>
      </c>
      <c r="I66" s="20" t="inlineStr">
        <is>
          <t>milk_powder</t>
        </is>
      </c>
    </row>
    <row r="67">
      <c r="A67" s="20" t="n">
        <v>5</v>
      </c>
      <c r="B67" s="20" t="inlineStr">
        <is>
          <t>G5_S1</t>
        </is>
      </c>
      <c r="C67" s="20" t="inlineStr">
        <is>
          <t>ir_moisture_pct</t>
        </is>
      </c>
      <c r="D67" s="20" t="n">
        <v>1</v>
      </c>
      <c r="E67" s="20" t="n">
        <v>3</v>
      </c>
      <c r="F67" s="20" t="inlineStr">
        <is>
          <t>%</t>
        </is>
      </c>
      <c r="G67" s="20" t="n">
        <v>25.4</v>
      </c>
      <c r="H67" s="20" t="n"/>
      <c r="I67" s="20" t="inlineStr">
        <is>
          <t>milk_powder</t>
        </is>
      </c>
    </row>
    <row r="68">
      <c r="A68" s="20" t="n">
        <v>5</v>
      </c>
      <c r="B68" s="20" t="inlineStr">
        <is>
          <t>G5_S2</t>
        </is>
      </c>
      <c r="C68" s="20" t="inlineStr">
        <is>
          <t>oven_dish_g</t>
        </is>
      </c>
      <c r="D68" s="20" t="n">
        <v>1</v>
      </c>
      <c r="E68" s="20" t="n">
        <v>17.2308</v>
      </c>
      <c r="F68" s="20" t="inlineStr">
        <is>
          <t>g</t>
        </is>
      </c>
      <c r="G68" s="20" t="n">
        <v>103.7</v>
      </c>
      <c r="H68" s="20" t="n"/>
      <c r="I68" s="20" t="inlineStr">
        <is>
          <t>milk_powder</t>
        </is>
      </c>
    </row>
    <row r="69">
      <c r="A69" s="20" t="n">
        <v>5</v>
      </c>
      <c r="B69" s="20" t="inlineStr">
        <is>
          <t>G5_S2</t>
        </is>
      </c>
      <c r="C69" s="20" t="inlineStr">
        <is>
          <t>oven_wet_g</t>
        </is>
      </c>
      <c r="D69" s="20" t="n">
        <v>1</v>
      </c>
      <c r="E69" s="20" t="n">
        <v>20.2259</v>
      </c>
      <c r="F69" s="20" t="inlineStr">
        <is>
          <t>g</t>
        </is>
      </c>
      <c r="G69" s="20" t="n">
        <v>103.7</v>
      </c>
      <c r="H69" s="20" t="n"/>
      <c r="I69" s="20" t="inlineStr">
        <is>
          <t>milk_powder</t>
        </is>
      </c>
    </row>
    <row r="70">
      <c r="A70" s="20" t="n">
        <v>5</v>
      </c>
      <c r="B70" s="20" t="inlineStr">
        <is>
          <t>G5_S2</t>
        </is>
      </c>
      <c r="C70" s="20" t="inlineStr">
        <is>
          <t>oven_dry1_g</t>
        </is>
      </c>
      <c r="D70" s="20" t="n">
        <v>1</v>
      </c>
      <c r="E70" s="20" t="n">
        <v>20.1424</v>
      </c>
      <c r="F70" s="20" t="inlineStr">
        <is>
          <t>g</t>
        </is>
      </c>
      <c r="G70" s="20" t="n">
        <v>103.7</v>
      </c>
      <c r="H70" s="20" t="n"/>
      <c r="I70" s="20" t="inlineStr">
        <is>
          <t>milk_powder</t>
        </is>
      </c>
    </row>
    <row r="71">
      <c r="A71" s="20" t="n">
        <v>5</v>
      </c>
      <c r="B71" s="20" t="inlineStr">
        <is>
          <t>G5_S2</t>
        </is>
      </c>
      <c r="C71" s="20" t="inlineStr">
        <is>
          <t>oven_dry2_g</t>
        </is>
      </c>
      <c r="D71" s="20" t="n">
        <v>1</v>
      </c>
      <c r="E71" s="20" t="n">
        <v>20.1412</v>
      </c>
      <c r="F71" s="20" t="inlineStr">
        <is>
          <t>g</t>
        </is>
      </c>
      <c r="G71" s="20" t="n">
        <v>103.7</v>
      </c>
      <c r="H71" s="20" t="inlineStr">
        <is>
          <t>第2次與第1次秤重差 ≤ 2 mg，達恆重</t>
        </is>
      </c>
      <c r="I71" s="20" t="inlineStr">
        <is>
          <t>milk_powder</t>
        </is>
      </c>
    </row>
    <row r="72">
      <c r="A72" s="20" t="n">
        <v>5</v>
      </c>
      <c r="B72" s="20" t="inlineStr">
        <is>
          <t>G5_S2</t>
        </is>
      </c>
      <c r="C72" s="20" t="inlineStr">
        <is>
          <t>ir_moisture_pct</t>
        </is>
      </c>
      <c r="D72" s="20" t="n">
        <v>1</v>
      </c>
      <c r="E72" s="20" t="n">
        <v>1.99</v>
      </c>
      <c r="F72" s="20" t="inlineStr">
        <is>
          <t>%</t>
        </is>
      </c>
      <c r="G72" s="20" t="n">
        <v>24.2</v>
      </c>
      <c r="H72" s="20" t="n"/>
      <c r="I72" s="20" t="inlineStr">
        <is>
          <t>milk_powder</t>
        </is>
      </c>
    </row>
    <row r="73">
      <c r="A73" s="20" t="n">
        <v>5</v>
      </c>
      <c r="B73" s="20" t="inlineStr">
        <is>
          <t>G5_S3</t>
        </is>
      </c>
      <c r="C73" s="20" t="inlineStr">
        <is>
          <t>oven_dish_g</t>
        </is>
      </c>
      <c r="D73" s="20" t="n">
        <v>1</v>
      </c>
      <c r="E73" s="20" t="n">
        <v>19.8095</v>
      </c>
      <c r="F73" s="20" t="inlineStr">
        <is>
          <t>g</t>
        </is>
      </c>
      <c r="G73" s="20" t="n">
        <v>106</v>
      </c>
      <c r="H73" s="20" t="n"/>
      <c r="I73" s="20" t="inlineStr">
        <is>
          <t>milk_powder</t>
        </is>
      </c>
    </row>
    <row r="74">
      <c r="A74" s="20" t="n">
        <v>5</v>
      </c>
      <c r="B74" s="20" t="inlineStr">
        <is>
          <t>G5_S3</t>
        </is>
      </c>
      <c r="C74" s="20" t="inlineStr">
        <is>
          <t>oven_wet_g</t>
        </is>
      </c>
      <c r="D74" s="20" t="n">
        <v>1</v>
      </c>
      <c r="E74" s="20" t="n">
        <v>22.8295</v>
      </c>
      <c r="F74" s="20" t="inlineStr">
        <is>
          <t>g</t>
        </is>
      </c>
      <c r="G74" s="20" t="n">
        <v>106</v>
      </c>
      <c r="H74" s="20" t="n"/>
      <c r="I74" s="20" t="inlineStr">
        <is>
          <t>milk_powder</t>
        </is>
      </c>
    </row>
    <row r="75">
      <c r="A75" s="20" t="n">
        <v>5</v>
      </c>
      <c r="B75" s="20" t="inlineStr">
        <is>
          <t>G5_S3</t>
        </is>
      </c>
      <c r="C75" s="20" t="inlineStr">
        <is>
          <t>oven_dry1_g</t>
        </is>
      </c>
      <c r="D75" s="20" t="n">
        <v>1</v>
      </c>
      <c r="E75" s="20" t="n">
        <v>22.7526</v>
      </c>
      <c r="F75" s="20" t="inlineStr">
        <is>
          <t>g</t>
        </is>
      </c>
      <c r="G75" s="20" t="n">
        <v>106</v>
      </c>
      <c r="H75" s="20" t="n"/>
      <c r="I75" s="20" t="inlineStr">
        <is>
          <t>milk_powder</t>
        </is>
      </c>
    </row>
    <row r="76">
      <c r="A76" s="20" t="n">
        <v>5</v>
      </c>
      <c r="B76" s="20" t="inlineStr">
        <is>
          <t>G5_S3</t>
        </is>
      </c>
      <c r="C76" s="20" t="inlineStr">
        <is>
          <t>oven_dry2_g</t>
        </is>
      </c>
      <c r="D76" s="20" t="n">
        <v>1</v>
      </c>
      <c r="E76" s="20" t="n">
        <v>22.752</v>
      </c>
      <c r="F76" s="20" t="inlineStr">
        <is>
          <t>g</t>
        </is>
      </c>
      <c r="G76" s="20" t="n">
        <v>106</v>
      </c>
      <c r="H76" s="20" t="inlineStr">
        <is>
          <t>第2次與第1次秤重差 ≤ 2 mg，達恆重</t>
        </is>
      </c>
      <c r="I76" s="20" t="inlineStr">
        <is>
          <t>milk_powder</t>
        </is>
      </c>
    </row>
    <row r="77">
      <c r="A77" s="20" t="n">
        <v>5</v>
      </c>
      <c r="B77" s="20" t="inlineStr">
        <is>
          <t>G5_S3</t>
        </is>
      </c>
      <c r="C77" s="20" t="inlineStr">
        <is>
          <t>ir_moisture_pct</t>
        </is>
      </c>
      <c r="D77" s="20" t="n">
        <v>1</v>
      </c>
      <c r="E77" s="20" t="n">
        <v>2.06</v>
      </c>
      <c r="F77" s="20" t="inlineStr">
        <is>
          <t>%</t>
        </is>
      </c>
      <c r="G77" s="20" t="n">
        <v>25.4</v>
      </c>
      <c r="H77" s="20" t="n"/>
      <c r="I77" s="20" t="inlineStr">
        <is>
          <t>milk_powder</t>
        </is>
      </c>
    </row>
    <row r="78">
      <c r="A78" s="20" t="n">
        <v>1</v>
      </c>
      <c r="B78" s="20" t="inlineStr">
        <is>
          <t>G1_S1</t>
        </is>
      </c>
      <c r="C78" s="20" t="inlineStr">
        <is>
          <t>moisture_pct_survey</t>
        </is>
      </c>
      <c r="D78" s="20" t="n">
        <v>1</v>
      </c>
      <c r="E78" s="20" t="n">
        <v>19.07</v>
      </c>
      <c r="F78" s="20" t="inlineStr">
        <is>
          <t>%</t>
        </is>
      </c>
      <c r="G78" s="20" t="n">
        <v>24.2</v>
      </c>
      <c r="H78" s="20" t="n"/>
      <c r="I78" s="20" t="inlineStr">
        <is>
          <t>beef_jerky</t>
        </is>
      </c>
    </row>
    <row r="79">
      <c r="A79" s="20" t="n">
        <v>1</v>
      </c>
      <c r="B79" s="20" t="inlineStr">
        <is>
          <t>G1_S1</t>
        </is>
      </c>
      <c r="C79" s="20" t="inlineStr">
        <is>
          <t>aw_reading</t>
        </is>
      </c>
      <c r="D79" s="20" t="n">
        <v>1</v>
      </c>
      <c r="E79" s="20" t="n">
        <v>0.747</v>
      </c>
      <c r="F79" s="20" t="inlineStr">
        <is>
          <t>aw</t>
        </is>
      </c>
      <c r="G79" s="20" t="n">
        <v>24.2</v>
      </c>
      <c r="H79" s="20" t="n"/>
      <c r="I79" s="20" t="inlineStr">
        <is>
          <t>beef_jerky</t>
        </is>
      </c>
    </row>
    <row r="80">
      <c r="A80" s="20" t="n">
        <v>1</v>
      </c>
      <c r="B80" s="20" t="inlineStr">
        <is>
          <t>G1_S1</t>
        </is>
      </c>
      <c r="C80" s="20" t="inlineStr">
        <is>
          <t>moisture_pct_survey</t>
        </is>
      </c>
      <c r="D80" s="20" t="n">
        <v>1</v>
      </c>
      <c r="E80" s="20" t="n">
        <v>19.66</v>
      </c>
      <c r="F80" s="20" t="inlineStr">
        <is>
          <t>%</t>
        </is>
      </c>
      <c r="G80" s="20" t="n">
        <v>24.4</v>
      </c>
      <c r="H80" s="20" t="n"/>
      <c r="I80" s="20" t="inlineStr">
        <is>
          <t>dried_longan</t>
        </is>
      </c>
    </row>
    <row r="81">
      <c r="A81" s="20" t="n">
        <v>1</v>
      </c>
      <c r="B81" s="20" t="inlineStr">
        <is>
          <t>G1_S1</t>
        </is>
      </c>
      <c r="C81" s="20" t="inlineStr">
        <is>
          <t>aw_reading</t>
        </is>
      </c>
      <c r="D81" s="20" t="n">
        <v>1</v>
      </c>
      <c r="E81" s="20" t="n">
        <v>0.613</v>
      </c>
      <c r="F81" s="20" t="inlineStr">
        <is>
          <t>aw</t>
        </is>
      </c>
      <c r="G81" s="20" t="n">
        <v>24.4</v>
      </c>
      <c r="H81" s="20" t="n"/>
      <c r="I81" s="20" t="inlineStr">
        <is>
          <t>dried_longan</t>
        </is>
      </c>
    </row>
    <row r="82">
      <c r="A82" s="20" t="n">
        <v>1</v>
      </c>
      <c r="B82" s="20" t="inlineStr">
        <is>
          <t>G1_S1</t>
        </is>
      </c>
      <c r="C82" s="20" t="inlineStr">
        <is>
          <t>moisture_pct_survey</t>
        </is>
      </c>
      <c r="D82" s="20" t="n">
        <v>1</v>
      </c>
      <c r="E82" s="20" t="n">
        <v>35.76</v>
      </c>
      <c r="F82" s="20" t="inlineStr">
        <is>
          <t>%</t>
        </is>
      </c>
      <c r="G82" s="20" t="n">
        <v>24.4</v>
      </c>
      <c r="H82" s="20" t="n"/>
      <c r="I82" s="20" t="inlineStr">
        <is>
          <t>white_bread</t>
        </is>
      </c>
    </row>
    <row r="83">
      <c r="A83" s="20" t="n">
        <v>1</v>
      </c>
      <c r="B83" s="20" t="inlineStr">
        <is>
          <t>G1_S1</t>
        </is>
      </c>
      <c r="C83" s="20" t="inlineStr">
        <is>
          <t>aw_reading</t>
        </is>
      </c>
      <c r="D83" s="20" t="n">
        <v>1</v>
      </c>
      <c r="E83" s="20" t="n">
        <v>0.954</v>
      </c>
      <c r="F83" s="20" t="inlineStr">
        <is>
          <t>aw</t>
        </is>
      </c>
      <c r="G83" s="20" t="n">
        <v>24.4</v>
      </c>
      <c r="H83" s="20" t="n"/>
      <c r="I83" s="20" t="inlineStr">
        <is>
          <t>white_bread</t>
        </is>
      </c>
    </row>
    <row r="84">
      <c r="A84" s="20" t="n">
        <v>1</v>
      </c>
      <c r="B84" s="20" t="inlineStr">
        <is>
          <t>G1_S1</t>
        </is>
      </c>
      <c r="C84" s="20" t="inlineStr">
        <is>
          <t>moisture_pct_survey</t>
        </is>
      </c>
      <c r="D84" s="20" t="n">
        <v>1</v>
      </c>
      <c r="E84" s="20" t="n">
        <v>1.28</v>
      </c>
      <c r="F84" s="20" t="inlineStr">
        <is>
          <t>%</t>
        </is>
      </c>
      <c r="G84" s="20" t="n">
        <v>25.4</v>
      </c>
      <c r="H84" s="20" t="n"/>
      <c r="I84" s="20" t="inlineStr">
        <is>
          <t>potato_chips</t>
        </is>
      </c>
    </row>
    <row r="85">
      <c r="A85" s="20" t="n">
        <v>1</v>
      </c>
      <c r="B85" s="20" t="inlineStr">
        <is>
          <t>G1_S1</t>
        </is>
      </c>
      <c r="C85" s="20" t="inlineStr">
        <is>
          <t>aw_reading</t>
        </is>
      </c>
      <c r="D85" s="20" t="n">
        <v>1</v>
      </c>
      <c r="E85" s="20" t="n">
        <v>0.201</v>
      </c>
      <c r="F85" s="20" t="inlineStr">
        <is>
          <t>aw</t>
        </is>
      </c>
      <c r="G85" s="20" t="n">
        <v>25.4</v>
      </c>
      <c r="H85" s="20" t="n"/>
      <c r="I85" s="20" t="inlineStr">
        <is>
          <t>potato_chips</t>
        </is>
      </c>
    </row>
    <row r="86">
      <c r="A86" s="20" t="n">
        <v>1</v>
      </c>
      <c r="B86" s="20" t="inlineStr">
        <is>
          <t>G1_S1</t>
        </is>
      </c>
      <c r="C86" s="20" t="inlineStr">
        <is>
          <t>moisture_pct_survey</t>
        </is>
      </c>
      <c r="D86" s="20" t="n">
        <v>1</v>
      </c>
      <c r="E86" s="20" t="n">
        <v>3.12</v>
      </c>
      <c r="F86" s="20" t="inlineStr">
        <is>
          <t>%</t>
        </is>
      </c>
      <c r="G86" s="20" t="n">
        <v>25.2</v>
      </c>
      <c r="H86" s="20" t="n"/>
      <c r="I86" s="20" t="inlineStr">
        <is>
          <t>milk_powder</t>
        </is>
      </c>
    </row>
    <row r="87">
      <c r="A87" s="20" t="n">
        <v>1</v>
      </c>
      <c r="B87" s="20" t="inlineStr">
        <is>
          <t>G1_S1</t>
        </is>
      </c>
      <c r="C87" s="20" t="inlineStr">
        <is>
          <t>aw_reading</t>
        </is>
      </c>
      <c r="D87" s="20" t="n">
        <v>1</v>
      </c>
      <c r="E87" s="20" t="n">
        <v>0.25</v>
      </c>
      <c r="F87" s="20" t="inlineStr">
        <is>
          <t>aw</t>
        </is>
      </c>
      <c r="G87" s="20" t="n">
        <v>25.2</v>
      </c>
      <c r="H87" s="20" t="n"/>
      <c r="I87" s="20" t="inlineStr">
        <is>
          <t>milk_powder</t>
        </is>
      </c>
    </row>
    <row r="88">
      <c r="A88" s="20" t="n">
        <v>1</v>
      </c>
      <c r="B88" s="20" t="inlineStr">
        <is>
          <t>G1_S1</t>
        </is>
      </c>
      <c r="C88" s="20" t="inlineStr">
        <is>
          <t>moisture_pct_survey</t>
        </is>
      </c>
      <c r="D88" s="20" t="n">
        <v>1</v>
      </c>
      <c r="E88" s="20" t="n">
        <v>16.8</v>
      </c>
      <c r="F88" s="20" t="inlineStr">
        <is>
          <t>%</t>
        </is>
      </c>
      <c r="G88" s="20" t="n">
        <v>24.8</v>
      </c>
      <c r="H88" s="20" t="inlineStr">
        <is>
          <t>蜂蜜以紅外線水分計量測(不適用常壓烘箱)</t>
        </is>
      </c>
      <c r="I88" s="20" t="inlineStr">
        <is>
          <t>honey</t>
        </is>
      </c>
    </row>
    <row r="89">
      <c r="A89" s="20" t="n">
        <v>1</v>
      </c>
      <c r="B89" s="20" t="inlineStr">
        <is>
          <t>G1_S1</t>
        </is>
      </c>
      <c r="C89" s="20" t="inlineStr">
        <is>
          <t>aw_reading</t>
        </is>
      </c>
      <c r="D89" s="20" t="n">
        <v>1</v>
      </c>
      <c r="E89" s="20" t="n">
        <v>0.585</v>
      </c>
      <c r="F89" s="20" t="inlineStr">
        <is>
          <t>aw</t>
        </is>
      </c>
      <c r="G89" s="20" t="n">
        <v>24.8</v>
      </c>
      <c r="H89" s="20" t="n"/>
      <c r="I89" s="20" t="inlineStr">
        <is>
          <t>honey</t>
        </is>
      </c>
    </row>
    <row r="90">
      <c r="A90" s="20" t="n">
        <v>2</v>
      </c>
      <c r="B90" s="20" t="inlineStr">
        <is>
          <t>G2_S1</t>
        </is>
      </c>
      <c r="C90" s="20" t="inlineStr">
        <is>
          <t>moisture_pct_survey</t>
        </is>
      </c>
      <c r="D90" s="20" t="n">
        <v>1</v>
      </c>
      <c r="E90" s="20" t="n">
        <v>20.22</v>
      </c>
      <c r="F90" s="20" t="inlineStr">
        <is>
          <t>%</t>
        </is>
      </c>
      <c r="G90" s="20" t="n">
        <v>24.7</v>
      </c>
      <c r="H90" s="20" t="n"/>
      <c r="I90" s="20" t="inlineStr">
        <is>
          <t>beef_jerky</t>
        </is>
      </c>
    </row>
    <row r="91">
      <c r="A91" s="20" t="n">
        <v>2</v>
      </c>
      <c r="B91" s="20" t="inlineStr">
        <is>
          <t>G2_S1</t>
        </is>
      </c>
      <c r="C91" s="20" t="inlineStr">
        <is>
          <t>aw_reading</t>
        </is>
      </c>
      <c r="D91" s="20" t="n">
        <v>1</v>
      </c>
      <c r="E91" s="20" t="n">
        <v>0.77</v>
      </c>
      <c r="F91" s="20" t="inlineStr">
        <is>
          <t>aw</t>
        </is>
      </c>
      <c r="G91" s="20" t="n">
        <v>24.7</v>
      </c>
      <c r="H91" s="20" t="n"/>
      <c r="I91" s="20" t="inlineStr">
        <is>
          <t>beef_jerky</t>
        </is>
      </c>
    </row>
    <row r="92">
      <c r="A92" s="20" t="n">
        <v>2</v>
      </c>
      <c r="B92" s="20" t="inlineStr">
        <is>
          <t>G2_S1</t>
        </is>
      </c>
      <c r="C92" s="20" t="inlineStr">
        <is>
          <t>moisture_pct_survey</t>
        </is>
      </c>
      <c r="D92" s="20" t="n">
        <v>1</v>
      </c>
      <c r="E92" s="20" t="n">
        <v>20.36</v>
      </c>
      <c r="F92" s="20" t="inlineStr">
        <is>
          <t>%</t>
        </is>
      </c>
      <c r="G92" s="20" t="n">
        <v>25.2</v>
      </c>
      <c r="H92" s="20" t="n"/>
      <c r="I92" s="20" t="inlineStr">
        <is>
          <t>dried_longan</t>
        </is>
      </c>
    </row>
    <row r="93">
      <c r="A93" s="20" t="n">
        <v>2</v>
      </c>
      <c r="B93" s="20" t="inlineStr">
        <is>
          <t>G2_S1</t>
        </is>
      </c>
      <c r="C93" s="20" t="inlineStr">
        <is>
          <t>aw_reading</t>
        </is>
      </c>
      <c r="D93" s="20" t="n">
        <v>1</v>
      </c>
      <c r="E93" s="20" t="n">
        <v>0.622</v>
      </c>
      <c r="F93" s="20" t="inlineStr">
        <is>
          <t>aw</t>
        </is>
      </c>
      <c r="G93" s="20" t="n">
        <v>25.2</v>
      </c>
      <c r="H93" s="20" t="n"/>
      <c r="I93" s="20" t="inlineStr">
        <is>
          <t>dried_longan</t>
        </is>
      </c>
    </row>
    <row r="94">
      <c r="A94" s="20" t="n">
        <v>2</v>
      </c>
      <c r="B94" s="20" t="inlineStr">
        <is>
          <t>G2_S1</t>
        </is>
      </c>
      <c r="C94" s="20" t="inlineStr">
        <is>
          <t>moisture_pct_survey</t>
        </is>
      </c>
      <c r="D94" s="20" t="n">
        <v>1</v>
      </c>
      <c r="E94" s="20" t="n">
        <v>33.88</v>
      </c>
      <c r="F94" s="20" t="inlineStr">
        <is>
          <t>%</t>
        </is>
      </c>
      <c r="G94" s="20" t="n">
        <v>25.2</v>
      </c>
      <c r="H94" s="20" t="n"/>
      <c r="I94" s="20" t="inlineStr">
        <is>
          <t>white_bread</t>
        </is>
      </c>
    </row>
    <row r="95">
      <c r="A95" s="20" t="n">
        <v>2</v>
      </c>
      <c r="B95" s="20" t="inlineStr">
        <is>
          <t>G2_S1</t>
        </is>
      </c>
      <c r="C95" s="20" t="inlineStr">
        <is>
          <t>aw_reading</t>
        </is>
      </c>
      <c r="D95" s="20" t="n">
        <v>1</v>
      </c>
      <c r="E95" s="20" t="n">
        <v>0.9360000000000001</v>
      </c>
      <c r="F95" s="20" t="inlineStr">
        <is>
          <t>aw</t>
        </is>
      </c>
      <c r="G95" s="20" t="n">
        <v>25.2</v>
      </c>
      <c r="H95" s="20" t="n"/>
      <c r="I95" s="20" t="inlineStr">
        <is>
          <t>white_bread</t>
        </is>
      </c>
    </row>
    <row r="96">
      <c r="A96" s="20" t="n">
        <v>2</v>
      </c>
      <c r="B96" s="20" t="inlineStr">
        <is>
          <t>G2_S1</t>
        </is>
      </c>
      <c r="C96" s="20" t="inlineStr">
        <is>
          <t>moisture_pct_survey</t>
        </is>
      </c>
      <c r="D96" s="20" t="n">
        <v>1</v>
      </c>
      <c r="E96" s="20" t="n">
        <v>1.31</v>
      </c>
      <c r="F96" s="20" t="inlineStr">
        <is>
          <t>%</t>
        </is>
      </c>
      <c r="G96" s="20" t="n">
        <v>24</v>
      </c>
      <c r="H96" s="20" t="n"/>
      <c r="I96" s="20" t="inlineStr">
        <is>
          <t>potato_chips</t>
        </is>
      </c>
    </row>
    <row r="97">
      <c r="A97" s="20" t="n">
        <v>2</v>
      </c>
      <c r="B97" s="20" t="inlineStr">
        <is>
          <t>G2_S1</t>
        </is>
      </c>
      <c r="C97" s="20" t="inlineStr">
        <is>
          <t>aw_reading</t>
        </is>
      </c>
      <c r="D97" s="20" t="n">
        <v>1</v>
      </c>
      <c r="E97" s="20" t="n">
        <v>0.21</v>
      </c>
      <c r="F97" s="20" t="inlineStr">
        <is>
          <t>aw</t>
        </is>
      </c>
      <c r="G97" s="20" t="n">
        <v>24</v>
      </c>
      <c r="H97" s="20" t="n"/>
      <c r="I97" s="20" t="inlineStr">
        <is>
          <t>potato_chips</t>
        </is>
      </c>
    </row>
    <row r="98">
      <c r="A98" s="20" t="n">
        <v>2</v>
      </c>
      <c r="B98" s="20" t="inlineStr">
        <is>
          <t>G2_S1</t>
        </is>
      </c>
      <c r="C98" s="20" t="inlineStr">
        <is>
          <t>moisture_pct_survey</t>
        </is>
      </c>
      <c r="D98" s="20" t="n">
        <v>1</v>
      </c>
      <c r="E98" s="20" t="n">
        <v>2.26</v>
      </c>
      <c r="F98" s="20" t="inlineStr">
        <is>
          <t>%</t>
        </is>
      </c>
      <c r="G98" s="20" t="n">
        <v>25.6</v>
      </c>
      <c r="H98" s="20" t="n"/>
      <c r="I98" s="20" t="inlineStr">
        <is>
          <t>milk_powder</t>
        </is>
      </c>
    </row>
    <row r="99">
      <c r="A99" s="20" t="n">
        <v>2</v>
      </c>
      <c r="B99" s="20" t="inlineStr">
        <is>
          <t>G2_S1</t>
        </is>
      </c>
      <c r="C99" s="20" t="inlineStr">
        <is>
          <t>aw_reading</t>
        </is>
      </c>
      <c r="D99" s="20" t="n">
        <v>1</v>
      </c>
      <c r="E99" s="20" t="n">
        <v>0.235</v>
      </c>
      <c r="F99" s="20" t="inlineStr">
        <is>
          <t>aw</t>
        </is>
      </c>
      <c r="G99" s="20" t="n">
        <v>25.6</v>
      </c>
      <c r="H99" s="20" t="n"/>
      <c r="I99" s="20" t="inlineStr">
        <is>
          <t>milk_powder</t>
        </is>
      </c>
    </row>
    <row r="100">
      <c r="A100" s="20" t="n">
        <v>2</v>
      </c>
      <c r="B100" s="20" t="inlineStr">
        <is>
          <t>G2_S1</t>
        </is>
      </c>
      <c r="C100" s="20" t="inlineStr">
        <is>
          <t>moisture_pct_survey</t>
        </is>
      </c>
      <c r="D100" s="20" t="n">
        <v>1</v>
      </c>
      <c r="E100" s="20" t="n">
        <v>17.71</v>
      </c>
      <c r="F100" s="20" t="inlineStr">
        <is>
          <t>%</t>
        </is>
      </c>
      <c r="G100" s="20" t="n">
        <v>25</v>
      </c>
      <c r="H100" s="20" t="inlineStr">
        <is>
          <t>蜂蜜以紅外線水分計量測(不適用常壓烘箱)</t>
        </is>
      </c>
      <c r="I100" s="20" t="inlineStr">
        <is>
          <t>honey</t>
        </is>
      </c>
    </row>
    <row r="101">
      <c r="A101" s="20" t="n">
        <v>2</v>
      </c>
      <c r="B101" s="20" t="inlineStr">
        <is>
          <t>G2_S1</t>
        </is>
      </c>
      <c r="C101" s="20" t="inlineStr">
        <is>
          <t>aw_reading</t>
        </is>
      </c>
      <c r="D101" s="20" t="n">
        <v>1</v>
      </c>
      <c r="E101" s="20" t="n">
        <v>0.63</v>
      </c>
      <c r="F101" s="20" t="inlineStr">
        <is>
          <t>aw</t>
        </is>
      </c>
      <c r="G101" s="20" t="n">
        <v>25</v>
      </c>
      <c r="H101" s="20" t="n"/>
      <c r="I101" s="20" t="inlineStr">
        <is>
          <t>honey</t>
        </is>
      </c>
    </row>
    <row r="102">
      <c r="A102" s="20" t="n">
        <v>3</v>
      </c>
      <c r="B102" s="20" t="inlineStr">
        <is>
          <t>G3_S1</t>
        </is>
      </c>
      <c r="C102" s="20" t="inlineStr">
        <is>
          <t>moisture_pct_survey</t>
        </is>
      </c>
      <c r="D102" s="20" t="n">
        <v>1</v>
      </c>
      <c r="E102" s="20" t="n">
        <v>20.41</v>
      </c>
      <c r="F102" s="20" t="inlineStr">
        <is>
          <t>%</t>
        </is>
      </c>
      <c r="G102" s="20" t="n">
        <v>24.9</v>
      </c>
      <c r="H102" s="20" t="n"/>
      <c r="I102" s="20" t="inlineStr">
        <is>
          <t>beef_jerky</t>
        </is>
      </c>
    </row>
    <row r="103">
      <c r="A103" s="20" t="n">
        <v>3</v>
      </c>
      <c r="B103" s="20" t="inlineStr">
        <is>
          <t>G3_S1</t>
        </is>
      </c>
      <c r="C103" s="20" t="inlineStr">
        <is>
          <t>aw_reading</t>
        </is>
      </c>
      <c r="D103" s="20" t="n">
        <v>1</v>
      </c>
      <c r="E103" s="20" t="n">
        <v>0.735</v>
      </c>
      <c r="F103" s="20" t="inlineStr">
        <is>
          <t>aw</t>
        </is>
      </c>
      <c r="G103" s="20" t="n">
        <v>24.9</v>
      </c>
      <c r="H103" s="20" t="n"/>
      <c r="I103" s="20" t="inlineStr">
        <is>
          <t>beef_jerky</t>
        </is>
      </c>
    </row>
    <row r="104">
      <c r="A104" s="20" t="n">
        <v>3</v>
      </c>
      <c r="B104" s="20" t="inlineStr">
        <is>
          <t>G3_S1</t>
        </is>
      </c>
      <c r="C104" s="20" t="inlineStr">
        <is>
          <t>moisture_pct_survey</t>
        </is>
      </c>
      <c r="D104" s="20" t="n">
        <v>1</v>
      </c>
      <c r="E104" s="20" t="n">
        <v>20.27</v>
      </c>
      <c r="F104" s="20" t="inlineStr">
        <is>
          <t>%</t>
        </is>
      </c>
      <c r="G104" s="20" t="n">
        <v>25</v>
      </c>
      <c r="H104" s="20" t="n"/>
      <c r="I104" s="20" t="inlineStr">
        <is>
          <t>dried_longan</t>
        </is>
      </c>
    </row>
    <row r="105">
      <c r="A105" s="20" t="n">
        <v>3</v>
      </c>
      <c r="B105" s="20" t="inlineStr">
        <is>
          <t>G3_S1</t>
        </is>
      </c>
      <c r="C105" s="20" t="inlineStr">
        <is>
          <t>aw_reading</t>
        </is>
      </c>
      <c r="D105" s="20" t="n">
        <v>1</v>
      </c>
      <c r="E105" s="20" t="n">
        <v>0.588</v>
      </c>
      <c r="F105" s="20" t="inlineStr">
        <is>
          <t>aw</t>
        </is>
      </c>
      <c r="G105" s="20" t="n">
        <v>25</v>
      </c>
      <c r="H105" s="20" t="n"/>
      <c r="I105" s="20" t="inlineStr">
        <is>
          <t>dried_longan</t>
        </is>
      </c>
    </row>
    <row r="106">
      <c r="A106" s="20" t="n">
        <v>3</v>
      </c>
      <c r="B106" s="20" t="inlineStr">
        <is>
          <t>G3_S1</t>
        </is>
      </c>
      <c r="C106" s="20" t="inlineStr">
        <is>
          <t>moisture_pct_survey</t>
        </is>
      </c>
      <c r="D106" s="20" t="n">
        <v>1</v>
      </c>
      <c r="E106" s="20" t="n">
        <v>33.93</v>
      </c>
      <c r="F106" s="20" t="inlineStr">
        <is>
          <t>%</t>
        </is>
      </c>
      <c r="G106" s="20" t="n">
        <v>25.7</v>
      </c>
      <c r="H106" s="20" t="n"/>
      <c r="I106" s="20" t="inlineStr">
        <is>
          <t>white_bread</t>
        </is>
      </c>
    </row>
    <row r="107">
      <c r="A107" s="20" t="n">
        <v>3</v>
      </c>
      <c r="B107" s="20" t="inlineStr">
        <is>
          <t>G3_S1</t>
        </is>
      </c>
      <c r="C107" s="20" t="inlineStr">
        <is>
          <t>aw_reading</t>
        </is>
      </c>
      <c r="D107" s="20" t="n">
        <v>1</v>
      </c>
      <c r="E107" s="20" t="n">
        <v>0.948</v>
      </c>
      <c r="F107" s="20" t="inlineStr">
        <is>
          <t>aw</t>
        </is>
      </c>
      <c r="G107" s="20" t="n">
        <v>25.7</v>
      </c>
      <c r="H107" s="20" t="n"/>
      <c r="I107" s="20" t="inlineStr">
        <is>
          <t>white_bread</t>
        </is>
      </c>
    </row>
    <row r="108">
      <c r="A108" s="20" t="n">
        <v>3</v>
      </c>
      <c r="B108" s="20" t="inlineStr">
        <is>
          <t>G3_S1</t>
        </is>
      </c>
      <c r="C108" s="20" t="inlineStr">
        <is>
          <t>moisture_pct_survey</t>
        </is>
      </c>
      <c r="D108" s="20" t="n">
        <v>1</v>
      </c>
      <c r="E108" s="20" t="n">
        <v>2.08</v>
      </c>
      <c r="F108" s="20" t="inlineStr">
        <is>
          <t>%</t>
        </is>
      </c>
      <c r="G108" s="20" t="n">
        <v>25.1</v>
      </c>
      <c r="H108" s="20" t="n"/>
      <c r="I108" s="20" t="inlineStr">
        <is>
          <t>potato_chips</t>
        </is>
      </c>
    </row>
    <row r="109">
      <c r="A109" s="20" t="n">
        <v>3</v>
      </c>
      <c r="B109" s="20" t="inlineStr">
        <is>
          <t>G3_S1</t>
        </is>
      </c>
      <c r="C109" s="20" t="inlineStr">
        <is>
          <t>aw_reading</t>
        </is>
      </c>
      <c r="D109" s="20" t="n">
        <v>1</v>
      </c>
      <c r="E109" s="20" t="n">
        <v>0.198</v>
      </c>
      <c r="F109" s="20" t="inlineStr">
        <is>
          <t>aw</t>
        </is>
      </c>
      <c r="G109" s="20" t="n">
        <v>25.1</v>
      </c>
      <c r="H109" s="20" t="n"/>
      <c r="I109" s="20" t="inlineStr">
        <is>
          <t>potato_chips</t>
        </is>
      </c>
    </row>
    <row r="110">
      <c r="A110" s="20" t="n">
        <v>3</v>
      </c>
      <c r="B110" s="20" t="inlineStr">
        <is>
          <t>G3_S1</t>
        </is>
      </c>
      <c r="C110" s="20" t="inlineStr">
        <is>
          <t>moisture_pct_survey</t>
        </is>
      </c>
      <c r="D110" s="20" t="n">
        <v>1</v>
      </c>
      <c r="E110" s="20" t="n">
        <v>2.16</v>
      </c>
      <c r="F110" s="20" t="inlineStr">
        <is>
          <t>%</t>
        </is>
      </c>
      <c r="G110" s="20" t="n">
        <v>24.6</v>
      </c>
      <c r="H110" s="20" t="n"/>
      <c r="I110" s="20" t="inlineStr">
        <is>
          <t>milk_powder</t>
        </is>
      </c>
    </row>
    <row r="111">
      <c r="A111" s="20" t="n">
        <v>3</v>
      </c>
      <c r="B111" s="20" t="inlineStr">
        <is>
          <t>G3_S1</t>
        </is>
      </c>
      <c r="C111" s="20" t="inlineStr">
        <is>
          <t>aw_reading</t>
        </is>
      </c>
      <c r="D111" s="20" t="n">
        <v>1</v>
      </c>
      <c r="E111" s="20" t="n">
        <v>0.243</v>
      </c>
      <c r="F111" s="20" t="inlineStr">
        <is>
          <t>aw</t>
        </is>
      </c>
      <c r="G111" s="20" t="n">
        <v>24.6</v>
      </c>
      <c r="H111" s="20" t="n"/>
      <c r="I111" s="20" t="inlineStr">
        <is>
          <t>milk_powder</t>
        </is>
      </c>
    </row>
    <row r="112">
      <c r="A112" s="20" t="n">
        <v>3</v>
      </c>
      <c r="B112" s="20" t="inlineStr">
        <is>
          <t>G3_S1</t>
        </is>
      </c>
      <c r="C112" s="20" t="inlineStr">
        <is>
          <t>moisture_pct_survey</t>
        </is>
      </c>
      <c r="D112" s="20" t="n">
        <v>1</v>
      </c>
      <c r="E112" s="20" t="n">
        <v>17.24</v>
      </c>
      <c r="F112" s="20" t="inlineStr">
        <is>
          <t>%</t>
        </is>
      </c>
      <c r="G112" s="20" t="n">
        <v>25.5</v>
      </c>
      <c r="H112" s="20" t="inlineStr">
        <is>
          <t>蜂蜜以紅外線水分計量測(不適用常壓烘箱)</t>
        </is>
      </c>
      <c r="I112" s="20" t="inlineStr">
        <is>
          <t>honey</t>
        </is>
      </c>
    </row>
    <row r="113">
      <c r="A113" s="20" t="n">
        <v>3</v>
      </c>
      <c r="B113" s="20" t="inlineStr">
        <is>
          <t>G3_S1</t>
        </is>
      </c>
      <c r="C113" s="20" t="inlineStr">
        <is>
          <t>aw_reading</t>
        </is>
      </c>
      <c r="D113" s="20" t="n">
        <v>1</v>
      </c>
      <c r="E113" s="20" t="n">
        <v>0.627</v>
      </c>
      <c r="F113" s="20" t="inlineStr">
        <is>
          <t>aw</t>
        </is>
      </c>
      <c r="G113" s="20" t="n">
        <v>25.5</v>
      </c>
      <c r="H113" s="20" t="n"/>
      <c r="I113" s="20" t="inlineStr">
        <is>
          <t>honey</t>
        </is>
      </c>
    </row>
    <row r="114">
      <c r="A114" s="20" t="n">
        <v>4</v>
      </c>
      <c r="B114" s="20" t="inlineStr">
        <is>
          <t>G4_S1</t>
        </is>
      </c>
      <c r="C114" s="20" t="inlineStr">
        <is>
          <t>moisture_pct_survey</t>
        </is>
      </c>
      <c r="D114" s="20" t="n">
        <v>1</v>
      </c>
      <c r="E114" s="20" t="n">
        <v>20.98</v>
      </c>
      <c r="F114" s="20" t="inlineStr">
        <is>
          <t>%</t>
        </is>
      </c>
      <c r="G114" s="20" t="n">
        <v>24.5</v>
      </c>
      <c r="H114" s="20" t="n"/>
      <c r="I114" s="20" t="inlineStr">
        <is>
          <t>beef_jerky</t>
        </is>
      </c>
    </row>
    <row r="115">
      <c r="A115" s="20" t="n">
        <v>4</v>
      </c>
      <c r="B115" s="20" t="inlineStr">
        <is>
          <t>G4_S1</t>
        </is>
      </c>
      <c r="C115" s="20" t="inlineStr">
        <is>
          <t>aw_reading</t>
        </is>
      </c>
      <c r="D115" s="20" t="n">
        <v>1</v>
      </c>
      <c r="E115" s="20" t="n">
        <v>0.743</v>
      </c>
      <c r="F115" s="20" t="inlineStr">
        <is>
          <t>aw</t>
        </is>
      </c>
      <c r="G115" s="20" t="n">
        <v>24.5</v>
      </c>
      <c r="H115" s="20" t="n"/>
      <c r="I115" s="20" t="inlineStr">
        <is>
          <t>beef_jerky</t>
        </is>
      </c>
    </row>
    <row r="116">
      <c r="A116" s="20" t="n">
        <v>4</v>
      </c>
      <c r="B116" s="20" t="inlineStr">
        <is>
          <t>G4_S1</t>
        </is>
      </c>
      <c r="C116" s="20" t="inlineStr">
        <is>
          <t>moisture_pct_survey</t>
        </is>
      </c>
      <c r="D116" s="20" t="n">
        <v>1</v>
      </c>
      <c r="E116" s="20" t="n">
        <v>19.03</v>
      </c>
      <c r="F116" s="20" t="inlineStr">
        <is>
          <t>%</t>
        </is>
      </c>
      <c r="G116" s="20" t="n">
        <v>24.7</v>
      </c>
      <c r="H116" s="20" t="n"/>
      <c r="I116" s="20" t="inlineStr">
        <is>
          <t>dried_longan</t>
        </is>
      </c>
    </row>
    <row r="117">
      <c r="A117" s="20" t="n">
        <v>4</v>
      </c>
      <c r="B117" s="20" t="inlineStr">
        <is>
          <t>G4_S1</t>
        </is>
      </c>
      <c r="C117" s="20" t="inlineStr">
        <is>
          <t>aw_reading</t>
        </is>
      </c>
      <c r="D117" s="20" t="n">
        <v>1</v>
      </c>
      <c r="E117" s="20" t="n">
        <v>0.589</v>
      </c>
      <c r="F117" s="20" t="inlineStr">
        <is>
          <t>aw</t>
        </is>
      </c>
      <c r="G117" s="20" t="n">
        <v>24.7</v>
      </c>
      <c r="H117" s="20" t="n"/>
      <c r="I117" s="20" t="inlineStr">
        <is>
          <t>dried_longan</t>
        </is>
      </c>
    </row>
    <row r="118">
      <c r="A118" s="20" t="n">
        <v>4</v>
      </c>
      <c r="B118" s="20" t="inlineStr">
        <is>
          <t>G4_S1</t>
        </is>
      </c>
      <c r="C118" s="20" t="inlineStr">
        <is>
          <t>moisture_pct_survey</t>
        </is>
      </c>
      <c r="D118" s="20" t="n">
        <v>1</v>
      </c>
      <c r="E118" s="20" t="n">
        <v>33.56</v>
      </c>
      <c r="F118" s="20" t="inlineStr">
        <is>
          <t>%</t>
        </is>
      </c>
      <c r="G118" s="20" t="n">
        <v>24.6</v>
      </c>
      <c r="H118" s="20" t="n"/>
      <c r="I118" s="20" t="inlineStr">
        <is>
          <t>white_bread</t>
        </is>
      </c>
    </row>
    <row r="119">
      <c r="A119" s="20" t="n">
        <v>4</v>
      </c>
      <c r="B119" s="20" t="inlineStr">
        <is>
          <t>G4_S1</t>
        </is>
      </c>
      <c r="C119" s="20" t="inlineStr">
        <is>
          <t>aw_reading</t>
        </is>
      </c>
      <c r="D119" s="20" t="n">
        <v>1</v>
      </c>
      <c r="E119" s="20" t="n">
        <v>0.963</v>
      </c>
      <c r="F119" s="20" t="inlineStr">
        <is>
          <t>aw</t>
        </is>
      </c>
      <c r="G119" s="20" t="n">
        <v>24.6</v>
      </c>
      <c r="H119" s="20" t="n"/>
      <c r="I119" s="20" t="inlineStr">
        <is>
          <t>white_bread</t>
        </is>
      </c>
    </row>
    <row r="120">
      <c r="A120" s="20" t="n">
        <v>4</v>
      </c>
      <c r="B120" s="20" t="inlineStr">
        <is>
          <t>G4_S1</t>
        </is>
      </c>
      <c r="C120" s="20" t="inlineStr">
        <is>
          <t>moisture_pct_survey</t>
        </is>
      </c>
      <c r="D120" s="20" t="n">
        <v>1</v>
      </c>
      <c r="E120" s="20" t="n">
        <v>2.47</v>
      </c>
      <c r="F120" s="20" t="inlineStr">
        <is>
          <t>%</t>
        </is>
      </c>
      <c r="G120" s="20" t="n">
        <v>25</v>
      </c>
      <c r="H120" s="20" t="n"/>
      <c r="I120" s="20" t="inlineStr">
        <is>
          <t>potato_chips</t>
        </is>
      </c>
    </row>
    <row r="121">
      <c r="A121" s="20" t="n">
        <v>4</v>
      </c>
      <c r="B121" s="20" t="inlineStr">
        <is>
          <t>G4_S1</t>
        </is>
      </c>
      <c r="C121" s="20" t="inlineStr">
        <is>
          <t>aw_reading</t>
        </is>
      </c>
      <c r="D121" s="20" t="n">
        <v>1</v>
      </c>
      <c r="E121" s="20" t="n">
        <v>0.206</v>
      </c>
      <c r="F121" s="20" t="inlineStr">
        <is>
          <t>aw</t>
        </is>
      </c>
      <c r="G121" s="20" t="n">
        <v>25</v>
      </c>
      <c r="H121" s="20" t="n"/>
      <c r="I121" s="20" t="inlineStr">
        <is>
          <t>potato_chips</t>
        </is>
      </c>
    </row>
    <row r="122">
      <c r="A122" s="20" t="n">
        <v>4</v>
      </c>
      <c r="B122" s="20" t="inlineStr">
        <is>
          <t>G4_S1</t>
        </is>
      </c>
      <c r="C122" s="20" t="inlineStr">
        <is>
          <t>moisture_pct_survey</t>
        </is>
      </c>
      <c r="D122" s="20" t="n">
        <v>1</v>
      </c>
      <c r="E122" s="20" t="n">
        <v>2.98</v>
      </c>
      <c r="F122" s="20" t="inlineStr">
        <is>
          <t>%</t>
        </is>
      </c>
      <c r="G122" s="20" t="n">
        <v>24.3</v>
      </c>
      <c r="H122" s="20" t="n"/>
      <c r="I122" s="20" t="inlineStr">
        <is>
          <t>milk_powder</t>
        </is>
      </c>
    </row>
    <row r="123">
      <c r="A123" s="20" t="n">
        <v>4</v>
      </c>
      <c r="B123" s="20" t="inlineStr">
        <is>
          <t>G4_S1</t>
        </is>
      </c>
      <c r="C123" s="20" t="inlineStr">
        <is>
          <t>aw_reading</t>
        </is>
      </c>
      <c r="D123" s="20" t="n">
        <v>1</v>
      </c>
      <c r="E123" s="20" t="n">
        <v>0.24</v>
      </c>
      <c r="F123" s="20" t="inlineStr">
        <is>
          <t>aw</t>
        </is>
      </c>
      <c r="G123" s="20" t="n">
        <v>24.3</v>
      </c>
      <c r="H123" s="20" t="n"/>
      <c r="I123" s="20" t="inlineStr">
        <is>
          <t>milk_powder</t>
        </is>
      </c>
    </row>
    <row r="124">
      <c r="A124" s="20" t="n">
        <v>4</v>
      </c>
      <c r="B124" s="20" t="inlineStr">
        <is>
          <t>G4_S1</t>
        </is>
      </c>
      <c r="C124" s="20" t="inlineStr">
        <is>
          <t>moisture_pct_survey</t>
        </is>
      </c>
      <c r="D124" s="20" t="n">
        <v>1</v>
      </c>
      <c r="E124" s="20" t="n">
        <v>16.61</v>
      </c>
      <c r="F124" s="20" t="inlineStr">
        <is>
          <t>%</t>
        </is>
      </c>
      <c r="G124" s="20" t="n">
        <v>26</v>
      </c>
      <c r="H124" s="20" t="inlineStr">
        <is>
          <t>蜂蜜以紅外線水分計量測(不適用常壓烘箱)</t>
        </is>
      </c>
      <c r="I124" s="20" t="inlineStr">
        <is>
          <t>honey</t>
        </is>
      </c>
    </row>
    <row r="125">
      <c r="A125" s="20" t="n">
        <v>4</v>
      </c>
      <c r="B125" s="20" t="inlineStr">
        <is>
          <t>G4_S1</t>
        </is>
      </c>
      <c r="C125" s="20" t="inlineStr">
        <is>
          <t>aw_reading</t>
        </is>
      </c>
      <c r="D125" s="20" t="n">
        <v>1</v>
      </c>
      <c r="E125" s="20" t="n">
        <v>0.582</v>
      </c>
      <c r="F125" s="20" t="inlineStr">
        <is>
          <t>aw</t>
        </is>
      </c>
      <c r="G125" s="20" t="n">
        <v>26</v>
      </c>
      <c r="H125" s="20" t="n"/>
      <c r="I125" s="20" t="inlineStr">
        <is>
          <t>honey</t>
        </is>
      </c>
    </row>
    <row r="126">
      <c r="A126" s="20" t="n">
        <v>5</v>
      </c>
      <c r="B126" s="20" t="inlineStr">
        <is>
          <t>G5_S1</t>
        </is>
      </c>
      <c r="C126" s="20" t="inlineStr">
        <is>
          <t>moisture_pct_survey</t>
        </is>
      </c>
      <c r="D126" s="20" t="n">
        <v>1</v>
      </c>
      <c r="E126" s="20" t="n">
        <v>20.17</v>
      </c>
      <c r="F126" s="20" t="inlineStr">
        <is>
          <t>%</t>
        </is>
      </c>
      <c r="G126" s="20" t="n">
        <v>25.8</v>
      </c>
      <c r="H126" s="20" t="n"/>
      <c r="I126" s="20" t="inlineStr">
        <is>
          <t>beef_jerky</t>
        </is>
      </c>
    </row>
    <row r="127">
      <c r="A127" s="20" t="n">
        <v>5</v>
      </c>
      <c r="B127" s="20" t="inlineStr">
        <is>
          <t>G5_S1</t>
        </is>
      </c>
      <c r="C127" s="20" t="inlineStr">
        <is>
          <t>aw_reading</t>
        </is>
      </c>
      <c r="D127" s="20" t="n">
        <v>1</v>
      </c>
      <c r="E127" s="20" t="n">
        <v>0.774</v>
      </c>
      <c r="F127" s="20" t="inlineStr">
        <is>
          <t>aw</t>
        </is>
      </c>
      <c r="G127" s="20" t="n">
        <v>25.8</v>
      </c>
      <c r="H127" s="20" t="n"/>
      <c r="I127" s="20" t="inlineStr">
        <is>
          <t>beef_jerky</t>
        </is>
      </c>
    </row>
    <row r="128">
      <c r="A128" s="20" t="n">
        <v>5</v>
      </c>
      <c r="B128" s="20" t="inlineStr">
        <is>
          <t>G5_S1</t>
        </is>
      </c>
      <c r="C128" s="20" t="inlineStr">
        <is>
          <t>moisture_pct_survey</t>
        </is>
      </c>
      <c r="D128" s="20" t="n">
        <v>1</v>
      </c>
      <c r="E128" s="20" t="n">
        <v>19.88</v>
      </c>
      <c r="F128" s="20" t="inlineStr">
        <is>
          <t>%</t>
        </is>
      </c>
      <c r="G128" s="20" t="n">
        <v>24.6</v>
      </c>
      <c r="H128" s="20" t="n"/>
      <c r="I128" s="20" t="inlineStr">
        <is>
          <t>dried_longan</t>
        </is>
      </c>
    </row>
    <row r="129">
      <c r="A129" s="20" t="n">
        <v>5</v>
      </c>
      <c r="B129" s="20" t="inlineStr">
        <is>
          <t>G5_S1</t>
        </is>
      </c>
      <c r="C129" s="20" t="inlineStr">
        <is>
          <t>aw_reading</t>
        </is>
      </c>
      <c r="D129" s="20" t="n">
        <v>1</v>
      </c>
      <c r="E129" s="20" t="n">
        <v>0.604</v>
      </c>
      <c r="F129" s="20" t="inlineStr">
        <is>
          <t>aw</t>
        </is>
      </c>
      <c r="G129" s="20" t="n">
        <v>24.6</v>
      </c>
      <c r="H129" s="20" t="n"/>
      <c r="I129" s="20" t="inlineStr">
        <is>
          <t>dried_longan</t>
        </is>
      </c>
    </row>
    <row r="130">
      <c r="A130" s="20" t="n">
        <v>5</v>
      </c>
      <c r="B130" s="20" t="inlineStr">
        <is>
          <t>G5_S1</t>
        </is>
      </c>
      <c r="C130" s="20" t="inlineStr">
        <is>
          <t>moisture_pct_survey</t>
        </is>
      </c>
      <c r="D130" s="20" t="n">
        <v>1</v>
      </c>
      <c r="E130" s="20" t="n">
        <v>35.38</v>
      </c>
      <c r="F130" s="20" t="inlineStr">
        <is>
          <t>%</t>
        </is>
      </c>
      <c r="G130" s="20" t="n">
        <v>24.7</v>
      </c>
      <c r="H130" s="20" t="n"/>
      <c r="I130" s="20" t="inlineStr">
        <is>
          <t>white_bread</t>
        </is>
      </c>
    </row>
    <row r="131">
      <c r="A131" s="20" t="n">
        <v>5</v>
      </c>
      <c r="B131" s="20" t="inlineStr">
        <is>
          <t>G5_S1</t>
        </is>
      </c>
      <c r="C131" s="20" t="inlineStr">
        <is>
          <t>aw_reading</t>
        </is>
      </c>
      <c r="D131" s="20" t="n">
        <v>1</v>
      </c>
      <c r="E131" s="20" t="n">
        <v>0.944</v>
      </c>
      <c r="F131" s="20" t="inlineStr">
        <is>
          <t>aw</t>
        </is>
      </c>
      <c r="G131" s="20" t="n">
        <v>24.7</v>
      </c>
      <c r="H131" s="20" t="n"/>
      <c r="I131" s="20" t="inlineStr">
        <is>
          <t>white_bread</t>
        </is>
      </c>
    </row>
    <row r="132">
      <c r="A132" s="20" t="n">
        <v>5</v>
      </c>
      <c r="B132" s="20" t="inlineStr">
        <is>
          <t>G5_S1</t>
        </is>
      </c>
      <c r="C132" s="20" t="inlineStr">
        <is>
          <t>moisture_pct_survey</t>
        </is>
      </c>
      <c r="D132" s="20" t="n">
        <v>1</v>
      </c>
      <c r="E132" s="20" t="n">
        <v>2.21</v>
      </c>
      <c r="F132" s="20" t="inlineStr">
        <is>
          <t>%</t>
        </is>
      </c>
      <c r="G132" s="20" t="n">
        <v>24.5</v>
      </c>
      <c r="H132" s="20" t="n"/>
      <c r="I132" s="20" t="inlineStr">
        <is>
          <t>potato_chips</t>
        </is>
      </c>
    </row>
    <row r="133">
      <c r="A133" s="20" t="n">
        <v>5</v>
      </c>
      <c r="B133" s="20" t="inlineStr">
        <is>
          <t>G5_S1</t>
        </is>
      </c>
      <c r="C133" s="20" t="inlineStr">
        <is>
          <t>aw_reading</t>
        </is>
      </c>
      <c r="D133" s="20" t="n">
        <v>1</v>
      </c>
      <c r="E133" s="20" t="n">
        <v>0.223</v>
      </c>
      <c r="F133" s="20" t="inlineStr">
        <is>
          <t>aw</t>
        </is>
      </c>
      <c r="G133" s="20" t="n">
        <v>24.5</v>
      </c>
      <c r="H133" s="20" t="n"/>
      <c r="I133" s="20" t="inlineStr">
        <is>
          <t>potato_chips</t>
        </is>
      </c>
    </row>
    <row r="134">
      <c r="A134" s="20" t="n">
        <v>5</v>
      </c>
      <c r="B134" s="20" t="inlineStr">
        <is>
          <t>G5_S1</t>
        </is>
      </c>
      <c r="C134" s="20" t="inlineStr">
        <is>
          <t>moisture_pct_survey</t>
        </is>
      </c>
      <c r="D134" s="20" t="n">
        <v>1</v>
      </c>
      <c r="E134" s="20" t="n">
        <v>2.39</v>
      </c>
      <c r="F134" s="20" t="inlineStr">
        <is>
          <t>%</t>
        </is>
      </c>
      <c r="G134" s="20" t="n">
        <v>24.2</v>
      </c>
      <c r="H134" s="20" t="n"/>
      <c r="I134" s="20" t="inlineStr">
        <is>
          <t>milk_powder</t>
        </is>
      </c>
    </row>
    <row r="135">
      <c r="A135" s="20" t="n">
        <v>5</v>
      </c>
      <c r="B135" s="20" t="inlineStr">
        <is>
          <t>G5_S1</t>
        </is>
      </c>
      <c r="C135" s="20" t="inlineStr">
        <is>
          <t>aw_reading</t>
        </is>
      </c>
      <c r="D135" s="20" t="n">
        <v>1</v>
      </c>
      <c r="E135" s="20" t="n">
        <v>0.229</v>
      </c>
      <c r="F135" s="20" t="inlineStr">
        <is>
          <t>aw</t>
        </is>
      </c>
      <c r="G135" s="20" t="n">
        <v>24.2</v>
      </c>
      <c r="H135" s="20" t="n"/>
      <c r="I135" s="20" t="inlineStr">
        <is>
          <t>milk_powder</t>
        </is>
      </c>
    </row>
    <row r="136">
      <c r="A136" s="20" t="n">
        <v>5</v>
      </c>
      <c r="B136" s="20" t="inlineStr">
        <is>
          <t>G5_S1</t>
        </is>
      </c>
      <c r="C136" s="20" t="inlineStr">
        <is>
          <t>moisture_pct_survey</t>
        </is>
      </c>
      <c r="D136" s="20" t="n">
        <v>1</v>
      </c>
      <c r="E136" s="20" t="n">
        <v>18.47</v>
      </c>
      <c r="F136" s="20" t="inlineStr">
        <is>
          <t>%</t>
        </is>
      </c>
      <c r="G136" s="20" t="n">
        <v>24.4</v>
      </c>
      <c r="H136" s="20" t="inlineStr">
        <is>
          <t>蜂蜜以紅外線水分計量測(不適用常壓烘箱)</t>
        </is>
      </c>
      <c r="I136" s="20" t="inlineStr">
        <is>
          <t>honey</t>
        </is>
      </c>
    </row>
    <row r="137">
      <c r="A137" s="20" t="n">
        <v>5</v>
      </c>
      <c r="B137" s="20" t="inlineStr">
        <is>
          <t>G5_S1</t>
        </is>
      </c>
      <c r="C137" s="20" t="inlineStr">
        <is>
          <t>aw_reading</t>
        </is>
      </c>
      <c r="D137" s="20" t="n">
        <v>1</v>
      </c>
      <c r="E137" s="20" t="n">
        <v>0.597</v>
      </c>
      <c r="F137" s="20" t="inlineStr">
        <is>
          <t>aw</t>
        </is>
      </c>
      <c r="G137" s="20" t="n">
        <v>24.4</v>
      </c>
      <c r="H137" s="20" t="n"/>
      <c r="I137" s="20" t="inlineStr">
        <is>
          <t>honey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B1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8" customWidth="1" min="4" max="4"/>
    <col width="60" customWidth="1" min="5" max="5"/>
  </cols>
  <sheetData>
    <row r="1">
      <c r="B1" s="1" t="inlineStr">
        <is>
          <t>步驟 1　濕基與乾基水分、恆重判定</t>
        </is>
      </c>
    </row>
    <row r="2">
      <c r="B2" s="18" t="inlineStr">
        <is>
          <t>先用講義的例題熟悉公式，再用恆重計算器練習判斷「要不要再烘一次」。黃色格子可以改，綠色會自動算。</t>
        </is>
      </c>
    </row>
    <row r="4">
      <c r="B4" s="3" t="inlineStr">
        <is>
          <t>參數</t>
        </is>
      </c>
    </row>
    <row r="5" ht="45" customHeight="1">
      <c r="B5" s="21" t="inlineStr">
        <is>
          <t>恆重判準（連續兩次秤重差 ≤）</t>
        </is>
      </c>
      <c r="C5" s="47" t="n">
        <v>2</v>
      </c>
      <c r="D5" s="21" t="inlineStr">
        <is>
          <t>mg</t>
        </is>
      </c>
      <c r="E5" s="18" t="inlineStr">
        <is>
          <t>本課程 SOP：連續兩次乾燥後秤重差 ≤ 2 mg（0.002 g）才算恆重。各實驗室規定可能不同，改這一格，後面所有判定都會跟著變。</t>
        </is>
      </c>
    </row>
    <row r="7">
      <c r="B7" s="3" t="inlineStr">
        <is>
          <t>例題（課程講義數字）</t>
        </is>
      </c>
    </row>
    <row r="8">
      <c r="B8" s="9" t="inlineStr">
        <is>
          <t>項目</t>
        </is>
      </c>
      <c r="C8" s="9" t="inlineStr">
        <is>
          <t>數值</t>
        </is>
      </c>
      <c r="D8" s="9" t="inlineStr">
        <is>
          <t>單位</t>
        </is>
      </c>
      <c r="E8" s="9" t="inlineStr">
        <is>
          <t>公式說明</t>
        </is>
      </c>
    </row>
    <row r="9">
      <c r="B9" s="21" t="inlineStr">
        <is>
          <t>空盤重</t>
        </is>
      </c>
      <c r="C9" s="48" t="n">
        <v>25.1234</v>
      </c>
      <c r="D9" s="21" t="inlineStr">
        <is>
          <t>g</t>
        </is>
      </c>
      <c r="E9" s="18" t="inlineStr">
        <is>
          <t>鋁盤（或坩堝）本身的重量</t>
        </is>
      </c>
    </row>
    <row r="10">
      <c r="B10" s="21" t="inlineStr">
        <is>
          <t>盤 + 樣品重</t>
        </is>
      </c>
      <c r="C10" s="48" t="n">
        <v>28.1234</v>
      </c>
      <c r="D10" s="21" t="inlineStr">
        <is>
          <t>g</t>
        </is>
      </c>
      <c r="E10" s="18" t="inlineStr">
        <is>
          <t>烘之前秤</t>
        </is>
      </c>
    </row>
    <row r="11">
      <c r="B11" s="21" t="inlineStr">
        <is>
          <t>乾燥後（盤 + 乾樣品）重</t>
        </is>
      </c>
      <c r="C11" s="48" t="n">
        <v>27.9734</v>
      </c>
      <c r="D11" s="21" t="inlineStr">
        <is>
          <t>g</t>
        </is>
      </c>
      <c r="E11" s="18" t="inlineStr">
        <is>
          <t>達恆重後那一次的重量</t>
        </is>
      </c>
    </row>
    <row r="12">
      <c r="B12" s="21" t="inlineStr">
        <is>
          <t>樣品濕重 W濕</t>
        </is>
      </c>
      <c r="C12" s="43">
        <f>C10-C9</f>
        <v/>
      </c>
      <c r="D12" s="21" t="inlineStr">
        <is>
          <t>g</t>
        </is>
      </c>
      <c r="E12" s="18" t="inlineStr">
        <is>
          <t>= 盤+樣品 − 空盤</t>
        </is>
      </c>
    </row>
    <row r="13">
      <c r="B13" s="21" t="inlineStr">
        <is>
          <t>水分重</t>
        </is>
      </c>
      <c r="C13" s="43">
        <f>C10-C11</f>
        <v/>
      </c>
      <c r="D13" s="21" t="inlineStr">
        <is>
          <t>g</t>
        </is>
      </c>
      <c r="E13" s="18" t="inlineStr">
        <is>
          <t>= 盤+樣品 − 乾燥後。烘掉的就是水</t>
        </is>
      </c>
    </row>
    <row r="14">
      <c r="B14" s="21" t="inlineStr">
        <is>
          <t>乾固形物重 W乾</t>
        </is>
      </c>
      <c r="C14" s="43">
        <f>C11-C9</f>
        <v/>
      </c>
      <c r="D14" s="21" t="inlineStr">
        <is>
          <t>g</t>
        </is>
      </c>
      <c r="E14" s="18" t="inlineStr">
        <is>
          <t>= 乾燥後 − 空盤（也等於 樣品濕重 − 水分重）</t>
        </is>
      </c>
    </row>
    <row r="15">
      <c r="B15" s="21" t="inlineStr">
        <is>
          <t>濕基水分 (%)</t>
        </is>
      </c>
      <c r="C15" s="24">
        <f>C13/C12*100</f>
        <v/>
      </c>
      <c r="D15" s="21" t="inlineStr">
        <is>
          <t>%</t>
        </is>
      </c>
      <c r="E15" s="18" t="inlineStr">
        <is>
          <t>= 水分重 ÷ 樣品濕重 × 100。分母是「原本的濕樣品」。應為 5.00%</t>
        </is>
      </c>
    </row>
    <row r="16">
      <c r="B16" s="21" t="inlineStr">
        <is>
          <t>乾基水分 (%)</t>
        </is>
      </c>
      <c r="C16" s="24">
        <f>C13/C14*100</f>
        <v/>
      </c>
      <c r="D16" s="21" t="inlineStr">
        <is>
          <t>%</t>
        </is>
      </c>
      <c r="E16" s="18" t="inlineStr">
        <is>
          <t>= 水分重 ÷ 乾固形物重 × 100。分母是「烘乾後剩下的固形物」。應為 5.26%</t>
        </is>
      </c>
    </row>
    <row r="17">
      <c r="B17" s="21" t="inlineStr">
        <is>
          <t>由濕基換算乾基 (%)</t>
        </is>
      </c>
      <c r="C17" s="16">
        <f>C15/(100-C15)*100</f>
        <v/>
      </c>
      <c r="D17" s="21" t="inlineStr">
        <is>
          <t>%</t>
        </is>
      </c>
      <c r="E17" s="18" t="inlineStr">
        <is>
          <t>= 濕基 ÷ (100 − 濕基) × 100。跟上一格一樣，代表兩者可以互換</t>
        </is>
      </c>
    </row>
    <row r="19" ht="32" customHeight="1">
      <c r="B19" s="18" t="inlineStr">
        <is>
          <t>觀察：同一份樣品，乾基一定比濕基大，因為分母比較小。水分越高差越多（白吐司濕基 35% ≈ 乾基 54%）。報告時一定要寫清楚是哪一種基準。</t>
        </is>
      </c>
    </row>
    <row r="21">
      <c r="B21" s="3" t="inlineStr">
        <is>
          <t>恆重計算器（輸入連續三次乾燥後的秤重）</t>
        </is>
      </c>
    </row>
    <row r="22">
      <c r="B22" s="9" t="inlineStr">
        <is>
          <t>項目</t>
        </is>
      </c>
      <c r="C22" s="9" t="inlineStr">
        <is>
          <t>數值</t>
        </is>
      </c>
      <c r="D22" s="9" t="inlineStr">
        <is>
          <t>單位</t>
        </is>
      </c>
      <c r="E22" s="9" t="inlineStr">
        <is>
          <t>公式說明</t>
        </is>
      </c>
    </row>
    <row r="23">
      <c r="B23" s="21" t="inlineStr">
        <is>
          <t>第 1 次乾燥後重</t>
        </is>
      </c>
      <c r="C23" s="48" t="n">
        <v>17.6698</v>
      </c>
      <c r="D23" s="21" t="inlineStr">
        <is>
          <t>g</t>
        </is>
      </c>
      <c r="E23" s="18" t="inlineStr">
        <is>
          <t>預設是 G3_S2 白吐司的數據（本週唯一需要第三次秤重的人）</t>
        </is>
      </c>
    </row>
    <row r="24">
      <c r="B24" s="21" t="inlineStr">
        <is>
          <t>第 2 次乾燥後重</t>
        </is>
      </c>
      <c r="C24" s="48" t="n">
        <v>17.6634</v>
      </c>
      <c r="D24" s="21" t="inlineStr">
        <is>
          <t>g</t>
        </is>
      </c>
      <c r="E24" s="18" t="inlineStr"/>
    </row>
    <row r="25">
      <c r="B25" s="21" t="inlineStr">
        <is>
          <t>第 3 次乾燥後重（沒有就留空）</t>
        </is>
      </c>
      <c r="C25" s="48" t="n">
        <v>17.6623</v>
      </c>
      <c r="D25" s="21" t="inlineStr">
        <is>
          <t>g</t>
        </is>
      </c>
      <c r="E25" s="18" t="inlineStr">
        <is>
          <t>第 2 次已恆重就不必再烘，這格留空</t>
        </is>
      </c>
    </row>
    <row r="26" ht="45" customHeight="1">
      <c r="B26" s="21" t="inlineStr">
        <is>
          <t>第 1→2 次差</t>
        </is>
      </c>
      <c r="C26" s="49">
        <f>ROUND(ABS(C24-C23)*1000,1)</f>
        <v/>
      </c>
      <c r="D26" s="21" t="inlineStr">
        <is>
          <t>mg</t>
        </is>
      </c>
      <c r="E26" s="18" t="inlineStr">
        <is>
          <t>=ROUND(ABS(第2次−第1次)×1000, 1)　ABS 取絕對值，×1000 把 g 換成 mg，ROUND 四捨五入到 0.1 mg（天平的最小讀數）</t>
        </is>
      </c>
    </row>
    <row r="27">
      <c r="B27" s="21" t="inlineStr">
        <is>
          <t>第 2→3 次差</t>
        </is>
      </c>
      <c r="C27" s="49">
        <f>IF(C25="","",ROUND(ABS(C25-C24)*1000,1))</f>
        <v/>
      </c>
      <c r="D27" s="21" t="inlineStr">
        <is>
          <t>mg</t>
        </is>
      </c>
      <c r="E27" s="18" t="inlineStr">
        <is>
          <t>沒有第 3 次就顯示空白</t>
        </is>
      </c>
    </row>
    <row r="28" ht="45" customHeight="1">
      <c r="B28" s="21" t="inlineStr">
        <is>
          <t>判定</t>
        </is>
      </c>
      <c r="C28" s="26">
        <f>IF(C26&lt;='2_濕基乾基'!$C$5,"第 2 次達恆重，用第 2 次重量",IF(C25="","尚未恆重，需再烘 1 小時",IF(C27&lt;='2_濕基乾基'!$C$5,"第 3 次達恆重，用第 3 次重量","第 3 次仍未恆重，需再烘")))</f>
        <v/>
      </c>
      <c r="D28" s="27" t="n"/>
      <c r="E28" s="18" t="inlineStr">
        <is>
          <t>IF(條件, 成立時, 不成立時)：先看 1→2 次差是否 ≤ 判準；不是的話再看有沒有第 3 次、2→3 次差是否 ≤ 判準</t>
        </is>
      </c>
    </row>
    <row r="29">
      <c r="B29" s="21" t="inlineStr">
        <is>
          <t>計算水分要用的乾重</t>
        </is>
      </c>
      <c r="C29" s="50">
        <f>IF(C26&lt;='2_濕基乾基'!$C$5,C24,IF(C25="",C24,C25))</f>
        <v/>
      </c>
      <c r="D29" s="21" t="inlineStr">
        <is>
          <t>g</t>
        </is>
      </c>
      <c r="E29" s="18" t="inlineStr">
        <is>
          <t>達恆重的那一次重量（最後一次秤重）</t>
        </is>
      </c>
    </row>
  </sheetData>
  <mergeCells count="3">
    <mergeCell ref="B19:E19"/>
    <mergeCell ref="C28:D28"/>
    <mergeCell ref="B2:E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R27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3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9" customWidth="1" min="9" max="9"/>
    <col width="9" customWidth="1" min="10" max="10"/>
    <col width="22" customWidth="1" min="11" max="11"/>
    <col width="8" customWidth="1" min="12" max="12"/>
    <col width="11" customWidth="1" min="13" max="13"/>
    <col width="10" customWidth="1" min="14" max="14"/>
    <col width="10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步驟 2　每位同學的烘箱法：恆重判定 → 濕基／乾基水分</t>
        </is>
      </c>
    </row>
    <row r="2" ht="32" customHeight="1">
      <c r="A2" s="18" t="inlineStr">
        <is>
          <t>D–H 欄用 SUMIFS 從「1_原始數據」依「學生＋樣品＋項目」抓秤重值（第 3 列是項目代號）；沒有這筆數據就顯示空白。換成班級數據時，只改 A–C 欄（黃色）。人數不同：在表格「中間」插入或刪除整列，再把上一列的綠色公式往下複製。</t>
        </is>
      </c>
    </row>
    <row r="3">
      <c r="D3" s="29" t="inlineStr">
        <is>
          <t>oven_dish_g</t>
        </is>
      </c>
      <c r="E3" s="29" t="inlineStr">
        <is>
          <t>oven_wet_g</t>
        </is>
      </c>
      <c r="F3" s="29" t="inlineStr">
        <is>
          <t>oven_dry1_g</t>
        </is>
      </c>
      <c r="G3" s="29" t="inlineStr">
        <is>
          <t>oven_dry2_g</t>
        </is>
      </c>
      <c r="H3" s="29" t="inlineStr">
        <is>
          <t>oven_dry3_g</t>
        </is>
      </c>
    </row>
    <row r="4" ht="32" customHeight="1">
      <c r="A4" s="9" t="inlineStr">
        <is>
          <t>組別</t>
        </is>
      </c>
      <c r="B4" s="9" t="inlineStr">
        <is>
          <t>學生</t>
        </is>
      </c>
      <c r="C4" s="9" t="inlineStr">
        <is>
          <t>樣品</t>
        </is>
      </c>
      <c r="D4" s="9" t="inlineStr">
        <is>
          <t>空盤重 (g)</t>
        </is>
      </c>
      <c r="E4" s="9" t="inlineStr">
        <is>
          <t>盤+樣品 (g)</t>
        </is>
      </c>
      <c r="F4" s="9" t="inlineStr">
        <is>
          <t>第1次乾燥 (g)</t>
        </is>
      </c>
      <c r="G4" s="9" t="inlineStr">
        <is>
          <t>第2次乾燥 (g)</t>
        </is>
      </c>
      <c r="H4" s="9" t="inlineStr">
        <is>
          <t>第3次乾燥 (g)</t>
        </is>
      </c>
      <c r="I4" s="9" t="inlineStr">
        <is>
          <t>1→2 次差 (mg)</t>
        </is>
      </c>
      <c r="J4" s="9" t="inlineStr">
        <is>
          <t>2→3 次差 (mg)</t>
        </is>
      </c>
      <c r="K4" s="9" t="inlineStr">
        <is>
          <t>恆重判定</t>
        </is>
      </c>
      <c r="L4" s="9" t="inlineStr">
        <is>
          <t>採用第幾次</t>
        </is>
      </c>
      <c r="M4" s="9" t="inlineStr">
        <is>
          <t>最終乾重 (g)</t>
        </is>
      </c>
      <c r="N4" s="9" t="inlineStr">
        <is>
          <t>樣品濕重 (g)</t>
        </is>
      </c>
      <c r="O4" s="9" t="inlineStr">
        <is>
          <t>水分重 (g)</t>
        </is>
      </c>
      <c r="P4" s="9" t="inlineStr">
        <is>
          <t>乾固形物重 (g)</t>
        </is>
      </c>
      <c r="Q4" s="9" t="inlineStr">
        <is>
          <t>濕基水分 (%)</t>
        </is>
      </c>
      <c r="R4" s="9" t="inlineStr">
        <is>
          <t>乾基水分 (%)</t>
        </is>
      </c>
    </row>
    <row r="5">
      <c r="A5" s="5" t="n">
        <v>1</v>
      </c>
      <c r="B5" s="5" t="inlineStr">
        <is>
          <t>G1_S1</t>
        </is>
      </c>
      <c r="C5" s="5" t="inlineStr">
        <is>
          <t>beef_jerky</t>
        </is>
      </c>
      <c r="D5" s="43">
        <f>IF(COUNTIFS('1_原始數據'!$B$2:$B$1000,$B5,'1_原始數據'!$I$2:$I$1000,$C5,'1_原始數據'!$C$2:$C$1000,D$3)=0,"",SUMIFS('1_原始數據'!$E$2:$E$1000,'1_原始數據'!$B$2:$B$1000,$B5,'1_原始數據'!$I$2:$I$1000,$C5,'1_原始數據'!$C$2:$C$1000,D$3))</f>
        <v/>
      </c>
      <c r="E5" s="43">
        <f>IF(COUNTIFS('1_原始數據'!$B$2:$B$1000,$B5,'1_原始數據'!$I$2:$I$1000,$C5,'1_原始數據'!$C$2:$C$1000,E$3)=0,"",SUMIFS('1_原始數據'!$E$2:$E$1000,'1_原始數據'!$B$2:$B$1000,$B5,'1_原始數據'!$I$2:$I$1000,$C5,'1_原始數據'!$C$2:$C$1000,E$3))</f>
        <v/>
      </c>
      <c r="F5" s="43">
        <f>IF(COUNTIFS('1_原始數據'!$B$2:$B$1000,$B5,'1_原始數據'!$I$2:$I$1000,$C5,'1_原始數據'!$C$2:$C$1000,F$3)=0,"",SUMIFS('1_原始數據'!$E$2:$E$1000,'1_原始數據'!$B$2:$B$1000,$B5,'1_原始數據'!$I$2:$I$1000,$C5,'1_原始數據'!$C$2:$C$1000,F$3))</f>
        <v/>
      </c>
      <c r="G5" s="43">
        <f>IF(COUNTIFS('1_原始數據'!$B$2:$B$1000,$B5,'1_原始數據'!$I$2:$I$1000,$C5,'1_原始數據'!$C$2:$C$1000,G$3)=0,"",SUMIFS('1_原始數據'!$E$2:$E$1000,'1_原始數據'!$B$2:$B$1000,$B5,'1_原始數據'!$I$2:$I$1000,$C5,'1_原始數據'!$C$2:$C$1000,G$3))</f>
        <v/>
      </c>
      <c r="H5" s="43">
        <f>IF(COUNTIFS('1_原始數據'!$B$2:$B$1000,$B5,'1_原始數據'!$I$2:$I$1000,$C5,'1_原始數據'!$C$2:$C$1000,H$3)=0,"",SUMIFS('1_原始數據'!$E$2:$E$1000,'1_原始數據'!$B$2:$B$1000,$B5,'1_原始數據'!$I$2:$I$1000,$C5,'1_原始數據'!$C$2:$C$1000,H$3))</f>
        <v/>
      </c>
      <c r="I5" s="49">
        <f>ROUND(ABS(G5-F5)*1000,1)</f>
        <v/>
      </c>
      <c r="J5" s="49">
        <f>IF(H5="","",ROUND(ABS(H5-G5)*1000,1))</f>
        <v/>
      </c>
      <c r="K5" s="13">
        <f>IF(I5&lt;='2_濕基乾基'!$C$5,"第2次達恆重",IF(H5="","尚未恆重，需再烘",IF(J5&lt;='2_濕基乾基'!$C$5,"第3次達恆重","第3次仍未恆重，需再烘")))</f>
        <v/>
      </c>
      <c r="L5" s="30">
        <f>IF(I5&lt;='2_濕基乾基'!$C$5,2,IF(H5="",2,3))</f>
        <v/>
      </c>
      <c r="M5" s="43">
        <f>IF(L5=3,H5,G5)</f>
        <v/>
      </c>
      <c r="N5" s="43">
        <f>E5-D5</f>
        <v/>
      </c>
      <c r="O5" s="43">
        <f>E5-M5</f>
        <v/>
      </c>
      <c r="P5" s="43">
        <f>M5-D5</f>
        <v/>
      </c>
      <c r="Q5" s="24">
        <f>O5/N5*100</f>
        <v/>
      </c>
      <c r="R5" s="24">
        <f>O5/P5*100</f>
        <v/>
      </c>
    </row>
    <row r="6">
      <c r="A6" s="5" t="n">
        <v>1</v>
      </c>
      <c r="B6" s="5" t="inlineStr">
        <is>
          <t>G1_S2</t>
        </is>
      </c>
      <c r="C6" s="5" t="inlineStr">
        <is>
          <t>beef_jerky</t>
        </is>
      </c>
      <c r="D6" s="43">
        <f>IF(COUNTIFS('1_原始數據'!$B$2:$B$1000,$B6,'1_原始數據'!$I$2:$I$1000,$C6,'1_原始數據'!$C$2:$C$1000,D$3)=0,"",SUMIFS('1_原始數據'!$E$2:$E$1000,'1_原始數據'!$B$2:$B$1000,$B6,'1_原始數據'!$I$2:$I$1000,$C6,'1_原始數據'!$C$2:$C$1000,D$3))</f>
        <v/>
      </c>
      <c r="E6" s="43">
        <f>IF(COUNTIFS('1_原始數據'!$B$2:$B$1000,$B6,'1_原始數據'!$I$2:$I$1000,$C6,'1_原始數據'!$C$2:$C$1000,E$3)=0,"",SUMIFS('1_原始數據'!$E$2:$E$1000,'1_原始數據'!$B$2:$B$1000,$B6,'1_原始數據'!$I$2:$I$1000,$C6,'1_原始數據'!$C$2:$C$1000,E$3))</f>
        <v/>
      </c>
      <c r="F6" s="43">
        <f>IF(COUNTIFS('1_原始數據'!$B$2:$B$1000,$B6,'1_原始數據'!$I$2:$I$1000,$C6,'1_原始數據'!$C$2:$C$1000,F$3)=0,"",SUMIFS('1_原始數據'!$E$2:$E$1000,'1_原始數據'!$B$2:$B$1000,$B6,'1_原始數據'!$I$2:$I$1000,$C6,'1_原始數據'!$C$2:$C$1000,F$3))</f>
        <v/>
      </c>
      <c r="G6" s="43">
        <f>IF(COUNTIFS('1_原始數據'!$B$2:$B$1000,$B6,'1_原始數據'!$I$2:$I$1000,$C6,'1_原始數據'!$C$2:$C$1000,G$3)=0,"",SUMIFS('1_原始數據'!$E$2:$E$1000,'1_原始數據'!$B$2:$B$1000,$B6,'1_原始數據'!$I$2:$I$1000,$C6,'1_原始數據'!$C$2:$C$1000,G$3))</f>
        <v/>
      </c>
      <c r="H6" s="43">
        <f>IF(COUNTIFS('1_原始數據'!$B$2:$B$1000,$B6,'1_原始數據'!$I$2:$I$1000,$C6,'1_原始數據'!$C$2:$C$1000,H$3)=0,"",SUMIFS('1_原始數據'!$E$2:$E$1000,'1_原始數據'!$B$2:$B$1000,$B6,'1_原始數據'!$I$2:$I$1000,$C6,'1_原始數據'!$C$2:$C$1000,H$3))</f>
        <v/>
      </c>
      <c r="I6" s="49">
        <f>ROUND(ABS(G6-F6)*1000,1)</f>
        <v/>
      </c>
      <c r="J6" s="49">
        <f>IF(H6="","",ROUND(ABS(H6-G6)*1000,1))</f>
        <v/>
      </c>
      <c r="K6" s="13">
        <f>IF(I6&lt;='2_濕基乾基'!$C$5,"第2次達恆重",IF(H6="","尚未恆重，需再烘",IF(J6&lt;='2_濕基乾基'!$C$5,"第3次達恆重","第3次仍未恆重，需再烘")))</f>
        <v/>
      </c>
      <c r="L6" s="30">
        <f>IF(I6&lt;='2_濕基乾基'!$C$5,2,IF(H6="",2,3))</f>
        <v/>
      </c>
      <c r="M6" s="43">
        <f>IF(L6=3,H6,G6)</f>
        <v/>
      </c>
      <c r="N6" s="43">
        <f>E6-D6</f>
        <v/>
      </c>
      <c r="O6" s="43">
        <f>E6-M6</f>
        <v/>
      </c>
      <c r="P6" s="43">
        <f>M6-D6</f>
        <v/>
      </c>
      <c r="Q6" s="24">
        <f>O6/N6*100</f>
        <v/>
      </c>
      <c r="R6" s="24">
        <f>O6/P6*100</f>
        <v/>
      </c>
    </row>
    <row r="7">
      <c r="A7" s="5" t="n">
        <v>1</v>
      </c>
      <c r="B7" s="5" t="inlineStr">
        <is>
          <t>G1_S3</t>
        </is>
      </c>
      <c r="C7" s="5" t="inlineStr">
        <is>
          <t>beef_jerky</t>
        </is>
      </c>
      <c r="D7" s="43">
        <f>IF(COUNTIFS('1_原始數據'!$B$2:$B$1000,$B7,'1_原始數據'!$I$2:$I$1000,$C7,'1_原始數據'!$C$2:$C$1000,D$3)=0,"",SUMIFS('1_原始數據'!$E$2:$E$1000,'1_原始數據'!$B$2:$B$1000,$B7,'1_原始數據'!$I$2:$I$1000,$C7,'1_原始數據'!$C$2:$C$1000,D$3))</f>
        <v/>
      </c>
      <c r="E7" s="43">
        <f>IF(COUNTIFS('1_原始數據'!$B$2:$B$1000,$B7,'1_原始數據'!$I$2:$I$1000,$C7,'1_原始數據'!$C$2:$C$1000,E$3)=0,"",SUMIFS('1_原始數據'!$E$2:$E$1000,'1_原始數據'!$B$2:$B$1000,$B7,'1_原始數據'!$I$2:$I$1000,$C7,'1_原始數據'!$C$2:$C$1000,E$3))</f>
        <v/>
      </c>
      <c r="F7" s="43">
        <f>IF(COUNTIFS('1_原始數據'!$B$2:$B$1000,$B7,'1_原始數據'!$I$2:$I$1000,$C7,'1_原始數據'!$C$2:$C$1000,F$3)=0,"",SUMIFS('1_原始數據'!$E$2:$E$1000,'1_原始數據'!$B$2:$B$1000,$B7,'1_原始數據'!$I$2:$I$1000,$C7,'1_原始數據'!$C$2:$C$1000,F$3))</f>
        <v/>
      </c>
      <c r="G7" s="43">
        <f>IF(COUNTIFS('1_原始數據'!$B$2:$B$1000,$B7,'1_原始數據'!$I$2:$I$1000,$C7,'1_原始數據'!$C$2:$C$1000,G$3)=0,"",SUMIFS('1_原始數據'!$E$2:$E$1000,'1_原始數據'!$B$2:$B$1000,$B7,'1_原始數據'!$I$2:$I$1000,$C7,'1_原始數據'!$C$2:$C$1000,G$3))</f>
        <v/>
      </c>
      <c r="H7" s="43">
        <f>IF(COUNTIFS('1_原始數據'!$B$2:$B$1000,$B7,'1_原始數據'!$I$2:$I$1000,$C7,'1_原始數據'!$C$2:$C$1000,H$3)=0,"",SUMIFS('1_原始數據'!$E$2:$E$1000,'1_原始數據'!$B$2:$B$1000,$B7,'1_原始數據'!$I$2:$I$1000,$C7,'1_原始數據'!$C$2:$C$1000,H$3))</f>
        <v/>
      </c>
      <c r="I7" s="49">
        <f>ROUND(ABS(G7-F7)*1000,1)</f>
        <v/>
      </c>
      <c r="J7" s="49">
        <f>IF(H7="","",ROUND(ABS(H7-G7)*1000,1))</f>
        <v/>
      </c>
      <c r="K7" s="13">
        <f>IF(I7&lt;='2_濕基乾基'!$C$5,"第2次達恆重",IF(H7="","尚未恆重，需再烘",IF(J7&lt;='2_濕基乾基'!$C$5,"第3次達恆重","第3次仍未恆重，需再烘")))</f>
        <v/>
      </c>
      <c r="L7" s="30">
        <f>IF(I7&lt;='2_濕基乾基'!$C$5,2,IF(H7="",2,3))</f>
        <v/>
      </c>
      <c r="M7" s="43">
        <f>IF(L7=3,H7,G7)</f>
        <v/>
      </c>
      <c r="N7" s="43">
        <f>E7-D7</f>
        <v/>
      </c>
      <c r="O7" s="43">
        <f>E7-M7</f>
        <v/>
      </c>
      <c r="P7" s="43">
        <f>M7-D7</f>
        <v/>
      </c>
      <c r="Q7" s="24">
        <f>O7/N7*100</f>
        <v/>
      </c>
      <c r="R7" s="24">
        <f>O7/P7*100</f>
        <v/>
      </c>
    </row>
    <row r="8">
      <c r="A8" s="5" t="n">
        <v>2</v>
      </c>
      <c r="B8" s="5" t="inlineStr">
        <is>
          <t>G2_S1</t>
        </is>
      </c>
      <c r="C8" s="5" t="inlineStr">
        <is>
          <t>dried_longan</t>
        </is>
      </c>
      <c r="D8" s="43">
        <f>IF(COUNTIFS('1_原始數據'!$B$2:$B$1000,$B8,'1_原始數據'!$I$2:$I$1000,$C8,'1_原始數據'!$C$2:$C$1000,D$3)=0,"",SUMIFS('1_原始數據'!$E$2:$E$1000,'1_原始數據'!$B$2:$B$1000,$B8,'1_原始數據'!$I$2:$I$1000,$C8,'1_原始數據'!$C$2:$C$1000,D$3))</f>
        <v/>
      </c>
      <c r="E8" s="43">
        <f>IF(COUNTIFS('1_原始數據'!$B$2:$B$1000,$B8,'1_原始數據'!$I$2:$I$1000,$C8,'1_原始數據'!$C$2:$C$1000,E$3)=0,"",SUMIFS('1_原始數據'!$E$2:$E$1000,'1_原始數據'!$B$2:$B$1000,$B8,'1_原始數據'!$I$2:$I$1000,$C8,'1_原始數據'!$C$2:$C$1000,E$3))</f>
        <v/>
      </c>
      <c r="F8" s="43">
        <f>IF(COUNTIFS('1_原始數據'!$B$2:$B$1000,$B8,'1_原始數據'!$I$2:$I$1000,$C8,'1_原始數據'!$C$2:$C$1000,F$3)=0,"",SUMIFS('1_原始數據'!$E$2:$E$1000,'1_原始數據'!$B$2:$B$1000,$B8,'1_原始數據'!$I$2:$I$1000,$C8,'1_原始數據'!$C$2:$C$1000,F$3))</f>
        <v/>
      </c>
      <c r="G8" s="43">
        <f>IF(COUNTIFS('1_原始數據'!$B$2:$B$1000,$B8,'1_原始數據'!$I$2:$I$1000,$C8,'1_原始數據'!$C$2:$C$1000,G$3)=0,"",SUMIFS('1_原始數據'!$E$2:$E$1000,'1_原始數據'!$B$2:$B$1000,$B8,'1_原始數據'!$I$2:$I$1000,$C8,'1_原始數據'!$C$2:$C$1000,G$3))</f>
        <v/>
      </c>
      <c r="H8" s="43">
        <f>IF(COUNTIFS('1_原始數據'!$B$2:$B$1000,$B8,'1_原始數據'!$I$2:$I$1000,$C8,'1_原始數據'!$C$2:$C$1000,H$3)=0,"",SUMIFS('1_原始數據'!$E$2:$E$1000,'1_原始數據'!$B$2:$B$1000,$B8,'1_原始數據'!$I$2:$I$1000,$C8,'1_原始數據'!$C$2:$C$1000,H$3))</f>
        <v/>
      </c>
      <c r="I8" s="49">
        <f>ROUND(ABS(G8-F8)*1000,1)</f>
        <v/>
      </c>
      <c r="J8" s="49">
        <f>IF(H8="","",ROUND(ABS(H8-G8)*1000,1))</f>
        <v/>
      </c>
      <c r="K8" s="13">
        <f>IF(I8&lt;='2_濕基乾基'!$C$5,"第2次達恆重",IF(H8="","尚未恆重，需再烘",IF(J8&lt;='2_濕基乾基'!$C$5,"第3次達恆重","第3次仍未恆重，需再烘")))</f>
        <v/>
      </c>
      <c r="L8" s="30">
        <f>IF(I8&lt;='2_濕基乾基'!$C$5,2,IF(H8="",2,3))</f>
        <v/>
      </c>
      <c r="M8" s="43">
        <f>IF(L8=3,H8,G8)</f>
        <v/>
      </c>
      <c r="N8" s="43">
        <f>E8-D8</f>
        <v/>
      </c>
      <c r="O8" s="43">
        <f>E8-M8</f>
        <v/>
      </c>
      <c r="P8" s="43">
        <f>M8-D8</f>
        <v/>
      </c>
      <c r="Q8" s="24">
        <f>O8/N8*100</f>
        <v/>
      </c>
      <c r="R8" s="24">
        <f>O8/P8*100</f>
        <v/>
      </c>
    </row>
    <row r="9">
      <c r="A9" s="5" t="n">
        <v>2</v>
      </c>
      <c r="B9" s="5" t="inlineStr">
        <is>
          <t>G2_S2</t>
        </is>
      </c>
      <c r="C9" s="5" t="inlineStr">
        <is>
          <t>dried_longan</t>
        </is>
      </c>
      <c r="D9" s="43">
        <f>IF(COUNTIFS('1_原始數據'!$B$2:$B$1000,$B9,'1_原始數據'!$I$2:$I$1000,$C9,'1_原始數據'!$C$2:$C$1000,D$3)=0,"",SUMIFS('1_原始數據'!$E$2:$E$1000,'1_原始數據'!$B$2:$B$1000,$B9,'1_原始數據'!$I$2:$I$1000,$C9,'1_原始數據'!$C$2:$C$1000,D$3))</f>
        <v/>
      </c>
      <c r="E9" s="43">
        <f>IF(COUNTIFS('1_原始數據'!$B$2:$B$1000,$B9,'1_原始數據'!$I$2:$I$1000,$C9,'1_原始數據'!$C$2:$C$1000,E$3)=0,"",SUMIFS('1_原始數據'!$E$2:$E$1000,'1_原始數據'!$B$2:$B$1000,$B9,'1_原始數據'!$I$2:$I$1000,$C9,'1_原始數據'!$C$2:$C$1000,E$3))</f>
        <v/>
      </c>
      <c r="F9" s="43">
        <f>IF(COUNTIFS('1_原始數據'!$B$2:$B$1000,$B9,'1_原始數據'!$I$2:$I$1000,$C9,'1_原始數據'!$C$2:$C$1000,F$3)=0,"",SUMIFS('1_原始數據'!$E$2:$E$1000,'1_原始數據'!$B$2:$B$1000,$B9,'1_原始數據'!$I$2:$I$1000,$C9,'1_原始數據'!$C$2:$C$1000,F$3))</f>
        <v/>
      </c>
      <c r="G9" s="43">
        <f>IF(COUNTIFS('1_原始數據'!$B$2:$B$1000,$B9,'1_原始數據'!$I$2:$I$1000,$C9,'1_原始數據'!$C$2:$C$1000,G$3)=0,"",SUMIFS('1_原始數據'!$E$2:$E$1000,'1_原始數據'!$B$2:$B$1000,$B9,'1_原始數據'!$I$2:$I$1000,$C9,'1_原始數據'!$C$2:$C$1000,G$3))</f>
        <v/>
      </c>
      <c r="H9" s="43">
        <f>IF(COUNTIFS('1_原始數據'!$B$2:$B$1000,$B9,'1_原始數據'!$I$2:$I$1000,$C9,'1_原始數據'!$C$2:$C$1000,H$3)=0,"",SUMIFS('1_原始數據'!$E$2:$E$1000,'1_原始數據'!$B$2:$B$1000,$B9,'1_原始數據'!$I$2:$I$1000,$C9,'1_原始數據'!$C$2:$C$1000,H$3))</f>
        <v/>
      </c>
      <c r="I9" s="49">
        <f>ROUND(ABS(G9-F9)*1000,1)</f>
        <v/>
      </c>
      <c r="J9" s="49">
        <f>IF(H9="","",ROUND(ABS(H9-G9)*1000,1))</f>
        <v/>
      </c>
      <c r="K9" s="13">
        <f>IF(I9&lt;='2_濕基乾基'!$C$5,"第2次達恆重",IF(H9="","尚未恆重，需再烘",IF(J9&lt;='2_濕基乾基'!$C$5,"第3次達恆重","第3次仍未恆重，需再烘")))</f>
        <v/>
      </c>
      <c r="L9" s="30">
        <f>IF(I9&lt;='2_濕基乾基'!$C$5,2,IF(H9="",2,3))</f>
        <v/>
      </c>
      <c r="M9" s="43">
        <f>IF(L9=3,H9,G9)</f>
        <v/>
      </c>
      <c r="N9" s="43">
        <f>E9-D9</f>
        <v/>
      </c>
      <c r="O9" s="43">
        <f>E9-M9</f>
        <v/>
      </c>
      <c r="P9" s="43">
        <f>M9-D9</f>
        <v/>
      </c>
      <c r="Q9" s="24">
        <f>O9/N9*100</f>
        <v/>
      </c>
      <c r="R9" s="24">
        <f>O9/P9*100</f>
        <v/>
      </c>
    </row>
    <row r="10">
      <c r="A10" s="5" t="n">
        <v>2</v>
      </c>
      <c r="B10" s="5" t="inlineStr">
        <is>
          <t>G2_S3</t>
        </is>
      </c>
      <c r="C10" s="5" t="inlineStr">
        <is>
          <t>dried_longan</t>
        </is>
      </c>
      <c r="D10" s="43">
        <f>IF(COUNTIFS('1_原始數據'!$B$2:$B$1000,$B10,'1_原始數據'!$I$2:$I$1000,$C10,'1_原始數據'!$C$2:$C$1000,D$3)=0,"",SUMIFS('1_原始數據'!$E$2:$E$1000,'1_原始數據'!$B$2:$B$1000,$B10,'1_原始數據'!$I$2:$I$1000,$C10,'1_原始數據'!$C$2:$C$1000,D$3))</f>
        <v/>
      </c>
      <c r="E10" s="43">
        <f>IF(COUNTIFS('1_原始數據'!$B$2:$B$1000,$B10,'1_原始數據'!$I$2:$I$1000,$C10,'1_原始數據'!$C$2:$C$1000,E$3)=0,"",SUMIFS('1_原始數據'!$E$2:$E$1000,'1_原始數據'!$B$2:$B$1000,$B10,'1_原始數據'!$I$2:$I$1000,$C10,'1_原始數據'!$C$2:$C$1000,E$3))</f>
        <v/>
      </c>
      <c r="F10" s="43">
        <f>IF(COUNTIFS('1_原始數據'!$B$2:$B$1000,$B10,'1_原始數據'!$I$2:$I$1000,$C10,'1_原始數據'!$C$2:$C$1000,F$3)=0,"",SUMIFS('1_原始數據'!$E$2:$E$1000,'1_原始數據'!$B$2:$B$1000,$B10,'1_原始數據'!$I$2:$I$1000,$C10,'1_原始數據'!$C$2:$C$1000,F$3))</f>
        <v/>
      </c>
      <c r="G10" s="43">
        <f>IF(COUNTIFS('1_原始數據'!$B$2:$B$1000,$B10,'1_原始數據'!$I$2:$I$1000,$C10,'1_原始數據'!$C$2:$C$1000,G$3)=0,"",SUMIFS('1_原始數據'!$E$2:$E$1000,'1_原始數據'!$B$2:$B$1000,$B10,'1_原始數據'!$I$2:$I$1000,$C10,'1_原始數據'!$C$2:$C$1000,G$3))</f>
        <v/>
      </c>
      <c r="H10" s="43">
        <f>IF(COUNTIFS('1_原始數據'!$B$2:$B$1000,$B10,'1_原始數據'!$I$2:$I$1000,$C10,'1_原始數據'!$C$2:$C$1000,H$3)=0,"",SUMIFS('1_原始數據'!$E$2:$E$1000,'1_原始數據'!$B$2:$B$1000,$B10,'1_原始數據'!$I$2:$I$1000,$C10,'1_原始數據'!$C$2:$C$1000,H$3))</f>
        <v/>
      </c>
      <c r="I10" s="49">
        <f>ROUND(ABS(G10-F10)*1000,1)</f>
        <v/>
      </c>
      <c r="J10" s="49">
        <f>IF(H10="","",ROUND(ABS(H10-G10)*1000,1))</f>
        <v/>
      </c>
      <c r="K10" s="13">
        <f>IF(I10&lt;='2_濕基乾基'!$C$5,"第2次達恆重",IF(H10="","尚未恆重，需再烘",IF(J10&lt;='2_濕基乾基'!$C$5,"第3次達恆重","第3次仍未恆重，需再烘")))</f>
        <v/>
      </c>
      <c r="L10" s="30">
        <f>IF(I10&lt;='2_濕基乾基'!$C$5,2,IF(H10="",2,3))</f>
        <v/>
      </c>
      <c r="M10" s="43">
        <f>IF(L10=3,H10,G10)</f>
        <v/>
      </c>
      <c r="N10" s="43">
        <f>E10-D10</f>
        <v/>
      </c>
      <c r="O10" s="43">
        <f>E10-M10</f>
        <v/>
      </c>
      <c r="P10" s="43">
        <f>M10-D10</f>
        <v/>
      </c>
      <c r="Q10" s="24">
        <f>O10/N10*100</f>
        <v/>
      </c>
      <c r="R10" s="24">
        <f>O10/P10*100</f>
        <v/>
      </c>
    </row>
    <row r="11">
      <c r="A11" s="5" t="n">
        <v>3</v>
      </c>
      <c r="B11" s="5" t="inlineStr">
        <is>
          <t>G3_S1</t>
        </is>
      </c>
      <c r="C11" s="5" t="inlineStr">
        <is>
          <t>white_bread</t>
        </is>
      </c>
      <c r="D11" s="43">
        <f>IF(COUNTIFS('1_原始數據'!$B$2:$B$1000,$B11,'1_原始數據'!$I$2:$I$1000,$C11,'1_原始數據'!$C$2:$C$1000,D$3)=0,"",SUMIFS('1_原始數據'!$E$2:$E$1000,'1_原始數據'!$B$2:$B$1000,$B11,'1_原始數據'!$I$2:$I$1000,$C11,'1_原始數據'!$C$2:$C$1000,D$3))</f>
        <v/>
      </c>
      <c r="E11" s="43">
        <f>IF(COUNTIFS('1_原始數據'!$B$2:$B$1000,$B11,'1_原始數據'!$I$2:$I$1000,$C11,'1_原始數據'!$C$2:$C$1000,E$3)=0,"",SUMIFS('1_原始數據'!$E$2:$E$1000,'1_原始數據'!$B$2:$B$1000,$B11,'1_原始數據'!$I$2:$I$1000,$C11,'1_原始數據'!$C$2:$C$1000,E$3))</f>
        <v/>
      </c>
      <c r="F11" s="43">
        <f>IF(COUNTIFS('1_原始數據'!$B$2:$B$1000,$B11,'1_原始數據'!$I$2:$I$1000,$C11,'1_原始數據'!$C$2:$C$1000,F$3)=0,"",SUMIFS('1_原始數據'!$E$2:$E$1000,'1_原始數據'!$B$2:$B$1000,$B11,'1_原始數據'!$I$2:$I$1000,$C11,'1_原始數據'!$C$2:$C$1000,F$3))</f>
        <v/>
      </c>
      <c r="G11" s="43">
        <f>IF(COUNTIFS('1_原始數據'!$B$2:$B$1000,$B11,'1_原始數據'!$I$2:$I$1000,$C11,'1_原始數據'!$C$2:$C$1000,G$3)=0,"",SUMIFS('1_原始數據'!$E$2:$E$1000,'1_原始數據'!$B$2:$B$1000,$B11,'1_原始數據'!$I$2:$I$1000,$C11,'1_原始數據'!$C$2:$C$1000,G$3))</f>
        <v/>
      </c>
      <c r="H11" s="43">
        <f>IF(COUNTIFS('1_原始數據'!$B$2:$B$1000,$B11,'1_原始數據'!$I$2:$I$1000,$C11,'1_原始數據'!$C$2:$C$1000,H$3)=0,"",SUMIFS('1_原始數據'!$E$2:$E$1000,'1_原始數據'!$B$2:$B$1000,$B11,'1_原始數據'!$I$2:$I$1000,$C11,'1_原始數據'!$C$2:$C$1000,H$3))</f>
        <v/>
      </c>
      <c r="I11" s="49">
        <f>ROUND(ABS(G11-F11)*1000,1)</f>
        <v/>
      </c>
      <c r="J11" s="49">
        <f>IF(H11="","",ROUND(ABS(H11-G11)*1000,1))</f>
        <v/>
      </c>
      <c r="K11" s="13">
        <f>IF(I11&lt;='2_濕基乾基'!$C$5,"第2次達恆重",IF(H11="","尚未恆重，需再烘",IF(J11&lt;='2_濕基乾基'!$C$5,"第3次達恆重","第3次仍未恆重，需再烘")))</f>
        <v/>
      </c>
      <c r="L11" s="30">
        <f>IF(I11&lt;='2_濕基乾基'!$C$5,2,IF(H11="",2,3))</f>
        <v/>
      </c>
      <c r="M11" s="43">
        <f>IF(L11=3,H11,G11)</f>
        <v/>
      </c>
      <c r="N11" s="43">
        <f>E11-D11</f>
        <v/>
      </c>
      <c r="O11" s="43">
        <f>E11-M11</f>
        <v/>
      </c>
      <c r="P11" s="43">
        <f>M11-D11</f>
        <v/>
      </c>
      <c r="Q11" s="24">
        <f>O11/N11*100</f>
        <v/>
      </c>
      <c r="R11" s="24">
        <f>O11/P11*100</f>
        <v/>
      </c>
    </row>
    <row r="12">
      <c r="A12" s="5" t="n">
        <v>3</v>
      </c>
      <c r="B12" s="5" t="inlineStr">
        <is>
          <t>G3_S2</t>
        </is>
      </c>
      <c r="C12" s="5" t="inlineStr">
        <is>
          <t>white_bread</t>
        </is>
      </c>
      <c r="D12" s="43">
        <f>IF(COUNTIFS('1_原始數據'!$B$2:$B$1000,$B12,'1_原始數據'!$I$2:$I$1000,$C12,'1_原始數據'!$C$2:$C$1000,D$3)=0,"",SUMIFS('1_原始數據'!$E$2:$E$1000,'1_原始數據'!$B$2:$B$1000,$B12,'1_原始數據'!$I$2:$I$1000,$C12,'1_原始數據'!$C$2:$C$1000,D$3))</f>
        <v/>
      </c>
      <c r="E12" s="43">
        <f>IF(COUNTIFS('1_原始數據'!$B$2:$B$1000,$B12,'1_原始數據'!$I$2:$I$1000,$C12,'1_原始數據'!$C$2:$C$1000,E$3)=0,"",SUMIFS('1_原始數據'!$E$2:$E$1000,'1_原始數據'!$B$2:$B$1000,$B12,'1_原始數據'!$I$2:$I$1000,$C12,'1_原始數據'!$C$2:$C$1000,E$3))</f>
        <v/>
      </c>
      <c r="F12" s="43">
        <f>IF(COUNTIFS('1_原始數據'!$B$2:$B$1000,$B12,'1_原始數據'!$I$2:$I$1000,$C12,'1_原始數據'!$C$2:$C$1000,F$3)=0,"",SUMIFS('1_原始數據'!$E$2:$E$1000,'1_原始數據'!$B$2:$B$1000,$B12,'1_原始數據'!$I$2:$I$1000,$C12,'1_原始數據'!$C$2:$C$1000,F$3))</f>
        <v/>
      </c>
      <c r="G12" s="43">
        <f>IF(COUNTIFS('1_原始數據'!$B$2:$B$1000,$B12,'1_原始數據'!$I$2:$I$1000,$C12,'1_原始數據'!$C$2:$C$1000,G$3)=0,"",SUMIFS('1_原始數據'!$E$2:$E$1000,'1_原始數據'!$B$2:$B$1000,$B12,'1_原始數據'!$I$2:$I$1000,$C12,'1_原始數據'!$C$2:$C$1000,G$3))</f>
        <v/>
      </c>
      <c r="H12" s="43">
        <f>IF(COUNTIFS('1_原始數據'!$B$2:$B$1000,$B12,'1_原始數據'!$I$2:$I$1000,$C12,'1_原始數據'!$C$2:$C$1000,H$3)=0,"",SUMIFS('1_原始數據'!$E$2:$E$1000,'1_原始數據'!$B$2:$B$1000,$B12,'1_原始數據'!$I$2:$I$1000,$C12,'1_原始數據'!$C$2:$C$1000,H$3))</f>
        <v/>
      </c>
      <c r="I12" s="49">
        <f>ROUND(ABS(G12-F12)*1000,1)</f>
        <v/>
      </c>
      <c r="J12" s="49">
        <f>IF(H12="","",ROUND(ABS(H12-G12)*1000,1))</f>
        <v/>
      </c>
      <c r="K12" s="13">
        <f>IF(I12&lt;='2_濕基乾基'!$C$5,"第2次達恆重",IF(H12="","尚未恆重，需再烘",IF(J12&lt;='2_濕基乾基'!$C$5,"第3次達恆重","第3次仍未恆重，需再烘")))</f>
        <v/>
      </c>
      <c r="L12" s="30">
        <f>IF(I12&lt;='2_濕基乾基'!$C$5,2,IF(H12="",2,3))</f>
        <v/>
      </c>
      <c r="M12" s="43">
        <f>IF(L12=3,H12,G12)</f>
        <v/>
      </c>
      <c r="N12" s="43">
        <f>E12-D12</f>
        <v/>
      </c>
      <c r="O12" s="43">
        <f>E12-M12</f>
        <v/>
      </c>
      <c r="P12" s="43">
        <f>M12-D12</f>
        <v/>
      </c>
      <c r="Q12" s="24">
        <f>O12/N12*100</f>
        <v/>
      </c>
      <c r="R12" s="24">
        <f>O12/P12*100</f>
        <v/>
      </c>
    </row>
    <row r="13">
      <c r="A13" s="5" t="n">
        <v>3</v>
      </c>
      <c r="B13" s="5" t="inlineStr">
        <is>
          <t>G3_S3</t>
        </is>
      </c>
      <c r="C13" s="5" t="inlineStr">
        <is>
          <t>white_bread</t>
        </is>
      </c>
      <c r="D13" s="43">
        <f>IF(COUNTIFS('1_原始數據'!$B$2:$B$1000,$B13,'1_原始數據'!$I$2:$I$1000,$C13,'1_原始數據'!$C$2:$C$1000,D$3)=0,"",SUMIFS('1_原始數據'!$E$2:$E$1000,'1_原始數據'!$B$2:$B$1000,$B13,'1_原始數據'!$I$2:$I$1000,$C13,'1_原始數據'!$C$2:$C$1000,D$3))</f>
        <v/>
      </c>
      <c r="E13" s="43">
        <f>IF(COUNTIFS('1_原始數據'!$B$2:$B$1000,$B13,'1_原始數據'!$I$2:$I$1000,$C13,'1_原始數據'!$C$2:$C$1000,E$3)=0,"",SUMIFS('1_原始數據'!$E$2:$E$1000,'1_原始數據'!$B$2:$B$1000,$B13,'1_原始數據'!$I$2:$I$1000,$C13,'1_原始數據'!$C$2:$C$1000,E$3))</f>
        <v/>
      </c>
      <c r="F13" s="43">
        <f>IF(COUNTIFS('1_原始數據'!$B$2:$B$1000,$B13,'1_原始數據'!$I$2:$I$1000,$C13,'1_原始數據'!$C$2:$C$1000,F$3)=0,"",SUMIFS('1_原始數據'!$E$2:$E$1000,'1_原始數據'!$B$2:$B$1000,$B13,'1_原始數據'!$I$2:$I$1000,$C13,'1_原始數據'!$C$2:$C$1000,F$3))</f>
        <v/>
      </c>
      <c r="G13" s="43">
        <f>IF(COUNTIFS('1_原始數據'!$B$2:$B$1000,$B13,'1_原始數據'!$I$2:$I$1000,$C13,'1_原始數據'!$C$2:$C$1000,G$3)=0,"",SUMIFS('1_原始數據'!$E$2:$E$1000,'1_原始數據'!$B$2:$B$1000,$B13,'1_原始數據'!$I$2:$I$1000,$C13,'1_原始數據'!$C$2:$C$1000,G$3))</f>
        <v/>
      </c>
      <c r="H13" s="43">
        <f>IF(COUNTIFS('1_原始數據'!$B$2:$B$1000,$B13,'1_原始數據'!$I$2:$I$1000,$C13,'1_原始數據'!$C$2:$C$1000,H$3)=0,"",SUMIFS('1_原始數據'!$E$2:$E$1000,'1_原始數據'!$B$2:$B$1000,$B13,'1_原始數據'!$I$2:$I$1000,$C13,'1_原始數據'!$C$2:$C$1000,H$3))</f>
        <v/>
      </c>
      <c r="I13" s="49">
        <f>ROUND(ABS(G13-F13)*1000,1)</f>
        <v/>
      </c>
      <c r="J13" s="49">
        <f>IF(H13="","",ROUND(ABS(H13-G13)*1000,1))</f>
        <v/>
      </c>
      <c r="K13" s="13">
        <f>IF(I13&lt;='2_濕基乾基'!$C$5,"第2次達恆重",IF(H13="","尚未恆重，需再烘",IF(J13&lt;='2_濕基乾基'!$C$5,"第3次達恆重","第3次仍未恆重，需再烘")))</f>
        <v/>
      </c>
      <c r="L13" s="30">
        <f>IF(I13&lt;='2_濕基乾基'!$C$5,2,IF(H13="",2,3))</f>
        <v/>
      </c>
      <c r="M13" s="43">
        <f>IF(L13=3,H13,G13)</f>
        <v/>
      </c>
      <c r="N13" s="43">
        <f>E13-D13</f>
        <v/>
      </c>
      <c r="O13" s="43">
        <f>E13-M13</f>
        <v/>
      </c>
      <c r="P13" s="43">
        <f>M13-D13</f>
        <v/>
      </c>
      <c r="Q13" s="24">
        <f>O13/N13*100</f>
        <v/>
      </c>
      <c r="R13" s="24">
        <f>O13/P13*100</f>
        <v/>
      </c>
    </row>
    <row r="14">
      <c r="A14" s="5" t="n">
        <v>4</v>
      </c>
      <c r="B14" s="5" t="inlineStr">
        <is>
          <t>G4_S1</t>
        </is>
      </c>
      <c r="C14" s="5" t="inlineStr">
        <is>
          <t>potato_chips</t>
        </is>
      </c>
      <c r="D14" s="43">
        <f>IF(COUNTIFS('1_原始數據'!$B$2:$B$1000,$B14,'1_原始數據'!$I$2:$I$1000,$C14,'1_原始數據'!$C$2:$C$1000,D$3)=0,"",SUMIFS('1_原始數據'!$E$2:$E$1000,'1_原始數據'!$B$2:$B$1000,$B14,'1_原始數據'!$I$2:$I$1000,$C14,'1_原始數據'!$C$2:$C$1000,D$3))</f>
        <v/>
      </c>
      <c r="E14" s="43">
        <f>IF(COUNTIFS('1_原始數據'!$B$2:$B$1000,$B14,'1_原始數據'!$I$2:$I$1000,$C14,'1_原始數據'!$C$2:$C$1000,E$3)=0,"",SUMIFS('1_原始數據'!$E$2:$E$1000,'1_原始數據'!$B$2:$B$1000,$B14,'1_原始數據'!$I$2:$I$1000,$C14,'1_原始數據'!$C$2:$C$1000,E$3))</f>
        <v/>
      </c>
      <c r="F14" s="43">
        <f>IF(COUNTIFS('1_原始數據'!$B$2:$B$1000,$B14,'1_原始數據'!$I$2:$I$1000,$C14,'1_原始數據'!$C$2:$C$1000,F$3)=0,"",SUMIFS('1_原始數據'!$E$2:$E$1000,'1_原始數據'!$B$2:$B$1000,$B14,'1_原始數據'!$I$2:$I$1000,$C14,'1_原始數據'!$C$2:$C$1000,F$3))</f>
        <v/>
      </c>
      <c r="G14" s="43">
        <f>IF(COUNTIFS('1_原始數據'!$B$2:$B$1000,$B14,'1_原始數據'!$I$2:$I$1000,$C14,'1_原始數據'!$C$2:$C$1000,G$3)=0,"",SUMIFS('1_原始數據'!$E$2:$E$1000,'1_原始數據'!$B$2:$B$1000,$B14,'1_原始數據'!$I$2:$I$1000,$C14,'1_原始數據'!$C$2:$C$1000,G$3))</f>
        <v/>
      </c>
      <c r="H14" s="43">
        <f>IF(COUNTIFS('1_原始數據'!$B$2:$B$1000,$B14,'1_原始數據'!$I$2:$I$1000,$C14,'1_原始數據'!$C$2:$C$1000,H$3)=0,"",SUMIFS('1_原始數據'!$E$2:$E$1000,'1_原始數據'!$B$2:$B$1000,$B14,'1_原始數據'!$I$2:$I$1000,$C14,'1_原始數據'!$C$2:$C$1000,H$3))</f>
        <v/>
      </c>
      <c r="I14" s="49">
        <f>ROUND(ABS(G14-F14)*1000,1)</f>
        <v/>
      </c>
      <c r="J14" s="49">
        <f>IF(H14="","",ROUND(ABS(H14-G14)*1000,1))</f>
        <v/>
      </c>
      <c r="K14" s="13">
        <f>IF(I14&lt;='2_濕基乾基'!$C$5,"第2次達恆重",IF(H14="","尚未恆重，需再烘",IF(J14&lt;='2_濕基乾基'!$C$5,"第3次達恆重","第3次仍未恆重，需再烘")))</f>
        <v/>
      </c>
      <c r="L14" s="30">
        <f>IF(I14&lt;='2_濕基乾基'!$C$5,2,IF(H14="",2,3))</f>
        <v/>
      </c>
      <c r="M14" s="43">
        <f>IF(L14=3,H14,G14)</f>
        <v/>
      </c>
      <c r="N14" s="43">
        <f>E14-D14</f>
        <v/>
      </c>
      <c r="O14" s="43">
        <f>E14-M14</f>
        <v/>
      </c>
      <c r="P14" s="43">
        <f>M14-D14</f>
        <v/>
      </c>
      <c r="Q14" s="24">
        <f>O14/N14*100</f>
        <v/>
      </c>
      <c r="R14" s="24">
        <f>O14/P14*100</f>
        <v/>
      </c>
    </row>
    <row r="15">
      <c r="A15" s="5" t="n">
        <v>4</v>
      </c>
      <c r="B15" s="5" t="inlineStr">
        <is>
          <t>G4_S2</t>
        </is>
      </c>
      <c r="C15" s="5" t="inlineStr">
        <is>
          <t>potato_chips</t>
        </is>
      </c>
      <c r="D15" s="43">
        <f>IF(COUNTIFS('1_原始數據'!$B$2:$B$1000,$B15,'1_原始數據'!$I$2:$I$1000,$C15,'1_原始數據'!$C$2:$C$1000,D$3)=0,"",SUMIFS('1_原始數據'!$E$2:$E$1000,'1_原始數據'!$B$2:$B$1000,$B15,'1_原始數據'!$I$2:$I$1000,$C15,'1_原始數據'!$C$2:$C$1000,D$3))</f>
        <v/>
      </c>
      <c r="E15" s="43">
        <f>IF(COUNTIFS('1_原始數據'!$B$2:$B$1000,$B15,'1_原始數據'!$I$2:$I$1000,$C15,'1_原始數據'!$C$2:$C$1000,E$3)=0,"",SUMIFS('1_原始數據'!$E$2:$E$1000,'1_原始數據'!$B$2:$B$1000,$B15,'1_原始數據'!$I$2:$I$1000,$C15,'1_原始數據'!$C$2:$C$1000,E$3))</f>
        <v/>
      </c>
      <c r="F15" s="43">
        <f>IF(COUNTIFS('1_原始數據'!$B$2:$B$1000,$B15,'1_原始數據'!$I$2:$I$1000,$C15,'1_原始數據'!$C$2:$C$1000,F$3)=0,"",SUMIFS('1_原始數據'!$E$2:$E$1000,'1_原始數據'!$B$2:$B$1000,$B15,'1_原始數據'!$I$2:$I$1000,$C15,'1_原始數據'!$C$2:$C$1000,F$3))</f>
        <v/>
      </c>
      <c r="G15" s="43">
        <f>IF(COUNTIFS('1_原始數據'!$B$2:$B$1000,$B15,'1_原始數據'!$I$2:$I$1000,$C15,'1_原始數據'!$C$2:$C$1000,G$3)=0,"",SUMIFS('1_原始數據'!$E$2:$E$1000,'1_原始數據'!$B$2:$B$1000,$B15,'1_原始數據'!$I$2:$I$1000,$C15,'1_原始數據'!$C$2:$C$1000,G$3))</f>
        <v/>
      </c>
      <c r="H15" s="43">
        <f>IF(COUNTIFS('1_原始數據'!$B$2:$B$1000,$B15,'1_原始數據'!$I$2:$I$1000,$C15,'1_原始數據'!$C$2:$C$1000,H$3)=0,"",SUMIFS('1_原始數據'!$E$2:$E$1000,'1_原始數據'!$B$2:$B$1000,$B15,'1_原始數據'!$I$2:$I$1000,$C15,'1_原始數據'!$C$2:$C$1000,H$3))</f>
        <v/>
      </c>
      <c r="I15" s="49">
        <f>ROUND(ABS(G15-F15)*1000,1)</f>
        <v/>
      </c>
      <c r="J15" s="49">
        <f>IF(H15="","",ROUND(ABS(H15-G15)*1000,1))</f>
        <v/>
      </c>
      <c r="K15" s="13">
        <f>IF(I15&lt;='2_濕基乾基'!$C$5,"第2次達恆重",IF(H15="","尚未恆重，需再烘",IF(J15&lt;='2_濕基乾基'!$C$5,"第3次達恆重","第3次仍未恆重，需再烘")))</f>
        <v/>
      </c>
      <c r="L15" s="30">
        <f>IF(I15&lt;='2_濕基乾基'!$C$5,2,IF(H15="",2,3))</f>
        <v/>
      </c>
      <c r="M15" s="43">
        <f>IF(L15=3,H15,G15)</f>
        <v/>
      </c>
      <c r="N15" s="43">
        <f>E15-D15</f>
        <v/>
      </c>
      <c r="O15" s="43">
        <f>E15-M15</f>
        <v/>
      </c>
      <c r="P15" s="43">
        <f>M15-D15</f>
        <v/>
      </c>
      <c r="Q15" s="24">
        <f>O15/N15*100</f>
        <v/>
      </c>
      <c r="R15" s="24">
        <f>O15/P15*100</f>
        <v/>
      </c>
    </row>
    <row r="16">
      <c r="A16" s="5" t="n">
        <v>4</v>
      </c>
      <c r="B16" s="5" t="inlineStr">
        <is>
          <t>G4_S3</t>
        </is>
      </c>
      <c r="C16" s="5" t="inlineStr">
        <is>
          <t>potato_chips</t>
        </is>
      </c>
      <c r="D16" s="43">
        <f>IF(COUNTIFS('1_原始數據'!$B$2:$B$1000,$B16,'1_原始數據'!$I$2:$I$1000,$C16,'1_原始數據'!$C$2:$C$1000,D$3)=0,"",SUMIFS('1_原始數據'!$E$2:$E$1000,'1_原始數據'!$B$2:$B$1000,$B16,'1_原始數據'!$I$2:$I$1000,$C16,'1_原始數據'!$C$2:$C$1000,D$3))</f>
        <v/>
      </c>
      <c r="E16" s="43">
        <f>IF(COUNTIFS('1_原始數據'!$B$2:$B$1000,$B16,'1_原始數據'!$I$2:$I$1000,$C16,'1_原始數據'!$C$2:$C$1000,E$3)=0,"",SUMIFS('1_原始數據'!$E$2:$E$1000,'1_原始數據'!$B$2:$B$1000,$B16,'1_原始數據'!$I$2:$I$1000,$C16,'1_原始數據'!$C$2:$C$1000,E$3))</f>
        <v/>
      </c>
      <c r="F16" s="43">
        <f>IF(COUNTIFS('1_原始數據'!$B$2:$B$1000,$B16,'1_原始數據'!$I$2:$I$1000,$C16,'1_原始數據'!$C$2:$C$1000,F$3)=0,"",SUMIFS('1_原始數據'!$E$2:$E$1000,'1_原始數據'!$B$2:$B$1000,$B16,'1_原始數據'!$I$2:$I$1000,$C16,'1_原始數據'!$C$2:$C$1000,F$3))</f>
        <v/>
      </c>
      <c r="G16" s="43">
        <f>IF(COUNTIFS('1_原始數據'!$B$2:$B$1000,$B16,'1_原始數據'!$I$2:$I$1000,$C16,'1_原始數據'!$C$2:$C$1000,G$3)=0,"",SUMIFS('1_原始數據'!$E$2:$E$1000,'1_原始數據'!$B$2:$B$1000,$B16,'1_原始數據'!$I$2:$I$1000,$C16,'1_原始數據'!$C$2:$C$1000,G$3))</f>
        <v/>
      </c>
      <c r="H16" s="43">
        <f>IF(COUNTIFS('1_原始數據'!$B$2:$B$1000,$B16,'1_原始數據'!$I$2:$I$1000,$C16,'1_原始數據'!$C$2:$C$1000,H$3)=0,"",SUMIFS('1_原始數據'!$E$2:$E$1000,'1_原始數據'!$B$2:$B$1000,$B16,'1_原始數據'!$I$2:$I$1000,$C16,'1_原始數據'!$C$2:$C$1000,H$3))</f>
        <v/>
      </c>
      <c r="I16" s="49">
        <f>ROUND(ABS(G16-F16)*1000,1)</f>
        <v/>
      </c>
      <c r="J16" s="49">
        <f>IF(H16="","",ROUND(ABS(H16-G16)*1000,1))</f>
        <v/>
      </c>
      <c r="K16" s="13">
        <f>IF(I16&lt;='2_濕基乾基'!$C$5,"第2次達恆重",IF(H16="","尚未恆重，需再烘",IF(J16&lt;='2_濕基乾基'!$C$5,"第3次達恆重","第3次仍未恆重，需再烘")))</f>
        <v/>
      </c>
      <c r="L16" s="30">
        <f>IF(I16&lt;='2_濕基乾基'!$C$5,2,IF(H16="",2,3))</f>
        <v/>
      </c>
      <c r="M16" s="43">
        <f>IF(L16=3,H16,G16)</f>
        <v/>
      </c>
      <c r="N16" s="43">
        <f>E16-D16</f>
        <v/>
      </c>
      <c r="O16" s="43">
        <f>E16-M16</f>
        <v/>
      </c>
      <c r="P16" s="43">
        <f>M16-D16</f>
        <v/>
      </c>
      <c r="Q16" s="24">
        <f>O16/N16*100</f>
        <v/>
      </c>
      <c r="R16" s="24">
        <f>O16/P16*100</f>
        <v/>
      </c>
    </row>
    <row r="17">
      <c r="A17" s="5" t="n">
        <v>5</v>
      </c>
      <c r="B17" s="5" t="inlineStr">
        <is>
          <t>G5_S1</t>
        </is>
      </c>
      <c r="C17" s="5" t="inlineStr">
        <is>
          <t>milk_powder</t>
        </is>
      </c>
      <c r="D17" s="43">
        <f>IF(COUNTIFS('1_原始數據'!$B$2:$B$1000,$B17,'1_原始數據'!$I$2:$I$1000,$C17,'1_原始數據'!$C$2:$C$1000,D$3)=0,"",SUMIFS('1_原始數據'!$E$2:$E$1000,'1_原始數據'!$B$2:$B$1000,$B17,'1_原始數據'!$I$2:$I$1000,$C17,'1_原始數據'!$C$2:$C$1000,D$3))</f>
        <v/>
      </c>
      <c r="E17" s="43">
        <f>IF(COUNTIFS('1_原始數據'!$B$2:$B$1000,$B17,'1_原始數據'!$I$2:$I$1000,$C17,'1_原始數據'!$C$2:$C$1000,E$3)=0,"",SUMIFS('1_原始數據'!$E$2:$E$1000,'1_原始數據'!$B$2:$B$1000,$B17,'1_原始數據'!$I$2:$I$1000,$C17,'1_原始數據'!$C$2:$C$1000,E$3))</f>
        <v/>
      </c>
      <c r="F17" s="43">
        <f>IF(COUNTIFS('1_原始數據'!$B$2:$B$1000,$B17,'1_原始數據'!$I$2:$I$1000,$C17,'1_原始數據'!$C$2:$C$1000,F$3)=0,"",SUMIFS('1_原始數據'!$E$2:$E$1000,'1_原始數據'!$B$2:$B$1000,$B17,'1_原始數據'!$I$2:$I$1000,$C17,'1_原始數據'!$C$2:$C$1000,F$3))</f>
        <v/>
      </c>
      <c r="G17" s="43">
        <f>IF(COUNTIFS('1_原始數據'!$B$2:$B$1000,$B17,'1_原始數據'!$I$2:$I$1000,$C17,'1_原始數據'!$C$2:$C$1000,G$3)=0,"",SUMIFS('1_原始數據'!$E$2:$E$1000,'1_原始數據'!$B$2:$B$1000,$B17,'1_原始數據'!$I$2:$I$1000,$C17,'1_原始數據'!$C$2:$C$1000,G$3))</f>
        <v/>
      </c>
      <c r="H17" s="43">
        <f>IF(COUNTIFS('1_原始數據'!$B$2:$B$1000,$B17,'1_原始數據'!$I$2:$I$1000,$C17,'1_原始數據'!$C$2:$C$1000,H$3)=0,"",SUMIFS('1_原始數據'!$E$2:$E$1000,'1_原始數據'!$B$2:$B$1000,$B17,'1_原始數據'!$I$2:$I$1000,$C17,'1_原始數據'!$C$2:$C$1000,H$3))</f>
        <v/>
      </c>
      <c r="I17" s="49">
        <f>ROUND(ABS(G17-F17)*1000,1)</f>
        <v/>
      </c>
      <c r="J17" s="49">
        <f>IF(H17="","",ROUND(ABS(H17-G17)*1000,1))</f>
        <v/>
      </c>
      <c r="K17" s="13">
        <f>IF(I17&lt;='2_濕基乾基'!$C$5,"第2次達恆重",IF(H17="","尚未恆重，需再烘",IF(J17&lt;='2_濕基乾基'!$C$5,"第3次達恆重","第3次仍未恆重，需再烘")))</f>
        <v/>
      </c>
      <c r="L17" s="30">
        <f>IF(I17&lt;='2_濕基乾基'!$C$5,2,IF(H17="",2,3))</f>
        <v/>
      </c>
      <c r="M17" s="43">
        <f>IF(L17=3,H17,G17)</f>
        <v/>
      </c>
      <c r="N17" s="43">
        <f>E17-D17</f>
        <v/>
      </c>
      <c r="O17" s="43">
        <f>E17-M17</f>
        <v/>
      </c>
      <c r="P17" s="43">
        <f>M17-D17</f>
        <v/>
      </c>
      <c r="Q17" s="24">
        <f>O17/N17*100</f>
        <v/>
      </c>
      <c r="R17" s="24">
        <f>O17/P17*100</f>
        <v/>
      </c>
    </row>
    <row r="18">
      <c r="A18" s="5" t="n">
        <v>5</v>
      </c>
      <c r="B18" s="5" t="inlineStr">
        <is>
          <t>G5_S2</t>
        </is>
      </c>
      <c r="C18" s="5" t="inlineStr">
        <is>
          <t>milk_powder</t>
        </is>
      </c>
      <c r="D18" s="43">
        <f>IF(COUNTIFS('1_原始數據'!$B$2:$B$1000,$B18,'1_原始數據'!$I$2:$I$1000,$C18,'1_原始數據'!$C$2:$C$1000,D$3)=0,"",SUMIFS('1_原始數據'!$E$2:$E$1000,'1_原始數據'!$B$2:$B$1000,$B18,'1_原始數據'!$I$2:$I$1000,$C18,'1_原始數據'!$C$2:$C$1000,D$3))</f>
        <v/>
      </c>
      <c r="E18" s="43">
        <f>IF(COUNTIFS('1_原始數據'!$B$2:$B$1000,$B18,'1_原始數據'!$I$2:$I$1000,$C18,'1_原始數據'!$C$2:$C$1000,E$3)=0,"",SUMIFS('1_原始數據'!$E$2:$E$1000,'1_原始數據'!$B$2:$B$1000,$B18,'1_原始數據'!$I$2:$I$1000,$C18,'1_原始數據'!$C$2:$C$1000,E$3))</f>
        <v/>
      </c>
      <c r="F18" s="43">
        <f>IF(COUNTIFS('1_原始數據'!$B$2:$B$1000,$B18,'1_原始數據'!$I$2:$I$1000,$C18,'1_原始數據'!$C$2:$C$1000,F$3)=0,"",SUMIFS('1_原始數據'!$E$2:$E$1000,'1_原始數據'!$B$2:$B$1000,$B18,'1_原始數據'!$I$2:$I$1000,$C18,'1_原始數據'!$C$2:$C$1000,F$3))</f>
        <v/>
      </c>
      <c r="G18" s="43">
        <f>IF(COUNTIFS('1_原始數據'!$B$2:$B$1000,$B18,'1_原始數據'!$I$2:$I$1000,$C18,'1_原始數據'!$C$2:$C$1000,G$3)=0,"",SUMIFS('1_原始數據'!$E$2:$E$1000,'1_原始數據'!$B$2:$B$1000,$B18,'1_原始數據'!$I$2:$I$1000,$C18,'1_原始數據'!$C$2:$C$1000,G$3))</f>
        <v/>
      </c>
      <c r="H18" s="43">
        <f>IF(COUNTIFS('1_原始數據'!$B$2:$B$1000,$B18,'1_原始數據'!$I$2:$I$1000,$C18,'1_原始數據'!$C$2:$C$1000,H$3)=0,"",SUMIFS('1_原始數據'!$E$2:$E$1000,'1_原始數據'!$B$2:$B$1000,$B18,'1_原始數據'!$I$2:$I$1000,$C18,'1_原始數據'!$C$2:$C$1000,H$3))</f>
        <v/>
      </c>
      <c r="I18" s="49">
        <f>ROUND(ABS(G18-F18)*1000,1)</f>
        <v/>
      </c>
      <c r="J18" s="49">
        <f>IF(H18="","",ROUND(ABS(H18-G18)*1000,1))</f>
        <v/>
      </c>
      <c r="K18" s="13">
        <f>IF(I18&lt;='2_濕基乾基'!$C$5,"第2次達恆重",IF(H18="","尚未恆重，需再烘",IF(J18&lt;='2_濕基乾基'!$C$5,"第3次達恆重","第3次仍未恆重，需再烘")))</f>
        <v/>
      </c>
      <c r="L18" s="30">
        <f>IF(I18&lt;='2_濕基乾基'!$C$5,2,IF(H18="",2,3))</f>
        <v/>
      </c>
      <c r="M18" s="43">
        <f>IF(L18=3,H18,G18)</f>
        <v/>
      </c>
      <c r="N18" s="43">
        <f>E18-D18</f>
        <v/>
      </c>
      <c r="O18" s="43">
        <f>E18-M18</f>
        <v/>
      </c>
      <c r="P18" s="43">
        <f>M18-D18</f>
        <v/>
      </c>
      <c r="Q18" s="24">
        <f>O18/N18*100</f>
        <v/>
      </c>
      <c r="R18" s="24">
        <f>O18/P18*100</f>
        <v/>
      </c>
    </row>
    <row r="19">
      <c r="A19" s="5" t="n">
        <v>5</v>
      </c>
      <c r="B19" s="5" t="inlineStr">
        <is>
          <t>G5_S3</t>
        </is>
      </c>
      <c r="C19" s="5" t="inlineStr">
        <is>
          <t>milk_powder</t>
        </is>
      </c>
      <c r="D19" s="43">
        <f>IF(COUNTIFS('1_原始數據'!$B$2:$B$1000,$B19,'1_原始數據'!$I$2:$I$1000,$C19,'1_原始數據'!$C$2:$C$1000,D$3)=0,"",SUMIFS('1_原始數據'!$E$2:$E$1000,'1_原始數據'!$B$2:$B$1000,$B19,'1_原始數據'!$I$2:$I$1000,$C19,'1_原始數據'!$C$2:$C$1000,D$3))</f>
        <v/>
      </c>
      <c r="E19" s="43">
        <f>IF(COUNTIFS('1_原始數據'!$B$2:$B$1000,$B19,'1_原始數據'!$I$2:$I$1000,$C19,'1_原始數據'!$C$2:$C$1000,E$3)=0,"",SUMIFS('1_原始數據'!$E$2:$E$1000,'1_原始數據'!$B$2:$B$1000,$B19,'1_原始數據'!$I$2:$I$1000,$C19,'1_原始數據'!$C$2:$C$1000,E$3))</f>
        <v/>
      </c>
      <c r="F19" s="43">
        <f>IF(COUNTIFS('1_原始數據'!$B$2:$B$1000,$B19,'1_原始數據'!$I$2:$I$1000,$C19,'1_原始數據'!$C$2:$C$1000,F$3)=0,"",SUMIFS('1_原始數據'!$E$2:$E$1000,'1_原始數據'!$B$2:$B$1000,$B19,'1_原始數據'!$I$2:$I$1000,$C19,'1_原始數據'!$C$2:$C$1000,F$3))</f>
        <v/>
      </c>
      <c r="G19" s="43">
        <f>IF(COUNTIFS('1_原始數據'!$B$2:$B$1000,$B19,'1_原始數據'!$I$2:$I$1000,$C19,'1_原始數據'!$C$2:$C$1000,G$3)=0,"",SUMIFS('1_原始數據'!$E$2:$E$1000,'1_原始數據'!$B$2:$B$1000,$B19,'1_原始數據'!$I$2:$I$1000,$C19,'1_原始數據'!$C$2:$C$1000,G$3))</f>
        <v/>
      </c>
      <c r="H19" s="43">
        <f>IF(COUNTIFS('1_原始數據'!$B$2:$B$1000,$B19,'1_原始數據'!$I$2:$I$1000,$C19,'1_原始數據'!$C$2:$C$1000,H$3)=0,"",SUMIFS('1_原始數據'!$E$2:$E$1000,'1_原始數據'!$B$2:$B$1000,$B19,'1_原始數據'!$I$2:$I$1000,$C19,'1_原始數據'!$C$2:$C$1000,H$3))</f>
        <v/>
      </c>
      <c r="I19" s="49">
        <f>ROUND(ABS(G19-F19)*1000,1)</f>
        <v/>
      </c>
      <c r="J19" s="49">
        <f>IF(H19="","",ROUND(ABS(H19-G19)*1000,1))</f>
        <v/>
      </c>
      <c r="K19" s="13">
        <f>IF(I19&lt;='2_濕基乾基'!$C$5,"第2次達恆重",IF(H19="","尚未恆重，需再烘",IF(J19&lt;='2_濕基乾基'!$C$5,"第3次達恆重","第3次仍未恆重，需再烘")))</f>
        <v/>
      </c>
      <c r="L19" s="30">
        <f>IF(I19&lt;='2_濕基乾基'!$C$5,2,IF(H19="",2,3))</f>
        <v/>
      </c>
      <c r="M19" s="43">
        <f>IF(L19=3,H19,G19)</f>
        <v/>
      </c>
      <c r="N19" s="43">
        <f>E19-D19</f>
        <v/>
      </c>
      <c r="O19" s="43">
        <f>E19-M19</f>
        <v/>
      </c>
      <c r="P19" s="43">
        <f>M19-D19</f>
        <v/>
      </c>
      <c r="Q19" s="24">
        <f>O19/N19*100</f>
        <v/>
      </c>
      <c r="R19" s="24">
        <f>O19/P19*100</f>
        <v/>
      </c>
    </row>
    <row r="21">
      <c r="A21" s="3" t="inlineStr">
        <is>
          <t>公式說明</t>
        </is>
      </c>
    </row>
    <row r="22" ht="30" customHeight="1">
      <c r="A22" s="31" t="inlineStr">
        <is>
          <t>抓數據</t>
        </is>
      </c>
      <c r="D22" s="4" t="inlineStr">
        <is>
          <t>=SUMIFS(原始數據value, student,B5, sample,C5, item,"oven_dish_g")　把「學生、樣品、項目」三個條件都符合的數字加起來；每個條件只有一筆，所以就是把那一筆抓過來。COUNTIFS 先數有沒有這筆，沒有就顯示空白（例如大多數人沒有第 3 次秤重）。</t>
        </is>
      </c>
    </row>
    <row r="23" ht="15" customHeight="1">
      <c r="A23" s="31" t="inlineStr">
        <is>
          <t>秤重差</t>
        </is>
      </c>
      <c r="D23" s="4" t="inlineStr">
        <is>
          <t>=ROUND(ABS(G5−F5)×1000, 1)　兩次秤重差的絕對值，換成 mg，四捨五入到 0.1 mg。</t>
        </is>
      </c>
    </row>
    <row r="24" ht="15" customHeight="1">
      <c r="A24" s="31" t="inlineStr">
        <is>
          <t>恆重判定</t>
        </is>
      </c>
      <c r="D24" s="4" t="inlineStr">
        <is>
          <t>1→2 次差 ≤ 判準（「2_濕基乾基」C5，預設 2 mg）＝第 2 次達恆重；否則看第 3 次。黃底＝用了第 3 次；紅底＝還沒恆重，要回烘箱。</t>
        </is>
      </c>
    </row>
    <row r="25" ht="15" customHeight="1">
      <c r="A25" s="31" t="inlineStr">
        <is>
          <t>最終乾重</t>
        </is>
      </c>
      <c r="D25" s="4" t="inlineStr">
        <is>
          <t>達恆重的那一次（盤+乾樣品）重量。只有 G3_S2 用到第 3 次。</t>
        </is>
      </c>
    </row>
    <row r="26" ht="15" customHeight="1">
      <c r="A26" s="31" t="inlineStr">
        <is>
          <t>濕基 %</t>
        </is>
      </c>
      <c r="D26" s="4" t="inlineStr">
        <is>
          <t>= 水分重 ÷ 樣品濕重 × 100 = (盤+樣品 − 最終乾重) ÷ (盤+樣品 − 空盤) × 100</t>
        </is>
      </c>
    </row>
    <row r="27" ht="15" customHeight="1">
      <c r="A27" s="31" t="inlineStr">
        <is>
          <t>乾基 %</t>
        </is>
      </c>
      <c r="D27" s="4" t="inlineStr">
        <is>
          <t>= 水分重 ÷ 乾固形物重 × 100 = (盤+樣品 − 最終乾重) ÷ (最終乾重 − 空盤) × 100</t>
        </is>
      </c>
    </row>
  </sheetData>
  <mergeCells count="13">
    <mergeCell ref="A25:C25"/>
    <mergeCell ref="D25:R25"/>
    <mergeCell ref="D24:R24"/>
    <mergeCell ref="A23:C23"/>
    <mergeCell ref="A2:R2"/>
    <mergeCell ref="A22:C22"/>
    <mergeCell ref="D22:R22"/>
    <mergeCell ref="D23:R23"/>
    <mergeCell ref="A27:C27"/>
    <mergeCell ref="D27:R27"/>
    <mergeCell ref="D26:R26"/>
    <mergeCell ref="A26:C26"/>
    <mergeCell ref="A24:C24"/>
  </mergeCells>
  <conditionalFormatting sqref="K5:K19">
    <cfRule type="expression" priority="1" dxfId="0">
      <formula>ISNUMBER(SEARCH("未恆重",K5))</formula>
    </cfRule>
    <cfRule type="expression" priority="2" dxfId="1">
      <formula>ISNUMBER(SEARCH("第3次",K5))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H1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13" customWidth="1" min="4" max="4"/>
    <col width="12" customWidth="1" min="5" max="5"/>
    <col width="11" customWidth="1" min="6" max="6"/>
    <col width="3" customWidth="1" min="7" max="7"/>
    <col width="62" customWidth="1" min="8" max="8"/>
  </cols>
  <sheetData>
    <row r="1">
      <c r="A1" s="1" t="inlineStr">
        <is>
          <t>步驟 3　各組（各食品）濕基水分的平均、SD、RSD%</t>
        </is>
      </c>
    </row>
    <row r="2">
      <c r="A2" s="18" t="inlineStr">
        <is>
          <t>每組 3 位同學測同一種食品＝組內三重複。資料來自「3_烘箱法恆重」的濕基水分（Q 欄）。</t>
        </is>
      </c>
    </row>
    <row r="4">
      <c r="A4" s="9" t="inlineStr">
        <is>
          <t>組別</t>
        </is>
      </c>
      <c r="B4" s="9" t="inlineStr">
        <is>
          <t>樣品</t>
        </is>
      </c>
      <c r="C4" s="9" t="inlineStr">
        <is>
          <t>n</t>
        </is>
      </c>
      <c r="D4" s="9" t="inlineStr">
        <is>
          <t>平均濕基 (%)</t>
        </is>
      </c>
      <c r="E4" s="9" t="inlineStr">
        <is>
          <t>SD (%)</t>
        </is>
      </c>
      <c r="F4" s="9" t="inlineStr">
        <is>
          <t>RSD (%)</t>
        </is>
      </c>
    </row>
    <row r="5" ht="30" customHeight="1">
      <c r="A5" s="5" t="n">
        <v>1</v>
      </c>
      <c r="B5" s="5" t="inlineStr">
        <is>
          <t>beef_jerky</t>
        </is>
      </c>
      <c r="C5" s="30">
        <f>COUNTIFS('3_烘箱法恆重'!$A$5:$A$19,A5,'3_烘箱法恆重'!$C$5:$C$19,B5)</f>
        <v/>
      </c>
      <c r="D5" s="24">
        <f>AVERAGEIFS('3_烘箱法恆重'!$Q$5:$Q$19,'3_烘箱法恆重'!$A$5:$A$19,A5,'3_烘箱法恆重'!$C$5:$C$19,B5)</f>
        <v/>
      </c>
      <c r="E5" s="45">
        <f t="array" ref="E5">_xlfn.STDEV.S(IF(('3_烘箱法恆重'!$A$5:$A$19=A5)*('3_烘箱法恆重'!$C$5:$C$19=B5),'3_烘箱法恆重'!$Q$5:$Q$19))</f>
        <v/>
      </c>
      <c r="F5" s="24">
        <f>E5/D5*100</f>
        <v/>
      </c>
      <c r="H5" s="18" t="inlineStr">
        <is>
          <t>COUNTIFS 數有幾位同學；AVERAGEIFS 依「組別＋樣品」兩個條件取平均。</t>
        </is>
      </c>
    </row>
    <row r="6" ht="75" customHeight="1">
      <c r="A6" s="5" t="n">
        <v>2</v>
      </c>
      <c r="B6" s="5" t="inlineStr">
        <is>
          <t>dried_longan</t>
        </is>
      </c>
      <c r="C6" s="30">
        <f>COUNTIFS('3_烘箱法恆重'!$A$5:$A$19,A6,'3_烘箱法恆重'!$C$5:$C$19,B6)</f>
        <v/>
      </c>
      <c r="D6" s="24">
        <f>AVERAGEIFS('3_烘箱法恆重'!$Q$5:$Q$19,'3_烘箱法恆重'!$A$5:$A$19,A6,'3_烘箱法恆重'!$C$5:$C$19,B6)</f>
        <v/>
      </c>
      <c r="E6" s="45">
        <f t="array" ref="E6">_xlfn.STDEV.S(IF(('3_烘箱法恆重'!$A$5:$A$19=A6)*('3_烘箱法恆重'!$C$5:$C$19=B6),'3_烘箱法恆重'!$Q$5:$Q$19))</f>
        <v/>
      </c>
      <c r="F6" s="24">
        <f>E6/D6*100</f>
        <v/>
      </c>
      <c r="H6" s="18" t="inlineStr">
        <is>
          <t>Excel 沒有 STDEV.IFS，SD 用陣列公式 {=STDEV.S(IF(條件, 數值))}：只把符合條件的數字交給 STDEV.S（樣本標準差，除以 n−1）。自己輸入時，舊版 Excel 按 Ctrl+Shift+Enter；Excel 365 直接 Enter。</t>
        </is>
      </c>
    </row>
    <row r="7" ht="45" customHeight="1">
      <c r="A7" s="5" t="n">
        <v>3</v>
      </c>
      <c r="B7" s="5" t="inlineStr">
        <is>
          <t>white_bread</t>
        </is>
      </c>
      <c r="C7" s="30">
        <f>COUNTIFS('3_烘箱法恆重'!$A$5:$A$19,A7,'3_烘箱法恆重'!$C$5:$C$19,B7)</f>
        <v/>
      </c>
      <c r="D7" s="24">
        <f>AVERAGEIFS('3_烘箱法恆重'!$Q$5:$Q$19,'3_烘箱法恆重'!$A$5:$A$19,A7,'3_烘箱法恆重'!$C$5:$C$19,B7)</f>
        <v/>
      </c>
      <c r="E7" s="45">
        <f t="array" ref="E7">_xlfn.STDEV.S(IF(('3_烘箱法恆重'!$A$5:$A$19=A7)*('3_烘箱法恆重'!$C$5:$C$19=B7),'3_烘箱法恆重'!$Q$5:$Q$19))</f>
        <v/>
      </c>
      <c r="F7" s="24">
        <f>E7/D7*100</f>
        <v/>
      </c>
      <c r="H7" s="18" t="inlineStr">
        <is>
          <t>RSD = SD ÷ 平均 × 100。平均很小時（洋芋片、奶粉只有 2–3% 水分），同樣 0.3–0.5% 的 SD 會讓 RSD 變很大——低水分樣品的 RSD 大，不一定代表操作比較差。</t>
        </is>
      </c>
    </row>
    <row r="8">
      <c r="A8" s="5" t="n">
        <v>4</v>
      </c>
      <c r="B8" s="5" t="inlineStr">
        <is>
          <t>potato_chips</t>
        </is>
      </c>
      <c r="C8" s="30">
        <f>COUNTIFS('3_烘箱法恆重'!$A$5:$A$19,A8,'3_烘箱法恆重'!$C$5:$C$19,B8)</f>
        <v/>
      </c>
      <c r="D8" s="24">
        <f>AVERAGEIFS('3_烘箱法恆重'!$Q$5:$Q$19,'3_烘箱法恆重'!$A$5:$A$19,A8,'3_烘箱法恆重'!$C$5:$C$19,B8)</f>
        <v/>
      </c>
      <c r="E8" s="45">
        <f t="array" ref="E8">_xlfn.STDEV.S(IF(('3_烘箱法恆重'!$A$5:$A$19=A8)*('3_烘箱法恆重'!$C$5:$C$19=B8),'3_烘箱法恆重'!$Q$5:$Q$19))</f>
        <v/>
      </c>
      <c r="F8" s="24">
        <f>E8/D8*100</f>
        <v/>
      </c>
    </row>
    <row r="9">
      <c r="A9" s="5" t="n">
        <v>5</v>
      </c>
      <c r="B9" s="5" t="inlineStr">
        <is>
          <t>milk_powder</t>
        </is>
      </c>
      <c r="C9" s="30">
        <f>COUNTIFS('3_烘箱法恆重'!$A$5:$A$19,A9,'3_烘箱法恆重'!$C$5:$C$19,B9)</f>
        <v/>
      </c>
      <c r="D9" s="24">
        <f>AVERAGEIFS('3_烘箱法恆重'!$Q$5:$Q$19,'3_烘箱法恆重'!$A$5:$A$19,A9,'3_烘箱法恆重'!$C$5:$C$19,B9)</f>
        <v/>
      </c>
      <c r="E9" s="45">
        <f t="array" ref="E9">_xlfn.STDEV.S(IF(('3_烘箱法恆重'!$A$5:$A$19=A9)*('3_烘箱法恆重'!$C$5:$C$19=B9),'3_烘箱法恆重'!$Q$5:$Q$19))</f>
        <v/>
      </c>
      <c r="F9" s="24">
        <f>E9/D9*100</f>
        <v/>
      </c>
    </row>
    <row r="11" ht="30" customHeight="1">
      <c r="A11" s="21" t="inlineStr">
        <is>
          <t>RSD 最大（精密度最差）</t>
        </is>
      </c>
      <c r="B11" s="32" t="n"/>
      <c r="C11" s="27" t="n"/>
      <c r="D11" s="26">
        <f>INDEX(B5:B9,MATCH(MAX(F5:F9),F5:F9,0))</f>
        <v/>
      </c>
      <c r="E11" s="16">
        <f>MAX(F5:F9)</f>
        <v/>
      </c>
      <c r="H11" s="18" t="inlineStr">
        <is>
          <t>INDEX(樣品欄, MATCH(MAX(RSD欄), RSD欄, 0))：先找出最大 RSD 在第幾列，再回傳那一列的樣品名稱。</t>
        </is>
      </c>
    </row>
    <row r="12">
      <c r="A12" s="21" t="inlineStr">
        <is>
          <t>RSD 最小（精密度最好）</t>
        </is>
      </c>
      <c r="B12" s="32" t="n"/>
      <c r="C12" s="27" t="n"/>
      <c r="D12" s="13">
        <f>INDEX(B5:B9,MATCH(MIN(F5:F9),F5:F9,0))</f>
        <v/>
      </c>
      <c r="E12" s="16">
        <f>MIN(F5:F9)</f>
        <v/>
      </c>
    </row>
  </sheetData>
  <mergeCells count="3">
    <mergeCell ref="A12:C12"/>
    <mergeCell ref="A2:H2"/>
    <mergeCell ref="A11:C11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O4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3" customWidth="1" min="8" max="8"/>
    <col width="30" customWidth="1" min="9" max="9"/>
    <col width="13" customWidth="1" min="10" max="10"/>
    <col width="90" customWidth="1" min="11" max="11"/>
  </cols>
  <sheetData>
    <row r="1">
      <c r="A1" s="1" t="inlineStr">
        <is>
          <t>步驟 4　烘箱法 vs 紅外線水分計：成對比較（paired t-test）</t>
        </is>
      </c>
    </row>
    <row r="2" ht="32" customHeight="1">
      <c r="A2" s="18" t="inlineStr">
        <is>
          <t>同一位同學、同一份樣品，用兩種方法各測一次，所以數據是「一對一對」的。把每一對相減得到「差」，再檢定這些差的平均是不是 0。烘箱法是參考法，差的平均＝紅外線水分計的偏差 (bias)。</t>
        </is>
      </c>
    </row>
    <row r="3">
      <c r="M3" s="2" t="inlineStr">
        <is>
          <t>圖用輔助數據（自動計算）</t>
        </is>
      </c>
    </row>
    <row r="4" ht="32" customHeight="1">
      <c r="A4" s="9" t="inlineStr">
        <is>
          <t>組別</t>
        </is>
      </c>
      <c r="B4" s="9" t="inlineStr">
        <is>
          <t>學生</t>
        </is>
      </c>
      <c r="C4" s="9" t="inlineStr">
        <is>
          <t>樣品</t>
        </is>
      </c>
      <c r="D4" s="9" t="inlineStr">
        <is>
          <t>烘箱濕基 (%)</t>
        </is>
      </c>
      <c r="E4" s="9" t="inlineStr">
        <is>
          <t>紅外線 IR (%)</t>
        </is>
      </c>
      <c r="F4" s="9" t="inlineStr">
        <is>
          <t>差 IR − 烘箱</t>
        </is>
      </c>
      <c r="G4" s="9" t="inlineStr">
        <is>
          <t>兩法平均 (%)</t>
        </is>
      </c>
      <c r="I4" s="9" t="inlineStr">
        <is>
          <t>項目</t>
        </is>
      </c>
      <c r="J4" s="9" t="inlineStr">
        <is>
          <t>數值</t>
        </is>
      </c>
      <c r="K4" s="9" t="inlineStr">
        <is>
          <t>公式說明</t>
        </is>
      </c>
      <c r="M4" s="9" t="inlineStr">
        <is>
          <t>x</t>
        </is>
      </c>
      <c r="N4" s="9" t="inlineStr">
        <is>
          <t>bias 線</t>
        </is>
      </c>
      <c r="O4" s="9" t="inlineStr">
        <is>
          <t>0 線</t>
        </is>
      </c>
    </row>
    <row r="5" ht="15" customHeight="1">
      <c r="A5" s="30">
        <f>'3_烘箱法恆重'!A5</f>
        <v/>
      </c>
      <c r="B5" s="13">
        <f>'3_烘箱法恆重'!B5</f>
        <v/>
      </c>
      <c r="C5" s="13">
        <f>'3_烘箱法恆重'!C5</f>
        <v/>
      </c>
      <c r="D5" s="16">
        <f>'3_烘箱法恆重'!Q5</f>
        <v/>
      </c>
      <c r="E5" s="16">
        <f>IF(COUNTIFS('1_原始數據'!$B$2:$B$1000,B5,'1_原始數據'!$I$2:$I$1000,C5,'1_原始數據'!$C$2:$C$1000,"ir_moisture_pct")=0,"",SUMIFS('1_原始數據'!$E$2:$E$1000,'1_原始數據'!$B$2:$B$1000,B5,'1_原始數據'!$I$2:$I$1000,C5,'1_原始數據'!$C$2:$C$1000,"ir_moisture_pct"))</f>
        <v/>
      </c>
      <c r="F5" s="33">
        <f>E5-D5</f>
        <v/>
      </c>
      <c r="G5" s="16">
        <f>(D5+E5)/2</f>
        <v/>
      </c>
      <c r="I5" s="21" t="inlineStr">
        <is>
          <t>成對數 n</t>
        </is>
      </c>
      <c r="J5" s="30">
        <f>COUNT(F5:F19)</f>
        <v/>
      </c>
      <c r="K5" s="18" t="inlineStr">
        <is>
          <t>COUNT 數有幾個數字（幾對）</t>
        </is>
      </c>
      <c r="M5" s="49">
        <f>0</f>
        <v/>
      </c>
      <c r="N5" s="45">
        <f>$J$6</f>
        <v/>
      </c>
      <c r="O5" s="30">
        <f>0</f>
        <v/>
      </c>
    </row>
    <row r="6" ht="15" customHeight="1">
      <c r="A6" s="30">
        <f>'3_烘箱法恆重'!A6</f>
        <v/>
      </c>
      <c r="B6" s="13">
        <f>'3_烘箱法恆重'!B6</f>
        <v/>
      </c>
      <c r="C6" s="13">
        <f>'3_烘箱法恆重'!C6</f>
        <v/>
      </c>
      <c r="D6" s="16">
        <f>'3_烘箱法恆重'!Q6</f>
        <v/>
      </c>
      <c r="E6" s="16">
        <f>IF(COUNTIFS('1_原始數據'!$B$2:$B$1000,B6,'1_原始數據'!$I$2:$I$1000,C6,'1_原始數據'!$C$2:$C$1000,"ir_moisture_pct")=0,"",SUMIFS('1_原始數據'!$E$2:$E$1000,'1_原始數據'!$B$2:$B$1000,B6,'1_原始數據'!$I$2:$I$1000,C6,'1_原始數據'!$C$2:$C$1000,"ir_moisture_pct"))</f>
        <v/>
      </c>
      <c r="F6" s="33">
        <f>E6-D6</f>
        <v/>
      </c>
      <c r="G6" s="16">
        <f>(D6+E6)/2</f>
        <v/>
      </c>
      <c r="I6" s="21" t="inlineStr">
        <is>
          <t>平均差 d̄ = bias (%)</t>
        </is>
      </c>
      <c r="J6" s="34">
        <f>AVERAGE(F5:F19)</f>
        <v/>
      </c>
      <c r="K6" s="18" t="inlineStr">
        <is>
          <t>負值＝紅外線比烘箱法低。這就是紅外線水分計的偏差</t>
        </is>
      </c>
      <c r="M6" s="49">
        <f>MAX(G5:G19)*1.05</f>
        <v/>
      </c>
      <c r="N6" s="45">
        <f>$J$6</f>
        <v/>
      </c>
      <c r="O6" s="30">
        <f>0</f>
        <v/>
      </c>
    </row>
    <row r="7" ht="30" customHeight="1">
      <c r="A7" s="30">
        <f>'3_烘箱法恆重'!A7</f>
        <v/>
      </c>
      <c r="B7" s="13">
        <f>'3_烘箱法恆重'!B7</f>
        <v/>
      </c>
      <c r="C7" s="13">
        <f>'3_烘箱法恆重'!C7</f>
        <v/>
      </c>
      <c r="D7" s="16">
        <f>'3_烘箱法恆重'!Q7</f>
        <v/>
      </c>
      <c r="E7" s="16">
        <f>IF(COUNTIFS('1_原始數據'!$B$2:$B$1000,B7,'1_原始數據'!$I$2:$I$1000,C7,'1_原始數據'!$C$2:$C$1000,"ir_moisture_pct")=0,"",SUMIFS('1_原始數據'!$E$2:$E$1000,'1_原始數據'!$B$2:$B$1000,B7,'1_原始數據'!$I$2:$I$1000,C7,'1_原始數據'!$C$2:$C$1000,"ir_moisture_pct"))</f>
        <v/>
      </c>
      <c r="F7" s="33">
        <f>E7-D7</f>
        <v/>
      </c>
      <c r="G7" s="16">
        <f>(D7+E7)/2</f>
        <v/>
      </c>
      <c r="I7" s="21" t="inlineStr">
        <is>
          <t>差的 SD s_d (%)</t>
        </is>
      </c>
      <c r="J7" s="45">
        <f>_xlfn.STDEV.S(F5:F19)</f>
        <v/>
      </c>
      <c r="K7" s="18" t="inlineStr">
        <is>
          <t>STDEV.S：樣本標準差。成對比較只看「差」的變異，同一份樣品本身水分高低的差異被抵消掉了</t>
        </is>
      </c>
    </row>
    <row r="8" ht="15" customHeight="1">
      <c r="A8" s="30">
        <f>'3_烘箱法恆重'!A8</f>
        <v/>
      </c>
      <c r="B8" s="13">
        <f>'3_烘箱法恆重'!B8</f>
        <v/>
      </c>
      <c r="C8" s="13">
        <f>'3_烘箱法恆重'!C8</f>
        <v/>
      </c>
      <c r="D8" s="16">
        <f>'3_烘箱法恆重'!Q8</f>
        <v/>
      </c>
      <c r="E8" s="16">
        <f>IF(COUNTIFS('1_原始數據'!$B$2:$B$1000,B8,'1_原始數據'!$I$2:$I$1000,C8,'1_原始數據'!$C$2:$C$1000,"ir_moisture_pct")=0,"",SUMIFS('1_原始數據'!$E$2:$E$1000,'1_原始數據'!$B$2:$B$1000,B8,'1_原始數據'!$I$2:$I$1000,C8,'1_原始數據'!$C$2:$C$1000,"ir_moisture_pct"))</f>
        <v/>
      </c>
      <c r="F8" s="33">
        <f>E8-D8</f>
        <v/>
      </c>
      <c r="G8" s="16">
        <f>(D8+E8)/2</f>
        <v/>
      </c>
      <c r="I8" s="21" t="inlineStr">
        <is>
          <t>平均差的標準誤 SE (%)</t>
        </is>
      </c>
      <c r="J8" s="43">
        <f>J7/SQRT(J5)</f>
        <v/>
      </c>
      <c r="K8" s="18" t="inlineStr">
        <is>
          <t>= s_d ÷ √n</t>
        </is>
      </c>
    </row>
    <row r="9" ht="15" customHeight="1">
      <c r="A9" s="30">
        <f>'3_烘箱法恆重'!A9</f>
        <v/>
      </c>
      <c r="B9" s="13">
        <f>'3_烘箱法恆重'!B9</f>
        <v/>
      </c>
      <c r="C9" s="13">
        <f>'3_烘箱法恆重'!C9</f>
        <v/>
      </c>
      <c r="D9" s="16">
        <f>'3_烘箱法恆重'!Q9</f>
        <v/>
      </c>
      <c r="E9" s="16">
        <f>IF(COUNTIFS('1_原始數據'!$B$2:$B$1000,B9,'1_原始數據'!$I$2:$I$1000,C9,'1_原始數據'!$C$2:$C$1000,"ir_moisture_pct")=0,"",SUMIFS('1_原始數據'!$E$2:$E$1000,'1_原始數據'!$B$2:$B$1000,B9,'1_原始數據'!$I$2:$I$1000,C9,'1_原始數據'!$C$2:$C$1000,"ir_moisture_pct"))</f>
        <v/>
      </c>
      <c r="F9" s="33">
        <f>E9-D9</f>
        <v/>
      </c>
      <c r="G9" s="16">
        <f>(D9+E9)/2</f>
        <v/>
      </c>
      <c r="I9" s="21" t="inlineStr">
        <is>
          <t>t 值</t>
        </is>
      </c>
      <c r="J9" s="51">
        <f>J6/J8</f>
        <v/>
      </c>
      <c r="K9" s="18" t="inlineStr">
        <is>
          <t>= d̄ ÷ SE。|t| 越大，越不像「只是隨機誤差」</t>
        </is>
      </c>
    </row>
    <row r="10" ht="15" customHeight="1">
      <c r="A10" s="30">
        <f>'3_烘箱法恆重'!A10</f>
        <v/>
      </c>
      <c r="B10" s="13">
        <f>'3_烘箱法恆重'!B10</f>
        <v/>
      </c>
      <c r="C10" s="13">
        <f>'3_烘箱法恆重'!C10</f>
        <v/>
      </c>
      <c r="D10" s="16">
        <f>'3_烘箱法恆重'!Q10</f>
        <v/>
      </c>
      <c r="E10" s="16">
        <f>IF(COUNTIFS('1_原始數據'!$B$2:$B$1000,B10,'1_原始數據'!$I$2:$I$1000,C10,'1_原始數據'!$C$2:$C$1000,"ir_moisture_pct")=0,"",SUMIFS('1_原始數據'!$E$2:$E$1000,'1_原始數據'!$B$2:$B$1000,B10,'1_原始數據'!$I$2:$I$1000,C10,'1_原始數據'!$C$2:$C$1000,"ir_moisture_pct"))</f>
        <v/>
      </c>
      <c r="F10" s="33">
        <f>E10-D10</f>
        <v/>
      </c>
      <c r="G10" s="16">
        <f>(D10+E10)/2</f>
        <v/>
      </c>
      <c r="I10" s="21" t="inlineStr">
        <is>
          <t>自由度 df</t>
        </is>
      </c>
      <c r="J10" s="30">
        <f>J5-1</f>
        <v/>
      </c>
      <c r="K10" s="18" t="inlineStr">
        <is>
          <t>= n − 1</t>
        </is>
      </c>
    </row>
    <row r="11" ht="30" customHeight="1">
      <c r="A11" s="30">
        <f>'3_烘箱法恆重'!A11</f>
        <v/>
      </c>
      <c r="B11" s="13">
        <f>'3_烘箱法恆重'!B11</f>
        <v/>
      </c>
      <c r="C11" s="13">
        <f>'3_烘箱法恆重'!C11</f>
        <v/>
      </c>
      <c r="D11" s="16">
        <f>'3_烘箱法恆重'!Q11</f>
        <v/>
      </c>
      <c r="E11" s="16">
        <f>IF(COUNTIFS('1_原始數據'!$B$2:$B$1000,B11,'1_原始數據'!$I$2:$I$1000,C11,'1_原始數據'!$C$2:$C$1000,"ir_moisture_pct")=0,"",SUMIFS('1_原始數據'!$E$2:$E$1000,'1_原始數據'!$B$2:$B$1000,B11,'1_原始數據'!$I$2:$I$1000,C11,'1_原始數據'!$C$2:$C$1000,"ir_moisture_pct"))</f>
        <v/>
      </c>
      <c r="F11" s="33">
        <f>E11-D11</f>
        <v/>
      </c>
      <c r="G11" s="16">
        <f>(D11+E11)/2</f>
        <v/>
      </c>
      <c r="I11" s="21" t="inlineStr">
        <is>
          <t>p 值（雙尾）</t>
        </is>
      </c>
      <c r="J11" s="36">
        <f>_xlfn.T.DIST.2T(ABS(J9),J10)</f>
        <v/>
      </c>
      <c r="K11" s="18" t="inlineStr">
        <is>
          <t>T.DIST.2T(|t|, df)：若兩法其實沒差，碰巧得到這麼大 |t| 的機率。舊版 Excel 可用 TDIST(|t|, df, 2)</t>
        </is>
      </c>
    </row>
    <row r="12" ht="15" customHeight="1">
      <c r="A12" s="30">
        <f>'3_烘箱法恆重'!A12</f>
        <v/>
      </c>
      <c r="B12" s="13">
        <f>'3_烘箱法恆重'!B12</f>
        <v/>
      </c>
      <c r="C12" s="13">
        <f>'3_烘箱法恆重'!C12</f>
        <v/>
      </c>
      <c r="D12" s="16">
        <f>'3_烘箱法恆重'!Q12</f>
        <v/>
      </c>
      <c r="E12" s="16">
        <f>IF(COUNTIFS('1_原始數據'!$B$2:$B$1000,B12,'1_原始數據'!$I$2:$I$1000,C12,'1_原始數據'!$C$2:$C$1000,"ir_moisture_pct")=0,"",SUMIFS('1_原始數據'!$E$2:$E$1000,'1_原始數據'!$B$2:$B$1000,B12,'1_原始數據'!$I$2:$I$1000,C12,'1_原始數據'!$C$2:$C$1000,"ir_moisture_pct"))</f>
        <v/>
      </c>
      <c r="F12" s="33">
        <f>E12-D12</f>
        <v/>
      </c>
      <c r="G12" s="16">
        <f>(D12+E12)/2</f>
        <v/>
      </c>
      <c r="I12" s="21" t="inlineStr">
        <is>
          <t>驗算：T.TEST 成對 p 值</t>
        </is>
      </c>
      <c r="J12" s="37">
        <f>_xlfn.T.TEST(E5:E19,D5:D19,2,1)</f>
        <v/>
      </c>
      <c r="K12" s="18" t="inlineStr">
        <is>
          <t>T.TEST(陣列1, 陣列2, 2=雙尾, 1=成對)：一步算出 p 值，應與上一格相同</t>
        </is>
      </c>
    </row>
    <row r="13" ht="15" customHeight="1">
      <c r="A13" s="30">
        <f>'3_烘箱法恆重'!A13</f>
        <v/>
      </c>
      <c r="B13" s="13">
        <f>'3_烘箱法恆重'!B13</f>
        <v/>
      </c>
      <c r="C13" s="13">
        <f>'3_烘箱法恆重'!C13</f>
        <v/>
      </c>
      <c r="D13" s="16">
        <f>'3_烘箱法恆重'!Q13</f>
        <v/>
      </c>
      <c r="E13" s="16">
        <f>IF(COUNTIFS('1_原始數據'!$B$2:$B$1000,B13,'1_原始數據'!$I$2:$I$1000,C13,'1_原始數據'!$C$2:$C$1000,"ir_moisture_pct")=0,"",SUMIFS('1_原始數據'!$E$2:$E$1000,'1_原始數據'!$B$2:$B$1000,B13,'1_原始數據'!$I$2:$I$1000,C13,'1_原始數據'!$C$2:$C$1000,"ir_moisture_pct"))</f>
        <v/>
      </c>
      <c r="F13" s="33">
        <f>E13-D13</f>
        <v/>
      </c>
      <c r="G13" s="16">
        <f>(D13+E13)/2</f>
        <v/>
      </c>
      <c r="I13" s="21" t="inlineStr">
        <is>
          <t>t 臨界值（95%）</t>
        </is>
      </c>
      <c r="J13" s="45">
        <f>_xlfn.T.INV.2T(0.05,J10)</f>
        <v/>
      </c>
      <c r="K13" s="18" t="inlineStr">
        <is>
          <t>T.INV.2T(0.05, df)</t>
        </is>
      </c>
    </row>
    <row r="14" ht="15" customHeight="1">
      <c r="A14" s="30">
        <f>'3_烘箱法恆重'!A14</f>
        <v/>
      </c>
      <c r="B14" s="13">
        <f>'3_烘箱法恆重'!B14</f>
        <v/>
      </c>
      <c r="C14" s="13">
        <f>'3_烘箱法恆重'!C14</f>
        <v/>
      </c>
      <c r="D14" s="16">
        <f>'3_烘箱法恆重'!Q14</f>
        <v/>
      </c>
      <c r="E14" s="16">
        <f>IF(COUNTIFS('1_原始數據'!$B$2:$B$1000,B14,'1_原始數據'!$I$2:$I$1000,C14,'1_原始數據'!$C$2:$C$1000,"ir_moisture_pct")=0,"",SUMIFS('1_原始數據'!$E$2:$E$1000,'1_原始數據'!$B$2:$B$1000,B14,'1_原始數據'!$I$2:$I$1000,C14,'1_原始數據'!$C$2:$C$1000,"ir_moisture_pct"))</f>
        <v/>
      </c>
      <c r="F14" s="33">
        <f>E14-D14</f>
        <v/>
      </c>
      <c r="G14" s="16">
        <f>(D14+E14)/2</f>
        <v/>
      </c>
      <c r="I14" s="21" t="inlineStr">
        <is>
          <t>bias 的 95% CI 下限 (%)</t>
        </is>
      </c>
      <c r="J14" s="38">
        <f>J6-J13*J8</f>
        <v/>
      </c>
      <c r="K14" s="18" t="inlineStr">
        <is>
          <t>= d̄ − t臨界 × SE</t>
        </is>
      </c>
    </row>
    <row r="15" ht="15" customHeight="1">
      <c r="A15" s="30">
        <f>'3_烘箱法恆重'!A15</f>
        <v/>
      </c>
      <c r="B15" s="13">
        <f>'3_烘箱法恆重'!B15</f>
        <v/>
      </c>
      <c r="C15" s="13">
        <f>'3_烘箱法恆重'!C15</f>
        <v/>
      </c>
      <c r="D15" s="16">
        <f>'3_烘箱法恆重'!Q15</f>
        <v/>
      </c>
      <c r="E15" s="16">
        <f>IF(COUNTIFS('1_原始數據'!$B$2:$B$1000,B15,'1_原始數據'!$I$2:$I$1000,C15,'1_原始數據'!$C$2:$C$1000,"ir_moisture_pct")=0,"",SUMIFS('1_原始數據'!$E$2:$E$1000,'1_原始數據'!$B$2:$B$1000,B15,'1_原始數據'!$I$2:$I$1000,C15,'1_原始數據'!$C$2:$C$1000,"ir_moisture_pct"))</f>
        <v/>
      </c>
      <c r="F15" s="33">
        <f>E15-D15</f>
        <v/>
      </c>
      <c r="G15" s="16">
        <f>(D15+E15)/2</f>
        <v/>
      </c>
      <c r="I15" s="21" t="inlineStr">
        <is>
          <t>bias 的 95% CI 上限 (%)</t>
        </is>
      </c>
      <c r="J15" s="38">
        <f>J6+J13*J8</f>
        <v/>
      </c>
      <c r="K15" s="18" t="inlineStr">
        <is>
          <t>= d̄ + t臨界 × SE。CI 不含 0 ＝ 顯著</t>
        </is>
      </c>
    </row>
    <row r="16" ht="15" customHeight="1">
      <c r="A16" s="30">
        <f>'3_烘箱法恆重'!A16</f>
        <v/>
      </c>
      <c r="B16" s="13">
        <f>'3_烘箱法恆重'!B16</f>
        <v/>
      </c>
      <c r="C16" s="13">
        <f>'3_烘箱法恆重'!C16</f>
        <v/>
      </c>
      <c r="D16" s="16">
        <f>'3_烘箱法恆重'!Q16</f>
        <v/>
      </c>
      <c r="E16" s="16">
        <f>IF(COUNTIFS('1_原始數據'!$B$2:$B$1000,B16,'1_原始數據'!$I$2:$I$1000,C16,'1_原始數據'!$C$2:$C$1000,"ir_moisture_pct")=0,"",SUMIFS('1_原始數據'!$E$2:$E$1000,'1_原始數據'!$B$2:$B$1000,B16,'1_原始數據'!$I$2:$I$1000,C16,'1_原始數據'!$C$2:$C$1000,"ir_moisture_pct"))</f>
        <v/>
      </c>
      <c r="F16" s="33">
        <f>E16-D16</f>
        <v/>
      </c>
      <c r="G16" s="16">
        <f>(D16+E16)/2</f>
        <v/>
      </c>
      <c r="I16" s="21" t="inlineStr">
        <is>
          <t>結論（α = 0.05）</t>
        </is>
      </c>
      <c r="J16" s="26">
        <f>IF(J11&lt;0.05,"p &lt; 0.05：兩法有顯著的系統性差異 (bias)","p ≥ 0.05：沒有足夠證據說兩法有系統性差異")</f>
        <v/>
      </c>
      <c r="K16" s="27" t="n"/>
    </row>
    <row r="17">
      <c r="A17" s="30">
        <f>'3_烘箱法恆重'!A17</f>
        <v/>
      </c>
      <c r="B17" s="13">
        <f>'3_烘箱法恆重'!B17</f>
        <v/>
      </c>
      <c r="C17" s="13">
        <f>'3_烘箱法恆重'!C17</f>
        <v/>
      </c>
      <c r="D17" s="16">
        <f>'3_烘箱法恆重'!Q17</f>
        <v/>
      </c>
      <c r="E17" s="16">
        <f>IF(COUNTIFS('1_原始數據'!$B$2:$B$1000,B17,'1_原始數據'!$I$2:$I$1000,C17,'1_原始數據'!$C$2:$C$1000,"ir_moisture_pct")=0,"",SUMIFS('1_原始數據'!$E$2:$E$1000,'1_原始數據'!$B$2:$B$1000,B17,'1_原始數據'!$I$2:$I$1000,C17,'1_原始數據'!$C$2:$C$1000,"ir_moisture_pct"))</f>
        <v/>
      </c>
      <c r="F17" s="33">
        <f>E17-D17</f>
        <v/>
      </c>
      <c r="G17" s="16">
        <f>(D17+E17)/2</f>
        <v/>
      </c>
    </row>
    <row r="18">
      <c r="A18" s="30">
        <f>'3_烘箱法恆重'!A18</f>
        <v/>
      </c>
      <c r="B18" s="13">
        <f>'3_烘箱法恆重'!B18</f>
        <v/>
      </c>
      <c r="C18" s="13">
        <f>'3_烘箱法恆重'!C18</f>
        <v/>
      </c>
      <c r="D18" s="16">
        <f>'3_烘箱法恆重'!Q18</f>
        <v/>
      </c>
      <c r="E18" s="16">
        <f>IF(COUNTIFS('1_原始數據'!$B$2:$B$1000,B18,'1_原始數據'!$I$2:$I$1000,C18,'1_原始數據'!$C$2:$C$1000,"ir_moisture_pct")=0,"",SUMIFS('1_原始數據'!$E$2:$E$1000,'1_原始數據'!$B$2:$B$1000,B18,'1_原始數據'!$I$2:$I$1000,C18,'1_原始數據'!$C$2:$C$1000,"ir_moisture_pct"))</f>
        <v/>
      </c>
      <c r="F18" s="33">
        <f>E18-D18</f>
        <v/>
      </c>
      <c r="G18" s="16">
        <f>(D18+E18)/2</f>
        <v/>
      </c>
    </row>
    <row r="19">
      <c r="A19" s="30">
        <f>'3_烘箱法恆重'!A19</f>
        <v/>
      </c>
      <c r="B19" s="13">
        <f>'3_烘箱法恆重'!B19</f>
        <v/>
      </c>
      <c r="C19" s="13">
        <f>'3_烘箱法恆重'!C19</f>
        <v/>
      </c>
      <c r="D19" s="16">
        <f>'3_烘箱法恆重'!Q19</f>
        <v/>
      </c>
      <c r="E19" s="16">
        <f>IF(COUNTIFS('1_原始數據'!$B$2:$B$1000,B19,'1_原始數據'!$I$2:$I$1000,C19,'1_原始數據'!$C$2:$C$1000,"ir_moisture_pct")=0,"",SUMIFS('1_原始數據'!$E$2:$E$1000,'1_原始數據'!$B$2:$B$1000,B19,'1_原始數據'!$I$2:$I$1000,C19,'1_原始數據'!$C$2:$C$1000,"ir_moisture_pct"))</f>
        <v/>
      </c>
      <c r="F19" s="33">
        <f>E19-D19</f>
        <v/>
      </c>
      <c r="G19" s="16">
        <f>(D19+E19)/2</f>
        <v/>
      </c>
    </row>
    <row r="20" ht="30" customHeight="1">
      <c r="A20" s="18" t="inlineStr">
        <is>
          <t>A–D 欄直接連到「3_烘箱法恆重」同一列；E 欄用 SUMIFS 抓同一位同學、同一樣品的 ir_moisture_pct。</t>
        </is>
      </c>
    </row>
    <row r="21" ht="32" customHeight="1">
      <c r="I21" s="18" t="inlineStr">
        <is>
          <t>另一種做法：資料 → 資料分析 → 「t 檢定：成對母體平均數差異檢定」，變數 1 選 E5:E19、變數 2 選 D5:D19，結果的 t 統計與「P(T&lt;=t) 雙尾」應與上表一致。（要先在 檔案 → 選項 → 增益集 啟用「分析工具箱」。）</t>
        </is>
      </c>
    </row>
    <row r="23" ht="32" customHeight="1">
      <c r="I23" s="18" t="inlineStr">
        <is>
          <t>注意：這只是初步線索。完整的方法比較（Bland–Altman 一致性界限、F 檢定）在 W4／NB04 才會做。本週樣品水分從 1% 到 35%，如果偏差會隨水分變大（比例偏差），只用一個平均 bias 描述就不夠。</t>
        </is>
      </c>
    </row>
    <row r="41" ht="32" customHeight="1">
      <c r="A41" s="18" t="inlineStr">
        <is>
          <t>看圖：每個點是一位同學。點都在灰色虛線 0 的下方＝紅外線幾乎每次都比烘箱法低；紅線＝平均偏差。如果點的上下散布隨 x 變大而變寬，就是比例偏差的線索。</t>
        </is>
      </c>
    </row>
  </sheetData>
  <mergeCells count="6">
    <mergeCell ref="J16:K16"/>
    <mergeCell ref="I23:K23"/>
    <mergeCell ref="A41:K41"/>
    <mergeCell ref="A2:K2"/>
    <mergeCell ref="A20:G20"/>
    <mergeCell ref="I21:K21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M4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3" customWidth="1" min="5" max="5"/>
    <col width="26" customWidth="1" min="6" max="6"/>
    <col width="12" customWidth="1" min="7" max="7"/>
    <col width="11" customWidth="1" min="8" max="8"/>
    <col width="10" customWidth="1" min="9" max="9"/>
    <col width="34" customWidth="1" min="10" max="10"/>
    <col width="3" customWidth="1" min="11" max="11"/>
    <col width="22" customWidth="1" min="12" max="12"/>
    <col width="10" customWidth="1" min="13" max="13"/>
  </cols>
  <sheetData>
    <row r="1">
      <c r="A1" s="1" t="inlineStr">
        <is>
          <t>步驟 5　水活性 aw vs 水分含量：同水分％不代表同 aw</t>
        </is>
      </c>
    </row>
    <row r="2" ht="32" customHeight="1">
      <c r="A2" s="18" t="inlineStr">
        <is>
          <t>全班 5 組 × 6 種食品，各量一次快速水分 (%) 與水活性 aw。C、D 欄用 SUMIFS 依「組別＋樣品＋項目」抓值。牛肉乾與龍眼乾水分都約 20%，但 aw 差很多——水的「量」相同，不代表水的「有效性」相同。</t>
        </is>
      </c>
    </row>
    <row r="3">
      <c r="F3" s="3" t="inlineStr">
        <is>
          <t>微生物生長的最低 aw（教材值，可改）</t>
        </is>
      </c>
      <c r="L3" s="2" t="inlineStr">
        <is>
          <t>圖用輔助數據（下限線，自動計算）</t>
        </is>
      </c>
    </row>
    <row r="4">
      <c r="A4" s="9" t="inlineStr">
        <is>
          <t>組別</t>
        </is>
      </c>
      <c r="B4" s="9" t="inlineStr">
        <is>
          <t>樣品</t>
        </is>
      </c>
      <c r="C4" s="9" t="inlineStr">
        <is>
          <t>水分 (%)</t>
        </is>
      </c>
      <c r="D4" s="9" t="inlineStr">
        <is>
          <t>aw</t>
        </is>
      </c>
      <c r="F4" s="9" t="inlineStr">
        <is>
          <t>微生物</t>
        </is>
      </c>
      <c r="G4" s="9" t="inlineStr">
        <is>
          <t>最低 aw</t>
        </is>
      </c>
      <c r="L4" s="9" t="inlineStr">
        <is>
          <t>x</t>
        </is>
      </c>
      <c r="M4" s="9" t="inlineStr">
        <is>
          <t>y</t>
        </is>
      </c>
    </row>
    <row r="5">
      <c r="A5" s="5" t="n">
        <v>1</v>
      </c>
      <c r="B5" s="5" t="inlineStr">
        <is>
          <t>beef_jerky</t>
        </is>
      </c>
      <c r="C5" s="16">
        <f>IF(COUNTIFS('1_原始數據'!$A$2:$A$1000,$A5,'1_原始數據'!$I$2:$I$1000,$B5,'1_原始數據'!$C$2:$C$1000,"moisture_pct_survey")=0,"",SUMIFS('1_原始數據'!$E$2:$E$1000,'1_原始數據'!$A$2:$A$1000,$A5,'1_原始數據'!$I$2:$I$1000,$B5,'1_原始數據'!$C$2:$C$1000,"moisture_pct_survey"))</f>
        <v/>
      </c>
      <c r="D5" s="45">
        <f>IF(COUNTIFS('1_原始數據'!$A$2:$A$1000,$A5,'1_原始數據'!$I$2:$I$1000,$B5,'1_原始數據'!$C$2:$C$1000,"aw_reading")=0,"",SUMIFS('1_原始數據'!$E$2:$E$1000,'1_原始數據'!$A$2:$A$1000,$A5,'1_原始數據'!$I$2:$I$1000,$B5,'1_原始數據'!$C$2:$C$1000,"aw_reading"))</f>
        <v/>
      </c>
      <c r="F5" s="21" t="inlineStr">
        <is>
          <t>細菌 bacteria</t>
        </is>
      </c>
      <c r="G5" s="39" t="n">
        <v>0.91</v>
      </c>
      <c r="L5" s="30">
        <f>0</f>
        <v/>
      </c>
      <c r="M5" s="16">
        <f>$G$5</f>
        <v/>
      </c>
    </row>
    <row r="6">
      <c r="A6" s="5" t="n">
        <v>2</v>
      </c>
      <c r="B6" s="5" t="inlineStr">
        <is>
          <t>beef_jerky</t>
        </is>
      </c>
      <c r="C6" s="16">
        <f>IF(COUNTIFS('1_原始數據'!$A$2:$A$1000,$A6,'1_原始數據'!$I$2:$I$1000,$B6,'1_原始數據'!$C$2:$C$1000,"moisture_pct_survey")=0,"",SUMIFS('1_原始數據'!$E$2:$E$1000,'1_原始數據'!$A$2:$A$1000,$A6,'1_原始數據'!$I$2:$I$1000,$B6,'1_原始數據'!$C$2:$C$1000,"moisture_pct_survey"))</f>
        <v/>
      </c>
      <c r="D6" s="45">
        <f>IF(COUNTIFS('1_原始數據'!$A$2:$A$1000,$A6,'1_原始數據'!$I$2:$I$1000,$B6,'1_原始數據'!$C$2:$C$1000,"aw_reading")=0,"",SUMIFS('1_原始數據'!$E$2:$E$1000,'1_原始數據'!$A$2:$A$1000,$A6,'1_原始數據'!$I$2:$I$1000,$B6,'1_原始數據'!$C$2:$C$1000,"aw_reading"))</f>
        <v/>
      </c>
      <c r="F6" s="21" t="inlineStr">
        <is>
          <t>酵母菌 yeast</t>
        </is>
      </c>
      <c r="G6" s="39" t="n">
        <v>0.88</v>
      </c>
      <c r="L6" s="49">
        <f>MAX($C$5:$C$34)*1.1</f>
        <v/>
      </c>
      <c r="M6" s="16">
        <f>$G$5</f>
        <v/>
      </c>
    </row>
    <row r="7">
      <c r="A7" s="5" t="n">
        <v>3</v>
      </c>
      <c r="B7" s="5" t="inlineStr">
        <is>
          <t>beef_jerky</t>
        </is>
      </c>
      <c r="C7" s="16">
        <f>IF(COUNTIFS('1_原始數據'!$A$2:$A$1000,$A7,'1_原始數據'!$I$2:$I$1000,$B7,'1_原始數據'!$C$2:$C$1000,"moisture_pct_survey")=0,"",SUMIFS('1_原始數據'!$E$2:$E$1000,'1_原始數據'!$A$2:$A$1000,$A7,'1_原始數據'!$I$2:$I$1000,$B7,'1_原始數據'!$C$2:$C$1000,"moisture_pct_survey"))</f>
        <v/>
      </c>
      <c r="D7" s="45">
        <f>IF(COUNTIFS('1_原始數據'!$A$2:$A$1000,$A7,'1_原始數據'!$I$2:$I$1000,$B7,'1_原始數據'!$C$2:$C$1000,"aw_reading")=0,"",SUMIFS('1_原始數據'!$E$2:$E$1000,'1_原始數據'!$A$2:$A$1000,$A7,'1_原始數據'!$I$2:$I$1000,$B7,'1_原始數據'!$C$2:$C$1000,"aw_reading"))</f>
        <v/>
      </c>
      <c r="F7" s="21" t="inlineStr">
        <is>
          <t>黴菌 mold</t>
        </is>
      </c>
      <c r="G7" s="39" t="n">
        <v>0.8</v>
      </c>
      <c r="L7" s="30">
        <f>0</f>
        <v/>
      </c>
      <c r="M7" s="16">
        <f>$G$6</f>
        <v/>
      </c>
    </row>
    <row r="8">
      <c r="A8" s="5" t="n">
        <v>4</v>
      </c>
      <c r="B8" s="5" t="inlineStr">
        <is>
          <t>beef_jerky</t>
        </is>
      </c>
      <c r="C8" s="16">
        <f>IF(COUNTIFS('1_原始數據'!$A$2:$A$1000,$A8,'1_原始數據'!$I$2:$I$1000,$B8,'1_原始數據'!$C$2:$C$1000,"moisture_pct_survey")=0,"",SUMIFS('1_原始數據'!$E$2:$E$1000,'1_原始數據'!$A$2:$A$1000,$A8,'1_原始數據'!$I$2:$I$1000,$B8,'1_原始數據'!$C$2:$C$1000,"moisture_pct_survey"))</f>
        <v/>
      </c>
      <c r="D8" s="45">
        <f>IF(COUNTIFS('1_原始數據'!$A$2:$A$1000,$A8,'1_原始數據'!$I$2:$I$1000,$B8,'1_原始數據'!$C$2:$C$1000,"aw_reading")=0,"",SUMIFS('1_原始數據'!$E$2:$E$1000,'1_原始數據'!$A$2:$A$1000,$A8,'1_原始數據'!$I$2:$I$1000,$B8,'1_原始數據'!$C$2:$C$1000,"aw_reading"))</f>
        <v/>
      </c>
      <c r="F8" s="21" t="inlineStr">
        <is>
          <t>嗜旱性黴菌 xerophilic mold</t>
        </is>
      </c>
      <c r="G8" s="39" t="n">
        <v>0.61</v>
      </c>
      <c r="L8" s="49">
        <f>MAX($C$5:$C$34)*1.1</f>
        <v/>
      </c>
      <c r="M8" s="16">
        <f>$G$6</f>
        <v/>
      </c>
    </row>
    <row r="9">
      <c r="A9" s="5" t="n">
        <v>5</v>
      </c>
      <c r="B9" s="5" t="inlineStr">
        <is>
          <t>beef_jerky</t>
        </is>
      </c>
      <c r="C9" s="16">
        <f>IF(COUNTIFS('1_原始數據'!$A$2:$A$1000,$A9,'1_原始數據'!$I$2:$I$1000,$B9,'1_原始數據'!$C$2:$C$1000,"moisture_pct_survey")=0,"",SUMIFS('1_原始數據'!$E$2:$E$1000,'1_原始數據'!$A$2:$A$1000,$A9,'1_原始數據'!$I$2:$I$1000,$B9,'1_原始數據'!$C$2:$C$1000,"moisture_pct_survey"))</f>
        <v/>
      </c>
      <c r="D9" s="45">
        <f>IF(COUNTIFS('1_原始數據'!$A$2:$A$1000,$A9,'1_原始數據'!$I$2:$I$1000,$B9,'1_原始數據'!$C$2:$C$1000,"aw_reading")=0,"",SUMIFS('1_原始數據'!$E$2:$E$1000,'1_原始數據'!$A$2:$A$1000,$A9,'1_原始數據'!$I$2:$I$1000,$B9,'1_原始數據'!$C$2:$C$1000,"aw_reading"))</f>
        <v/>
      </c>
      <c r="L9" s="30">
        <f>0</f>
        <v/>
      </c>
      <c r="M9" s="16">
        <f>$G$7</f>
        <v/>
      </c>
    </row>
    <row r="10">
      <c r="A10" s="5" t="n">
        <v>1</v>
      </c>
      <c r="B10" s="5" t="inlineStr">
        <is>
          <t>dried_longan</t>
        </is>
      </c>
      <c r="C10" s="16">
        <f>IF(COUNTIFS('1_原始數據'!$A$2:$A$1000,$A10,'1_原始數據'!$I$2:$I$1000,$B10,'1_原始數據'!$C$2:$C$1000,"moisture_pct_survey")=0,"",SUMIFS('1_原始數據'!$E$2:$E$1000,'1_原始數據'!$A$2:$A$1000,$A10,'1_原始數據'!$I$2:$I$1000,$B10,'1_原始數據'!$C$2:$C$1000,"moisture_pct_survey"))</f>
        <v/>
      </c>
      <c r="D10" s="45">
        <f>IF(COUNTIFS('1_原始數據'!$A$2:$A$1000,$A10,'1_原始數據'!$I$2:$I$1000,$B10,'1_原始數據'!$C$2:$C$1000,"aw_reading")=0,"",SUMIFS('1_原始數據'!$E$2:$E$1000,'1_原始數據'!$A$2:$A$1000,$A10,'1_原始數據'!$I$2:$I$1000,$B10,'1_原始數據'!$C$2:$C$1000,"aw_reading"))</f>
        <v/>
      </c>
      <c r="L10" s="49">
        <f>MAX($C$5:$C$34)*1.1</f>
        <v/>
      </c>
      <c r="M10" s="16">
        <f>$G$7</f>
        <v/>
      </c>
    </row>
    <row r="11">
      <c r="A11" s="5" t="n">
        <v>2</v>
      </c>
      <c r="B11" s="5" t="inlineStr">
        <is>
          <t>dried_longan</t>
        </is>
      </c>
      <c r="C11" s="16">
        <f>IF(COUNTIFS('1_原始數據'!$A$2:$A$1000,$A11,'1_原始數據'!$I$2:$I$1000,$B11,'1_原始數據'!$C$2:$C$1000,"moisture_pct_survey")=0,"",SUMIFS('1_原始數據'!$E$2:$E$1000,'1_原始數據'!$A$2:$A$1000,$A11,'1_原始數據'!$I$2:$I$1000,$B11,'1_原始數據'!$C$2:$C$1000,"moisture_pct_survey"))</f>
        <v/>
      </c>
      <c r="D11" s="45">
        <f>IF(COUNTIFS('1_原始數據'!$A$2:$A$1000,$A11,'1_原始數據'!$I$2:$I$1000,$B11,'1_原始數據'!$C$2:$C$1000,"aw_reading")=0,"",SUMIFS('1_原始數據'!$E$2:$E$1000,'1_原始數據'!$A$2:$A$1000,$A11,'1_原始數據'!$I$2:$I$1000,$B11,'1_原始數據'!$C$2:$C$1000,"aw_reading"))</f>
        <v/>
      </c>
      <c r="F11" s="3" t="inlineStr">
        <is>
          <t>各食品平均與「可能生長的微生物」</t>
        </is>
      </c>
      <c r="L11" s="30">
        <f>0</f>
        <v/>
      </c>
      <c r="M11" s="16">
        <f>$G$8</f>
        <v/>
      </c>
    </row>
    <row r="12">
      <c r="A12" s="5" t="n">
        <v>3</v>
      </c>
      <c r="B12" s="5" t="inlineStr">
        <is>
          <t>dried_longan</t>
        </is>
      </c>
      <c r="C12" s="16">
        <f>IF(COUNTIFS('1_原始數據'!$A$2:$A$1000,$A12,'1_原始數據'!$I$2:$I$1000,$B12,'1_原始數據'!$C$2:$C$1000,"moisture_pct_survey")=0,"",SUMIFS('1_原始數據'!$E$2:$E$1000,'1_原始數據'!$A$2:$A$1000,$A12,'1_原始數據'!$I$2:$I$1000,$B12,'1_原始數據'!$C$2:$C$1000,"moisture_pct_survey"))</f>
        <v/>
      </c>
      <c r="D12" s="45">
        <f>IF(COUNTIFS('1_原始數據'!$A$2:$A$1000,$A12,'1_原始數據'!$I$2:$I$1000,$B12,'1_原始數據'!$C$2:$C$1000,"aw_reading")=0,"",SUMIFS('1_原始數據'!$E$2:$E$1000,'1_原始數據'!$A$2:$A$1000,$A12,'1_原始數據'!$I$2:$I$1000,$B12,'1_原始數據'!$C$2:$C$1000,"aw_reading"))</f>
        <v/>
      </c>
      <c r="F12" s="9" t="inlineStr">
        <is>
          <t>樣品</t>
        </is>
      </c>
      <c r="G12" s="9" t="inlineStr">
        <is>
          <t>平均水分 (%)</t>
        </is>
      </c>
      <c r="H12" s="9" t="inlineStr">
        <is>
          <t>平均 aw</t>
        </is>
      </c>
      <c r="I12" s="9" t="inlineStr">
        <is>
          <t>aw 的 SD</t>
        </is>
      </c>
      <c r="J12" s="9" t="inlineStr">
        <is>
          <t>aw 高於哪些下限？</t>
        </is>
      </c>
      <c r="L12" s="49">
        <f>MAX($C$5:$C$34)*1.1</f>
        <v/>
      </c>
      <c r="M12" s="16">
        <f>$G$8</f>
        <v/>
      </c>
    </row>
    <row r="13">
      <c r="A13" s="5" t="n">
        <v>4</v>
      </c>
      <c r="B13" s="5" t="inlineStr">
        <is>
          <t>dried_longan</t>
        </is>
      </c>
      <c r="C13" s="16">
        <f>IF(COUNTIFS('1_原始數據'!$A$2:$A$1000,$A13,'1_原始數據'!$I$2:$I$1000,$B13,'1_原始數據'!$C$2:$C$1000,"moisture_pct_survey")=0,"",SUMIFS('1_原始數據'!$E$2:$E$1000,'1_原始數據'!$A$2:$A$1000,$A13,'1_原始數據'!$I$2:$I$1000,$B13,'1_原始數據'!$C$2:$C$1000,"moisture_pct_survey"))</f>
        <v/>
      </c>
      <c r="D13" s="45">
        <f>IF(COUNTIFS('1_原始數據'!$A$2:$A$1000,$A13,'1_原始數據'!$I$2:$I$1000,$B13,'1_原始數據'!$C$2:$C$1000,"aw_reading")=0,"",SUMIFS('1_原始數據'!$E$2:$E$1000,'1_原始數據'!$A$2:$A$1000,$A13,'1_原始數據'!$I$2:$I$1000,$B13,'1_原始數據'!$C$2:$C$1000,"aw_reading"))</f>
        <v/>
      </c>
      <c r="F13" s="5" t="inlineStr">
        <is>
          <t>beef_jerky</t>
        </is>
      </c>
      <c r="G13" s="16">
        <f>AVERAGEIF($B$5:$B$34,F13,$C$5:$C$34)</f>
        <v/>
      </c>
      <c r="H13" s="51">
        <f>AVERAGEIF($B$5:$B$34,F13,$D$5:$D$34)</f>
        <v/>
      </c>
      <c r="I13" s="45">
        <f t="array" ref="I13">_xlfn.STDEV.S(IF($B$5:$B$34=F13,$D$5:$D$34))</f>
        <v/>
      </c>
      <c r="J13" s="26">
        <f>IF(H13&gt;=$G$5,"細菌、酵母、黴菌都可能生長",IF(H13&gt;=$G$6,"酵母、黴菌可能生長",IF(H13&gt;=$G$7,"黴菌可能生長",IF(H13&gt;=$G$8,"只有嗜旱性黴菌可能生長","一般微生物無法生長"))))</f>
        <v/>
      </c>
    </row>
    <row r="14">
      <c r="A14" s="5" t="n">
        <v>5</v>
      </c>
      <c r="B14" s="5" t="inlineStr">
        <is>
          <t>dried_longan</t>
        </is>
      </c>
      <c r="C14" s="16">
        <f>IF(COUNTIFS('1_原始數據'!$A$2:$A$1000,$A14,'1_原始數據'!$I$2:$I$1000,$B14,'1_原始數據'!$C$2:$C$1000,"moisture_pct_survey")=0,"",SUMIFS('1_原始數據'!$E$2:$E$1000,'1_原始數據'!$A$2:$A$1000,$A14,'1_原始數據'!$I$2:$I$1000,$B14,'1_原始數據'!$C$2:$C$1000,"moisture_pct_survey"))</f>
        <v/>
      </c>
      <c r="D14" s="45">
        <f>IF(COUNTIFS('1_原始數據'!$A$2:$A$1000,$A14,'1_原始數據'!$I$2:$I$1000,$B14,'1_原始數據'!$C$2:$C$1000,"aw_reading")=0,"",SUMIFS('1_原始數據'!$E$2:$E$1000,'1_原始數據'!$A$2:$A$1000,$A14,'1_原始數據'!$I$2:$I$1000,$B14,'1_原始數據'!$C$2:$C$1000,"aw_reading"))</f>
        <v/>
      </c>
      <c r="F14" s="5" t="inlineStr">
        <is>
          <t>dried_longan</t>
        </is>
      </c>
      <c r="G14" s="16">
        <f>AVERAGEIF($B$5:$B$34,F14,$C$5:$C$34)</f>
        <v/>
      </c>
      <c r="H14" s="51">
        <f>AVERAGEIF($B$5:$B$34,F14,$D$5:$D$34)</f>
        <v/>
      </c>
      <c r="I14" s="45">
        <f t="array" ref="I14">_xlfn.STDEV.S(IF($B$5:$B$34=F14,$D$5:$D$34))</f>
        <v/>
      </c>
      <c r="J14" s="26">
        <f>IF(H14&gt;=$G$5,"細菌、酵母、黴菌都可能生長",IF(H14&gt;=$G$6,"酵母、黴菌可能生長",IF(H14&gt;=$G$7,"黴菌可能生長",IF(H14&gt;=$G$8,"只有嗜旱性黴菌可能生長","一般微生物無法生長"))))</f>
        <v/>
      </c>
    </row>
    <row r="15">
      <c r="A15" s="5" t="n">
        <v>1</v>
      </c>
      <c r="B15" s="5" t="inlineStr">
        <is>
          <t>white_bread</t>
        </is>
      </c>
      <c r="C15" s="16">
        <f>IF(COUNTIFS('1_原始數據'!$A$2:$A$1000,$A15,'1_原始數據'!$I$2:$I$1000,$B15,'1_原始數據'!$C$2:$C$1000,"moisture_pct_survey")=0,"",SUMIFS('1_原始數據'!$E$2:$E$1000,'1_原始數據'!$A$2:$A$1000,$A15,'1_原始數據'!$I$2:$I$1000,$B15,'1_原始數據'!$C$2:$C$1000,"moisture_pct_survey"))</f>
        <v/>
      </c>
      <c r="D15" s="45">
        <f>IF(COUNTIFS('1_原始數據'!$A$2:$A$1000,$A15,'1_原始數據'!$I$2:$I$1000,$B15,'1_原始數據'!$C$2:$C$1000,"aw_reading")=0,"",SUMIFS('1_原始數據'!$E$2:$E$1000,'1_原始數據'!$A$2:$A$1000,$A15,'1_原始數據'!$I$2:$I$1000,$B15,'1_原始數據'!$C$2:$C$1000,"aw_reading"))</f>
        <v/>
      </c>
      <c r="F15" s="5" t="inlineStr">
        <is>
          <t>white_bread</t>
        </is>
      </c>
      <c r="G15" s="16">
        <f>AVERAGEIF($B$5:$B$34,F15,$C$5:$C$34)</f>
        <v/>
      </c>
      <c r="H15" s="51">
        <f>AVERAGEIF($B$5:$B$34,F15,$D$5:$D$34)</f>
        <v/>
      </c>
      <c r="I15" s="45">
        <f t="array" ref="I15">_xlfn.STDEV.S(IF($B$5:$B$34=F15,$D$5:$D$34))</f>
        <v/>
      </c>
      <c r="J15" s="26">
        <f>IF(H15&gt;=$G$5,"細菌、酵母、黴菌都可能生長",IF(H15&gt;=$G$6,"酵母、黴菌可能生長",IF(H15&gt;=$G$7,"黴菌可能生長",IF(H15&gt;=$G$8,"只有嗜旱性黴菌可能生長","一般微生物無法生長"))))</f>
        <v/>
      </c>
    </row>
    <row r="16">
      <c r="A16" s="5" t="n">
        <v>2</v>
      </c>
      <c r="B16" s="5" t="inlineStr">
        <is>
          <t>white_bread</t>
        </is>
      </c>
      <c r="C16" s="16">
        <f>IF(COUNTIFS('1_原始數據'!$A$2:$A$1000,$A16,'1_原始數據'!$I$2:$I$1000,$B16,'1_原始數據'!$C$2:$C$1000,"moisture_pct_survey")=0,"",SUMIFS('1_原始數據'!$E$2:$E$1000,'1_原始數據'!$A$2:$A$1000,$A16,'1_原始數據'!$I$2:$I$1000,$B16,'1_原始數據'!$C$2:$C$1000,"moisture_pct_survey"))</f>
        <v/>
      </c>
      <c r="D16" s="45">
        <f>IF(COUNTIFS('1_原始數據'!$A$2:$A$1000,$A16,'1_原始數據'!$I$2:$I$1000,$B16,'1_原始數據'!$C$2:$C$1000,"aw_reading")=0,"",SUMIFS('1_原始數據'!$E$2:$E$1000,'1_原始數據'!$A$2:$A$1000,$A16,'1_原始數據'!$I$2:$I$1000,$B16,'1_原始數據'!$C$2:$C$1000,"aw_reading"))</f>
        <v/>
      </c>
      <c r="F16" s="5" t="inlineStr">
        <is>
          <t>potato_chips</t>
        </is>
      </c>
      <c r="G16" s="16">
        <f>AVERAGEIF($B$5:$B$34,F16,$C$5:$C$34)</f>
        <v/>
      </c>
      <c r="H16" s="51">
        <f>AVERAGEIF($B$5:$B$34,F16,$D$5:$D$34)</f>
        <v/>
      </c>
      <c r="I16" s="45">
        <f t="array" ref="I16">_xlfn.STDEV.S(IF($B$5:$B$34=F16,$D$5:$D$34))</f>
        <v/>
      </c>
      <c r="J16" s="26">
        <f>IF(H16&gt;=$G$5,"細菌、酵母、黴菌都可能生長",IF(H16&gt;=$G$6,"酵母、黴菌可能生長",IF(H16&gt;=$G$7,"黴菌可能生長",IF(H16&gt;=$G$8,"只有嗜旱性黴菌可能生長","一般微生物無法生長"))))</f>
        <v/>
      </c>
    </row>
    <row r="17">
      <c r="A17" s="5" t="n">
        <v>3</v>
      </c>
      <c r="B17" s="5" t="inlineStr">
        <is>
          <t>white_bread</t>
        </is>
      </c>
      <c r="C17" s="16">
        <f>IF(COUNTIFS('1_原始數據'!$A$2:$A$1000,$A17,'1_原始數據'!$I$2:$I$1000,$B17,'1_原始數據'!$C$2:$C$1000,"moisture_pct_survey")=0,"",SUMIFS('1_原始數據'!$E$2:$E$1000,'1_原始數據'!$A$2:$A$1000,$A17,'1_原始數據'!$I$2:$I$1000,$B17,'1_原始數據'!$C$2:$C$1000,"moisture_pct_survey"))</f>
        <v/>
      </c>
      <c r="D17" s="45">
        <f>IF(COUNTIFS('1_原始數據'!$A$2:$A$1000,$A17,'1_原始數據'!$I$2:$I$1000,$B17,'1_原始數據'!$C$2:$C$1000,"aw_reading")=0,"",SUMIFS('1_原始數據'!$E$2:$E$1000,'1_原始數據'!$A$2:$A$1000,$A17,'1_原始數據'!$I$2:$I$1000,$B17,'1_原始數據'!$C$2:$C$1000,"aw_reading"))</f>
        <v/>
      </c>
      <c r="F17" s="5" t="inlineStr">
        <is>
          <t>milk_powder</t>
        </is>
      </c>
      <c r="G17" s="16">
        <f>AVERAGEIF($B$5:$B$34,F17,$C$5:$C$34)</f>
        <v/>
      </c>
      <c r="H17" s="51">
        <f>AVERAGEIF($B$5:$B$34,F17,$D$5:$D$34)</f>
        <v/>
      </c>
      <c r="I17" s="45">
        <f t="array" ref="I17">_xlfn.STDEV.S(IF($B$5:$B$34=F17,$D$5:$D$34))</f>
        <v/>
      </c>
      <c r="J17" s="26">
        <f>IF(H17&gt;=$G$5,"細菌、酵母、黴菌都可能生長",IF(H17&gt;=$G$6,"酵母、黴菌可能生長",IF(H17&gt;=$G$7,"黴菌可能生長",IF(H17&gt;=$G$8,"只有嗜旱性黴菌可能生長","一般微生物無法生長"))))</f>
        <v/>
      </c>
    </row>
    <row r="18">
      <c r="A18" s="5" t="n">
        <v>4</v>
      </c>
      <c r="B18" s="5" t="inlineStr">
        <is>
          <t>white_bread</t>
        </is>
      </c>
      <c r="C18" s="16">
        <f>IF(COUNTIFS('1_原始數據'!$A$2:$A$1000,$A18,'1_原始數據'!$I$2:$I$1000,$B18,'1_原始數據'!$C$2:$C$1000,"moisture_pct_survey")=0,"",SUMIFS('1_原始數據'!$E$2:$E$1000,'1_原始數據'!$A$2:$A$1000,$A18,'1_原始數據'!$I$2:$I$1000,$B18,'1_原始數據'!$C$2:$C$1000,"moisture_pct_survey"))</f>
        <v/>
      </c>
      <c r="D18" s="45">
        <f>IF(COUNTIFS('1_原始數據'!$A$2:$A$1000,$A18,'1_原始數據'!$I$2:$I$1000,$B18,'1_原始數據'!$C$2:$C$1000,"aw_reading")=0,"",SUMIFS('1_原始數據'!$E$2:$E$1000,'1_原始數據'!$A$2:$A$1000,$A18,'1_原始數據'!$I$2:$I$1000,$B18,'1_原始數據'!$C$2:$C$1000,"aw_reading"))</f>
        <v/>
      </c>
      <c r="F18" s="5" t="inlineStr">
        <is>
          <t>honey</t>
        </is>
      </c>
      <c r="G18" s="16">
        <f>AVERAGEIF($B$5:$B$34,F18,$C$5:$C$34)</f>
        <v/>
      </c>
      <c r="H18" s="51">
        <f>AVERAGEIF($B$5:$B$34,F18,$D$5:$D$34)</f>
        <v/>
      </c>
      <c r="I18" s="45">
        <f t="array" ref="I18">_xlfn.STDEV.S(IF($B$5:$B$34=F18,$D$5:$D$34))</f>
        <v/>
      </c>
      <c r="J18" s="26">
        <f>IF(H18&gt;=$G$5,"細菌、酵母、黴菌都可能生長",IF(H18&gt;=$G$6,"酵母、黴菌可能生長",IF(H18&gt;=$G$7,"黴菌可能生長",IF(H18&gt;=$G$8,"只有嗜旱性黴菌可能生長","一般微生物無法生長"))))</f>
        <v/>
      </c>
    </row>
    <row r="19">
      <c r="A19" s="5" t="n">
        <v>5</v>
      </c>
      <c r="B19" s="5" t="inlineStr">
        <is>
          <t>white_bread</t>
        </is>
      </c>
      <c r="C19" s="16">
        <f>IF(COUNTIFS('1_原始數據'!$A$2:$A$1000,$A19,'1_原始數據'!$I$2:$I$1000,$B19,'1_原始數據'!$C$2:$C$1000,"moisture_pct_survey")=0,"",SUMIFS('1_原始數據'!$E$2:$E$1000,'1_原始數據'!$A$2:$A$1000,$A19,'1_原始數據'!$I$2:$I$1000,$B19,'1_原始數據'!$C$2:$C$1000,"moisture_pct_survey"))</f>
        <v/>
      </c>
      <c r="D19" s="45">
        <f>IF(COUNTIFS('1_原始數據'!$A$2:$A$1000,$A19,'1_原始數據'!$I$2:$I$1000,$B19,'1_原始數據'!$C$2:$C$1000,"aw_reading")=0,"",SUMIFS('1_原始數據'!$E$2:$E$1000,'1_原始數據'!$A$2:$A$1000,$A19,'1_原始數據'!$I$2:$I$1000,$B19,'1_原始數據'!$C$2:$C$1000,"aw_reading"))</f>
        <v/>
      </c>
      <c r="F19" s="18" t="inlineStr">
        <is>
          <t>AVERAGEIF(樣品欄, 這個樣品, 數值欄)：只對符合的列取平均。巢狀 IF 由高往低比：先看 aw 是否 ≥ 0.91，不是再看 ≥ 0.88 …，第一個成立的就是答案。微生物是否真的會長，還要看 pH、溫度、防腐劑等，這裡只看 aw。</t>
        </is>
      </c>
    </row>
    <row r="20">
      <c r="A20" s="5" t="n">
        <v>1</v>
      </c>
      <c r="B20" s="5" t="inlineStr">
        <is>
          <t>potato_chips</t>
        </is>
      </c>
      <c r="C20" s="16">
        <f>IF(COUNTIFS('1_原始數據'!$A$2:$A$1000,$A20,'1_原始數據'!$I$2:$I$1000,$B20,'1_原始數據'!$C$2:$C$1000,"moisture_pct_survey")=0,"",SUMIFS('1_原始數據'!$E$2:$E$1000,'1_原始數據'!$A$2:$A$1000,$A20,'1_原始數據'!$I$2:$I$1000,$B20,'1_原始數據'!$C$2:$C$1000,"moisture_pct_survey"))</f>
        <v/>
      </c>
      <c r="D20" s="45">
        <f>IF(COUNTIFS('1_原始數據'!$A$2:$A$1000,$A20,'1_原始數據'!$I$2:$I$1000,$B20,'1_原始數據'!$C$2:$C$1000,"aw_reading")=0,"",SUMIFS('1_原始數據'!$E$2:$E$1000,'1_原始數據'!$A$2:$A$1000,$A20,'1_原始數據'!$I$2:$I$1000,$B20,'1_原始數據'!$C$2:$C$1000,"aw_reading"))</f>
        <v/>
      </c>
    </row>
    <row r="21">
      <c r="A21" s="5" t="n">
        <v>2</v>
      </c>
      <c r="B21" s="5" t="inlineStr">
        <is>
          <t>potato_chips</t>
        </is>
      </c>
      <c r="C21" s="16">
        <f>IF(COUNTIFS('1_原始數據'!$A$2:$A$1000,$A21,'1_原始數據'!$I$2:$I$1000,$B21,'1_原始數據'!$C$2:$C$1000,"moisture_pct_survey")=0,"",SUMIFS('1_原始數據'!$E$2:$E$1000,'1_原始數據'!$A$2:$A$1000,$A21,'1_原始數據'!$I$2:$I$1000,$B21,'1_原始數據'!$C$2:$C$1000,"moisture_pct_survey"))</f>
        <v/>
      </c>
      <c r="D21" s="45">
        <f>IF(COUNTIFS('1_原始數據'!$A$2:$A$1000,$A21,'1_原始數據'!$I$2:$I$1000,$B21,'1_原始數據'!$C$2:$C$1000,"aw_reading")=0,"",SUMIFS('1_原始數據'!$E$2:$E$1000,'1_原始數據'!$A$2:$A$1000,$A21,'1_原始數據'!$I$2:$I$1000,$B21,'1_原始數據'!$C$2:$C$1000,"aw_reading"))</f>
        <v/>
      </c>
    </row>
    <row r="22">
      <c r="A22" s="5" t="n">
        <v>3</v>
      </c>
      <c r="B22" s="5" t="inlineStr">
        <is>
          <t>potato_chips</t>
        </is>
      </c>
      <c r="C22" s="16">
        <f>IF(COUNTIFS('1_原始數據'!$A$2:$A$1000,$A22,'1_原始數據'!$I$2:$I$1000,$B22,'1_原始數據'!$C$2:$C$1000,"moisture_pct_survey")=0,"",SUMIFS('1_原始數據'!$E$2:$E$1000,'1_原始數據'!$A$2:$A$1000,$A22,'1_原始數據'!$I$2:$I$1000,$B22,'1_原始數據'!$C$2:$C$1000,"moisture_pct_survey"))</f>
        <v/>
      </c>
      <c r="D22" s="45">
        <f>IF(COUNTIFS('1_原始數據'!$A$2:$A$1000,$A22,'1_原始數據'!$I$2:$I$1000,$B22,'1_原始數據'!$C$2:$C$1000,"aw_reading")=0,"",SUMIFS('1_原始數據'!$E$2:$E$1000,'1_原始數據'!$A$2:$A$1000,$A22,'1_原始數據'!$I$2:$I$1000,$B22,'1_原始數據'!$C$2:$C$1000,"aw_reading"))</f>
        <v/>
      </c>
    </row>
    <row r="23">
      <c r="A23" s="5" t="n">
        <v>4</v>
      </c>
      <c r="B23" s="5" t="inlineStr">
        <is>
          <t>potato_chips</t>
        </is>
      </c>
      <c r="C23" s="16">
        <f>IF(COUNTIFS('1_原始數據'!$A$2:$A$1000,$A23,'1_原始數據'!$I$2:$I$1000,$B23,'1_原始數據'!$C$2:$C$1000,"moisture_pct_survey")=0,"",SUMIFS('1_原始數據'!$E$2:$E$1000,'1_原始數據'!$A$2:$A$1000,$A23,'1_原始數據'!$I$2:$I$1000,$B23,'1_原始數據'!$C$2:$C$1000,"moisture_pct_survey"))</f>
        <v/>
      </c>
      <c r="D23" s="45">
        <f>IF(COUNTIFS('1_原始數據'!$A$2:$A$1000,$A23,'1_原始數據'!$I$2:$I$1000,$B23,'1_原始數據'!$C$2:$C$1000,"aw_reading")=0,"",SUMIFS('1_原始數據'!$E$2:$E$1000,'1_原始數據'!$A$2:$A$1000,$A23,'1_原始數據'!$I$2:$I$1000,$B23,'1_原始數據'!$C$2:$C$1000,"aw_reading"))</f>
        <v/>
      </c>
    </row>
    <row r="24">
      <c r="A24" s="5" t="n">
        <v>5</v>
      </c>
      <c r="B24" s="5" t="inlineStr">
        <is>
          <t>potato_chips</t>
        </is>
      </c>
      <c r="C24" s="16">
        <f>IF(COUNTIFS('1_原始數據'!$A$2:$A$1000,$A24,'1_原始數據'!$I$2:$I$1000,$B24,'1_原始數據'!$C$2:$C$1000,"moisture_pct_survey")=0,"",SUMIFS('1_原始數據'!$E$2:$E$1000,'1_原始數據'!$A$2:$A$1000,$A24,'1_原始數據'!$I$2:$I$1000,$B24,'1_原始數據'!$C$2:$C$1000,"moisture_pct_survey"))</f>
        <v/>
      </c>
      <c r="D24" s="45">
        <f>IF(COUNTIFS('1_原始數據'!$A$2:$A$1000,$A24,'1_原始數據'!$I$2:$I$1000,$B24,'1_原始數據'!$C$2:$C$1000,"aw_reading")=0,"",SUMIFS('1_原始數據'!$E$2:$E$1000,'1_原始數據'!$A$2:$A$1000,$A24,'1_原始數據'!$I$2:$I$1000,$B24,'1_原始數據'!$C$2:$C$1000,"aw_reading"))</f>
        <v/>
      </c>
    </row>
    <row r="25">
      <c r="A25" s="5" t="n">
        <v>1</v>
      </c>
      <c r="B25" s="5" t="inlineStr">
        <is>
          <t>milk_powder</t>
        </is>
      </c>
      <c r="C25" s="16">
        <f>IF(COUNTIFS('1_原始數據'!$A$2:$A$1000,$A25,'1_原始數據'!$I$2:$I$1000,$B25,'1_原始數據'!$C$2:$C$1000,"moisture_pct_survey")=0,"",SUMIFS('1_原始數據'!$E$2:$E$1000,'1_原始數據'!$A$2:$A$1000,$A25,'1_原始數據'!$I$2:$I$1000,$B25,'1_原始數據'!$C$2:$C$1000,"moisture_pct_survey"))</f>
        <v/>
      </c>
      <c r="D25" s="45">
        <f>IF(COUNTIFS('1_原始數據'!$A$2:$A$1000,$A25,'1_原始數據'!$I$2:$I$1000,$B25,'1_原始數據'!$C$2:$C$1000,"aw_reading")=0,"",SUMIFS('1_原始數據'!$E$2:$E$1000,'1_原始數據'!$A$2:$A$1000,$A25,'1_原始數據'!$I$2:$I$1000,$B25,'1_原始數據'!$C$2:$C$1000,"aw_reading"))</f>
        <v/>
      </c>
    </row>
    <row r="26">
      <c r="A26" s="5" t="n">
        <v>2</v>
      </c>
      <c r="B26" s="5" t="inlineStr">
        <is>
          <t>milk_powder</t>
        </is>
      </c>
      <c r="C26" s="16">
        <f>IF(COUNTIFS('1_原始數據'!$A$2:$A$1000,$A26,'1_原始數據'!$I$2:$I$1000,$B26,'1_原始數據'!$C$2:$C$1000,"moisture_pct_survey")=0,"",SUMIFS('1_原始數據'!$E$2:$E$1000,'1_原始數據'!$A$2:$A$1000,$A26,'1_原始數據'!$I$2:$I$1000,$B26,'1_原始數據'!$C$2:$C$1000,"moisture_pct_survey"))</f>
        <v/>
      </c>
      <c r="D26" s="45">
        <f>IF(COUNTIFS('1_原始數據'!$A$2:$A$1000,$A26,'1_原始數據'!$I$2:$I$1000,$B26,'1_原始數據'!$C$2:$C$1000,"aw_reading")=0,"",SUMIFS('1_原始數據'!$E$2:$E$1000,'1_原始數據'!$A$2:$A$1000,$A26,'1_原始數據'!$I$2:$I$1000,$B26,'1_原始數據'!$C$2:$C$1000,"aw_reading"))</f>
        <v/>
      </c>
    </row>
    <row r="27">
      <c r="A27" s="5" t="n">
        <v>3</v>
      </c>
      <c r="B27" s="5" t="inlineStr">
        <is>
          <t>milk_powder</t>
        </is>
      </c>
      <c r="C27" s="16">
        <f>IF(COUNTIFS('1_原始數據'!$A$2:$A$1000,$A27,'1_原始數據'!$I$2:$I$1000,$B27,'1_原始數據'!$C$2:$C$1000,"moisture_pct_survey")=0,"",SUMIFS('1_原始數據'!$E$2:$E$1000,'1_原始數據'!$A$2:$A$1000,$A27,'1_原始數據'!$I$2:$I$1000,$B27,'1_原始數據'!$C$2:$C$1000,"moisture_pct_survey"))</f>
        <v/>
      </c>
      <c r="D27" s="45">
        <f>IF(COUNTIFS('1_原始數據'!$A$2:$A$1000,$A27,'1_原始數據'!$I$2:$I$1000,$B27,'1_原始數據'!$C$2:$C$1000,"aw_reading")=0,"",SUMIFS('1_原始數據'!$E$2:$E$1000,'1_原始數據'!$A$2:$A$1000,$A27,'1_原始數據'!$I$2:$I$1000,$B27,'1_原始數據'!$C$2:$C$1000,"aw_reading"))</f>
        <v/>
      </c>
    </row>
    <row r="28">
      <c r="A28" s="5" t="n">
        <v>4</v>
      </c>
      <c r="B28" s="5" t="inlineStr">
        <is>
          <t>milk_powder</t>
        </is>
      </c>
      <c r="C28" s="16">
        <f>IF(COUNTIFS('1_原始數據'!$A$2:$A$1000,$A28,'1_原始數據'!$I$2:$I$1000,$B28,'1_原始數據'!$C$2:$C$1000,"moisture_pct_survey")=0,"",SUMIFS('1_原始數據'!$E$2:$E$1000,'1_原始數據'!$A$2:$A$1000,$A28,'1_原始數據'!$I$2:$I$1000,$B28,'1_原始數據'!$C$2:$C$1000,"moisture_pct_survey"))</f>
        <v/>
      </c>
      <c r="D28" s="45">
        <f>IF(COUNTIFS('1_原始數據'!$A$2:$A$1000,$A28,'1_原始數據'!$I$2:$I$1000,$B28,'1_原始數據'!$C$2:$C$1000,"aw_reading")=0,"",SUMIFS('1_原始數據'!$E$2:$E$1000,'1_原始數據'!$A$2:$A$1000,$A28,'1_原始數據'!$I$2:$I$1000,$B28,'1_原始數據'!$C$2:$C$1000,"aw_reading"))</f>
        <v/>
      </c>
    </row>
    <row r="29">
      <c r="A29" s="5" t="n">
        <v>5</v>
      </c>
      <c r="B29" s="5" t="inlineStr">
        <is>
          <t>milk_powder</t>
        </is>
      </c>
      <c r="C29" s="16">
        <f>IF(COUNTIFS('1_原始數據'!$A$2:$A$1000,$A29,'1_原始數據'!$I$2:$I$1000,$B29,'1_原始數據'!$C$2:$C$1000,"moisture_pct_survey")=0,"",SUMIFS('1_原始數據'!$E$2:$E$1000,'1_原始數據'!$A$2:$A$1000,$A29,'1_原始數據'!$I$2:$I$1000,$B29,'1_原始數據'!$C$2:$C$1000,"moisture_pct_survey"))</f>
        <v/>
      </c>
      <c r="D29" s="45">
        <f>IF(COUNTIFS('1_原始數據'!$A$2:$A$1000,$A29,'1_原始數據'!$I$2:$I$1000,$B29,'1_原始數據'!$C$2:$C$1000,"aw_reading")=0,"",SUMIFS('1_原始數據'!$E$2:$E$1000,'1_原始數據'!$A$2:$A$1000,$A29,'1_原始數據'!$I$2:$I$1000,$B29,'1_原始數據'!$C$2:$C$1000,"aw_reading"))</f>
        <v/>
      </c>
    </row>
    <row r="30">
      <c r="A30" s="5" t="n">
        <v>1</v>
      </c>
      <c r="B30" s="5" t="inlineStr">
        <is>
          <t>honey</t>
        </is>
      </c>
      <c r="C30" s="16">
        <f>IF(COUNTIFS('1_原始數據'!$A$2:$A$1000,$A30,'1_原始數據'!$I$2:$I$1000,$B30,'1_原始數據'!$C$2:$C$1000,"moisture_pct_survey")=0,"",SUMIFS('1_原始數據'!$E$2:$E$1000,'1_原始數據'!$A$2:$A$1000,$A30,'1_原始數據'!$I$2:$I$1000,$B30,'1_原始數據'!$C$2:$C$1000,"moisture_pct_survey"))</f>
        <v/>
      </c>
      <c r="D30" s="45">
        <f>IF(COUNTIFS('1_原始數據'!$A$2:$A$1000,$A30,'1_原始數據'!$I$2:$I$1000,$B30,'1_原始數據'!$C$2:$C$1000,"aw_reading")=0,"",SUMIFS('1_原始數據'!$E$2:$E$1000,'1_原始數據'!$A$2:$A$1000,$A30,'1_原始數據'!$I$2:$I$1000,$B30,'1_原始數據'!$C$2:$C$1000,"aw_reading"))</f>
        <v/>
      </c>
    </row>
    <row r="31">
      <c r="A31" s="5" t="n">
        <v>2</v>
      </c>
      <c r="B31" s="5" t="inlineStr">
        <is>
          <t>honey</t>
        </is>
      </c>
      <c r="C31" s="16">
        <f>IF(COUNTIFS('1_原始數據'!$A$2:$A$1000,$A31,'1_原始數據'!$I$2:$I$1000,$B31,'1_原始數據'!$C$2:$C$1000,"moisture_pct_survey")=0,"",SUMIFS('1_原始數據'!$E$2:$E$1000,'1_原始數據'!$A$2:$A$1000,$A31,'1_原始數據'!$I$2:$I$1000,$B31,'1_原始數據'!$C$2:$C$1000,"moisture_pct_survey"))</f>
        <v/>
      </c>
      <c r="D31" s="45">
        <f>IF(COUNTIFS('1_原始數據'!$A$2:$A$1000,$A31,'1_原始數據'!$I$2:$I$1000,$B31,'1_原始數據'!$C$2:$C$1000,"aw_reading")=0,"",SUMIFS('1_原始數據'!$E$2:$E$1000,'1_原始數據'!$A$2:$A$1000,$A31,'1_原始數據'!$I$2:$I$1000,$B31,'1_原始數據'!$C$2:$C$1000,"aw_reading"))</f>
        <v/>
      </c>
    </row>
    <row r="32">
      <c r="A32" s="5" t="n">
        <v>3</v>
      </c>
      <c r="B32" s="5" t="inlineStr">
        <is>
          <t>honey</t>
        </is>
      </c>
      <c r="C32" s="16">
        <f>IF(COUNTIFS('1_原始數據'!$A$2:$A$1000,$A32,'1_原始數據'!$I$2:$I$1000,$B32,'1_原始數據'!$C$2:$C$1000,"moisture_pct_survey")=0,"",SUMIFS('1_原始數據'!$E$2:$E$1000,'1_原始數據'!$A$2:$A$1000,$A32,'1_原始數據'!$I$2:$I$1000,$B32,'1_原始數據'!$C$2:$C$1000,"moisture_pct_survey"))</f>
        <v/>
      </c>
      <c r="D32" s="45">
        <f>IF(COUNTIFS('1_原始數據'!$A$2:$A$1000,$A32,'1_原始數據'!$I$2:$I$1000,$B32,'1_原始數據'!$C$2:$C$1000,"aw_reading")=0,"",SUMIFS('1_原始數據'!$E$2:$E$1000,'1_原始數據'!$A$2:$A$1000,$A32,'1_原始數據'!$I$2:$I$1000,$B32,'1_原始數據'!$C$2:$C$1000,"aw_reading"))</f>
        <v/>
      </c>
    </row>
    <row r="33">
      <c r="A33" s="5" t="n">
        <v>4</v>
      </c>
      <c r="B33" s="5" t="inlineStr">
        <is>
          <t>honey</t>
        </is>
      </c>
      <c r="C33" s="16">
        <f>IF(COUNTIFS('1_原始數據'!$A$2:$A$1000,$A33,'1_原始數據'!$I$2:$I$1000,$B33,'1_原始數據'!$C$2:$C$1000,"moisture_pct_survey")=0,"",SUMIFS('1_原始數據'!$E$2:$E$1000,'1_原始數據'!$A$2:$A$1000,$A33,'1_原始數據'!$I$2:$I$1000,$B33,'1_原始數據'!$C$2:$C$1000,"moisture_pct_survey"))</f>
        <v/>
      </c>
      <c r="D33" s="45">
        <f>IF(COUNTIFS('1_原始數據'!$A$2:$A$1000,$A33,'1_原始數據'!$I$2:$I$1000,$B33,'1_原始數據'!$C$2:$C$1000,"aw_reading")=0,"",SUMIFS('1_原始數據'!$E$2:$E$1000,'1_原始數據'!$A$2:$A$1000,$A33,'1_原始數據'!$I$2:$I$1000,$B33,'1_原始數據'!$C$2:$C$1000,"aw_reading"))</f>
        <v/>
      </c>
    </row>
    <row r="34">
      <c r="A34" s="5" t="n">
        <v>5</v>
      </c>
      <c r="B34" s="5" t="inlineStr">
        <is>
          <t>honey</t>
        </is>
      </c>
      <c r="C34" s="16">
        <f>IF(COUNTIFS('1_原始數據'!$A$2:$A$1000,$A34,'1_原始數據'!$I$2:$I$1000,$B34,'1_原始數據'!$C$2:$C$1000,"moisture_pct_survey")=0,"",SUMIFS('1_原始數據'!$E$2:$E$1000,'1_原始數據'!$A$2:$A$1000,$A34,'1_原始數據'!$I$2:$I$1000,$B34,'1_原始數據'!$C$2:$C$1000,"moisture_pct_survey"))</f>
        <v/>
      </c>
      <c r="D34" s="45">
        <f>IF(COUNTIFS('1_原始數據'!$A$2:$A$1000,$A34,'1_原始數據'!$I$2:$I$1000,$B34,'1_原始數據'!$C$2:$C$1000,"aw_reading")=0,"",SUMIFS('1_原始數據'!$E$2:$E$1000,'1_原始數據'!$A$2:$A$1000,$A34,'1_原始數據'!$I$2:$I$1000,$B34,'1_原始數據'!$C$2:$C$1000,"aw_reading"))</f>
        <v/>
      </c>
    </row>
    <row r="35" ht="30" customHeight="1">
      <c r="A35" s="18" t="inlineStr">
        <is>
          <t>樣品要連續排在一起（同一種食品 5 列），圖才會把它們畫成同一種顏色。</t>
        </is>
      </c>
    </row>
    <row r="47" ht="32" customHeight="1">
      <c r="F47" s="18" t="inlineStr">
        <is>
          <t>看圖：灰色線由上到下是細菌、酵母、黴菌、嗜旱性黴菌的最低 aw。牛肉乾與龍眼乾水分差不多（x 相近），但牛肉乾的 aw 落在黴菌線與嗜旱性黴菌線之間，龍眼乾卻在嗜旱性黴菌線以下。蜂蜜水分近 17%，aw 卻只有約 0.6：糖把水「綁住」了。</t>
        </is>
      </c>
    </row>
  </sheetData>
  <mergeCells count="4">
    <mergeCell ref="A35:D35"/>
    <mergeCell ref="F19:J20"/>
    <mergeCell ref="F47:M47"/>
    <mergeCell ref="A2:M2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3" customWidth="1" min="3" max="3"/>
    <col width="62" customWidth="1" min="4" max="4"/>
  </cols>
  <sheetData>
    <row r="1">
      <c r="A1" s="1" t="inlineStr">
        <is>
          <t>步驟 6　全學期共同盲樣：全脂奶粉水分 (n = 5 組)</t>
        </is>
      </c>
    </row>
    <row r="2" ht="30" customHeight="1">
      <c r="A2" s="18" t="inlineStr">
        <is>
          <t>全脂奶粉是全學期共同盲樣，W3／W5／W6／W8 會用同一批樣品做灰分、蛋白質、脂肪等。這裡看 5 組的快速水分量測是否一致。</t>
        </is>
      </c>
    </row>
    <row r="3">
      <c r="A3" s="21" t="inlineStr">
        <is>
          <t>盲樣名稱（sample 欄）</t>
        </is>
      </c>
      <c r="B3" s="5" t="inlineStr">
        <is>
          <t>milk_powder</t>
        </is>
      </c>
    </row>
    <row r="5">
      <c r="A5" s="9" t="inlineStr">
        <is>
          <t>組別</t>
        </is>
      </c>
      <c r="B5" s="9" t="inlineStr">
        <is>
          <t>水分 (%)</t>
        </is>
      </c>
    </row>
    <row r="6" ht="45" customHeight="1">
      <c r="A6" s="5" t="n">
        <v>1</v>
      </c>
      <c r="B6" s="16">
        <f>IF(COUNTIFS('1_原始數據'!$A$2:$A$1000,A6,'1_原始數據'!$I$2:$I$1000,$B$3,'1_原始數據'!$C$2:$C$1000,"moisture_pct_survey")=0,"",SUMIFS('1_原始數據'!$E$2:$E$1000,'1_原始數據'!$A$2:$A$1000,A6,'1_原始數據'!$I$2:$I$1000,$B$3,'1_原始數據'!$C$2:$C$1000,"moisture_pct_survey"))</f>
        <v/>
      </c>
      <c r="D6" s="18" t="inlineStr">
        <is>
          <t>每組只貢獻一個值，所以 n = 5 是「組間」的重複。組間 RSD 通常比組內 RSD 大，因為還包含不同人、不同秤、不同時間的差異。</t>
        </is>
      </c>
    </row>
    <row r="7">
      <c r="A7" s="5" t="n">
        <v>2</v>
      </c>
      <c r="B7" s="16">
        <f>IF(COUNTIFS('1_原始數據'!$A$2:$A$1000,A7,'1_原始數據'!$I$2:$I$1000,$B$3,'1_原始數據'!$C$2:$C$1000,"moisture_pct_survey")=0,"",SUMIFS('1_原始數據'!$E$2:$E$1000,'1_原始數據'!$A$2:$A$1000,A7,'1_原始數據'!$I$2:$I$1000,$B$3,'1_原始數據'!$C$2:$C$1000,"moisture_pct_survey"))</f>
        <v/>
      </c>
    </row>
    <row r="8">
      <c r="A8" s="5" t="n">
        <v>3</v>
      </c>
      <c r="B8" s="16">
        <f>IF(COUNTIFS('1_原始數據'!$A$2:$A$1000,A8,'1_原始數據'!$I$2:$I$1000,$B$3,'1_原始數據'!$C$2:$C$1000,"moisture_pct_survey")=0,"",SUMIFS('1_原始數據'!$E$2:$E$1000,'1_原始數據'!$A$2:$A$1000,A8,'1_原始數據'!$I$2:$I$1000,$B$3,'1_原始數據'!$C$2:$C$1000,"moisture_pct_survey"))</f>
        <v/>
      </c>
    </row>
    <row r="9">
      <c r="A9" s="5" t="n">
        <v>4</v>
      </c>
      <c r="B9" s="16">
        <f>IF(COUNTIFS('1_原始數據'!$A$2:$A$1000,A9,'1_原始數據'!$I$2:$I$1000,$B$3,'1_原始數據'!$C$2:$C$1000,"moisture_pct_survey")=0,"",SUMIFS('1_原始數據'!$E$2:$E$1000,'1_原始數據'!$A$2:$A$1000,A9,'1_原始數據'!$I$2:$I$1000,$B$3,'1_原始數據'!$C$2:$C$1000,"moisture_pct_survey"))</f>
        <v/>
      </c>
    </row>
    <row r="10">
      <c r="A10" s="5" t="n">
        <v>5</v>
      </c>
      <c r="B10" s="16">
        <f>IF(COUNTIFS('1_原始數據'!$A$2:$A$1000,A10,'1_原始數據'!$I$2:$I$1000,$B$3,'1_原始數據'!$C$2:$C$1000,"moisture_pct_survey")=0,"",SUMIFS('1_原始數據'!$E$2:$E$1000,'1_原始數據'!$A$2:$A$1000,A10,'1_原始數據'!$I$2:$I$1000,$B$3,'1_原始數據'!$C$2:$C$1000,"moisture_pct_survey"))</f>
        <v/>
      </c>
    </row>
    <row r="12">
      <c r="A12" s="21" t="inlineStr">
        <is>
          <t>n（組數）</t>
        </is>
      </c>
      <c r="B12" s="30">
        <f>COUNT(B6:B10)</f>
        <v/>
      </c>
    </row>
    <row r="13">
      <c r="A13" s="21" t="inlineStr">
        <is>
          <t>平均 (%)</t>
        </is>
      </c>
      <c r="B13" s="24">
        <f>AVERAGE(B6:B10)</f>
        <v/>
      </c>
    </row>
    <row r="14">
      <c r="A14" s="21" t="inlineStr">
        <is>
          <t>SD (%)</t>
        </is>
      </c>
      <c r="B14" s="24">
        <f>_xlfn.STDEV.S(B6:B10)</f>
        <v/>
      </c>
    </row>
    <row r="15" ht="30" customHeight="1">
      <c r="A15" s="21" t="inlineStr">
        <is>
          <t>RSD (%)</t>
        </is>
      </c>
      <c r="B15" s="52">
        <f>B14/B13*100</f>
        <v/>
      </c>
      <c r="D15" s="18" t="inlineStr">
        <is>
          <t>奶粉水分只有 2–3%，SD 0.4% 就讓 RSD 接近 17%。低含量樣品的 RSD 天生比較大。</t>
        </is>
      </c>
    </row>
    <row r="16" ht="30" customHeight="1">
      <c r="A16" s="21" t="inlineStr">
        <is>
          <t>對照：G5 烘箱法三重複平均 (%)</t>
        </is>
      </c>
      <c r="B16" s="16">
        <f>AVERAGEIF('3_烘箱法恆重'!$C$5:$C$19,B3,'3_烘箱法恆重'!$Q$5:$Q$19)</f>
        <v/>
      </c>
      <c r="D16" s="18" t="inlineStr">
        <is>
          <t>最後一列用「3_烘箱法恆重」G5 三位同學的烘箱法濕基水分做對照。兩個數字不同，想想可能原因（方法不同、樣品吸濕…）。</t>
        </is>
      </c>
    </row>
  </sheetData>
  <mergeCells count="1">
    <mergeCell ref="A2:D2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9"/>
  <sheetViews>
    <sheetView zoomScale="90"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11" customWidth="1" min="3" max="3"/>
    <col width="12" customWidth="1" min="4" max="4"/>
    <col width="11" customWidth="1" min="5" max="5"/>
    <col width="11" customWidth="1" min="6" max="6"/>
    <col width="13" customWidth="1" min="7" max="7"/>
    <col width="13" customWidth="1" min="8" max="8"/>
    <col width="11" customWidth="1" min="9" max="9"/>
    <col width="9" customWidth="1" min="10" max="10"/>
    <col width="9" customWidth="1" min="11" max="11"/>
    <col width="3" customWidth="1" min="12" max="12"/>
    <col width="36" customWidth="1" min="13" max="13"/>
    <col width="28" customWidth="1" min="14" max="14"/>
    <col width="12" customWidth="1" min="15" max="15"/>
    <col width="14" customWidth="1" min="16" max="16"/>
    <col width="3" customWidth="1" min="17" max="17"/>
    <col width="3" customWidth="1" min="18" max="18"/>
    <col width="8" customWidth="1" min="19" max="19"/>
    <col width="12" customWidth="1" min="20" max="20"/>
  </cols>
  <sheetData>
    <row r="1">
      <c r="A1" s="1" t="inlineStr">
        <is>
          <t>步驟 8（延伸）　等溫吸濕曲線：麵條真實數據算得出單分子層水嗎？</t>
        </is>
      </c>
    </row>
    <row r="2" ht="48" customHeight="1">
      <c r="A2" s="18" t="inlineStr">
        <is>
          <t>真實數據：麵條在 28 °C 乾燥過程中的 8 個取樣點，同一份樣品以 105 °C 烘箱法與 FD-660 紅外線水分計測水分（濕基 %），並以 aw 計測水活性（data/w02_noodle_msi.csv）。等溫吸濕曲線 (MSI) 的 y 軸用乾基 X = 濕基% ÷ (100 − 濕基%)。教科書說用 BET 或 GAB 擬合就能算出單分子層水 Xm；這張表要練習判斷：算出來的 Xm，數據撐得住嗎？互動版：https://tai-shengyeh.github.io/food-analysis-lab/labs/w02_moisture/isotherm.html</t>
        </is>
      </c>
    </row>
    <row r="3">
      <c r="A3" s="3" t="inlineStr">
        <is>
          <t>① 原始數據與換算（黃色可換成你自己的 8 個點）</t>
        </is>
      </c>
      <c r="M3" s="3" t="inlineStr">
        <is>
          <t>② BET 線性化</t>
        </is>
      </c>
      <c r="S3" s="2" t="inlineStr">
        <is>
          <t>圖用輔助數據（自動計算）</t>
        </is>
      </c>
    </row>
    <row r="4" ht="34" customHeight="1">
      <c r="A4" s="9" t="inlineStr">
        <is>
          <t>取樣時間</t>
        </is>
      </c>
      <c r="B4" s="9" t="inlineStr">
        <is>
          <t>aw</t>
        </is>
      </c>
      <c r="C4" s="9" t="inlineStr">
        <is>
          <t>烘箱 水分 (%wb)</t>
        </is>
      </c>
      <c r="D4" s="9" t="inlineStr">
        <is>
          <t>FD-660 水分 (%wb)</t>
        </is>
      </c>
      <c r="E4" s="9" t="inlineStr">
        <is>
          <t>烘箱 X (g/g)</t>
        </is>
      </c>
      <c r="F4" s="9" t="inlineStr">
        <is>
          <t>FD-660 X (g/g)</t>
        </is>
      </c>
      <c r="G4" s="9" t="inlineStr">
        <is>
          <t>分析用 X (g/g)</t>
        </is>
      </c>
      <c r="H4" s="9" t="inlineStr">
        <is>
          <t>BET：aw/[(1−aw)X]</t>
        </is>
      </c>
      <c r="I4" s="9" t="inlineStr">
        <is>
          <t>GAB：aw/X</t>
        </is>
      </c>
      <c r="J4" s="9" t="inlineStr">
        <is>
          <t>aw²</t>
        </is>
      </c>
      <c r="K4" s="9" t="inlineStr">
        <is>
          <t>aw</t>
        </is>
      </c>
      <c r="M4" s="21" t="inlineStr">
        <is>
          <t>分析用的水分數據</t>
        </is>
      </c>
      <c r="N4" s="5" t="inlineStr">
        <is>
          <t>烘箱法</t>
        </is>
      </c>
      <c r="S4" s="9" t="inlineStr">
        <is>
          <t>aw</t>
        </is>
      </c>
      <c r="T4" s="9" t="inlineStr">
        <is>
          <t>X_GAB（⑤）</t>
        </is>
      </c>
    </row>
    <row r="5">
      <c r="A5" s="53" t="inlineStr">
        <is>
          <t>1425</t>
        </is>
      </c>
      <c r="B5" s="54" t="n">
        <v>0.867</v>
      </c>
      <c r="C5" s="39" t="n">
        <v>18.1</v>
      </c>
      <c r="D5" s="39" t="n">
        <v>16.81</v>
      </c>
      <c r="E5" s="55">
        <f>C5/(100-C5)</f>
        <v/>
      </c>
      <c r="F5" s="55">
        <f>D5/(100-D5)</f>
        <v/>
      </c>
      <c r="G5" s="55">
        <f>IF($N$4="FD-660",F5,E5)</f>
        <v/>
      </c>
      <c r="H5" s="56">
        <f>B5/((1-B5)*G5)</f>
        <v/>
      </c>
      <c r="I5" s="57">
        <f>B5/G5</f>
        <v/>
      </c>
      <c r="J5" s="55">
        <f>B5^2</f>
        <v/>
      </c>
      <c r="K5" s="57">
        <f>B5</f>
        <v/>
      </c>
      <c r="M5" s="21" t="inlineStr">
        <is>
          <t>BET 適用範圍上限 aw</t>
        </is>
      </c>
      <c r="N5" s="58" t="n">
        <v>0.45</v>
      </c>
      <c r="S5" s="59">
        <f>0.05</f>
        <v/>
      </c>
      <c r="T5" s="60">
        <f>N$41*N$42*N$43*S5/((1-N$43*S5)*(1-N$43*S5+N$42*N$43*S5))</f>
        <v/>
      </c>
    </row>
    <row r="6">
      <c r="A6" s="53" t="inlineStr">
        <is>
          <t>1455</t>
        </is>
      </c>
      <c r="B6" s="54" t="n">
        <v>0.856</v>
      </c>
      <c r="C6" s="39" t="n">
        <v>17.55</v>
      </c>
      <c r="D6" s="39" t="n">
        <v>16.57</v>
      </c>
      <c r="E6" s="55">
        <f>C6/(100-C6)</f>
        <v/>
      </c>
      <c r="F6" s="55">
        <f>D6/(100-D6)</f>
        <v/>
      </c>
      <c r="G6" s="55">
        <f>IF($N$4="FD-660",F6,E6)</f>
        <v/>
      </c>
      <c r="H6" s="56">
        <f>B6/((1-B6)*G6)</f>
        <v/>
      </c>
      <c r="I6" s="57">
        <f>B6/G6</f>
        <v/>
      </c>
      <c r="J6" s="55">
        <f>B6^2</f>
        <v/>
      </c>
      <c r="K6" s="57">
        <f>B6</f>
        <v/>
      </c>
      <c r="M6" s="21" t="inlineStr">
        <is>
          <t>範圍內（0.05 ≤ aw ≤ 上限）的點數</t>
        </is>
      </c>
      <c r="N6" s="61">
        <f>COUNTIFS(B5:B12,"&gt;=0.05",B5:B12,"&lt;="&amp;N5)</f>
        <v/>
      </c>
      <c r="S6" s="59">
        <f>0.10</f>
        <v/>
      </c>
      <c r="T6" s="60">
        <f>N$41*N$42*N$43*S6/((1-N$43*S6)*(1-N$43*S6+N$42*N$43*S6))</f>
        <v/>
      </c>
    </row>
    <row r="7">
      <c r="A7" s="53" t="inlineStr">
        <is>
          <t>1525</t>
        </is>
      </c>
      <c r="B7" s="54" t="n">
        <v>0.866</v>
      </c>
      <c r="C7" s="39" t="n">
        <v>17.6</v>
      </c>
      <c r="D7" s="39" t="n">
        <v>16.31</v>
      </c>
      <c r="E7" s="55">
        <f>C7/(100-C7)</f>
        <v/>
      </c>
      <c r="F7" s="55">
        <f>D7/(100-D7)</f>
        <v/>
      </c>
      <c r="G7" s="55">
        <f>IF($N$4="FD-660",F7,E7)</f>
        <v/>
      </c>
      <c r="H7" s="56">
        <f>B7/((1-B7)*G7)</f>
        <v/>
      </c>
      <c r="I7" s="57">
        <f>B7/G7</f>
        <v/>
      </c>
      <c r="J7" s="55">
        <f>B7^2</f>
        <v/>
      </c>
      <c r="K7" s="57">
        <f>B7</f>
        <v/>
      </c>
      <c r="M7" s="21" t="inlineStr">
        <is>
          <t>斜率 s（硬套全部 8 點）</t>
        </is>
      </c>
      <c r="N7" s="56">
        <f>SLOPE(H5:H12,B5:B12)</f>
        <v/>
      </c>
      <c r="S7" s="59">
        <f>0.15</f>
        <v/>
      </c>
      <c r="T7" s="60">
        <f>N$41*N$42*N$43*S7/((1-N$43*S7)*(1-N$43*S7+N$42*N$43*S7))</f>
        <v/>
      </c>
    </row>
    <row r="8">
      <c r="A8" s="53" t="inlineStr">
        <is>
          <t>1555</t>
        </is>
      </c>
      <c r="B8" s="54" t="n">
        <v>0.72</v>
      </c>
      <c r="C8" s="39" t="n">
        <v>12.6</v>
      </c>
      <c r="D8" s="39" t="n">
        <v>11.85</v>
      </c>
      <c r="E8" s="55">
        <f>C8/(100-C8)</f>
        <v/>
      </c>
      <c r="F8" s="55">
        <f>D8/(100-D8)</f>
        <v/>
      </c>
      <c r="G8" s="55">
        <f>IF($N$4="FD-660",F8,E8)</f>
        <v/>
      </c>
      <c r="H8" s="56">
        <f>B8/((1-B8)*G8)</f>
        <v/>
      </c>
      <c r="I8" s="57">
        <f>B8/G8</f>
        <v/>
      </c>
      <c r="J8" s="55">
        <f>B8^2</f>
        <v/>
      </c>
      <c r="K8" s="57">
        <f>B8</f>
        <v/>
      </c>
      <c r="M8" s="21" t="inlineStr">
        <is>
          <t>截距 i</t>
        </is>
      </c>
      <c r="N8" s="56">
        <f>INTERCEPT(H5:H12,B5:B12)</f>
        <v/>
      </c>
      <c r="S8" s="59">
        <f>0.20</f>
        <v/>
      </c>
      <c r="T8" s="60">
        <f>N$41*N$42*N$43*S8/((1-N$43*S8)*(1-N$43*S8+N$42*N$43*S8))</f>
        <v/>
      </c>
    </row>
    <row r="9">
      <c r="A9" s="53" t="inlineStr">
        <is>
          <t>1625</t>
        </is>
      </c>
      <c r="B9" s="54" t="n">
        <v>0.643</v>
      </c>
      <c r="C9" s="39" t="n">
        <v>11.3</v>
      </c>
      <c r="D9" s="39" t="n">
        <v>11.43</v>
      </c>
      <c r="E9" s="55">
        <f>C9/(100-C9)</f>
        <v/>
      </c>
      <c r="F9" s="55">
        <f>D9/(100-D9)</f>
        <v/>
      </c>
      <c r="G9" s="55">
        <f>IF($N$4="FD-660",F9,E9)</f>
        <v/>
      </c>
      <c r="H9" s="56">
        <f>B9/((1-B9)*G9)</f>
        <v/>
      </c>
      <c r="I9" s="57">
        <f>B9/G9</f>
        <v/>
      </c>
      <c r="J9" s="55">
        <f>B9^2</f>
        <v/>
      </c>
      <c r="K9" s="57">
        <f>B9</f>
        <v/>
      </c>
      <c r="M9" s="21" t="inlineStr">
        <is>
          <t>R²</t>
        </is>
      </c>
      <c r="N9" s="57">
        <f>RSQ(H5:H12,B5:B12)</f>
        <v/>
      </c>
      <c r="S9" s="59">
        <f>0.25</f>
        <v/>
      </c>
      <c r="T9" s="60">
        <f>N$41*N$42*N$43*S9/((1-N$43*S9)*(1-N$43*S9+N$42*N$43*S9))</f>
        <v/>
      </c>
    </row>
    <row r="10">
      <c r="A10" s="53" t="inlineStr">
        <is>
          <t>1655</t>
        </is>
      </c>
      <c r="B10" s="54" t="n">
        <v>0.628</v>
      </c>
      <c r="C10" s="39" t="n">
        <v>10.9</v>
      </c>
      <c r="D10" s="39" t="n">
        <v>10.07</v>
      </c>
      <c r="E10" s="55">
        <f>C10/(100-C10)</f>
        <v/>
      </c>
      <c r="F10" s="55">
        <f>D10/(100-D10)</f>
        <v/>
      </c>
      <c r="G10" s="55">
        <f>IF($N$4="FD-660",F10,E10)</f>
        <v/>
      </c>
      <c r="H10" s="56">
        <f>B10/((1-B10)*G10)</f>
        <v/>
      </c>
      <c r="I10" s="57">
        <f>B10/G10</f>
        <v/>
      </c>
      <c r="J10" s="55">
        <f>B10^2</f>
        <v/>
      </c>
      <c r="K10" s="57">
        <f>B10</f>
        <v/>
      </c>
      <c r="M10" s="21" t="inlineStr">
        <is>
          <t>C = 1 + s/i</t>
        </is>
      </c>
      <c r="N10" s="62">
        <f>1+N7/N8</f>
        <v/>
      </c>
      <c r="S10" s="59">
        <f>0.30</f>
        <v/>
      </c>
      <c r="T10" s="60">
        <f>N$41*N$42*N$43*S10/((1-N$43*S10)*(1-N$43*S10+N$42*N$43*S10))</f>
        <v/>
      </c>
    </row>
    <row r="11">
      <c r="A11" s="53" t="inlineStr">
        <is>
          <t>1755</t>
        </is>
      </c>
      <c r="B11" s="54" t="n">
        <v>0.647</v>
      </c>
      <c r="C11" s="39" t="n">
        <v>11.1</v>
      </c>
      <c r="D11" s="39" t="n">
        <v>10.57</v>
      </c>
      <c r="E11" s="55">
        <f>C11/(100-C11)</f>
        <v/>
      </c>
      <c r="F11" s="55">
        <f>D11/(100-D11)</f>
        <v/>
      </c>
      <c r="G11" s="55">
        <f>IF($N$4="FD-660",F11,E11)</f>
        <v/>
      </c>
      <c r="H11" s="56">
        <f>B11/((1-B11)*G11)</f>
        <v/>
      </c>
      <c r="I11" s="57">
        <f>B11/G11</f>
        <v/>
      </c>
      <c r="J11" s="55">
        <f>B11^2</f>
        <v/>
      </c>
      <c r="K11" s="57">
        <f>B11</f>
        <v/>
      </c>
      <c r="M11" s="21" t="inlineStr">
        <is>
          <t>Xm = 1/(s + i)  (g/g)</t>
        </is>
      </c>
      <c r="N11" s="63">
        <f>1/(N7+N8)</f>
        <v/>
      </c>
      <c r="S11" s="59">
        <f>0.35</f>
        <v/>
      </c>
      <c r="T11" s="60">
        <f>N$41*N$42*N$43*S11/((1-N$43*S11)*(1-N$43*S11+N$42*N$43*S11))</f>
        <v/>
      </c>
    </row>
    <row r="12">
      <c r="A12" s="53" t="inlineStr">
        <is>
          <t>final</t>
        </is>
      </c>
      <c r="B12" s="54" t="n">
        <v>0.5580000000000001</v>
      </c>
      <c r="C12" s="39" t="n">
        <v>9.9</v>
      </c>
      <c r="D12" s="39" t="n">
        <v>9.73</v>
      </c>
      <c r="E12" s="55">
        <f>C12/(100-C12)</f>
        <v/>
      </c>
      <c r="F12" s="55">
        <f>D12/(100-D12)</f>
        <v/>
      </c>
      <c r="G12" s="55">
        <f>IF($N$4="FD-660",F12,E12)</f>
        <v/>
      </c>
      <c r="H12" s="56">
        <f>B12/((1-B12)*G12)</f>
        <v/>
      </c>
      <c r="I12" s="57">
        <f>B12/G12</f>
        <v/>
      </c>
      <c r="J12" s="55">
        <f>B12^2</f>
        <v/>
      </c>
      <c r="K12" s="57">
        <f>B12</f>
        <v/>
      </c>
      <c r="M12" s="21" t="inlineStr">
        <is>
          <t>判定</t>
        </is>
      </c>
      <c r="N12" s="7">
        <f>IF(N6&lt;3,"✘ 範圍內不足 3 點，不能用",IF(N10&lt;=0,"✘ C ≤ 0，不合理","✔ 參數合理"))</f>
        <v/>
      </c>
      <c r="S12" s="59">
        <f>0.40</f>
        <v/>
      </c>
      <c r="T12" s="60">
        <f>N$41*N$42*N$43*S12/((1-N$43*S12)*(1-N$43*S12+N$42*N$43*S12))</f>
        <v/>
      </c>
    </row>
    <row r="13" ht="30" customHeight="1">
      <c r="A13" s="18" t="inlineStr">
        <is>
          <t>8 列都要填滿（LINEST 不接受空格）。烘箱 − FD-660 平均差約 0.7 %wb：兩種方法會給出兩條不同的曲線，報告時要註明用哪一種。分析用 X 由 N4 選擇；④ 輪廓表固定用烘箱法。</t>
        </is>
      </c>
      <c r="M13" s="18" t="inlineStr">
        <is>
          <t>BET：aw/[(1−aw)X] = 1/(XmC) + [(C−1)/(XmC)]·aw。C 與吸附熱有關，必須 &gt; 0。R² 很高只代表點排得直，不代表模型在這段 aw 成立——先檢查範圍！</t>
        </is>
      </c>
      <c r="S13" s="59">
        <f>0.45</f>
        <v/>
      </c>
      <c r="T13" s="60">
        <f>N$41*N$42*N$43*S13/((1-N$43*S13)*(1-N$43*S13+N$42*N$43*S13))</f>
        <v/>
      </c>
    </row>
    <row r="14">
      <c r="S14" s="59">
        <f>0.50</f>
        <v/>
      </c>
      <c r="T14" s="60">
        <f>N$41*N$42*N$43*S14/((1-N$43*S14)*(1-N$43*S14+N$42*N$43*S14))</f>
        <v/>
      </c>
    </row>
    <row r="15">
      <c r="A15" s="3" t="inlineStr">
        <is>
          <t>④ GAB 輪廓：把 Xm 固定，看誤差差多少（烘箱法數據）</t>
        </is>
      </c>
      <c r="S15" s="59">
        <f>0.55</f>
        <v/>
      </c>
      <c r="T15" s="60">
        <f>N$41*N$42*N$43*S15/((1-N$43*S15)*(1-N$43*S15+N$42*N$43*S15))</f>
        <v/>
      </c>
    </row>
    <row r="16">
      <c r="A16" s="18" t="inlineStr">
        <is>
          <t>C、K 是 Colab（NB02 第 7.3 節，scipy curve_fit）在每個固定 Xm 下找到的最佳值，直接貼在這裡（灰字）；SSE、Δ 由 Excel 公式算。Δ = (SSE − SSE最小) ÷ σ²；Δ ≤ 3.84 代表這個 Xm 和最佳值的差異可以用量測誤差解釋，數據無法排除它（95%）。換了 ① 的數據，C、K 要重算（用 ⑤ 的規劃求解或 Colab）。</t>
        </is>
      </c>
      <c r="S16" s="59">
        <f>0.60</f>
        <v/>
      </c>
      <c r="T16" s="60">
        <f>N$41*N$42*N$43*S16/((1-N$43*S16)*(1-N$43*S16+N$42*N$43*S16))</f>
        <v/>
      </c>
    </row>
    <row r="17">
      <c r="M17" s="3" t="inlineStr">
        <is>
          <t>③ GAB 二次式線性化：aw/X = α·aw² + β·aw + γ</t>
        </is>
      </c>
      <c r="S17" s="59">
        <f>0.65</f>
        <v/>
      </c>
      <c r="T17" s="60">
        <f>N$41*N$42*N$43*S17/((1-N$43*S17)*(1-N$43*S17+N$42*N$43*S17))</f>
        <v/>
      </c>
    </row>
    <row r="18">
      <c r="M18" s="21" t="inlineStr">
        <is>
          <t>α（LINEST）</t>
        </is>
      </c>
      <c r="N18" s="57">
        <f>INDEX(LINEST($I$5:$I$12,$J$5:$K$12),1,2)</f>
        <v/>
      </c>
      <c r="S18" s="59">
        <f>0.70</f>
        <v/>
      </c>
      <c r="T18" s="60">
        <f>N$41*N$42*N$43*S18/((1-N$43*S18)*(1-N$43*S18+N$42*N$43*S18))</f>
        <v/>
      </c>
    </row>
    <row r="19" ht="30" customHeight="1">
      <c r="A19" s="9" t="inlineStr">
        <is>
          <t>固定 Xm</t>
        </is>
      </c>
      <c r="B19" s="9" t="inlineStr">
        <is>
          <t>C（Colab）</t>
        </is>
      </c>
      <c r="C19" s="9" t="inlineStr">
        <is>
          <t>K（Colab）</t>
        </is>
      </c>
      <c r="D19" s="9" t="inlineStr">
        <is>
          <t>SSE</t>
        </is>
      </c>
      <c r="E19" s="9" t="inlineStr">
        <is>
          <t>RMSE (g/g)</t>
        </is>
      </c>
      <c r="F19" s="9" t="inlineStr">
        <is>
          <t>Δ</t>
        </is>
      </c>
      <c r="G19" s="9" t="inlineStr">
        <is>
          <t>判定</t>
        </is>
      </c>
      <c r="M19" s="21" t="inlineStr">
        <is>
          <t>β</t>
        </is>
      </c>
      <c r="N19" s="57">
        <f>INDEX(LINEST($I$5:$I$12,$J$5:$K$12),1,1)</f>
        <v/>
      </c>
      <c r="S19" s="59">
        <f>0.75</f>
        <v/>
      </c>
      <c r="T19" s="60">
        <f>N$41*N$42*N$43*S19/((1-N$43*S19)*(1-N$43*S19+N$42*N$43*S19))</f>
        <v/>
      </c>
    </row>
    <row r="20">
      <c r="A20" s="44" t="n">
        <v>0.03</v>
      </c>
      <c r="B20" s="64" t="n">
        <v>1000</v>
      </c>
      <c r="C20" s="65" t="n">
        <v>0.999</v>
      </c>
      <c r="D20" s="66">
        <f>SUMPRODUCT((A20*B20*C20*$B$5:$B$12/((1-C20*$B$5:$B$12)*(1-C20*$B$5:$B$12+B20*C20*$B$5:$B$12))-$E$5:$E$12)^2)</f>
        <v/>
      </c>
      <c r="E20" s="55">
        <f>SQRT(D20/COUNT($B$5:$B$12))</f>
        <v/>
      </c>
      <c r="F20" s="56">
        <f>(D20-MIN($D$20:$D$68))/$N$30^2</f>
        <v/>
      </c>
      <c r="G20" s="67">
        <f>IF(F20&lt;=3.84,"數據分不出來","數據排除")</f>
        <v/>
      </c>
      <c r="M20" s="21" t="inlineStr">
        <is>
          <t>γ（物理上必須 &gt; 0）</t>
        </is>
      </c>
      <c r="N20" s="57">
        <f>INDEX(LINEST($I$5:$I$12,$J$5:$K$12),1,3)</f>
        <v/>
      </c>
      <c r="S20" s="59">
        <f>0.80</f>
        <v/>
      </c>
      <c r="T20" s="60">
        <f>N$41*N$42*N$43*S20/((1-N$43*S20)*(1-N$43*S20+N$42*N$43*S20))</f>
        <v/>
      </c>
    </row>
    <row r="21">
      <c r="A21" s="44" t="n">
        <v>0.0325</v>
      </c>
      <c r="B21" s="64" t="n">
        <v>1000</v>
      </c>
      <c r="C21" s="65" t="n">
        <v>0.98956</v>
      </c>
      <c r="D21" s="66">
        <f>SUMPRODUCT((A21*B21*C21*$B$5:$B$12/((1-C21*$B$5:$B$12)*(1-C21*$B$5:$B$12+B21*C21*$B$5:$B$12))-$E$5:$E$12)^2)</f>
        <v/>
      </c>
      <c r="E21" s="55">
        <f>SQRT(D21/COUNT($B$5:$B$12))</f>
        <v/>
      </c>
      <c r="F21" s="56">
        <f>(D21-MIN($D$20:$D$68))/$N$30^2</f>
        <v/>
      </c>
      <c r="G21" s="67">
        <f>IF(F21&lt;=3.84,"數據分不出來","數據排除")</f>
        <v/>
      </c>
      <c r="M21" s="21" t="inlineStr">
        <is>
          <t>K = [√(β² − 4αγ) − β] / (2γ)</t>
        </is>
      </c>
      <c r="N21" s="57">
        <f>IFERROR((SQRT(N19^2-4*N18*N20)-N19)/(2*N20),"無解")</f>
        <v/>
      </c>
      <c r="S21" s="59">
        <f>0.85</f>
        <v/>
      </c>
      <c r="T21" s="60">
        <f>N$41*N$42*N$43*S21/((1-N$43*S21)*(1-N$43*S21+N$42*N$43*S21))</f>
        <v/>
      </c>
    </row>
    <row r="22">
      <c r="A22" s="44" t="n">
        <v>0.035</v>
      </c>
      <c r="B22" s="64" t="n">
        <v>1000</v>
      </c>
      <c r="C22" s="65" t="n">
        <v>0.97638</v>
      </c>
      <c r="D22" s="66">
        <f>SUMPRODUCT((A22*B22*C22*$B$5:$B$12/((1-C22*$B$5:$B$12)*(1-C22*$B$5:$B$12+B22*C22*$B$5:$B$12))-$E$5:$E$12)^2)</f>
        <v/>
      </c>
      <c r="E22" s="55">
        <f>SQRT(D22/COUNT($B$5:$B$12))</f>
        <v/>
      </c>
      <c r="F22" s="56">
        <f>(D22-MIN($D$20:$D$68))/$N$30^2</f>
        <v/>
      </c>
      <c r="G22" s="67">
        <f>IF(F22&lt;=3.84,"數據分不出來","數據排除")</f>
        <v/>
      </c>
      <c r="M22" s="21" t="inlineStr">
        <is>
          <t>Xm = 1/(β + 2Kγ)  (g/g)</t>
        </is>
      </c>
      <c r="N22" s="63">
        <f>IFERROR(1/(N19+2*N21*N20),"無解")</f>
        <v/>
      </c>
      <c r="S22" s="59">
        <f>0.90</f>
        <v/>
      </c>
      <c r="T22" s="60">
        <f>N$41*N$42*N$43*S22/((1-N$43*S22)*(1-N$43*S22+N$42*N$43*S22))</f>
        <v/>
      </c>
    </row>
    <row r="23">
      <c r="A23" s="44" t="n">
        <v>0.0375</v>
      </c>
      <c r="B23" s="64" t="n">
        <v>1000</v>
      </c>
      <c r="C23" s="65" t="n">
        <v>0.96304</v>
      </c>
      <c r="D23" s="66">
        <f>SUMPRODUCT((A23*B23*C23*$B$5:$B$12/((1-C23*$B$5:$B$12)*(1-C23*$B$5:$B$12+B23*C23*$B$5:$B$12))-$E$5:$E$12)^2)</f>
        <v/>
      </c>
      <c r="E23" s="55">
        <f>SQRT(D23/COUNT($B$5:$B$12))</f>
        <v/>
      </c>
      <c r="F23" s="56">
        <f>(D23-MIN($D$20:$D$68))/$N$30^2</f>
        <v/>
      </c>
      <c r="G23" s="67">
        <f>IF(F23&lt;=3.84,"數據分不出來","數據排除")</f>
        <v/>
      </c>
      <c r="M23" s="21" t="inlineStr">
        <is>
          <t>C = β/(γK) + 2</t>
        </is>
      </c>
      <c r="N23" s="62">
        <f>IFERROR(N19/(N20*N21)+2,"無解")</f>
        <v/>
      </c>
      <c r="S23" s="59">
        <f>0.95</f>
        <v/>
      </c>
      <c r="T23" s="60">
        <f>N$41*N$42*N$43*S23/((1-N$43*S23)*(1-N$43*S23+N$42*N$43*S23))</f>
        <v/>
      </c>
    </row>
    <row r="24">
      <c r="A24" s="44" t="n">
        <v>0.04</v>
      </c>
      <c r="B24" s="64" t="n">
        <v>1000</v>
      </c>
      <c r="C24" s="65" t="n">
        <v>0.94953</v>
      </c>
      <c r="D24" s="66">
        <f>SUMPRODUCT((A24*B24*C24*$B$5:$B$12/((1-C24*$B$5:$B$12)*(1-C24*$B$5:$B$12+B24*C24*$B$5:$B$12))-$E$5:$E$12)^2)</f>
        <v/>
      </c>
      <c r="E24" s="55">
        <f>SQRT(D24/COUNT($B$5:$B$12))</f>
        <v/>
      </c>
      <c r="F24" s="56">
        <f>(D24-MIN($D$20:$D$68))/$N$30^2</f>
        <v/>
      </c>
      <c r="G24" s="67">
        <f>IF(F24&lt;=3.84,"數據分不出來","數據排除")</f>
        <v/>
      </c>
      <c r="M24" s="21" t="inlineStr">
        <is>
          <t>判定</t>
        </is>
      </c>
      <c r="N24" s="7">
        <f>IF(N20&lt;=0,"✘ γ ≤ 0 ⇒ C &lt; 0，不合理",IF(OR(N21&lt;=0,N21&gt;=1,N23&lt;=0),"✘ 參數不合理","✔ 參數合理"))</f>
        <v/>
      </c>
    </row>
    <row r="25">
      <c r="A25" s="44" t="n">
        <v>0.0425</v>
      </c>
      <c r="B25" s="64" t="n">
        <v>1000</v>
      </c>
      <c r="C25" s="65" t="n">
        <v>0.93582</v>
      </c>
      <c r="D25" s="66">
        <f>SUMPRODUCT((A25*B25*C25*$B$5:$B$12/((1-C25*$B$5:$B$12)*(1-C25*$B$5:$B$12+B25*C25*$B$5:$B$12))-$E$5:$E$12)^2)</f>
        <v/>
      </c>
      <c r="E25" s="55">
        <f>SQRT(D25/COUNT($B$5:$B$12))</f>
        <v/>
      </c>
      <c r="F25" s="56">
        <f>(D25-MIN($D$20:$D$68))/$N$30^2</f>
        <v/>
      </c>
      <c r="G25" s="67">
        <f>IF(F25&lt;=3.84,"數據分不出來","數據排除")</f>
        <v/>
      </c>
      <c r="M25" s="18" t="inlineStr">
        <is>
          <t>GAB：X = Xm·C·K·aw / [(1 − K·aw)(1 − K·aw + C·K·aw)]。整理成二次式後，Excel 用 LINEST 就能擬合；但 γ = 1/(Xm·C·K)，γ &lt; 0 就代表 C 是負的。</t>
        </is>
      </c>
    </row>
    <row r="26">
      <c r="A26" s="44" t="n">
        <v>0.045</v>
      </c>
      <c r="B26" s="64" t="n">
        <v>1000</v>
      </c>
      <c r="C26" s="65" t="n">
        <v>0.92192</v>
      </c>
      <c r="D26" s="66">
        <f>SUMPRODUCT((A26*B26*C26*$B$5:$B$12/((1-C26*$B$5:$B$12)*(1-C26*$B$5:$B$12+B26*C26*$B$5:$B$12))-$E$5:$E$12)^2)</f>
        <v/>
      </c>
      <c r="E26" s="55">
        <f>SQRT(D26/COUNT($B$5:$B$12))</f>
        <v/>
      </c>
      <c r="F26" s="56">
        <f>(D26-MIN($D$20:$D$68))/$N$30^2</f>
        <v/>
      </c>
      <c r="G26" s="67">
        <f>IF(F26&lt;=3.84,"數據分不出來","數據排除")</f>
        <v/>
      </c>
      <c r="S26" s="9" t="inlineStr">
        <is>
          <t>Xm</t>
        </is>
      </c>
      <c r="T26" s="9" t="inlineStr">
        <is>
          <t>3.84</t>
        </is>
      </c>
    </row>
    <row r="27">
      <c r="A27" s="44" t="n">
        <v>0.0475</v>
      </c>
      <c r="B27" s="64" t="n">
        <v>1000</v>
      </c>
      <c r="C27" s="65" t="n">
        <v>0.9078000000000001</v>
      </c>
      <c r="D27" s="66">
        <f>SUMPRODUCT((A27*B27*C27*$B$5:$B$12/((1-C27*$B$5:$B$12)*(1-C27*$B$5:$B$12+B27*C27*$B$5:$B$12))-$E$5:$E$12)^2)</f>
        <v/>
      </c>
      <c r="E27" s="55">
        <f>SQRT(D27/COUNT($B$5:$B$12))</f>
        <v/>
      </c>
      <c r="F27" s="56">
        <f>(D27-MIN($D$20:$D$68))/$N$30^2</f>
        <v/>
      </c>
      <c r="G27" s="67">
        <f>IF(F27&lt;=3.84,"數據分不出來","數據排除")</f>
        <v/>
      </c>
      <c r="S27" s="68">
        <f>A20</f>
        <v/>
      </c>
      <c r="T27" s="59" t="n">
        <v>3.84</v>
      </c>
    </row>
    <row r="28">
      <c r="A28" s="44" t="n">
        <v>0.05</v>
      </c>
      <c r="B28" s="64" t="n">
        <v>1000</v>
      </c>
      <c r="C28" s="65" t="n">
        <v>0.89347</v>
      </c>
      <c r="D28" s="66">
        <f>SUMPRODUCT((A28*B28*C28*$B$5:$B$12/((1-C28*$B$5:$B$12)*(1-C28*$B$5:$B$12+B28*C28*$B$5:$B$12))-$E$5:$E$12)^2)</f>
        <v/>
      </c>
      <c r="E28" s="55">
        <f>SQRT(D28/COUNT($B$5:$B$12))</f>
        <v/>
      </c>
      <c r="F28" s="56">
        <f>(D28-MIN($D$20:$D$68))/$N$30^2</f>
        <v/>
      </c>
      <c r="G28" s="67">
        <f>IF(F28&lt;=3.84,"數據分不出來","數據排除")</f>
        <v/>
      </c>
      <c r="S28" s="68">
        <f>A68</f>
        <v/>
      </c>
      <c r="T28" s="59" t="n">
        <v>3.84</v>
      </c>
    </row>
    <row r="29">
      <c r="A29" s="44" t="n">
        <v>0.0525</v>
      </c>
      <c r="B29" s="64" t="n">
        <v>1000</v>
      </c>
      <c r="C29" s="65" t="n">
        <v>0.8789</v>
      </c>
      <c r="D29" s="66">
        <f>SUMPRODUCT((A29*B29*C29*$B$5:$B$12/((1-C29*$B$5:$B$12)*(1-C29*$B$5:$B$12+B29*C29*$B$5:$B$12))-$E$5:$E$12)^2)</f>
        <v/>
      </c>
      <c r="E29" s="55">
        <f>SQRT(D29/COUNT($B$5:$B$12))</f>
        <v/>
      </c>
      <c r="F29" s="56">
        <f>(D29-MIN($D$20:$D$68))/$N$30^2</f>
        <v/>
      </c>
      <c r="G29" s="67">
        <f>IF(F29&lt;=3.84,"數據分不出來","數據排除")</f>
        <v/>
      </c>
      <c r="M29" s="3" t="inlineStr">
        <is>
          <t>④ 輪廓結果</t>
        </is>
      </c>
    </row>
    <row r="30">
      <c r="A30" s="44" t="n">
        <v>0.055</v>
      </c>
      <c r="B30" s="64" t="n">
        <v>1000</v>
      </c>
      <c r="C30" s="65" t="n">
        <v>0.8641</v>
      </c>
      <c r="D30" s="66">
        <f>SUMPRODUCT((A30*B30*C30*$B$5:$B$12/((1-C30*$B$5:$B$12)*(1-C30*$B$5:$B$12+B30*C30*$B$5:$B$12))-$E$5:$E$12)^2)</f>
        <v/>
      </c>
      <c r="E30" s="55">
        <f>SQRT(D30/COUNT($B$5:$B$12))</f>
        <v/>
      </c>
      <c r="F30" s="56">
        <f>(D30-MIN($D$20:$D$68))/$N$30^2</f>
        <v/>
      </c>
      <c r="G30" s="67">
        <f>IF(F30&lt;=3.84,"數據分不出來","數據排除")</f>
        <v/>
      </c>
      <c r="M30" s="21" t="inlineStr">
        <is>
          <t>每點量測誤差 σ (g/g)</t>
        </is>
      </c>
      <c r="N30" s="69" t="n">
        <v>0.005</v>
      </c>
    </row>
    <row r="31">
      <c r="A31" s="44" t="n">
        <v>0.0575</v>
      </c>
      <c r="B31" s="64" t="n">
        <v>86.786</v>
      </c>
      <c r="C31" s="65" t="n">
        <v>0.85071</v>
      </c>
      <c r="D31" s="66">
        <f>SUMPRODUCT((A31*B31*C31*$B$5:$B$12/((1-C31*$B$5:$B$12)*(1-C31*$B$5:$B$12+B31*C31*$B$5:$B$12))-$E$5:$E$12)^2)</f>
        <v/>
      </c>
      <c r="E31" s="55">
        <f>SQRT(D31/COUNT($B$5:$B$12))</f>
        <v/>
      </c>
      <c r="F31" s="56">
        <f>(D31-MIN($D$20:$D$68))/$N$30^2</f>
        <v/>
      </c>
      <c r="G31" s="67">
        <f>IF(F31&lt;=3.84,"數據分不出來","數據排除")</f>
        <v/>
      </c>
      <c r="M31" s="21" t="inlineStr">
        <is>
          <t>最佳 Xm（SSE 最小）</t>
        </is>
      </c>
      <c r="N31" s="55">
        <f>INDEX(A20:A68,MATCH(MIN(D20:D68),D20:D68,0))</f>
        <v/>
      </c>
    </row>
    <row r="32">
      <c r="A32" s="44" t="n">
        <v>0.06</v>
      </c>
      <c r="B32" s="64" t="n">
        <v>21.8927</v>
      </c>
      <c r="C32" s="65" t="n">
        <v>0.84136</v>
      </c>
      <c r="D32" s="66">
        <f>SUMPRODUCT((A32*B32*C32*$B$5:$B$12/((1-C32*$B$5:$B$12)*(1-C32*$B$5:$B$12+B32*C32*$B$5:$B$12))-$E$5:$E$12)^2)</f>
        <v/>
      </c>
      <c r="E32" s="55">
        <f>SQRT(D32/COUNT($B$5:$B$12))</f>
        <v/>
      </c>
      <c r="F32" s="56">
        <f>(D32-MIN($D$20:$D$68))/$N$30^2</f>
        <v/>
      </c>
      <c r="G32" s="67">
        <f>IF(F32&lt;=3.84,"數據分不出來","數據排除")</f>
        <v/>
      </c>
      <c r="M32" s="21" t="inlineStr">
        <is>
          <t>數據無法排除的 Xm：下限</t>
        </is>
      </c>
      <c r="N32" s="63">
        <f>_xlfn.MINIFS(A20:A68,F20:F68,"&lt;=3.84")</f>
        <v/>
      </c>
    </row>
    <row r="33">
      <c r="A33" s="44" t="n">
        <v>0.0625</v>
      </c>
      <c r="B33" s="64" t="n">
        <v>12.8113</v>
      </c>
      <c r="C33" s="65" t="n">
        <v>0.83235</v>
      </c>
      <c r="D33" s="66">
        <f>SUMPRODUCT((A33*B33*C33*$B$5:$B$12/((1-C33*$B$5:$B$12)*(1-C33*$B$5:$B$12+B33*C33*$B$5:$B$12))-$E$5:$E$12)^2)</f>
        <v/>
      </c>
      <c r="E33" s="55">
        <f>SQRT(D33/COUNT($B$5:$B$12))</f>
        <v/>
      </c>
      <c r="F33" s="56">
        <f>(D33-MIN($D$20:$D$68))/$N$30^2</f>
        <v/>
      </c>
      <c r="G33" s="67">
        <f>IF(F33&lt;=3.84,"數據分不出來","數據排除")</f>
        <v/>
      </c>
      <c r="M33" s="21" t="inlineStr">
        <is>
          <t>數據無法排除的 Xm：上限</t>
        </is>
      </c>
      <c r="N33" s="63">
        <f>_xlfn.MAXIFS(A20:A68,F20:F68,"&lt;=3.84")</f>
        <v/>
      </c>
    </row>
    <row r="34">
      <c r="A34" s="44" t="n">
        <v>0.065</v>
      </c>
      <c r="B34" s="64" t="n">
        <v>9.1891</v>
      </c>
      <c r="C34" s="65" t="n">
        <v>0.82367</v>
      </c>
      <c r="D34" s="66">
        <f>SUMPRODUCT((A34*B34*C34*$B$5:$B$12/((1-C34*$B$5:$B$12)*(1-C34*$B$5:$B$12+B34*C34*$B$5:$B$12))-$E$5:$E$12)^2)</f>
        <v/>
      </c>
      <c r="E34" s="55">
        <f>SQRT(D34/COUNT($B$5:$B$12))</f>
        <v/>
      </c>
      <c r="F34" s="56">
        <f>(D34-MIN($D$20:$D$68))/$N$30^2</f>
        <v/>
      </c>
      <c r="G34" s="67">
        <f>IF(F34&lt;=3.84,"數據分不出來","數據排除")</f>
        <v/>
      </c>
      <c r="M34" s="21" t="inlineStr">
        <is>
          <t>上限 ÷ 下限</t>
        </is>
      </c>
      <c r="N34" s="70">
        <f>N33/N32</f>
        <v/>
      </c>
    </row>
    <row r="35">
      <c r="A35" s="44" t="n">
        <v>0.0675</v>
      </c>
      <c r="B35" s="64" t="n">
        <v>7.2395</v>
      </c>
      <c r="C35" s="65" t="n">
        <v>0.81529</v>
      </c>
      <c r="D35" s="66">
        <f>SUMPRODUCT((A35*B35*C35*$B$5:$B$12/((1-C35*$B$5:$B$12)*(1-C35*$B$5:$B$12+B35*C35*$B$5:$B$12))-$E$5:$E$12)^2)</f>
        <v/>
      </c>
      <c r="E35" s="55">
        <f>SQRT(D35/COUNT($B$5:$B$12))</f>
        <v/>
      </c>
      <c r="F35" s="56">
        <f>(D35-MIN($D$20:$D$68))/$N$30^2</f>
        <v/>
      </c>
      <c r="G35" s="67">
        <f>IF(F35&lt;=3.84,"數據分不出來","數據排除")</f>
        <v/>
      </c>
      <c r="M35" s="18" t="inlineStr">
        <is>
          <t>σ 的估計：烘箱法三重複 SD 約 0.2 %wb ≈ 0.0025 g/g，加上 aw 計 ±0.015 在高 aw 處約造成 0.004 g/g，合起來約 0.005。把 σ 改成 0.003 或 0.008，看可接受範圍怎麼變。上限若等於 0.15，表示碰到表格邊界，實際可能更高。</t>
        </is>
      </c>
    </row>
    <row r="36">
      <c r="A36" s="44" t="n">
        <v>0.07000000000000001</v>
      </c>
      <c r="B36" s="64" t="n">
        <v>6.0202</v>
      </c>
      <c r="C36" s="65" t="n">
        <v>0.80721</v>
      </c>
      <c r="D36" s="66">
        <f>SUMPRODUCT((A36*B36*C36*$B$5:$B$12/((1-C36*$B$5:$B$12)*(1-C36*$B$5:$B$12+B36*C36*$B$5:$B$12))-$E$5:$E$12)^2)</f>
        <v/>
      </c>
      <c r="E36" s="55">
        <f>SQRT(D36/COUNT($B$5:$B$12))</f>
        <v/>
      </c>
      <c r="F36" s="56">
        <f>(D36-MIN($D$20:$D$68))/$N$30^2</f>
        <v/>
      </c>
      <c r="G36" s="67">
        <f>IF(F36&lt;=3.84,"數據分不出來","數據排除")</f>
        <v/>
      </c>
    </row>
    <row r="37">
      <c r="A37" s="44" t="n">
        <v>0.0725</v>
      </c>
      <c r="B37" s="64" t="n">
        <v>5.1848</v>
      </c>
      <c r="C37" s="65" t="n">
        <v>0.79941</v>
      </c>
      <c r="D37" s="66">
        <f>SUMPRODUCT((A37*B37*C37*$B$5:$B$12/((1-C37*$B$5:$B$12)*(1-C37*$B$5:$B$12+B37*C37*$B$5:$B$12))-$E$5:$E$12)^2)</f>
        <v/>
      </c>
      <c r="E37" s="55">
        <f>SQRT(D37/COUNT($B$5:$B$12))</f>
        <v/>
      </c>
      <c r="F37" s="56">
        <f>(D37-MIN($D$20:$D$68))/$N$30^2</f>
        <v/>
      </c>
      <c r="G37" s="67">
        <f>IF(F37&lt;=3.84,"數據分不出來","數據排除")</f>
        <v/>
      </c>
    </row>
    <row r="38">
      <c r="A38" s="44" t="n">
        <v>0.075</v>
      </c>
      <c r="B38" s="64" t="n">
        <v>4.5761</v>
      </c>
      <c r="C38" s="65" t="n">
        <v>0.79187</v>
      </c>
      <c r="D38" s="66">
        <f>SUMPRODUCT((A38*B38*C38*$B$5:$B$12/((1-C38*$B$5:$B$12)*(1-C38*$B$5:$B$12+B38*C38*$B$5:$B$12))-$E$5:$E$12)^2)</f>
        <v/>
      </c>
      <c r="E38" s="55">
        <f>SQRT(D38/COUNT($B$5:$B$12))</f>
        <v/>
      </c>
      <c r="F38" s="56">
        <f>(D38-MIN($D$20:$D$68))/$N$30^2</f>
        <v/>
      </c>
      <c r="G38" s="67">
        <f>IF(F38&lt;=3.84,"數據分不出來","數據排除")</f>
        <v/>
      </c>
    </row>
    <row r="39">
      <c r="A39" s="44" t="n">
        <v>0.0775</v>
      </c>
      <c r="B39" s="64" t="n">
        <v>4.1124</v>
      </c>
      <c r="C39" s="65" t="n">
        <v>0.78459</v>
      </c>
      <c r="D39" s="66">
        <f>SUMPRODUCT((A39*B39*C39*$B$5:$B$12/((1-C39*$B$5:$B$12)*(1-C39*$B$5:$B$12+B39*C39*$B$5:$B$12))-$E$5:$E$12)^2)</f>
        <v/>
      </c>
      <c r="E39" s="55">
        <f>SQRT(D39/COUNT($B$5:$B$12))</f>
        <v/>
      </c>
      <c r="F39" s="56">
        <f>(D39-MIN($D$20:$D$68))/$N$30^2</f>
        <v/>
      </c>
      <c r="G39" s="67">
        <f>IF(F39&lt;=3.84,"數據分不出來","數據排除")</f>
        <v/>
      </c>
    </row>
    <row r="40">
      <c r="A40" s="44" t="n">
        <v>0.08</v>
      </c>
      <c r="B40" s="64" t="n">
        <v>3.7471</v>
      </c>
      <c r="C40" s="65" t="n">
        <v>0.77756</v>
      </c>
      <c r="D40" s="66">
        <f>SUMPRODUCT((A40*B40*C40*$B$5:$B$12/((1-C40*$B$5:$B$12)*(1-C40*$B$5:$B$12+B40*C40*$B$5:$B$12))-$E$5:$E$12)^2)</f>
        <v/>
      </c>
      <c r="E40" s="55">
        <f>SQRT(D40/COUNT($B$5:$B$12))</f>
        <v/>
      </c>
      <c r="F40" s="56">
        <f>(D40-MIN($D$20:$D$68))/$N$30^2</f>
        <v/>
      </c>
      <c r="G40" s="67">
        <f>IF(F40&lt;=3.84,"數據分不出來","數據排除")</f>
        <v/>
      </c>
      <c r="M40" s="3" t="inlineStr">
        <is>
          <t>⑤ 自己試：調整 GAB 參數（可用「規劃求解」）</t>
        </is>
      </c>
    </row>
    <row r="41">
      <c r="A41" s="44" t="n">
        <v>0.0825</v>
      </c>
      <c r="B41" s="64" t="n">
        <v>3.4515</v>
      </c>
      <c r="C41" s="65" t="n">
        <v>0.77075</v>
      </c>
      <c r="D41" s="66">
        <f>SUMPRODUCT((A41*B41*C41*$B$5:$B$12/((1-C41*$B$5:$B$12)*(1-C41*$B$5:$B$12+B41*C41*$B$5:$B$12))-$E$5:$E$12)^2)</f>
        <v/>
      </c>
      <c r="E41" s="55">
        <f>SQRT(D41/COUNT($B$5:$B$12))</f>
        <v/>
      </c>
      <c r="F41" s="56">
        <f>(D41-MIN($D$20:$D$68))/$N$30^2</f>
        <v/>
      </c>
      <c r="G41" s="67">
        <f>IF(F41&lt;=3.84,"數據分不出來","數據排除")</f>
        <v/>
      </c>
      <c r="M41" s="21" t="inlineStr">
        <is>
          <t>Xm (g/g)</t>
        </is>
      </c>
      <c r="N41" s="71" t="n">
        <v>0.065</v>
      </c>
    </row>
    <row r="42">
      <c r="A42" s="44" t="n">
        <v>0.08500000000000001</v>
      </c>
      <c r="B42" s="64" t="n">
        <v>3.2073</v>
      </c>
      <c r="C42" s="65" t="n">
        <v>0.76417</v>
      </c>
      <c r="D42" s="66">
        <f>SUMPRODUCT((A42*B42*C42*$B$5:$B$12/((1-C42*$B$5:$B$12)*(1-C42*$B$5:$B$12+B42*C42*$B$5:$B$12))-$E$5:$E$12)^2)</f>
        <v/>
      </c>
      <c r="E42" s="55">
        <f>SQRT(D42/COUNT($B$5:$B$12))</f>
        <v/>
      </c>
      <c r="F42" s="56">
        <f>(D42-MIN($D$20:$D$68))/$N$30^2</f>
        <v/>
      </c>
      <c r="G42" s="67">
        <f>IF(F42&lt;=3.84,"數據分不出來","數據排除")</f>
        <v/>
      </c>
      <c r="M42" s="21" t="inlineStr">
        <is>
          <t>C</t>
        </is>
      </c>
      <c r="N42" s="58" t="n">
        <v>9.19</v>
      </c>
    </row>
    <row r="43">
      <c r="A43" s="44" t="n">
        <v>0.08749999999999999</v>
      </c>
      <c r="B43" s="64" t="n">
        <v>3.0018</v>
      </c>
      <c r="C43" s="65" t="n">
        <v>0.7578</v>
      </c>
      <c r="D43" s="66">
        <f>SUMPRODUCT((A43*B43*C43*$B$5:$B$12/((1-C43*$B$5:$B$12)*(1-C43*$B$5:$B$12+B43*C43*$B$5:$B$12))-$E$5:$E$12)^2)</f>
        <v/>
      </c>
      <c r="E43" s="55">
        <f>SQRT(D43/COUNT($B$5:$B$12))</f>
        <v/>
      </c>
      <c r="F43" s="56">
        <f>(D43-MIN($D$20:$D$68))/$N$30^2</f>
        <v/>
      </c>
      <c r="G43" s="67">
        <f>IF(F43&lt;=3.84,"數據分不出來","數據排除")</f>
        <v/>
      </c>
      <c r="M43" s="21" t="inlineStr">
        <is>
          <t>K</t>
        </is>
      </c>
      <c r="N43" s="71" t="n">
        <v>0.8237</v>
      </c>
    </row>
    <row r="44">
      <c r="A44" s="44" t="n">
        <v>0.09</v>
      </c>
      <c r="B44" s="64" t="n">
        <v>2.8265</v>
      </c>
      <c r="C44" s="65" t="n">
        <v>0.75163</v>
      </c>
      <c r="D44" s="66">
        <f>SUMPRODUCT((A44*B44*C44*$B$5:$B$12/((1-C44*$B$5:$B$12)*(1-C44*$B$5:$B$12+B44*C44*$B$5:$B$12))-$E$5:$E$12)^2)</f>
        <v/>
      </c>
      <c r="E44" s="55">
        <f>SQRT(D44/COUNT($B$5:$B$12))</f>
        <v/>
      </c>
      <c r="F44" s="56">
        <f>(D44-MIN($D$20:$D$68))/$N$30^2</f>
        <v/>
      </c>
      <c r="G44" s="67">
        <f>IF(F44&lt;=3.84,"數據分不出來","數據排除")</f>
        <v/>
      </c>
      <c r="M44" s="21" t="inlineStr">
        <is>
          <t>SSE（烘箱法）</t>
        </is>
      </c>
      <c r="N44" s="66">
        <f>SUMPRODUCT((N41*N42*N43*$B$5:$B$12/((1-N43*$B$5:$B$12)*(1-N43*$B$5:$B$12+N42*N43*$B$5:$B$12))-$E$5:$E$12)^2)</f>
        <v/>
      </c>
    </row>
    <row r="45">
      <c r="A45" s="44" t="n">
        <v>0.0925</v>
      </c>
      <c r="B45" s="64" t="n">
        <v>2.6749</v>
      </c>
      <c r="C45" s="65" t="n">
        <v>0.74565</v>
      </c>
      <c r="D45" s="66">
        <f>SUMPRODUCT((A45*B45*C45*$B$5:$B$12/((1-C45*$B$5:$B$12)*(1-C45*$B$5:$B$12+B45*C45*$B$5:$B$12))-$E$5:$E$12)^2)</f>
        <v/>
      </c>
      <c r="E45" s="55">
        <f>SQRT(D45/COUNT($B$5:$B$12))</f>
        <v/>
      </c>
      <c r="F45" s="56">
        <f>(D45-MIN($D$20:$D$68))/$N$30^2</f>
        <v/>
      </c>
      <c r="G45" s="67">
        <f>IF(F45&lt;=3.84,"數據分不出來","數據排除")</f>
        <v/>
      </c>
      <c r="M45" s="21" t="inlineStr">
        <is>
          <t>RMSE (g/g)</t>
        </is>
      </c>
      <c r="N45" s="55">
        <f>SQRT(N44/COUNT($B$5:$B$12))</f>
        <v/>
      </c>
    </row>
    <row r="46">
      <c r="A46" s="44" t="n">
        <v>0.095</v>
      </c>
      <c r="B46" s="64" t="n">
        <v>2.5425</v>
      </c>
      <c r="C46" s="65" t="n">
        <v>0.73986</v>
      </c>
      <c r="D46" s="66">
        <f>SUMPRODUCT((A46*B46*C46*$B$5:$B$12/((1-C46*$B$5:$B$12)*(1-C46*$B$5:$B$12+B46*C46*$B$5:$B$12))-$E$5:$E$12)^2)</f>
        <v/>
      </c>
      <c r="E46" s="55">
        <f>SQRT(D46/COUNT($B$5:$B$12))</f>
        <v/>
      </c>
      <c r="F46" s="56">
        <f>(D46-MIN($D$20:$D$68))/$N$30^2</f>
        <v/>
      </c>
      <c r="G46" s="67">
        <f>IF(F46&lt;=3.84,"數據分不出來","數據排除")</f>
        <v/>
      </c>
      <c r="M46" s="21" t="inlineStr">
        <is>
          <t>Δ（和 ④ 的最小 SSE 比）</t>
        </is>
      </c>
      <c r="N46" s="56">
        <f>(N44-MIN(D20:D68))/N30^2</f>
        <v/>
      </c>
    </row>
    <row r="47">
      <c r="A47" s="44" t="n">
        <v>0.0975</v>
      </c>
      <c r="B47" s="64" t="n">
        <v>2.4258</v>
      </c>
      <c r="C47" s="65" t="n">
        <v>0.73424</v>
      </c>
      <c r="D47" s="66">
        <f>SUMPRODUCT((A47*B47*C47*$B$5:$B$12/((1-C47*$B$5:$B$12)*(1-C47*$B$5:$B$12+B47*C47*$B$5:$B$12))-$E$5:$E$12)^2)</f>
        <v/>
      </c>
      <c r="E47" s="55">
        <f>SQRT(D47/COUNT($B$5:$B$12))</f>
        <v/>
      </c>
      <c r="F47" s="56">
        <f>(D47-MIN($D$20:$D$68))/$N$30^2</f>
        <v/>
      </c>
      <c r="G47" s="67">
        <f>IF(F47&lt;=3.84,"數據分不出來","數據排除")</f>
        <v/>
      </c>
      <c r="M47" s="18" t="inlineStr">
        <is>
          <t>規劃求解（資料 → 規劃求解）：目標 N44 設為最小值；變數儲存格 N42:N43；限制 N42 ≥ 0.5、N43 ≥ 0.5、N43 ≤ 0.999。固定 Xm 解一次，就等於重算 ④ 的一列。沒有規劃求解也沒關係：直接改數字，看下方第一張圖的紅線和 Δ。</t>
        </is>
      </c>
    </row>
    <row r="48">
      <c r="A48" s="44" t="n">
        <v>0.1</v>
      </c>
      <c r="B48" s="64" t="n">
        <v>2.322</v>
      </c>
      <c r="C48" s="65" t="n">
        <v>0.72879</v>
      </c>
      <c r="D48" s="66">
        <f>SUMPRODUCT((A48*B48*C48*$B$5:$B$12/((1-C48*$B$5:$B$12)*(1-C48*$B$5:$B$12+B48*C48*$B$5:$B$12))-$E$5:$E$12)^2)</f>
        <v/>
      </c>
      <c r="E48" s="55">
        <f>SQRT(D48/COUNT($B$5:$B$12))</f>
        <v/>
      </c>
      <c r="F48" s="56">
        <f>(D48-MIN($D$20:$D$68))/$N$30^2</f>
        <v/>
      </c>
      <c r="G48" s="67">
        <f>IF(F48&lt;=3.84,"數據分不出來","數據排除")</f>
        <v/>
      </c>
    </row>
    <row r="49">
      <c r="A49" s="44" t="n">
        <v>0.1025</v>
      </c>
      <c r="B49" s="64" t="n">
        <v>2.229</v>
      </c>
      <c r="C49" s="65" t="n">
        <v>0.7235</v>
      </c>
      <c r="D49" s="66">
        <f>SUMPRODUCT((A49*B49*C49*$B$5:$B$12/((1-C49*$B$5:$B$12)*(1-C49*$B$5:$B$12+B49*C49*$B$5:$B$12))-$E$5:$E$12)^2)</f>
        <v/>
      </c>
      <c r="E49" s="55">
        <f>SQRT(D49/COUNT($B$5:$B$12))</f>
        <v/>
      </c>
      <c r="F49" s="56">
        <f>(D49-MIN($D$20:$D$68))/$N$30^2</f>
        <v/>
      </c>
      <c r="G49" s="67">
        <f>IF(F49&lt;=3.84,"數據分不出來","數據排除")</f>
        <v/>
      </c>
    </row>
    <row r="50">
      <c r="A50" s="44" t="n">
        <v>0.105</v>
      </c>
      <c r="B50" s="64" t="n">
        <v>2.1451</v>
      </c>
      <c r="C50" s="65" t="n">
        <v>0.71837</v>
      </c>
      <c r="D50" s="66">
        <f>SUMPRODUCT((A50*B50*C50*$B$5:$B$12/((1-C50*$B$5:$B$12)*(1-C50*$B$5:$B$12+B50*C50*$B$5:$B$12))-$E$5:$E$12)^2)</f>
        <v/>
      </c>
      <c r="E50" s="55">
        <f>SQRT(D50/COUNT($B$5:$B$12))</f>
        <v/>
      </c>
      <c r="F50" s="56">
        <f>(D50-MIN($D$20:$D$68))/$N$30^2</f>
        <v/>
      </c>
      <c r="G50" s="67">
        <f>IF(F50&lt;=3.84,"數據分不出來","數據排除")</f>
        <v/>
      </c>
    </row>
    <row r="51">
      <c r="A51" s="44" t="n">
        <v>0.1075</v>
      </c>
      <c r="B51" s="64" t="n">
        <v>2.0691</v>
      </c>
      <c r="C51" s="65" t="n">
        <v>0.71339</v>
      </c>
      <c r="D51" s="66">
        <f>SUMPRODUCT((A51*B51*C51*$B$5:$B$12/((1-C51*$B$5:$B$12)*(1-C51*$B$5:$B$12+B51*C51*$B$5:$B$12))-$E$5:$E$12)^2)</f>
        <v/>
      </c>
      <c r="E51" s="55">
        <f>SQRT(D51/COUNT($B$5:$B$12))</f>
        <v/>
      </c>
      <c r="F51" s="56">
        <f>(D51-MIN($D$20:$D$68))/$N$30^2</f>
        <v/>
      </c>
      <c r="G51" s="67">
        <f>IF(F51&lt;=3.84,"數據分不出來","數據排除")</f>
        <v/>
      </c>
    </row>
    <row r="52">
      <c r="A52" s="44" t="n">
        <v>0.11</v>
      </c>
      <c r="B52" s="64" t="n">
        <v>1.9998</v>
      </c>
      <c r="C52" s="65" t="n">
        <v>0.7085399999999999</v>
      </c>
      <c r="D52" s="66">
        <f>SUMPRODUCT((A52*B52*C52*$B$5:$B$12/((1-C52*$B$5:$B$12)*(1-C52*$B$5:$B$12+B52*C52*$B$5:$B$12))-$E$5:$E$12)^2)</f>
        <v/>
      </c>
      <c r="E52" s="55">
        <f>SQRT(D52/COUNT($B$5:$B$12))</f>
        <v/>
      </c>
      <c r="F52" s="56">
        <f>(D52-MIN($D$20:$D$68))/$N$30^2</f>
        <v/>
      </c>
      <c r="G52" s="67">
        <f>IF(F52&lt;=3.84,"數據分不出來","數據排除")</f>
        <v/>
      </c>
      <c r="M52" s="3" t="inlineStr">
        <is>
          <t>⑥ 這組數據真正能回答的：目標 aw 對應多少水分？</t>
        </is>
      </c>
    </row>
    <row r="53">
      <c r="A53" s="44" t="n">
        <v>0.1125</v>
      </c>
      <c r="B53" s="64" t="n">
        <v>1.9363</v>
      </c>
      <c r="C53" s="65" t="n">
        <v>0.70383</v>
      </c>
      <c r="D53" s="66">
        <f>SUMPRODUCT((A53*B53*C53*$B$5:$B$12/((1-C53*$B$5:$B$12)*(1-C53*$B$5:$B$12+B53*C53*$B$5:$B$12))-$E$5:$E$12)^2)</f>
        <v/>
      </c>
      <c r="E53" s="55">
        <f>SQRT(D53/COUNT($B$5:$B$12))</f>
        <v/>
      </c>
      <c r="F53" s="56">
        <f>(D53-MIN($D$20:$D$68))/$N$30^2</f>
        <v/>
      </c>
      <c r="G53" s="67">
        <f>IF(F53&lt;=3.84,"數據分不出來","數據排除")</f>
        <v/>
      </c>
      <c r="M53" s="21" t="inlineStr">
        <is>
          <t>目標 aw（多數黴菌下限附近）</t>
        </is>
      </c>
      <c r="N53" s="58" t="n">
        <v>0.6</v>
      </c>
    </row>
    <row r="54">
      <c r="A54" s="44" t="n">
        <v>0.115</v>
      </c>
      <c r="B54" s="64" t="n">
        <v>1.8779</v>
      </c>
      <c r="C54" s="65" t="n">
        <v>0.69926</v>
      </c>
      <c r="D54" s="66">
        <f>SUMPRODUCT((A54*B54*C54*$B$5:$B$12/((1-C54*$B$5:$B$12)*(1-C54*$B$5:$B$12+B54*C54*$B$5:$B$12))-$E$5:$E$12)^2)</f>
        <v/>
      </c>
      <c r="E54" s="55">
        <f>SQRT(D54/COUNT($B$5:$B$12))</f>
        <v/>
      </c>
      <c r="F54" s="56">
        <f>(D54-MIN($D$20:$D$68))/$N$30^2</f>
        <v/>
      </c>
      <c r="G54" s="67">
        <f>IF(F54&lt;=3.84,"數據分不出來","數據排除")</f>
        <v/>
      </c>
      <c r="M54" s="21" t="inlineStr">
        <is>
          <t>烘箱法水分 (%wb)，內插</t>
        </is>
      </c>
      <c r="N54" s="62">
        <f>C12+(N53-B12)*(C10-C12)/(B10-B12)</f>
        <v/>
      </c>
    </row>
    <row r="55">
      <c r="A55" s="44" t="n">
        <v>0.1175</v>
      </c>
      <c r="B55" s="64" t="n">
        <v>1.824</v>
      </c>
      <c r="C55" s="65" t="n">
        <v>0.69481</v>
      </c>
      <c r="D55" s="66">
        <f>SUMPRODUCT((A55*B55*C55*$B$5:$B$12/((1-C55*$B$5:$B$12)*(1-C55*$B$5:$B$12+B55*C55*$B$5:$B$12))-$E$5:$E$12)^2)</f>
        <v/>
      </c>
      <c r="E55" s="55">
        <f>SQRT(D55/COUNT($B$5:$B$12))</f>
        <v/>
      </c>
      <c r="F55" s="56">
        <f>(D55-MIN($D$20:$D$68))/$N$30^2</f>
        <v/>
      </c>
      <c r="G55" s="67">
        <f>IF(F55&lt;=3.84,"數據分不出來","數據排除")</f>
        <v/>
      </c>
      <c r="M55" s="18" t="inlineStr">
        <is>
          <t>用 final（aw 0.558）與 1655（aw 0.628）兩點做線性內插。內插有數據撐腰，比外插出來的 Xm 可靠得多。換數據時，請改成目標 aw 兩側的兩列。</t>
        </is>
      </c>
    </row>
    <row r="56">
      <c r="A56" s="44" t="n">
        <v>0.12</v>
      </c>
      <c r="B56" s="64" t="n">
        <v>1.774</v>
      </c>
      <c r="C56" s="65" t="n">
        <v>0.69047</v>
      </c>
      <c r="D56" s="66">
        <f>SUMPRODUCT((A56*B56*C56*$B$5:$B$12/((1-C56*$B$5:$B$12)*(1-C56*$B$5:$B$12+B56*C56*$B$5:$B$12))-$E$5:$E$12)^2)</f>
        <v/>
      </c>
      <c r="E56" s="55">
        <f>SQRT(D56/COUNT($B$5:$B$12))</f>
        <v/>
      </c>
      <c r="F56" s="56">
        <f>(D56-MIN($D$20:$D$68))/$N$30^2</f>
        <v/>
      </c>
      <c r="G56" s="67">
        <f>IF(F56&lt;=3.84,"數據分不出來","數據排除")</f>
        <v/>
      </c>
    </row>
    <row r="57">
      <c r="A57" s="44" t="n">
        <v>0.1225</v>
      </c>
      <c r="B57" s="64" t="n">
        <v>1.7275</v>
      </c>
      <c r="C57" s="65" t="n">
        <v>0.68626</v>
      </c>
      <c r="D57" s="66">
        <f>SUMPRODUCT((A57*B57*C57*$B$5:$B$12/((1-C57*$B$5:$B$12)*(1-C57*$B$5:$B$12+B57*C57*$B$5:$B$12))-$E$5:$E$12)^2)</f>
        <v/>
      </c>
      <c r="E57" s="55">
        <f>SQRT(D57/COUNT($B$5:$B$12))</f>
        <v/>
      </c>
      <c r="F57" s="56">
        <f>(D57-MIN($D$20:$D$68))/$N$30^2</f>
        <v/>
      </c>
      <c r="G57" s="67">
        <f>IF(F57&lt;=3.84,"數據分不出來","數據排除")</f>
        <v/>
      </c>
    </row>
    <row r="58">
      <c r="A58" s="44" t="n">
        <v>0.125</v>
      </c>
      <c r="B58" s="64" t="n">
        <v>1.6841</v>
      </c>
      <c r="C58" s="65" t="n">
        <v>0.68215</v>
      </c>
      <c r="D58" s="66">
        <f>SUMPRODUCT((A58*B58*C58*$B$5:$B$12/((1-C58*$B$5:$B$12)*(1-C58*$B$5:$B$12+B58*C58*$B$5:$B$12))-$E$5:$E$12)^2)</f>
        <v/>
      </c>
      <c r="E58" s="55">
        <f>SQRT(D58/COUNT($B$5:$B$12))</f>
        <v/>
      </c>
      <c r="F58" s="56">
        <f>(D58-MIN($D$20:$D$68))/$N$30^2</f>
        <v/>
      </c>
      <c r="G58" s="67">
        <f>IF(F58&lt;=3.84,"數據分不出來","數據排除")</f>
        <v/>
      </c>
    </row>
    <row r="59">
      <c r="A59" s="44" t="n">
        <v>0.1275</v>
      </c>
      <c r="B59" s="64" t="n">
        <v>1.6436</v>
      </c>
      <c r="C59" s="65" t="n">
        <v>0.67816</v>
      </c>
      <c r="D59" s="66">
        <f>SUMPRODUCT((A59*B59*C59*$B$5:$B$12/((1-C59*$B$5:$B$12)*(1-C59*$B$5:$B$12+B59*C59*$B$5:$B$12))-$E$5:$E$12)^2)</f>
        <v/>
      </c>
      <c r="E59" s="55">
        <f>SQRT(D59/COUNT($B$5:$B$12))</f>
        <v/>
      </c>
      <c r="F59" s="56">
        <f>(D59-MIN($D$20:$D$68))/$N$30^2</f>
        <v/>
      </c>
      <c r="G59" s="67">
        <f>IF(F59&lt;=3.84,"數據分不出來","數據排除")</f>
        <v/>
      </c>
      <c r="M59" s="3" t="inlineStr">
        <is>
          <t>⑦ 對答案：用內建數據時，你的結果應該等於</t>
        </is>
      </c>
    </row>
    <row r="60">
      <c r="A60" s="44" t="n">
        <v>0.13</v>
      </c>
      <c r="B60" s="64" t="n">
        <v>1.6055</v>
      </c>
      <c r="C60" s="65" t="n">
        <v>0.67426</v>
      </c>
      <c r="D60" s="66">
        <f>SUMPRODUCT((A60*B60*C60*$B$5:$B$12/((1-C60*$B$5:$B$12)*(1-C60*$B$5:$B$12+B60*C60*$B$5:$B$12))-$E$5:$E$12)^2)</f>
        <v/>
      </c>
      <c r="E60" s="55">
        <f>SQRT(D60/COUNT($B$5:$B$12))</f>
        <v/>
      </c>
      <c r="F60" s="56">
        <f>(D60-MIN($D$20:$D$68))/$N$30^2</f>
        <v/>
      </c>
      <c r="G60" s="67">
        <f>IF(F60&lt;=3.84,"數據分不出來","數據排除")</f>
        <v/>
      </c>
      <c r="M60" s="9" t="inlineStr">
        <is>
          <t>項目</t>
        </is>
      </c>
      <c r="N60" s="9" t="inlineStr">
        <is>
          <t>本表的值</t>
        </is>
      </c>
      <c r="O60" s="9" t="inlineStr">
        <is>
          <t>Colab 的值</t>
        </is>
      </c>
      <c r="P60" s="9" t="inlineStr">
        <is>
          <t>一致？</t>
        </is>
      </c>
    </row>
    <row r="61">
      <c r="A61" s="44" t="n">
        <v>0.1325</v>
      </c>
      <c r="B61" s="64" t="n">
        <v>1.5697</v>
      </c>
      <c r="C61" s="65" t="n">
        <v>0.6704599999999999</v>
      </c>
      <c r="D61" s="66">
        <f>SUMPRODUCT((A61*B61*C61*$B$5:$B$12/((1-C61*$B$5:$B$12)*(1-C61*$B$5:$B$12+B61*C61*$B$5:$B$12))-$E$5:$E$12)^2)</f>
        <v/>
      </c>
      <c r="E61" s="55">
        <f>SQRT(D61/COUNT($B$5:$B$12))</f>
        <v/>
      </c>
      <c r="F61" s="56">
        <f>(D61-MIN($D$20:$D$68))/$N$30^2</f>
        <v/>
      </c>
      <c r="G61" s="67">
        <f>IF(F61&lt;=3.84,"數據分不出來","數據排除")</f>
        <v/>
      </c>
      <c r="M61" s="21" t="inlineStr">
        <is>
          <t>BET C（全部 8 點）</t>
        </is>
      </c>
      <c r="N61" s="56">
        <f>N10</f>
        <v/>
      </c>
      <c r="O61" s="17" t="n">
        <v>-1.46021176344256</v>
      </c>
      <c r="P61" s="67">
        <f>IF(ABS(N61-O61)&lt;=0.000146022176344256,"✔ 一致","✘ 不一致")</f>
        <v/>
      </c>
    </row>
    <row r="62">
      <c r="A62" s="44" t="n">
        <v>0.135</v>
      </c>
      <c r="B62" s="64" t="n">
        <v>1.5359</v>
      </c>
      <c r="C62" s="65" t="n">
        <v>0.66676</v>
      </c>
      <c r="D62" s="66">
        <f>SUMPRODUCT((A62*B62*C62*$B$5:$B$12/((1-C62*$B$5:$B$12)*(1-C62*$B$5:$B$12+B62*C62*$B$5:$B$12))-$E$5:$E$12)^2)</f>
        <v/>
      </c>
      <c r="E62" s="55">
        <f>SQRT(D62/COUNT($B$5:$B$12))</f>
        <v/>
      </c>
      <c r="F62" s="56">
        <f>(D62-MIN($D$20:$D$68))/$N$30^2</f>
        <v/>
      </c>
      <c r="G62" s="67">
        <f>IF(F62&lt;=3.84,"數據分不出來","數據排除")</f>
        <v/>
      </c>
      <c r="M62" s="21" t="inlineStr">
        <is>
          <t>BET Xm (g/g)</t>
        </is>
      </c>
      <c r="N62" s="55">
        <f>N11</f>
        <v/>
      </c>
      <c r="O62" s="44" t="n">
        <v>0.02673842251365445</v>
      </c>
      <c r="P62" s="67">
        <f>IF(ABS(N62-O62)&lt;=2.6748422513654454e-06,"✔ 一致","✘ 不一致")</f>
        <v/>
      </c>
    </row>
    <row r="63">
      <c r="A63" s="44" t="n">
        <v>0.1375</v>
      </c>
      <c r="B63" s="64" t="n">
        <v>1.504</v>
      </c>
      <c r="C63" s="65" t="n">
        <v>0.66315</v>
      </c>
      <c r="D63" s="66">
        <f>SUMPRODUCT((A63*B63*C63*$B$5:$B$12/((1-C63*$B$5:$B$12)*(1-C63*$B$5:$B$12+B63*C63*$B$5:$B$12))-$E$5:$E$12)^2)</f>
        <v/>
      </c>
      <c r="E63" s="55">
        <f>SQRT(D63/COUNT($B$5:$B$12))</f>
        <v/>
      </c>
      <c r="F63" s="56">
        <f>(D63-MIN($D$20:$D$68))/$N$30^2</f>
        <v/>
      </c>
      <c r="G63" s="67">
        <f>IF(F63&lt;=3.84,"數據分不出來","數據排除")</f>
        <v/>
      </c>
      <c r="M63" s="21" t="inlineStr">
        <is>
          <t>GAB 二次式 Xm (g/g)</t>
        </is>
      </c>
      <c r="N63" s="55">
        <f>N22</f>
        <v/>
      </c>
      <c r="O63" s="44" t="n">
        <v>0.04975071102997377</v>
      </c>
      <c r="P63" s="67">
        <f>IF(ABS(N63-O63)&lt;=4.976071102997377e-06,"✔ 一致","✘ 不一致")</f>
        <v/>
      </c>
    </row>
    <row r="64">
      <c r="A64" s="44" t="n">
        <v>0.14</v>
      </c>
      <c r="B64" s="64" t="n">
        <v>1.4739</v>
      </c>
      <c r="C64" s="65" t="n">
        <v>0.65963</v>
      </c>
      <c r="D64" s="66">
        <f>SUMPRODUCT((A64*B64*C64*$B$5:$B$12/((1-C64*$B$5:$B$12)*(1-C64*$B$5:$B$12+B64*C64*$B$5:$B$12))-$E$5:$E$12)^2)</f>
        <v/>
      </c>
      <c r="E64" s="55">
        <f>SQRT(D64/COUNT($B$5:$B$12))</f>
        <v/>
      </c>
      <c r="F64" s="56">
        <f>(D64-MIN($D$20:$D$68))/$N$30^2</f>
        <v/>
      </c>
      <c r="G64" s="67">
        <f>IF(F64&lt;=3.84,"數據分不出來","數據排除")</f>
        <v/>
      </c>
      <c r="M64" s="21" t="inlineStr">
        <is>
          <t>GAB 二次式 C</t>
        </is>
      </c>
      <c r="N64" s="56">
        <f>N23</f>
        <v/>
      </c>
      <c r="O64" s="17" t="n">
        <v>-9.267410630247591</v>
      </c>
      <c r="P64" s="67">
        <f>IF(ABS(N64-O64)&lt;=0.0009267420630247592,"✔ 一致","✘ 不一致")</f>
        <v/>
      </c>
    </row>
    <row r="65">
      <c r="A65" s="44" t="n">
        <v>0.1425</v>
      </c>
      <c r="B65" s="64" t="n">
        <v>1.4452</v>
      </c>
      <c r="C65" s="65" t="n">
        <v>0.6562</v>
      </c>
      <c r="D65" s="66">
        <f>SUMPRODUCT((A65*B65*C65*$B$5:$B$12/((1-C65*$B$5:$B$12)*(1-C65*$B$5:$B$12+B65*C65*$B$5:$B$12))-$E$5:$E$12)^2)</f>
        <v/>
      </c>
      <c r="E65" s="55">
        <f>SQRT(D65/COUNT($B$5:$B$12))</f>
        <v/>
      </c>
      <c r="F65" s="56">
        <f>(D65-MIN($D$20:$D$68))/$N$30^2</f>
        <v/>
      </c>
      <c r="G65" s="67">
        <f>IF(F65&lt;=3.84,"數據分不出來","數據排除")</f>
        <v/>
      </c>
      <c r="M65" s="21" t="inlineStr">
        <is>
          <t>Xm 可接受下限（σ = 0.005）</t>
        </is>
      </c>
      <c r="N65" s="55">
        <f>N32</f>
        <v/>
      </c>
      <c r="O65" s="44" t="n">
        <v>0.055</v>
      </c>
      <c r="P65" s="67">
        <f>IF(ABS(N65-O65)&lt;=5.501e-06,"✔ 一致","✘ 不一致")</f>
        <v/>
      </c>
    </row>
    <row r="66">
      <c r="A66" s="44" t="n">
        <v>0.145</v>
      </c>
      <c r="B66" s="64" t="n">
        <v>1.4181</v>
      </c>
      <c r="C66" s="65" t="n">
        <v>0.65284</v>
      </c>
      <c r="D66" s="66">
        <f>SUMPRODUCT((A66*B66*C66*$B$5:$B$12/((1-C66*$B$5:$B$12)*(1-C66*$B$5:$B$12+B66*C66*$B$5:$B$12))-$E$5:$E$12)^2)</f>
        <v/>
      </c>
      <c r="E66" s="55">
        <f>SQRT(D66/COUNT($B$5:$B$12))</f>
        <v/>
      </c>
      <c r="F66" s="56">
        <f>(D66-MIN($D$20:$D$68))/$N$30^2</f>
        <v/>
      </c>
      <c r="G66" s="67">
        <f>IF(F66&lt;=3.84,"數據分不出來","數據排除")</f>
        <v/>
      </c>
      <c r="M66" s="21" t="inlineStr">
        <is>
          <t>Xm 可接受上限（σ = 0.005）</t>
        </is>
      </c>
      <c r="N66" s="55">
        <f>N33</f>
        <v/>
      </c>
      <c r="O66" s="44" t="n">
        <v>0.1125</v>
      </c>
      <c r="P66" s="67">
        <f>IF(ABS(N66-O66)&lt;=1.1251000000000001e-05,"✔ 一致","✘ 不一致")</f>
        <v/>
      </c>
    </row>
    <row r="67">
      <c r="A67" s="44" t="n">
        <v>0.1475</v>
      </c>
      <c r="B67" s="64" t="n">
        <v>1.3922</v>
      </c>
      <c r="C67" s="65" t="n">
        <v>0.64957</v>
      </c>
      <c r="D67" s="66">
        <f>SUMPRODUCT((A67*B67*C67*$B$5:$B$12/((1-C67*$B$5:$B$12)*(1-C67*$B$5:$B$12+B67*C67*$B$5:$B$12))-$E$5:$E$12)^2)</f>
        <v/>
      </c>
      <c r="E67" s="55">
        <f>SQRT(D67/COUNT($B$5:$B$12))</f>
        <v/>
      </c>
      <c r="F67" s="56">
        <f>(D67-MIN($D$20:$D$68))/$N$30^2</f>
        <v/>
      </c>
      <c r="G67" s="67">
        <f>IF(F67&lt;=3.84,"數據分不出來","數據排除")</f>
        <v/>
      </c>
      <c r="M67" s="21" t="inlineStr">
        <is>
          <t>aw 0.6 對應水分 (%wb)</t>
        </is>
      </c>
      <c r="N67" s="56">
        <f>N54</f>
        <v/>
      </c>
      <c r="O67" s="17" t="n">
        <v>10.5</v>
      </c>
      <c r="P67" s="67">
        <f>IF(ABS(N67-O67)&lt;=0.001050001,"✔ 一致","✘ 不一致")</f>
        <v/>
      </c>
    </row>
    <row r="68">
      <c r="A68" s="44" t="n">
        <v>0.15</v>
      </c>
      <c r="B68" s="64" t="n">
        <v>1.3675</v>
      </c>
      <c r="C68" s="65" t="n">
        <v>0.64637</v>
      </c>
      <c r="D68" s="66">
        <f>SUMPRODUCT((A68*B68*C68*$B$5:$B$12/((1-C68*$B$5:$B$12)*(1-C68*$B$5:$B$12+B68*C68*$B$5:$B$12))-$E$5:$E$12)^2)</f>
        <v/>
      </c>
      <c r="E68" s="55">
        <f>SQRT(D68/COUNT($B$5:$B$12))</f>
        <v/>
      </c>
      <c r="F68" s="56">
        <f>(D68-MIN($D$20:$D$68))/$N$30^2</f>
        <v/>
      </c>
      <c r="G68" s="67">
        <f>IF(F68&lt;=3.84,"數據分不出來","數據排除")</f>
        <v/>
      </c>
      <c r="M68" s="18" t="inlineStr">
        <is>
          <t>「Colab 的值」來自 NB02 第 7 節；σ 或 ① 的數據改過之後，這一欄就不再適用。</t>
        </is>
      </c>
    </row>
    <row r="69"/>
  </sheetData>
  <mergeCells count="9">
    <mergeCell ref="M13:P15"/>
    <mergeCell ref="A16:K18"/>
    <mergeCell ref="M47:P50"/>
    <mergeCell ref="M25:P27"/>
    <mergeCell ref="M68:P69"/>
    <mergeCell ref="A13:K13"/>
    <mergeCell ref="M35:P38"/>
    <mergeCell ref="M55:P57"/>
    <mergeCell ref="A2:P2"/>
  </mergeCells>
  <conditionalFormatting sqref="F20:G68">
    <cfRule type="cellIs" priority="1" operator="lessThanOrEqual" dxfId="2">
      <formula>3.84</formula>
    </cfRule>
  </conditionalFormatting>
  <dataValidations count="1">
    <dataValidation sqref="N4" showDropDown="0" showInputMessage="0" showErrorMessage="0" allowBlank="0" type="list">
      <formula1>"烘箱法,FD-660"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B3306A"/>
    <outlinePr summaryBelow="1" summaryRight="1"/>
    <pageSetUpPr fitToPage="1"/>
  </sheetPr>
  <dimension ref="B1:B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練習題（寫在黃色格子裡，交報告時一起附上）</t>
        </is>
      </c>
    </row>
    <row r="3" ht="48" customHeight="1">
      <c r="B3" s="41" t="inlineStr">
        <is>
          <t>問題 1：牛肉乾質量平衡：工廠影片聲稱「500 g 鮮肉 → 100 g 牛肉乾」。瘦牛肉約 73% 水分，成品約 20% 水分，加工中固形物幾乎不流失。(1) 用質量平衡算合理的產率 (%) 與成品克數；(2) 跟影片的 100 g 差多少？(3) 若真的只得 100 g（20% 水分），還能同時支持影片「&gt; 30 g 蛋白質／100 g」的說法嗎？</t>
        </is>
      </c>
    </row>
    <row r="4" ht="30" customHeight="1">
      <c r="B4" s="18" t="inlineStr">
        <is>
          <t>提示：在任一空白格自己打公式：固形物 = 500 × (1 − 0.73)；成品重 = 固形物 ÷ (1 − 0.20)；產率 = 成品重 ÷ 500 × 100。第 (3) 小題：先算 100 g 成品裡「該有」多少固形物，再和 500 g 鮮肉實際有多少固形物比較。</t>
        </is>
      </c>
    </row>
    <row r="5" ht="60" customHeight="1">
      <c r="B5" s="42" t="inlineStr"/>
    </row>
    <row r="7" ht="32" customHeight="1">
      <c r="B7" s="41" t="inlineStr">
        <is>
          <t>問題 2：濕基／乾基練習：空盤 22.3300 g；盤+樣品 26.3300 g；乾燥後 25.5300 g。算出濕基 % 與乾基 %，並說明兩個數字為什麼不一樣。</t>
        </is>
      </c>
    </row>
    <row r="8" ht="15" customHeight="1">
      <c r="B8" s="18" t="inlineStr">
        <is>
          <t>提示：把「2_濕基乾基」C9–C11 改成這三個數字，讀 C15、C16。做完記得改回 25.1234／28.1234／27.9734。</t>
        </is>
      </c>
    </row>
    <row r="9" ht="60" customHeight="1">
      <c r="B9" s="42" t="inlineStr"/>
    </row>
    <row r="11" ht="48" customHeight="1">
      <c r="B11" s="41" t="inlineStr">
        <is>
          <t>問題 3：恆重判斷：連續三次乾燥後秤重 12.4050 g → 12.3890 g → 12.3860 g。(1) 第 3 次秤重後達到恆重了嗎？(2) 如果還沒，下一步該做什麼？(3) 再烘一次後第 4 次秤得 12.3851 g，現在恆重了嗎？該用哪一個重量算水分？</t>
        </is>
      </c>
    </row>
    <row r="12" ht="30" customHeight="1">
      <c r="B12" s="18" t="inlineStr">
        <is>
          <t>提示：把「2_濕基乾基」C23–C25 改成這三個數字，看 C28 的判定。第 (3) 小題：把 C23–C25 改成第 2、3、4 次的重量（12.3890、12.3860、12.3851）再看一次判定。</t>
        </is>
      </c>
    </row>
    <row r="13" ht="60" customHeight="1">
      <c r="B13" s="42" t="inlineStr"/>
    </row>
    <row r="15" ht="16" customHeight="1">
      <c r="B15" s="41" t="inlineStr">
        <is>
          <t>問題 4：比較「4_各組統計」各食品的 RSD%，哪一種食品精密度看起來最差？可能是操作的原因，還是樣品本身的原因？</t>
        </is>
      </c>
    </row>
    <row r="16" ht="15" customHeight="1">
      <c r="B16" s="18" t="inlineStr">
        <is>
          <t>提示：看 D11 的答案，再比較該食品的 SD（E 欄）是否真的比別的食品大。RSD = SD ÷ 平均，平均很小時 RSD 會被放大。</t>
        </is>
      </c>
    </row>
    <row r="17" ht="60" customHeight="1">
      <c r="B17" s="42" t="inlineStr"/>
    </row>
    <row r="19" ht="16" customHeight="1">
      <c r="B19" s="41" t="inlineStr">
        <is>
          <t>問題 5：牛肉乾與龍眼乾水分都約 20%，但 aw 不同。哪一個比較容易發黴？請用「6_水活性」的微生物下限說明。</t>
        </is>
      </c>
    </row>
    <row r="20" ht="15" customHeight="1">
      <c r="B20" s="18" t="inlineStr">
        <is>
          <t>提示：看 H、J 欄的平均 aw 與判定，並對照下面的散佈圖。</t>
        </is>
      </c>
    </row>
    <row r="21" ht="60" customHeight="1">
      <c r="B21" s="42" t="inlineStr"/>
    </row>
    <row r="23" ht="32" customHeight="1">
      <c r="B23" s="41" t="inlineStr">
        <is>
          <t>問題 6：「5_烘箱vs紅外線」為什麼要用「成對」t 檢定，而不是把烘箱法 15 個值和紅外線 15 個值當成兩組獨立數據比較？試試看把 T.TEST 的最後一個參數從 1（成對）改成 2（兩組獨立、等變異），p 值怎麼變？為什麼？</t>
        </is>
      </c>
    </row>
    <row r="24" ht="30" customHeight="1">
      <c r="B24" s="18" t="inlineStr">
        <is>
          <t>提示：在 J12 旁邊的空白格打 =T.TEST(E5:E19,D5:D19,2,2)。提示：15 份樣品的水分從 1% 到 35%，兩組各自的 SD 很大。</t>
        </is>
      </c>
    </row>
    <row r="25" ht="60" customHeight="1">
      <c r="B25" s="42" t="inlineStr"/>
    </row>
    <row r="27" ht="48" customHeight="1">
      <c r="B27" s="41" t="inlineStr">
        <is>
          <t>問題 7：等溫吸濕曲線（「8_吸濕曲線」）：(1) ② 的 BET 為什麼不能用？請同時用「範圍內的點數」和「C 的正負號」說明。(2) 把 N30 的 σ 改成 0.003 和 0.008，Xm 可接受範圍各是多少？(3) 用 3–5 句話寫出這組數據的 MSI 結論：Xm 該怎麼報告、建議補做哪些飽和鹽、這組數據能可靠回答什麼問題。</t>
        </is>
      </c>
    </row>
    <row r="28" ht="30" customHeight="1">
      <c r="B28" s="18" t="inlineStr">
        <is>
          <t>提示：飽和鹽 aw（25 °C）：LiCl 0.113、CH₃COOK 0.225、MgCl₂ 0.328、K₂CO₃ 0.432、Mg(NO₃)₂ 0.529。BET 至少要 3 點落在 aw 0.05–0.45。⑥ 的內插值就是「能可靠回答的問題」。</t>
        </is>
      </c>
    </row>
    <row r="29" ht="60" customHeight="1">
      <c r="B29" s="72" t="n"/>
    </row>
    <row r="30"/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2026-09-28T03:15:37Z</dcterms:created>
  <dcterms:modified xmlns:dcterms="http://purl.org/dc/terms/" xmlns:xsi="http://www.w3.org/2001/XMLSchema-instance" xsi:type="dcterms:W3CDTF">2026-10-12T17:28:50Z</dcterms:modified>
</cp:coreProperties>
</file>