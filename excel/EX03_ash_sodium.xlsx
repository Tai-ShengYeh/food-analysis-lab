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說明" sheetId="1" state="visible" r:id="rId1"/>
    <sheet name="1_原始數據" sheetId="2" state="visible" r:id="rId2"/>
    <sheet name="2_灰分" sheetId="3" state="visible" r:id="rId3"/>
    <sheet name="3_鈉與NaCl" sheetId="4" state="visible" r:id="rId4"/>
    <sheet name="4_回收率與飄移" sheetId="5" state="visible" r:id="rId5"/>
    <sheet name="5_標示比較" sheetId="6" state="visible" r:id="rId6"/>
    <sheet name="6_資料庫比對" sheetId="7" state="visible" r:id="rId7"/>
    <sheet name="7_參考資料" sheetId="8" state="visible" r:id="rId8"/>
    <sheet name="練習題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0.000"/>
    <numFmt numFmtId="167" formatCode="+0.00;-0.00;0.00"/>
    <numFmt numFmtId="168" formatCode="+0.0;-0.0;0.0"/>
  </numFmts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E6B66"/>
      <sz val="12"/>
    </font>
    <font>
      <name val="Microsoft JhengHei"/>
      <color rgb="005B6964"/>
      <sz val="10"/>
    </font>
    <font>
      <name val="Microsoft JhengHei"/>
      <b val="1"/>
      <color rgb="001E6B66"/>
      <sz val="16"/>
    </font>
    <font>
      <name val="Microsoft JhengHei"/>
      <b val="1"/>
      <sz val="11"/>
    </font>
    <font>
      <name val="Microsoft JhengHei"/>
      <color rgb="001E6B66"/>
      <sz val="11"/>
      <u val="single"/>
    </font>
  </fonts>
  <fills count="8">
    <fill>
      <patternFill/>
    </fill>
    <fill>
      <patternFill patternType="gray125"/>
    </fill>
    <fill>
      <patternFill patternType="solid">
        <fgColor rgb="001E6B6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5F3"/>
      </patternFill>
    </fill>
    <fill>
      <patternFill patternType="solid">
        <fgColor rgb="004E8F5A"/>
      </patternFill>
    </fill>
  </fills>
  <borders count="6">
    <border>
      <left/>
      <right/>
      <top/>
      <bottom/>
      <diagonal/>
    </border>
    <border>
      <left style="thin">
        <color rgb="00C9D3CF"/>
      </left>
      <right style="thin">
        <color rgb="00C9D3CF"/>
      </right>
      <top style="thin">
        <color rgb="00C9D3CF"/>
      </top>
      <bottom style="thin">
        <color rgb="00C9D3CF"/>
      </bottom>
    </border>
    <border>
      <left/>
      <right/>
      <top style="thin">
        <color rgb="00C9D3CF"/>
      </top>
      <bottom/>
      <diagonal/>
    </border>
    <border>
      <left/>
      <right style="thin">
        <color rgb="00C9D3CF"/>
      </right>
      <top style="thin">
        <color rgb="00C9D3CF"/>
      </top>
      <bottom/>
      <diagonal/>
    </border>
    <border>
      <left/>
      <right/>
      <top style="thin">
        <color rgb="00C9D3CF"/>
      </top>
      <bottom style="thin">
        <color rgb="00C9D3CF"/>
      </bottom>
      <diagonal/>
    </border>
    <border>
      <left/>
      <right style="thin">
        <color rgb="00C9D3CF"/>
      </right>
      <top style="thin">
        <color rgb="00C9D3CF"/>
      </top>
      <bottom style="thin">
        <color rgb="00C9D3CF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4" fontId="2" fillId="4" borderId="1" applyAlignment="1" pivotButton="0" quotePrefix="0" xfId="0">
      <alignment horizontal="right" vertical="center"/>
    </xf>
    <xf numFmtId="164" fontId="2" fillId="0" borderId="1" pivotButton="0" quotePrefix="0" xfId="0"/>
    <xf numFmtId="0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2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2" fillId="3" borderId="1" pivotButton="0" quotePrefix="0" xfId="0"/>
    <xf numFmtId="2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" fontId="2" fillId="4" borderId="1" applyAlignment="1" pivotButton="0" quotePrefix="0" xfId="0">
      <alignment horizontal="right" vertical="center"/>
    </xf>
    <xf numFmtId="2" fontId="2" fillId="3" borderId="1" pivotButton="0" quotePrefix="0" xfId="0"/>
    <xf numFmtId="165" fontId="2" fillId="3" borderId="1" pivotButton="0" quotePrefix="0" xfId="0"/>
    <xf numFmtId="1" fontId="2" fillId="3" borderId="1" pivotButton="0" quotePrefix="0" xfId="0"/>
    <xf numFmtId="0" fontId="4" fillId="0" borderId="0" applyAlignment="1" pivotButton="0" quotePrefix="0" xfId="0">
      <alignment horizontal="right"/>
    </xf>
    <xf numFmtId="0" fontId="4" fillId="0" borderId="1" pivotButton="0" quotePrefix="0" xfId="0"/>
    <xf numFmtId="165" fontId="2" fillId="4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4" borderId="1" applyAlignment="1" pivotButton="0" quotePrefix="0" xfId="0">
      <alignment vertical="top" wrapText="1"/>
    </xf>
    <xf numFmtId="167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8" fontId="2" fillId="4" borderId="1" applyAlignment="1" pivotButton="0" quotePrefix="0" xfId="0">
      <alignment horizontal="right" vertical="center"/>
    </xf>
    <xf numFmtId="0" fontId="6" fillId="0" borderId="1" pivotButton="0" quotePrefix="0" xfId="0"/>
    <xf numFmtId="168" fontId="6" fillId="5" borderId="1" applyAlignment="1" pivotButton="0" quotePrefix="0" xfId="0">
      <alignment horizontal="right" vertical="center"/>
    </xf>
    <xf numFmtId="9" fontId="2" fillId="3" borderId="1" pivotButton="0" quotePrefix="0" xfId="0"/>
    <xf numFmtId="166" fontId="2" fillId="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166" fontId="2" fillId="3" borderId="1" pivotButton="0" quotePrefix="0" xfId="0"/>
    <xf numFmtId="1" fontId="6" fillId="5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 wrapText="1"/>
    </xf>
    <xf numFmtId="0" fontId="2" fillId="6" borderId="0" pivotButton="0" quotePrefix="0" xfId="0"/>
    <xf numFmtId="9" fontId="2" fillId="4" borderId="0" pivotButton="0" quotePrefix="0" xfId="0"/>
    <xf numFmtId="2" fontId="2" fillId="4" borderId="0" pivotButton="0" quotePrefix="0" xfId="0"/>
    <xf numFmtId="166" fontId="2" fillId="4" borderId="0" pivotButton="0" quotePrefix="0" xfId="0"/>
    <xf numFmtId="0" fontId="2" fillId="4" borderId="0" pivotButton="0" quotePrefix="0" xfId="0"/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name val="Microsoft JhengHei"/>
        <b val="1"/>
        <color rgb="00C00000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Ash % by sample (mean ± SD)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8C5A3C"/>
            </a:solidFill>
            <a:ln>
              <a:solidFill>
                <a:srgbClr val="8C5A3C"/>
              </a:solidFill>
              <a:prstDash val="solid"/>
            </a:ln>
          </spPr>
          <errBars>
            <errDir val="y"/>
            <errBarType val="both"/>
            <errValType val="cust"/>
            <noEndCap val="0"/>
            <minus>
              <numRef>
                <f>'2_灰分'!$E$42:$E$46</f>
              </numRef>
            </minus>
            <plus>
              <numRef>
                <f>'2_灰分'!$E$42:$E$46</f>
              </numRef>
            </plus>
          </errBars>
          <cat>
            <numRef>
              <f>'2_灰分'!$A$42:$A$46</f>
            </numRef>
          </cat>
          <val>
            <numRef>
              <f>'2_灰分'!$D$42:$D$46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Sample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Ash content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Drift check across the measurement run</a:t>
            </a:r>
          </a:p>
        </rich>
      </tx>
    </title>
    <plotArea>
      <scatterChart>
        <scatterStyle val="lineMarker"/>
        <ser>
          <idx val="0"/>
          <order val="0"/>
          <tx>
            <v>QC standard</v>
          </tx>
          <spPr>
            <a:ln w="19050">
              <a:solidFill>
                <a:srgbClr val="4A6FA5"/>
              </a:solidFill>
              <a:prstDash val="solid"/>
            </a:ln>
          </spPr>
          <marker>
            <symbol val="circle"/>
            <size val="7"/>
            <spPr>
              <a:solidFill>
                <a:srgbClr val="4A6FA5"/>
              </a:solidFill>
              <a:ln>
                <a:solidFill>
                  <a:srgbClr val="4A6FA5"/>
                </a:solidFill>
                <a:prstDash val="solid"/>
              </a:ln>
            </spPr>
          </marker>
          <xVal>
            <numRef>
              <f>'4_回收率與飄移'!$A$27:$A$32</f>
            </numRef>
          </xVal>
          <yVal>
            <numRef>
              <f>'4_回收率與飄移'!$C$27:$C$32</f>
            </numRef>
          </yVal>
          <smooth val="0"/>
        </ser>
        <ser>
          <idx val="1"/>
          <order val="1"/>
          <tx>
            <v>+ limit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'4_回收率與飄移'!$H$27:$H$28</f>
            </numRef>
          </xVal>
          <yVal>
            <numRef>
              <f>'4_回收率與飄移'!$I$27:$I$28</f>
            </numRef>
          </yVal>
          <smooth val="0"/>
        </ser>
        <ser>
          <idx val="2"/>
          <order val="2"/>
          <tx>
            <v>- limit</v>
          </tx>
          <spPr>
            <a:ln w="19050">
              <a:solidFill>
                <a:srgbClr val="B3306A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'4_回收率與飄移'!$H$27:$H$28</f>
            </numRef>
          </xVal>
          <yVal>
            <numRef>
              <f>'4_回收率與飄移'!$J$27:$J$28</f>
            </numRef>
          </yVal>
          <smooth val="0"/>
        </ser>
        <ser>
          <idx val="3"/>
          <order val="3"/>
          <tx>
            <v>0</v>
          </tx>
          <spPr>
            <a:ln w="9525">
              <a:solidFill>
                <a:srgbClr val="5B696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'4_回收率與飄移'!$H$27:$H$28</f>
            </numRef>
          </xVal>
          <yVal>
            <numRef>
              <f>'4_回收率與飄移'!$K$27:$K$28</f>
            </numRef>
          </yVal>
          <smooth val="0"/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 index (standard re-measured every 10 samples)</a:t>
                </a:r>
              </a:p>
            </rich>
          </tx>
        </title>
        <majorTickMark val="none"/>
        <minorTickMark val="none"/>
        <tickLblPos val="low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Deviation from nominal (%)</a:t>
                </a:r>
              </a:p>
            </rich>
          </tx>
        </title>
        <majorTickMark val="none"/>
        <minorTickMark val="none"/>
        <tickLblPos val="low"/>
        <crossAx val="10"/>
        <crosses val="min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Measured vs label sodium (log scale)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'5_標示比較'!E4</f>
            </strRef>
          </tx>
          <spPr>
            <a:solidFill>
              <a:srgbClr val="4A6FA5"/>
            </a:solidFill>
            <a:ln>
              <a:solidFill>
                <a:srgbClr val="4A6FA5"/>
              </a:solidFill>
              <a:prstDash val="solid"/>
            </a:ln>
          </spPr>
          <cat>
            <numRef>
              <f>'5_標示比較'!$A$5:$A$9</f>
            </numRef>
          </cat>
          <val>
            <numRef>
              <f>'5_標示比較'!$E$5:$E$9</f>
            </numRef>
          </val>
        </ser>
        <ser>
          <idx val="1"/>
          <order val="1"/>
          <tx>
            <strRef>
              <f>'5_標示比較'!F4</f>
            </strRef>
          </tx>
          <spPr>
            <a:solidFill>
              <a:srgbClr val="D08A1E"/>
            </a:solidFill>
            <a:ln>
              <a:solidFill>
                <a:srgbClr val="D08A1E"/>
              </a:solidFill>
              <a:prstDash val="solid"/>
            </a:ln>
          </spPr>
          <cat>
            <numRef>
              <f>'5_標示比較'!$A$5:$A$9</f>
            </numRef>
          </cat>
          <val>
            <numRef>
              <f>'5_標示比較'!$F$5:$F$9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  <min val="1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Sodium (mg / 100 g)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48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i-shengyeh.github.io/food-analysis-lab/labs/w03_ash_sodium/index.html" TargetMode="External" Id="rId1" /><Relationship Type="http://schemas.openxmlformats.org/officeDocument/2006/relationships/hyperlink" Target="https://colab.research.google.com/github/Tai-ShengYeh/food-analysis-lab/blob/main/notebooks/NB03_ash_sodium.ipynb" TargetMode="External" Id="rId2" /><Relationship Type="http://schemas.openxmlformats.org/officeDocument/2006/relationships/hyperlink" Target="https://tai-shengyeh.github.io/food-analysis-lab/tools.html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tabColor rgb="001E6B66"/>
    <outlinePr summaryBelow="1" summaryRight="1"/>
    <pageSetUpPr fitToPage="1"/>
  </sheetPr>
  <dimension ref="B1:E4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40" customWidth="1" min="5" max="5"/>
  </cols>
  <sheetData>
    <row r="1" ht="28" customHeight="1">
      <c r="B1" s="1" t="inlineStr">
        <is>
          <t>EX03｜W3 灰分與鈉離子</t>
        </is>
      </c>
    </row>
    <row r="2">
      <c r="B2" s="2" t="inlineStr">
        <is>
          <t>食品分析實驗・入門數據分析（Excel 版）。不用寫程式；同一份數據在 Colab 筆記本做進階分析，答案應該一致。</t>
        </is>
      </c>
    </row>
    <row r="4">
      <c r="B4" s="3" t="inlineStr">
        <is>
          <t>學習目標</t>
        </is>
      </c>
    </row>
    <row r="5">
      <c r="B5" s="4" t="inlineStr">
        <is>
          <t>•  由坩堝空重、坩堝＋樣品、灰化後坩堝＋灰分（恆重）計算灰分 %，比較黑糖 vs 白糖、糙米 vs 白米。</t>
        </is>
      </c>
    </row>
    <row r="6">
      <c r="B6" s="4" t="inlineStr">
        <is>
          <t>•  由 Na⁺ ISE 讀數與稀釋倍數回推樣品的鈉濃度，換算成 NaCl 當量（× 2.542 = 58.44/22.99）。</t>
        </is>
      </c>
    </row>
    <row r="7">
      <c r="B7" s="4" t="inlineStr">
        <is>
          <t>•  計算標準添加回收率 %，用 90–110% 判斷方法準確性；檢查飄移（每 10 個樣品重測標準液，偏差 &gt; ±5% 要重新校正）。</t>
        </is>
      </c>
    </row>
    <row r="8">
      <c r="B8" s="4" t="inlineStr">
        <is>
          <t>•  把量測鈉換成每 100 g，跟營養標示比較，並討論非 NaCl 的含鈉來源。</t>
        </is>
      </c>
    </row>
    <row r="9">
      <c r="B9" s="4" t="inlineStr">
        <is>
          <t>•  用官方食物成分資料庫（USDA、衛福部 TFND）檢查數據是否合理，並用旗標抓出單位／稀釋倍數／乾濕基的換算錯誤。</t>
        </is>
      </c>
    </row>
    <row r="11">
      <c r="B11" s="3" t="inlineStr">
        <is>
          <t>顏色代表什麼</t>
        </is>
      </c>
    </row>
    <row r="12">
      <c r="B12" s="5" t="inlineStr"/>
      <c r="C12" s="6" t="inlineStr">
        <is>
          <t>黃色：輸入或貼上數據的地方</t>
        </is>
      </c>
    </row>
    <row r="13">
      <c r="B13" s="7" t="inlineStr"/>
      <c r="C13" s="6" t="inlineStr">
        <is>
          <t>綠色：公式，會自動計算，不要改</t>
        </is>
      </c>
    </row>
    <row r="14">
      <c r="B14" s="8" t="inlineStr"/>
      <c r="C14" s="6" t="inlineStr">
        <is>
          <t>橘色：重點結果，寫報告時用</t>
        </is>
      </c>
    </row>
    <row r="16">
      <c r="B16" s="3" t="inlineStr">
        <is>
          <t>操作步驟</t>
        </is>
      </c>
    </row>
    <row r="17" ht="15" customHeight="1">
      <c r="B17" s="4" t="inlineStr">
        <is>
          <t>1. 看「1_原始數據」：一列是一次量測，item 欄說明量的是什麼。</t>
        </is>
      </c>
    </row>
    <row r="18" ht="15" customHeight="1">
      <c r="B18" s="4" t="inlineStr">
        <is>
          <t>2. 「2_灰分」：先做講義範例（應為 1.47%），再看各組與各樣品的灰分 % 和長條圖。</t>
        </is>
      </c>
    </row>
    <row r="19" ht="30" customHeight="1">
      <c r="B19" s="4" t="inlineStr">
        <is>
          <t>3. 「3_鈉與NaCl」：講義範例（醬油 1:50，NaCl 應為 13.98 g/100 mL），再看五種產品的鈉與 NaCl 當量。</t>
        </is>
      </c>
    </row>
    <row r="20" ht="15" customHeight="1">
      <c r="B20" s="4" t="inlineStr">
        <is>
          <t>4. 「4_回收率與飄移」：回收率是否在 90–110%；飄移圖有沒有點超出 ±5%；（選用）Nernst 斜率。</t>
        </is>
      </c>
    </row>
    <row r="21" ht="15" customHeight="1">
      <c r="B21" s="4" t="inlineStr">
        <is>
          <t>5. 「5_標示比較」：標示換成每 100 g 後跟量測值比。</t>
        </is>
      </c>
    </row>
    <row r="22" ht="30" customHeight="1">
      <c r="B22" s="4" t="inlineStr">
        <is>
          <t>6. 「6_資料庫比對」：全班平均是否在資料庫合理範圍內、有沒有 ⚑ 旗標；看故意算錯的 G6–G8。資料庫原始數字在「7_參考資料」。</t>
        </is>
      </c>
    </row>
    <row r="23" ht="15" customHeight="1">
      <c r="B23" s="4" t="inlineStr">
        <is>
          <t>7. 完成「練習題」。</t>
        </is>
      </c>
    </row>
    <row r="24" ht="30" customHeight="1">
      <c r="B24" s="4" t="inlineStr">
        <is>
          <t>8. 換成班級數據：把共用 Google Sheet 的數據貼到「1_原始數據」A2 起。組別、樣品不同時，改各表黃色的組別／樣品欄。</t>
        </is>
      </c>
    </row>
    <row r="26">
      <c r="B26" s="3" t="inlineStr">
        <is>
          <t>對答案：用內建範例數據時，你的結果應該等於</t>
        </is>
      </c>
    </row>
    <row r="27">
      <c r="B27" s="9" t="inlineStr">
        <is>
          <t>項目</t>
        </is>
      </c>
      <c r="C27" s="9" t="inlineStr">
        <is>
          <t>本檔計算值</t>
        </is>
      </c>
      <c r="D27" s="9" t="inlineStr">
        <is>
          <t>Colab 筆記本的值</t>
        </is>
      </c>
      <c r="E27" s="9" t="inlineStr">
        <is>
          <t>一致？</t>
        </is>
      </c>
    </row>
    <row r="28">
      <c r="B28" s="10" t="inlineStr">
        <is>
          <t>黑糖 全班平均灰分 (%)</t>
        </is>
      </c>
      <c r="C28" s="11">
        <f>'2_灰分'!D45</f>
        <v/>
      </c>
      <c r="D28" s="12" t="n">
        <v>1.49187570459651</v>
      </c>
      <c r="E28" s="13">
        <f>IF(ABS(C28-D28)&lt;=0.000149188570459651,"✔ 一致","✘ 不一致（換成班級數據後本來就會不同）")</f>
        <v/>
      </c>
    </row>
    <row r="29">
      <c r="B29" s="10" t="inlineStr">
        <is>
          <t>全脂奶粉 灰分 SD (%)</t>
        </is>
      </c>
      <c r="C29" s="11">
        <f>'2_灰分'!E46</f>
        <v/>
      </c>
      <c r="D29" s="12" t="n">
        <v>0.3066292132869159</v>
      </c>
      <c r="E29" s="13">
        <f>IF(ABS(C29-D29)&lt;=3.0663921328691596e-05,"✔ 一致","✘ 不一致（換成班級數據後本來就會不同）")</f>
        <v/>
      </c>
    </row>
    <row r="30">
      <c r="B30" s="10" t="inlineStr">
        <is>
          <t>醬油 Na (mg/100 mL)</t>
        </is>
      </c>
      <c r="C30" s="14">
        <f>'3_鈉與NaCl'!M19</f>
        <v/>
      </c>
      <c r="D30" s="15" t="n">
        <v>6013.6</v>
      </c>
      <c r="E30" s="13">
        <f>IF(ABS(C30-D30)&lt;=0.6013600010000001,"✔ 一致","✘ 不一致（換成班級數據後本來就會不同）")</f>
        <v/>
      </c>
    </row>
    <row r="31">
      <c r="B31" s="10" t="inlineStr">
        <is>
          <t>第 4 組 標準添加回收率 (%)</t>
        </is>
      </c>
      <c r="C31" s="14">
        <f>'4_回收率與飄移'!D12</f>
        <v/>
      </c>
      <c r="D31" s="15" t="n">
        <v>75.84999999999999</v>
      </c>
      <c r="E31" s="13">
        <f>IF(ABS(C31-D31)&lt;=0.007585001,"✔ 一致","✘ 不一致（換成班級數據後本來就會不同）")</f>
        <v/>
      </c>
    </row>
    <row r="32">
      <c r="B32" s="10" t="inlineStr">
        <is>
          <t>第 40 個樣品時 標準液偏差 (%)</t>
        </is>
      </c>
      <c r="C32" s="14">
        <f>'4_回收率與飄移'!C31</f>
        <v/>
      </c>
      <c r="D32" s="15" t="n">
        <v>6.1</v>
      </c>
      <c r="E32" s="13">
        <f>IF(ABS(C32-D32)&lt;=0.000610001,"✔ 一致","✘ 不一致（換成班級數據後本來就會不同）")</f>
        <v/>
      </c>
    </row>
    <row r="33">
      <c r="B33" s="10" t="inlineStr">
        <is>
          <t>洋芋片 量測 vs 標示差異 (%)</t>
        </is>
      </c>
      <c r="C33" s="14">
        <f>'5_標示比較'!G6</f>
        <v/>
      </c>
      <c r="D33" s="15" t="n">
        <v>-8.893333333333334</v>
      </c>
      <c r="E33" s="13">
        <f>IF(ABS(C33-D33)&lt;=0.0008893343333333335,"✔ 一致","✘ 不一致（換成班級數據後本來就會不同）")</f>
        <v/>
      </c>
    </row>
    <row r="34">
      <c r="B34" s="10" t="inlineStr">
        <is>
          <t>醬油 量測 vs 標示差異 (%)</t>
        </is>
      </c>
      <c r="C34" s="14">
        <f>'5_標示比較'!G5</f>
        <v/>
      </c>
      <c r="D34" s="15" t="n">
        <v>-10.06580259222331</v>
      </c>
      <c r="E34" s="13">
        <f>IF(ABS(C34-D34)&lt;=0.0010065812592223314,"✔ 一致","✘ 不一致（換成班級數據後本來就會不同）")</f>
        <v/>
      </c>
    </row>
    <row r="35">
      <c r="B35" s="10" t="inlineStr">
        <is>
          <t>醬油 換算成 mg/100 g（÷ 密度 1.18）</t>
        </is>
      </c>
      <c r="C35" s="14">
        <f>'6_資料庫比對'!F21</f>
        <v/>
      </c>
      <c r="D35" s="15" t="n">
        <v>5096.271186440678</v>
      </c>
      <c r="E35" s="13">
        <f>IF(ABS(C35-D35)&lt;=0.5096271196440678,"✔ 一致","✘ 不一致（換成班級數據後本來就會不同）")</f>
        <v/>
      </c>
    </row>
    <row r="36">
      <c r="B36" s="10" t="inlineStr">
        <is>
          <t>糙米灰分 資料庫合理範圍上限 (%)</t>
        </is>
      </c>
      <c r="C36" s="11">
        <f>'6_資料庫比對'!J18</f>
        <v/>
      </c>
      <c r="D36" s="12" t="n">
        <v>1.47545</v>
      </c>
      <c r="E36" s="13">
        <f>IF(ABS(C36-D36)&lt;=0.000147546,"✔ 一致","✘ 不一致（換成班級數據後本來就會不同）")</f>
        <v/>
      </c>
    </row>
    <row r="37">
      <c r="B37" s="16" t="inlineStr">
        <is>
          <t>「Colab 筆記本的值」是用內建模擬數據算出的答案；換成全班數據後，這一欄就不再適用。</t>
        </is>
      </c>
    </row>
    <row r="39">
      <c r="B39" s="3" t="inlineStr">
        <is>
          <t>相關連結</t>
        </is>
      </c>
    </row>
    <row r="40">
      <c r="B40" s="17" t="inlineStr">
        <is>
          <t>本週實驗投影片</t>
        </is>
      </c>
      <c r="C40" s="2" t="inlineStr">
        <is>
          <t>https://tai-shengyeh.github.io/food-analysis-lab/labs/w03_ash_sodium/index.html</t>
        </is>
      </c>
    </row>
    <row r="41">
      <c r="B41" s="17" t="inlineStr">
        <is>
          <t>進階：Colab 筆記本（Python）</t>
        </is>
      </c>
      <c r="C41" s="2" t="inlineStr">
        <is>
          <t>https://colab.research.google.com/github/Tai-ShengYeh/food-analysis-lab/blob/main/notebooks/NB03_ash_sodium.ipynb</t>
        </is>
      </c>
    </row>
    <row r="42">
      <c r="B42" s="17" t="inlineStr">
        <is>
          <t>數據分析工具指南（Excel／Orange／Colab）</t>
        </is>
      </c>
      <c r="C42" s="2" t="inlineStr">
        <is>
          <t>https://tai-shengyeh.github.io/food-analysis-lab/tools.html</t>
        </is>
      </c>
    </row>
    <row r="44">
      <c r="B44" s="3" t="inlineStr">
        <is>
          <t>小提醒</t>
        </is>
      </c>
    </row>
    <row r="45" ht="15" customHeight="1">
      <c r="B45" s="4" t="inlineStr">
        <is>
          <t>•  本檔的數據是模擬教學資料，不是真實量測值。</t>
        </is>
      </c>
    </row>
    <row r="46" ht="45" customHeight="1">
      <c r="B46" s="4" t="inlineStr">
        <is>
          <t>•  進階：資料庫比對的完整版（每一組鈉的逐一比對、每個品項的小圖、ISE／方法的說明文字、R 語言版本）與結果匯出 CSV，請看 Colab 筆記本。本檔的旗標是同一套規則的簡化版（單位 10 倍、NaCl 2.542 倍、稀釋倍數、乾濕基）。</t>
        </is>
      </c>
    </row>
    <row r="47" ht="30" customHeight="1">
      <c r="B47" s="4" t="inlineStr">
        <is>
          <t>•  灰分是濕基（除以樣品濕重）。要換成乾基：乾基灰分 = 濕基灰分 ÷ (1 − 水分%/100)，水分用 W2 的結果。</t>
        </is>
      </c>
    </row>
    <row r="48" ht="30" customHeight="1">
      <c r="B48" s="4" t="inlineStr">
        <is>
          <t>•  Google 試算表也能開這個檔（檔案 → 匯入），公式都一樣能用。看到 #NAME? 表示 Excel 版本太舊，請改用 Google 試算表。</t>
        </is>
      </c>
    </row>
  </sheetData>
  <mergeCells count="18">
    <mergeCell ref="B20:E20"/>
    <mergeCell ref="B45:E45"/>
    <mergeCell ref="B17:E17"/>
    <mergeCell ref="B9:E9"/>
    <mergeCell ref="B18:E18"/>
    <mergeCell ref="B8:E8"/>
    <mergeCell ref="B23:E23"/>
    <mergeCell ref="B37:E37"/>
    <mergeCell ref="B6:E6"/>
    <mergeCell ref="B21:E21"/>
    <mergeCell ref="B48:E48"/>
    <mergeCell ref="B7:E7"/>
    <mergeCell ref="B24:E24"/>
    <mergeCell ref="B5:E5"/>
    <mergeCell ref="B19:E19"/>
    <mergeCell ref="B47:E47"/>
    <mergeCell ref="B46:E46"/>
    <mergeCell ref="B22:E22"/>
  </mergeCells>
  <hyperlinks>
    <hyperlink xmlns:r="http://schemas.openxmlformats.org/officeDocument/2006/relationships" ref="B40" r:id="rId1"/>
    <hyperlink xmlns:r="http://schemas.openxmlformats.org/officeDocument/2006/relationships" ref="B41" r:id="rId2"/>
    <hyperlink xmlns:r="http://schemas.openxmlformats.org/officeDocument/2006/relationships" ref="B42" r:id="rId3"/>
  </hyperlink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K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60" customWidth="1" min="11" max="11"/>
  </cols>
  <sheetData>
    <row r="1">
      <c r="A1" s="9" t="inlineStr">
        <is>
          <t>group</t>
        </is>
      </c>
      <c r="B1" s="9" t="inlineStr">
        <is>
          <t>student</t>
        </is>
      </c>
      <c r="C1" s="9" t="inlineStr">
        <is>
          <t>item</t>
        </is>
      </c>
      <c r="D1" s="9" t="inlineStr">
        <is>
          <t>rep</t>
        </is>
      </c>
      <c r="E1" s="9" t="inlineStr">
        <is>
          <t>value</t>
        </is>
      </c>
      <c r="F1" s="9" t="inlineStr">
        <is>
          <t>unit</t>
        </is>
      </c>
      <c r="G1" s="9" t="inlineStr">
        <is>
          <t>temp_C</t>
        </is>
      </c>
      <c r="H1" s="9" t="inlineStr">
        <is>
          <t>note</t>
        </is>
      </c>
      <c r="I1" s="9" t="inlineStr">
        <is>
          <t>sample</t>
        </is>
      </c>
      <c r="K1" s="3" t="inlineStr">
        <is>
          <t>這張工作表怎麼用</t>
        </is>
      </c>
    </row>
    <row r="2" ht="105" customHeight="1">
      <c r="A2" s="18" t="n">
        <v>1</v>
      </c>
      <c r="B2" s="18" t="inlineStr">
        <is>
          <t>G1_S1</t>
        </is>
      </c>
      <c r="C2" s="18" t="inlineStr">
        <is>
          <t>crucible_empty_g</t>
        </is>
      </c>
      <c r="D2" s="18" t="n">
        <v>1</v>
      </c>
      <c r="E2" s="18" t="n">
        <v>28.6437</v>
      </c>
      <c r="F2" s="18" t="inlineStr">
        <is>
          <t>g</t>
        </is>
      </c>
      <c r="G2" s="18" t="n">
        <v>555</v>
      </c>
      <c r="H2" s="18" t="n"/>
      <c r="I2" s="18" t="inlineStr">
        <is>
          <t>black_sugar</t>
        </is>
      </c>
      <c r="K2" s="16" t="inlineStr">
        <is>
          <t>本週欄位：item＝量測項目。crucible_empty_g 坩堝空重、crucible_sample_g 坩堝＋樣品、crucible_ash_g 灰化後坩堝＋灰分（恆重）；na_ise_ppm Na⁺ ISE 讀數；std_addition_before_ppm／std_addition_after_ppm 標準添加前／後讀數；drift_check_ppm 飄移監控（group=0 代表 QC 標準液，rep＝第幾個樣品時重測）；nernst_mV 兩點 Nernst 電位。</t>
        </is>
      </c>
    </row>
    <row r="3" ht="30" customHeight="1">
      <c r="A3" s="18" t="n">
        <v>1</v>
      </c>
      <c r="B3" s="18" t="inlineStr">
        <is>
          <t>G1_S1</t>
        </is>
      </c>
      <c r="C3" s="18" t="inlineStr">
        <is>
          <t>crucible_sample_g</t>
        </is>
      </c>
      <c r="D3" s="18" t="n">
        <v>1</v>
      </c>
      <c r="E3" s="18" t="n">
        <v>31.0917</v>
      </c>
      <c r="F3" s="18" t="inlineStr">
        <is>
          <t>g</t>
        </is>
      </c>
      <c r="G3" s="18" t="n">
        <v>555</v>
      </c>
      <c r="H3" s="18" t="n"/>
      <c r="I3" s="18" t="inlineStr">
        <is>
          <t>black_sugar</t>
        </is>
      </c>
      <c r="K3" s="16" t="inlineStr">
        <is>
          <t>sample＝樣品名稱。灰分列的 temp_C 是高溫爐溫度（約 550 °C），不是室溫。</t>
        </is>
      </c>
    </row>
    <row r="4" ht="30" customHeight="1">
      <c r="A4" s="18" t="n">
        <v>1</v>
      </c>
      <c r="B4" s="18" t="inlineStr">
        <is>
          <t>G1_S1</t>
        </is>
      </c>
      <c r="C4" s="18" t="inlineStr">
        <is>
          <t>crucible_ash_g</t>
        </is>
      </c>
      <c r="D4" s="18" t="n">
        <v>1</v>
      </c>
      <c r="E4" s="18" t="n">
        <v>28.6815</v>
      </c>
      <c r="F4" s="18" t="inlineStr">
        <is>
          <t>g</t>
        </is>
      </c>
      <c r="G4" s="18" t="n">
        <v>555</v>
      </c>
      <c r="H4" s="18" t="n"/>
      <c r="I4" s="18" t="inlineStr">
        <is>
          <t>black_sugar</t>
        </is>
      </c>
      <c r="K4" s="16" t="inlineStr">
        <is>
          <t>本表不需要額外計算欄；後面每一張工作表都用 AVERAGEIFS／COUNTIFS 依 group、item、sample 把數字抓過去。</t>
        </is>
      </c>
    </row>
    <row r="5" ht="30" customHeight="1">
      <c r="A5" s="18" t="n">
        <v>1</v>
      </c>
      <c r="B5" s="18" t="inlineStr">
        <is>
          <t>G1_S1</t>
        </is>
      </c>
      <c r="C5" s="18" t="inlineStr">
        <is>
          <t>crucible_empty_g</t>
        </is>
      </c>
      <c r="D5" s="18" t="n">
        <v>1</v>
      </c>
      <c r="E5" s="18" t="n">
        <v>24.5651</v>
      </c>
      <c r="F5" s="18" t="inlineStr">
        <is>
          <t>g</t>
        </is>
      </c>
      <c r="G5" s="18" t="n">
        <v>548</v>
      </c>
      <c r="H5" s="18" t="n"/>
      <c r="I5" s="18" t="inlineStr">
        <is>
          <t>white_sugar</t>
        </is>
      </c>
      <c r="K5" s="16" t="inlineStr">
        <is>
          <t>黃色欄位＝原始數據。換成全班數據時：從共用 Google Sheet 複製，貼到 A2（欄位順序必須一樣），舊資料多出來的列要整列刪除。</t>
        </is>
      </c>
    </row>
    <row r="6" ht="15" customHeight="1">
      <c r="A6" s="18" t="n">
        <v>1</v>
      </c>
      <c r="B6" s="18" t="inlineStr">
        <is>
          <t>G1_S1</t>
        </is>
      </c>
      <c r="C6" s="18" t="inlineStr">
        <is>
          <t>crucible_sample_g</t>
        </is>
      </c>
      <c r="D6" s="18" t="n">
        <v>1</v>
      </c>
      <c r="E6" s="18" t="n">
        <v>27</v>
      </c>
      <c r="F6" s="18" t="inlineStr">
        <is>
          <t>g</t>
        </is>
      </c>
      <c r="G6" s="18" t="n">
        <v>548</v>
      </c>
      <c r="H6" s="18" t="n"/>
      <c r="I6" s="18" t="inlineStr">
        <is>
          <t>white_sugar</t>
        </is>
      </c>
      <c r="K6" s="16" t="inlineStr">
        <is>
          <t>綠色欄位＝公式，會自動算到第 1000 列，不要手動修改。</t>
        </is>
      </c>
    </row>
    <row r="7">
      <c r="A7" s="18" t="n">
        <v>1</v>
      </c>
      <c r="B7" s="18" t="inlineStr">
        <is>
          <t>G1_S1</t>
        </is>
      </c>
      <c r="C7" s="18" t="inlineStr">
        <is>
          <t>crucible_ash_g</t>
        </is>
      </c>
      <c r="D7" s="18" t="n">
        <v>1</v>
      </c>
      <c r="E7" s="18" t="n">
        <v>24.5659</v>
      </c>
      <c r="F7" s="18" t="inlineStr">
        <is>
          <t>g</t>
        </is>
      </c>
      <c r="G7" s="18" t="n">
        <v>548</v>
      </c>
      <c r="H7" s="18" t="n"/>
      <c r="I7" s="18" t="inlineStr">
        <is>
          <t>white_sugar</t>
        </is>
      </c>
    </row>
    <row r="8">
      <c r="A8" s="18" t="n">
        <v>1</v>
      </c>
      <c r="B8" s="18" t="inlineStr">
        <is>
          <t>G1_S1</t>
        </is>
      </c>
      <c r="C8" s="18" t="inlineStr">
        <is>
          <t>crucible_empty_g</t>
        </is>
      </c>
      <c r="D8" s="18" t="n">
        <v>1</v>
      </c>
      <c r="E8" s="18" t="n">
        <v>24.7687</v>
      </c>
      <c r="F8" s="18" t="inlineStr">
        <is>
          <t>g</t>
        </is>
      </c>
      <c r="G8" s="18" t="n">
        <v>554</v>
      </c>
      <c r="H8" s="18" t="n"/>
      <c r="I8" s="18" t="inlineStr">
        <is>
          <t>brown_rice</t>
        </is>
      </c>
    </row>
    <row r="9">
      <c r="A9" s="18" t="n">
        <v>1</v>
      </c>
      <c r="B9" s="18" t="inlineStr">
        <is>
          <t>G1_S1</t>
        </is>
      </c>
      <c r="C9" s="18" t="inlineStr">
        <is>
          <t>crucible_sample_g</t>
        </is>
      </c>
      <c r="D9" s="18" t="n">
        <v>1</v>
      </c>
      <c r="E9" s="18" t="n">
        <v>27.226</v>
      </c>
      <c r="F9" s="18" t="inlineStr">
        <is>
          <t>g</t>
        </is>
      </c>
      <c r="G9" s="18" t="n">
        <v>554</v>
      </c>
      <c r="H9" s="18" t="n"/>
      <c r="I9" s="18" t="inlineStr">
        <is>
          <t>brown_rice</t>
        </is>
      </c>
    </row>
    <row r="10">
      <c r="A10" s="18" t="n">
        <v>1</v>
      </c>
      <c r="B10" s="18" t="inlineStr">
        <is>
          <t>G1_S1</t>
        </is>
      </c>
      <c r="C10" s="18" t="inlineStr">
        <is>
          <t>crucible_ash_g</t>
        </is>
      </c>
      <c r="D10" s="18" t="n">
        <v>1</v>
      </c>
      <c r="E10" s="18" t="n">
        <v>24.8</v>
      </c>
      <c r="F10" s="18" t="inlineStr">
        <is>
          <t>g</t>
        </is>
      </c>
      <c r="G10" s="18" t="n">
        <v>554</v>
      </c>
      <c r="H10" s="18" t="n"/>
      <c r="I10" s="18" t="inlineStr">
        <is>
          <t>brown_rice</t>
        </is>
      </c>
    </row>
    <row r="11">
      <c r="A11" s="18" t="n">
        <v>1</v>
      </c>
      <c r="B11" s="18" t="inlineStr">
        <is>
          <t>G1_S1</t>
        </is>
      </c>
      <c r="C11" s="18" t="inlineStr">
        <is>
          <t>crucible_empty_g</t>
        </is>
      </c>
      <c r="D11" s="18" t="n">
        <v>1</v>
      </c>
      <c r="E11" s="18" t="n">
        <v>27.8632</v>
      </c>
      <c r="F11" s="18" t="inlineStr">
        <is>
          <t>g</t>
        </is>
      </c>
      <c r="G11" s="18" t="n">
        <v>546</v>
      </c>
      <c r="H11" s="18" t="n"/>
      <c r="I11" s="18" t="inlineStr">
        <is>
          <t>polished_rice</t>
        </is>
      </c>
    </row>
    <row r="12">
      <c r="A12" s="18" t="n">
        <v>1</v>
      </c>
      <c r="B12" s="18" t="inlineStr">
        <is>
          <t>G1_S1</t>
        </is>
      </c>
      <c r="C12" s="18" t="inlineStr">
        <is>
          <t>crucible_sample_g</t>
        </is>
      </c>
      <c r="D12" s="18" t="n">
        <v>1</v>
      </c>
      <c r="E12" s="18" t="n">
        <v>30.4196</v>
      </c>
      <c r="F12" s="18" t="inlineStr">
        <is>
          <t>g</t>
        </is>
      </c>
      <c r="G12" s="18" t="n">
        <v>546</v>
      </c>
      <c r="H12" s="18" t="n"/>
      <c r="I12" s="18" t="inlineStr">
        <is>
          <t>polished_rice</t>
        </is>
      </c>
    </row>
    <row r="13">
      <c r="A13" s="18" t="n">
        <v>1</v>
      </c>
      <c r="B13" s="18" t="inlineStr">
        <is>
          <t>G1_S1</t>
        </is>
      </c>
      <c r="C13" s="18" t="inlineStr">
        <is>
          <t>crucible_ash_g</t>
        </is>
      </c>
      <c r="D13" s="18" t="n">
        <v>1</v>
      </c>
      <c r="E13" s="18" t="n">
        <v>27.8765</v>
      </c>
      <c r="F13" s="18" t="inlineStr">
        <is>
          <t>g</t>
        </is>
      </c>
      <c r="G13" s="18" t="n">
        <v>546</v>
      </c>
      <c r="H13" s="18" t="n"/>
      <c r="I13" s="18" t="inlineStr">
        <is>
          <t>polished_rice</t>
        </is>
      </c>
    </row>
    <row r="14">
      <c r="A14" s="18" t="n">
        <v>1</v>
      </c>
      <c r="B14" s="18" t="inlineStr">
        <is>
          <t>G1_S1</t>
        </is>
      </c>
      <c r="C14" s="18" t="inlineStr">
        <is>
          <t>crucible_empty_g</t>
        </is>
      </c>
      <c r="D14" s="18" t="n">
        <v>1</v>
      </c>
      <c r="E14" s="18" t="n">
        <v>27.3275</v>
      </c>
      <c r="F14" s="18" t="inlineStr">
        <is>
          <t>g</t>
        </is>
      </c>
      <c r="G14" s="18" t="n">
        <v>550</v>
      </c>
      <c r="H14" s="18" t="n"/>
      <c r="I14" s="18" t="inlineStr">
        <is>
          <t>milk_powder</t>
        </is>
      </c>
    </row>
    <row r="15">
      <c r="A15" s="18" t="n">
        <v>1</v>
      </c>
      <c r="B15" s="18" t="inlineStr">
        <is>
          <t>G1_S1</t>
        </is>
      </c>
      <c r="C15" s="18" t="inlineStr">
        <is>
          <t>crucible_sample_g</t>
        </is>
      </c>
      <c r="D15" s="18" t="n">
        <v>1</v>
      </c>
      <c r="E15" s="18" t="n">
        <v>29.7796</v>
      </c>
      <c r="F15" s="18" t="inlineStr">
        <is>
          <t>g</t>
        </is>
      </c>
      <c r="G15" s="18" t="n">
        <v>550</v>
      </c>
      <c r="H15" s="18" t="n"/>
      <c r="I15" s="18" t="inlineStr">
        <is>
          <t>milk_powder</t>
        </is>
      </c>
    </row>
    <row r="16">
      <c r="A16" s="18" t="n">
        <v>1</v>
      </c>
      <c r="B16" s="18" t="inlineStr">
        <is>
          <t>G1_S1</t>
        </is>
      </c>
      <c r="C16" s="18" t="inlineStr">
        <is>
          <t>crucible_ash_g</t>
        </is>
      </c>
      <c r="D16" s="18" t="n">
        <v>1</v>
      </c>
      <c r="E16" s="18" t="n">
        <v>27.4826</v>
      </c>
      <c r="F16" s="18" t="inlineStr">
        <is>
          <t>g</t>
        </is>
      </c>
      <c r="G16" s="18" t="n">
        <v>550</v>
      </c>
      <c r="H16" s="18" t="n"/>
      <c r="I16" s="18" t="inlineStr">
        <is>
          <t>milk_powder</t>
        </is>
      </c>
    </row>
    <row r="17">
      <c r="A17" s="18" t="n">
        <v>2</v>
      </c>
      <c r="B17" s="18" t="inlineStr">
        <is>
          <t>G2_S1</t>
        </is>
      </c>
      <c r="C17" s="18" t="inlineStr">
        <is>
          <t>crucible_empty_g</t>
        </is>
      </c>
      <c r="D17" s="18" t="n">
        <v>1</v>
      </c>
      <c r="E17" s="18" t="n">
        <v>28.5485</v>
      </c>
      <c r="F17" s="18" t="inlineStr">
        <is>
          <t>g</t>
        </is>
      </c>
      <c r="G17" s="18" t="n">
        <v>549</v>
      </c>
      <c r="H17" s="18" t="n"/>
      <c r="I17" s="18" t="inlineStr">
        <is>
          <t>black_sugar</t>
        </is>
      </c>
    </row>
    <row r="18">
      <c r="A18" s="18" t="n">
        <v>2</v>
      </c>
      <c r="B18" s="18" t="inlineStr">
        <is>
          <t>G2_S1</t>
        </is>
      </c>
      <c r="C18" s="18" t="inlineStr">
        <is>
          <t>crucible_sample_g</t>
        </is>
      </c>
      <c r="D18" s="18" t="n">
        <v>1</v>
      </c>
      <c r="E18" s="18" t="n">
        <v>31.0145</v>
      </c>
      <c r="F18" s="18" t="inlineStr">
        <is>
          <t>g</t>
        </is>
      </c>
      <c r="G18" s="18" t="n">
        <v>549</v>
      </c>
      <c r="H18" s="18" t="n"/>
      <c r="I18" s="18" t="inlineStr">
        <is>
          <t>black_sugar</t>
        </is>
      </c>
    </row>
    <row r="19">
      <c r="A19" s="18" t="n">
        <v>2</v>
      </c>
      <c r="B19" s="18" t="inlineStr">
        <is>
          <t>G2_S1</t>
        </is>
      </c>
      <c r="C19" s="18" t="inlineStr">
        <is>
          <t>crucible_ash_g</t>
        </is>
      </c>
      <c r="D19" s="18" t="n">
        <v>1</v>
      </c>
      <c r="E19" s="18" t="n">
        <v>28.5877</v>
      </c>
      <c r="F19" s="18" t="inlineStr">
        <is>
          <t>g</t>
        </is>
      </c>
      <c r="G19" s="18" t="n">
        <v>549</v>
      </c>
      <c r="H19" s="18" t="n"/>
      <c r="I19" s="18" t="inlineStr">
        <is>
          <t>black_sugar</t>
        </is>
      </c>
    </row>
    <row r="20">
      <c r="A20" s="18" t="n">
        <v>2</v>
      </c>
      <c r="B20" s="18" t="inlineStr">
        <is>
          <t>G2_S1</t>
        </is>
      </c>
      <c r="C20" s="18" t="inlineStr">
        <is>
          <t>crucible_empty_g</t>
        </is>
      </c>
      <c r="D20" s="18" t="n">
        <v>1</v>
      </c>
      <c r="E20" s="18" t="n">
        <v>28.6703</v>
      </c>
      <c r="F20" s="18" t="inlineStr">
        <is>
          <t>g</t>
        </is>
      </c>
      <c r="G20" s="18" t="n">
        <v>552</v>
      </c>
      <c r="H20" s="18" t="n"/>
      <c r="I20" s="18" t="inlineStr">
        <is>
          <t>white_sugar</t>
        </is>
      </c>
    </row>
    <row r="21">
      <c r="A21" s="18" t="n">
        <v>2</v>
      </c>
      <c r="B21" s="18" t="inlineStr">
        <is>
          <t>G2_S1</t>
        </is>
      </c>
      <c r="C21" s="18" t="inlineStr">
        <is>
          <t>crucible_sample_g</t>
        </is>
      </c>
      <c r="D21" s="18" t="n">
        <v>1</v>
      </c>
      <c r="E21" s="18" t="n">
        <v>31.1527</v>
      </c>
      <c r="F21" s="18" t="inlineStr">
        <is>
          <t>g</t>
        </is>
      </c>
      <c r="G21" s="18" t="n">
        <v>552</v>
      </c>
      <c r="H21" s="18" t="n"/>
      <c r="I21" s="18" t="inlineStr">
        <is>
          <t>white_sugar</t>
        </is>
      </c>
    </row>
    <row r="22">
      <c r="A22" s="18" t="n">
        <v>2</v>
      </c>
      <c r="B22" s="18" t="inlineStr">
        <is>
          <t>G2_S1</t>
        </is>
      </c>
      <c r="C22" s="18" t="inlineStr">
        <is>
          <t>crucible_ash_g</t>
        </is>
      </c>
      <c r="D22" s="18" t="n">
        <v>1</v>
      </c>
      <c r="E22" s="18" t="n">
        <v>28.6712</v>
      </c>
      <c r="F22" s="18" t="inlineStr">
        <is>
          <t>g</t>
        </is>
      </c>
      <c r="G22" s="18" t="n">
        <v>552</v>
      </c>
      <c r="H22" s="18" t="n"/>
      <c r="I22" s="18" t="inlineStr">
        <is>
          <t>white_sugar</t>
        </is>
      </c>
    </row>
    <row r="23">
      <c r="A23" s="18" t="n">
        <v>2</v>
      </c>
      <c r="B23" s="18" t="inlineStr">
        <is>
          <t>G2_S1</t>
        </is>
      </c>
      <c r="C23" s="18" t="inlineStr">
        <is>
          <t>crucible_empty_g</t>
        </is>
      </c>
      <c r="D23" s="18" t="n">
        <v>1</v>
      </c>
      <c r="E23" s="18" t="n">
        <v>24.9257</v>
      </c>
      <c r="F23" s="18" t="inlineStr">
        <is>
          <t>g</t>
        </is>
      </c>
      <c r="G23" s="18" t="n">
        <v>548</v>
      </c>
      <c r="H23" s="18" t="n"/>
      <c r="I23" s="18" t="inlineStr">
        <is>
          <t>brown_rice</t>
        </is>
      </c>
    </row>
    <row r="24">
      <c r="A24" s="18" t="n">
        <v>2</v>
      </c>
      <c r="B24" s="18" t="inlineStr">
        <is>
          <t>G2_S1</t>
        </is>
      </c>
      <c r="C24" s="18" t="inlineStr">
        <is>
          <t>crucible_sample_g</t>
        </is>
      </c>
      <c r="D24" s="18" t="n">
        <v>1</v>
      </c>
      <c r="E24" s="18" t="n">
        <v>27.4472</v>
      </c>
      <c r="F24" s="18" t="inlineStr">
        <is>
          <t>g</t>
        </is>
      </c>
      <c r="G24" s="18" t="n">
        <v>548</v>
      </c>
      <c r="H24" s="18" t="n"/>
      <c r="I24" s="18" t="inlineStr">
        <is>
          <t>brown_rice</t>
        </is>
      </c>
    </row>
    <row r="25">
      <c r="A25" s="18" t="n">
        <v>2</v>
      </c>
      <c r="B25" s="18" t="inlineStr">
        <is>
          <t>G2_S1</t>
        </is>
      </c>
      <c r="C25" s="18" t="inlineStr">
        <is>
          <t>crucible_ash_g</t>
        </is>
      </c>
      <c r="D25" s="18" t="n">
        <v>1</v>
      </c>
      <c r="E25" s="18" t="n">
        <v>24.9604</v>
      </c>
      <c r="F25" s="18" t="inlineStr">
        <is>
          <t>g</t>
        </is>
      </c>
      <c r="G25" s="18" t="n">
        <v>548</v>
      </c>
      <c r="H25" s="18" t="n"/>
      <c r="I25" s="18" t="inlineStr">
        <is>
          <t>brown_rice</t>
        </is>
      </c>
    </row>
    <row r="26">
      <c r="A26" s="18" t="n">
        <v>2</v>
      </c>
      <c r="B26" s="18" t="inlineStr">
        <is>
          <t>G2_S1</t>
        </is>
      </c>
      <c r="C26" s="18" t="inlineStr">
        <is>
          <t>crucible_empty_g</t>
        </is>
      </c>
      <c r="D26" s="18" t="n">
        <v>1</v>
      </c>
      <c r="E26" s="18" t="n">
        <v>25.955</v>
      </c>
      <c r="F26" s="18" t="inlineStr">
        <is>
          <t>g</t>
        </is>
      </c>
      <c r="G26" s="18" t="n">
        <v>556</v>
      </c>
      <c r="H26" s="18" t="n"/>
      <c r="I26" s="18" t="inlineStr">
        <is>
          <t>polished_rice</t>
        </is>
      </c>
    </row>
    <row r="27">
      <c r="A27" s="18" t="n">
        <v>2</v>
      </c>
      <c r="B27" s="18" t="inlineStr">
        <is>
          <t>G2_S1</t>
        </is>
      </c>
      <c r="C27" s="18" t="inlineStr">
        <is>
          <t>crucible_sample_g</t>
        </is>
      </c>
      <c r="D27" s="18" t="n">
        <v>1</v>
      </c>
      <c r="E27" s="18" t="n">
        <v>28.4143</v>
      </c>
      <c r="F27" s="18" t="inlineStr">
        <is>
          <t>g</t>
        </is>
      </c>
      <c r="G27" s="18" t="n">
        <v>556</v>
      </c>
      <c r="H27" s="18" t="n"/>
      <c r="I27" s="18" t="inlineStr">
        <is>
          <t>polished_rice</t>
        </is>
      </c>
    </row>
    <row r="28">
      <c r="A28" s="18" t="n">
        <v>2</v>
      </c>
      <c r="B28" s="18" t="inlineStr">
        <is>
          <t>G2_S1</t>
        </is>
      </c>
      <c r="C28" s="18" t="inlineStr">
        <is>
          <t>crucible_ash_g</t>
        </is>
      </c>
      <c r="D28" s="18" t="n">
        <v>1</v>
      </c>
      <c r="E28" s="18" t="n">
        <v>25.9679</v>
      </c>
      <c r="F28" s="18" t="inlineStr">
        <is>
          <t>g</t>
        </is>
      </c>
      <c r="G28" s="18" t="n">
        <v>556</v>
      </c>
      <c r="H28" s="18" t="n"/>
      <c r="I28" s="18" t="inlineStr">
        <is>
          <t>polished_rice</t>
        </is>
      </c>
    </row>
    <row r="29">
      <c r="A29" s="18" t="n">
        <v>2</v>
      </c>
      <c r="B29" s="18" t="inlineStr">
        <is>
          <t>G2_S1</t>
        </is>
      </c>
      <c r="C29" s="18" t="inlineStr">
        <is>
          <t>crucible_empty_g</t>
        </is>
      </c>
      <c r="D29" s="18" t="n">
        <v>1</v>
      </c>
      <c r="E29" s="18" t="n">
        <v>24.7795</v>
      </c>
      <c r="F29" s="18" t="inlineStr">
        <is>
          <t>g</t>
        </is>
      </c>
      <c r="G29" s="18" t="n">
        <v>553</v>
      </c>
      <c r="H29" s="18" t="n"/>
      <c r="I29" s="18" t="inlineStr">
        <is>
          <t>milk_powder</t>
        </is>
      </c>
    </row>
    <row r="30">
      <c r="A30" s="18" t="n">
        <v>2</v>
      </c>
      <c r="B30" s="18" t="inlineStr">
        <is>
          <t>G2_S1</t>
        </is>
      </c>
      <c r="C30" s="18" t="inlineStr">
        <is>
          <t>crucible_sample_g</t>
        </is>
      </c>
      <c r="D30" s="18" t="n">
        <v>1</v>
      </c>
      <c r="E30" s="18" t="n">
        <v>27.2375</v>
      </c>
      <c r="F30" s="18" t="inlineStr">
        <is>
          <t>g</t>
        </is>
      </c>
      <c r="G30" s="18" t="n">
        <v>553</v>
      </c>
      <c r="H30" s="18" t="n"/>
      <c r="I30" s="18" t="inlineStr">
        <is>
          <t>milk_powder</t>
        </is>
      </c>
    </row>
    <row r="31">
      <c r="A31" s="18" t="n">
        <v>2</v>
      </c>
      <c r="B31" s="18" t="inlineStr">
        <is>
          <t>G2_S1</t>
        </is>
      </c>
      <c r="C31" s="18" t="inlineStr">
        <is>
          <t>crucible_ash_g</t>
        </is>
      </c>
      <c r="D31" s="18" t="n">
        <v>1</v>
      </c>
      <c r="E31" s="18" t="n">
        <v>24.9195</v>
      </c>
      <c r="F31" s="18" t="inlineStr">
        <is>
          <t>g</t>
        </is>
      </c>
      <c r="G31" s="18" t="n">
        <v>553</v>
      </c>
      <c r="H31" s="18" t="n"/>
      <c r="I31" s="18" t="inlineStr">
        <is>
          <t>milk_powder</t>
        </is>
      </c>
    </row>
    <row r="32">
      <c r="A32" s="18" t="n">
        <v>3</v>
      </c>
      <c r="B32" s="18" t="inlineStr">
        <is>
          <t>G3_S1</t>
        </is>
      </c>
      <c r="C32" s="18" t="inlineStr">
        <is>
          <t>crucible_empty_g</t>
        </is>
      </c>
      <c r="D32" s="18" t="n">
        <v>1</v>
      </c>
      <c r="E32" s="18" t="n">
        <v>26.6229</v>
      </c>
      <c r="F32" s="18" t="inlineStr">
        <is>
          <t>g</t>
        </is>
      </c>
      <c r="G32" s="18" t="n">
        <v>551</v>
      </c>
      <c r="H32" s="18" t="n"/>
      <c r="I32" s="18" t="inlineStr">
        <is>
          <t>black_sugar</t>
        </is>
      </c>
    </row>
    <row r="33">
      <c r="A33" s="18" t="n">
        <v>3</v>
      </c>
      <c r="B33" s="18" t="inlineStr">
        <is>
          <t>G3_S1</t>
        </is>
      </c>
      <c r="C33" s="18" t="inlineStr">
        <is>
          <t>crucible_sample_g</t>
        </is>
      </c>
      <c r="D33" s="18" t="n">
        <v>1</v>
      </c>
      <c r="E33" s="18" t="n">
        <v>29.1501</v>
      </c>
      <c r="F33" s="18" t="inlineStr">
        <is>
          <t>g</t>
        </is>
      </c>
      <c r="G33" s="18" t="n">
        <v>551</v>
      </c>
      <c r="H33" s="18" t="n"/>
      <c r="I33" s="18" t="inlineStr">
        <is>
          <t>black_sugar</t>
        </is>
      </c>
    </row>
    <row r="34">
      <c r="A34" s="18" t="n">
        <v>3</v>
      </c>
      <c r="B34" s="18" t="inlineStr">
        <is>
          <t>G3_S1</t>
        </is>
      </c>
      <c r="C34" s="18" t="inlineStr">
        <is>
          <t>crucible_ash_g</t>
        </is>
      </c>
      <c r="D34" s="18" t="n">
        <v>1</v>
      </c>
      <c r="E34" s="18" t="n">
        <v>26.6584</v>
      </c>
      <c r="F34" s="18" t="inlineStr">
        <is>
          <t>g</t>
        </is>
      </c>
      <c r="G34" s="18" t="n">
        <v>551</v>
      </c>
      <c r="H34" s="18" t="n"/>
      <c r="I34" s="18" t="inlineStr">
        <is>
          <t>black_sugar</t>
        </is>
      </c>
    </row>
    <row r="35">
      <c r="A35" s="18" t="n">
        <v>3</v>
      </c>
      <c r="B35" s="18" t="inlineStr">
        <is>
          <t>G3_S1</t>
        </is>
      </c>
      <c r="C35" s="18" t="inlineStr">
        <is>
          <t>crucible_empty_g</t>
        </is>
      </c>
      <c r="D35" s="18" t="n">
        <v>1</v>
      </c>
      <c r="E35" s="18" t="n">
        <v>26.3249</v>
      </c>
      <c r="F35" s="18" t="inlineStr">
        <is>
          <t>g</t>
        </is>
      </c>
      <c r="G35" s="18" t="n">
        <v>551</v>
      </c>
      <c r="H35" s="18" t="n"/>
      <c r="I35" s="18" t="inlineStr">
        <is>
          <t>white_sugar</t>
        </is>
      </c>
    </row>
    <row r="36">
      <c r="A36" s="18" t="n">
        <v>3</v>
      </c>
      <c r="B36" s="18" t="inlineStr">
        <is>
          <t>G3_S1</t>
        </is>
      </c>
      <c r="C36" s="18" t="inlineStr">
        <is>
          <t>crucible_sample_g</t>
        </is>
      </c>
      <c r="D36" s="18" t="n">
        <v>1</v>
      </c>
      <c r="E36" s="18" t="n">
        <v>28.8358</v>
      </c>
      <c r="F36" s="18" t="inlineStr">
        <is>
          <t>g</t>
        </is>
      </c>
      <c r="G36" s="18" t="n">
        <v>551</v>
      </c>
      <c r="H36" s="18" t="n"/>
      <c r="I36" s="18" t="inlineStr">
        <is>
          <t>white_sugar</t>
        </is>
      </c>
    </row>
    <row r="37">
      <c r="A37" s="18" t="n">
        <v>3</v>
      </c>
      <c r="B37" s="18" t="inlineStr">
        <is>
          <t>G3_S1</t>
        </is>
      </c>
      <c r="C37" s="18" t="inlineStr">
        <is>
          <t>crucible_ash_g</t>
        </is>
      </c>
      <c r="D37" s="18" t="n">
        <v>1</v>
      </c>
      <c r="E37" s="18" t="n">
        <v>26.3259</v>
      </c>
      <c r="F37" s="18" t="inlineStr">
        <is>
          <t>g</t>
        </is>
      </c>
      <c r="G37" s="18" t="n">
        <v>551</v>
      </c>
      <c r="H37" s="18" t="n"/>
      <c r="I37" s="18" t="inlineStr">
        <is>
          <t>white_sugar</t>
        </is>
      </c>
    </row>
    <row r="38">
      <c r="A38" s="18" t="n">
        <v>3</v>
      </c>
      <c r="B38" s="18" t="inlineStr">
        <is>
          <t>G3_S1</t>
        </is>
      </c>
      <c r="C38" s="18" t="inlineStr">
        <is>
          <t>crucible_empty_g</t>
        </is>
      </c>
      <c r="D38" s="18" t="n">
        <v>1</v>
      </c>
      <c r="E38" s="18" t="n">
        <v>25.1994</v>
      </c>
      <c r="F38" s="18" t="inlineStr">
        <is>
          <t>g</t>
        </is>
      </c>
      <c r="G38" s="18" t="n">
        <v>553</v>
      </c>
      <c r="H38" s="18" t="n"/>
      <c r="I38" s="18" t="inlineStr">
        <is>
          <t>brown_rice</t>
        </is>
      </c>
    </row>
    <row r="39">
      <c r="A39" s="18" t="n">
        <v>3</v>
      </c>
      <c r="B39" s="18" t="inlineStr">
        <is>
          <t>G3_S1</t>
        </is>
      </c>
      <c r="C39" s="18" t="inlineStr">
        <is>
          <t>crucible_sample_g</t>
        </is>
      </c>
      <c r="D39" s="18" t="n">
        <v>1</v>
      </c>
      <c r="E39" s="18" t="n">
        <v>27.7028</v>
      </c>
      <c r="F39" s="18" t="inlineStr">
        <is>
          <t>g</t>
        </is>
      </c>
      <c r="G39" s="18" t="n">
        <v>553</v>
      </c>
      <c r="H39" s="18" t="n"/>
      <c r="I39" s="18" t="inlineStr">
        <is>
          <t>brown_rice</t>
        </is>
      </c>
    </row>
    <row r="40">
      <c r="A40" s="18" t="n">
        <v>3</v>
      </c>
      <c r="B40" s="18" t="inlineStr">
        <is>
          <t>G3_S1</t>
        </is>
      </c>
      <c r="C40" s="18" t="inlineStr">
        <is>
          <t>crucible_ash_g</t>
        </is>
      </c>
      <c r="D40" s="18" t="n">
        <v>1</v>
      </c>
      <c r="E40" s="18" t="n">
        <v>25.23</v>
      </c>
      <c r="F40" s="18" t="inlineStr">
        <is>
          <t>g</t>
        </is>
      </c>
      <c r="G40" s="18" t="n">
        <v>553</v>
      </c>
      <c r="H40" s="18" t="n"/>
      <c r="I40" s="18" t="inlineStr">
        <is>
          <t>brown_rice</t>
        </is>
      </c>
    </row>
    <row r="41">
      <c r="A41" s="18" t="n">
        <v>3</v>
      </c>
      <c r="B41" s="18" t="inlineStr">
        <is>
          <t>G3_S1</t>
        </is>
      </c>
      <c r="C41" s="18" t="inlineStr">
        <is>
          <t>crucible_empty_g</t>
        </is>
      </c>
      <c r="D41" s="18" t="n">
        <v>1</v>
      </c>
      <c r="E41" s="18" t="n">
        <v>28.231</v>
      </c>
      <c r="F41" s="18" t="inlineStr">
        <is>
          <t>g</t>
        </is>
      </c>
      <c r="G41" s="18" t="n">
        <v>547</v>
      </c>
      <c r="H41" s="18" t="n"/>
      <c r="I41" s="18" t="inlineStr">
        <is>
          <t>polished_rice</t>
        </is>
      </c>
    </row>
    <row r="42">
      <c r="A42" s="18" t="n">
        <v>3</v>
      </c>
      <c r="B42" s="18" t="inlineStr">
        <is>
          <t>G3_S1</t>
        </is>
      </c>
      <c r="C42" s="18" t="inlineStr">
        <is>
          <t>crucible_sample_g</t>
        </is>
      </c>
      <c r="D42" s="18" t="n">
        <v>1</v>
      </c>
      <c r="E42" s="18" t="n">
        <v>30.715</v>
      </c>
      <c r="F42" s="18" t="inlineStr">
        <is>
          <t>g</t>
        </is>
      </c>
      <c r="G42" s="18" t="n">
        <v>547</v>
      </c>
      <c r="H42" s="18" t="n"/>
      <c r="I42" s="18" t="inlineStr">
        <is>
          <t>polished_rice</t>
        </is>
      </c>
    </row>
    <row r="43">
      <c r="A43" s="18" t="n">
        <v>3</v>
      </c>
      <c r="B43" s="18" t="inlineStr">
        <is>
          <t>G3_S1</t>
        </is>
      </c>
      <c r="C43" s="18" t="inlineStr">
        <is>
          <t>crucible_ash_g</t>
        </is>
      </c>
      <c r="D43" s="18" t="n">
        <v>1</v>
      </c>
      <c r="E43" s="18" t="n">
        <v>28.243</v>
      </c>
      <c r="F43" s="18" t="inlineStr">
        <is>
          <t>g</t>
        </is>
      </c>
      <c r="G43" s="18" t="n">
        <v>547</v>
      </c>
      <c r="H43" s="18" t="n"/>
      <c r="I43" s="18" t="inlineStr">
        <is>
          <t>polished_rice</t>
        </is>
      </c>
    </row>
    <row r="44">
      <c r="A44" s="18" t="n">
        <v>3</v>
      </c>
      <c r="B44" s="18" t="inlineStr">
        <is>
          <t>G3_S1</t>
        </is>
      </c>
      <c r="C44" s="18" t="inlineStr">
        <is>
          <t>crucible_empty_g</t>
        </is>
      </c>
      <c r="D44" s="18" t="n">
        <v>1</v>
      </c>
      <c r="E44" s="18" t="n">
        <v>24.8388</v>
      </c>
      <c r="F44" s="18" t="inlineStr">
        <is>
          <t>g</t>
        </is>
      </c>
      <c r="G44" s="18" t="n">
        <v>555</v>
      </c>
      <c r="H44" s="18" t="n"/>
      <c r="I44" s="18" t="inlineStr">
        <is>
          <t>milk_powder</t>
        </is>
      </c>
    </row>
    <row r="45">
      <c r="A45" s="18" t="n">
        <v>3</v>
      </c>
      <c r="B45" s="18" t="inlineStr">
        <is>
          <t>G3_S1</t>
        </is>
      </c>
      <c r="C45" s="18" t="inlineStr">
        <is>
          <t>crucible_sample_g</t>
        </is>
      </c>
      <c r="D45" s="18" t="n">
        <v>1</v>
      </c>
      <c r="E45" s="18" t="n">
        <v>27.4135</v>
      </c>
      <c r="F45" s="18" t="inlineStr">
        <is>
          <t>g</t>
        </is>
      </c>
      <c r="G45" s="18" t="n">
        <v>555</v>
      </c>
      <c r="H45" s="18" t="n"/>
      <c r="I45" s="18" t="inlineStr">
        <is>
          <t>milk_powder</t>
        </is>
      </c>
    </row>
    <row r="46">
      <c r="A46" s="18" t="n">
        <v>3</v>
      </c>
      <c r="B46" s="18" t="inlineStr">
        <is>
          <t>G3_S1</t>
        </is>
      </c>
      <c r="C46" s="18" t="inlineStr">
        <is>
          <t>crucible_ash_g</t>
        </is>
      </c>
      <c r="D46" s="18" t="n">
        <v>1</v>
      </c>
      <c r="E46" s="18" t="n">
        <v>24.985</v>
      </c>
      <c r="F46" s="18" t="inlineStr">
        <is>
          <t>g</t>
        </is>
      </c>
      <c r="G46" s="18" t="n">
        <v>555</v>
      </c>
      <c r="H46" s="18" t="n"/>
      <c r="I46" s="18" t="inlineStr">
        <is>
          <t>milk_powder</t>
        </is>
      </c>
    </row>
    <row r="47">
      <c r="A47" s="18" t="n">
        <v>4</v>
      </c>
      <c r="B47" s="18" t="inlineStr">
        <is>
          <t>G4_S1</t>
        </is>
      </c>
      <c r="C47" s="18" t="inlineStr">
        <is>
          <t>crucible_empty_g</t>
        </is>
      </c>
      <c r="D47" s="18" t="n">
        <v>1</v>
      </c>
      <c r="E47" s="18" t="n">
        <v>27.3914</v>
      </c>
      <c r="F47" s="18" t="inlineStr">
        <is>
          <t>g</t>
        </is>
      </c>
      <c r="G47" s="18" t="n">
        <v>553</v>
      </c>
      <c r="H47" s="18" t="n"/>
      <c r="I47" s="18" t="inlineStr">
        <is>
          <t>black_sugar</t>
        </is>
      </c>
    </row>
    <row r="48">
      <c r="A48" s="18" t="n">
        <v>4</v>
      </c>
      <c r="B48" s="18" t="inlineStr">
        <is>
          <t>G4_S1</t>
        </is>
      </c>
      <c r="C48" s="18" t="inlineStr">
        <is>
          <t>crucible_sample_g</t>
        </is>
      </c>
      <c r="D48" s="18" t="n">
        <v>1</v>
      </c>
      <c r="E48" s="18" t="n">
        <v>29.8747</v>
      </c>
      <c r="F48" s="18" t="inlineStr">
        <is>
          <t>g</t>
        </is>
      </c>
      <c r="G48" s="18" t="n">
        <v>553</v>
      </c>
      <c r="H48" s="18" t="n"/>
      <c r="I48" s="18" t="inlineStr">
        <is>
          <t>black_sugar</t>
        </is>
      </c>
    </row>
    <row r="49">
      <c r="A49" s="18" t="n">
        <v>4</v>
      </c>
      <c r="B49" s="18" t="inlineStr">
        <is>
          <t>G4_S1</t>
        </is>
      </c>
      <c r="C49" s="18" t="inlineStr">
        <is>
          <t>crucible_ash_g</t>
        </is>
      </c>
      <c r="D49" s="18" t="n">
        <v>1</v>
      </c>
      <c r="E49" s="18" t="n">
        <v>27.4283</v>
      </c>
      <c r="F49" s="18" t="inlineStr">
        <is>
          <t>g</t>
        </is>
      </c>
      <c r="G49" s="18" t="n">
        <v>553</v>
      </c>
      <c r="H49" s="18" t="n"/>
      <c r="I49" s="18" t="inlineStr">
        <is>
          <t>black_sugar</t>
        </is>
      </c>
    </row>
    <row r="50">
      <c r="A50" s="18" t="n">
        <v>4</v>
      </c>
      <c r="B50" s="18" t="inlineStr">
        <is>
          <t>G4_S1</t>
        </is>
      </c>
      <c r="C50" s="18" t="inlineStr">
        <is>
          <t>crucible_empty_g</t>
        </is>
      </c>
      <c r="D50" s="18" t="n">
        <v>1</v>
      </c>
      <c r="E50" s="18" t="n">
        <v>27.3552</v>
      </c>
      <c r="F50" s="18" t="inlineStr">
        <is>
          <t>g</t>
        </is>
      </c>
      <c r="G50" s="18" t="n">
        <v>548</v>
      </c>
      <c r="H50" s="18" t="n"/>
      <c r="I50" s="18" t="inlineStr">
        <is>
          <t>white_sugar</t>
        </is>
      </c>
    </row>
    <row r="51">
      <c r="A51" s="18" t="n">
        <v>4</v>
      </c>
      <c r="B51" s="18" t="inlineStr">
        <is>
          <t>G4_S1</t>
        </is>
      </c>
      <c r="C51" s="18" t="inlineStr">
        <is>
          <t>crucible_sample_g</t>
        </is>
      </c>
      <c r="D51" s="18" t="n">
        <v>1</v>
      </c>
      <c r="E51" s="18" t="n">
        <v>29.8949</v>
      </c>
      <c r="F51" s="18" t="inlineStr">
        <is>
          <t>g</t>
        </is>
      </c>
      <c r="G51" s="18" t="n">
        <v>548</v>
      </c>
      <c r="H51" s="18" t="n"/>
      <c r="I51" s="18" t="inlineStr">
        <is>
          <t>white_sugar</t>
        </is>
      </c>
    </row>
    <row r="52">
      <c r="A52" s="18" t="n">
        <v>4</v>
      </c>
      <c r="B52" s="18" t="inlineStr">
        <is>
          <t>G4_S1</t>
        </is>
      </c>
      <c r="C52" s="18" t="inlineStr">
        <is>
          <t>crucible_ash_g</t>
        </is>
      </c>
      <c r="D52" s="18" t="n">
        <v>1</v>
      </c>
      <c r="E52" s="18" t="n">
        <v>27.3559</v>
      </c>
      <c r="F52" s="18" t="inlineStr">
        <is>
          <t>g</t>
        </is>
      </c>
      <c r="G52" s="18" t="n">
        <v>548</v>
      </c>
      <c r="H52" s="18" t="n"/>
      <c r="I52" s="18" t="inlineStr">
        <is>
          <t>white_sugar</t>
        </is>
      </c>
    </row>
    <row r="53">
      <c r="A53" s="18" t="n">
        <v>4</v>
      </c>
      <c r="B53" s="18" t="inlineStr">
        <is>
          <t>G4_S1</t>
        </is>
      </c>
      <c r="C53" s="18" t="inlineStr">
        <is>
          <t>crucible_empty_g</t>
        </is>
      </c>
      <c r="D53" s="18" t="n">
        <v>1</v>
      </c>
      <c r="E53" s="18" t="n">
        <v>25.2875</v>
      </c>
      <c r="F53" s="18" t="inlineStr">
        <is>
          <t>g</t>
        </is>
      </c>
      <c r="G53" s="18" t="n">
        <v>544</v>
      </c>
      <c r="H53" s="18" t="n"/>
      <c r="I53" s="18" t="inlineStr">
        <is>
          <t>brown_rice</t>
        </is>
      </c>
    </row>
    <row r="54">
      <c r="A54" s="18" t="n">
        <v>4</v>
      </c>
      <c r="B54" s="18" t="inlineStr">
        <is>
          <t>G4_S1</t>
        </is>
      </c>
      <c r="C54" s="18" t="inlineStr">
        <is>
          <t>crucible_sample_g</t>
        </is>
      </c>
      <c r="D54" s="18" t="n">
        <v>1</v>
      </c>
      <c r="E54" s="18" t="n">
        <v>27.7779</v>
      </c>
      <c r="F54" s="18" t="inlineStr">
        <is>
          <t>g</t>
        </is>
      </c>
      <c r="G54" s="18" t="n">
        <v>544</v>
      </c>
      <c r="H54" s="18" t="n"/>
      <c r="I54" s="18" t="inlineStr">
        <is>
          <t>brown_rice</t>
        </is>
      </c>
    </row>
    <row r="55">
      <c r="A55" s="18" t="n">
        <v>4</v>
      </c>
      <c r="B55" s="18" t="inlineStr">
        <is>
          <t>G4_S1</t>
        </is>
      </c>
      <c r="C55" s="18" t="inlineStr">
        <is>
          <t>crucible_ash_g</t>
        </is>
      </c>
      <c r="D55" s="18" t="n">
        <v>1</v>
      </c>
      <c r="E55" s="18" t="n">
        <v>25.3148</v>
      </c>
      <c r="F55" s="18" t="inlineStr">
        <is>
          <t>g</t>
        </is>
      </c>
      <c r="G55" s="18" t="n">
        <v>544</v>
      </c>
      <c r="H55" s="18" t="n"/>
      <c r="I55" s="18" t="inlineStr">
        <is>
          <t>brown_rice</t>
        </is>
      </c>
    </row>
    <row r="56">
      <c r="A56" s="18" t="n">
        <v>4</v>
      </c>
      <c r="B56" s="18" t="inlineStr">
        <is>
          <t>G4_S1</t>
        </is>
      </c>
      <c r="C56" s="18" t="inlineStr">
        <is>
          <t>crucible_empty_g</t>
        </is>
      </c>
      <c r="D56" s="18" t="n">
        <v>1</v>
      </c>
      <c r="E56" s="18" t="n">
        <v>24.3498</v>
      </c>
      <c r="F56" s="18" t="inlineStr">
        <is>
          <t>g</t>
        </is>
      </c>
      <c r="G56" s="18" t="n">
        <v>553</v>
      </c>
      <c r="H56" s="18" t="n"/>
      <c r="I56" s="18" t="inlineStr">
        <is>
          <t>polished_rice</t>
        </is>
      </c>
    </row>
    <row r="57">
      <c r="A57" s="18" t="n">
        <v>4</v>
      </c>
      <c r="B57" s="18" t="inlineStr">
        <is>
          <t>G4_S1</t>
        </is>
      </c>
      <c r="C57" s="18" t="inlineStr">
        <is>
          <t>crucible_sample_g</t>
        </is>
      </c>
      <c r="D57" s="18" t="n">
        <v>1</v>
      </c>
      <c r="E57" s="18" t="n">
        <v>26.8747</v>
      </c>
      <c r="F57" s="18" t="inlineStr">
        <is>
          <t>g</t>
        </is>
      </c>
      <c r="G57" s="18" t="n">
        <v>553</v>
      </c>
      <c r="H57" s="18" t="n"/>
      <c r="I57" s="18" t="inlineStr">
        <is>
          <t>polished_rice</t>
        </is>
      </c>
    </row>
    <row r="58">
      <c r="A58" s="18" t="n">
        <v>4</v>
      </c>
      <c r="B58" s="18" t="inlineStr">
        <is>
          <t>G4_S1</t>
        </is>
      </c>
      <c r="C58" s="18" t="inlineStr">
        <is>
          <t>crucible_ash_g</t>
        </is>
      </c>
      <c r="D58" s="18" t="n">
        <v>1</v>
      </c>
      <c r="E58" s="18" t="n">
        <v>24.3626</v>
      </c>
      <c r="F58" s="18" t="inlineStr">
        <is>
          <t>g</t>
        </is>
      </c>
      <c r="G58" s="18" t="n">
        <v>553</v>
      </c>
      <c r="H58" s="18" t="n"/>
      <c r="I58" s="18" t="inlineStr">
        <is>
          <t>polished_rice</t>
        </is>
      </c>
    </row>
    <row r="59">
      <c r="A59" s="18" t="n">
        <v>4</v>
      </c>
      <c r="B59" s="18" t="inlineStr">
        <is>
          <t>G4_S1</t>
        </is>
      </c>
      <c r="C59" s="18" t="inlineStr">
        <is>
          <t>crucible_empty_g</t>
        </is>
      </c>
      <c r="D59" s="18" t="n">
        <v>1</v>
      </c>
      <c r="E59" s="18" t="n">
        <v>27.3422</v>
      </c>
      <c r="F59" s="18" t="inlineStr">
        <is>
          <t>g</t>
        </is>
      </c>
      <c r="G59" s="18" t="n">
        <v>548</v>
      </c>
      <c r="H59" s="18" t="n"/>
      <c r="I59" s="18" t="inlineStr">
        <is>
          <t>milk_powder</t>
        </is>
      </c>
    </row>
    <row r="60">
      <c r="A60" s="18" t="n">
        <v>4</v>
      </c>
      <c r="B60" s="18" t="inlineStr">
        <is>
          <t>G4_S1</t>
        </is>
      </c>
      <c r="C60" s="18" t="inlineStr">
        <is>
          <t>crucible_sample_g</t>
        </is>
      </c>
      <c r="D60" s="18" t="n">
        <v>1</v>
      </c>
      <c r="E60" s="18" t="n">
        <v>29.8501</v>
      </c>
      <c r="F60" s="18" t="inlineStr">
        <is>
          <t>g</t>
        </is>
      </c>
      <c r="G60" s="18" t="n">
        <v>548</v>
      </c>
      <c r="H60" s="18" t="n"/>
      <c r="I60" s="18" t="inlineStr">
        <is>
          <t>milk_powder</t>
        </is>
      </c>
    </row>
    <row r="61">
      <c r="A61" s="18" t="n">
        <v>4</v>
      </c>
      <c r="B61" s="18" t="inlineStr">
        <is>
          <t>G4_S1</t>
        </is>
      </c>
      <c r="C61" s="18" t="inlineStr">
        <is>
          <t>crucible_ash_g</t>
        </is>
      </c>
      <c r="D61" s="18" t="n">
        <v>1</v>
      </c>
      <c r="E61" s="18" t="n">
        <v>27.4985</v>
      </c>
      <c r="F61" s="18" t="inlineStr">
        <is>
          <t>g</t>
        </is>
      </c>
      <c r="G61" s="18" t="n">
        <v>548</v>
      </c>
      <c r="H61" s="18" t="n"/>
      <c r="I61" s="18" t="inlineStr">
        <is>
          <t>milk_powder</t>
        </is>
      </c>
    </row>
    <row r="62">
      <c r="A62" s="18" t="n">
        <v>5</v>
      </c>
      <c r="B62" s="18" t="inlineStr">
        <is>
          <t>G5_S1</t>
        </is>
      </c>
      <c r="C62" s="18" t="inlineStr">
        <is>
          <t>crucible_empty_g</t>
        </is>
      </c>
      <c r="D62" s="18" t="n">
        <v>1</v>
      </c>
      <c r="E62" s="18" t="n">
        <v>28.8841</v>
      </c>
      <c r="F62" s="18" t="inlineStr">
        <is>
          <t>g</t>
        </is>
      </c>
      <c r="G62" s="18" t="n">
        <v>548</v>
      </c>
      <c r="H62" s="18" t="n"/>
      <c r="I62" s="18" t="inlineStr">
        <is>
          <t>black_sugar</t>
        </is>
      </c>
    </row>
    <row r="63">
      <c r="A63" s="18" t="n">
        <v>5</v>
      </c>
      <c r="B63" s="18" t="inlineStr">
        <is>
          <t>G5_S1</t>
        </is>
      </c>
      <c r="C63" s="18" t="inlineStr">
        <is>
          <t>crucible_sample_g</t>
        </is>
      </c>
      <c r="D63" s="18" t="n">
        <v>1</v>
      </c>
      <c r="E63" s="18" t="n">
        <v>31.351</v>
      </c>
      <c r="F63" s="18" t="inlineStr">
        <is>
          <t>g</t>
        </is>
      </c>
      <c r="G63" s="18" t="n">
        <v>548</v>
      </c>
      <c r="H63" s="18" t="n"/>
      <c r="I63" s="18" t="inlineStr">
        <is>
          <t>black_sugar</t>
        </is>
      </c>
    </row>
    <row r="64">
      <c r="A64" s="18" t="n">
        <v>5</v>
      </c>
      <c r="B64" s="18" t="inlineStr">
        <is>
          <t>G5_S1</t>
        </is>
      </c>
      <c r="C64" s="18" t="inlineStr">
        <is>
          <t>crucible_ash_g</t>
        </is>
      </c>
      <c r="D64" s="18" t="n">
        <v>1</v>
      </c>
      <c r="E64" s="18" t="n">
        <v>28.9195</v>
      </c>
      <c r="F64" s="18" t="inlineStr">
        <is>
          <t>g</t>
        </is>
      </c>
      <c r="G64" s="18" t="n">
        <v>548</v>
      </c>
      <c r="H64" s="18" t="n"/>
      <c r="I64" s="18" t="inlineStr">
        <is>
          <t>black_sugar</t>
        </is>
      </c>
    </row>
    <row r="65">
      <c r="A65" s="18" t="n">
        <v>5</v>
      </c>
      <c r="B65" s="18" t="inlineStr">
        <is>
          <t>G5_S1</t>
        </is>
      </c>
      <c r="C65" s="18" t="inlineStr">
        <is>
          <t>crucible_empty_g</t>
        </is>
      </c>
      <c r="D65" s="18" t="n">
        <v>1</v>
      </c>
      <c r="E65" s="18" t="n">
        <v>28.3342</v>
      </c>
      <c r="F65" s="18" t="inlineStr">
        <is>
          <t>g</t>
        </is>
      </c>
      <c r="G65" s="18" t="n">
        <v>550</v>
      </c>
      <c r="H65" s="18" t="n"/>
      <c r="I65" s="18" t="inlineStr">
        <is>
          <t>white_sugar</t>
        </is>
      </c>
    </row>
    <row r="66">
      <c r="A66" s="18" t="n">
        <v>5</v>
      </c>
      <c r="B66" s="18" t="inlineStr">
        <is>
          <t>G5_S1</t>
        </is>
      </c>
      <c r="C66" s="18" t="inlineStr">
        <is>
          <t>crucible_sample_g</t>
        </is>
      </c>
      <c r="D66" s="18" t="n">
        <v>1</v>
      </c>
      <c r="E66" s="18" t="n">
        <v>30.8585</v>
      </c>
      <c r="F66" s="18" t="inlineStr">
        <is>
          <t>g</t>
        </is>
      </c>
      <c r="G66" s="18" t="n">
        <v>550</v>
      </c>
      <c r="H66" s="18" t="n"/>
      <c r="I66" s="18" t="inlineStr">
        <is>
          <t>white_sugar</t>
        </is>
      </c>
    </row>
    <row r="67">
      <c r="A67" s="18" t="n">
        <v>5</v>
      </c>
      <c r="B67" s="18" t="inlineStr">
        <is>
          <t>G5_S1</t>
        </is>
      </c>
      <c r="C67" s="18" t="inlineStr">
        <is>
          <t>crucible_ash_g</t>
        </is>
      </c>
      <c r="D67" s="18" t="n">
        <v>1</v>
      </c>
      <c r="E67" s="18" t="n">
        <v>28.3348</v>
      </c>
      <c r="F67" s="18" t="inlineStr">
        <is>
          <t>g</t>
        </is>
      </c>
      <c r="G67" s="18" t="n">
        <v>550</v>
      </c>
      <c r="H67" s="18" t="n"/>
      <c r="I67" s="18" t="inlineStr">
        <is>
          <t>white_sugar</t>
        </is>
      </c>
    </row>
    <row r="68">
      <c r="A68" s="18" t="n">
        <v>5</v>
      </c>
      <c r="B68" s="18" t="inlineStr">
        <is>
          <t>G5_S1</t>
        </is>
      </c>
      <c r="C68" s="18" t="inlineStr">
        <is>
          <t>crucible_empty_g</t>
        </is>
      </c>
      <c r="D68" s="18" t="n">
        <v>1</v>
      </c>
      <c r="E68" s="18" t="n">
        <v>24.9139</v>
      </c>
      <c r="F68" s="18" t="inlineStr">
        <is>
          <t>g</t>
        </is>
      </c>
      <c r="G68" s="18" t="n">
        <v>550</v>
      </c>
      <c r="H68" s="18" t="n"/>
      <c r="I68" s="18" t="inlineStr">
        <is>
          <t>brown_rice</t>
        </is>
      </c>
    </row>
    <row r="69">
      <c r="A69" s="18" t="n">
        <v>5</v>
      </c>
      <c r="B69" s="18" t="inlineStr">
        <is>
          <t>G5_S1</t>
        </is>
      </c>
      <c r="C69" s="18" t="inlineStr">
        <is>
          <t>crucible_sample_g</t>
        </is>
      </c>
      <c r="D69" s="18" t="n">
        <v>1</v>
      </c>
      <c r="E69" s="18" t="n">
        <v>27.4362</v>
      </c>
      <c r="F69" s="18" t="inlineStr">
        <is>
          <t>g</t>
        </is>
      </c>
      <c r="G69" s="18" t="n">
        <v>550</v>
      </c>
      <c r="H69" s="18" t="n"/>
      <c r="I69" s="18" t="inlineStr">
        <is>
          <t>brown_rice</t>
        </is>
      </c>
    </row>
    <row r="70">
      <c r="A70" s="18" t="n">
        <v>5</v>
      </c>
      <c r="B70" s="18" t="inlineStr">
        <is>
          <t>G5_S1</t>
        </is>
      </c>
      <c r="C70" s="18" t="inlineStr">
        <is>
          <t>crucible_ash_g</t>
        </is>
      </c>
      <c r="D70" s="18" t="n">
        <v>1</v>
      </c>
      <c r="E70" s="18" t="n">
        <v>24.9455</v>
      </c>
      <c r="F70" s="18" t="inlineStr">
        <is>
          <t>g</t>
        </is>
      </c>
      <c r="G70" s="18" t="n">
        <v>550</v>
      </c>
      <c r="H70" s="18" t="n"/>
      <c r="I70" s="18" t="inlineStr">
        <is>
          <t>brown_rice</t>
        </is>
      </c>
    </row>
    <row r="71">
      <c r="A71" s="18" t="n">
        <v>5</v>
      </c>
      <c r="B71" s="18" t="inlineStr">
        <is>
          <t>G5_S1</t>
        </is>
      </c>
      <c r="C71" s="18" t="inlineStr">
        <is>
          <t>crucible_empty_g</t>
        </is>
      </c>
      <c r="D71" s="18" t="n">
        <v>1</v>
      </c>
      <c r="E71" s="18" t="n">
        <v>25.8091</v>
      </c>
      <c r="F71" s="18" t="inlineStr">
        <is>
          <t>g</t>
        </is>
      </c>
      <c r="G71" s="18" t="n">
        <v>543</v>
      </c>
      <c r="H71" s="18" t="n"/>
      <c r="I71" s="18" t="inlineStr">
        <is>
          <t>polished_rice</t>
        </is>
      </c>
    </row>
    <row r="72">
      <c r="A72" s="18" t="n">
        <v>5</v>
      </c>
      <c r="B72" s="18" t="inlineStr">
        <is>
          <t>G5_S1</t>
        </is>
      </c>
      <c r="C72" s="18" t="inlineStr">
        <is>
          <t>crucible_sample_g</t>
        </is>
      </c>
      <c r="D72" s="18" t="n">
        <v>1</v>
      </c>
      <c r="E72" s="18" t="n">
        <v>28.3051</v>
      </c>
      <c r="F72" s="18" t="inlineStr">
        <is>
          <t>g</t>
        </is>
      </c>
      <c r="G72" s="18" t="n">
        <v>543</v>
      </c>
      <c r="H72" s="18" t="n"/>
      <c r="I72" s="18" t="inlineStr">
        <is>
          <t>polished_rice</t>
        </is>
      </c>
    </row>
    <row r="73">
      <c r="A73" s="18" t="n">
        <v>5</v>
      </c>
      <c r="B73" s="18" t="inlineStr">
        <is>
          <t>G5_S1</t>
        </is>
      </c>
      <c r="C73" s="18" t="inlineStr">
        <is>
          <t>crucible_ash_g</t>
        </is>
      </c>
      <c r="D73" s="18" t="n">
        <v>1</v>
      </c>
      <c r="E73" s="18" t="n">
        <v>25.8199</v>
      </c>
      <c r="F73" s="18" t="inlineStr">
        <is>
          <t>g</t>
        </is>
      </c>
      <c r="G73" s="18" t="n">
        <v>543</v>
      </c>
      <c r="H73" s="18" t="n"/>
      <c r="I73" s="18" t="inlineStr">
        <is>
          <t>polished_rice</t>
        </is>
      </c>
    </row>
    <row r="74">
      <c r="A74" s="18" t="n">
        <v>5</v>
      </c>
      <c r="B74" s="18" t="inlineStr">
        <is>
          <t>G5_S1</t>
        </is>
      </c>
      <c r="C74" s="18" t="inlineStr">
        <is>
          <t>crucible_empty_g</t>
        </is>
      </c>
      <c r="D74" s="18" t="n">
        <v>1</v>
      </c>
      <c r="E74" s="18" t="n">
        <v>24.708</v>
      </c>
      <c r="F74" s="18" t="inlineStr">
        <is>
          <t>g</t>
        </is>
      </c>
      <c r="G74" s="18" t="n">
        <v>545</v>
      </c>
      <c r="H74" s="18" t="n"/>
      <c r="I74" s="18" t="inlineStr">
        <is>
          <t>milk_powder</t>
        </is>
      </c>
    </row>
    <row r="75">
      <c r="A75" s="18" t="n">
        <v>5</v>
      </c>
      <c r="B75" s="18" t="inlineStr">
        <is>
          <t>G5_S1</t>
        </is>
      </c>
      <c r="C75" s="18" t="inlineStr">
        <is>
          <t>crucible_sample_g</t>
        </is>
      </c>
      <c r="D75" s="18" t="n">
        <v>1</v>
      </c>
      <c r="E75" s="18" t="n">
        <v>27.1581</v>
      </c>
      <c r="F75" s="18" t="inlineStr">
        <is>
          <t>g</t>
        </is>
      </c>
      <c r="G75" s="18" t="n">
        <v>545</v>
      </c>
      <c r="H75" s="18" t="n"/>
      <c r="I75" s="18" t="inlineStr">
        <is>
          <t>milk_powder</t>
        </is>
      </c>
    </row>
    <row r="76">
      <c r="A76" s="18" t="n">
        <v>5</v>
      </c>
      <c r="B76" s="18" t="inlineStr">
        <is>
          <t>G5_S1</t>
        </is>
      </c>
      <c r="C76" s="18" t="inlineStr">
        <is>
          <t>crucible_ash_g</t>
        </is>
      </c>
      <c r="D76" s="18" t="n">
        <v>1</v>
      </c>
      <c r="E76" s="18" t="n">
        <v>24.8586</v>
      </c>
      <c r="F76" s="18" t="inlineStr">
        <is>
          <t>g</t>
        </is>
      </c>
      <c r="G76" s="18" t="n">
        <v>545</v>
      </c>
      <c r="H76" s="18" t="n"/>
      <c r="I76" s="18" t="inlineStr">
        <is>
          <t>milk_powder</t>
        </is>
      </c>
    </row>
    <row r="77">
      <c r="A77" s="18" t="n">
        <v>1</v>
      </c>
      <c r="B77" s="18" t="inlineStr">
        <is>
          <t>G1_S1</t>
        </is>
      </c>
      <c r="C77" s="18" t="inlineStr">
        <is>
          <t>na_ise_ppm</t>
        </is>
      </c>
      <c r="D77" s="18" t="n">
        <v>1</v>
      </c>
      <c r="E77" s="18" t="n">
        <v>1198.4</v>
      </c>
      <c r="F77" s="18" t="inlineStr">
        <is>
          <t>ppm</t>
        </is>
      </c>
      <c r="G77" s="18" t="n">
        <v>25.9</v>
      </c>
      <c r="H77" s="18" t="n"/>
      <c r="I77" s="18" t="inlineStr">
        <is>
          <t>soy_sauce</t>
        </is>
      </c>
    </row>
    <row r="78">
      <c r="A78" s="18" t="n">
        <v>1</v>
      </c>
      <c r="B78" s="18" t="inlineStr">
        <is>
          <t>G1_S1</t>
        </is>
      </c>
      <c r="C78" s="18" t="inlineStr">
        <is>
          <t>na_ise_ppm</t>
        </is>
      </c>
      <c r="D78" s="18" t="n">
        <v>1</v>
      </c>
      <c r="E78" s="18" t="n">
        <v>273.9</v>
      </c>
      <c r="F78" s="18" t="inlineStr">
        <is>
          <t>ppm</t>
        </is>
      </c>
      <c r="G78" s="18" t="n">
        <v>25.4</v>
      </c>
      <c r="H78" s="18" t="n"/>
      <c r="I78" s="18" t="inlineStr">
        <is>
          <t>potato_chips</t>
        </is>
      </c>
    </row>
    <row r="79">
      <c r="A79" s="18" t="n">
        <v>1</v>
      </c>
      <c r="B79" s="18" t="inlineStr">
        <is>
          <t>G1_S1</t>
        </is>
      </c>
      <c r="C79" s="18" t="inlineStr">
        <is>
          <t>na_ise_ppm</t>
        </is>
      </c>
      <c r="D79" s="18" t="n">
        <v>1</v>
      </c>
      <c r="E79" s="18" t="n">
        <v>153.2</v>
      </c>
      <c r="F79" s="18" t="inlineStr">
        <is>
          <t>ppm</t>
        </is>
      </c>
      <c r="G79" s="18" t="n">
        <v>24.5</v>
      </c>
      <c r="H79" s="18" t="n"/>
      <c r="I79" s="18" t="inlineStr">
        <is>
          <t>instant_soup</t>
        </is>
      </c>
    </row>
    <row r="80">
      <c r="A80" s="18" t="n">
        <v>1</v>
      </c>
      <c r="B80" s="18" t="inlineStr">
        <is>
          <t>G1_S1</t>
        </is>
      </c>
      <c r="C80" s="18" t="inlineStr">
        <is>
          <t>na_ise_ppm</t>
        </is>
      </c>
      <c r="D80" s="18" t="n">
        <v>1</v>
      </c>
      <c r="E80" s="18" t="n">
        <v>200.4</v>
      </c>
      <c r="F80" s="18" t="inlineStr">
        <is>
          <t>ppm</t>
        </is>
      </c>
      <c r="G80" s="18" t="n">
        <v>25.8</v>
      </c>
      <c r="H80" s="18" t="n"/>
      <c r="I80" s="18" t="inlineStr">
        <is>
          <t>sports_drink</t>
        </is>
      </c>
    </row>
    <row r="81">
      <c r="A81" s="18" t="n">
        <v>1</v>
      </c>
      <c r="B81" s="18" t="inlineStr">
        <is>
          <t>G1_S1</t>
        </is>
      </c>
      <c r="C81" s="18" t="inlineStr">
        <is>
          <t>na_ise_ppm</t>
        </is>
      </c>
      <c r="D81" s="18" t="n">
        <v>1</v>
      </c>
      <c r="E81" s="18" t="n">
        <v>232</v>
      </c>
      <c r="F81" s="18" t="inlineStr">
        <is>
          <t>ppm</t>
        </is>
      </c>
      <c r="G81" s="18" t="n">
        <v>24.4</v>
      </c>
      <c r="H81" s="18" t="n"/>
      <c r="I81" s="18" t="inlineStr">
        <is>
          <t>milk_powder</t>
        </is>
      </c>
    </row>
    <row r="82">
      <c r="A82" s="18" t="n">
        <v>2</v>
      </c>
      <c r="B82" s="18" t="inlineStr">
        <is>
          <t>G2_S1</t>
        </is>
      </c>
      <c r="C82" s="18" t="inlineStr">
        <is>
          <t>na_ise_ppm</t>
        </is>
      </c>
      <c r="D82" s="18" t="n">
        <v>1</v>
      </c>
      <c r="E82" s="18" t="n">
        <v>1216.8</v>
      </c>
      <c r="F82" s="18" t="inlineStr">
        <is>
          <t>ppm</t>
        </is>
      </c>
      <c r="G82" s="18" t="n">
        <v>25.2</v>
      </c>
      <c r="H82" s="18" t="n"/>
      <c r="I82" s="18" t="inlineStr">
        <is>
          <t>soy_sauce</t>
        </is>
      </c>
    </row>
    <row r="83">
      <c r="A83" s="18" t="n">
        <v>2</v>
      </c>
      <c r="B83" s="18" t="inlineStr">
        <is>
          <t>G2_S1</t>
        </is>
      </c>
      <c r="C83" s="18" t="inlineStr">
        <is>
          <t>na_ise_ppm</t>
        </is>
      </c>
      <c r="D83" s="18" t="n">
        <v>1</v>
      </c>
      <c r="E83" s="18" t="n">
        <v>272.4</v>
      </c>
      <c r="F83" s="18" t="inlineStr">
        <is>
          <t>ppm</t>
        </is>
      </c>
      <c r="G83" s="18" t="n">
        <v>25.7</v>
      </c>
      <c r="H83" s="18" t="n"/>
      <c r="I83" s="18" t="inlineStr">
        <is>
          <t>potato_chips</t>
        </is>
      </c>
    </row>
    <row r="84">
      <c r="A84" s="18" t="n">
        <v>2</v>
      </c>
      <c r="B84" s="18" t="inlineStr">
        <is>
          <t>G2_S1</t>
        </is>
      </c>
      <c r="C84" s="18" t="inlineStr">
        <is>
          <t>na_ise_ppm</t>
        </is>
      </c>
      <c r="D84" s="18" t="n">
        <v>1</v>
      </c>
      <c r="E84" s="18" t="n">
        <v>156.2</v>
      </c>
      <c r="F84" s="18" t="inlineStr">
        <is>
          <t>ppm</t>
        </is>
      </c>
      <c r="G84" s="18" t="n">
        <v>25.4</v>
      </c>
      <c r="H84" s="18" t="n"/>
      <c r="I84" s="18" t="inlineStr">
        <is>
          <t>instant_soup</t>
        </is>
      </c>
    </row>
    <row r="85">
      <c r="A85" s="18" t="n">
        <v>2</v>
      </c>
      <c r="B85" s="18" t="inlineStr">
        <is>
          <t>G2_S1</t>
        </is>
      </c>
      <c r="C85" s="18" t="inlineStr">
        <is>
          <t>na_ise_ppm</t>
        </is>
      </c>
      <c r="D85" s="18" t="n">
        <v>1</v>
      </c>
      <c r="E85" s="18" t="n">
        <v>205.6</v>
      </c>
      <c r="F85" s="18" t="inlineStr">
        <is>
          <t>ppm</t>
        </is>
      </c>
      <c r="G85" s="18" t="n">
        <v>25.3</v>
      </c>
      <c r="H85" s="18" t="n"/>
      <c r="I85" s="18" t="inlineStr">
        <is>
          <t>sports_drink</t>
        </is>
      </c>
    </row>
    <row r="86">
      <c r="A86" s="18" t="n">
        <v>2</v>
      </c>
      <c r="B86" s="18" t="inlineStr">
        <is>
          <t>G2_S1</t>
        </is>
      </c>
      <c r="C86" s="18" t="inlineStr">
        <is>
          <t>na_ise_ppm</t>
        </is>
      </c>
      <c r="D86" s="18" t="n">
        <v>1</v>
      </c>
      <c r="E86" s="18" t="n">
        <v>235.7</v>
      </c>
      <c r="F86" s="18" t="inlineStr">
        <is>
          <t>ppm</t>
        </is>
      </c>
      <c r="G86" s="18" t="n">
        <v>25.3</v>
      </c>
      <c r="H86" s="18" t="n"/>
      <c r="I86" s="18" t="inlineStr">
        <is>
          <t>milk_powder</t>
        </is>
      </c>
    </row>
    <row r="87">
      <c r="A87" s="18" t="n">
        <v>3</v>
      </c>
      <c r="B87" s="18" t="inlineStr">
        <is>
          <t>G3_S1</t>
        </is>
      </c>
      <c r="C87" s="18" t="inlineStr">
        <is>
          <t>na_ise_ppm</t>
        </is>
      </c>
      <c r="D87" s="18" t="n">
        <v>1</v>
      </c>
      <c r="E87" s="18" t="n">
        <v>1183.8</v>
      </c>
      <c r="F87" s="18" t="inlineStr">
        <is>
          <t>ppm</t>
        </is>
      </c>
      <c r="G87" s="18" t="n">
        <v>24.8</v>
      </c>
      <c r="H87" s="18" t="n"/>
      <c r="I87" s="18" t="inlineStr">
        <is>
          <t>soy_sauce</t>
        </is>
      </c>
    </row>
    <row r="88">
      <c r="A88" s="18" t="n">
        <v>3</v>
      </c>
      <c r="B88" s="18" t="inlineStr">
        <is>
          <t>G3_S1</t>
        </is>
      </c>
      <c r="C88" s="18" t="inlineStr">
        <is>
          <t>na_ise_ppm</t>
        </is>
      </c>
      <c r="D88" s="18" t="n">
        <v>1</v>
      </c>
      <c r="E88" s="18" t="n">
        <v>277.3</v>
      </c>
      <c r="F88" s="18" t="inlineStr">
        <is>
          <t>ppm</t>
        </is>
      </c>
      <c r="G88" s="18" t="n">
        <v>25</v>
      </c>
      <c r="H88" s="18" t="n"/>
      <c r="I88" s="18" t="inlineStr">
        <is>
          <t>potato_chips</t>
        </is>
      </c>
    </row>
    <row r="89">
      <c r="A89" s="18" t="n">
        <v>3</v>
      </c>
      <c r="B89" s="18" t="inlineStr">
        <is>
          <t>G3_S1</t>
        </is>
      </c>
      <c r="C89" s="18" t="inlineStr">
        <is>
          <t>na_ise_ppm</t>
        </is>
      </c>
      <c r="D89" s="18" t="n">
        <v>1</v>
      </c>
      <c r="E89" s="18" t="n">
        <v>158.5</v>
      </c>
      <c r="F89" s="18" t="inlineStr">
        <is>
          <t>ppm</t>
        </is>
      </c>
      <c r="G89" s="18" t="n">
        <v>24.3</v>
      </c>
      <c r="H89" s="18" t="n"/>
      <c r="I89" s="18" t="inlineStr">
        <is>
          <t>instant_soup</t>
        </is>
      </c>
    </row>
    <row r="90">
      <c r="A90" s="18" t="n">
        <v>3</v>
      </c>
      <c r="B90" s="18" t="inlineStr">
        <is>
          <t>G3_S1</t>
        </is>
      </c>
      <c r="C90" s="18" t="inlineStr">
        <is>
          <t>na_ise_ppm</t>
        </is>
      </c>
      <c r="D90" s="18" t="n">
        <v>1</v>
      </c>
      <c r="E90" s="18" t="n">
        <v>211</v>
      </c>
      <c r="F90" s="18" t="inlineStr">
        <is>
          <t>ppm</t>
        </is>
      </c>
      <c r="G90" s="18" t="n">
        <v>25.2</v>
      </c>
      <c r="H90" s="18" t="n"/>
      <c r="I90" s="18" t="inlineStr">
        <is>
          <t>sports_drink</t>
        </is>
      </c>
    </row>
    <row r="91">
      <c r="A91" s="18" t="n">
        <v>3</v>
      </c>
      <c r="B91" s="18" t="inlineStr">
        <is>
          <t>G3_S1</t>
        </is>
      </c>
      <c r="C91" s="18" t="inlineStr">
        <is>
          <t>na_ise_ppm</t>
        </is>
      </c>
      <c r="D91" s="18" t="n">
        <v>1</v>
      </c>
      <c r="E91" s="18" t="n">
        <v>224.9</v>
      </c>
      <c r="F91" s="18" t="inlineStr">
        <is>
          <t>ppm</t>
        </is>
      </c>
      <c r="G91" s="18" t="n">
        <v>25.9</v>
      </c>
      <c r="H91" s="18" t="n"/>
      <c r="I91" s="18" t="inlineStr">
        <is>
          <t>milk_powder</t>
        </is>
      </c>
    </row>
    <row r="92">
      <c r="A92" s="18" t="n">
        <v>4</v>
      </c>
      <c r="B92" s="18" t="inlineStr">
        <is>
          <t>G4_S1</t>
        </is>
      </c>
      <c r="C92" s="18" t="inlineStr">
        <is>
          <t>na_ise_ppm</t>
        </is>
      </c>
      <c r="D92" s="18" t="n">
        <v>1</v>
      </c>
      <c r="E92" s="18" t="n">
        <v>1198.2</v>
      </c>
      <c r="F92" s="18" t="inlineStr">
        <is>
          <t>ppm</t>
        </is>
      </c>
      <c r="G92" s="18" t="n">
        <v>24.7</v>
      </c>
      <c r="H92" s="18" t="n"/>
      <c r="I92" s="18" t="inlineStr">
        <is>
          <t>soy_sauce</t>
        </is>
      </c>
    </row>
    <row r="93">
      <c r="A93" s="18" t="n">
        <v>4</v>
      </c>
      <c r="B93" s="18" t="inlineStr">
        <is>
          <t>G4_S1</t>
        </is>
      </c>
      <c r="C93" s="18" t="inlineStr">
        <is>
          <t>na_ise_ppm</t>
        </is>
      </c>
      <c r="D93" s="18" t="n">
        <v>1</v>
      </c>
      <c r="E93" s="18" t="n">
        <v>279.8</v>
      </c>
      <c r="F93" s="18" t="inlineStr">
        <is>
          <t>ppm</t>
        </is>
      </c>
      <c r="G93" s="18" t="n">
        <v>24</v>
      </c>
      <c r="H93" s="18" t="n"/>
      <c r="I93" s="18" t="inlineStr">
        <is>
          <t>potato_chips</t>
        </is>
      </c>
    </row>
    <row r="94">
      <c r="A94" s="18" t="n">
        <v>4</v>
      </c>
      <c r="B94" s="18" t="inlineStr">
        <is>
          <t>G4_S1</t>
        </is>
      </c>
      <c r="C94" s="18" t="inlineStr">
        <is>
          <t>na_ise_ppm</t>
        </is>
      </c>
      <c r="D94" s="18" t="n">
        <v>1</v>
      </c>
      <c r="E94" s="18" t="n">
        <v>151.6</v>
      </c>
      <c r="F94" s="18" t="inlineStr">
        <is>
          <t>ppm</t>
        </is>
      </c>
      <c r="G94" s="18" t="n">
        <v>25</v>
      </c>
      <c r="H94" s="18" t="n"/>
      <c r="I94" s="18" t="inlineStr">
        <is>
          <t>instant_soup</t>
        </is>
      </c>
    </row>
    <row r="95">
      <c r="A95" s="18" t="n">
        <v>4</v>
      </c>
      <c r="B95" s="18" t="inlineStr">
        <is>
          <t>G4_S1</t>
        </is>
      </c>
      <c r="C95" s="18" t="inlineStr">
        <is>
          <t>na_ise_ppm</t>
        </is>
      </c>
      <c r="D95" s="18" t="n">
        <v>1</v>
      </c>
      <c r="E95" s="18" t="n">
        <v>206</v>
      </c>
      <c r="F95" s="18" t="inlineStr">
        <is>
          <t>ppm</t>
        </is>
      </c>
      <c r="G95" s="18" t="n">
        <v>24.2</v>
      </c>
      <c r="H95" s="18" t="n"/>
      <c r="I95" s="18" t="inlineStr">
        <is>
          <t>sports_drink</t>
        </is>
      </c>
    </row>
    <row r="96">
      <c r="A96" s="18" t="n">
        <v>4</v>
      </c>
      <c r="B96" s="18" t="inlineStr">
        <is>
          <t>G4_S1</t>
        </is>
      </c>
      <c r="C96" s="18" t="inlineStr">
        <is>
          <t>na_ise_ppm</t>
        </is>
      </c>
      <c r="D96" s="18" t="n">
        <v>1</v>
      </c>
      <c r="E96" s="18" t="n">
        <v>237.6</v>
      </c>
      <c r="F96" s="18" t="inlineStr">
        <is>
          <t>ppm</t>
        </is>
      </c>
      <c r="G96" s="18" t="n">
        <v>25</v>
      </c>
      <c r="H96" s="18" t="n"/>
      <c r="I96" s="18" t="inlineStr">
        <is>
          <t>milk_powder</t>
        </is>
      </c>
    </row>
    <row r="97">
      <c r="A97" s="18" t="n">
        <v>5</v>
      </c>
      <c r="B97" s="18" t="inlineStr">
        <is>
          <t>G5_S1</t>
        </is>
      </c>
      <c r="C97" s="18" t="inlineStr">
        <is>
          <t>na_ise_ppm</t>
        </is>
      </c>
      <c r="D97" s="18" t="n">
        <v>1</v>
      </c>
      <c r="E97" s="18" t="n">
        <v>1216.4</v>
      </c>
      <c r="F97" s="18" t="inlineStr">
        <is>
          <t>ppm</t>
        </is>
      </c>
      <c r="G97" s="18" t="n">
        <v>25.1</v>
      </c>
      <c r="H97" s="18" t="n"/>
      <c r="I97" s="18" t="inlineStr">
        <is>
          <t>soy_sauce</t>
        </is>
      </c>
    </row>
    <row r="98">
      <c r="A98" s="18" t="n">
        <v>5</v>
      </c>
      <c r="B98" s="18" t="inlineStr">
        <is>
          <t>G5_S1</t>
        </is>
      </c>
      <c r="C98" s="18" t="inlineStr">
        <is>
          <t>na_ise_ppm</t>
        </is>
      </c>
      <c r="D98" s="18" t="n">
        <v>1</v>
      </c>
      <c r="E98" s="18" t="n">
        <v>263.2</v>
      </c>
      <c r="F98" s="18" t="inlineStr">
        <is>
          <t>ppm</t>
        </is>
      </c>
      <c r="G98" s="18" t="n">
        <v>24.5</v>
      </c>
      <c r="H98" s="18" t="n"/>
      <c r="I98" s="18" t="inlineStr">
        <is>
          <t>potato_chips</t>
        </is>
      </c>
    </row>
    <row r="99">
      <c r="A99" s="18" t="n">
        <v>5</v>
      </c>
      <c r="B99" s="18" t="inlineStr">
        <is>
          <t>G5_S1</t>
        </is>
      </c>
      <c r="C99" s="18" t="inlineStr">
        <is>
          <t>na_ise_ppm</t>
        </is>
      </c>
      <c r="D99" s="18" t="n">
        <v>1</v>
      </c>
      <c r="E99" s="18" t="n">
        <v>153.6</v>
      </c>
      <c r="F99" s="18" t="inlineStr">
        <is>
          <t>ppm</t>
        </is>
      </c>
      <c r="G99" s="18" t="n">
        <v>25</v>
      </c>
      <c r="H99" s="18" t="n"/>
      <c r="I99" s="18" t="inlineStr">
        <is>
          <t>instant_soup</t>
        </is>
      </c>
    </row>
    <row r="100">
      <c r="A100" s="18" t="n">
        <v>5</v>
      </c>
      <c r="B100" s="18" t="inlineStr">
        <is>
          <t>G5_S1</t>
        </is>
      </c>
      <c r="C100" s="18" t="inlineStr">
        <is>
          <t>na_ise_ppm</t>
        </is>
      </c>
      <c r="D100" s="18" t="n">
        <v>1</v>
      </c>
      <c r="E100" s="18" t="n">
        <v>201.9</v>
      </c>
      <c r="F100" s="18" t="inlineStr">
        <is>
          <t>ppm</t>
        </is>
      </c>
      <c r="G100" s="18" t="n">
        <v>24</v>
      </c>
      <c r="H100" s="18" t="n"/>
      <c r="I100" s="18" t="inlineStr">
        <is>
          <t>sports_drink</t>
        </is>
      </c>
    </row>
    <row r="101">
      <c r="A101" s="18" t="n">
        <v>5</v>
      </c>
      <c r="B101" s="18" t="inlineStr">
        <is>
          <t>G5_S1</t>
        </is>
      </c>
      <c r="C101" s="18" t="inlineStr">
        <is>
          <t>na_ise_ppm</t>
        </is>
      </c>
      <c r="D101" s="18" t="n">
        <v>1</v>
      </c>
      <c r="E101" s="18" t="n">
        <v>233.1</v>
      </c>
      <c r="F101" s="18" t="inlineStr">
        <is>
          <t>ppm</t>
        </is>
      </c>
      <c r="G101" s="18" t="n">
        <v>25.8</v>
      </c>
      <c r="H101" s="18" t="n"/>
      <c r="I101" s="18" t="inlineStr">
        <is>
          <t>milk_powder</t>
        </is>
      </c>
    </row>
    <row r="102">
      <c r="A102" s="18" t="n">
        <v>1</v>
      </c>
      <c r="B102" s="18" t="inlineStr">
        <is>
          <t>G1_S2</t>
        </is>
      </c>
      <c r="C102" s="18" t="inlineStr">
        <is>
          <t>std_addition_before_ppm</t>
        </is>
      </c>
      <c r="D102" s="18" t="n">
        <v>1</v>
      </c>
      <c r="E102" s="18" t="n">
        <v>297.6</v>
      </c>
      <c r="F102" s="18" t="inlineStr">
        <is>
          <t>ppm</t>
        </is>
      </c>
      <c r="G102" s="18" t="n">
        <v>25</v>
      </c>
      <c r="H102" s="18" t="n"/>
      <c r="I102" s="18" t="inlineStr">
        <is>
          <t>soy_sauce</t>
        </is>
      </c>
    </row>
    <row r="103">
      <c r="A103" s="18" t="n">
        <v>1</v>
      </c>
      <c r="B103" s="18" t="inlineStr">
        <is>
          <t>G1_S2</t>
        </is>
      </c>
      <c r="C103" s="18" t="inlineStr">
        <is>
          <t>std_addition_after_ppm</t>
        </is>
      </c>
      <c r="D103" s="18" t="n">
        <v>1</v>
      </c>
      <c r="E103" s="18" t="n">
        <v>497.8</v>
      </c>
      <c r="F103" s="18" t="inlineStr">
        <is>
          <t>ppm</t>
        </is>
      </c>
      <c r="G103" s="18" t="n">
        <v>25</v>
      </c>
      <c r="H103" s="18" t="n"/>
      <c r="I103" s="18" t="inlineStr">
        <is>
          <t>soy_sauce</t>
        </is>
      </c>
    </row>
    <row r="104">
      <c r="A104" s="18" t="n">
        <v>2</v>
      </c>
      <c r="B104" s="18" t="inlineStr">
        <is>
          <t>G2_S2</t>
        </is>
      </c>
      <c r="C104" s="18" t="inlineStr">
        <is>
          <t>std_addition_before_ppm</t>
        </is>
      </c>
      <c r="D104" s="18" t="n">
        <v>1</v>
      </c>
      <c r="E104" s="18" t="n">
        <v>274.9</v>
      </c>
      <c r="F104" s="18" t="inlineStr">
        <is>
          <t>ppm</t>
        </is>
      </c>
      <c r="G104" s="18" t="n">
        <v>25</v>
      </c>
      <c r="H104" s="18" t="n"/>
      <c r="I104" s="18" t="inlineStr">
        <is>
          <t>soy_sauce</t>
        </is>
      </c>
    </row>
    <row r="105">
      <c r="A105" s="18" t="n">
        <v>2</v>
      </c>
      <c r="B105" s="18" t="inlineStr">
        <is>
          <t>G2_S2</t>
        </is>
      </c>
      <c r="C105" s="18" t="inlineStr">
        <is>
          <t>std_addition_after_ppm</t>
        </is>
      </c>
      <c r="D105" s="18" t="n">
        <v>1</v>
      </c>
      <c r="E105" s="18" t="n">
        <v>477.7</v>
      </c>
      <c r="F105" s="18" t="inlineStr">
        <is>
          <t>ppm</t>
        </is>
      </c>
      <c r="G105" s="18" t="n">
        <v>25</v>
      </c>
      <c r="H105" s="18" t="n"/>
      <c r="I105" s="18" t="inlineStr">
        <is>
          <t>soy_sauce</t>
        </is>
      </c>
    </row>
    <row r="106">
      <c r="A106" s="18" t="n">
        <v>3</v>
      </c>
      <c r="B106" s="18" t="inlineStr">
        <is>
          <t>G3_S2</t>
        </is>
      </c>
      <c r="C106" s="18" t="inlineStr">
        <is>
          <t>std_addition_before_ppm</t>
        </is>
      </c>
      <c r="D106" s="18" t="n">
        <v>1</v>
      </c>
      <c r="E106" s="18" t="n">
        <v>299.2</v>
      </c>
      <c r="F106" s="18" t="inlineStr">
        <is>
          <t>ppm</t>
        </is>
      </c>
      <c r="G106" s="18" t="n">
        <v>25</v>
      </c>
      <c r="H106" s="18" t="n"/>
      <c r="I106" s="18" t="inlineStr">
        <is>
          <t>soy_sauce</t>
        </is>
      </c>
    </row>
    <row r="107">
      <c r="A107" s="18" t="n">
        <v>3</v>
      </c>
      <c r="B107" s="18" t="inlineStr">
        <is>
          <t>G3_S2</t>
        </is>
      </c>
      <c r="C107" s="18" t="inlineStr">
        <is>
          <t>std_addition_after_ppm</t>
        </is>
      </c>
      <c r="D107" s="18" t="n">
        <v>1</v>
      </c>
      <c r="E107" s="18" t="n">
        <v>503.2</v>
      </c>
      <c r="F107" s="18" t="inlineStr">
        <is>
          <t>ppm</t>
        </is>
      </c>
      <c r="G107" s="18" t="n">
        <v>25</v>
      </c>
      <c r="H107" s="18" t="n"/>
      <c r="I107" s="18" t="inlineStr">
        <is>
          <t>soy_sauce</t>
        </is>
      </c>
    </row>
    <row r="108">
      <c r="A108" s="18" t="n">
        <v>4</v>
      </c>
      <c r="B108" s="18" t="inlineStr">
        <is>
          <t>G4_S2</t>
        </is>
      </c>
      <c r="C108" s="18" t="inlineStr">
        <is>
          <t>std_addition_before_ppm</t>
        </is>
      </c>
      <c r="D108" s="18" t="n">
        <v>1</v>
      </c>
      <c r="E108" s="18" t="n">
        <v>302</v>
      </c>
      <c r="F108" s="18" t="inlineStr">
        <is>
          <t>ppm</t>
        </is>
      </c>
      <c r="G108" s="18" t="n">
        <v>25</v>
      </c>
      <c r="H108" s="18" t="n"/>
      <c r="I108" s="18" t="inlineStr">
        <is>
          <t>soy_sauce</t>
        </is>
      </c>
    </row>
    <row r="109">
      <c r="A109" s="18" t="n">
        <v>4</v>
      </c>
      <c r="B109" s="18" t="inlineStr">
        <is>
          <t>G4_S2</t>
        </is>
      </c>
      <c r="C109" s="18" t="inlineStr">
        <is>
          <t>std_addition_after_ppm</t>
        </is>
      </c>
      <c r="D109" s="18" t="n">
        <v>1</v>
      </c>
      <c r="E109" s="18" t="n">
        <v>453.7</v>
      </c>
      <c r="F109" s="18" t="inlineStr">
        <is>
          <t>ppm</t>
        </is>
      </c>
      <c r="G109" s="18" t="n">
        <v>25</v>
      </c>
      <c r="H109" s="18" t="inlineStr">
        <is>
          <t>回收率 &lt; 90%，疑似基質效應或加標體積誤差，建議重做</t>
        </is>
      </c>
      <c r="I109" s="18" t="inlineStr">
        <is>
          <t>soy_sauce</t>
        </is>
      </c>
    </row>
    <row r="110">
      <c r="A110" s="18" t="n">
        <v>5</v>
      </c>
      <c r="B110" s="18" t="inlineStr">
        <is>
          <t>G5_S2</t>
        </is>
      </c>
      <c r="C110" s="18" t="inlineStr">
        <is>
          <t>std_addition_before_ppm</t>
        </is>
      </c>
      <c r="D110" s="18" t="n">
        <v>1</v>
      </c>
      <c r="E110" s="18" t="n">
        <v>292.5</v>
      </c>
      <c r="F110" s="18" t="inlineStr">
        <is>
          <t>ppm</t>
        </is>
      </c>
      <c r="G110" s="18" t="n">
        <v>25</v>
      </c>
      <c r="H110" s="18" t="n"/>
      <c r="I110" s="18" t="inlineStr">
        <is>
          <t>soy_sauce</t>
        </is>
      </c>
    </row>
    <row r="111">
      <c r="A111" s="18" t="n">
        <v>5</v>
      </c>
      <c r="B111" s="18" t="inlineStr">
        <is>
          <t>G5_S2</t>
        </is>
      </c>
      <c r="C111" s="18" t="inlineStr">
        <is>
          <t>std_addition_after_ppm</t>
        </is>
      </c>
      <c r="D111" s="18" t="n">
        <v>1</v>
      </c>
      <c r="E111" s="18" t="n">
        <v>485.6</v>
      </c>
      <c r="F111" s="18" t="inlineStr">
        <is>
          <t>ppm</t>
        </is>
      </c>
      <c r="G111" s="18" t="n">
        <v>25</v>
      </c>
      <c r="H111" s="18" t="n"/>
      <c r="I111" s="18" t="inlineStr">
        <is>
          <t>soy_sauce</t>
        </is>
      </c>
    </row>
    <row r="112">
      <c r="A112" s="18" t="n">
        <v>0</v>
      </c>
      <c r="B112" s="18" t="inlineStr">
        <is>
          <t>QC_standard</t>
        </is>
      </c>
      <c r="C112" s="18" t="inlineStr">
        <is>
          <t>drift_check_ppm</t>
        </is>
      </c>
      <c r="D112" s="18" t="n">
        <v>0</v>
      </c>
      <c r="E112" s="18" t="n">
        <v>988.4</v>
      </c>
      <c r="F112" s="18" t="inlineStr">
        <is>
          <t>ppm</t>
        </is>
      </c>
      <c r="G112" s="18" t="n">
        <v>25</v>
      </c>
      <c r="H112" s="18" t="n"/>
      <c r="I112" s="18" t="inlineStr">
        <is>
          <t>Na_1000ppm_std</t>
        </is>
      </c>
    </row>
    <row r="113">
      <c r="A113" s="18" t="n">
        <v>0</v>
      </c>
      <c r="B113" s="18" t="inlineStr">
        <is>
          <t>QC_standard</t>
        </is>
      </c>
      <c r="C113" s="18" t="inlineStr">
        <is>
          <t>drift_check_ppm</t>
        </is>
      </c>
      <c r="D113" s="18" t="n">
        <v>10</v>
      </c>
      <c r="E113" s="18" t="n">
        <v>991.3</v>
      </c>
      <c r="F113" s="18" t="inlineStr">
        <is>
          <t>ppm</t>
        </is>
      </c>
      <c r="G113" s="18" t="n">
        <v>25</v>
      </c>
      <c r="H113" s="18" t="n"/>
      <c r="I113" s="18" t="inlineStr">
        <is>
          <t>Na_1000ppm_std</t>
        </is>
      </c>
    </row>
    <row r="114">
      <c r="A114" s="18" t="n">
        <v>0</v>
      </c>
      <c r="B114" s="18" t="inlineStr">
        <is>
          <t>QC_standard</t>
        </is>
      </c>
      <c r="C114" s="18" t="inlineStr">
        <is>
          <t>drift_check_ppm</t>
        </is>
      </c>
      <c r="D114" s="18" t="n">
        <v>20</v>
      </c>
      <c r="E114" s="18" t="n">
        <v>1025.5</v>
      </c>
      <c r="F114" s="18" t="inlineStr">
        <is>
          <t>ppm</t>
        </is>
      </c>
      <c r="G114" s="18" t="n">
        <v>25</v>
      </c>
      <c r="H114" s="18" t="n"/>
      <c r="I114" s="18" t="inlineStr">
        <is>
          <t>Na_1000ppm_std</t>
        </is>
      </c>
    </row>
    <row r="115">
      <c r="A115" s="18" t="n">
        <v>0</v>
      </c>
      <c r="B115" s="18" t="inlineStr">
        <is>
          <t>QC_standard</t>
        </is>
      </c>
      <c r="C115" s="18" t="inlineStr">
        <is>
          <t>drift_check_ppm</t>
        </is>
      </c>
      <c r="D115" s="18" t="n">
        <v>30</v>
      </c>
      <c r="E115" s="18" t="n">
        <v>990.1</v>
      </c>
      <c r="F115" s="18" t="inlineStr">
        <is>
          <t>ppm</t>
        </is>
      </c>
      <c r="G115" s="18" t="n">
        <v>25</v>
      </c>
      <c r="H115" s="18" t="n"/>
      <c r="I115" s="18" t="inlineStr">
        <is>
          <t>Na_1000ppm_std</t>
        </is>
      </c>
    </row>
    <row r="116">
      <c r="A116" s="18" t="n">
        <v>0</v>
      </c>
      <c r="B116" s="18" t="inlineStr">
        <is>
          <t>QC_standard</t>
        </is>
      </c>
      <c r="C116" s="18" t="inlineStr">
        <is>
          <t>drift_check_ppm</t>
        </is>
      </c>
      <c r="D116" s="18" t="n">
        <v>40</v>
      </c>
      <c r="E116" s="18" t="n">
        <v>1061</v>
      </c>
      <c r="F116" s="18" t="inlineStr">
        <is>
          <t>ppm</t>
        </is>
      </c>
      <c r="G116" s="18" t="n">
        <v>25</v>
      </c>
      <c r="H116" s="18" t="n"/>
      <c r="I116" s="18" t="inlineStr">
        <is>
          <t>Na_1000ppm_std</t>
        </is>
      </c>
    </row>
    <row r="117">
      <c r="A117" s="18" t="n">
        <v>0</v>
      </c>
      <c r="B117" s="18" t="inlineStr">
        <is>
          <t>QC_standard</t>
        </is>
      </c>
      <c r="C117" s="18" t="inlineStr">
        <is>
          <t>drift_check_ppm</t>
        </is>
      </c>
      <c r="D117" s="18" t="n">
        <v>50</v>
      </c>
      <c r="E117" s="18" t="n">
        <v>989.2</v>
      </c>
      <c r="F117" s="18" t="inlineStr">
        <is>
          <t>ppm</t>
        </is>
      </c>
      <c r="G117" s="18" t="n">
        <v>25</v>
      </c>
      <c r="H117" s="18" t="n"/>
      <c r="I117" s="18" t="inlineStr">
        <is>
          <t>Na_1000ppm_std</t>
        </is>
      </c>
    </row>
    <row r="118">
      <c r="A118" s="18" t="n">
        <v>1</v>
      </c>
      <c r="B118" s="18" t="inlineStr">
        <is>
          <t>G1_S3</t>
        </is>
      </c>
      <c r="C118" s="18" t="inlineStr">
        <is>
          <t>nernst_mV</t>
        </is>
      </c>
      <c r="D118" s="18" t="n">
        <v>1</v>
      </c>
      <c r="E118" s="18" t="n">
        <v>101.1</v>
      </c>
      <c r="F118" s="18" t="inlineStr">
        <is>
          <t>mV</t>
        </is>
      </c>
      <c r="G118" s="18" t="n">
        <v>25</v>
      </c>
      <c r="H118" s="18" t="n"/>
      <c r="I118" s="18" t="inlineStr">
        <is>
          <t>std_100ppm</t>
        </is>
      </c>
    </row>
    <row r="119">
      <c r="A119" s="18" t="n">
        <v>1</v>
      </c>
      <c r="B119" s="18" t="inlineStr">
        <is>
          <t>G1_S3</t>
        </is>
      </c>
      <c r="C119" s="18" t="inlineStr">
        <is>
          <t>nernst_mV</t>
        </is>
      </c>
      <c r="D119" s="18" t="n">
        <v>1</v>
      </c>
      <c r="E119" s="18" t="n">
        <v>159.7</v>
      </c>
      <c r="F119" s="18" t="inlineStr">
        <is>
          <t>mV</t>
        </is>
      </c>
      <c r="G119" s="18" t="n">
        <v>25</v>
      </c>
      <c r="H119" s="18" t="n"/>
      <c r="I119" s="18" t="inlineStr">
        <is>
          <t>std_1000ppm</t>
        </is>
      </c>
    </row>
    <row r="120">
      <c r="A120" s="18" t="n">
        <v>2</v>
      </c>
      <c r="B120" s="18" t="inlineStr">
        <is>
          <t>G2_S3</t>
        </is>
      </c>
      <c r="C120" s="18" t="inlineStr">
        <is>
          <t>nernst_mV</t>
        </is>
      </c>
      <c r="D120" s="18" t="n">
        <v>1</v>
      </c>
      <c r="E120" s="18" t="n">
        <v>99.8</v>
      </c>
      <c r="F120" s="18" t="inlineStr">
        <is>
          <t>mV</t>
        </is>
      </c>
      <c r="G120" s="18" t="n">
        <v>25</v>
      </c>
      <c r="H120" s="18" t="n"/>
      <c r="I120" s="18" t="inlineStr">
        <is>
          <t>std_100ppm</t>
        </is>
      </c>
    </row>
    <row r="121">
      <c r="A121" s="18" t="n">
        <v>2</v>
      </c>
      <c r="B121" s="18" t="inlineStr">
        <is>
          <t>G2_S3</t>
        </is>
      </c>
      <c r="C121" s="18" t="inlineStr">
        <is>
          <t>nernst_mV</t>
        </is>
      </c>
      <c r="D121" s="18" t="n">
        <v>1</v>
      </c>
      <c r="E121" s="18" t="n">
        <v>159.2</v>
      </c>
      <c r="F121" s="18" t="inlineStr">
        <is>
          <t>mV</t>
        </is>
      </c>
      <c r="G121" s="18" t="n">
        <v>25</v>
      </c>
      <c r="H121" s="18" t="n"/>
      <c r="I121" s="18" t="inlineStr">
        <is>
          <t>std_1000ppm</t>
        </is>
      </c>
    </row>
    <row r="122">
      <c r="A122" s="18" t="n">
        <v>3</v>
      </c>
      <c r="B122" s="18" t="inlineStr">
        <is>
          <t>G3_S3</t>
        </is>
      </c>
      <c r="C122" s="18" t="inlineStr">
        <is>
          <t>nernst_mV</t>
        </is>
      </c>
      <c r="D122" s="18" t="n">
        <v>1</v>
      </c>
      <c r="E122" s="18" t="n">
        <v>99.2</v>
      </c>
      <c r="F122" s="18" t="inlineStr">
        <is>
          <t>mV</t>
        </is>
      </c>
      <c r="G122" s="18" t="n">
        <v>25</v>
      </c>
      <c r="H122" s="18" t="n"/>
      <c r="I122" s="18" t="inlineStr">
        <is>
          <t>std_100ppm</t>
        </is>
      </c>
    </row>
    <row r="123">
      <c r="A123" s="18" t="n">
        <v>3</v>
      </c>
      <c r="B123" s="18" t="inlineStr">
        <is>
          <t>G3_S3</t>
        </is>
      </c>
      <c r="C123" s="18" t="inlineStr">
        <is>
          <t>nernst_mV</t>
        </is>
      </c>
      <c r="D123" s="18" t="n">
        <v>1</v>
      </c>
      <c r="E123" s="18" t="n">
        <v>159.7</v>
      </c>
      <c r="F123" s="18" t="inlineStr">
        <is>
          <t>mV</t>
        </is>
      </c>
      <c r="G123" s="18" t="n">
        <v>25</v>
      </c>
      <c r="H123" s="18" t="n"/>
      <c r="I123" s="18" t="inlineStr">
        <is>
          <t>std_1000ppm</t>
        </is>
      </c>
    </row>
    <row r="124">
      <c r="A124" s="18" t="n">
        <v>4</v>
      </c>
      <c r="B124" s="18" t="inlineStr">
        <is>
          <t>G4_S3</t>
        </is>
      </c>
      <c r="C124" s="18" t="inlineStr">
        <is>
          <t>nernst_mV</t>
        </is>
      </c>
      <c r="D124" s="18" t="n">
        <v>1</v>
      </c>
      <c r="E124" s="18" t="n">
        <v>99.5</v>
      </c>
      <c r="F124" s="18" t="inlineStr">
        <is>
          <t>mV</t>
        </is>
      </c>
      <c r="G124" s="18" t="n">
        <v>25</v>
      </c>
      <c r="H124" s="18" t="n"/>
      <c r="I124" s="18" t="inlineStr">
        <is>
          <t>std_100ppm</t>
        </is>
      </c>
    </row>
    <row r="125">
      <c r="A125" s="18" t="n">
        <v>4</v>
      </c>
      <c r="B125" s="18" t="inlineStr">
        <is>
          <t>G4_S3</t>
        </is>
      </c>
      <c r="C125" s="18" t="inlineStr">
        <is>
          <t>nernst_mV</t>
        </is>
      </c>
      <c r="D125" s="18" t="n">
        <v>1</v>
      </c>
      <c r="E125" s="18" t="n">
        <v>157.7</v>
      </c>
      <c r="F125" s="18" t="inlineStr">
        <is>
          <t>mV</t>
        </is>
      </c>
      <c r="G125" s="18" t="n">
        <v>25</v>
      </c>
      <c r="H125" s="18" t="n"/>
      <c r="I125" s="18" t="inlineStr">
        <is>
          <t>std_1000ppm</t>
        </is>
      </c>
    </row>
    <row r="126">
      <c r="A126" s="18" t="n">
        <v>5</v>
      </c>
      <c r="B126" s="18" t="inlineStr">
        <is>
          <t>G5_S3</t>
        </is>
      </c>
      <c r="C126" s="18" t="inlineStr">
        <is>
          <t>nernst_mV</t>
        </is>
      </c>
      <c r="D126" s="18" t="n">
        <v>1</v>
      </c>
      <c r="E126" s="18" t="n">
        <v>98.5</v>
      </c>
      <c r="F126" s="18" t="inlineStr">
        <is>
          <t>mV</t>
        </is>
      </c>
      <c r="G126" s="18" t="n">
        <v>25</v>
      </c>
      <c r="H126" s="18" t="n"/>
      <c r="I126" s="18" t="inlineStr">
        <is>
          <t>std_100ppm</t>
        </is>
      </c>
    </row>
    <row r="127">
      <c r="A127" s="18" t="n">
        <v>5</v>
      </c>
      <c r="B127" s="18" t="inlineStr">
        <is>
          <t>G5_S3</t>
        </is>
      </c>
      <c r="C127" s="18" t="inlineStr">
        <is>
          <t>nernst_mV</t>
        </is>
      </c>
      <c r="D127" s="18" t="n">
        <v>1</v>
      </c>
      <c r="E127" s="18" t="n">
        <v>159.4</v>
      </c>
      <c r="F127" s="18" t="inlineStr">
        <is>
          <t>mV</t>
        </is>
      </c>
      <c r="G127" s="18" t="n">
        <v>25</v>
      </c>
      <c r="H127" s="18" t="n"/>
      <c r="I127" s="18" t="inlineStr">
        <is>
          <t>std_1000ppm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J46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3" customWidth="1" min="3" max="3"/>
    <col width="13" customWidth="1" min="4" max="4"/>
    <col width="15" customWidth="1" min="5" max="5"/>
    <col width="11" customWidth="1" min="6" max="6"/>
    <col width="11" customWidth="1" min="7" max="7"/>
    <col width="13" customWidth="1" min="8" max="8"/>
    <col width="3" customWidth="1" min="9" max="9"/>
    <col width="62" customWidth="1" min="10" max="10"/>
  </cols>
  <sheetData>
    <row r="1">
      <c r="A1" s="1" t="inlineStr">
        <is>
          <t>步驟 1　灰分 %（乾式灰化，550 °C）</t>
        </is>
      </c>
    </row>
    <row r="2" ht="32" customHeight="1">
      <c r="A2" s="16" t="inlineStr">
        <is>
          <t>灰分％ = 灰分重 ÷ 樣品重 × 100。三個秤重都是「坩堝的重量」，先相減得到樣品重與灰分重，再相除。灰化後要反覆加熱、冷卻、秤重，直到兩次相差 ≤ 0.5 mg（恆重）才記錄。</t>
        </is>
      </c>
    </row>
    <row r="4">
      <c r="A4" s="3" t="inlineStr">
        <is>
          <t>1-1 講義範例（黑糖）：先用這一題確認你懂公式</t>
        </is>
      </c>
    </row>
    <row r="5">
      <c r="A5" s="19" t="inlineStr">
        <is>
          <t>坩堝空重 W₀ (g)</t>
        </is>
      </c>
      <c r="B5" s="20" t="n"/>
      <c r="C5" s="21" t="n"/>
      <c r="D5" s="22" t="n">
        <v>26.184</v>
      </c>
    </row>
    <row r="6">
      <c r="A6" s="19" t="inlineStr">
        <is>
          <t>坩堝＋樣品 W₁ (g)</t>
        </is>
      </c>
      <c r="B6" s="20" t="n"/>
      <c r="C6" s="21" t="n"/>
      <c r="D6" s="22" t="n">
        <v>28.696</v>
      </c>
    </row>
    <row r="7">
      <c r="A7" s="19" t="inlineStr">
        <is>
          <t>灰化後坩堝＋灰分（恆重）W₂ (g)</t>
        </is>
      </c>
      <c r="B7" s="20" t="n"/>
      <c r="C7" s="21" t="n"/>
      <c r="D7" s="22" t="n">
        <v>26.221</v>
      </c>
    </row>
    <row r="8">
      <c r="A8" s="19" t="inlineStr">
        <is>
          <t>樣品重 = W₁ − W₀ (g)</t>
        </is>
      </c>
      <c r="B8" s="20" t="n"/>
      <c r="C8" s="21" t="n"/>
      <c r="D8" s="11">
        <f>D6-D5</f>
        <v/>
      </c>
      <c r="J8" s="16" t="inlineStr">
        <is>
          <t>應為 2.512 g</t>
        </is>
      </c>
    </row>
    <row r="9">
      <c r="A9" s="19" t="inlineStr">
        <is>
          <t>灰分重 = W₂ − W₀ (g)</t>
        </is>
      </c>
      <c r="B9" s="20" t="n"/>
      <c r="C9" s="21" t="n"/>
      <c r="D9" s="11">
        <f>D7-D5</f>
        <v/>
      </c>
      <c r="J9" s="16" t="inlineStr">
        <is>
          <t>應為 0.037 g</t>
        </is>
      </c>
    </row>
    <row r="10">
      <c r="A10" s="19" t="inlineStr">
        <is>
          <t>灰分 % = 灰分重 ÷ 樣品重 × 100</t>
        </is>
      </c>
      <c r="B10" s="20" t="n"/>
      <c r="C10" s="21" t="n"/>
      <c r="D10" s="23">
        <f>D9/D8*100</f>
        <v/>
      </c>
      <c r="J10" s="16" t="inlineStr">
        <is>
          <t>應約為 1.47 %。注意：灰分重只有幾十 mg，天平讀錯 1 mg 灰分％就差約 3%（相對）。</t>
        </is>
      </c>
    </row>
    <row r="12">
      <c r="A12" s="3" t="inlineStr">
        <is>
          <t>1-2 各組灰分（從原始數據自動抓）</t>
        </is>
      </c>
    </row>
    <row r="13" ht="45" customHeight="1">
      <c r="A13" s="9" t="inlineStr">
        <is>
          <t>組別</t>
        </is>
      </c>
      <c r="B13" s="9" t="inlineStr">
        <is>
          <t>樣品</t>
        </is>
      </c>
      <c r="C13" s="9" t="inlineStr">
        <is>
          <t>坩堝空重 W₀ (g)</t>
        </is>
      </c>
      <c r="D13" s="9" t="inlineStr">
        <is>
          <t>坩堝＋樣品 W₁ (g)</t>
        </is>
      </c>
      <c r="E13" s="9" t="inlineStr">
        <is>
          <t>灰化後坩堝＋灰分 W₂ (g)</t>
        </is>
      </c>
      <c r="F13" s="9" t="inlineStr">
        <is>
          <t>樣品重 (g)</t>
        </is>
      </c>
      <c r="G13" s="9" t="inlineStr">
        <is>
          <t>灰分重 (g)</t>
        </is>
      </c>
      <c r="H13" s="9" t="inlineStr">
        <is>
          <t>灰分 %（濕基）</t>
        </is>
      </c>
    </row>
    <row r="14" ht="60" customHeight="1">
      <c r="A14" s="5" t="n">
        <v>1</v>
      </c>
      <c r="B14" s="5" t="inlineStr">
        <is>
          <t>black_sugar</t>
        </is>
      </c>
      <c r="C14" s="11">
        <f>IF(COUNTIFS('1_原始數據'!$C$2:$C$1000,"crucible_empty_g",'1_原始數據'!$I$2:$I$1000,$B14,'1_原始數據'!$A$2:$A$1000,$A14)=0,"",AVERAGEIFS('1_原始數據'!$E$2:$E$1000,'1_原始數據'!$C$2:$C$1000,"crucible_empty_g",'1_原始數據'!$I$2:$I$1000,$B14,'1_原始數據'!$A$2:$A$1000,$A14))</f>
        <v/>
      </c>
      <c r="D14" s="11">
        <f>IF(COUNTIFS('1_原始數據'!$C$2:$C$1000,"crucible_sample_g",'1_原始數據'!$I$2:$I$1000,$B14,'1_原始數據'!$A$2:$A$1000,$A14)=0,"",AVERAGEIFS('1_原始數據'!$E$2:$E$1000,'1_原始數據'!$C$2:$C$1000,"crucible_sample_g",'1_原始數據'!$I$2:$I$1000,$B14,'1_原始數據'!$A$2:$A$1000,$A14))</f>
        <v/>
      </c>
      <c r="E14" s="11">
        <f>IF(COUNTIFS('1_原始數據'!$C$2:$C$1000,"crucible_ash_g",'1_原始數據'!$I$2:$I$1000,$B14,'1_原始數據'!$A$2:$A$1000,$A14)=0,"",AVERAGEIFS('1_原始數據'!$E$2:$E$1000,'1_原始數據'!$C$2:$C$1000,"crucible_ash_g",'1_原始數據'!$I$2:$I$1000,$B14,'1_原始數據'!$A$2:$A$1000,$A14))</f>
        <v/>
      </c>
      <c r="F14" s="11">
        <f>IF(OR(C14="",D14=""),"",D14-C14)</f>
        <v/>
      </c>
      <c r="G14" s="11">
        <f>IF(OR(C14="",E14=""),"",E14-C14)</f>
        <v/>
      </c>
      <c r="H14" s="24">
        <f>IF(OR(F14="",G14=""),"",G14/F14*100)</f>
        <v/>
      </c>
      <c r="J14" s="16" t="inlineStr">
        <is>
          <t>C–E 欄的公式：=AVERAGEIFS(value 欄, item 欄,"crucible_empty_g", sample 欄, B14, group 欄, A14)。意思是「在原始數據裡，找 item、樣品、組別都符合的那一列，把 value 拿過來」。找不到時顯示空白。</t>
        </is>
      </c>
    </row>
    <row r="15">
      <c r="A15" s="5" t="n">
        <v>1</v>
      </c>
      <c r="B15" s="5" t="inlineStr">
        <is>
          <t>white_sugar</t>
        </is>
      </c>
      <c r="C15" s="11">
        <f>IF(COUNTIFS('1_原始數據'!$C$2:$C$1000,"crucible_empty_g",'1_原始數據'!$I$2:$I$1000,$B15,'1_原始數據'!$A$2:$A$1000,$A15)=0,"",AVERAGEIFS('1_原始數據'!$E$2:$E$1000,'1_原始數據'!$C$2:$C$1000,"crucible_empty_g",'1_原始數據'!$I$2:$I$1000,$B15,'1_原始數據'!$A$2:$A$1000,$A15))</f>
        <v/>
      </c>
      <c r="D15" s="11">
        <f>IF(COUNTIFS('1_原始數據'!$C$2:$C$1000,"crucible_sample_g",'1_原始數據'!$I$2:$I$1000,$B15,'1_原始數據'!$A$2:$A$1000,$A15)=0,"",AVERAGEIFS('1_原始數據'!$E$2:$E$1000,'1_原始數據'!$C$2:$C$1000,"crucible_sample_g",'1_原始數據'!$I$2:$I$1000,$B15,'1_原始數據'!$A$2:$A$1000,$A15))</f>
        <v/>
      </c>
      <c r="E15" s="11">
        <f>IF(COUNTIFS('1_原始數據'!$C$2:$C$1000,"crucible_ash_g",'1_原始數據'!$I$2:$I$1000,$B15,'1_原始數據'!$A$2:$A$1000,$A15)=0,"",AVERAGEIFS('1_原始數據'!$E$2:$E$1000,'1_原始數據'!$C$2:$C$1000,"crucible_ash_g",'1_原始數據'!$I$2:$I$1000,$B15,'1_原始數據'!$A$2:$A$1000,$A15))</f>
        <v/>
      </c>
      <c r="F15" s="11">
        <f>IF(OR(C15="",D15=""),"",D15-C15)</f>
        <v/>
      </c>
      <c r="G15" s="11">
        <f>IF(OR(C15="",E15=""),"",E15-C15)</f>
        <v/>
      </c>
      <c r="H15" s="24">
        <f>IF(OR(F15="",G15=""),"",G15/F15*100)</f>
        <v/>
      </c>
    </row>
    <row r="16" ht="32" customHeight="1">
      <c r="A16" s="5" t="n">
        <v>1</v>
      </c>
      <c r="B16" s="5" t="inlineStr">
        <is>
          <t>brown_rice</t>
        </is>
      </c>
      <c r="C16" s="11">
        <f>IF(COUNTIFS('1_原始數據'!$C$2:$C$1000,"crucible_empty_g",'1_原始數據'!$I$2:$I$1000,$B16,'1_原始數據'!$A$2:$A$1000,$A16)=0,"",AVERAGEIFS('1_原始數據'!$E$2:$E$1000,'1_原始數據'!$C$2:$C$1000,"crucible_empty_g",'1_原始數據'!$I$2:$I$1000,$B16,'1_原始數據'!$A$2:$A$1000,$A16))</f>
        <v/>
      </c>
      <c r="D16" s="11">
        <f>IF(COUNTIFS('1_原始數據'!$C$2:$C$1000,"crucible_sample_g",'1_原始數據'!$I$2:$I$1000,$B16,'1_原始數據'!$A$2:$A$1000,$A16)=0,"",AVERAGEIFS('1_原始數據'!$E$2:$E$1000,'1_原始數據'!$C$2:$C$1000,"crucible_sample_g",'1_原始數據'!$I$2:$I$1000,$B16,'1_原始數據'!$A$2:$A$1000,$A16))</f>
        <v/>
      </c>
      <c r="E16" s="11">
        <f>IF(COUNTIFS('1_原始數據'!$C$2:$C$1000,"crucible_ash_g",'1_原始數據'!$I$2:$I$1000,$B16,'1_原始數據'!$A$2:$A$1000,$A16)=0,"",AVERAGEIFS('1_原始數據'!$E$2:$E$1000,'1_原始數據'!$C$2:$C$1000,"crucible_ash_g",'1_原始數據'!$I$2:$I$1000,$B16,'1_原始數據'!$A$2:$A$1000,$A16))</f>
        <v/>
      </c>
      <c r="F16" s="11">
        <f>IF(OR(C16="",D16=""),"",D16-C16)</f>
        <v/>
      </c>
      <c r="G16" s="11">
        <f>IF(OR(C16="",E16=""),"",E16-C16)</f>
        <v/>
      </c>
      <c r="H16" s="24">
        <f>IF(OR(F16="",G16=""),"",G16/F16*100)</f>
        <v/>
      </c>
      <c r="J16" s="16" t="inlineStr">
        <is>
          <t>F＝D−C（樣品重），G＝E−C（灰分重），H＝G÷F×100。分母是「樣品濕重」，所以是濕基灰分％。</t>
        </is>
      </c>
    </row>
    <row r="17">
      <c r="A17" s="5" t="n">
        <v>1</v>
      </c>
      <c r="B17" s="5" t="inlineStr">
        <is>
          <t>polished_rice</t>
        </is>
      </c>
      <c r="C17" s="11">
        <f>IF(COUNTIFS('1_原始數據'!$C$2:$C$1000,"crucible_empty_g",'1_原始數據'!$I$2:$I$1000,$B17,'1_原始數據'!$A$2:$A$1000,$A17)=0,"",AVERAGEIFS('1_原始數據'!$E$2:$E$1000,'1_原始數據'!$C$2:$C$1000,"crucible_empty_g",'1_原始數據'!$I$2:$I$1000,$B17,'1_原始數據'!$A$2:$A$1000,$A17))</f>
        <v/>
      </c>
      <c r="D17" s="11">
        <f>IF(COUNTIFS('1_原始數據'!$C$2:$C$1000,"crucible_sample_g",'1_原始數據'!$I$2:$I$1000,$B17,'1_原始數據'!$A$2:$A$1000,$A17)=0,"",AVERAGEIFS('1_原始數據'!$E$2:$E$1000,'1_原始數據'!$C$2:$C$1000,"crucible_sample_g",'1_原始數據'!$I$2:$I$1000,$B17,'1_原始數據'!$A$2:$A$1000,$A17))</f>
        <v/>
      </c>
      <c r="E17" s="11">
        <f>IF(COUNTIFS('1_原始數據'!$C$2:$C$1000,"crucible_ash_g",'1_原始數據'!$I$2:$I$1000,$B17,'1_原始數據'!$A$2:$A$1000,$A17)=0,"",AVERAGEIFS('1_原始數據'!$E$2:$E$1000,'1_原始數據'!$C$2:$C$1000,"crucible_ash_g",'1_原始數據'!$I$2:$I$1000,$B17,'1_原始數據'!$A$2:$A$1000,$A17))</f>
        <v/>
      </c>
      <c r="F17" s="11">
        <f>IF(OR(C17="",D17=""),"",D17-C17)</f>
        <v/>
      </c>
      <c r="G17" s="11">
        <f>IF(OR(C17="",E17=""),"",E17-C17)</f>
        <v/>
      </c>
      <c r="H17" s="24">
        <f>IF(OR(F17="",G17=""),"",G17/F17*100)</f>
        <v/>
      </c>
    </row>
    <row r="18" ht="32" customHeight="1">
      <c r="A18" s="5" t="n">
        <v>1</v>
      </c>
      <c r="B18" s="5" t="inlineStr">
        <is>
          <t>milk_powder</t>
        </is>
      </c>
      <c r="C18" s="11">
        <f>IF(COUNTIFS('1_原始數據'!$C$2:$C$1000,"crucible_empty_g",'1_原始數據'!$I$2:$I$1000,$B18,'1_原始數據'!$A$2:$A$1000,$A18)=0,"",AVERAGEIFS('1_原始數據'!$E$2:$E$1000,'1_原始數據'!$C$2:$C$1000,"crucible_empty_g",'1_原始數據'!$I$2:$I$1000,$B18,'1_原始數據'!$A$2:$A$1000,$A18))</f>
        <v/>
      </c>
      <c r="D18" s="11">
        <f>IF(COUNTIFS('1_原始數據'!$C$2:$C$1000,"crucible_sample_g",'1_原始數據'!$I$2:$I$1000,$B18,'1_原始數據'!$A$2:$A$1000,$A18)=0,"",AVERAGEIFS('1_原始數據'!$E$2:$E$1000,'1_原始數據'!$C$2:$C$1000,"crucible_sample_g",'1_原始數據'!$I$2:$I$1000,$B18,'1_原始數據'!$A$2:$A$1000,$A18))</f>
        <v/>
      </c>
      <c r="E18" s="11">
        <f>IF(COUNTIFS('1_原始數據'!$C$2:$C$1000,"crucible_ash_g",'1_原始數據'!$I$2:$I$1000,$B18,'1_原始數據'!$A$2:$A$1000,$A18)=0,"",AVERAGEIFS('1_原始數據'!$E$2:$E$1000,'1_原始數據'!$C$2:$C$1000,"crucible_ash_g",'1_原始數據'!$I$2:$I$1000,$B18,'1_原始數據'!$A$2:$A$1000,$A18))</f>
        <v/>
      </c>
      <c r="F18" s="11">
        <f>IF(OR(C18="",D18=""),"",D18-C18)</f>
        <v/>
      </c>
      <c r="G18" s="11">
        <f>IF(OR(C18="",E18=""),"",E18-C18)</f>
        <v/>
      </c>
      <c r="H18" s="24">
        <f>IF(OR(F18="",G18=""),"",G18/F18*100)</f>
        <v/>
      </c>
      <c r="J18" s="16" t="inlineStr">
        <is>
          <t>組數不同：在表格中間插入列，把上一列整列複製下來，再改 A、B 欄（黃色）。下面的統計範圍會自動跟著擴大。</t>
        </is>
      </c>
    </row>
    <row r="19">
      <c r="A19" s="5" t="n">
        <v>2</v>
      </c>
      <c r="B19" s="5" t="inlineStr">
        <is>
          <t>black_sugar</t>
        </is>
      </c>
      <c r="C19" s="11">
        <f>IF(COUNTIFS('1_原始數據'!$C$2:$C$1000,"crucible_empty_g",'1_原始數據'!$I$2:$I$1000,$B19,'1_原始數據'!$A$2:$A$1000,$A19)=0,"",AVERAGEIFS('1_原始數據'!$E$2:$E$1000,'1_原始數據'!$C$2:$C$1000,"crucible_empty_g",'1_原始數據'!$I$2:$I$1000,$B19,'1_原始數據'!$A$2:$A$1000,$A19))</f>
        <v/>
      </c>
      <c r="D19" s="11">
        <f>IF(COUNTIFS('1_原始數據'!$C$2:$C$1000,"crucible_sample_g",'1_原始數據'!$I$2:$I$1000,$B19,'1_原始數據'!$A$2:$A$1000,$A19)=0,"",AVERAGEIFS('1_原始數據'!$E$2:$E$1000,'1_原始數據'!$C$2:$C$1000,"crucible_sample_g",'1_原始數據'!$I$2:$I$1000,$B19,'1_原始數據'!$A$2:$A$1000,$A19))</f>
        <v/>
      </c>
      <c r="E19" s="11">
        <f>IF(COUNTIFS('1_原始數據'!$C$2:$C$1000,"crucible_ash_g",'1_原始數據'!$I$2:$I$1000,$B19,'1_原始數據'!$A$2:$A$1000,$A19)=0,"",AVERAGEIFS('1_原始數據'!$E$2:$E$1000,'1_原始數據'!$C$2:$C$1000,"crucible_ash_g",'1_原始數據'!$I$2:$I$1000,$B19,'1_原始數據'!$A$2:$A$1000,$A19))</f>
        <v/>
      </c>
      <c r="F19" s="11">
        <f>IF(OR(C19="",D19=""),"",D19-C19)</f>
        <v/>
      </c>
      <c r="G19" s="11">
        <f>IF(OR(C19="",E19=""),"",E19-C19)</f>
        <v/>
      </c>
      <c r="H19" s="24">
        <f>IF(OR(F19="",G19=""),"",G19/F19*100)</f>
        <v/>
      </c>
    </row>
    <row r="20">
      <c r="A20" s="5" t="n">
        <v>2</v>
      </c>
      <c r="B20" s="5" t="inlineStr">
        <is>
          <t>white_sugar</t>
        </is>
      </c>
      <c r="C20" s="11">
        <f>IF(COUNTIFS('1_原始數據'!$C$2:$C$1000,"crucible_empty_g",'1_原始數據'!$I$2:$I$1000,$B20,'1_原始數據'!$A$2:$A$1000,$A20)=0,"",AVERAGEIFS('1_原始數據'!$E$2:$E$1000,'1_原始數據'!$C$2:$C$1000,"crucible_empty_g",'1_原始數據'!$I$2:$I$1000,$B20,'1_原始數據'!$A$2:$A$1000,$A20))</f>
        <v/>
      </c>
      <c r="D20" s="11">
        <f>IF(COUNTIFS('1_原始數據'!$C$2:$C$1000,"crucible_sample_g",'1_原始數據'!$I$2:$I$1000,$B20,'1_原始數據'!$A$2:$A$1000,$A20)=0,"",AVERAGEIFS('1_原始數據'!$E$2:$E$1000,'1_原始數據'!$C$2:$C$1000,"crucible_sample_g",'1_原始數據'!$I$2:$I$1000,$B20,'1_原始數據'!$A$2:$A$1000,$A20))</f>
        <v/>
      </c>
      <c r="E20" s="11">
        <f>IF(COUNTIFS('1_原始數據'!$C$2:$C$1000,"crucible_ash_g",'1_原始數據'!$I$2:$I$1000,$B20,'1_原始數據'!$A$2:$A$1000,$A20)=0,"",AVERAGEIFS('1_原始數據'!$E$2:$E$1000,'1_原始數據'!$C$2:$C$1000,"crucible_ash_g",'1_原始數據'!$I$2:$I$1000,$B20,'1_原始數據'!$A$2:$A$1000,$A20))</f>
        <v/>
      </c>
      <c r="F20" s="11">
        <f>IF(OR(C20="",D20=""),"",D20-C20)</f>
        <v/>
      </c>
      <c r="G20" s="11">
        <f>IF(OR(C20="",E20=""),"",E20-C20)</f>
        <v/>
      </c>
      <c r="H20" s="24">
        <f>IF(OR(F20="",G20=""),"",G20/F20*100)</f>
        <v/>
      </c>
    </row>
    <row r="21">
      <c r="A21" s="5" t="n">
        <v>2</v>
      </c>
      <c r="B21" s="5" t="inlineStr">
        <is>
          <t>brown_rice</t>
        </is>
      </c>
      <c r="C21" s="11">
        <f>IF(COUNTIFS('1_原始數據'!$C$2:$C$1000,"crucible_empty_g",'1_原始數據'!$I$2:$I$1000,$B21,'1_原始數據'!$A$2:$A$1000,$A21)=0,"",AVERAGEIFS('1_原始數據'!$E$2:$E$1000,'1_原始數據'!$C$2:$C$1000,"crucible_empty_g",'1_原始數據'!$I$2:$I$1000,$B21,'1_原始數據'!$A$2:$A$1000,$A21))</f>
        <v/>
      </c>
      <c r="D21" s="11">
        <f>IF(COUNTIFS('1_原始數據'!$C$2:$C$1000,"crucible_sample_g",'1_原始數據'!$I$2:$I$1000,$B21,'1_原始數據'!$A$2:$A$1000,$A21)=0,"",AVERAGEIFS('1_原始數據'!$E$2:$E$1000,'1_原始數據'!$C$2:$C$1000,"crucible_sample_g",'1_原始數據'!$I$2:$I$1000,$B21,'1_原始數據'!$A$2:$A$1000,$A21))</f>
        <v/>
      </c>
      <c r="E21" s="11">
        <f>IF(COUNTIFS('1_原始數據'!$C$2:$C$1000,"crucible_ash_g",'1_原始數據'!$I$2:$I$1000,$B21,'1_原始數據'!$A$2:$A$1000,$A21)=0,"",AVERAGEIFS('1_原始數據'!$E$2:$E$1000,'1_原始數據'!$C$2:$C$1000,"crucible_ash_g",'1_原始數據'!$I$2:$I$1000,$B21,'1_原始數據'!$A$2:$A$1000,$A21))</f>
        <v/>
      </c>
      <c r="F21" s="11">
        <f>IF(OR(C21="",D21=""),"",D21-C21)</f>
        <v/>
      </c>
      <c r="G21" s="11">
        <f>IF(OR(C21="",E21=""),"",E21-C21)</f>
        <v/>
      </c>
      <c r="H21" s="24">
        <f>IF(OR(F21="",G21=""),"",G21/F21*100)</f>
        <v/>
      </c>
    </row>
    <row r="22">
      <c r="A22" s="5" t="n">
        <v>2</v>
      </c>
      <c r="B22" s="5" t="inlineStr">
        <is>
          <t>polished_rice</t>
        </is>
      </c>
      <c r="C22" s="11">
        <f>IF(COUNTIFS('1_原始數據'!$C$2:$C$1000,"crucible_empty_g",'1_原始數據'!$I$2:$I$1000,$B22,'1_原始數據'!$A$2:$A$1000,$A22)=0,"",AVERAGEIFS('1_原始數據'!$E$2:$E$1000,'1_原始數據'!$C$2:$C$1000,"crucible_empty_g",'1_原始數據'!$I$2:$I$1000,$B22,'1_原始數據'!$A$2:$A$1000,$A22))</f>
        <v/>
      </c>
      <c r="D22" s="11">
        <f>IF(COUNTIFS('1_原始數據'!$C$2:$C$1000,"crucible_sample_g",'1_原始數據'!$I$2:$I$1000,$B22,'1_原始數據'!$A$2:$A$1000,$A22)=0,"",AVERAGEIFS('1_原始數據'!$E$2:$E$1000,'1_原始數據'!$C$2:$C$1000,"crucible_sample_g",'1_原始數據'!$I$2:$I$1000,$B22,'1_原始數據'!$A$2:$A$1000,$A22))</f>
        <v/>
      </c>
      <c r="E22" s="11">
        <f>IF(COUNTIFS('1_原始數據'!$C$2:$C$1000,"crucible_ash_g",'1_原始數據'!$I$2:$I$1000,$B22,'1_原始數據'!$A$2:$A$1000,$A22)=0,"",AVERAGEIFS('1_原始數據'!$E$2:$E$1000,'1_原始數據'!$C$2:$C$1000,"crucible_ash_g",'1_原始數據'!$I$2:$I$1000,$B22,'1_原始數據'!$A$2:$A$1000,$A22))</f>
        <v/>
      </c>
      <c r="F22" s="11">
        <f>IF(OR(C22="",D22=""),"",D22-C22)</f>
        <v/>
      </c>
      <c r="G22" s="11">
        <f>IF(OR(C22="",E22=""),"",E22-C22)</f>
        <v/>
      </c>
      <c r="H22" s="24">
        <f>IF(OR(F22="",G22=""),"",G22/F22*100)</f>
        <v/>
      </c>
    </row>
    <row r="23">
      <c r="A23" s="5" t="n">
        <v>2</v>
      </c>
      <c r="B23" s="5" t="inlineStr">
        <is>
          <t>milk_powder</t>
        </is>
      </c>
      <c r="C23" s="11">
        <f>IF(COUNTIFS('1_原始數據'!$C$2:$C$1000,"crucible_empty_g",'1_原始數據'!$I$2:$I$1000,$B23,'1_原始數據'!$A$2:$A$1000,$A23)=0,"",AVERAGEIFS('1_原始數據'!$E$2:$E$1000,'1_原始數據'!$C$2:$C$1000,"crucible_empty_g",'1_原始數據'!$I$2:$I$1000,$B23,'1_原始數據'!$A$2:$A$1000,$A23))</f>
        <v/>
      </c>
      <c r="D23" s="11">
        <f>IF(COUNTIFS('1_原始數據'!$C$2:$C$1000,"crucible_sample_g",'1_原始數據'!$I$2:$I$1000,$B23,'1_原始數據'!$A$2:$A$1000,$A23)=0,"",AVERAGEIFS('1_原始數據'!$E$2:$E$1000,'1_原始數據'!$C$2:$C$1000,"crucible_sample_g",'1_原始數據'!$I$2:$I$1000,$B23,'1_原始數據'!$A$2:$A$1000,$A23))</f>
        <v/>
      </c>
      <c r="E23" s="11">
        <f>IF(COUNTIFS('1_原始數據'!$C$2:$C$1000,"crucible_ash_g",'1_原始數據'!$I$2:$I$1000,$B23,'1_原始數據'!$A$2:$A$1000,$A23)=0,"",AVERAGEIFS('1_原始數據'!$E$2:$E$1000,'1_原始數據'!$C$2:$C$1000,"crucible_ash_g",'1_原始數據'!$I$2:$I$1000,$B23,'1_原始數據'!$A$2:$A$1000,$A23))</f>
        <v/>
      </c>
      <c r="F23" s="11">
        <f>IF(OR(C23="",D23=""),"",D23-C23)</f>
        <v/>
      </c>
      <c r="G23" s="11">
        <f>IF(OR(C23="",E23=""),"",E23-C23)</f>
        <v/>
      </c>
      <c r="H23" s="24">
        <f>IF(OR(F23="",G23=""),"",G23/F23*100)</f>
        <v/>
      </c>
    </row>
    <row r="24">
      <c r="A24" s="5" t="n">
        <v>3</v>
      </c>
      <c r="B24" s="5" t="inlineStr">
        <is>
          <t>black_sugar</t>
        </is>
      </c>
      <c r="C24" s="11">
        <f>IF(COUNTIFS('1_原始數據'!$C$2:$C$1000,"crucible_empty_g",'1_原始數據'!$I$2:$I$1000,$B24,'1_原始數據'!$A$2:$A$1000,$A24)=0,"",AVERAGEIFS('1_原始數據'!$E$2:$E$1000,'1_原始數據'!$C$2:$C$1000,"crucible_empty_g",'1_原始數據'!$I$2:$I$1000,$B24,'1_原始數據'!$A$2:$A$1000,$A24))</f>
        <v/>
      </c>
      <c r="D24" s="11">
        <f>IF(COUNTIFS('1_原始數據'!$C$2:$C$1000,"crucible_sample_g",'1_原始數據'!$I$2:$I$1000,$B24,'1_原始數據'!$A$2:$A$1000,$A24)=0,"",AVERAGEIFS('1_原始數據'!$E$2:$E$1000,'1_原始數據'!$C$2:$C$1000,"crucible_sample_g",'1_原始數據'!$I$2:$I$1000,$B24,'1_原始數據'!$A$2:$A$1000,$A24))</f>
        <v/>
      </c>
      <c r="E24" s="11">
        <f>IF(COUNTIFS('1_原始數據'!$C$2:$C$1000,"crucible_ash_g",'1_原始數據'!$I$2:$I$1000,$B24,'1_原始數據'!$A$2:$A$1000,$A24)=0,"",AVERAGEIFS('1_原始數據'!$E$2:$E$1000,'1_原始數據'!$C$2:$C$1000,"crucible_ash_g",'1_原始數據'!$I$2:$I$1000,$B24,'1_原始數據'!$A$2:$A$1000,$A24))</f>
        <v/>
      </c>
      <c r="F24" s="11">
        <f>IF(OR(C24="",D24=""),"",D24-C24)</f>
        <v/>
      </c>
      <c r="G24" s="11">
        <f>IF(OR(C24="",E24=""),"",E24-C24)</f>
        <v/>
      </c>
      <c r="H24" s="24">
        <f>IF(OR(F24="",G24=""),"",G24/F24*100)</f>
        <v/>
      </c>
    </row>
    <row r="25">
      <c r="A25" s="5" t="n">
        <v>3</v>
      </c>
      <c r="B25" s="5" t="inlineStr">
        <is>
          <t>white_sugar</t>
        </is>
      </c>
      <c r="C25" s="11">
        <f>IF(COUNTIFS('1_原始數據'!$C$2:$C$1000,"crucible_empty_g",'1_原始數據'!$I$2:$I$1000,$B25,'1_原始數據'!$A$2:$A$1000,$A25)=0,"",AVERAGEIFS('1_原始數據'!$E$2:$E$1000,'1_原始數據'!$C$2:$C$1000,"crucible_empty_g",'1_原始數據'!$I$2:$I$1000,$B25,'1_原始數據'!$A$2:$A$1000,$A25))</f>
        <v/>
      </c>
      <c r="D25" s="11">
        <f>IF(COUNTIFS('1_原始數據'!$C$2:$C$1000,"crucible_sample_g",'1_原始數據'!$I$2:$I$1000,$B25,'1_原始數據'!$A$2:$A$1000,$A25)=0,"",AVERAGEIFS('1_原始數據'!$E$2:$E$1000,'1_原始數據'!$C$2:$C$1000,"crucible_sample_g",'1_原始數據'!$I$2:$I$1000,$B25,'1_原始數據'!$A$2:$A$1000,$A25))</f>
        <v/>
      </c>
      <c r="E25" s="11">
        <f>IF(COUNTIFS('1_原始數據'!$C$2:$C$1000,"crucible_ash_g",'1_原始數據'!$I$2:$I$1000,$B25,'1_原始數據'!$A$2:$A$1000,$A25)=0,"",AVERAGEIFS('1_原始數據'!$E$2:$E$1000,'1_原始數據'!$C$2:$C$1000,"crucible_ash_g",'1_原始數據'!$I$2:$I$1000,$B25,'1_原始數據'!$A$2:$A$1000,$A25))</f>
        <v/>
      </c>
      <c r="F25" s="11">
        <f>IF(OR(C25="",D25=""),"",D25-C25)</f>
        <v/>
      </c>
      <c r="G25" s="11">
        <f>IF(OR(C25="",E25=""),"",E25-C25)</f>
        <v/>
      </c>
      <c r="H25" s="24">
        <f>IF(OR(F25="",G25=""),"",G25/F25*100)</f>
        <v/>
      </c>
    </row>
    <row r="26">
      <c r="A26" s="5" t="n">
        <v>3</v>
      </c>
      <c r="B26" s="5" t="inlineStr">
        <is>
          <t>brown_rice</t>
        </is>
      </c>
      <c r="C26" s="11">
        <f>IF(COUNTIFS('1_原始數據'!$C$2:$C$1000,"crucible_empty_g",'1_原始數據'!$I$2:$I$1000,$B26,'1_原始數據'!$A$2:$A$1000,$A26)=0,"",AVERAGEIFS('1_原始數據'!$E$2:$E$1000,'1_原始數據'!$C$2:$C$1000,"crucible_empty_g",'1_原始數據'!$I$2:$I$1000,$B26,'1_原始數據'!$A$2:$A$1000,$A26))</f>
        <v/>
      </c>
      <c r="D26" s="11">
        <f>IF(COUNTIFS('1_原始數據'!$C$2:$C$1000,"crucible_sample_g",'1_原始數據'!$I$2:$I$1000,$B26,'1_原始數據'!$A$2:$A$1000,$A26)=0,"",AVERAGEIFS('1_原始數據'!$E$2:$E$1000,'1_原始數據'!$C$2:$C$1000,"crucible_sample_g",'1_原始數據'!$I$2:$I$1000,$B26,'1_原始數據'!$A$2:$A$1000,$A26))</f>
        <v/>
      </c>
      <c r="E26" s="11">
        <f>IF(COUNTIFS('1_原始數據'!$C$2:$C$1000,"crucible_ash_g",'1_原始數據'!$I$2:$I$1000,$B26,'1_原始數據'!$A$2:$A$1000,$A26)=0,"",AVERAGEIFS('1_原始數據'!$E$2:$E$1000,'1_原始數據'!$C$2:$C$1000,"crucible_ash_g",'1_原始數據'!$I$2:$I$1000,$B26,'1_原始數據'!$A$2:$A$1000,$A26))</f>
        <v/>
      </c>
      <c r="F26" s="11">
        <f>IF(OR(C26="",D26=""),"",D26-C26)</f>
        <v/>
      </c>
      <c r="G26" s="11">
        <f>IF(OR(C26="",E26=""),"",E26-C26)</f>
        <v/>
      </c>
      <c r="H26" s="24">
        <f>IF(OR(F26="",G26=""),"",G26/F26*100)</f>
        <v/>
      </c>
    </row>
    <row r="27">
      <c r="A27" s="5" t="n">
        <v>3</v>
      </c>
      <c r="B27" s="5" t="inlineStr">
        <is>
          <t>polished_rice</t>
        </is>
      </c>
      <c r="C27" s="11">
        <f>IF(COUNTIFS('1_原始數據'!$C$2:$C$1000,"crucible_empty_g",'1_原始數據'!$I$2:$I$1000,$B27,'1_原始數據'!$A$2:$A$1000,$A27)=0,"",AVERAGEIFS('1_原始數據'!$E$2:$E$1000,'1_原始數據'!$C$2:$C$1000,"crucible_empty_g",'1_原始數據'!$I$2:$I$1000,$B27,'1_原始數據'!$A$2:$A$1000,$A27))</f>
        <v/>
      </c>
      <c r="D27" s="11">
        <f>IF(COUNTIFS('1_原始數據'!$C$2:$C$1000,"crucible_sample_g",'1_原始數據'!$I$2:$I$1000,$B27,'1_原始數據'!$A$2:$A$1000,$A27)=0,"",AVERAGEIFS('1_原始數據'!$E$2:$E$1000,'1_原始數據'!$C$2:$C$1000,"crucible_sample_g",'1_原始數據'!$I$2:$I$1000,$B27,'1_原始數據'!$A$2:$A$1000,$A27))</f>
        <v/>
      </c>
      <c r="E27" s="11">
        <f>IF(COUNTIFS('1_原始數據'!$C$2:$C$1000,"crucible_ash_g",'1_原始數據'!$I$2:$I$1000,$B27,'1_原始數據'!$A$2:$A$1000,$A27)=0,"",AVERAGEIFS('1_原始數據'!$E$2:$E$1000,'1_原始數據'!$C$2:$C$1000,"crucible_ash_g",'1_原始數據'!$I$2:$I$1000,$B27,'1_原始數據'!$A$2:$A$1000,$A27))</f>
        <v/>
      </c>
      <c r="F27" s="11">
        <f>IF(OR(C27="",D27=""),"",D27-C27)</f>
        <v/>
      </c>
      <c r="G27" s="11">
        <f>IF(OR(C27="",E27=""),"",E27-C27)</f>
        <v/>
      </c>
      <c r="H27" s="24">
        <f>IF(OR(F27="",G27=""),"",G27/F27*100)</f>
        <v/>
      </c>
    </row>
    <row r="28">
      <c r="A28" s="5" t="n">
        <v>3</v>
      </c>
      <c r="B28" s="5" t="inlineStr">
        <is>
          <t>milk_powder</t>
        </is>
      </c>
      <c r="C28" s="11">
        <f>IF(COUNTIFS('1_原始數據'!$C$2:$C$1000,"crucible_empty_g",'1_原始數據'!$I$2:$I$1000,$B28,'1_原始數據'!$A$2:$A$1000,$A28)=0,"",AVERAGEIFS('1_原始數據'!$E$2:$E$1000,'1_原始數據'!$C$2:$C$1000,"crucible_empty_g",'1_原始數據'!$I$2:$I$1000,$B28,'1_原始數據'!$A$2:$A$1000,$A28))</f>
        <v/>
      </c>
      <c r="D28" s="11">
        <f>IF(COUNTIFS('1_原始數據'!$C$2:$C$1000,"crucible_sample_g",'1_原始數據'!$I$2:$I$1000,$B28,'1_原始數據'!$A$2:$A$1000,$A28)=0,"",AVERAGEIFS('1_原始數據'!$E$2:$E$1000,'1_原始數據'!$C$2:$C$1000,"crucible_sample_g",'1_原始數據'!$I$2:$I$1000,$B28,'1_原始數據'!$A$2:$A$1000,$A28))</f>
        <v/>
      </c>
      <c r="E28" s="11">
        <f>IF(COUNTIFS('1_原始數據'!$C$2:$C$1000,"crucible_ash_g",'1_原始數據'!$I$2:$I$1000,$B28,'1_原始數據'!$A$2:$A$1000,$A28)=0,"",AVERAGEIFS('1_原始數據'!$E$2:$E$1000,'1_原始數據'!$C$2:$C$1000,"crucible_ash_g",'1_原始數據'!$I$2:$I$1000,$B28,'1_原始數據'!$A$2:$A$1000,$A28))</f>
        <v/>
      </c>
      <c r="F28" s="11">
        <f>IF(OR(C28="",D28=""),"",D28-C28)</f>
        <v/>
      </c>
      <c r="G28" s="11">
        <f>IF(OR(C28="",E28=""),"",E28-C28)</f>
        <v/>
      </c>
      <c r="H28" s="24">
        <f>IF(OR(F28="",G28=""),"",G28/F28*100)</f>
        <v/>
      </c>
    </row>
    <row r="29">
      <c r="A29" s="5" t="n">
        <v>4</v>
      </c>
      <c r="B29" s="5" t="inlineStr">
        <is>
          <t>black_sugar</t>
        </is>
      </c>
      <c r="C29" s="11">
        <f>IF(COUNTIFS('1_原始數據'!$C$2:$C$1000,"crucible_empty_g",'1_原始數據'!$I$2:$I$1000,$B29,'1_原始數據'!$A$2:$A$1000,$A29)=0,"",AVERAGEIFS('1_原始數據'!$E$2:$E$1000,'1_原始數據'!$C$2:$C$1000,"crucible_empty_g",'1_原始數據'!$I$2:$I$1000,$B29,'1_原始數據'!$A$2:$A$1000,$A29))</f>
        <v/>
      </c>
      <c r="D29" s="11">
        <f>IF(COUNTIFS('1_原始數據'!$C$2:$C$1000,"crucible_sample_g",'1_原始數據'!$I$2:$I$1000,$B29,'1_原始數據'!$A$2:$A$1000,$A29)=0,"",AVERAGEIFS('1_原始數據'!$E$2:$E$1000,'1_原始數據'!$C$2:$C$1000,"crucible_sample_g",'1_原始數據'!$I$2:$I$1000,$B29,'1_原始數據'!$A$2:$A$1000,$A29))</f>
        <v/>
      </c>
      <c r="E29" s="11">
        <f>IF(COUNTIFS('1_原始數據'!$C$2:$C$1000,"crucible_ash_g",'1_原始數據'!$I$2:$I$1000,$B29,'1_原始數據'!$A$2:$A$1000,$A29)=0,"",AVERAGEIFS('1_原始數據'!$E$2:$E$1000,'1_原始數據'!$C$2:$C$1000,"crucible_ash_g",'1_原始數據'!$I$2:$I$1000,$B29,'1_原始數據'!$A$2:$A$1000,$A29))</f>
        <v/>
      </c>
      <c r="F29" s="11">
        <f>IF(OR(C29="",D29=""),"",D29-C29)</f>
        <v/>
      </c>
      <c r="G29" s="11">
        <f>IF(OR(C29="",E29=""),"",E29-C29)</f>
        <v/>
      </c>
      <c r="H29" s="24">
        <f>IF(OR(F29="",G29=""),"",G29/F29*100)</f>
        <v/>
      </c>
    </row>
    <row r="30">
      <c r="A30" s="5" t="n">
        <v>4</v>
      </c>
      <c r="B30" s="5" t="inlineStr">
        <is>
          <t>white_sugar</t>
        </is>
      </c>
      <c r="C30" s="11">
        <f>IF(COUNTIFS('1_原始數據'!$C$2:$C$1000,"crucible_empty_g",'1_原始數據'!$I$2:$I$1000,$B30,'1_原始數據'!$A$2:$A$1000,$A30)=0,"",AVERAGEIFS('1_原始數據'!$E$2:$E$1000,'1_原始數據'!$C$2:$C$1000,"crucible_empty_g",'1_原始數據'!$I$2:$I$1000,$B30,'1_原始數據'!$A$2:$A$1000,$A30))</f>
        <v/>
      </c>
      <c r="D30" s="11">
        <f>IF(COUNTIFS('1_原始數據'!$C$2:$C$1000,"crucible_sample_g",'1_原始數據'!$I$2:$I$1000,$B30,'1_原始數據'!$A$2:$A$1000,$A30)=0,"",AVERAGEIFS('1_原始數據'!$E$2:$E$1000,'1_原始數據'!$C$2:$C$1000,"crucible_sample_g",'1_原始數據'!$I$2:$I$1000,$B30,'1_原始數據'!$A$2:$A$1000,$A30))</f>
        <v/>
      </c>
      <c r="E30" s="11">
        <f>IF(COUNTIFS('1_原始數據'!$C$2:$C$1000,"crucible_ash_g",'1_原始數據'!$I$2:$I$1000,$B30,'1_原始數據'!$A$2:$A$1000,$A30)=0,"",AVERAGEIFS('1_原始數據'!$E$2:$E$1000,'1_原始數據'!$C$2:$C$1000,"crucible_ash_g",'1_原始數據'!$I$2:$I$1000,$B30,'1_原始數據'!$A$2:$A$1000,$A30))</f>
        <v/>
      </c>
      <c r="F30" s="11">
        <f>IF(OR(C30="",D30=""),"",D30-C30)</f>
        <v/>
      </c>
      <c r="G30" s="11">
        <f>IF(OR(C30="",E30=""),"",E30-C30)</f>
        <v/>
      </c>
      <c r="H30" s="24">
        <f>IF(OR(F30="",G30=""),"",G30/F30*100)</f>
        <v/>
      </c>
    </row>
    <row r="31">
      <c r="A31" s="5" t="n">
        <v>4</v>
      </c>
      <c r="B31" s="5" t="inlineStr">
        <is>
          <t>brown_rice</t>
        </is>
      </c>
      <c r="C31" s="11">
        <f>IF(COUNTIFS('1_原始數據'!$C$2:$C$1000,"crucible_empty_g",'1_原始數據'!$I$2:$I$1000,$B31,'1_原始數據'!$A$2:$A$1000,$A31)=0,"",AVERAGEIFS('1_原始數據'!$E$2:$E$1000,'1_原始數據'!$C$2:$C$1000,"crucible_empty_g",'1_原始數據'!$I$2:$I$1000,$B31,'1_原始數據'!$A$2:$A$1000,$A31))</f>
        <v/>
      </c>
      <c r="D31" s="11">
        <f>IF(COUNTIFS('1_原始數據'!$C$2:$C$1000,"crucible_sample_g",'1_原始數據'!$I$2:$I$1000,$B31,'1_原始數據'!$A$2:$A$1000,$A31)=0,"",AVERAGEIFS('1_原始數據'!$E$2:$E$1000,'1_原始數據'!$C$2:$C$1000,"crucible_sample_g",'1_原始數據'!$I$2:$I$1000,$B31,'1_原始數據'!$A$2:$A$1000,$A31))</f>
        <v/>
      </c>
      <c r="E31" s="11">
        <f>IF(COUNTIFS('1_原始數據'!$C$2:$C$1000,"crucible_ash_g",'1_原始數據'!$I$2:$I$1000,$B31,'1_原始數據'!$A$2:$A$1000,$A31)=0,"",AVERAGEIFS('1_原始數據'!$E$2:$E$1000,'1_原始數據'!$C$2:$C$1000,"crucible_ash_g",'1_原始數據'!$I$2:$I$1000,$B31,'1_原始數據'!$A$2:$A$1000,$A31))</f>
        <v/>
      </c>
      <c r="F31" s="11">
        <f>IF(OR(C31="",D31=""),"",D31-C31)</f>
        <v/>
      </c>
      <c r="G31" s="11">
        <f>IF(OR(C31="",E31=""),"",E31-C31)</f>
        <v/>
      </c>
      <c r="H31" s="24">
        <f>IF(OR(F31="",G31=""),"",G31/F31*100)</f>
        <v/>
      </c>
    </row>
    <row r="32">
      <c r="A32" s="5" t="n">
        <v>4</v>
      </c>
      <c r="B32" s="5" t="inlineStr">
        <is>
          <t>polished_rice</t>
        </is>
      </c>
      <c r="C32" s="11">
        <f>IF(COUNTIFS('1_原始數據'!$C$2:$C$1000,"crucible_empty_g",'1_原始數據'!$I$2:$I$1000,$B32,'1_原始數據'!$A$2:$A$1000,$A32)=0,"",AVERAGEIFS('1_原始數據'!$E$2:$E$1000,'1_原始數據'!$C$2:$C$1000,"crucible_empty_g",'1_原始數據'!$I$2:$I$1000,$B32,'1_原始數據'!$A$2:$A$1000,$A32))</f>
        <v/>
      </c>
      <c r="D32" s="11">
        <f>IF(COUNTIFS('1_原始數據'!$C$2:$C$1000,"crucible_sample_g",'1_原始數據'!$I$2:$I$1000,$B32,'1_原始數據'!$A$2:$A$1000,$A32)=0,"",AVERAGEIFS('1_原始數據'!$E$2:$E$1000,'1_原始數據'!$C$2:$C$1000,"crucible_sample_g",'1_原始數據'!$I$2:$I$1000,$B32,'1_原始數據'!$A$2:$A$1000,$A32))</f>
        <v/>
      </c>
      <c r="E32" s="11">
        <f>IF(COUNTIFS('1_原始數據'!$C$2:$C$1000,"crucible_ash_g",'1_原始數據'!$I$2:$I$1000,$B32,'1_原始數據'!$A$2:$A$1000,$A32)=0,"",AVERAGEIFS('1_原始數據'!$E$2:$E$1000,'1_原始數據'!$C$2:$C$1000,"crucible_ash_g",'1_原始數據'!$I$2:$I$1000,$B32,'1_原始數據'!$A$2:$A$1000,$A32))</f>
        <v/>
      </c>
      <c r="F32" s="11">
        <f>IF(OR(C32="",D32=""),"",D32-C32)</f>
        <v/>
      </c>
      <c r="G32" s="11">
        <f>IF(OR(C32="",E32=""),"",E32-C32)</f>
        <v/>
      </c>
      <c r="H32" s="24">
        <f>IF(OR(F32="",G32=""),"",G32/F32*100)</f>
        <v/>
      </c>
    </row>
    <row r="33">
      <c r="A33" s="5" t="n">
        <v>4</v>
      </c>
      <c r="B33" s="5" t="inlineStr">
        <is>
          <t>milk_powder</t>
        </is>
      </c>
      <c r="C33" s="11">
        <f>IF(COUNTIFS('1_原始數據'!$C$2:$C$1000,"crucible_empty_g",'1_原始數據'!$I$2:$I$1000,$B33,'1_原始數據'!$A$2:$A$1000,$A33)=0,"",AVERAGEIFS('1_原始數據'!$E$2:$E$1000,'1_原始數據'!$C$2:$C$1000,"crucible_empty_g",'1_原始數據'!$I$2:$I$1000,$B33,'1_原始數據'!$A$2:$A$1000,$A33))</f>
        <v/>
      </c>
      <c r="D33" s="11">
        <f>IF(COUNTIFS('1_原始數據'!$C$2:$C$1000,"crucible_sample_g",'1_原始數據'!$I$2:$I$1000,$B33,'1_原始數據'!$A$2:$A$1000,$A33)=0,"",AVERAGEIFS('1_原始數據'!$E$2:$E$1000,'1_原始數據'!$C$2:$C$1000,"crucible_sample_g",'1_原始數據'!$I$2:$I$1000,$B33,'1_原始數據'!$A$2:$A$1000,$A33))</f>
        <v/>
      </c>
      <c r="E33" s="11">
        <f>IF(COUNTIFS('1_原始數據'!$C$2:$C$1000,"crucible_ash_g",'1_原始數據'!$I$2:$I$1000,$B33,'1_原始數據'!$A$2:$A$1000,$A33)=0,"",AVERAGEIFS('1_原始數據'!$E$2:$E$1000,'1_原始數據'!$C$2:$C$1000,"crucible_ash_g",'1_原始數據'!$I$2:$I$1000,$B33,'1_原始數據'!$A$2:$A$1000,$A33))</f>
        <v/>
      </c>
      <c r="F33" s="11">
        <f>IF(OR(C33="",D33=""),"",D33-C33)</f>
        <v/>
      </c>
      <c r="G33" s="11">
        <f>IF(OR(C33="",E33=""),"",E33-C33)</f>
        <v/>
      </c>
      <c r="H33" s="24">
        <f>IF(OR(F33="",G33=""),"",G33/F33*100)</f>
        <v/>
      </c>
    </row>
    <row r="34">
      <c r="A34" s="5" t="n">
        <v>5</v>
      </c>
      <c r="B34" s="5" t="inlineStr">
        <is>
          <t>black_sugar</t>
        </is>
      </c>
      <c r="C34" s="11">
        <f>IF(COUNTIFS('1_原始數據'!$C$2:$C$1000,"crucible_empty_g",'1_原始數據'!$I$2:$I$1000,$B34,'1_原始數據'!$A$2:$A$1000,$A34)=0,"",AVERAGEIFS('1_原始數據'!$E$2:$E$1000,'1_原始數據'!$C$2:$C$1000,"crucible_empty_g",'1_原始數據'!$I$2:$I$1000,$B34,'1_原始數據'!$A$2:$A$1000,$A34))</f>
        <v/>
      </c>
      <c r="D34" s="11">
        <f>IF(COUNTIFS('1_原始數據'!$C$2:$C$1000,"crucible_sample_g",'1_原始數據'!$I$2:$I$1000,$B34,'1_原始數據'!$A$2:$A$1000,$A34)=0,"",AVERAGEIFS('1_原始數據'!$E$2:$E$1000,'1_原始數據'!$C$2:$C$1000,"crucible_sample_g",'1_原始數據'!$I$2:$I$1000,$B34,'1_原始數據'!$A$2:$A$1000,$A34))</f>
        <v/>
      </c>
      <c r="E34" s="11">
        <f>IF(COUNTIFS('1_原始數據'!$C$2:$C$1000,"crucible_ash_g",'1_原始數據'!$I$2:$I$1000,$B34,'1_原始數據'!$A$2:$A$1000,$A34)=0,"",AVERAGEIFS('1_原始數據'!$E$2:$E$1000,'1_原始數據'!$C$2:$C$1000,"crucible_ash_g",'1_原始數據'!$I$2:$I$1000,$B34,'1_原始數據'!$A$2:$A$1000,$A34))</f>
        <v/>
      </c>
      <c r="F34" s="11">
        <f>IF(OR(C34="",D34=""),"",D34-C34)</f>
        <v/>
      </c>
      <c r="G34" s="11">
        <f>IF(OR(C34="",E34=""),"",E34-C34)</f>
        <v/>
      </c>
      <c r="H34" s="24">
        <f>IF(OR(F34="",G34=""),"",G34/F34*100)</f>
        <v/>
      </c>
    </row>
    <row r="35">
      <c r="A35" s="5" t="n">
        <v>5</v>
      </c>
      <c r="B35" s="5" t="inlineStr">
        <is>
          <t>white_sugar</t>
        </is>
      </c>
      <c r="C35" s="11">
        <f>IF(COUNTIFS('1_原始數據'!$C$2:$C$1000,"crucible_empty_g",'1_原始數據'!$I$2:$I$1000,$B35,'1_原始數據'!$A$2:$A$1000,$A35)=0,"",AVERAGEIFS('1_原始數據'!$E$2:$E$1000,'1_原始數據'!$C$2:$C$1000,"crucible_empty_g",'1_原始數據'!$I$2:$I$1000,$B35,'1_原始數據'!$A$2:$A$1000,$A35))</f>
        <v/>
      </c>
      <c r="D35" s="11">
        <f>IF(COUNTIFS('1_原始數據'!$C$2:$C$1000,"crucible_sample_g",'1_原始數據'!$I$2:$I$1000,$B35,'1_原始數據'!$A$2:$A$1000,$A35)=0,"",AVERAGEIFS('1_原始數據'!$E$2:$E$1000,'1_原始數據'!$C$2:$C$1000,"crucible_sample_g",'1_原始數據'!$I$2:$I$1000,$B35,'1_原始數據'!$A$2:$A$1000,$A35))</f>
        <v/>
      </c>
      <c r="E35" s="11">
        <f>IF(COUNTIFS('1_原始數據'!$C$2:$C$1000,"crucible_ash_g",'1_原始數據'!$I$2:$I$1000,$B35,'1_原始數據'!$A$2:$A$1000,$A35)=0,"",AVERAGEIFS('1_原始數據'!$E$2:$E$1000,'1_原始數據'!$C$2:$C$1000,"crucible_ash_g",'1_原始數據'!$I$2:$I$1000,$B35,'1_原始數據'!$A$2:$A$1000,$A35))</f>
        <v/>
      </c>
      <c r="F35" s="11">
        <f>IF(OR(C35="",D35=""),"",D35-C35)</f>
        <v/>
      </c>
      <c r="G35" s="11">
        <f>IF(OR(C35="",E35=""),"",E35-C35)</f>
        <v/>
      </c>
      <c r="H35" s="24">
        <f>IF(OR(F35="",G35=""),"",G35/F35*100)</f>
        <v/>
      </c>
    </row>
    <row r="36">
      <c r="A36" s="5" t="n">
        <v>5</v>
      </c>
      <c r="B36" s="5" t="inlineStr">
        <is>
          <t>brown_rice</t>
        </is>
      </c>
      <c r="C36" s="11">
        <f>IF(COUNTIFS('1_原始數據'!$C$2:$C$1000,"crucible_empty_g",'1_原始數據'!$I$2:$I$1000,$B36,'1_原始數據'!$A$2:$A$1000,$A36)=0,"",AVERAGEIFS('1_原始數據'!$E$2:$E$1000,'1_原始數據'!$C$2:$C$1000,"crucible_empty_g",'1_原始數據'!$I$2:$I$1000,$B36,'1_原始數據'!$A$2:$A$1000,$A36))</f>
        <v/>
      </c>
      <c r="D36" s="11">
        <f>IF(COUNTIFS('1_原始數據'!$C$2:$C$1000,"crucible_sample_g",'1_原始數據'!$I$2:$I$1000,$B36,'1_原始數據'!$A$2:$A$1000,$A36)=0,"",AVERAGEIFS('1_原始數據'!$E$2:$E$1000,'1_原始數據'!$C$2:$C$1000,"crucible_sample_g",'1_原始數據'!$I$2:$I$1000,$B36,'1_原始數據'!$A$2:$A$1000,$A36))</f>
        <v/>
      </c>
      <c r="E36" s="11">
        <f>IF(COUNTIFS('1_原始數據'!$C$2:$C$1000,"crucible_ash_g",'1_原始數據'!$I$2:$I$1000,$B36,'1_原始數據'!$A$2:$A$1000,$A36)=0,"",AVERAGEIFS('1_原始數據'!$E$2:$E$1000,'1_原始數據'!$C$2:$C$1000,"crucible_ash_g",'1_原始數據'!$I$2:$I$1000,$B36,'1_原始數據'!$A$2:$A$1000,$A36))</f>
        <v/>
      </c>
      <c r="F36" s="11">
        <f>IF(OR(C36="",D36=""),"",D36-C36)</f>
        <v/>
      </c>
      <c r="G36" s="11">
        <f>IF(OR(C36="",E36=""),"",E36-C36)</f>
        <v/>
      </c>
      <c r="H36" s="24">
        <f>IF(OR(F36="",G36=""),"",G36/F36*100)</f>
        <v/>
      </c>
    </row>
    <row r="37">
      <c r="A37" s="5" t="n">
        <v>5</v>
      </c>
      <c r="B37" s="5" t="inlineStr">
        <is>
          <t>polished_rice</t>
        </is>
      </c>
      <c r="C37" s="11">
        <f>IF(COUNTIFS('1_原始數據'!$C$2:$C$1000,"crucible_empty_g",'1_原始數據'!$I$2:$I$1000,$B37,'1_原始數據'!$A$2:$A$1000,$A37)=0,"",AVERAGEIFS('1_原始數據'!$E$2:$E$1000,'1_原始數據'!$C$2:$C$1000,"crucible_empty_g",'1_原始數據'!$I$2:$I$1000,$B37,'1_原始數據'!$A$2:$A$1000,$A37))</f>
        <v/>
      </c>
      <c r="D37" s="11">
        <f>IF(COUNTIFS('1_原始數據'!$C$2:$C$1000,"crucible_sample_g",'1_原始數據'!$I$2:$I$1000,$B37,'1_原始數據'!$A$2:$A$1000,$A37)=0,"",AVERAGEIFS('1_原始數據'!$E$2:$E$1000,'1_原始數據'!$C$2:$C$1000,"crucible_sample_g",'1_原始數據'!$I$2:$I$1000,$B37,'1_原始數據'!$A$2:$A$1000,$A37))</f>
        <v/>
      </c>
      <c r="E37" s="11">
        <f>IF(COUNTIFS('1_原始數據'!$C$2:$C$1000,"crucible_ash_g",'1_原始數據'!$I$2:$I$1000,$B37,'1_原始數據'!$A$2:$A$1000,$A37)=0,"",AVERAGEIFS('1_原始數據'!$E$2:$E$1000,'1_原始數據'!$C$2:$C$1000,"crucible_ash_g",'1_原始數據'!$I$2:$I$1000,$B37,'1_原始數據'!$A$2:$A$1000,$A37))</f>
        <v/>
      </c>
      <c r="F37" s="11">
        <f>IF(OR(C37="",D37=""),"",D37-C37)</f>
        <v/>
      </c>
      <c r="G37" s="11">
        <f>IF(OR(C37="",E37=""),"",E37-C37)</f>
        <v/>
      </c>
      <c r="H37" s="24">
        <f>IF(OR(F37="",G37=""),"",G37/F37*100)</f>
        <v/>
      </c>
    </row>
    <row r="38">
      <c r="A38" s="5" t="n">
        <v>5</v>
      </c>
      <c r="B38" s="5" t="inlineStr">
        <is>
          <t>milk_powder</t>
        </is>
      </c>
      <c r="C38" s="11">
        <f>IF(COUNTIFS('1_原始數據'!$C$2:$C$1000,"crucible_empty_g",'1_原始數據'!$I$2:$I$1000,$B38,'1_原始數據'!$A$2:$A$1000,$A38)=0,"",AVERAGEIFS('1_原始數據'!$E$2:$E$1000,'1_原始數據'!$C$2:$C$1000,"crucible_empty_g",'1_原始數據'!$I$2:$I$1000,$B38,'1_原始數據'!$A$2:$A$1000,$A38))</f>
        <v/>
      </c>
      <c r="D38" s="11">
        <f>IF(COUNTIFS('1_原始數據'!$C$2:$C$1000,"crucible_sample_g",'1_原始數據'!$I$2:$I$1000,$B38,'1_原始數據'!$A$2:$A$1000,$A38)=0,"",AVERAGEIFS('1_原始數據'!$E$2:$E$1000,'1_原始數據'!$C$2:$C$1000,"crucible_sample_g",'1_原始數據'!$I$2:$I$1000,$B38,'1_原始數據'!$A$2:$A$1000,$A38))</f>
        <v/>
      </c>
      <c r="E38" s="11">
        <f>IF(COUNTIFS('1_原始數據'!$C$2:$C$1000,"crucible_ash_g",'1_原始數據'!$I$2:$I$1000,$B38,'1_原始數據'!$A$2:$A$1000,$A38)=0,"",AVERAGEIFS('1_原始數據'!$E$2:$E$1000,'1_原始數據'!$C$2:$C$1000,"crucible_ash_g",'1_原始數據'!$I$2:$I$1000,$B38,'1_原始數據'!$A$2:$A$1000,$A38))</f>
        <v/>
      </c>
      <c r="F38" s="11">
        <f>IF(OR(C38="",D38=""),"",D38-C38)</f>
        <v/>
      </c>
      <c r="G38" s="11">
        <f>IF(OR(C38="",E38=""),"",E38-C38)</f>
        <v/>
      </c>
      <c r="H38" s="24">
        <f>IF(OR(F38="",G38=""),"",G38/F38*100)</f>
        <v/>
      </c>
    </row>
    <row r="40">
      <c r="A40" s="3" t="inlineStr">
        <is>
          <t>1-3 各樣品的全班平均、SD、RSD</t>
        </is>
      </c>
    </row>
    <row r="41" ht="30" customHeight="1">
      <c r="A41" s="9" t="inlineStr">
        <is>
          <t>樣品</t>
        </is>
      </c>
      <c r="B41" s="9" t="inlineStr">
        <is>
          <t>中文</t>
        </is>
      </c>
      <c r="C41" s="9" t="inlineStr">
        <is>
          <t>n</t>
        </is>
      </c>
      <c r="D41" s="9" t="inlineStr">
        <is>
          <t>平均灰分 %</t>
        </is>
      </c>
      <c r="E41" s="9" t="inlineStr">
        <is>
          <t>SD (%)</t>
        </is>
      </c>
      <c r="F41" s="9" t="inlineStr">
        <is>
          <t>RSD (%)</t>
        </is>
      </c>
    </row>
    <row r="42" ht="45" customHeight="1">
      <c r="A42" s="5" t="inlineStr">
        <is>
          <t>white_sugar</t>
        </is>
      </c>
      <c r="B42" s="19" t="inlineStr">
        <is>
          <t>白糖</t>
        </is>
      </c>
      <c r="C42" s="25">
        <f>SUMPRODUCT(('2_灰分'!$B$14:$B$38=A42)*ISNUMBER('2_灰分'!$H$14:$H$38))</f>
        <v/>
      </c>
      <c r="D42" s="24">
        <f>AVERAGEIF('2_灰分'!$B$14:$B$38,A42,'2_灰分'!$H$14:$H$38)</f>
        <v/>
      </c>
      <c r="E42" s="24">
        <f t="array" ref="E42">_xlfn.STDEV.S(IF('2_灰分'!$B$14:$B$38=A42,'2_灰分'!$H$14:$H$38))</f>
        <v/>
      </c>
      <c r="F42" s="14">
        <f>E42/D42*100</f>
        <v/>
      </c>
      <c r="J42" s="16" t="inlineStr">
        <is>
          <t>n：SUMPRODUCT((樣品欄=A)*ISNUMBER(灰分%欄)) 數「這個樣品有幾個數字」。平均：AVERAGEIF(樣品欄, A, 灰分%欄) 只平均符合條件的格子。</t>
        </is>
      </c>
    </row>
    <row r="43" ht="60" customHeight="1">
      <c r="A43" s="5" t="inlineStr">
        <is>
          <t>polished_rice</t>
        </is>
      </c>
      <c r="B43" s="19" t="inlineStr">
        <is>
          <t>白米</t>
        </is>
      </c>
      <c r="C43" s="25">
        <f>SUMPRODUCT(('2_灰分'!$B$14:$B$38=A43)*ISNUMBER('2_灰分'!$H$14:$H$38))</f>
        <v/>
      </c>
      <c r="D43" s="24">
        <f>AVERAGEIF('2_灰分'!$B$14:$B$38,A43,'2_灰分'!$H$14:$H$38)</f>
        <v/>
      </c>
      <c r="E43" s="24">
        <f t="array" ref="E43">_xlfn.STDEV.S(IF('2_灰分'!$B$14:$B$38=A43,'2_灰分'!$H$14:$H$38))</f>
        <v/>
      </c>
      <c r="F43" s="14">
        <f>E43/D43*100</f>
        <v/>
      </c>
      <c r="J43" s="16" t="inlineStr">
        <is>
          <t>SD：Excel 沒有 STDEV.IFS，所以用陣列公式 {=STDEV.S(IF(樣品欄=A, 灰分%欄))}：IF 先把不符合的格子變成 FALSE，STDEV.S 只算剩下的數字（樣本標準差，除以 n−1）。舊版 Excel 自己輸入時要按 Ctrl+Shift+Enter；Excel 365 直接 Enter。</t>
        </is>
      </c>
    </row>
    <row r="44" ht="45" customHeight="1">
      <c r="A44" s="5" t="inlineStr">
        <is>
          <t>brown_rice</t>
        </is>
      </c>
      <c r="B44" s="19" t="inlineStr">
        <is>
          <t>糙米</t>
        </is>
      </c>
      <c r="C44" s="25">
        <f>SUMPRODUCT(('2_灰分'!$B$14:$B$38=A44)*ISNUMBER('2_灰分'!$H$14:$H$38))</f>
        <v/>
      </c>
      <c r="D44" s="24">
        <f>AVERAGEIF('2_灰分'!$B$14:$B$38,A44,'2_灰分'!$H$14:$H$38)</f>
        <v/>
      </c>
      <c r="E44" s="24">
        <f t="array" ref="E44">_xlfn.STDEV.S(IF('2_灰分'!$B$14:$B$38=A44,'2_灰分'!$H$14:$H$38))</f>
        <v/>
      </c>
      <c r="F44" s="14">
        <f>E44/D44*100</f>
        <v/>
      </c>
      <c r="J44" s="16" t="inlineStr">
        <is>
          <t>RSD＝SD÷平均×100。白糖灰分極低（只有零點幾 mg），天平的 0.1 mg 誤差就佔很大比例，所以 RSD 特別大。</t>
        </is>
      </c>
    </row>
    <row r="45" ht="60" customHeight="1">
      <c r="A45" s="5" t="inlineStr">
        <is>
          <t>black_sugar</t>
        </is>
      </c>
      <c r="B45" s="19" t="inlineStr">
        <is>
          <t>黑糖</t>
        </is>
      </c>
      <c r="C45" s="25">
        <f>SUMPRODUCT(('2_灰分'!$B$14:$B$38=A45)*ISNUMBER('2_灰分'!$H$14:$H$38))</f>
        <v/>
      </c>
      <c r="D45" s="24">
        <f>AVERAGEIF('2_灰分'!$B$14:$B$38,A45,'2_灰分'!$H$14:$H$38)</f>
        <v/>
      </c>
      <c r="E45" s="24">
        <f t="array" ref="E45">_xlfn.STDEV.S(IF('2_灰分'!$B$14:$B$38=A45,'2_灰分'!$H$14:$H$38))</f>
        <v/>
      </c>
      <c r="F45" s="14">
        <f>E45/D45*100</f>
        <v/>
      </c>
      <c r="J45" s="16" t="inlineStr">
        <is>
          <t>解讀：黑糖／糙米灰分明顯高於白糖／白米，這是「精製程度」的指標。但灰分只代表「總無機殘留物」，不能告訴你是哪一種礦物質、有多少鈉或鹽；鈉要用下一張的 Na⁺ ISE 才能回答。</t>
        </is>
      </c>
    </row>
    <row r="46">
      <c r="A46" s="5" t="inlineStr">
        <is>
          <t>milk_powder</t>
        </is>
      </c>
      <c r="B46" s="19" t="inlineStr">
        <is>
          <t>全脂奶粉（盲樣）</t>
        </is>
      </c>
      <c r="C46" s="25">
        <f>SUMPRODUCT(('2_灰分'!$B$14:$B$38=A46)*ISNUMBER('2_灰分'!$H$14:$H$38))</f>
        <v/>
      </c>
      <c r="D46" s="24">
        <f>AVERAGEIF('2_灰分'!$B$14:$B$38,A46,'2_灰分'!$H$14:$H$38)</f>
        <v/>
      </c>
      <c r="E46" s="24">
        <f t="array" ref="E46">_xlfn.STDEV.S(IF('2_灰分'!$B$14:$B$38=A46,'2_灰分'!$H$14:$H$38))</f>
        <v/>
      </c>
      <c r="F46" s="14">
        <f>E46/D46*100</f>
        <v/>
      </c>
    </row>
  </sheetData>
  <mergeCells count="7">
    <mergeCell ref="A10:C10"/>
    <mergeCell ref="A5:C5"/>
    <mergeCell ref="A8:C8"/>
    <mergeCell ref="A6:C6"/>
    <mergeCell ref="A9:C9"/>
    <mergeCell ref="A2:J2"/>
    <mergeCell ref="A7:C7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Q31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1" customWidth="1" min="3" max="3"/>
    <col width="13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5" customWidth="1" min="10" max="10"/>
    <col width="11" customWidth="1" min="11" max="11"/>
    <col width="9" customWidth="1" min="12" max="12"/>
    <col width="14" customWidth="1" min="13" max="13"/>
    <col width="11" customWidth="1" min="14" max="14"/>
    <col width="13" customWidth="1" min="15" max="15"/>
    <col width="3" customWidth="1" min="16" max="16"/>
    <col width="60" customWidth="1" min="17" max="17"/>
  </cols>
  <sheetData>
    <row r="1">
      <c r="A1" s="1" t="inlineStr">
        <is>
          <t>步驟 2　Na⁺ ISE 讀數 × 稀釋倍數 → 樣品的鈉濃度 → NaCl 當量</t>
        </is>
      </c>
    </row>
    <row r="2" ht="32" customHeight="1">
      <c r="A2" s="16" t="inlineStr">
        <is>
          <t>ISE 讀到的是「上機溶液」的濃度（ppm＝mg/L）。乘上稀釋倍數 D 才回到原樣品；再換成每 100 mL 或每 100 g。NaCl 當量＝Na × 58.44／22.99（≈ 2.542）。</t>
        </is>
      </c>
    </row>
    <row r="4">
      <c r="A4" s="3" t="inlineStr">
        <is>
          <t>2-1 換算係數</t>
        </is>
      </c>
    </row>
    <row r="5">
      <c r="A5" s="19" t="inlineStr">
        <is>
          <t>Na 原子量</t>
        </is>
      </c>
      <c r="B5" s="21" t="n"/>
      <c r="C5" s="26" t="n">
        <v>22.99</v>
      </c>
    </row>
    <row r="6">
      <c r="A6" s="19" t="inlineStr">
        <is>
          <t>NaCl 式量</t>
        </is>
      </c>
      <c r="B6" s="21" t="n"/>
      <c r="C6" s="26" t="n">
        <v>58.44</v>
      </c>
    </row>
    <row r="7">
      <c r="A7" s="19" t="inlineStr">
        <is>
          <t>NaCl ÷ Na 係數</t>
        </is>
      </c>
      <c r="B7" s="21" t="n"/>
      <c r="C7" s="24">
        <f>C6/C5</f>
        <v/>
      </c>
      <c r="D7" s="16" t="inlineStr">
        <is>
          <t>=58.44/22.99 ≈ 2.542：1 g 鈉相當於 2.542 g 食鹽。</t>
        </is>
      </c>
    </row>
    <row r="9">
      <c r="A9" s="3" t="inlineStr">
        <is>
          <t>2-2 講義範例：醬油稀釋 1:50，ISE 讀數 1100 ppm</t>
        </is>
      </c>
    </row>
    <row r="10">
      <c r="A10" s="19" t="inlineStr">
        <is>
          <t>ISE 讀數 (ppm = mg/L)</t>
        </is>
      </c>
      <c r="B10" s="21" t="n"/>
      <c r="C10" s="27" t="n">
        <v>1100</v>
      </c>
    </row>
    <row r="11">
      <c r="A11" s="19" t="inlineStr">
        <is>
          <t>稀釋倍數 D</t>
        </is>
      </c>
      <c r="B11" s="21" t="n"/>
      <c r="C11" s="28" t="n">
        <v>50</v>
      </c>
    </row>
    <row r="12">
      <c r="A12" s="19" t="inlineStr">
        <is>
          <t>原醬油 Na (g/L) = 讀數 × D ÷ 1000</t>
        </is>
      </c>
      <c r="B12" s="21" t="n"/>
      <c r="C12" s="14">
        <f>C10*C11/1000</f>
        <v/>
      </c>
    </row>
    <row r="13">
      <c r="A13" s="19" t="inlineStr">
        <is>
          <t>原醬油 Na (g/100 mL) = g/L ÷ 10</t>
        </is>
      </c>
      <c r="B13" s="21" t="n"/>
      <c r="C13" s="14">
        <f>C12/10</f>
        <v/>
      </c>
      <c r="D13" s="16" t="inlineStr">
        <is>
          <t>應為 5.50 g/100 mL</t>
        </is>
      </c>
    </row>
    <row r="14">
      <c r="A14" s="19" t="inlineStr">
        <is>
          <t>NaCl 當量 (g/100 mL) = Na × 2.542</t>
        </is>
      </c>
      <c r="B14" s="21" t="n"/>
      <c r="C14" s="23">
        <f>C13*'3_鈉與NaCl'!$C$7</f>
        <v/>
      </c>
      <c r="D14" s="16" t="inlineStr">
        <is>
          <t>應約為 13.98 g/100 mL。練習題 2 用這一塊：把 C10、C11 改成題目的數字。</t>
        </is>
      </c>
    </row>
    <row r="16">
      <c r="A16" s="3" t="inlineStr">
        <is>
          <t>2-3 各產品：全班讀數 → 每 100 g（或 100 mL）的鈉</t>
        </is>
      </c>
    </row>
    <row r="17">
      <c r="D17" s="29" t="inlineStr">
        <is>
          <t>組別 →</t>
        </is>
      </c>
      <c r="E17" s="5" t="n">
        <v>1</v>
      </c>
      <c r="F17" s="5" t="n">
        <v>2</v>
      </c>
      <c r="G17" s="5" t="n">
        <v>3</v>
      </c>
      <c r="H17" s="5" t="n">
        <v>4</v>
      </c>
      <c r="I17" s="5" t="n">
        <v>5</v>
      </c>
    </row>
    <row r="18" ht="45" customHeight="1">
      <c r="A18" s="9" t="inlineStr">
        <is>
          <t>產品</t>
        </is>
      </c>
      <c r="B18" s="9" t="inlineStr">
        <is>
          <t>中文</t>
        </is>
      </c>
      <c r="C18" s="9" t="inlineStr">
        <is>
          <t>稀釋倍數 D</t>
        </is>
      </c>
      <c r="D18" s="9" t="inlineStr">
        <is>
          <t>結果基準</t>
        </is>
      </c>
      <c r="E18" s="9" t="inlineStr">
        <is>
          <t>讀數 (ppm)</t>
        </is>
      </c>
      <c r="F18" s="9" t="inlineStr">
        <is>
          <t>讀數 (ppm)</t>
        </is>
      </c>
      <c r="G18" s="9" t="inlineStr">
        <is>
          <t>讀數 (ppm)</t>
        </is>
      </c>
      <c r="H18" s="9" t="inlineStr">
        <is>
          <t>讀數 (ppm)</t>
        </is>
      </c>
      <c r="I18" s="9" t="inlineStr">
        <is>
          <t>讀數 (ppm)</t>
        </is>
      </c>
      <c r="J18" s="9" t="inlineStr">
        <is>
          <t>n</t>
        </is>
      </c>
      <c r="K18" s="9" t="inlineStr">
        <is>
          <t>平均讀數 (ppm)</t>
        </is>
      </c>
      <c r="L18" s="9" t="inlineStr">
        <is>
          <t>SD 讀數</t>
        </is>
      </c>
      <c r="M18" s="9" t="inlineStr">
        <is>
          <t>Na (mg/100 g 或 mL)</t>
        </is>
      </c>
      <c r="N18" s="9" t="inlineStr">
        <is>
          <t>SD Na</t>
        </is>
      </c>
      <c r="O18" s="9" t="inlineStr">
        <is>
          <t>NaCl 當量 (g/100 g 或 mL)</t>
        </is>
      </c>
      <c r="Q18" s="16" t="inlineStr">
        <is>
          <t>醬油、運動飲料是液體，結果是「每 100 mL」。要跟每 100 g 的資料庫比時，要再除以密度（見「6_資料庫比對」）。</t>
        </is>
      </c>
    </row>
    <row r="19">
      <c r="A19" s="5" t="inlineStr">
        <is>
          <t>soy_sauce</t>
        </is>
      </c>
      <c r="B19" s="19" t="inlineStr">
        <is>
          <t>醬油</t>
        </is>
      </c>
      <c r="C19" s="5" t="n">
        <v>50</v>
      </c>
      <c r="D19" s="30" t="inlineStr">
        <is>
          <t>mg/100 mL</t>
        </is>
      </c>
      <c r="E19" s="31">
        <f>IF(COUNTIFS('1_原始數據'!$C$2:$C$1000,"na_ise_ppm",'1_原始數據'!$I$2:$I$1000,$A19,'1_原始數據'!$A$2:$A$1000,E$17)=0,"",AVERAGEIFS('1_原始數據'!$E$2:$E$1000,'1_原始數據'!$C$2:$C$1000,"na_ise_ppm",'1_原始數據'!$I$2:$I$1000,$A19,'1_原始數據'!$A$2:$A$1000,E$17))</f>
        <v/>
      </c>
      <c r="F19" s="31">
        <f>IF(COUNTIFS('1_原始數據'!$C$2:$C$1000,"na_ise_ppm",'1_原始數據'!$I$2:$I$1000,$A19,'1_原始數據'!$A$2:$A$1000,F$17)=0,"",AVERAGEIFS('1_原始數據'!$E$2:$E$1000,'1_原始數據'!$C$2:$C$1000,"na_ise_ppm",'1_原始數據'!$I$2:$I$1000,$A19,'1_原始數據'!$A$2:$A$1000,F$17))</f>
        <v/>
      </c>
      <c r="G19" s="31">
        <f>IF(COUNTIFS('1_原始數據'!$C$2:$C$1000,"na_ise_ppm",'1_原始數據'!$I$2:$I$1000,$A19,'1_原始數據'!$A$2:$A$1000,G$17)=0,"",AVERAGEIFS('1_原始數據'!$E$2:$E$1000,'1_原始數據'!$C$2:$C$1000,"na_ise_ppm",'1_原始數據'!$I$2:$I$1000,$A19,'1_原始數據'!$A$2:$A$1000,G$17))</f>
        <v/>
      </c>
      <c r="H19" s="31">
        <f>IF(COUNTIFS('1_原始數據'!$C$2:$C$1000,"na_ise_ppm",'1_原始數據'!$I$2:$I$1000,$A19,'1_原始數據'!$A$2:$A$1000,H$17)=0,"",AVERAGEIFS('1_原始數據'!$E$2:$E$1000,'1_原始數據'!$C$2:$C$1000,"na_ise_ppm",'1_原始數據'!$I$2:$I$1000,$A19,'1_原始數據'!$A$2:$A$1000,H$17))</f>
        <v/>
      </c>
      <c r="I19" s="31">
        <f>IF(COUNTIFS('1_原始數據'!$C$2:$C$1000,"na_ise_ppm",'1_原始數據'!$I$2:$I$1000,$A19,'1_原始數據'!$A$2:$A$1000,I$17)=0,"",AVERAGEIFS('1_原始數據'!$E$2:$E$1000,'1_原始數據'!$C$2:$C$1000,"na_ise_ppm",'1_原始數據'!$I$2:$I$1000,$A19,'1_原始數據'!$A$2:$A$1000,I$17))</f>
        <v/>
      </c>
      <c r="J19" s="25">
        <f>COUNT(E19:I19)</f>
        <v/>
      </c>
      <c r="K19" s="31">
        <f>AVERAGE(E19:I19)</f>
        <v/>
      </c>
      <c r="L19" s="31">
        <f>_xlfn.STDEV.S(E19:I19)</f>
        <v/>
      </c>
      <c r="M19" s="23">
        <f>K19*C19/10</f>
        <v/>
      </c>
      <c r="N19" s="14">
        <f>L19*C19/10</f>
        <v/>
      </c>
      <c r="O19" s="32">
        <f>M19*'3_鈉與NaCl'!$C$7/1000</f>
        <v/>
      </c>
    </row>
    <row r="20">
      <c r="A20" s="5" t="inlineStr">
        <is>
          <t>potato_chips</t>
        </is>
      </c>
      <c r="B20" s="19" t="inlineStr">
        <is>
          <t>洋芋片</t>
        </is>
      </c>
      <c r="C20" s="5">
        <f>100/5</f>
        <v/>
      </c>
      <c r="D20" s="30" t="inlineStr">
        <is>
          <t>mg/100 g</t>
        </is>
      </c>
      <c r="E20" s="31">
        <f>IF(COUNTIFS('1_原始數據'!$C$2:$C$1000,"na_ise_ppm",'1_原始數據'!$I$2:$I$1000,$A20,'1_原始數據'!$A$2:$A$1000,E$17)=0,"",AVERAGEIFS('1_原始數據'!$E$2:$E$1000,'1_原始數據'!$C$2:$C$1000,"na_ise_ppm",'1_原始數據'!$I$2:$I$1000,$A20,'1_原始數據'!$A$2:$A$1000,E$17))</f>
        <v/>
      </c>
      <c r="F20" s="31">
        <f>IF(COUNTIFS('1_原始數據'!$C$2:$C$1000,"na_ise_ppm",'1_原始數據'!$I$2:$I$1000,$A20,'1_原始數據'!$A$2:$A$1000,F$17)=0,"",AVERAGEIFS('1_原始數據'!$E$2:$E$1000,'1_原始數據'!$C$2:$C$1000,"na_ise_ppm",'1_原始數據'!$I$2:$I$1000,$A20,'1_原始數據'!$A$2:$A$1000,F$17))</f>
        <v/>
      </c>
      <c r="G20" s="31">
        <f>IF(COUNTIFS('1_原始數據'!$C$2:$C$1000,"na_ise_ppm",'1_原始數據'!$I$2:$I$1000,$A20,'1_原始數據'!$A$2:$A$1000,G$17)=0,"",AVERAGEIFS('1_原始數據'!$E$2:$E$1000,'1_原始數據'!$C$2:$C$1000,"na_ise_ppm",'1_原始數據'!$I$2:$I$1000,$A20,'1_原始數據'!$A$2:$A$1000,G$17))</f>
        <v/>
      </c>
      <c r="H20" s="31">
        <f>IF(COUNTIFS('1_原始數據'!$C$2:$C$1000,"na_ise_ppm",'1_原始數據'!$I$2:$I$1000,$A20,'1_原始數據'!$A$2:$A$1000,H$17)=0,"",AVERAGEIFS('1_原始數據'!$E$2:$E$1000,'1_原始數據'!$C$2:$C$1000,"na_ise_ppm",'1_原始數據'!$I$2:$I$1000,$A20,'1_原始數據'!$A$2:$A$1000,H$17))</f>
        <v/>
      </c>
      <c r="I20" s="31">
        <f>IF(COUNTIFS('1_原始數據'!$C$2:$C$1000,"na_ise_ppm",'1_原始數據'!$I$2:$I$1000,$A20,'1_原始數據'!$A$2:$A$1000,I$17)=0,"",AVERAGEIFS('1_原始數據'!$E$2:$E$1000,'1_原始數據'!$C$2:$C$1000,"na_ise_ppm",'1_原始數據'!$I$2:$I$1000,$A20,'1_原始數據'!$A$2:$A$1000,I$17))</f>
        <v/>
      </c>
      <c r="J20" s="25">
        <f>COUNT(E20:I20)</f>
        <v/>
      </c>
      <c r="K20" s="31">
        <f>AVERAGE(E20:I20)</f>
        <v/>
      </c>
      <c r="L20" s="31">
        <f>_xlfn.STDEV.S(E20:I20)</f>
        <v/>
      </c>
      <c r="M20" s="23">
        <f>K20*C20/10</f>
        <v/>
      </c>
      <c r="N20" s="14">
        <f>L20*C20/10</f>
        <v/>
      </c>
      <c r="O20" s="32">
        <f>M20*'3_鈉與NaCl'!$C$7/1000</f>
        <v/>
      </c>
    </row>
    <row r="21">
      <c r="A21" s="5" t="inlineStr">
        <is>
          <t>instant_soup</t>
        </is>
      </c>
      <c r="B21" s="19" t="inlineStr">
        <is>
          <t>即食湯（沖泡後）</t>
        </is>
      </c>
      <c r="C21" s="5" t="n">
        <v>20</v>
      </c>
      <c r="D21" s="30" t="inlineStr">
        <is>
          <t>mg/100 g</t>
        </is>
      </c>
      <c r="E21" s="31">
        <f>IF(COUNTIFS('1_原始數據'!$C$2:$C$1000,"na_ise_ppm",'1_原始數據'!$I$2:$I$1000,$A21,'1_原始數據'!$A$2:$A$1000,E$17)=0,"",AVERAGEIFS('1_原始數據'!$E$2:$E$1000,'1_原始數據'!$C$2:$C$1000,"na_ise_ppm",'1_原始數據'!$I$2:$I$1000,$A21,'1_原始數據'!$A$2:$A$1000,E$17))</f>
        <v/>
      </c>
      <c r="F21" s="31">
        <f>IF(COUNTIFS('1_原始數據'!$C$2:$C$1000,"na_ise_ppm",'1_原始數據'!$I$2:$I$1000,$A21,'1_原始數據'!$A$2:$A$1000,F$17)=0,"",AVERAGEIFS('1_原始數據'!$E$2:$E$1000,'1_原始數據'!$C$2:$C$1000,"na_ise_ppm",'1_原始數據'!$I$2:$I$1000,$A21,'1_原始數據'!$A$2:$A$1000,F$17))</f>
        <v/>
      </c>
      <c r="G21" s="31">
        <f>IF(COUNTIFS('1_原始數據'!$C$2:$C$1000,"na_ise_ppm",'1_原始數據'!$I$2:$I$1000,$A21,'1_原始數據'!$A$2:$A$1000,G$17)=0,"",AVERAGEIFS('1_原始數據'!$E$2:$E$1000,'1_原始數據'!$C$2:$C$1000,"na_ise_ppm",'1_原始數據'!$I$2:$I$1000,$A21,'1_原始數據'!$A$2:$A$1000,G$17))</f>
        <v/>
      </c>
      <c r="H21" s="31">
        <f>IF(COUNTIFS('1_原始數據'!$C$2:$C$1000,"na_ise_ppm",'1_原始數據'!$I$2:$I$1000,$A21,'1_原始數據'!$A$2:$A$1000,H$17)=0,"",AVERAGEIFS('1_原始數據'!$E$2:$E$1000,'1_原始數據'!$C$2:$C$1000,"na_ise_ppm",'1_原始數據'!$I$2:$I$1000,$A21,'1_原始數據'!$A$2:$A$1000,H$17))</f>
        <v/>
      </c>
      <c r="I21" s="31">
        <f>IF(COUNTIFS('1_原始數據'!$C$2:$C$1000,"na_ise_ppm",'1_原始數據'!$I$2:$I$1000,$A21,'1_原始數據'!$A$2:$A$1000,I$17)=0,"",AVERAGEIFS('1_原始數據'!$E$2:$E$1000,'1_原始數據'!$C$2:$C$1000,"na_ise_ppm",'1_原始數據'!$I$2:$I$1000,$A21,'1_原始數據'!$A$2:$A$1000,I$17))</f>
        <v/>
      </c>
      <c r="J21" s="25">
        <f>COUNT(E21:I21)</f>
        <v/>
      </c>
      <c r="K21" s="31">
        <f>AVERAGE(E21:I21)</f>
        <v/>
      </c>
      <c r="L21" s="31">
        <f>_xlfn.STDEV.S(E21:I21)</f>
        <v/>
      </c>
      <c r="M21" s="23">
        <f>K21*C21/10</f>
        <v/>
      </c>
      <c r="N21" s="14">
        <f>L21*C21/10</f>
        <v/>
      </c>
      <c r="O21" s="32">
        <f>M21*'3_鈉與NaCl'!$C$7/1000</f>
        <v/>
      </c>
    </row>
    <row r="22">
      <c r="A22" s="5" t="inlineStr">
        <is>
          <t>sports_drink</t>
        </is>
      </c>
      <c r="B22" s="19" t="inlineStr">
        <is>
          <t>運動飲料</t>
        </is>
      </c>
      <c r="C22" s="5" t="n">
        <v>1</v>
      </c>
      <c r="D22" s="30" t="inlineStr">
        <is>
          <t>mg/100 mL（≈100 g）</t>
        </is>
      </c>
      <c r="E22" s="31">
        <f>IF(COUNTIFS('1_原始數據'!$C$2:$C$1000,"na_ise_ppm",'1_原始數據'!$I$2:$I$1000,$A22,'1_原始數據'!$A$2:$A$1000,E$17)=0,"",AVERAGEIFS('1_原始數據'!$E$2:$E$1000,'1_原始數據'!$C$2:$C$1000,"na_ise_ppm",'1_原始數據'!$I$2:$I$1000,$A22,'1_原始數據'!$A$2:$A$1000,E$17))</f>
        <v/>
      </c>
      <c r="F22" s="31">
        <f>IF(COUNTIFS('1_原始數據'!$C$2:$C$1000,"na_ise_ppm",'1_原始數據'!$I$2:$I$1000,$A22,'1_原始數據'!$A$2:$A$1000,F$17)=0,"",AVERAGEIFS('1_原始數據'!$E$2:$E$1000,'1_原始數據'!$C$2:$C$1000,"na_ise_ppm",'1_原始數據'!$I$2:$I$1000,$A22,'1_原始數據'!$A$2:$A$1000,F$17))</f>
        <v/>
      </c>
      <c r="G22" s="31">
        <f>IF(COUNTIFS('1_原始數據'!$C$2:$C$1000,"na_ise_ppm",'1_原始數據'!$I$2:$I$1000,$A22,'1_原始數據'!$A$2:$A$1000,G$17)=0,"",AVERAGEIFS('1_原始數據'!$E$2:$E$1000,'1_原始數據'!$C$2:$C$1000,"na_ise_ppm",'1_原始數據'!$I$2:$I$1000,$A22,'1_原始數據'!$A$2:$A$1000,G$17))</f>
        <v/>
      </c>
      <c r="H22" s="31">
        <f>IF(COUNTIFS('1_原始數據'!$C$2:$C$1000,"na_ise_ppm",'1_原始數據'!$I$2:$I$1000,$A22,'1_原始數據'!$A$2:$A$1000,H$17)=0,"",AVERAGEIFS('1_原始數據'!$E$2:$E$1000,'1_原始數據'!$C$2:$C$1000,"na_ise_ppm",'1_原始數據'!$I$2:$I$1000,$A22,'1_原始數據'!$A$2:$A$1000,H$17))</f>
        <v/>
      </c>
      <c r="I22" s="31">
        <f>IF(COUNTIFS('1_原始數據'!$C$2:$C$1000,"na_ise_ppm",'1_原始數據'!$I$2:$I$1000,$A22,'1_原始數據'!$A$2:$A$1000,I$17)=0,"",AVERAGEIFS('1_原始數據'!$E$2:$E$1000,'1_原始數據'!$C$2:$C$1000,"na_ise_ppm",'1_原始數據'!$I$2:$I$1000,$A22,'1_原始數據'!$A$2:$A$1000,I$17))</f>
        <v/>
      </c>
      <c r="J22" s="25">
        <f>COUNT(E22:I22)</f>
        <v/>
      </c>
      <c r="K22" s="31">
        <f>AVERAGE(E22:I22)</f>
        <v/>
      </c>
      <c r="L22" s="31">
        <f>_xlfn.STDEV.S(E22:I22)</f>
        <v/>
      </c>
      <c r="M22" s="23">
        <f>K22*C22/10</f>
        <v/>
      </c>
      <c r="N22" s="14">
        <f>L22*C22/10</f>
        <v/>
      </c>
      <c r="O22" s="32">
        <f>M22*'3_鈉與NaCl'!$C$7/1000</f>
        <v/>
      </c>
    </row>
    <row r="23">
      <c r="A23" s="5" t="inlineStr">
        <is>
          <t>milk_powder</t>
        </is>
      </c>
      <c r="B23" s="19" t="inlineStr">
        <is>
          <t>全脂奶粉（盲樣）</t>
        </is>
      </c>
      <c r="C23" s="5" t="n">
        <v>20</v>
      </c>
      <c r="D23" s="30" t="inlineStr">
        <is>
          <t>mg/100 g</t>
        </is>
      </c>
      <c r="E23" s="31">
        <f>IF(COUNTIFS('1_原始數據'!$C$2:$C$1000,"na_ise_ppm",'1_原始數據'!$I$2:$I$1000,$A23,'1_原始數據'!$A$2:$A$1000,E$17)=0,"",AVERAGEIFS('1_原始數據'!$E$2:$E$1000,'1_原始數據'!$C$2:$C$1000,"na_ise_ppm",'1_原始數據'!$I$2:$I$1000,$A23,'1_原始數據'!$A$2:$A$1000,E$17))</f>
        <v/>
      </c>
      <c r="F23" s="31">
        <f>IF(COUNTIFS('1_原始數據'!$C$2:$C$1000,"na_ise_ppm",'1_原始數據'!$I$2:$I$1000,$A23,'1_原始數據'!$A$2:$A$1000,F$17)=0,"",AVERAGEIFS('1_原始數據'!$E$2:$E$1000,'1_原始數據'!$C$2:$C$1000,"na_ise_ppm",'1_原始數據'!$I$2:$I$1000,$A23,'1_原始數據'!$A$2:$A$1000,F$17))</f>
        <v/>
      </c>
      <c r="G23" s="31">
        <f>IF(COUNTIFS('1_原始數據'!$C$2:$C$1000,"na_ise_ppm",'1_原始數據'!$I$2:$I$1000,$A23,'1_原始數據'!$A$2:$A$1000,G$17)=0,"",AVERAGEIFS('1_原始數據'!$E$2:$E$1000,'1_原始數據'!$C$2:$C$1000,"na_ise_ppm",'1_原始數據'!$I$2:$I$1000,$A23,'1_原始數據'!$A$2:$A$1000,G$17))</f>
        <v/>
      </c>
      <c r="H23" s="31">
        <f>IF(COUNTIFS('1_原始數據'!$C$2:$C$1000,"na_ise_ppm",'1_原始數據'!$I$2:$I$1000,$A23,'1_原始數據'!$A$2:$A$1000,H$17)=0,"",AVERAGEIFS('1_原始數據'!$E$2:$E$1000,'1_原始數據'!$C$2:$C$1000,"na_ise_ppm",'1_原始數據'!$I$2:$I$1000,$A23,'1_原始數據'!$A$2:$A$1000,H$17))</f>
        <v/>
      </c>
      <c r="I23" s="31">
        <f>IF(COUNTIFS('1_原始數據'!$C$2:$C$1000,"na_ise_ppm",'1_原始數據'!$I$2:$I$1000,$A23,'1_原始數據'!$A$2:$A$1000,I$17)=0,"",AVERAGEIFS('1_原始數據'!$E$2:$E$1000,'1_原始數據'!$C$2:$C$1000,"na_ise_ppm",'1_原始數據'!$I$2:$I$1000,$A23,'1_原始數據'!$A$2:$A$1000,I$17))</f>
        <v/>
      </c>
      <c r="J23" s="25">
        <f>COUNT(E23:I23)</f>
        <v/>
      </c>
      <c r="K23" s="31">
        <f>AVERAGE(E23:I23)</f>
        <v/>
      </c>
      <c r="L23" s="31">
        <f>_xlfn.STDEV.S(E23:I23)</f>
        <v/>
      </c>
      <c r="M23" s="23">
        <f>K23*C23/10</f>
        <v/>
      </c>
      <c r="N23" s="14">
        <f>L23*C23/10</f>
        <v/>
      </c>
      <c r="O23" s="32">
        <f>M23*'3_鈉與NaCl'!$C$7/1000</f>
        <v/>
      </c>
    </row>
    <row r="25">
      <c r="A25" s="3" t="inlineStr">
        <is>
          <t>公式說明</t>
        </is>
      </c>
    </row>
    <row r="26" ht="30" customHeight="1">
      <c r="A26" s="33" t="inlineStr">
        <is>
          <t>讀數</t>
        </is>
      </c>
      <c r="C26" s="4" t="inlineStr">
        <is>
          <t>=AVERAGEIFS(value, item,"na_ise_ppm", sample, A19, group, E17)　依產品和組別把讀數抓過來。組數不同就改第 17 列的組別號碼（插入欄可加組）。</t>
        </is>
      </c>
    </row>
    <row r="27" ht="30" customHeight="1">
      <c r="A27" s="33" t="inlineStr">
        <is>
          <t>稀釋倍數 D</t>
        </is>
      </c>
      <c r="C27" s="4" t="inlineStr">
        <is>
          <t>液體：「1:50」就是 D = 50。固體：D = 定容體積 (mL) ÷ 樣品重 (g)。洋芋片是 5.00 g 萃取成 100 mL，所以 D = 100 ÷ 5 = 20。</t>
        </is>
      </c>
    </row>
    <row r="28" ht="30" customHeight="1">
      <c r="A28" s="33" t="inlineStr">
        <is>
          <t>Na (mg/100)</t>
        </is>
      </c>
      <c r="C28" s="4" t="inlineStr">
        <is>
          <t>= 平均讀數 × D ÷ 10。讀數 (mg/L) × D 是原樣品每公升（或每 1000 g）的 mg；÷ 10 換成每 100 mL（或 100 g）。</t>
        </is>
      </c>
    </row>
    <row r="29" ht="30" customHeight="1">
      <c r="A29" s="33" t="inlineStr">
        <is>
          <t>SD Na</t>
        </is>
      </c>
      <c r="C29" s="4" t="inlineStr">
        <is>
          <t>= SD 讀數 × D ÷ 10。乘上常數，SD 也跟著乘。</t>
        </is>
      </c>
    </row>
    <row r="30" ht="30" customHeight="1">
      <c r="A30" s="33" t="inlineStr">
        <is>
          <t>NaCl 當量</t>
        </is>
      </c>
      <c r="C30" s="4" t="inlineStr">
        <is>
          <t>= Na (mg/100) × 2.542 ÷ 1000，單位 g/100 g。前提是「所有的鈉都來自食鹽」，其實味精、小蘇打、苯甲酸鈉也含鈉。</t>
        </is>
      </c>
    </row>
    <row r="31" ht="30" customHeight="1">
      <c r="A31" s="33" t="inlineStr">
        <is>
          <t>n、平均、SD</t>
        </is>
      </c>
      <c r="C31" s="4" t="inlineStr">
        <is>
          <t>COUNT 數有幾個數字、AVERAGE 平均、STDEV.S 樣本標準差（除以 n−1）。空白格會自動略過。</t>
        </is>
      </c>
    </row>
  </sheetData>
  <mergeCells count="24">
    <mergeCell ref="C29:Q29"/>
    <mergeCell ref="A30:B30"/>
    <mergeCell ref="D13:I13"/>
    <mergeCell ref="A11:B11"/>
    <mergeCell ref="C31:Q31"/>
    <mergeCell ref="A6:B6"/>
    <mergeCell ref="D7:I7"/>
    <mergeCell ref="A7:B7"/>
    <mergeCell ref="C27:Q27"/>
    <mergeCell ref="A27:B27"/>
    <mergeCell ref="A12:B12"/>
    <mergeCell ref="A26:B26"/>
    <mergeCell ref="C28:Q28"/>
    <mergeCell ref="A5:B5"/>
    <mergeCell ref="D14:O14"/>
    <mergeCell ref="A2:Q2"/>
    <mergeCell ref="A14:B14"/>
    <mergeCell ref="C30:Q30"/>
    <mergeCell ref="A29:B29"/>
    <mergeCell ref="A10:B10"/>
    <mergeCell ref="A28:B28"/>
    <mergeCell ref="A13:B13"/>
    <mergeCell ref="A31:B31"/>
    <mergeCell ref="C26:Q26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6" customWidth="1" min="5" max="5"/>
    <col width="40" customWidth="1" min="6" max="6"/>
    <col width="3" customWidth="1" min="7" max="7"/>
    <col width="10" customWidth="1" min="8" max="8"/>
    <col width="10" customWidth="1" min="9" max="9"/>
    <col width="10" customWidth="1" min="10" max="10"/>
    <col width="10" customWidth="1" min="11" max="11"/>
    <col width="60" customWidth="1" min="12" max="12"/>
  </cols>
  <sheetData>
    <row r="1">
      <c r="A1" s="1" t="inlineStr">
        <is>
          <t>步驟 3　品管：標準添加回收率、飄移檢查、（選用）Nernst 斜率</t>
        </is>
      </c>
    </row>
    <row r="3">
      <c r="A3" s="3" t="inlineStr">
        <is>
          <t>3-1 標準添加回收率（醬油）</t>
        </is>
      </c>
    </row>
    <row r="4" ht="30" customHeight="1">
      <c r="A4" s="19" t="inlineStr">
        <is>
          <t>加標量 (ppm)</t>
        </is>
      </c>
      <c r="B4" s="27" t="n">
        <v>200</v>
      </c>
      <c r="C4" s="16" t="inlineStr">
        <is>
          <t>回收率 % ＝（加標後讀數 − 加標前讀數）÷ 加標量 × 100。教學判準：90–110% 可接受。</t>
        </is>
      </c>
    </row>
    <row r="5">
      <c r="A5" s="19" t="inlineStr">
        <is>
          <t>可接受下限 (%)</t>
        </is>
      </c>
      <c r="B5" s="5" t="n">
        <v>90</v>
      </c>
    </row>
    <row r="6">
      <c r="A6" s="19" t="inlineStr">
        <is>
          <t>可接受上限 (%)</t>
        </is>
      </c>
      <c r="B6" s="5" t="n">
        <v>110</v>
      </c>
    </row>
    <row r="8" ht="30" customHeight="1">
      <c r="A8" s="9" t="inlineStr">
        <is>
          <t>組別</t>
        </is>
      </c>
      <c r="B8" s="9" t="inlineStr">
        <is>
          <t>加標前 (ppm)</t>
        </is>
      </c>
      <c r="C8" s="9" t="inlineStr">
        <is>
          <t>加標後 (ppm)</t>
        </is>
      </c>
      <c r="D8" s="9" t="inlineStr">
        <is>
          <t>回收率 (%)</t>
        </is>
      </c>
      <c r="E8" s="9" t="inlineStr">
        <is>
          <t>判定</t>
        </is>
      </c>
      <c r="F8" s="9" t="inlineStr">
        <is>
          <t>原始數據 note</t>
        </is>
      </c>
    </row>
    <row r="9" ht="45" customHeight="1">
      <c r="A9" s="5" t="n">
        <v>1</v>
      </c>
      <c r="B9" s="31">
        <f>IF(COUNTIFS('1_原始數據'!$C$2:$C$1000,"std_addition_before_ppm",'1_原始數據'!$A$2:$A$1000,$A9)=0,"",AVERAGEIFS('1_原始數據'!$E$2:$E$1000,'1_原始數據'!$C$2:$C$1000,"std_addition_before_ppm",'1_原始數據'!$A$2:$A$1000,$A9))</f>
        <v/>
      </c>
      <c r="C9" s="31">
        <f>IF(COUNTIFS('1_原始數據'!$C$2:$C$1000,"std_addition_after_ppm",'1_原始數據'!$A$2:$A$1000,$A9)=0,"",AVERAGEIFS('1_原始數據'!$E$2:$E$1000,'1_原始數據'!$C$2:$C$1000,"std_addition_after_ppm",'1_原始數據'!$A$2:$A$1000,$A9))</f>
        <v/>
      </c>
      <c r="D9" s="23">
        <f>IF(OR(B9="",C9=""),"",(C9-B9)/$B$4*100)</f>
        <v/>
      </c>
      <c r="E9" s="13">
        <f>IF(D9="","",IF(AND(D9&gt;=$B$5,D9&lt;=$B$6),"合格","⚠ 不合格"))</f>
        <v/>
      </c>
      <c r="F9" s="34">
        <f t="array" ref="F9">IFERROR(INDEX('1_原始數據'!$H$2:$H$1000,MATCH(1,('1_原始數據'!$A$2:$A$1000=A9)*('1_原始數據'!$C$2:$C$1000="std_addition_after_ppm"),0))&amp;"","")</f>
        <v/>
      </c>
      <c r="L9" s="16" t="inlineStr">
        <is>
          <t>B、C 欄：AVERAGEIFS 依組別抓 std_addition_before_ppm／after_ppm。E 欄：IF(AND(回收率 ≥ 下限, 回收率 ≤ 上限), "合格", "不合格")。</t>
        </is>
      </c>
    </row>
    <row r="10" ht="45" customHeight="1">
      <c r="A10" s="5" t="n">
        <v>2</v>
      </c>
      <c r="B10" s="31">
        <f>IF(COUNTIFS('1_原始數據'!$C$2:$C$1000,"std_addition_before_ppm",'1_原始數據'!$A$2:$A$1000,$A10)=0,"",AVERAGEIFS('1_原始數據'!$E$2:$E$1000,'1_原始數據'!$C$2:$C$1000,"std_addition_before_ppm",'1_原始數據'!$A$2:$A$1000,$A10))</f>
        <v/>
      </c>
      <c r="C10" s="31">
        <f>IF(COUNTIFS('1_原始數據'!$C$2:$C$1000,"std_addition_after_ppm",'1_原始數據'!$A$2:$A$1000,$A10)=0,"",AVERAGEIFS('1_原始數據'!$E$2:$E$1000,'1_原始數據'!$C$2:$C$1000,"std_addition_after_ppm",'1_原始數據'!$A$2:$A$1000,$A10))</f>
        <v/>
      </c>
      <c r="D10" s="23">
        <f>IF(OR(B10="",C10=""),"",(C10-B10)/$B$4*100)</f>
        <v/>
      </c>
      <c r="E10" s="13">
        <f>IF(D10="","",IF(AND(D10&gt;=$B$5,D10&lt;=$B$6),"合格","⚠ 不合格"))</f>
        <v/>
      </c>
      <c r="F10" s="34">
        <f t="array" ref="F10">IFERROR(INDEX('1_原始數據'!$H$2:$H$1000,MATCH(1,('1_原始數據'!$A$2:$A$1000=A10)*('1_原始數據'!$C$2:$C$1000="std_addition_after_ppm"),0))&amp;"","")</f>
        <v/>
      </c>
      <c r="L10" s="16" t="inlineStr">
        <is>
          <t>F 欄把原始數據的 note 抓過來（陣列公式 INDEX＋MATCH）。回收率 &lt; 90% 常見原因：基質效應、加標體積量錯、電極反應慢沒等讀數穩定。</t>
        </is>
      </c>
    </row>
    <row r="11" ht="30" customHeight="1">
      <c r="A11" s="5" t="n">
        <v>3</v>
      </c>
      <c r="B11" s="31">
        <f>IF(COUNTIFS('1_原始數據'!$C$2:$C$1000,"std_addition_before_ppm",'1_原始數據'!$A$2:$A$1000,$A11)=0,"",AVERAGEIFS('1_原始數據'!$E$2:$E$1000,'1_原始數據'!$C$2:$C$1000,"std_addition_before_ppm",'1_原始數據'!$A$2:$A$1000,$A11))</f>
        <v/>
      </c>
      <c r="C11" s="31">
        <f>IF(COUNTIFS('1_原始數據'!$C$2:$C$1000,"std_addition_after_ppm",'1_原始數據'!$A$2:$A$1000,$A11)=0,"",AVERAGEIFS('1_原始數據'!$E$2:$E$1000,'1_原始數據'!$C$2:$C$1000,"std_addition_after_ppm",'1_原始數據'!$A$2:$A$1000,$A11))</f>
        <v/>
      </c>
      <c r="D11" s="23">
        <f>IF(OR(B11="",C11=""),"",(C11-B11)/$B$4*100)</f>
        <v/>
      </c>
      <c r="E11" s="13">
        <f>IF(D11="","",IF(AND(D11&gt;=$B$5,D11&lt;=$B$6),"合格","⚠ 不合格"))</f>
        <v/>
      </c>
      <c r="F11" s="34">
        <f t="array" ref="F11">IFERROR(INDEX('1_原始數據'!$H$2:$H$1000,MATCH(1,('1_原始數據'!$A$2:$A$1000=A11)*('1_原始數據'!$C$2:$C$1000="std_addition_after_ppm"),0))&amp;"","")</f>
        <v/>
      </c>
    </row>
    <row r="12" ht="30" customHeight="1">
      <c r="A12" s="5" t="n">
        <v>4</v>
      </c>
      <c r="B12" s="31">
        <f>IF(COUNTIFS('1_原始數據'!$C$2:$C$1000,"std_addition_before_ppm",'1_原始數據'!$A$2:$A$1000,$A12)=0,"",AVERAGEIFS('1_原始數據'!$E$2:$E$1000,'1_原始數據'!$C$2:$C$1000,"std_addition_before_ppm",'1_原始數據'!$A$2:$A$1000,$A12))</f>
        <v/>
      </c>
      <c r="C12" s="31">
        <f>IF(COUNTIFS('1_原始數據'!$C$2:$C$1000,"std_addition_after_ppm",'1_原始數據'!$A$2:$A$1000,$A12)=0,"",AVERAGEIFS('1_原始數據'!$E$2:$E$1000,'1_原始數據'!$C$2:$C$1000,"std_addition_after_ppm",'1_原始數據'!$A$2:$A$1000,$A12))</f>
        <v/>
      </c>
      <c r="D12" s="23">
        <f>IF(OR(B12="",C12=""),"",(C12-B12)/$B$4*100)</f>
        <v/>
      </c>
      <c r="E12" s="13">
        <f>IF(D12="","",IF(AND(D12&gt;=$B$5,D12&lt;=$B$6),"合格","⚠ 不合格"))</f>
        <v/>
      </c>
      <c r="F12" s="34">
        <f t="array" ref="F12">IFERROR(INDEX('1_原始數據'!$H$2:$H$1000,MATCH(1,('1_原始數據'!$A$2:$A$1000=A12)*('1_原始數據'!$C$2:$C$1000="std_addition_after_ppm"),0))&amp;"","")</f>
        <v/>
      </c>
    </row>
    <row r="13" ht="30" customHeight="1">
      <c r="A13" s="5" t="n">
        <v>5</v>
      </c>
      <c r="B13" s="31">
        <f>IF(COUNTIFS('1_原始數據'!$C$2:$C$1000,"std_addition_before_ppm",'1_原始數據'!$A$2:$A$1000,$A13)=0,"",AVERAGEIFS('1_原始數據'!$E$2:$E$1000,'1_原始數據'!$C$2:$C$1000,"std_addition_before_ppm",'1_原始數據'!$A$2:$A$1000,$A13))</f>
        <v/>
      </c>
      <c r="C13" s="31">
        <f>IF(COUNTIFS('1_原始數據'!$C$2:$C$1000,"std_addition_after_ppm",'1_原始數據'!$A$2:$A$1000,$A13)=0,"",AVERAGEIFS('1_原始數據'!$E$2:$E$1000,'1_原始數據'!$C$2:$C$1000,"std_addition_after_ppm",'1_原始數據'!$A$2:$A$1000,$A13))</f>
        <v/>
      </c>
      <c r="D13" s="23">
        <f>IF(OR(B13="",C13=""),"",(C13-B13)/$B$4*100)</f>
        <v/>
      </c>
      <c r="E13" s="13">
        <f>IF(D13="","",IF(AND(D13&gt;=$B$5,D13&lt;=$B$6),"合格","⚠ 不合格"))</f>
        <v/>
      </c>
      <c r="F13" s="34">
        <f t="array" ref="F13">IFERROR(INDEX('1_原始數據'!$H$2:$H$1000,MATCH(1,('1_原始數據'!$A$2:$A$1000=A13)*('1_原始數據'!$C$2:$C$1000="std_addition_after_ppm"),0))&amp;"","")</f>
        <v/>
      </c>
    </row>
    <row r="15">
      <c r="A15" s="3" t="inlineStr">
        <is>
          <t>練習計算區（練習題 1 用）</t>
        </is>
      </c>
    </row>
    <row r="16">
      <c r="A16" s="19" t="inlineStr">
        <is>
          <t>加標前 (ppm)</t>
        </is>
      </c>
      <c r="B16" s="27" t="n">
        <v>297.6</v>
      </c>
      <c r="C16" s="16" t="inlineStr">
        <is>
          <t>預設是第 1 組的數字（回收率 100.10%）。把黃色格子改成題目的數字即可。</t>
        </is>
      </c>
    </row>
    <row r="17">
      <c r="A17" s="19" t="inlineStr">
        <is>
          <t>加標後 (ppm)</t>
        </is>
      </c>
      <c r="B17" s="27" t="n">
        <v>497.8</v>
      </c>
    </row>
    <row r="18">
      <c r="A18" s="19" t="inlineStr">
        <is>
          <t>加標量 (ppm)</t>
        </is>
      </c>
      <c r="B18" s="27" t="n">
        <v>200</v>
      </c>
    </row>
    <row r="19">
      <c r="A19" s="19" t="inlineStr">
        <is>
          <t>回收率 (%)</t>
        </is>
      </c>
      <c r="B19" s="23">
        <f>(B17-B16)/B18*100</f>
        <v/>
      </c>
    </row>
    <row r="20">
      <c r="A20" s="19" t="inlineStr">
        <is>
          <t>判定</t>
        </is>
      </c>
      <c r="B20" s="13">
        <f>IF(AND(B19&gt;=$B$5,B19&lt;=$B$6),"合格","⚠ 不合格")</f>
        <v/>
      </c>
    </row>
    <row r="22">
      <c r="A22" s="3" t="inlineStr">
        <is>
          <t>3-2 飄移檢查（drift check）：每測約 10 個樣品重測一次 1000 ppm 標準液</t>
        </is>
      </c>
    </row>
    <row r="23">
      <c r="A23" s="19" t="inlineStr">
        <is>
          <t>標準液標稱值 (ppm)</t>
        </is>
      </c>
      <c r="B23" s="27" t="n">
        <v>1000</v>
      </c>
      <c r="C23" s="16" t="inlineStr">
        <is>
          <t>偏差 % ＝（讀數 − 標稱值）÷ 標稱值 × 100。超過 ±5% 就要重新校正電極，並回頭重測上一次合格之後的樣品。</t>
        </is>
      </c>
    </row>
    <row r="24">
      <c r="A24" s="19" t="inlineStr">
        <is>
          <t>容許偏差 ± (%)</t>
        </is>
      </c>
      <c r="B24" s="27" t="n">
        <v>5</v>
      </c>
    </row>
    <row r="25">
      <c r="H25" s="2" t="inlineStr">
        <is>
          <t>圖用輔助數據（容許線，自動計算）</t>
        </is>
      </c>
    </row>
    <row r="26" ht="30" customHeight="1">
      <c r="A26" s="9" t="inlineStr">
        <is>
          <t>第幾個樣品時</t>
        </is>
      </c>
      <c r="B26" s="9" t="inlineStr">
        <is>
          <t>讀數 (ppm)</t>
        </is>
      </c>
      <c r="C26" s="9" t="inlineStr">
        <is>
          <t>偏差 (%)</t>
        </is>
      </c>
      <c r="D26" s="9" t="inlineStr">
        <is>
          <t>判定</t>
        </is>
      </c>
      <c r="H26" s="9" t="inlineStr">
        <is>
          <t>圖：x</t>
        </is>
      </c>
      <c r="I26" s="9" t="inlineStr">
        <is>
          <t>+限</t>
        </is>
      </c>
      <c r="J26" s="9" t="inlineStr">
        <is>
          <t>−限</t>
        </is>
      </c>
      <c r="K26" s="9" t="inlineStr">
        <is>
          <t>0</t>
        </is>
      </c>
    </row>
    <row r="27" ht="45" customHeight="1">
      <c r="A27" s="5" t="n">
        <v>0</v>
      </c>
      <c r="B27" s="31">
        <f>IF(COUNTIFS('1_原始數據'!$C$2:$C$1000,"drift_check_ppm",'1_原始數據'!$D$2:$D$1000,$A27)=0,"",AVERAGEIFS('1_原始數據'!$E$2:$E$1000,'1_原始數據'!$C$2:$C$1000,"drift_check_ppm",'1_原始數據'!$D$2:$D$1000,$A27))</f>
        <v/>
      </c>
      <c r="C27" s="35">
        <f>IF(B27="","",(B27-$B$23)/$B$23*100)</f>
        <v/>
      </c>
      <c r="D27" s="13">
        <f>IF(C27="","",IF(ABS(C27)&gt;$B$24,"⚠ 超過，要重新校正","OK"))</f>
        <v/>
      </c>
      <c r="H27" s="25">
        <f>MIN(A27:A32)</f>
        <v/>
      </c>
      <c r="I27" s="31">
        <f>$B$24</f>
        <v/>
      </c>
      <c r="J27" s="31">
        <f>-$B$24</f>
        <v/>
      </c>
      <c r="K27" s="25">
        <f>0</f>
        <v/>
      </c>
      <c r="L27" s="16" t="inlineStr">
        <is>
          <t>B 欄：AVERAGEIFS(value, item,"drift_check_ppm", rep, A 欄)。原始數據裡 rep 就是「第幾個樣品時重測」。重測次數不同：在表格中間插入列再改 A 欄（圖會跟著更新）。</t>
        </is>
      </c>
    </row>
    <row r="28" ht="60" customHeight="1">
      <c r="A28" s="5" t="n">
        <v>10</v>
      </c>
      <c r="B28" s="31">
        <f>IF(COUNTIFS('1_原始數據'!$C$2:$C$1000,"drift_check_ppm",'1_原始數據'!$D$2:$D$1000,$A28)=0,"",AVERAGEIFS('1_原始數據'!$E$2:$E$1000,'1_原始數據'!$C$2:$C$1000,"drift_check_ppm",'1_原始數據'!$D$2:$D$1000,$A28))</f>
        <v/>
      </c>
      <c r="C28" s="35">
        <f>IF(B28="","",(B28-$B$23)/$B$23*100)</f>
        <v/>
      </c>
      <c r="D28" s="13">
        <f>IF(C28="","",IF(ABS(C28)&gt;$B$24,"⚠ 超過，要重新校正","OK"))</f>
        <v/>
      </c>
      <c r="H28" s="25">
        <f>MAX(A27:A32)</f>
        <v/>
      </c>
      <c r="I28" s="31">
        <f>$B$24</f>
        <v/>
      </c>
      <c r="J28" s="31">
        <f>-$B$24</f>
        <v/>
      </c>
      <c r="K28" s="25">
        <f>0</f>
        <v/>
      </c>
      <c r="L28" s="16" t="inlineStr">
        <is>
          <t>看圖：藍線是每次重測的偏差；兩條虛線是 ±5%。超出虛線的那一點（本範例第 40 個樣品，+6.1%）代表電極飄移了：第 30～40 個樣品的結果不可信，要重新校正後重測。</t>
        </is>
      </c>
    </row>
    <row r="29">
      <c r="A29" s="5" t="n">
        <v>20</v>
      </c>
      <c r="B29" s="31">
        <f>IF(COUNTIFS('1_原始數據'!$C$2:$C$1000,"drift_check_ppm",'1_原始數據'!$D$2:$D$1000,$A29)=0,"",AVERAGEIFS('1_原始數據'!$E$2:$E$1000,'1_原始數據'!$C$2:$C$1000,"drift_check_ppm",'1_原始數據'!$D$2:$D$1000,$A29))</f>
        <v/>
      </c>
      <c r="C29" s="35">
        <f>IF(B29="","",(B29-$B$23)/$B$23*100)</f>
        <v/>
      </c>
      <c r="D29" s="13">
        <f>IF(C29="","",IF(ABS(C29)&gt;$B$24,"⚠ 超過，要重新校正","OK"))</f>
        <v/>
      </c>
    </row>
    <row r="30">
      <c r="A30" s="5" t="n">
        <v>30</v>
      </c>
      <c r="B30" s="31">
        <f>IF(COUNTIFS('1_原始數據'!$C$2:$C$1000,"drift_check_ppm",'1_原始數據'!$D$2:$D$1000,$A30)=0,"",AVERAGEIFS('1_原始數據'!$E$2:$E$1000,'1_原始數據'!$C$2:$C$1000,"drift_check_ppm",'1_原始數據'!$D$2:$D$1000,$A30))</f>
        <v/>
      </c>
      <c r="C30" s="35">
        <f>IF(B30="","",(B30-$B$23)/$B$23*100)</f>
        <v/>
      </c>
      <c r="D30" s="13">
        <f>IF(C30="","",IF(ABS(C30)&gt;$B$24,"⚠ 超過，要重新校正","OK"))</f>
        <v/>
      </c>
    </row>
    <row r="31">
      <c r="A31" s="5" t="n">
        <v>40</v>
      </c>
      <c r="B31" s="31">
        <f>IF(COUNTIFS('1_原始數據'!$C$2:$C$1000,"drift_check_ppm",'1_原始數據'!$D$2:$D$1000,$A31)=0,"",AVERAGEIFS('1_原始數據'!$E$2:$E$1000,'1_原始數據'!$C$2:$C$1000,"drift_check_ppm",'1_原始數據'!$D$2:$D$1000,$A31))</f>
        <v/>
      </c>
      <c r="C31" s="35">
        <f>IF(B31="","",(B31-$B$23)/$B$23*100)</f>
        <v/>
      </c>
      <c r="D31" s="13">
        <f>IF(C31="","",IF(ABS(C31)&gt;$B$24,"⚠ 超過，要重新校正","OK"))</f>
        <v/>
      </c>
    </row>
    <row r="32">
      <c r="A32" s="5" t="n">
        <v>50</v>
      </c>
      <c r="B32" s="31">
        <f>IF(COUNTIFS('1_原始數據'!$C$2:$C$1000,"drift_check_ppm",'1_原始數據'!$D$2:$D$1000,$A32)=0,"",AVERAGEIFS('1_原始數據'!$E$2:$E$1000,'1_原始數據'!$C$2:$C$1000,"drift_check_ppm",'1_原始數據'!$D$2:$D$1000,$A32))</f>
        <v/>
      </c>
      <c r="C32" s="35">
        <f>IF(B32="","",(B32-$B$23)/$B$23*100)</f>
        <v/>
      </c>
      <c r="D32" s="13">
        <f>IF(C32="","",IF(ABS(C32)&gt;$B$24,"⚠ 超過，要重新校正","OK"))</f>
        <v/>
      </c>
    </row>
    <row r="55">
      <c r="A55" s="3" t="inlineStr">
        <is>
          <t>3-3（選用）兩點 Nernst 斜率：電極健康檢查</t>
        </is>
      </c>
    </row>
    <row r="56">
      <c r="A56" s="19" t="inlineStr">
        <is>
          <t>低濃度標準液 (ppm)</t>
        </is>
      </c>
      <c r="B56" s="28" t="n">
        <v>100</v>
      </c>
      <c r="C56" s="5" t="inlineStr">
        <is>
          <t>std_100ppm</t>
        </is>
      </c>
      <c r="D56" s="16" t="inlineStr">
        <is>
          <t>C 欄是原始數據 sample 欄的名稱。斜率 ＝（mV₂ − mV₁）÷（log₁₀C₂ − log₁₀C₁）。濃度差 10 倍時，分母剛好是 1。</t>
        </is>
      </c>
    </row>
    <row r="57">
      <c r="A57" s="19" t="inlineStr">
        <is>
          <t>高濃度標準液 (ppm)</t>
        </is>
      </c>
      <c r="B57" s="28" t="n">
        <v>1000</v>
      </c>
      <c r="C57" s="5" t="inlineStr">
        <is>
          <t>std_1000ppm</t>
        </is>
      </c>
    </row>
    <row r="58">
      <c r="A58" s="19" t="inlineStr">
        <is>
          <t>理論斜率 (mV/decade, 25 °C)</t>
        </is>
      </c>
      <c r="B58" s="27" t="n">
        <v>59.2</v>
      </c>
    </row>
    <row r="60" ht="30" customHeight="1">
      <c r="A60" s="9" t="inlineStr">
        <is>
          <t>組別</t>
        </is>
      </c>
      <c r="B60" s="9" t="inlineStr">
        <is>
          <t>mV（低）</t>
        </is>
      </c>
      <c r="C60" s="9" t="inlineStr">
        <is>
          <t>mV（高）</t>
        </is>
      </c>
      <c r="D60" s="9" t="inlineStr">
        <is>
          <t>斜率 (mV/decade)</t>
        </is>
      </c>
      <c r="E60" s="9" t="inlineStr">
        <is>
          <t>與理論差 (%)</t>
        </is>
      </c>
    </row>
    <row r="61" ht="45" customHeight="1">
      <c r="A61" s="5" t="n">
        <v>1</v>
      </c>
      <c r="B61" s="31">
        <f>IF(COUNTIFS('1_原始數據'!$C$2:$C$1000,"nernst_mV",'1_原始數據'!$I$2:$I$1000,$C$56,'1_原始數據'!$A$2:$A$1000,$A61)=0,"",AVERAGEIFS('1_原始數據'!$E$2:$E$1000,'1_原始數據'!$C$2:$C$1000,"nernst_mV",'1_原始數據'!$I$2:$I$1000,$C$56,'1_原始數據'!$A$2:$A$1000,$A61))</f>
        <v/>
      </c>
      <c r="C61" s="31">
        <f>IF(COUNTIFS('1_原始數據'!$C$2:$C$1000,"nernst_mV",'1_原始數據'!$I$2:$I$1000,$C$57,'1_原始數據'!$A$2:$A$1000,$A61)=0,"",AVERAGEIFS('1_原始數據'!$E$2:$E$1000,'1_原始數據'!$C$2:$C$1000,"nernst_mV",'1_原始數據'!$I$2:$I$1000,$C$57,'1_原始數據'!$A$2:$A$1000,$A61))</f>
        <v/>
      </c>
      <c r="D61" s="36">
        <f>IF(OR(B61="",C61=""),"",(C61-B61)/(LOG10($B$57)-LOG10($B$56)))</f>
        <v/>
      </c>
      <c r="E61" s="37">
        <f>IF(D61="","",(D61-$B$58)/$B$58*100)</f>
        <v/>
      </c>
      <c r="L61" s="16" t="inlineStr">
        <is>
          <t>LOG10 是以 10 為底的對數。健康的 Na⁺ 電極在 25 °C 斜率約 59 mV/decade；明顯偏低（例如 &lt; 55）代表電極老化或膜被污染，要保養或更換。</t>
        </is>
      </c>
    </row>
    <row r="62">
      <c r="A62" s="5" t="n">
        <v>2</v>
      </c>
      <c r="B62" s="31">
        <f>IF(COUNTIFS('1_原始數據'!$C$2:$C$1000,"nernst_mV",'1_原始數據'!$I$2:$I$1000,$C$56,'1_原始數據'!$A$2:$A$1000,$A62)=0,"",AVERAGEIFS('1_原始數據'!$E$2:$E$1000,'1_原始數據'!$C$2:$C$1000,"nernst_mV",'1_原始數據'!$I$2:$I$1000,$C$56,'1_原始數據'!$A$2:$A$1000,$A62))</f>
        <v/>
      </c>
      <c r="C62" s="31">
        <f>IF(COUNTIFS('1_原始數據'!$C$2:$C$1000,"nernst_mV",'1_原始數據'!$I$2:$I$1000,$C$57,'1_原始數據'!$A$2:$A$1000,$A62)=0,"",AVERAGEIFS('1_原始數據'!$E$2:$E$1000,'1_原始數據'!$C$2:$C$1000,"nernst_mV",'1_原始數據'!$I$2:$I$1000,$C$57,'1_原始數據'!$A$2:$A$1000,$A62))</f>
        <v/>
      </c>
      <c r="D62" s="36">
        <f>IF(OR(B62="",C62=""),"",(C62-B62)/(LOG10($B$57)-LOG10($B$56)))</f>
        <v/>
      </c>
      <c r="E62" s="37">
        <f>IF(D62="","",(D62-$B$58)/$B$58*100)</f>
        <v/>
      </c>
    </row>
    <row r="63">
      <c r="A63" s="5" t="n">
        <v>3</v>
      </c>
      <c r="B63" s="31">
        <f>IF(COUNTIFS('1_原始數據'!$C$2:$C$1000,"nernst_mV",'1_原始數據'!$I$2:$I$1000,$C$56,'1_原始數據'!$A$2:$A$1000,$A63)=0,"",AVERAGEIFS('1_原始數據'!$E$2:$E$1000,'1_原始數據'!$C$2:$C$1000,"nernst_mV",'1_原始數據'!$I$2:$I$1000,$C$56,'1_原始數據'!$A$2:$A$1000,$A63))</f>
        <v/>
      </c>
      <c r="C63" s="31">
        <f>IF(COUNTIFS('1_原始數據'!$C$2:$C$1000,"nernst_mV",'1_原始數據'!$I$2:$I$1000,$C$57,'1_原始數據'!$A$2:$A$1000,$A63)=0,"",AVERAGEIFS('1_原始數據'!$E$2:$E$1000,'1_原始數據'!$C$2:$C$1000,"nernst_mV",'1_原始數據'!$I$2:$I$1000,$C$57,'1_原始數據'!$A$2:$A$1000,$A63))</f>
        <v/>
      </c>
      <c r="D63" s="36">
        <f>IF(OR(B63="",C63=""),"",(C63-B63)/(LOG10($B$57)-LOG10($B$56)))</f>
        <v/>
      </c>
      <c r="E63" s="37">
        <f>IF(D63="","",(D63-$B$58)/$B$58*100)</f>
        <v/>
      </c>
    </row>
    <row r="64">
      <c r="A64" s="5" t="n">
        <v>4</v>
      </c>
      <c r="B64" s="31">
        <f>IF(COUNTIFS('1_原始數據'!$C$2:$C$1000,"nernst_mV",'1_原始數據'!$I$2:$I$1000,$C$56,'1_原始數據'!$A$2:$A$1000,$A64)=0,"",AVERAGEIFS('1_原始數據'!$E$2:$E$1000,'1_原始數據'!$C$2:$C$1000,"nernst_mV",'1_原始數據'!$I$2:$I$1000,$C$56,'1_原始數據'!$A$2:$A$1000,$A64))</f>
        <v/>
      </c>
      <c r="C64" s="31">
        <f>IF(COUNTIFS('1_原始數據'!$C$2:$C$1000,"nernst_mV",'1_原始數據'!$I$2:$I$1000,$C$57,'1_原始數據'!$A$2:$A$1000,$A64)=0,"",AVERAGEIFS('1_原始數據'!$E$2:$E$1000,'1_原始數據'!$C$2:$C$1000,"nernst_mV",'1_原始數據'!$I$2:$I$1000,$C$57,'1_原始數據'!$A$2:$A$1000,$A64))</f>
        <v/>
      </c>
      <c r="D64" s="36">
        <f>IF(OR(B64="",C64=""),"",(C64-B64)/(LOG10($B$57)-LOG10($B$56)))</f>
        <v/>
      </c>
      <c r="E64" s="37">
        <f>IF(D64="","",(D64-$B$58)/$B$58*100)</f>
        <v/>
      </c>
    </row>
    <row r="65">
      <c r="A65" s="5" t="n">
        <v>5</v>
      </c>
      <c r="B65" s="31">
        <f>IF(COUNTIFS('1_原始數據'!$C$2:$C$1000,"nernst_mV",'1_原始數據'!$I$2:$I$1000,$C$56,'1_原始數據'!$A$2:$A$1000,$A65)=0,"",AVERAGEIFS('1_原始數據'!$E$2:$E$1000,'1_原始數據'!$C$2:$C$1000,"nernst_mV",'1_原始數據'!$I$2:$I$1000,$C$56,'1_原始數據'!$A$2:$A$1000,$A65))</f>
        <v/>
      </c>
      <c r="C65" s="31">
        <f>IF(COUNTIFS('1_原始數據'!$C$2:$C$1000,"nernst_mV",'1_原始數據'!$I$2:$I$1000,$C$57,'1_原始數據'!$A$2:$A$1000,$A65)=0,"",AVERAGEIFS('1_原始數據'!$E$2:$E$1000,'1_原始數據'!$C$2:$C$1000,"nernst_mV",'1_原始數據'!$I$2:$I$1000,$C$57,'1_原始數據'!$A$2:$A$1000,$A65))</f>
        <v/>
      </c>
      <c r="D65" s="36">
        <f>IF(OR(B65="",C65=""),"",(C65-B65)/(LOG10($B$57)-LOG10($B$56)))</f>
        <v/>
      </c>
      <c r="E65" s="37">
        <f>IF(D65="","",(D65-$B$58)/$B$58*100)</f>
        <v/>
      </c>
    </row>
    <row r="66">
      <c r="A66" s="38" t="inlineStr">
        <is>
          <t>班級平均</t>
        </is>
      </c>
      <c r="D66" s="36">
        <f>AVERAGE(D61:D65)</f>
        <v/>
      </c>
    </row>
  </sheetData>
  <mergeCells count="4">
    <mergeCell ref="C23:F24"/>
    <mergeCell ref="D56:F57"/>
    <mergeCell ref="C16:F16"/>
    <mergeCell ref="C4:F5"/>
  </mergeCells>
  <conditionalFormatting sqref="E9:E13">
    <cfRule type="expression" priority="1" dxfId="0">
      <formula>LEFT(E9,1)="⚠"</formula>
    </cfRule>
  </conditionalFormatting>
  <conditionalFormatting sqref="B20">
    <cfRule type="expression" priority="2" dxfId="0">
      <formula>LEFT(B20,1)="⚠"</formula>
    </cfRule>
  </conditionalFormatting>
  <conditionalFormatting sqref="D27:D32">
    <cfRule type="expression" priority="3" dxfId="0">
      <formula>LEFT(D27,1)="⚠"</formula>
    </cfRule>
  </conditionalFormatting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J3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2" customWidth="1" min="4" max="4"/>
    <col width="14" customWidth="1" min="5" max="5"/>
    <col width="14" customWidth="1" min="6" max="6"/>
    <col width="12" customWidth="1" min="7" max="7"/>
    <col width="16" customWidth="1" min="8" max="8"/>
    <col width="3" customWidth="1" min="9" max="9"/>
    <col width="62" customWidth="1" min="10" max="10"/>
  </cols>
  <sheetData>
    <row r="1">
      <c r="A1" s="1" t="inlineStr">
        <is>
          <t>步驟 4　量測鈉 vs 營養標示鈉（換成每 100 g 再比）</t>
        </is>
      </c>
    </row>
    <row r="2">
      <c r="A2" s="16" t="inlineStr">
        <is>
          <t>包裝標示是「每份」。先把標示換成每 100 g：標示 mg／份 ÷ 每份克數 × 100，才能跟量測值比。</t>
        </is>
      </c>
    </row>
    <row r="4" ht="45" customHeight="1">
      <c r="A4" s="9" t="inlineStr">
        <is>
          <t>產品</t>
        </is>
      </c>
      <c r="B4" s="9" t="inlineStr">
        <is>
          <t>中文</t>
        </is>
      </c>
      <c r="C4" s="9" t="inlineStr">
        <is>
          <t>標示鈉 (mg/份)</t>
        </is>
      </c>
      <c r="D4" s="9" t="inlineStr">
        <is>
          <t>每份 (g)</t>
        </is>
      </c>
      <c r="E4" s="9" t="inlineStr">
        <is>
          <t>標示 (mg/100 g)</t>
        </is>
      </c>
      <c r="F4" s="9" t="inlineStr">
        <is>
          <t>量測 (mg/100 g)</t>
        </is>
      </c>
      <c r="G4" s="9" t="inlineStr">
        <is>
          <t>差異 (%)</t>
        </is>
      </c>
      <c r="H4" s="9" t="inlineStr">
        <is>
          <t>量測低於標示？</t>
        </is>
      </c>
    </row>
    <row r="5" ht="32" customHeight="1">
      <c r="A5" s="13">
        <f>'3_鈉與NaCl'!A19</f>
        <v/>
      </c>
      <c r="B5" s="13">
        <f>'3_鈉與NaCl'!B19</f>
        <v/>
      </c>
      <c r="C5" s="5" t="n">
        <v>850</v>
      </c>
      <c r="D5" s="5" t="n">
        <v>15</v>
      </c>
      <c r="E5" s="31">
        <f>C5/D5*100</f>
        <v/>
      </c>
      <c r="F5" s="31">
        <f>'3_鈉與NaCl'!M19/'6_資料庫比對'!$H$10</f>
        <v/>
      </c>
      <c r="G5" s="39">
        <f>(F5-E5)/E5*100</f>
        <v/>
      </c>
      <c r="H5" s="13">
        <f>IF(F5&lt;E5,"是（低於標示）","否")</f>
        <v/>
      </c>
      <c r="J5" s="16" t="inlineStr">
        <is>
          <t>E＝C÷D×100；F 從「3_鈉與NaCl」M 欄抓（醬油再除以密度）；差異 %＝（量測 − 標示）÷ 標示 × 100。</t>
        </is>
      </c>
    </row>
    <row r="6" ht="60" customHeight="1">
      <c r="A6" s="13">
        <f>'3_鈉與NaCl'!A20</f>
        <v/>
      </c>
      <c r="B6" s="13">
        <f>'3_鈉與NaCl'!B20</f>
        <v/>
      </c>
      <c r="C6" s="5" t="n">
        <v>180</v>
      </c>
      <c r="D6" s="5" t="n">
        <v>30</v>
      </c>
      <c r="E6" s="31">
        <f>C6/D6*100</f>
        <v/>
      </c>
      <c r="F6" s="31">
        <f>'3_鈉與NaCl'!M20</f>
        <v/>
      </c>
      <c r="G6" s="39">
        <f>(F6-E6)/E6*100</f>
        <v/>
      </c>
      <c r="H6" s="13">
        <f>IF(F6&lt;E6,"是（低於標示）","否")</f>
        <v/>
      </c>
      <c r="J6" s="16" t="inlineStr">
        <is>
          <t>差異的可能來源：秤重或稀釋誤差、批次不同、標示四捨五入，以及非 NaCl 的含鈉成分（味精 MSG、小蘇打 NaHCO₃、苯甲酸鈉…）——它們都貢獻鈉，但不是鹽。量測低於標示不一定代表標示造假。</t>
        </is>
      </c>
    </row>
    <row r="7" ht="60" customHeight="1">
      <c r="A7" s="13">
        <f>'3_鈉與NaCl'!A21</f>
        <v/>
      </c>
      <c r="B7" s="13">
        <f>'3_鈉與NaCl'!B21</f>
        <v/>
      </c>
      <c r="C7" s="5" t="n">
        <v>750</v>
      </c>
      <c r="D7" s="5" t="n">
        <v>250</v>
      </c>
      <c r="E7" s="31">
        <f>C7/D7*100</f>
        <v/>
      </c>
      <c r="F7" s="31">
        <f>'3_鈉與NaCl'!M21</f>
        <v/>
      </c>
      <c r="G7" s="39">
        <f>(F7-E7)/E7*100</f>
        <v/>
      </c>
      <c r="H7" s="13">
        <f>IF(F7&lt;E7,"是（低於標示）","否")</f>
        <v/>
      </c>
      <c r="J7" s="16" t="inlineStr">
        <is>
          <t>醬油是液體，量測值是 mg/100 mL，標示是 mg/100 g，所以 F 欄先除以密度（1.18 g/mL，教學假設，在「6_資料庫比對」H10 可改）。沒除密度會算出比標示高約 6%，除了之後反而低約 10%——基準沒對齊，結論會相反。</t>
        </is>
      </c>
    </row>
    <row r="8">
      <c r="A8" s="13">
        <f>'3_鈉與NaCl'!A22</f>
        <v/>
      </c>
      <c r="B8" s="13">
        <f>'3_鈉與NaCl'!B22</f>
        <v/>
      </c>
      <c r="C8" s="5" t="n">
        <v>110</v>
      </c>
      <c r="D8" s="5" t="n">
        <v>500</v>
      </c>
      <c r="E8" s="31">
        <f>C8/D8*100</f>
        <v/>
      </c>
      <c r="F8" s="31">
        <f>'3_鈉與NaCl'!M22</f>
        <v/>
      </c>
      <c r="G8" s="39">
        <f>(F8-E8)/E8*100</f>
        <v/>
      </c>
      <c r="H8" s="13">
        <f>IF(F8&lt;E8,"是（低於標示）","否")</f>
        <v/>
      </c>
    </row>
    <row r="9">
      <c r="A9" s="13">
        <f>'3_鈉與NaCl'!A23</f>
        <v/>
      </c>
      <c r="B9" s="13">
        <f>'3_鈉與NaCl'!B23</f>
        <v/>
      </c>
      <c r="C9" s="5" t="n">
        <v>120</v>
      </c>
      <c r="D9" s="5" t="n">
        <v>25</v>
      </c>
      <c r="E9" s="31">
        <f>C9/D9*100</f>
        <v/>
      </c>
      <c r="F9" s="31">
        <f>'3_鈉與NaCl'!M23</f>
        <v/>
      </c>
      <c r="G9" s="39">
        <f>(F9-E9)/E9*100</f>
        <v/>
      </c>
      <c r="H9" s="13">
        <f>IF(F9&lt;E9,"是（低於標示）","否")</f>
        <v/>
      </c>
    </row>
    <row r="31" ht="32" customHeight="1">
      <c r="A31" s="16" t="inlineStr">
        <is>
          <t>縱軸是對數刻度（每一格差 10 倍），醬油和運動飲料差了 300 倍，才能畫在同一張圖上。兩根柱子高度越接近，量測越接近標示。</t>
        </is>
      </c>
    </row>
  </sheetData>
  <mergeCells count="2">
    <mergeCell ref="A31:H31"/>
    <mergeCell ref="A2:J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4E8F5A"/>
    <outlinePr summaryBelow="1" summaryRight="1"/>
    <pageSetUpPr fitToPage="1"/>
  </sheetPr>
  <dimension ref="A1:R47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9" customWidth="1" min="3" max="3"/>
    <col width="12" customWidth="1" min="4" max="4"/>
    <col width="10" customWidth="1" min="5" max="5"/>
    <col width="12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9" customWidth="1" min="15" max="15"/>
    <col width="44" customWidth="1" min="16" max="16"/>
    <col width="3" customWidth="1" min="17" max="17"/>
    <col width="85" customWidth="1" min="18" max="18"/>
  </cols>
  <sheetData>
    <row r="1">
      <c r="A1" s="1" t="inlineStr">
        <is>
          <t>步驟 5　用官方食物成分資料庫檢查：我的數據合理嗎？</t>
        </is>
      </c>
    </row>
    <row r="2" ht="45" customHeight="1">
      <c r="A2" s="16" t="inlineStr">
        <is>
          <t>資料庫 ≠ 標示 ≠ 實驗值。三者不一致時，先排除「自己算錯」（單位、稀釋倍數、乾／濕基、換算係數），再考慮「方法偏差」，最後才是「樣品本來就不一樣」。資料庫數字在「7_參考資料」（USDA FoodData Central 與 衛福部食藥署 食品營養成分資料庫）。</t>
        </is>
      </c>
    </row>
    <row r="4">
      <c r="A4" s="3" t="inlineStr">
        <is>
          <t>5-1 教學預設容許差（教學假設，不是資料庫數值）</t>
        </is>
      </c>
    </row>
    <row r="5">
      <c r="A5" s="9" t="inlineStr">
        <is>
          <t>營養素</t>
        </is>
      </c>
      <c r="B5" s="9" t="inlineStr">
        <is>
          <t>相對容許差</t>
        </is>
      </c>
      <c r="C5" s="9" t="inlineStr">
        <is>
          <t>絕對下限</t>
        </is>
      </c>
      <c r="D5" s="9" t="inlineStr">
        <is>
          <t>單位</t>
        </is>
      </c>
      <c r="F5" s="16" t="inlineStr">
        <is>
          <t>合理範圍怎麼來：每一筆資料庫值先算自己的區間——有 min–max 就用 min–max；有 SD 且 n ≥ 2 就用 平均 ± 2 SD；而且至少保留「數值 ± max(相對容許差 × 數值, 絕對下限)」。再把同一食品的各筆區間聯集起來＝合理範圍。每一筆的區間在「7_參考資料」T、U 欄。</t>
        </is>
      </c>
    </row>
    <row r="6" ht="20" customHeight="1">
      <c r="A6" s="19" t="inlineStr">
        <is>
          <t>water</t>
        </is>
      </c>
      <c r="B6" s="40" t="n">
        <v>0.1</v>
      </c>
      <c r="C6" s="26" t="n">
        <v>0.3</v>
      </c>
      <c r="D6" s="19" t="inlineStr">
        <is>
          <t>g/100 g</t>
        </is>
      </c>
    </row>
    <row r="7">
      <c r="A7" s="19" t="inlineStr">
        <is>
          <t>protein</t>
        </is>
      </c>
      <c r="B7" s="40" t="n">
        <v>0.1</v>
      </c>
      <c r="C7" s="26" t="n">
        <v>0.3</v>
      </c>
      <c r="D7" s="19" t="inlineStr">
        <is>
          <t>g/100 g</t>
        </is>
      </c>
    </row>
    <row r="8">
      <c r="A8" s="19" t="inlineStr">
        <is>
          <t>fat</t>
        </is>
      </c>
      <c r="B8" s="40" t="n">
        <v>0.15</v>
      </c>
      <c r="C8" s="26" t="n">
        <v>0.3</v>
      </c>
      <c r="D8" s="19" t="inlineStr">
        <is>
          <t>g/100 g</t>
        </is>
      </c>
    </row>
    <row r="9">
      <c r="A9" s="19" t="inlineStr">
        <is>
          <t>ash</t>
        </is>
      </c>
      <c r="B9" s="40" t="n">
        <v>0.15</v>
      </c>
      <c r="C9" s="26" t="n">
        <v>0.05</v>
      </c>
      <c r="D9" s="19" t="inlineStr">
        <is>
          <t>g/100 g</t>
        </is>
      </c>
    </row>
    <row r="10">
      <c r="A10" s="19" t="inlineStr">
        <is>
          <t>carbohydrate</t>
        </is>
      </c>
      <c r="B10" s="40" t="n">
        <v>0.1</v>
      </c>
      <c r="C10" s="26" t="n">
        <v>1</v>
      </c>
      <c r="D10" s="19" t="inlineStr">
        <is>
          <t>g/100 g</t>
        </is>
      </c>
      <c r="F10" s="19" t="inlineStr">
        <is>
          <t>醬油密度 (g/mL)</t>
        </is>
      </c>
      <c r="G10" s="21" t="n"/>
      <c r="H10" s="26" t="n">
        <v>1.18</v>
      </c>
      <c r="I10" s="16" t="inlineStr">
        <is>
          <t>教學假設（醬油約 1.15–1.20 g/mL），請實際秤 10.00 mL 醬油確認。運動飲料與沖泡湯密度接近 1。</t>
        </is>
      </c>
    </row>
    <row r="11">
      <c r="A11" s="19" t="inlineStr">
        <is>
          <t>sugars_total</t>
        </is>
      </c>
      <c r="B11" s="40" t="n">
        <v>0.15</v>
      </c>
      <c r="C11" s="26" t="n">
        <v>0.5</v>
      </c>
      <c r="D11" s="19" t="inlineStr">
        <is>
          <t>g/100 g</t>
        </is>
      </c>
    </row>
    <row r="12">
      <c r="A12" s="19" t="inlineStr">
        <is>
          <t>sodium</t>
        </is>
      </c>
      <c r="B12" s="40" t="n">
        <v>0.15</v>
      </c>
      <c r="C12" s="26" t="n">
        <v>5</v>
      </c>
      <c r="D12" s="19" t="inlineStr">
        <is>
          <t>mg/100 g</t>
        </is>
      </c>
    </row>
    <row r="14">
      <c r="A14" s="3" t="inlineStr">
        <is>
          <t>5-2 全班平均 vs 資料庫合理範圍</t>
        </is>
      </c>
    </row>
    <row r="15" ht="45" customHeight="1">
      <c r="A15" s="9" t="inlineStr">
        <is>
          <t>標籤</t>
        </is>
      </c>
      <c r="B15" s="9" t="inlineStr">
        <is>
          <t>food_key（資料庫品項）</t>
        </is>
      </c>
      <c r="C15" s="9" t="inlineStr">
        <is>
          <t>營養素</t>
        </is>
      </c>
      <c r="D15" s="9" t="inlineStr">
        <is>
          <t>報告值</t>
        </is>
      </c>
      <c r="E15" s="9" t="inlineStr">
        <is>
          <t>密度 (g/mL)</t>
        </is>
      </c>
      <c r="F15" s="9" t="inlineStr">
        <is>
          <t>實測（每 100 g，濕基）</t>
        </is>
      </c>
      <c r="G15" s="9" t="inlineStr">
        <is>
          <t>SD</t>
        </is>
      </c>
      <c r="H15" s="9" t="inlineStr">
        <is>
          <t>稀釋倍數 D</t>
        </is>
      </c>
      <c r="I15" s="9" t="inlineStr">
        <is>
          <t>參考下限</t>
        </is>
      </c>
      <c r="J15" s="9" t="inlineStr">
        <is>
          <t>參考上限</t>
        </is>
      </c>
      <c r="K15" s="9" t="inlineStr">
        <is>
          <t>參考中心</t>
        </is>
      </c>
      <c r="L15" s="9" t="inlineStr">
        <is>
          <t>實測 ÷ 中心</t>
        </is>
      </c>
      <c r="M15" s="9" t="inlineStr">
        <is>
          <t>判定</t>
        </is>
      </c>
      <c r="N15" s="9" t="inlineStr">
        <is>
          <t>涵蓋筆數</t>
        </is>
      </c>
      <c r="O15" s="9" t="inlineStr">
        <is>
          <t>資料庫水分 (g/100 g)</t>
        </is>
      </c>
      <c r="P15" s="9" t="inlineStr">
        <is>
          <t>⚑ 旗標（可能算錯的提示）</t>
        </is>
      </c>
    </row>
    <row r="16" ht="45" customHeight="1">
      <c r="A16" s="19" t="inlineStr">
        <is>
          <t>black_sugar</t>
        </is>
      </c>
      <c r="B16" s="5" t="inlineStr">
        <is>
          <t>brown_sugar</t>
        </is>
      </c>
      <c r="C16" s="19" t="inlineStr">
        <is>
          <t>ash</t>
        </is>
      </c>
      <c r="D16" s="41">
        <f>IFERROR(INDEX('2_灰分'!$D$42:$D$46,MATCH(A16,'2_灰分'!$A$42:$A$46,0)),"")</f>
        <v/>
      </c>
      <c r="E16" s="19" t="n"/>
      <c r="F16" s="32">
        <f>IF(D16="","",IF(ISNUMBER(E16),D16/E16,D16))</f>
        <v/>
      </c>
      <c r="G16" s="41">
        <f>IFERROR(INDEX('2_灰分'!$E$42:$E$46,MATCH(A16,'2_灰分'!$A$42:$A$46,0)),"")</f>
        <v/>
      </c>
      <c r="H16" s="19" t="n"/>
      <c r="I16" s="41">
        <f t="array" ref="I16">IF(COUNTIFS('7_參考資料'!$A$2:$A$335,B16,'7_參考資料'!$I$2:$I$335,C16)=0,"",MIN(IF(('7_參考資料'!$A$2:$A$335=B16)*('7_參考資料'!$I$2:$I$335=C16)*ISNUMBER('7_參考資料'!$T$2:$T$335),'7_參考資料'!$T$2:$T$335)))</f>
        <v/>
      </c>
      <c r="J16" s="41">
        <f t="array" ref="J16">IF(COUNTIFS('7_參考資料'!$A$2:$A$335,B16,'7_參考資料'!$I$2:$I$335,C16)=0,"",MAX(IF(('7_參考資料'!$A$2:$A$335=B16)*('7_參考資料'!$I$2:$I$335=C16)*ISNUMBER('7_參考資料'!$T$2:$T$335),'7_參考資料'!$U$2:$U$335)))</f>
        <v/>
      </c>
      <c r="K16" s="41">
        <f>IF(COUNTIFS('7_參考資料'!$A$2:$A$335,B16,'7_參考資料'!$I$2:$I$335,C16)=0,"",AVERAGEIFS('7_參考資料'!$J$2:$J$335,'7_參考資料'!$A$2:$A$335,B16,'7_參考資料'!$I$2:$I$335,C16))</f>
        <v/>
      </c>
      <c r="L16" s="41">
        <f>IF(OR(F16="",K16=""),"",IF(K16=0,"",F16/K16))</f>
        <v/>
      </c>
      <c r="M16" s="42">
        <f>IF(OR(F16="",I16=""),"",IF(F16&lt;I16,"偏低",IF(F16&gt;J16,"偏高","範圍內")))</f>
        <v/>
      </c>
      <c r="N16" s="13">
        <f>IF(OR(F16="",I16=""),"",COUNTIFS('7_參考資料'!$A$2:$A$335,B16,'7_參考資料'!$I$2:$I$335,C16,'7_參考資料'!$T$2:$T$335,"&lt;="&amp;F16,'7_參考資料'!$U$2:$U$335,"&gt;="&amp;F16)&amp;" / "&amp;COUNTIFS('7_參考資料'!$A$2:$A$335,B16,'7_參考資料'!$I$2:$I$335,C16))</f>
        <v/>
      </c>
      <c r="O16" s="14">
        <f>IFERROR(AVERAGEIFS('7_參考資料'!$J$2:$J$335,'7_參考資料'!$A$2:$A$335,B16,'7_參考資料'!$I$2:$I$335,"water"),"")</f>
        <v/>
      </c>
      <c r="P16" s="34">
        <f>IF(F16="","",IF(AND(M16&lt;&gt;"範圍內",ISNUMBER(L16),N(L16)&gt;0),IF(AND(ABS(ROUND(LOG10(L16),0))&gt;=1,ABS(ROUND(LOG10(L16),0))&lt;=3,ABS(LOG10(L16)-ROUND(LOG10(L16),0))&lt;LOG10(1.25)),"單位換算錯誤？實測約"&amp;IF(L16&gt;1,"高","低")&amp;" "&amp;10^ABS(ROUND(LOG10(L16),0))&amp;" 倍；",""),"")&amp;IF(AND(AND(M16&lt;&gt;"範圍內",ISNUMBER(L16),N(L16)&gt;0),C16="sodium"),IF(ABS(ABS(LOG10(L16))-LOG10('3_鈉與NaCl'!$C$7))&lt;LOG10(1.25),"Na 與 NaCl 混用？約 2.542 倍；",""),"")&amp;IF(AND(AND(M16&lt;&gt;"範圍內",ISNUMBER(L16),N(L16)&gt;0),ISNUMBER(H16),N(H16)&gt;1),IF(ABS(ABS(LOG10(L16))-LOG10(H16))&lt;LOG10(1.25),"稀釋倍數 "&amp;H16&amp;" 忘了乘或多乘？；",IF(AND(H16/10&lt;&gt;1,H16/10&lt;&gt;10,H16/10&lt;&gt;100,ABS(ABS(LOG10(L16))-LOG10(H16/10))&lt;LOG10(1.25)),"約 D/10 = "&amp;H16/10&amp;" 倍：忘了 ×D 並 ÷10 換成每 100 g？；","")),"")&amp;IF(AND(ISNUMBER(O16),N(O16)&gt;=3,ISNUMBER(K16),N(K16)&gt;0),IF(AND(ABS(F16/(K16/(1-O16/100))-1)&lt;0.05,ABS(F16/K16-1)&gt;0.08),"基準不一致？接近乾基參考值 "&amp;TEXT((K16/(1-O16/100)),"0.00")&amp;"（資料庫是濕基）；",""),""))</f>
        <v/>
      </c>
      <c r="R16" s="16" t="inlineStr">
        <is>
          <t>A 欄是本檔的樣品名稱（黃色 B 欄是對應的資料庫品項，可改）。D＝報告值：灰分來自「2_灰分」的全班平均，鈉來自「3_鈉與NaCl」M 欄。</t>
        </is>
      </c>
    </row>
    <row r="17" ht="45" customHeight="1">
      <c r="A17" s="19" t="inlineStr">
        <is>
          <t>white_sugar</t>
        </is>
      </c>
      <c r="B17" s="5" t="inlineStr">
        <is>
          <t>white_sugar</t>
        </is>
      </c>
      <c r="C17" s="19" t="inlineStr">
        <is>
          <t>ash</t>
        </is>
      </c>
      <c r="D17" s="41">
        <f>IFERROR(INDEX('2_灰分'!$D$42:$D$46,MATCH(A17,'2_灰分'!$A$42:$A$46,0)),"")</f>
        <v/>
      </c>
      <c r="E17" s="19" t="n"/>
      <c r="F17" s="32">
        <f>IF(D17="","",IF(ISNUMBER(E17),D17/E17,D17))</f>
        <v/>
      </c>
      <c r="G17" s="41">
        <f>IFERROR(INDEX('2_灰分'!$E$42:$E$46,MATCH(A17,'2_灰分'!$A$42:$A$46,0)),"")</f>
        <v/>
      </c>
      <c r="H17" s="19" t="n"/>
      <c r="I17" s="41">
        <f t="array" ref="I17">IF(COUNTIFS('7_參考資料'!$A$2:$A$335,B17,'7_參考資料'!$I$2:$I$335,C17)=0,"",MIN(IF(('7_參考資料'!$A$2:$A$335=B17)*('7_參考資料'!$I$2:$I$335=C17)*ISNUMBER('7_參考資料'!$T$2:$T$335),'7_參考資料'!$T$2:$T$335)))</f>
        <v/>
      </c>
      <c r="J17" s="41">
        <f t="array" ref="J17">IF(COUNTIFS('7_參考資料'!$A$2:$A$335,B17,'7_參考資料'!$I$2:$I$335,C17)=0,"",MAX(IF(('7_參考資料'!$A$2:$A$335=B17)*('7_參考資料'!$I$2:$I$335=C17)*ISNUMBER('7_參考資料'!$T$2:$T$335),'7_參考資料'!$U$2:$U$335)))</f>
        <v/>
      </c>
      <c r="K17" s="41">
        <f>IF(COUNTIFS('7_參考資料'!$A$2:$A$335,B17,'7_參考資料'!$I$2:$I$335,C17)=0,"",AVERAGEIFS('7_參考資料'!$J$2:$J$335,'7_參考資料'!$A$2:$A$335,B17,'7_參考資料'!$I$2:$I$335,C17))</f>
        <v/>
      </c>
      <c r="L17" s="41">
        <f>IF(OR(F17="",K17=""),"",IF(K17=0,"",F17/K17))</f>
        <v/>
      </c>
      <c r="M17" s="42">
        <f>IF(OR(F17="",I17=""),"",IF(F17&lt;I17,"偏低",IF(F17&gt;J17,"偏高","範圍內")))</f>
        <v/>
      </c>
      <c r="N17" s="13">
        <f>IF(OR(F17="",I17=""),"",COUNTIFS('7_參考資料'!$A$2:$A$335,B17,'7_參考資料'!$I$2:$I$335,C17,'7_參考資料'!$T$2:$T$335,"&lt;="&amp;F17,'7_參考資料'!$U$2:$U$335,"&gt;="&amp;F17)&amp;" / "&amp;COUNTIFS('7_參考資料'!$A$2:$A$335,B17,'7_參考資料'!$I$2:$I$335,C17))</f>
        <v/>
      </c>
      <c r="O17" s="14">
        <f>IFERROR(AVERAGEIFS('7_參考資料'!$J$2:$J$335,'7_參考資料'!$A$2:$A$335,B17,'7_參考資料'!$I$2:$I$335,"water"),"")</f>
        <v/>
      </c>
      <c r="P17" s="34">
        <f>IF(F17="","",IF(AND(M17&lt;&gt;"範圍內",ISNUMBER(L17),N(L17)&gt;0),IF(AND(ABS(ROUND(LOG10(L17),0))&gt;=1,ABS(ROUND(LOG10(L17),0))&lt;=3,ABS(LOG10(L17)-ROUND(LOG10(L17),0))&lt;LOG10(1.25)),"單位換算錯誤？實測約"&amp;IF(L17&gt;1,"高","低")&amp;" "&amp;10^ABS(ROUND(LOG10(L17),0))&amp;" 倍；",""),"")&amp;IF(AND(AND(M17&lt;&gt;"範圍內",ISNUMBER(L17),N(L17)&gt;0),C17="sodium"),IF(ABS(ABS(LOG10(L17))-LOG10('3_鈉與NaCl'!$C$7))&lt;LOG10(1.25),"Na 與 NaCl 混用？約 2.542 倍；",""),"")&amp;IF(AND(AND(M17&lt;&gt;"範圍內",ISNUMBER(L17),N(L17)&gt;0),ISNUMBER(H17),N(H17)&gt;1),IF(ABS(ABS(LOG10(L17))-LOG10(H17))&lt;LOG10(1.25),"稀釋倍數 "&amp;H17&amp;" 忘了乘或多乘？；",IF(AND(H17/10&lt;&gt;1,H17/10&lt;&gt;10,H17/10&lt;&gt;100,ABS(ABS(LOG10(L17))-LOG10(H17/10))&lt;LOG10(1.25)),"約 D/10 = "&amp;H17/10&amp;" 倍：忘了 ×D 並 ÷10 換成每 100 g？；","")),"")&amp;IF(AND(ISNUMBER(O17),N(O17)&gt;=3,ISNUMBER(K17),N(K17)&gt;0),IF(AND(ABS(F17/(K17/(1-O17/100))-1)&lt;0.05,ABS(F17/K17-1)&gt;0.08),"基準不一致？接近乾基參考值 "&amp;TEXT((K17/(1-O17/100)),"0.00")&amp;"（資料庫是濕基）；",""),""))</f>
        <v/>
      </c>
      <c r="R17" s="16" t="inlineStr">
        <is>
          <t>E＝密度：醬油的結果是 mg/100 mL，資料庫是 mg/100 g，所以 F ＝ D ÷ 密度。SD 也一樣除以密度。</t>
        </is>
      </c>
    </row>
    <row r="18" ht="45" customHeight="1">
      <c r="A18" s="19" t="inlineStr">
        <is>
          <t>brown_rice</t>
        </is>
      </c>
      <c r="B18" s="5" t="inlineStr">
        <is>
          <t>brown_rice</t>
        </is>
      </c>
      <c r="C18" s="19" t="inlineStr">
        <is>
          <t>ash</t>
        </is>
      </c>
      <c r="D18" s="41">
        <f>IFERROR(INDEX('2_灰分'!$D$42:$D$46,MATCH(A18,'2_灰分'!$A$42:$A$46,0)),"")</f>
        <v/>
      </c>
      <c r="E18" s="19" t="n"/>
      <c r="F18" s="32">
        <f>IF(D18="","",IF(ISNUMBER(E18),D18/E18,D18))</f>
        <v/>
      </c>
      <c r="G18" s="41">
        <f>IFERROR(INDEX('2_灰分'!$E$42:$E$46,MATCH(A18,'2_灰分'!$A$42:$A$46,0)),"")</f>
        <v/>
      </c>
      <c r="H18" s="19" t="n"/>
      <c r="I18" s="41">
        <f t="array" ref="I18">IF(COUNTIFS('7_參考資料'!$A$2:$A$335,B18,'7_參考資料'!$I$2:$I$335,C18)=0,"",MIN(IF(('7_參考資料'!$A$2:$A$335=B18)*('7_參考資料'!$I$2:$I$335=C18)*ISNUMBER('7_參考資料'!$T$2:$T$335),'7_參考資料'!$T$2:$T$335)))</f>
        <v/>
      </c>
      <c r="J18" s="41">
        <f t="array" ref="J18">IF(COUNTIFS('7_參考資料'!$A$2:$A$335,B18,'7_參考資料'!$I$2:$I$335,C18)=0,"",MAX(IF(('7_參考資料'!$A$2:$A$335=B18)*('7_參考資料'!$I$2:$I$335=C18)*ISNUMBER('7_參考資料'!$T$2:$T$335),'7_參考資料'!$U$2:$U$335)))</f>
        <v/>
      </c>
      <c r="K18" s="41">
        <f>IF(COUNTIFS('7_參考資料'!$A$2:$A$335,B18,'7_參考資料'!$I$2:$I$335,C18)=0,"",AVERAGEIFS('7_參考資料'!$J$2:$J$335,'7_參考資料'!$A$2:$A$335,B18,'7_參考資料'!$I$2:$I$335,C18))</f>
        <v/>
      </c>
      <c r="L18" s="41">
        <f>IF(OR(F18="",K18=""),"",IF(K18=0,"",F18/K18))</f>
        <v/>
      </c>
      <c r="M18" s="42">
        <f>IF(OR(F18="",I18=""),"",IF(F18&lt;I18,"偏低",IF(F18&gt;J18,"偏高","範圍內")))</f>
        <v/>
      </c>
      <c r="N18" s="13">
        <f>IF(OR(F18="",I18=""),"",COUNTIFS('7_參考資料'!$A$2:$A$335,B18,'7_參考資料'!$I$2:$I$335,C18,'7_參考資料'!$T$2:$T$335,"&lt;="&amp;F18,'7_參考資料'!$U$2:$U$335,"&gt;="&amp;F18)&amp;" / "&amp;COUNTIFS('7_參考資料'!$A$2:$A$335,B18,'7_參考資料'!$I$2:$I$335,C18))</f>
        <v/>
      </c>
      <c r="O18" s="14">
        <f>IFERROR(AVERAGEIFS('7_參考資料'!$J$2:$J$335,'7_參考資料'!$A$2:$A$335,B18,'7_參考資料'!$I$2:$I$335,"water"),"")</f>
        <v/>
      </c>
      <c r="P18" s="34">
        <f>IF(F18="","",IF(AND(M18&lt;&gt;"範圍內",ISNUMBER(L18),N(L18)&gt;0),IF(AND(ABS(ROUND(LOG10(L18),0))&gt;=1,ABS(ROUND(LOG10(L18),0))&lt;=3,ABS(LOG10(L18)-ROUND(LOG10(L18),0))&lt;LOG10(1.25)),"單位換算錯誤？實測約"&amp;IF(L18&gt;1,"高","低")&amp;" "&amp;10^ABS(ROUND(LOG10(L18),0))&amp;" 倍；",""),"")&amp;IF(AND(AND(M18&lt;&gt;"範圍內",ISNUMBER(L18),N(L18)&gt;0),C18="sodium"),IF(ABS(ABS(LOG10(L18))-LOG10('3_鈉與NaCl'!$C$7))&lt;LOG10(1.25),"Na 與 NaCl 混用？約 2.542 倍；",""),"")&amp;IF(AND(AND(M18&lt;&gt;"範圍內",ISNUMBER(L18),N(L18)&gt;0),ISNUMBER(H18),N(H18)&gt;1),IF(ABS(ABS(LOG10(L18))-LOG10(H18))&lt;LOG10(1.25),"稀釋倍數 "&amp;H18&amp;" 忘了乘或多乘？；",IF(AND(H18/10&lt;&gt;1,H18/10&lt;&gt;10,H18/10&lt;&gt;100,ABS(ABS(LOG10(L18))-LOG10(H18/10))&lt;LOG10(1.25)),"約 D/10 = "&amp;H18/10&amp;" 倍：忘了 ×D 並 ÷10 換成每 100 g？；","")),"")&amp;IF(AND(ISNUMBER(O18),N(O18)&gt;=3,ISNUMBER(K18),N(K18)&gt;0),IF(AND(ABS(F18/(K18/(1-O18/100))-1)&lt;0.05,ABS(F18/K18-1)&gt;0.08),"基準不一致？接近乾基參考值 "&amp;TEXT((K18/(1-O18/100)),"0.00")&amp;"（資料庫是濕基）；",""),""))</f>
        <v/>
      </c>
      <c r="R18" s="16" t="inlineStr">
        <is>
          <t>I、J＝合理範圍：陣列公式 {=MIN(IF((品項=B)*(營養素=C), 每筆下限))}，就是在「7_參考資料」裡，只挑這個食品、這個營養素的列，取最小的下限／最大的上限。</t>
        </is>
      </c>
    </row>
    <row r="19" ht="45" customHeight="1">
      <c r="A19" s="19" t="inlineStr">
        <is>
          <t>polished_rice</t>
        </is>
      </c>
      <c r="B19" s="5" t="inlineStr">
        <is>
          <t>white_rice</t>
        </is>
      </c>
      <c r="C19" s="19" t="inlineStr">
        <is>
          <t>ash</t>
        </is>
      </c>
      <c r="D19" s="41">
        <f>IFERROR(INDEX('2_灰分'!$D$42:$D$46,MATCH(A19,'2_灰分'!$A$42:$A$46,0)),"")</f>
        <v/>
      </c>
      <c r="E19" s="19" t="n"/>
      <c r="F19" s="32">
        <f>IF(D19="","",IF(ISNUMBER(E19),D19/E19,D19))</f>
        <v/>
      </c>
      <c r="G19" s="41">
        <f>IFERROR(INDEX('2_灰分'!$E$42:$E$46,MATCH(A19,'2_灰分'!$A$42:$A$46,0)),"")</f>
        <v/>
      </c>
      <c r="H19" s="19" t="n"/>
      <c r="I19" s="41">
        <f t="array" ref="I19">IF(COUNTIFS('7_參考資料'!$A$2:$A$335,B19,'7_參考資料'!$I$2:$I$335,C19)=0,"",MIN(IF(('7_參考資料'!$A$2:$A$335=B19)*('7_參考資料'!$I$2:$I$335=C19)*ISNUMBER('7_參考資料'!$T$2:$T$335),'7_參考資料'!$T$2:$T$335)))</f>
        <v/>
      </c>
      <c r="J19" s="41">
        <f t="array" ref="J19">IF(COUNTIFS('7_參考資料'!$A$2:$A$335,B19,'7_參考資料'!$I$2:$I$335,C19)=0,"",MAX(IF(('7_參考資料'!$A$2:$A$335=B19)*('7_參考資料'!$I$2:$I$335=C19)*ISNUMBER('7_參考資料'!$T$2:$T$335),'7_參考資料'!$U$2:$U$335)))</f>
        <v/>
      </c>
      <c r="K19" s="41">
        <f>IF(COUNTIFS('7_參考資料'!$A$2:$A$335,B19,'7_參考資料'!$I$2:$I$335,C19)=0,"",AVERAGEIFS('7_參考資料'!$J$2:$J$335,'7_參考資料'!$A$2:$A$335,B19,'7_參考資料'!$I$2:$I$335,C19))</f>
        <v/>
      </c>
      <c r="L19" s="41">
        <f>IF(OR(F19="",K19=""),"",IF(K19=0,"",F19/K19))</f>
        <v/>
      </c>
      <c r="M19" s="42">
        <f>IF(OR(F19="",I19=""),"",IF(F19&lt;I19,"偏低",IF(F19&gt;J19,"偏高","範圍內")))</f>
        <v/>
      </c>
      <c r="N19" s="13">
        <f>IF(OR(F19="",I19=""),"",COUNTIFS('7_參考資料'!$A$2:$A$335,B19,'7_參考資料'!$I$2:$I$335,C19,'7_參考資料'!$T$2:$T$335,"&lt;="&amp;F19,'7_參考資料'!$U$2:$U$335,"&gt;="&amp;F19)&amp;" / "&amp;COUNTIFS('7_參考資料'!$A$2:$A$335,B19,'7_參考資料'!$I$2:$I$335,C19))</f>
        <v/>
      </c>
      <c r="O19" s="14">
        <f>IFERROR(AVERAGEIFS('7_參考資料'!$J$2:$J$335,'7_參考資料'!$A$2:$A$335,B19,'7_參考資料'!$I$2:$I$335,"water"),"")</f>
        <v/>
      </c>
      <c r="P19" s="34">
        <f>IF(F19="","",IF(AND(M19&lt;&gt;"範圍內",ISNUMBER(L19),N(L19)&gt;0),IF(AND(ABS(ROUND(LOG10(L19),0))&gt;=1,ABS(ROUND(LOG10(L19),0))&lt;=3,ABS(LOG10(L19)-ROUND(LOG10(L19),0))&lt;LOG10(1.25)),"單位換算錯誤？實測約"&amp;IF(L19&gt;1,"高","低")&amp;" "&amp;10^ABS(ROUND(LOG10(L19),0))&amp;" 倍；",""),"")&amp;IF(AND(AND(M19&lt;&gt;"範圍內",ISNUMBER(L19),N(L19)&gt;0),C19="sodium"),IF(ABS(ABS(LOG10(L19))-LOG10('3_鈉與NaCl'!$C$7))&lt;LOG10(1.25),"Na 與 NaCl 混用？約 2.542 倍；",""),"")&amp;IF(AND(AND(M19&lt;&gt;"範圍內",ISNUMBER(L19),N(L19)&gt;0),ISNUMBER(H19),N(H19)&gt;1),IF(ABS(ABS(LOG10(L19))-LOG10(H19))&lt;LOG10(1.25),"稀釋倍數 "&amp;H19&amp;" 忘了乘或多乘？；",IF(AND(H19/10&lt;&gt;1,H19/10&lt;&gt;10,H19/10&lt;&gt;100,ABS(ABS(LOG10(L19))-LOG10(H19/10))&lt;LOG10(1.25)),"約 D/10 = "&amp;H19/10&amp;" 倍：忘了 ×D 並 ÷10 換成每 100 g？；","")),"")&amp;IF(AND(ISNUMBER(O19),N(O19)&gt;=3,ISNUMBER(K19),N(K19)&gt;0),IF(AND(ABS(F19/(K19/(1-O19/100))-1)&lt;0.05,ABS(F19/K19-1)&gt;0.08),"基準不一致？接近乾基參考值 "&amp;TEXT((K19/(1-O19/100)),"0.00")&amp;"（資料庫是濕基）；",""),""))</f>
        <v/>
      </c>
      <c r="R19" s="16" t="inlineStr">
        <is>
          <t>K＝參考中心：各筆資料庫值的平均（AVERAGEIFS）。L＝實測 ÷ 中心，≈ 1 表示跟資料庫差不多。</t>
        </is>
      </c>
    </row>
    <row r="20" ht="45" customHeight="1">
      <c r="A20" s="19" t="inlineStr">
        <is>
          <t>milk_powder</t>
        </is>
      </c>
      <c r="B20" s="5" t="inlineStr">
        <is>
          <t>whole_milk_powder</t>
        </is>
      </c>
      <c r="C20" s="19" t="inlineStr">
        <is>
          <t>ash</t>
        </is>
      </c>
      <c r="D20" s="41">
        <f>IFERROR(INDEX('2_灰分'!$D$42:$D$46,MATCH(A20,'2_灰分'!$A$42:$A$46,0)),"")</f>
        <v/>
      </c>
      <c r="E20" s="19" t="n"/>
      <c r="F20" s="32">
        <f>IF(D20="","",IF(ISNUMBER(E20),D20/E20,D20))</f>
        <v/>
      </c>
      <c r="G20" s="41">
        <f>IFERROR(INDEX('2_灰分'!$E$42:$E$46,MATCH(A20,'2_灰分'!$A$42:$A$46,0)),"")</f>
        <v/>
      </c>
      <c r="H20" s="19" t="n"/>
      <c r="I20" s="41">
        <f t="array" ref="I20">IF(COUNTIFS('7_參考資料'!$A$2:$A$335,B20,'7_參考資料'!$I$2:$I$335,C20)=0,"",MIN(IF(('7_參考資料'!$A$2:$A$335=B20)*('7_參考資料'!$I$2:$I$335=C20)*ISNUMBER('7_參考資料'!$T$2:$T$335),'7_參考資料'!$T$2:$T$335)))</f>
        <v/>
      </c>
      <c r="J20" s="41">
        <f t="array" ref="J20">IF(COUNTIFS('7_參考資料'!$A$2:$A$335,B20,'7_參考資料'!$I$2:$I$335,C20)=0,"",MAX(IF(('7_參考資料'!$A$2:$A$335=B20)*('7_參考資料'!$I$2:$I$335=C20)*ISNUMBER('7_參考資料'!$T$2:$T$335),'7_參考資料'!$U$2:$U$335)))</f>
        <v/>
      </c>
      <c r="K20" s="41">
        <f>IF(COUNTIFS('7_參考資料'!$A$2:$A$335,B20,'7_參考資料'!$I$2:$I$335,C20)=0,"",AVERAGEIFS('7_參考資料'!$J$2:$J$335,'7_參考資料'!$A$2:$A$335,B20,'7_參考資料'!$I$2:$I$335,C20))</f>
        <v/>
      </c>
      <c r="L20" s="41">
        <f>IF(OR(F20="",K20=""),"",IF(K20=0,"",F20/K20))</f>
        <v/>
      </c>
      <c r="M20" s="42">
        <f>IF(OR(F20="",I20=""),"",IF(F20&lt;I20,"偏低",IF(F20&gt;J20,"偏高","範圍內")))</f>
        <v/>
      </c>
      <c r="N20" s="13">
        <f>IF(OR(F20="",I20=""),"",COUNTIFS('7_參考資料'!$A$2:$A$335,B20,'7_參考資料'!$I$2:$I$335,C20,'7_參考資料'!$T$2:$T$335,"&lt;="&amp;F20,'7_參考資料'!$U$2:$U$335,"&gt;="&amp;F20)&amp;" / "&amp;COUNTIFS('7_參考資料'!$A$2:$A$335,B20,'7_參考資料'!$I$2:$I$335,C20))</f>
        <v/>
      </c>
      <c r="O20" s="14">
        <f>IFERROR(AVERAGEIFS('7_參考資料'!$J$2:$J$335,'7_參考資料'!$A$2:$A$335,B20,'7_參考資料'!$I$2:$I$335,"water"),"")</f>
        <v/>
      </c>
      <c r="P20" s="34">
        <f>IF(F20="","",IF(AND(M20&lt;&gt;"範圍內",ISNUMBER(L20),N(L20)&gt;0),IF(AND(ABS(ROUND(LOG10(L20),0))&gt;=1,ABS(ROUND(LOG10(L20),0))&lt;=3,ABS(LOG10(L20)-ROUND(LOG10(L20),0))&lt;LOG10(1.25)),"單位換算錯誤？實測約"&amp;IF(L20&gt;1,"高","低")&amp;" "&amp;10^ABS(ROUND(LOG10(L20),0))&amp;" 倍；",""),"")&amp;IF(AND(AND(M20&lt;&gt;"範圍內",ISNUMBER(L20),N(L20)&gt;0),C20="sodium"),IF(ABS(ABS(LOG10(L20))-LOG10('3_鈉與NaCl'!$C$7))&lt;LOG10(1.25),"Na 與 NaCl 混用？約 2.542 倍；",""),"")&amp;IF(AND(AND(M20&lt;&gt;"範圍內",ISNUMBER(L20),N(L20)&gt;0),ISNUMBER(H20),N(H20)&gt;1),IF(ABS(ABS(LOG10(L20))-LOG10(H20))&lt;LOG10(1.25),"稀釋倍數 "&amp;H20&amp;" 忘了乘或多乘？；",IF(AND(H20/10&lt;&gt;1,H20/10&lt;&gt;10,H20/10&lt;&gt;100,ABS(ABS(LOG10(L20))-LOG10(H20/10))&lt;LOG10(1.25)),"約 D/10 = "&amp;H20/10&amp;" 倍：忘了 ×D 並 ÷10 換成每 100 g？；","")),"")&amp;IF(AND(ISNUMBER(O20),N(O20)&gt;=3,ISNUMBER(K20),N(K20)&gt;0),IF(AND(ABS(F20/(K20/(1-O20/100))-1)&lt;0.05,ABS(F20/K20-1)&gt;0.08),"基準不一致？接近乾基參考值 "&amp;TEXT((K20/(1-O20/100)),"0.00")&amp;"（資料庫是濕基）；",""),""))</f>
        <v/>
      </c>
      <c r="R20" s="16" t="inlineStr">
        <is>
          <t>M＝判定：比下限小是「偏低」、比上限大是「偏高」。N＝有幾筆資料庫值的區間涵蓋你的數字；若只有 1 筆撐住「範圍內」，解讀要保守。</t>
        </is>
      </c>
    </row>
    <row r="21" ht="45" customHeight="1">
      <c r="A21" s="19" t="inlineStr">
        <is>
          <t>soy_sauce</t>
        </is>
      </c>
      <c r="B21" s="5" t="inlineStr">
        <is>
          <t>soy_sauce</t>
        </is>
      </c>
      <c r="C21" s="19" t="inlineStr">
        <is>
          <t>sodium</t>
        </is>
      </c>
      <c r="D21" s="41">
        <f>IFERROR(INDEX('3_鈉與NaCl'!$M$19:$M$23,MATCH(A21,'3_鈉與NaCl'!$A$19:$A$23,0)),"")</f>
        <v/>
      </c>
      <c r="E21" s="14">
        <f>'6_資料庫比對'!$H$10</f>
        <v/>
      </c>
      <c r="F21" s="32">
        <f>IF(D21="","",IF(ISNUMBER(E21),D21/E21,D21))</f>
        <v/>
      </c>
      <c r="G21" s="41">
        <f>IFERROR(INDEX('3_鈉與NaCl'!$N$19:$N$23,MATCH(A21,'3_鈉與NaCl'!$A$19:$A$23,0))/IF(ISNUMBER(E21),E21,1),"")</f>
        <v/>
      </c>
      <c r="H21" s="25">
        <f>IFERROR(INDEX('3_鈉與NaCl'!$C$19:$C$23,MATCH(A21,'3_鈉與NaCl'!$A$19:$A$23,0)),"")</f>
        <v/>
      </c>
      <c r="I21" s="41">
        <f t="array" ref="I21">IF(COUNTIFS('7_參考資料'!$A$2:$A$335,B21,'7_參考資料'!$I$2:$I$335,C21)=0,"",MIN(IF(('7_參考資料'!$A$2:$A$335=B21)*('7_參考資料'!$I$2:$I$335=C21)*ISNUMBER('7_參考資料'!$T$2:$T$335),'7_參考資料'!$T$2:$T$335)))</f>
        <v/>
      </c>
      <c r="J21" s="41">
        <f t="array" ref="J21">IF(COUNTIFS('7_參考資料'!$A$2:$A$335,B21,'7_參考資料'!$I$2:$I$335,C21)=0,"",MAX(IF(('7_參考資料'!$A$2:$A$335=B21)*('7_參考資料'!$I$2:$I$335=C21)*ISNUMBER('7_參考資料'!$T$2:$T$335),'7_參考資料'!$U$2:$U$335)))</f>
        <v/>
      </c>
      <c r="K21" s="41">
        <f>IF(COUNTIFS('7_參考資料'!$A$2:$A$335,B21,'7_參考資料'!$I$2:$I$335,C21)=0,"",AVERAGEIFS('7_參考資料'!$J$2:$J$335,'7_參考資料'!$A$2:$A$335,B21,'7_參考資料'!$I$2:$I$335,C21))</f>
        <v/>
      </c>
      <c r="L21" s="41">
        <f>IF(OR(F21="",K21=""),"",IF(K21=0,"",F21/K21))</f>
        <v/>
      </c>
      <c r="M21" s="42">
        <f>IF(OR(F21="",I21=""),"",IF(F21&lt;I21,"偏低",IF(F21&gt;J21,"偏高","範圍內")))</f>
        <v/>
      </c>
      <c r="N21" s="13">
        <f>IF(OR(F21="",I21=""),"",COUNTIFS('7_參考資料'!$A$2:$A$335,B21,'7_參考資料'!$I$2:$I$335,C21,'7_參考資料'!$T$2:$T$335,"&lt;="&amp;F21,'7_參考資料'!$U$2:$U$335,"&gt;="&amp;F21)&amp;" / "&amp;COUNTIFS('7_參考資料'!$A$2:$A$335,B21,'7_參考資料'!$I$2:$I$335,C21))</f>
        <v/>
      </c>
      <c r="O21" s="14">
        <f>IFERROR(AVERAGEIFS('7_參考資料'!$J$2:$J$335,'7_參考資料'!$A$2:$A$335,B21,'7_參考資料'!$I$2:$I$335,"water"),"")</f>
        <v/>
      </c>
      <c r="P21" s="34">
        <f>IF(F21="","",IF(AND(M21&lt;&gt;"範圍內",ISNUMBER(L21),N(L21)&gt;0),IF(AND(ABS(ROUND(LOG10(L21),0))&gt;=1,ABS(ROUND(LOG10(L21),0))&lt;=3,ABS(LOG10(L21)-ROUND(LOG10(L21),0))&lt;LOG10(1.25)),"單位換算錯誤？實測約"&amp;IF(L21&gt;1,"高","低")&amp;" "&amp;10^ABS(ROUND(LOG10(L21),0))&amp;" 倍；",""),"")&amp;IF(AND(AND(M21&lt;&gt;"範圍內",ISNUMBER(L21),N(L21)&gt;0),C21="sodium"),IF(ABS(ABS(LOG10(L21))-LOG10('3_鈉與NaCl'!$C$7))&lt;LOG10(1.25),"Na 與 NaCl 混用？約 2.542 倍；",""),"")&amp;IF(AND(AND(M21&lt;&gt;"範圍內",ISNUMBER(L21),N(L21)&gt;0),ISNUMBER(H21),N(H21)&gt;1),IF(ABS(ABS(LOG10(L21))-LOG10(H21))&lt;LOG10(1.25),"稀釋倍數 "&amp;H21&amp;" 忘了乘或多乘？；",IF(AND(H21/10&lt;&gt;1,H21/10&lt;&gt;10,H21/10&lt;&gt;100,ABS(ABS(LOG10(L21))-LOG10(H21/10))&lt;LOG10(1.25)),"約 D/10 = "&amp;H21/10&amp;" 倍：忘了 ×D 並 ÷10 換成每 100 g？；","")),"")&amp;IF(AND(ISNUMBER(O21),N(O21)&gt;=3,ISNUMBER(K21),N(K21)&gt;0),IF(AND(ABS(F21/(K21/(1-O21/100))-1)&lt;0.05,ABS(F21/K21-1)&gt;0.08),"基準不一致？接近乾基參考值 "&amp;TEXT((K21/(1-O21/100)),"0.00")&amp;"（資料庫是濕基）；",""),""))</f>
        <v/>
      </c>
      <c r="R21" s="16" t="inlineStr">
        <is>
          <t>P＝旗標（只是提示，不是判決）：比值 ≈ 10、100、1000、2.542 或稀釋倍數，多半是單位／換算錯；數值剛好接近「乾基」參考值，多半是基準錯。</t>
        </is>
      </c>
    </row>
    <row r="22" ht="45" customHeight="1">
      <c r="A22" s="19" t="inlineStr">
        <is>
          <t>potato_chips</t>
        </is>
      </c>
      <c r="B22" s="5" t="inlineStr">
        <is>
          <t>potato_chips</t>
        </is>
      </c>
      <c r="C22" s="19" t="inlineStr">
        <is>
          <t>sodium</t>
        </is>
      </c>
      <c r="D22" s="41">
        <f>IFERROR(INDEX('3_鈉與NaCl'!$M$19:$M$23,MATCH(A22,'3_鈉與NaCl'!$A$19:$A$23,0)),"")</f>
        <v/>
      </c>
      <c r="E22" s="19" t="n"/>
      <c r="F22" s="32">
        <f>IF(D22="","",IF(ISNUMBER(E22),D22/E22,D22))</f>
        <v/>
      </c>
      <c r="G22" s="41">
        <f>IFERROR(INDEX('3_鈉與NaCl'!$N$19:$N$23,MATCH(A22,'3_鈉與NaCl'!$A$19:$A$23,0))/IF(ISNUMBER(E22),E22,1),"")</f>
        <v/>
      </c>
      <c r="H22" s="25">
        <f>IFERROR(INDEX('3_鈉與NaCl'!$C$19:$C$23,MATCH(A22,'3_鈉與NaCl'!$A$19:$A$23,0)),"")</f>
        <v/>
      </c>
      <c r="I22" s="41">
        <f t="array" ref="I22">IF(COUNTIFS('7_參考資料'!$A$2:$A$335,B22,'7_參考資料'!$I$2:$I$335,C22)=0,"",MIN(IF(('7_參考資料'!$A$2:$A$335=B22)*('7_參考資料'!$I$2:$I$335=C22)*ISNUMBER('7_參考資料'!$T$2:$T$335),'7_參考資料'!$T$2:$T$335)))</f>
        <v/>
      </c>
      <c r="J22" s="41">
        <f t="array" ref="J22">IF(COUNTIFS('7_參考資料'!$A$2:$A$335,B22,'7_參考資料'!$I$2:$I$335,C22)=0,"",MAX(IF(('7_參考資料'!$A$2:$A$335=B22)*('7_參考資料'!$I$2:$I$335=C22)*ISNUMBER('7_參考資料'!$T$2:$T$335),'7_參考資料'!$U$2:$U$335)))</f>
        <v/>
      </c>
      <c r="K22" s="41">
        <f>IF(COUNTIFS('7_參考資料'!$A$2:$A$335,B22,'7_參考資料'!$I$2:$I$335,C22)=0,"",AVERAGEIFS('7_參考資料'!$J$2:$J$335,'7_參考資料'!$A$2:$A$335,B22,'7_參考資料'!$I$2:$I$335,C22))</f>
        <v/>
      </c>
      <c r="L22" s="41">
        <f>IF(OR(F22="",K22=""),"",IF(K22=0,"",F22/K22))</f>
        <v/>
      </c>
      <c r="M22" s="42">
        <f>IF(OR(F22="",I22=""),"",IF(F22&lt;I22,"偏低",IF(F22&gt;J22,"偏高","範圍內")))</f>
        <v/>
      </c>
      <c r="N22" s="13">
        <f>IF(OR(F22="",I22=""),"",COUNTIFS('7_參考資料'!$A$2:$A$335,B22,'7_參考資料'!$I$2:$I$335,C22,'7_參考資料'!$T$2:$T$335,"&lt;="&amp;F22,'7_參考資料'!$U$2:$U$335,"&gt;="&amp;F22)&amp;" / "&amp;COUNTIFS('7_參考資料'!$A$2:$A$335,B22,'7_參考資料'!$I$2:$I$335,C22))</f>
        <v/>
      </c>
      <c r="O22" s="14">
        <f>IFERROR(AVERAGEIFS('7_參考資料'!$J$2:$J$335,'7_參考資料'!$A$2:$A$335,B22,'7_參考資料'!$I$2:$I$335,"water"),"")</f>
        <v/>
      </c>
      <c r="P22" s="34">
        <f>IF(F22="","",IF(AND(M22&lt;&gt;"範圍內",ISNUMBER(L22),N(L22)&gt;0),IF(AND(ABS(ROUND(LOG10(L22),0))&gt;=1,ABS(ROUND(LOG10(L22),0))&lt;=3,ABS(LOG10(L22)-ROUND(LOG10(L22),0))&lt;LOG10(1.25)),"單位換算錯誤？實測約"&amp;IF(L22&gt;1,"高","低")&amp;" "&amp;10^ABS(ROUND(LOG10(L22),0))&amp;" 倍；",""),"")&amp;IF(AND(AND(M22&lt;&gt;"範圍內",ISNUMBER(L22),N(L22)&gt;0),C22="sodium"),IF(ABS(ABS(LOG10(L22))-LOG10('3_鈉與NaCl'!$C$7))&lt;LOG10(1.25),"Na 與 NaCl 混用？約 2.542 倍；",""),"")&amp;IF(AND(AND(M22&lt;&gt;"範圍內",ISNUMBER(L22),N(L22)&gt;0),ISNUMBER(H22),N(H22)&gt;1),IF(ABS(ABS(LOG10(L22))-LOG10(H22))&lt;LOG10(1.25),"稀釋倍數 "&amp;H22&amp;" 忘了乘或多乘？；",IF(AND(H22/10&lt;&gt;1,H22/10&lt;&gt;10,H22/10&lt;&gt;100,ABS(ABS(LOG10(L22))-LOG10(H22/10))&lt;LOG10(1.25)),"約 D/10 = "&amp;H22/10&amp;" 倍：忘了 ×D 並 ÷10 換成每 100 g？；","")),"")&amp;IF(AND(ISNUMBER(O22),N(O22)&gt;=3,ISNUMBER(K22),N(K22)&gt;0),IF(AND(ABS(F22/(K22/(1-O22/100))-1)&lt;0.05,ABS(F22/K22-1)&gt;0.08),"基準不一致？接近乾基參考值 "&amp;TEXT((K22/(1-O22/100)),"0.00")&amp;"（資料庫是濕基）；",""),""))</f>
        <v/>
      </c>
      <c r="R22" s="16" t="inlineStr">
        <is>
          <t>即食湯要對應「沖泡後」的湯（soup_prepared），不能跟乾粉比；黑糖對應的 USDA brown sugar 是美式紅糖，不是台灣黑糖（match = closest）。</t>
        </is>
      </c>
    </row>
    <row r="23" ht="30" customHeight="1">
      <c r="A23" s="19" t="inlineStr">
        <is>
          <t>instant_soup</t>
        </is>
      </c>
      <c r="B23" s="5" t="inlineStr">
        <is>
          <t>soup_prepared</t>
        </is>
      </c>
      <c r="C23" s="19" t="inlineStr">
        <is>
          <t>sodium</t>
        </is>
      </c>
      <c r="D23" s="41">
        <f>IFERROR(INDEX('3_鈉與NaCl'!$M$19:$M$23,MATCH(A23,'3_鈉與NaCl'!$A$19:$A$23,0)),"")</f>
        <v/>
      </c>
      <c r="E23" s="19" t="n"/>
      <c r="F23" s="32">
        <f>IF(D23="","",IF(ISNUMBER(E23),D23/E23,D23))</f>
        <v/>
      </c>
      <c r="G23" s="41">
        <f>IFERROR(INDEX('3_鈉與NaCl'!$N$19:$N$23,MATCH(A23,'3_鈉與NaCl'!$A$19:$A$23,0))/IF(ISNUMBER(E23),E23,1),"")</f>
        <v/>
      </c>
      <c r="H23" s="25">
        <f>IFERROR(INDEX('3_鈉與NaCl'!$C$19:$C$23,MATCH(A23,'3_鈉與NaCl'!$A$19:$A$23,0)),"")</f>
        <v/>
      </c>
      <c r="I23" s="41">
        <f t="array" ref="I23">IF(COUNTIFS('7_參考資料'!$A$2:$A$335,B23,'7_參考資料'!$I$2:$I$335,C23)=0,"",MIN(IF(('7_參考資料'!$A$2:$A$335=B23)*('7_參考資料'!$I$2:$I$335=C23)*ISNUMBER('7_參考資料'!$T$2:$T$335),'7_參考資料'!$T$2:$T$335)))</f>
        <v/>
      </c>
      <c r="J23" s="41">
        <f t="array" ref="J23">IF(COUNTIFS('7_參考資料'!$A$2:$A$335,B23,'7_參考資料'!$I$2:$I$335,C23)=0,"",MAX(IF(('7_參考資料'!$A$2:$A$335=B23)*('7_參考資料'!$I$2:$I$335=C23)*ISNUMBER('7_參考資料'!$T$2:$T$335),'7_參考資料'!$U$2:$U$335)))</f>
        <v/>
      </c>
      <c r="K23" s="41">
        <f>IF(COUNTIFS('7_參考資料'!$A$2:$A$335,B23,'7_參考資料'!$I$2:$I$335,C23)=0,"",AVERAGEIFS('7_參考資料'!$J$2:$J$335,'7_參考資料'!$A$2:$A$335,B23,'7_參考資料'!$I$2:$I$335,C23))</f>
        <v/>
      </c>
      <c r="L23" s="41">
        <f>IF(OR(F23="",K23=""),"",IF(K23=0,"",F23/K23))</f>
        <v/>
      </c>
      <c r="M23" s="42">
        <f>IF(OR(F23="",I23=""),"",IF(F23&lt;I23,"偏低",IF(F23&gt;J23,"偏高","範圍內")))</f>
        <v/>
      </c>
      <c r="N23" s="13">
        <f>IF(OR(F23="",I23=""),"",COUNTIFS('7_參考資料'!$A$2:$A$335,B23,'7_參考資料'!$I$2:$I$335,C23,'7_參考資料'!$T$2:$T$335,"&lt;="&amp;F23,'7_參考資料'!$U$2:$U$335,"&gt;="&amp;F23)&amp;" / "&amp;COUNTIFS('7_參考資料'!$A$2:$A$335,B23,'7_參考資料'!$I$2:$I$335,C23))</f>
        <v/>
      </c>
      <c r="O23" s="14">
        <f>IFERROR(AVERAGEIFS('7_參考資料'!$J$2:$J$335,'7_參考資料'!$A$2:$A$335,B23,'7_參考資料'!$I$2:$I$335,"water"),"")</f>
        <v/>
      </c>
      <c r="P23" s="34">
        <f>IF(F23="","",IF(AND(M23&lt;&gt;"範圍內",ISNUMBER(L23),N(L23)&gt;0),IF(AND(ABS(ROUND(LOG10(L23),0))&gt;=1,ABS(ROUND(LOG10(L23),0))&lt;=3,ABS(LOG10(L23)-ROUND(LOG10(L23),0))&lt;LOG10(1.25)),"單位換算錯誤？實測約"&amp;IF(L23&gt;1,"高","低")&amp;" "&amp;10^ABS(ROUND(LOG10(L23),0))&amp;" 倍；",""),"")&amp;IF(AND(AND(M23&lt;&gt;"範圍內",ISNUMBER(L23),N(L23)&gt;0),C23="sodium"),IF(ABS(ABS(LOG10(L23))-LOG10('3_鈉與NaCl'!$C$7))&lt;LOG10(1.25),"Na 與 NaCl 混用？約 2.542 倍；",""),"")&amp;IF(AND(AND(M23&lt;&gt;"範圍內",ISNUMBER(L23),N(L23)&gt;0),ISNUMBER(H23),N(H23)&gt;1),IF(ABS(ABS(LOG10(L23))-LOG10(H23))&lt;LOG10(1.25),"稀釋倍數 "&amp;H23&amp;" 忘了乘或多乘？；",IF(AND(H23/10&lt;&gt;1,H23/10&lt;&gt;10,H23/10&lt;&gt;100,ABS(ABS(LOG10(L23))-LOG10(H23/10))&lt;LOG10(1.25)),"約 D/10 = "&amp;H23/10&amp;" 倍：忘了 ×D 並 ÷10 換成每 100 g？；","")),"")&amp;IF(AND(ISNUMBER(O23),N(O23)&gt;=3,ISNUMBER(K23),N(K23)&gt;0),IF(AND(ABS(F23/(K23/(1-O23/100))-1)&lt;0.05,ABS(F23/K23-1)&gt;0.08),"基準不一致？接近乾基參考值 "&amp;TEXT((K23/(1-O23/100)),"0.00")&amp;"（資料庫是濕基）；",""),""))</f>
        <v/>
      </c>
    </row>
    <row r="24" ht="30" customHeight="1">
      <c r="A24" s="19" t="inlineStr">
        <is>
          <t>sports_drink</t>
        </is>
      </c>
      <c r="B24" s="5" t="inlineStr">
        <is>
          <t>sports_drink</t>
        </is>
      </c>
      <c r="C24" s="19" t="inlineStr">
        <is>
          <t>sodium</t>
        </is>
      </c>
      <c r="D24" s="41">
        <f>IFERROR(INDEX('3_鈉與NaCl'!$M$19:$M$23,MATCH(A24,'3_鈉與NaCl'!$A$19:$A$23,0)),"")</f>
        <v/>
      </c>
      <c r="E24" s="19" t="n"/>
      <c r="F24" s="32">
        <f>IF(D24="","",IF(ISNUMBER(E24),D24/E24,D24))</f>
        <v/>
      </c>
      <c r="G24" s="41">
        <f>IFERROR(INDEX('3_鈉與NaCl'!$N$19:$N$23,MATCH(A24,'3_鈉與NaCl'!$A$19:$A$23,0))/IF(ISNUMBER(E24),E24,1),"")</f>
        <v/>
      </c>
      <c r="H24" s="25">
        <f>IFERROR(INDEX('3_鈉與NaCl'!$C$19:$C$23,MATCH(A24,'3_鈉與NaCl'!$A$19:$A$23,0)),"")</f>
        <v/>
      </c>
      <c r="I24" s="41">
        <f t="array" ref="I24">IF(COUNTIFS('7_參考資料'!$A$2:$A$335,B24,'7_參考資料'!$I$2:$I$335,C24)=0,"",MIN(IF(('7_參考資料'!$A$2:$A$335=B24)*('7_參考資料'!$I$2:$I$335=C24)*ISNUMBER('7_參考資料'!$T$2:$T$335),'7_參考資料'!$T$2:$T$335)))</f>
        <v/>
      </c>
      <c r="J24" s="41">
        <f t="array" ref="J24">IF(COUNTIFS('7_參考資料'!$A$2:$A$335,B24,'7_參考資料'!$I$2:$I$335,C24)=0,"",MAX(IF(('7_參考資料'!$A$2:$A$335=B24)*('7_參考資料'!$I$2:$I$335=C24)*ISNUMBER('7_參考資料'!$T$2:$T$335),'7_參考資料'!$U$2:$U$335)))</f>
        <v/>
      </c>
      <c r="K24" s="41">
        <f>IF(COUNTIFS('7_參考資料'!$A$2:$A$335,B24,'7_參考資料'!$I$2:$I$335,C24)=0,"",AVERAGEIFS('7_參考資料'!$J$2:$J$335,'7_參考資料'!$A$2:$A$335,B24,'7_參考資料'!$I$2:$I$335,C24))</f>
        <v/>
      </c>
      <c r="L24" s="41">
        <f>IF(OR(F24="",K24=""),"",IF(K24=0,"",F24/K24))</f>
        <v/>
      </c>
      <c r="M24" s="42">
        <f>IF(OR(F24="",I24=""),"",IF(F24&lt;I24,"偏低",IF(F24&gt;J24,"偏高","範圍內")))</f>
        <v/>
      </c>
      <c r="N24" s="13">
        <f>IF(OR(F24="",I24=""),"",COUNTIFS('7_參考資料'!$A$2:$A$335,B24,'7_參考資料'!$I$2:$I$335,C24,'7_參考資料'!$T$2:$T$335,"&lt;="&amp;F24,'7_參考資料'!$U$2:$U$335,"&gt;="&amp;F24)&amp;" / "&amp;COUNTIFS('7_參考資料'!$A$2:$A$335,B24,'7_參考資料'!$I$2:$I$335,C24))</f>
        <v/>
      </c>
      <c r="O24" s="14">
        <f>IFERROR(AVERAGEIFS('7_參考資料'!$J$2:$J$335,'7_參考資料'!$A$2:$A$335,B24,'7_參考資料'!$I$2:$I$335,"water"),"")</f>
        <v/>
      </c>
      <c r="P24" s="34">
        <f>IF(F24="","",IF(AND(M24&lt;&gt;"範圍內",ISNUMBER(L24),N(L24)&gt;0),IF(AND(ABS(ROUND(LOG10(L24),0))&gt;=1,ABS(ROUND(LOG10(L24),0))&lt;=3,ABS(LOG10(L24)-ROUND(LOG10(L24),0))&lt;LOG10(1.25)),"單位換算錯誤？實測約"&amp;IF(L24&gt;1,"高","低")&amp;" "&amp;10^ABS(ROUND(LOG10(L24),0))&amp;" 倍；",""),"")&amp;IF(AND(AND(M24&lt;&gt;"範圍內",ISNUMBER(L24),N(L24)&gt;0),C24="sodium"),IF(ABS(ABS(LOG10(L24))-LOG10('3_鈉與NaCl'!$C$7))&lt;LOG10(1.25),"Na 與 NaCl 混用？約 2.542 倍；",""),"")&amp;IF(AND(AND(M24&lt;&gt;"範圍內",ISNUMBER(L24),N(L24)&gt;0),ISNUMBER(H24),N(H24)&gt;1),IF(ABS(ABS(LOG10(L24))-LOG10(H24))&lt;LOG10(1.25),"稀釋倍數 "&amp;H24&amp;" 忘了乘或多乘？；",IF(AND(H24/10&lt;&gt;1,H24/10&lt;&gt;10,H24/10&lt;&gt;100,ABS(ABS(LOG10(L24))-LOG10(H24/10))&lt;LOG10(1.25)),"約 D/10 = "&amp;H24/10&amp;" 倍：忘了 ×D 並 ÷10 換成每 100 g？；","")),"")&amp;IF(AND(ISNUMBER(O24),N(O24)&gt;=3,ISNUMBER(K24),N(K24)&gt;0),IF(AND(ABS(F24/(K24/(1-O24/100))-1)&lt;0.05,ABS(F24/K24-1)&gt;0.08),"基準不一致？接近乾基參考值 "&amp;TEXT((K24/(1-O24/100)),"0.00")&amp;"（資料庫是濕基）；",""),""))</f>
        <v/>
      </c>
    </row>
    <row r="25" ht="30" customHeight="1">
      <c r="A25" s="19" t="inlineStr">
        <is>
          <t>milk_powder</t>
        </is>
      </c>
      <c r="B25" s="5" t="inlineStr">
        <is>
          <t>whole_milk_powder</t>
        </is>
      </c>
      <c r="C25" s="19" t="inlineStr">
        <is>
          <t>sodium</t>
        </is>
      </c>
      <c r="D25" s="41">
        <f>IFERROR(INDEX('3_鈉與NaCl'!$M$19:$M$23,MATCH(A25,'3_鈉與NaCl'!$A$19:$A$23,0)),"")</f>
        <v/>
      </c>
      <c r="E25" s="19" t="n"/>
      <c r="F25" s="32">
        <f>IF(D25="","",IF(ISNUMBER(E25),D25/E25,D25))</f>
        <v/>
      </c>
      <c r="G25" s="41">
        <f>IFERROR(INDEX('3_鈉與NaCl'!$N$19:$N$23,MATCH(A25,'3_鈉與NaCl'!$A$19:$A$23,0))/IF(ISNUMBER(E25),E25,1),"")</f>
        <v/>
      </c>
      <c r="H25" s="25">
        <f>IFERROR(INDEX('3_鈉與NaCl'!$C$19:$C$23,MATCH(A25,'3_鈉與NaCl'!$A$19:$A$23,0)),"")</f>
        <v/>
      </c>
      <c r="I25" s="41">
        <f t="array" ref="I25">IF(COUNTIFS('7_參考資料'!$A$2:$A$335,B25,'7_參考資料'!$I$2:$I$335,C25)=0,"",MIN(IF(('7_參考資料'!$A$2:$A$335=B25)*('7_參考資料'!$I$2:$I$335=C25)*ISNUMBER('7_參考資料'!$T$2:$T$335),'7_參考資料'!$T$2:$T$335)))</f>
        <v/>
      </c>
      <c r="J25" s="41">
        <f t="array" ref="J25">IF(COUNTIFS('7_參考資料'!$A$2:$A$335,B25,'7_參考資料'!$I$2:$I$335,C25)=0,"",MAX(IF(('7_參考資料'!$A$2:$A$335=B25)*('7_參考資料'!$I$2:$I$335=C25)*ISNUMBER('7_參考資料'!$T$2:$T$335),'7_參考資料'!$U$2:$U$335)))</f>
        <v/>
      </c>
      <c r="K25" s="41">
        <f>IF(COUNTIFS('7_參考資料'!$A$2:$A$335,B25,'7_參考資料'!$I$2:$I$335,C25)=0,"",AVERAGEIFS('7_參考資料'!$J$2:$J$335,'7_參考資料'!$A$2:$A$335,B25,'7_參考資料'!$I$2:$I$335,C25))</f>
        <v/>
      </c>
      <c r="L25" s="41">
        <f>IF(OR(F25="",K25=""),"",IF(K25=0,"",F25/K25))</f>
        <v/>
      </c>
      <c r="M25" s="42">
        <f>IF(OR(F25="",I25=""),"",IF(F25&lt;I25,"偏低",IF(F25&gt;J25,"偏高","範圍內")))</f>
        <v/>
      </c>
      <c r="N25" s="13">
        <f>IF(OR(F25="",I25=""),"",COUNTIFS('7_參考資料'!$A$2:$A$335,B25,'7_參考資料'!$I$2:$I$335,C25,'7_參考資料'!$T$2:$T$335,"&lt;="&amp;F25,'7_參考資料'!$U$2:$U$335,"&gt;="&amp;F25)&amp;" / "&amp;COUNTIFS('7_參考資料'!$A$2:$A$335,B25,'7_參考資料'!$I$2:$I$335,C25))</f>
        <v/>
      </c>
      <c r="O25" s="14">
        <f>IFERROR(AVERAGEIFS('7_參考資料'!$J$2:$J$335,'7_參考資料'!$A$2:$A$335,B25,'7_參考資料'!$I$2:$I$335,"water"),"")</f>
        <v/>
      </c>
      <c r="P25" s="34">
        <f>IF(F25="","",IF(AND(M25&lt;&gt;"範圍內",ISNUMBER(L25),N(L25)&gt;0),IF(AND(ABS(ROUND(LOG10(L25),0))&gt;=1,ABS(ROUND(LOG10(L25),0))&lt;=3,ABS(LOG10(L25)-ROUND(LOG10(L25),0))&lt;LOG10(1.25)),"單位換算錯誤？實測約"&amp;IF(L25&gt;1,"高","低")&amp;" "&amp;10^ABS(ROUND(LOG10(L25),0))&amp;" 倍；",""),"")&amp;IF(AND(AND(M25&lt;&gt;"範圍內",ISNUMBER(L25),N(L25)&gt;0),C25="sodium"),IF(ABS(ABS(LOG10(L25))-LOG10('3_鈉與NaCl'!$C$7))&lt;LOG10(1.25),"Na 與 NaCl 混用？約 2.542 倍；",""),"")&amp;IF(AND(AND(M25&lt;&gt;"範圍內",ISNUMBER(L25),N(L25)&gt;0),ISNUMBER(H25),N(H25)&gt;1),IF(ABS(ABS(LOG10(L25))-LOG10(H25))&lt;LOG10(1.25),"稀釋倍數 "&amp;H25&amp;" 忘了乘或多乘？；",IF(AND(H25/10&lt;&gt;1,H25/10&lt;&gt;10,H25/10&lt;&gt;100,ABS(ABS(LOG10(L25))-LOG10(H25/10))&lt;LOG10(1.25)),"約 D/10 = "&amp;H25/10&amp;" 倍：忘了 ×D 並 ÷10 換成每 100 g？；","")),"")&amp;IF(AND(ISNUMBER(O25),N(O25)&gt;=3,ISNUMBER(K25),N(K25)&gt;0),IF(AND(ABS(F25/(K25/(1-O25/100))-1)&lt;0.05,ABS(F25/K25-1)&gt;0.08),"基準不一致？接近乾基參考值 "&amp;TEXT((K25/(1-O25/100)),"0.00")&amp;"（資料庫是濕基）；",""),""))</f>
        <v/>
      </c>
    </row>
    <row r="27">
      <c r="A27" s="3" t="inlineStr">
        <is>
          <t>5-3 每一組各自的灰分判定（⚑ = 接近乾基值，請檢查分母）</t>
        </is>
      </c>
    </row>
    <row r="28" ht="32" customHeight="1">
      <c r="A28" s="16" t="inlineStr">
        <is>
          <t>注意第 2 組的糙米：它是用濕基算的，但剛好比資料庫中心高約 15%，碰巧接近「乾基換算值」而觸發 ⚑。這是啟發式提問，不是判決；對水分約 12% 的穀物，比資料庫高約 8–20% 的濕基數值都可能觸發。回頭確認分母是濕重就好。</t>
        </is>
      </c>
    </row>
    <row r="29" ht="30" customHeight="1">
      <c r="A29" s="9" t="inlineStr">
        <is>
          <t>組別</t>
        </is>
      </c>
      <c r="B29" s="9" t="inlineStr">
        <is>
          <t>black_sugar</t>
        </is>
      </c>
      <c r="C29" s="9" t="inlineStr">
        <is>
          <t>white_sugar</t>
        </is>
      </c>
      <c r="D29" s="9" t="inlineStr">
        <is>
          <t>brown_rice</t>
        </is>
      </c>
      <c r="E29" s="9" t="inlineStr">
        <is>
          <t>polished_rice</t>
        </is>
      </c>
      <c r="F29" s="9" t="inlineStr">
        <is>
          <t>milk_powder</t>
        </is>
      </c>
    </row>
    <row r="30">
      <c r="A30" s="5" t="n">
        <v>1</v>
      </c>
      <c r="B30" s="43">
        <f>IFERROR(IF(AVERAGEIFS('2_灰分'!$H$14:$H$38,'2_灰分'!$A$14:$A$38,$A30,'2_灰分'!$B$14:$B$38,"black_sugar")&lt;$I$16,"偏低",IF(AVERAGEIFS('2_灰分'!$H$14:$H$38,'2_灰分'!$A$14:$A$38,$A30,'2_灰分'!$B$14:$B$38,"black_sugar")&gt;$J$16,"偏高","範圍內"))&amp;IF(AND(ISNUMBER($O$16),N($O$16)&gt;=3),IF(AND(ABS(AVERAGEIFS('2_灰分'!$H$14:$H$38,'2_灰分'!$A$14:$A$38,$A30,'2_灰分'!$B$14:$B$38,"black_sugar")/($K$16/(1-$O$16/100))-1)&lt;0.05,ABS(AVERAGEIFS('2_灰分'!$H$14:$H$38,'2_灰分'!$A$14:$A$38,$A30,'2_灰分'!$B$14:$B$38,"black_sugar")/$K$16-1)&gt;0.08)," ⚑乾基？",""),""),"")</f>
        <v/>
      </c>
      <c r="C30" s="43">
        <f>IFERROR(IF(AVERAGEIFS('2_灰分'!$H$14:$H$38,'2_灰分'!$A$14:$A$38,$A30,'2_灰分'!$B$14:$B$38,"white_sugar")&lt;$I$17,"偏低",IF(AVERAGEIFS('2_灰分'!$H$14:$H$38,'2_灰分'!$A$14:$A$38,$A30,'2_灰分'!$B$14:$B$38,"white_sugar")&gt;$J$17,"偏高","範圍內"))&amp;IF(AND(ISNUMBER($O$17),N($O$17)&gt;=3),IF(AND(ABS(AVERAGEIFS('2_灰分'!$H$14:$H$38,'2_灰分'!$A$14:$A$38,$A30,'2_灰分'!$B$14:$B$38,"white_sugar")/($K$17/(1-$O$17/100))-1)&lt;0.05,ABS(AVERAGEIFS('2_灰分'!$H$14:$H$38,'2_灰分'!$A$14:$A$38,$A30,'2_灰分'!$B$14:$B$38,"white_sugar")/$K$17-1)&gt;0.08)," ⚑乾基？",""),""),"")</f>
        <v/>
      </c>
      <c r="D30" s="43">
        <f>IFERROR(IF(AVERAGEIFS('2_灰分'!$H$14:$H$38,'2_灰分'!$A$14:$A$38,$A30,'2_灰分'!$B$14:$B$38,"brown_rice")&lt;$I$18,"偏低",IF(AVERAGEIFS('2_灰分'!$H$14:$H$38,'2_灰分'!$A$14:$A$38,$A30,'2_灰分'!$B$14:$B$38,"brown_rice")&gt;$J$18,"偏高","範圍內"))&amp;IF(AND(ISNUMBER($O$18),N($O$18)&gt;=3),IF(AND(ABS(AVERAGEIFS('2_灰分'!$H$14:$H$38,'2_灰分'!$A$14:$A$38,$A30,'2_灰分'!$B$14:$B$38,"brown_rice")/($K$18/(1-$O$18/100))-1)&lt;0.05,ABS(AVERAGEIFS('2_灰分'!$H$14:$H$38,'2_灰分'!$A$14:$A$38,$A30,'2_灰分'!$B$14:$B$38,"brown_rice")/$K$18-1)&gt;0.08)," ⚑乾基？",""),""),"")</f>
        <v/>
      </c>
      <c r="E30" s="43">
        <f>IFERROR(IF(AVERAGEIFS('2_灰分'!$H$14:$H$38,'2_灰分'!$A$14:$A$38,$A30,'2_灰分'!$B$14:$B$38,"polished_rice")&lt;$I$19,"偏低",IF(AVERAGEIFS('2_灰分'!$H$14:$H$38,'2_灰分'!$A$14:$A$38,$A30,'2_灰分'!$B$14:$B$38,"polished_rice")&gt;$J$19,"偏高","範圍內"))&amp;IF(AND(ISNUMBER($O$19),N($O$19)&gt;=3),IF(AND(ABS(AVERAGEIFS('2_灰分'!$H$14:$H$38,'2_灰分'!$A$14:$A$38,$A30,'2_灰分'!$B$14:$B$38,"polished_rice")/($K$19/(1-$O$19/100))-1)&lt;0.05,ABS(AVERAGEIFS('2_灰分'!$H$14:$H$38,'2_灰分'!$A$14:$A$38,$A30,'2_灰分'!$B$14:$B$38,"polished_rice")/$K$19-1)&gt;0.08)," ⚑乾基？",""),""),"")</f>
        <v/>
      </c>
      <c r="F30" s="43">
        <f>IFERROR(IF(AVERAGEIFS('2_灰分'!$H$14:$H$38,'2_灰分'!$A$14:$A$38,$A30,'2_灰分'!$B$14:$B$38,"milk_powder")&lt;$I$20,"偏低",IF(AVERAGEIFS('2_灰分'!$H$14:$H$38,'2_灰分'!$A$14:$A$38,$A30,'2_灰分'!$B$14:$B$38,"milk_powder")&gt;$J$20,"偏高","範圍內"))&amp;IF(AND(ISNUMBER($O$20),N($O$20)&gt;=3),IF(AND(ABS(AVERAGEIFS('2_灰分'!$H$14:$H$38,'2_灰分'!$A$14:$A$38,$A30,'2_灰分'!$B$14:$B$38,"milk_powder")/($K$20/(1-$O$20/100))-1)&lt;0.05,ABS(AVERAGEIFS('2_灰分'!$H$14:$H$38,'2_灰分'!$A$14:$A$38,$A30,'2_灰分'!$B$14:$B$38,"milk_powder")/$K$20-1)&gt;0.08)," ⚑乾基？",""),""),"")</f>
        <v/>
      </c>
    </row>
    <row r="31">
      <c r="A31" s="5" t="n">
        <v>2</v>
      </c>
      <c r="B31" s="43">
        <f>IFERROR(IF(AVERAGEIFS('2_灰分'!$H$14:$H$38,'2_灰分'!$A$14:$A$38,$A31,'2_灰分'!$B$14:$B$38,"black_sugar")&lt;$I$16,"偏低",IF(AVERAGEIFS('2_灰分'!$H$14:$H$38,'2_灰分'!$A$14:$A$38,$A31,'2_灰分'!$B$14:$B$38,"black_sugar")&gt;$J$16,"偏高","範圍內"))&amp;IF(AND(ISNUMBER($O$16),N($O$16)&gt;=3),IF(AND(ABS(AVERAGEIFS('2_灰分'!$H$14:$H$38,'2_灰分'!$A$14:$A$38,$A31,'2_灰分'!$B$14:$B$38,"black_sugar")/($K$16/(1-$O$16/100))-1)&lt;0.05,ABS(AVERAGEIFS('2_灰分'!$H$14:$H$38,'2_灰分'!$A$14:$A$38,$A31,'2_灰分'!$B$14:$B$38,"black_sugar")/$K$16-1)&gt;0.08)," ⚑乾基？",""),""),"")</f>
        <v/>
      </c>
      <c r="C31" s="43">
        <f>IFERROR(IF(AVERAGEIFS('2_灰分'!$H$14:$H$38,'2_灰分'!$A$14:$A$38,$A31,'2_灰分'!$B$14:$B$38,"white_sugar")&lt;$I$17,"偏低",IF(AVERAGEIFS('2_灰分'!$H$14:$H$38,'2_灰分'!$A$14:$A$38,$A31,'2_灰分'!$B$14:$B$38,"white_sugar")&gt;$J$17,"偏高","範圍內"))&amp;IF(AND(ISNUMBER($O$17),N($O$17)&gt;=3),IF(AND(ABS(AVERAGEIFS('2_灰分'!$H$14:$H$38,'2_灰分'!$A$14:$A$38,$A31,'2_灰分'!$B$14:$B$38,"white_sugar")/($K$17/(1-$O$17/100))-1)&lt;0.05,ABS(AVERAGEIFS('2_灰分'!$H$14:$H$38,'2_灰分'!$A$14:$A$38,$A31,'2_灰分'!$B$14:$B$38,"white_sugar")/$K$17-1)&gt;0.08)," ⚑乾基？",""),""),"")</f>
        <v/>
      </c>
      <c r="D31" s="43">
        <f>IFERROR(IF(AVERAGEIFS('2_灰分'!$H$14:$H$38,'2_灰分'!$A$14:$A$38,$A31,'2_灰分'!$B$14:$B$38,"brown_rice")&lt;$I$18,"偏低",IF(AVERAGEIFS('2_灰分'!$H$14:$H$38,'2_灰分'!$A$14:$A$38,$A31,'2_灰分'!$B$14:$B$38,"brown_rice")&gt;$J$18,"偏高","範圍內"))&amp;IF(AND(ISNUMBER($O$18),N($O$18)&gt;=3),IF(AND(ABS(AVERAGEIFS('2_灰分'!$H$14:$H$38,'2_灰分'!$A$14:$A$38,$A31,'2_灰分'!$B$14:$B$38,"brown_rice")/($K$18/(1-$O$18/100))-1)&lt;0.05,ABS(AVERAGEIFS('2_灰分'!$H$14:$H$38,'2_灰分'!$A$14:$A$38,$A31,'2_灰分'!$B$14:$B$38,"brown_rice")/$K$18-1)&gt;0.08)," ⚑乾基？",""),""),"")</f>
        <v/>
      </c>
      <c r="E31" s="43">
        <f>IFERROR(IF(AVERAGEIFS('2_灰分'!$H$14:$H$38,'2_灰分'!$A$14:$A$38,$A31,'2_灰分'!$B$14:$B$38,"polished_rice")&lt;$I$19,"偏低",IF(AVERAGEIFS('2_灰分'!$H$14:$H$38,'2_灰分'!$A$14:$A$38,$A31,'2_灰分'!$B$14:$B$38,"polished_rice")&gt;$J$19,"偏高","範圍內"))&amp;IF(AND(ISNUMBER($O$19),N($O$19)&gt;=3),IF(AND(ABS(AVERAGEIFS('2_灰分'!$H$14:$H$38,'2_灰分'!$A$14:$A$38,$A31,'2_灰分'!$B$14:$B$38,"polished_rice")/($K$19/(1-$O$19/100))-1)&lt;0.05,ABS(AVERAGEIFS('2_灰分'!$H$14:$H$38,'2_灰分'!$A$14:$A$38,$A31,'2_灰分'!$B$14:$B$38,"polished_rice")/$K$19-1)&gt;0.08)," ⚑乾基？",""),""),"")</f>
        <v/>
      </c>
      <c r="F31" s="43">
        <f>IFERROR(IF(AVERAGEIFS('2_灰分'!$H$14:$H$38,'2_灰分'!$A$14:$A$38,$A31,'2_灰分'!$B$14:$B$38,"milk_powder")&lt;$I$20,"偏低",IF(AVERAGEIFS('2_灰分'!$H$14:$H$38,'2_灰分'!$A$14:$A$38,$A31,'2_灰分'!$B$14:$B$38,"milk_powder")&gt;$J$20,"偏高","範圍內"))&amp;IF(AND(ISNUMBER($O$20),N($O$20)&gt;=3),IF(AND(ABS(AVERAGEIFS('2_灰分'!$H$14:$H$38,'2_灰分'!$A$14:$A$38,$A31,'2_灰分'!$B$14:$B$38,"milk_powder")/($K$20/(1-$O$20/100))-1)&lt;0.05,ABS(AVERAGEIFS('2_灰分'!$H$14:$H$38,'2_灰分'!$A$14:$A$38,$A31,'2_灰分'!$B$14:$B$38,"milk_powder")/$K$20-1)&gt;0.08)," ⚑乾基？",""),""),"")</f>
        <v/>
      </c>
    </row>
    <row r="32">
      <c r="A32" s="5" t="n">
        <v>3</v>
      </c>
      <c r="B32" s="43">
        <f>IFERROR(IF(AVERAGEIFS('2_灰分'!$H$14:$H$38,'2_灰分'!$A$14:$A$38,$A32,'2_灰分'!$B$14:$B$38,"black_sugar")&lt;$I$16,"偏低",IF(AVERAGEIFS('2_灰分'!$H$14:$H$38,'2_灰分'!$A$14:$A$38,$A32,'2_灰分'!$B$14:$B$38,"black_sugar")&gt;$J$16,"偏高","範圍內"))&amp;IF(AND(ISNUMBER($O$16),N($O$16)&gt;=3),IF(AND(ABS(AVERAGEIFS('2_灰分'!$H$14:$H$38,'2_灰分'!$A$14:$A$38,$A32,'2_灰分'!$B$14:$B$38,"black_sugar")/($K$16/(1-$O$16/100))-1)&lt;0.05,ABS(AVERAGEIFS('2_灰分'!$H$14:$H$38,'2_灰分'!$A$14:$A$38,$A32,'2_灰分'!$B$14:$B$38,"black_sugar")/$K$16-1)&gt;0.08)," ⚑乾基？",""),""),"")</f>
        <v/>
      </c>
      <c r="C32" s="43">
        <f>IFERROR(IF(AVERAGEIFS('2_灰分'!$H$14:$H$38,'2_灰分'!$A$14:$A$38,$A32,'2_灰分'!$B$14:$B$38,"white_sugar")&lt;$I$17,"偏低",IF(AVERAGEIFS('2_灰分'!$H$14:$H$38,'2_灰分'!$A$14:$A$38,$A32,'2_灰分'!$B$14:$B$38,"white_sugar")&gt;$J$17,"偏高","範圍內"))&amp;IF(AND(ISNUMBER($O$17),N($O$17)&gt;=3),IF(AND(ABS(AVERAGEIFS('2_灰分'!$H$14:$H$38,'2_灰分'!$A$14:$A$38,$A32,'2_灰分'!$B$14:$B$38,"white_sugar")/($K$17/(1-$O$17/100))-1)&lt;0.05,ABS(AVERAGEIFS('2_灰分'!$H$14:$H$38,'2_灰分'!$A$14:$A$38,$A32,'2_灰分'!$B$14:$B$38,"white_sugar")/$K$17-1)&gt;0.08)," ⚑乾基？",""),""),"")</f>
        <v/>
      </c>
      <c r="D32" s="43">
        <f>IFERROR(IF(AVERAGEIFS('2_灰分'!$H$14:$H$38,'2_灰分'!$A$14:$A$38,$A32,'2_灰分'!$B$14:$B$38,"brown_rice")&lt;$I$18,"偏低",IF(AVERAGEIFS('2_灰分'!$H$14:$H$38,'2_灰分'!$A$14:$A$38,$A32,'2_灰分'!$B$14:$B$38,"brown_rice")&gt;$J$18,"偏高","範圍內"))&amp;IF(AND(ISNUMBER($O$18),N($O$18)&gt;=3),IF(AND(ABS(AVERAGEIFS('2_灰分'!$H$14:$H$38,'2_灰分'!$A$14:$A$38,$A32,'2_灰分'!$B$14:$B$38,"brown_rice")/($K$18/(1-$O$18/100))-1)&lt;0.05,ABS(AVERAGEIFS('2_灰分'!$H$14:$H$38,'2_灰分'!$A$14:$A$38,$A32,'2_灰分'!$B$14:$B$38,"brown_rice")/$K$18-1)&gt;0.08)," ⚑乾基？",""),""),"")</f>
        <v/>
      </c>
      <c r="E32" s="43">
        <f>IFERROR(IF(AVERAGEIFS('2_灰分'!$H$14:$H$38,'2_灰分'!$A$14:$A$38,$A32,'2_灰分'!$B$14:$B$38,"polished_rice")&lt;$I$19,"偏低",IF(AVERAGEIFS('2_灰分'!$H$14:$H$38,'2_灰分'!$A$14:$A$38,$A32,'2_灰分'!$B$14:$B$38,"polished_rice")&gt;$J$19,"偏高","範圍內"))&amp;IF(AND(ISNUMBER($O$19),N($O$19)&gt;=3),IF(AND(ABS(AVERAGEIFS('2_灰分'!$H$14:$H$38,'2_灰分'!$A$14:$A$38,$A32,'2_灰分'!$B$14:$B$38,"polished_rice")/($K$19/(1-$O$19/100))-1)&lt;0.05,ABS(AVERAGEIFS('2_灰分'!$H$14:$H$38,'2_灰分'!$A$14:$A$38,$A32,'2_灰分'!$B$14:$B$38,"polished_rice")/$K$19-1)&gt;0.08)," ⚑乾基？",""),""),"")</f>
        <v/>
      </c>
      <c r="F32" s="43">
        <f>IFERROR(IF(AVERAGEIFS('2_灰分'!$H$14:$H$38,'2_灰分'!$A$14:$A$38,$A32,'2_灰分'!$B$14:$B$38,"milk_powder")&lt;$I$20,"偏低",IF(AVERAGEIFS('2_灰分'!$H$14:$H$38,'2_灰分'!$A$14:$A$38,$A32,'2_灰分'!$B$14:$B$38,"milk_powder")&gt;$J$20,"偏高","範圍內"))&amp;IF(AND(ISNUMBER($O$20),N($O$20)&gt;=3),IF(AND(ABS(AVERAGEIFS('2_灰分'!$H$14:$H$38,'2_灰分'!$A$14:$A$38,$A32,'2_灰分'!$B$14:$B$38,"milk_powder")/($K$20/(1-$O$20/100))-1)&lt;0.05,ABS(AVERAGEIFS('2_灰分'!$H$14:$H$38,'2_灰分'!$A$14:$A$38,$A32,'2_灰分'!$B$14:$B$38,"milk_powder")/$K$20-1)&gt;0.08)," ⚑乾基？",""),""),"")</f>
        <v/>
      </c>
    </row>
    <row r="33">
      <c r="A33" s="5" t="n">
        <v>4</v>
      </c>
      <c r="B33" s="43">
        <f>IFERROR(IF(AVERAGEIFS('2_灰分'!$H$14:$H$38,'2_灰分'!$A$14:$A$38,$A33,'2_灰分'!$B$14:$B$38,"black_sugar")&lt;$I$16,"偏低",IF(AVERAGEIFS('2_灰分'!$H$14:$H$38,'2_灰分'!$A$14:$A$38,$A33,'2_灰分'!$B$14:$B$38,"black_sugar")&gt;$J$16,"偏高","範圍內"))&amp;IF(AND(ISNUMBER($O$16),N($O$16)&gt;=3),IF(AND(ABS(AVERAGEIFS('2_灰分'!$H$14:$H$38,'2_灰分'!$A$14:$A$38,$A33,'2_灰分'!$B$14:$B$38,"black_sugar")/($K$16/(1-$O$16/100))-1)&lt;0.05,ABS(AVERAGEIFS('2_灰分'!$H$14:$H$38,'2_灰分'!$A$14:$A$38,$A33,'2_灰分'!$B$14:$B$38,"black_sugar")/$K$16-1)&gt;0.08)," ⚑乾基？",""),""),"")</f>
        <v/>
      </c>
      <c r="C33" s="43">
        <f>IFERROR(IF(AVERAGEIFS('2_灰分'!$H$14:$H$38,'2_灰分'!$A$14:$A$38,$A33,'2_灰分'!$B$14:$B$38,"white_sugar")&lt;$I$17,"偏低",IF(AVERAGEIFS('2_灰分'!$H$14:$H$38,'2_灰分'!$A$14:$A$38,$A33,'2_灰分'!$B$14:$B$38,"white_sugar")&gt;$J$17,"偏高","範圍內"))&amp;IF(AND(ISNUMBER($O$17),N($O$17)&gt;=3),IF(AND(ABS(AVERAGEIFS('2_灰分'!$H$14:$H$38,'2_灰分'!$A$14:$A$38,$A33,'2_灰分'!$B$14:$B$38,"white_sugar")/($K$17/(1-$O$17/100))-1)&lt;0.05,ABS(AVERAGEIFS('2_灰分'!$H$14:$H$38,'2_灰分'!$A$14:$A$38,$A33,'2_灰分'!$B$14:$B$38,"white_sugar")/$K$17-1)&gt;0.08)," ⚑乾基？",""),""),"")</f>
        <v/>
      </c>
      <c r="D33" s="43">
        <f>IFERROR(IF(AVERAGEIFS('2_灰分'!$H$14:$H$38,'2_灰分'!$A$14:$A$38,$A33,'2_灰分'!$B$14:$B$38,"brown_rice")&lt;$I$18,"偏低",IF(AVERAGEIFS('2_灰分'!$H$14:$H$38,'2_灰分'!$A$14:$A$38,$A33,'2_灰分'!$B$14:$B$38,"brown_rice")&gt;$J$18,"偏高","範圍內"))&amp;IF(AND(ISNUMBER($O$18),N($O$18)&gt;=3),IF(AND(ABS(AVERAGEIFS('2_灰分'!$H$14:$H$38,'2_灰分'!$A$14:$A$38,$A33,'2_灰分'!$B$14:$B$38,"brown_rice")/($K$18/(1-$O$18/100))-1)&lt;0.05,ABS(AVERAGEIFS('2_灰分'!$H$14:$H$38,'2_灰分'!$A$14:$A$38,$A33,'2_灰分'!$B$14:$B$38,"brown_rice")/$K$18-1)&gt;0.08)," ⚑乾基？",""),""),"")</f>
        <v/>
      </c>
      <c r="E33" s="43">
        <f>IFERROR(IF(AVERAGEIFS('2_灰分'!$H$14:$H$38,'2_灰分'!$A$14:$A$38,$A33,'2_灰分'!$B$14:$B$38,"polished_rice")&lt;$I$19,"偏低",IF(AVERAGEIFS('2_灰分'!$H$14:$H$38,'2_灰分'!$A$14:$A$38,$A33,'2_灰分'!$B$14:$B$38,"polished_rice")&gt;$J$19,"偏高","範圍內"))&amp;IF(AND(ISNUMBER($O$19),N($O$19)&gt;=3),IF(AND(ABS(AVERAGEIFS('2_灰分'!$H$14:$H$38,'2_灰分'!$A$14:$A$38,$A33,'2_灰分'!$B$14:$B$38,"polished_rice")/($K$19/(1-$O$19/100))-1)&lt;0.05,ABS(AVERAGEIFS('2_灰分'!$H$14:$H$38,'2_灰分'!$A$14:$A$38,$A33,'2_灰分'!$B$14:$B$38,"polished_rice")/$K$19-1)&gt;0.08)," ⚑乾基？",""),""),"")</f>
        <v/>
      </c>
      <c r="F33" s="43">
        <f>IFERROR(IF(AVERAGEIFS('2_灰分'!$H$14:$H$38,'2_灰分'!$A$14:$A$38,$A33,'2_灰分'!$B$14:$B$38,"milk_powder")&lt;$I$20,"偏低",IF(AVERAGEIFS('2_灰分'!$H$14:$H$38,'2_灰分'!$A$14:$A$38,$A33,'2_灰分'!$B$14:$B$38,"milk_powder")&gt;$J$20,"偏高","範圍內"))&amp;IF(AND(ISNUMBER($O$20),N($O$20)&gt;=3),IF(AND(ABS(AVERAGEIFS('2_灰分'!$H$14:$H$38,'2_灰分'!$A$14:$A$38,$A33,'2_灰分'!$B$14:$B$38,"milk_powder")/($K$20/(1-$O$20/100))-1)&lt;0.05,ABS(AVERAGEIFS('2_灰分'!$H$14:$H$38,'2_灰分'!$A$14:$A$38,$A33,'2_灰分'!$B$14:$B$38,"milk_powder")/$K$20-1)&gt;0.08)," ⚑乾基？",""),""),"")</f>
        <v/>
      </c>
    </row>
    <row r="34">
      <c r="A34" s="5" t="n">
        <v>5</v>
      </c>
      <c r="B34" s="43">
        <f>IFERROR(IF(AVERAGEIFS('2_灰分'!$H$14:$H$38,'2_灰分'!$A$14:$A$38,$A34,'2_灰分'!$B$14:$B$38,"black_sugar")&lt;$I$16,"偏低",IF(AVERAGEIFS('2_灰分'!$H$14:$H$38,'2_灰分'!$A$14:$A$38,$A34,'2_灰分'!$B$14:$B$38,"black_sugar")&gt;$J$16,"偏高","範圍內"))&amp;IF(AND(ISNUMBER($O$16),N($O$16)&gt;=3),IF(AND(ABS(AVERAGEIFS('2_灰分'!$H$14:$H$38,'2_灰分'!$A$14:$A$38,$A34,'2_灰分'!$B$14:$B$38,"black_sugar")/($K$16/(1-$O$16/100))-1)&lt;0.05,ABS(AVERAGEIFS('2_灰分'!$H$14:$H$38,'2_灰分'!$A$14:$A$38,$A34,'2_灰分'!$B$14:$B$38,"black_sugar")/$K$16-1)&gt;0.08)," ⚑乾基？",""),""),"")</f>
        <v/>
      </c>
      <c r="C34" s="43">
        <f>IFERROR(IF(AVERAGEIFS('2_灰分'!$H$14:$H$38,'2_灰分'!$A$14:$A$38,$A34,'2_灰分'!$B$14:$B$38,"white_sugar")&lt;$I$17,"偏低",IF(AVERAGEIFS('2_灰分'!$H$14:$H$38,'2_灰分'!$A$14:$A$38,$A34,'2_灰分'!$B$14:$B$38,"white_sugar")&gt;$J$17,"偏高","範圍內"))&amp;IF(AND(ISNUMBER($O$17),N($O$17)&gt;=3),IF(AND(ABS(AVERAGEIFS('2_灰分'!$H$14:$H$38,'2_灰分'!$A$14:$A$38,$A34,'2_灰分'!$B$14:$B$38,"white_sugar")/($K$17/(1-$O$17/100))-1)&lt;0.05,ABS(AVERAGEIFS('2_灰分'!$H$14:$H$38,'2_灰分'!$A$14:$A$38,$A34,'2_灰分'!$B$14:$B$38,"white_sugar")/$K$17-1)&gt;0.08)," ⚑乾基？",""),""),"")</f>
        <v/>
      </c>
      <c r="D34" s="43">
        <f>IFERROR(IF(AVERAGEIFS('2_灰分'!$H$14:$H$38,'2_灰分'!$A$14:$A$38,$A34,'2_灰分'!$B$14:$B$38,"brown_rice")&lt;$I$18,"偏低",IF(AVERAGEIFS('2_灰分'!$H$14:$H$38,'2_灰分'!$A$14:$A$38,$A34,'2_灰分'!$B$14:$B$38,"brown_rice")&gt;$J$18,"偏高","範圍內"))&amp;IF(AND(ISNUMBER($O$18),N($O$18)&gt;=3),IF(AND(ABS(AVERAGEIFS('2_灰分'!$H$14:$H$38,'2_灰分'!$A$14:$A$38,$A34,'2_灰分'!$B$14:$B$38,"brown_rice")/($K$18/(1-$O$18/100))-1)&lt;0.05,ABS(AVERAGEIFS('2_灰分'!$H$14:$H$38,'2_灰分'!$A$14:$A$38,$A34,'2_灰分'!$B$14:$B$38,"brown_rice")/$K$18-1)&gt;0.08)," ⚑乾基？",""),""),"")</f>
        <v/>
      </c>
      <c r="E34" s="43">
        <f>IFERROR(IF(AVERAGEIFS('2_灰分'!$H$14:$H$38,'2_灰分'!$A$14:$A$38,$A34,'2_灰分'!$B$14:$B$38,"polished_rice")&lt;$I$19,"偏低",IF(AVERAGEIFS('2_灰分'!$H$14:$H$38,'2_灰分'!$A$14:$A$38,$A34,'2_灰分'!$B$14:$B$38,"polished_rice")&gt;$J$19,"偏高","範圍內"))&amp;IF(AND(ISNUMBER($O$19),N($O$19)&gt;=3),IF(AND(ABS(AVERAGEIFS('2_灰分'!$H$14:$H$38,'2_灰分'!$A$14:$A$38,$A34,'2_灰分'!$B$14:$B$38,"polished_rice")/($K$19/(1-$O$19/100))-1)&lt;0.05,ABS(AVERAGEIFS('2_灰分'!$H$14:$H$38,'2_灰分'!$A$14:$A$38,$A34,'2_灰分'!$B$14:$B$38,"polished_rice")/$K$19-1)&gt;0.08)," ⚑乾基？",""),""),"")</f>
        <v/>
      </c>
      <c r="F34" s="43">
        <f>IFERROR(IF(AVERAGEIFS('2_灰分'!$H$14:$H$38,'2_灰分'!$A$14:$A$38,$A34,'2_灰分'!$B$14:$B$38,"milk_powder")&lt;$I$20,"偏低",IF(AVERAGEIFS('2_灰分'!$H$14:$H$38,'2_灰分'!$A$14:$A$38,$A34,'2_灰分'!$B$14:$B$38,"milk_powder")&gt;$J$20,"偏高","範圍內"))&amp;IF(AND(ISNUMBER($O$20),N($O$20)&gt;=3),IF(AND(ABS(AVERAGEIFS('2_灰分'!$H$14:$H$38,'2_灰分'!$A$14:$A$38,$A34,'2_灰分'!$B$14:$B$38,"milk_powder")/($K$20/(1-$O$20/100))-1)&lt;0.05,ABS(AVERAGEIFS('2_灰分'!$H$14:$H$38,'2_灰分'!$A$14:$A$38,$A34,'2_灰分'!$B$14:$B$38,"milk_powder")/$K$20-1)&gt;0.08)," ⚑乾基？",""),""),"")</f>
        <v/>
      </c>
    </row>
    <row r="36">
      <c r="A36" s="3" t="inlineStr">
        <is>
          <t>5-4 故意算錯的三個例子：看旗標怎麼抓錯（G6–G8 為虛構組別）</t>
        </is>
      </c>
    </row>
    <row r="37" ht="45" customHeight="1">
      <c r="A37" s="9" t="inlineStr">
        <is>
          <t>標籤</t>
        </is>
      </c>
      <c r="B37" s="9" t="inlineStr">
        <is>
          <t>food_key（資料庫品項）</t>
        </is>
      </c>
      <c r="C37" s="9" t="inlineStr">
        <is>
          <t>營養素</t>
        </is>
      </c>
      <c r="D37" s="9" t="inlineStr">
        <is>
          <t>報告值</t>
        </is>
      </c>
      <c r="E37" s="9" t="inlineStr">
        <is>
          <t>密度 (g/mL)</t>
        </is>
      </c>
      <c r="F37" s="9" t="inlineStr">
        <is>
          <t>實測（每 100 g，濕基）</t>
        </is>
      </c>
      <c r="G37" s="9" t="inlineStr">
        <is>
          <t>SD</t>
        </is>
      </c>
      <c r="H37" s="9" t="inlineStr">
        <is>
          <t>稀釋倍數 D</t>
        </is>
      </c>
      <c r="I37" s="9" t="inlineStr">
        <is>
          <t>參考下限</t>
        </is>
      </c>
      <c r="J37" s="9" t="inlineStr">
        <is>
          <t>參考上限</t>
        </is>
      </c>
      <c r="K37" s="9" t="inlineStr">
        <is>
          <t>參考中心</t>
        </is>
      </c>
      <c r="L37" s="9" t="inlineStr">
        <is>
          <t>實測 ÷ 中心</t>
        </is>
      </c>
      <c r="M37" s="9" t="inlineStr">
        <is>
          <t>判定</t>
        </is>
      </c>
      <c r="N37" s="9" t="inlineStr">
        <is>
          <t>涵蓋筆數</t>
        </is>
      </c>
      <c r="O37" s="9" t="inlineStr">
        <is>
          <t>資料庫水分 (g/100 g)</t>
        </is>
      </c>
      <c r="P37" s="9" t="inlineStr">
        <is>
          <t>⚑ 旗標（可能算錯的提示）</t>
        </is>
      </c>
    </row>
    <row r="38" ht="45" customHeight="1">
      <c r="A38" s="19" t="inlineStr">
        <is>
          <t>G6 讀數×50 當成 mg/100 g</t>
        </is>
      </c>
      <c r="B38" s="5" t="inlineStr">
        <is>
          <t>soy_sauce</t>
        </is>
      </c>
      <c r="C38" s="19" t="inlineStr">
        <is>
          <t>sodium</t>
        </is>
      </c>
      <c r="D38" s="41">
        <f>'3_鈉與NaCl'!$K$19*50</f>
        <v/>
      </c>
      <c r="E38" s="19" t="n"/>
      <c r="F38" s="32">
        <f>IF(D38="","",IF(ISNUMBER(E38),D38/E38,D38))</f>
        <v/>
      </c>
      <c r="G38" s="19" t="n"/>
      <c r="H38" s="28" t="n">
        <v>50</v>
      </c>
      <c r="I38" s="41">
        <f t="array" ref="I38">IF(COUNTIFS('7_參考資料'!$A$2:$A$335,B38,'7_參考資料'!$I$2:$I$335,C38)=0,"",MIN(IF(('7_參考資料'!$A$2:$A$335=B38)*('7_參考資料'!$I$2:$I$335=C38)*ISNUMBER('7_參考資料'!$T$2:$T$335),'7_參考資料'!$T$2:$T$335)))</f>
        <v/>
      </c>
      <c r="J38" s="41">
        <f t="array" ref="J38">IF(COUNTIFS('7_參考資料'!$A$2:$A$335,B38,'7_參考資料'!$I$2:$I$335,C38)=0,"",MAX(IF(('7_參考資料'!$A$2:$A$335=B38)*('7_參考資料'!$I$2:$I$335=C38)*ISNUMBER('7_參考資料'!$T$2:$T$335),'7_參考資料'!$U$2:$U$335)))</f>
        <v/>
      </c>
      <c r="K38" s="41">
        <f>IF(COUNTIFS('7_參考資料'!$A$2:$A$335,B38,'7_參考資料'!$I$2:$I$335,C38)=0,"",AVERAGEIFS('7_參考資料'!$J$2:$J$335,'7_參考資料'!$A$2:$A$335,B38,'7_參考資料'!$I$2:$I$335,C38))</f>
        <v/>
      </c>
      <c r="L38" s="41">
        <f>IF(OR(F38="",K38=""),"",IF(K38=0,"",F38/K38))</f>
        <v/>
      </c>
      <c r="M38" s="42">
        <f>IF(OR(F38="",I38=""),"",IF(F38&lt;I38,"偏低",IF(F38&gt;J38,"偏高","範圍內")))</f>
        <v/>
      </c>
      <c r="N38" s="13">
        <f>IF(OR(F38="",I38=""),"",COUNTIFS('7_參考資料'!$A$2:$A$335,B38,'7_參考資料'!$I$2:$I$335,C38,'7_參考資料'!$T$2:$T$335,"&lt;="&amp;F38,'7_參考資料'!$U$2:$U$335,"&gt;="&amp;F38)&amp;" / "&amp;COUNTIFS('7_參考資料'!$A$2:$A$335,B38,'7_參考資料'!$I$2:$I$335,C38))</f>
        <v/>
      </c>
      <c r="O38" s="14">
        <f>IFERROR(AVERAGEIFS('7_參考資料'!$J$2:$J$335,'7_參考資料'!$A$2:$A$335,B38,'7_參考資料'!$I$2:$I$335,"water"),"")</f>
        <v/>
      </c>
      <c r="P38" s="34">
        <f>IF(F38="","",IF(AND(M38&lt;&gt;"範圍內",ISNUMBER(L38),N(L38)&gt;0),IF(AND(ABS(ROUND(LOG10(L38),0))&gt;=1,ABS(ROUND(LOG10(L38),0))&lt;=3,ABS(LOG10(L38)-ROUND(LOG10(L38),0))&lt;LOG10(1.25)),"單位換算錯誤？實測約"&amp;IF(L38&gt;1,"高","低")&amp;" "&amp;10^ABS(ROUND(LOG10(L38),0))&amp;" 倍；",""),"")&amp;IF(AND(AND(M38&lt;&gt;"範圍內",ISNUMBER(L38),N(L38)&gt;0),C38="sodium"),IF(ABS(ABS(LOG10(L38))-LOG10('3_鈉與NaCl'!$C$7))&lt;LOG10(1.25),"Na 與 NaCl 混用？約 2.542 倍；",""),"")&amp;IF(AND(AND(M38&lt;&gt;"範圍內",ISNUMBER(L38),N(L38)&gt;0),ISNUMBER(H38),N(H38)&gt;1),IF(ABS(ABS(LOG10(L38))-LOG10(H38))&lt;LOG10(1.25),"稀釋倍數 "&amp;H38&amp;" 忘了乘或多乘？；",IF(AND(H38/10&lt;&gt;1,H38/10&lt;&gt;10,H38/10&lt;&gt;100,ABS(ABS(LOG10(L38))-LOG10(H38/10))&lt;LOG10(1.25)),"約 D/10 = "&amp;H38/10&amp;" 倍：忘了 ×D 並 ÷10 換成每 100 g？；","")),"")&amp;IF(AND(ISNUMBER(O38),N(O38)&gt;=3,ISNUMBER(K38),N(K38)&gt;0),IF(AND(ABS(F38/(K38/(1-O38/100))-1)&lt;0.05,ABS(F38/K38-1)&gt;0.08),"基準不一致？接近乾基參考值 "&amp;TEXT((K38/(1-O38/100)),"0.00")&amp;"（資料庫是濕基）；",""),""))</f>
        <v/>
      </c>
      <c r="R38" s="16" t="inlineStr">
        <is>
          <t>G6：醬油讀數 × 稀釋倍數 50 得到的是 mg/L（= ppm），卻直接寫成 mg/100 g（差 10 倍）。</t>
        </is>
      </c>
    </row>
    <row r="39" ht="45" customHeight="1">
      <c r="A39" s="19" t="inlineStr">
        <is>
          <t>G7 上機讀數直接報告</t>
        </is>
      </c>
      <c r="B39" s="5" t="inlineStr">
        <is>
          <t>soy_sauce</t>
        </is>
      </c>
      <c r="C39" s="19" t="inlineStr">
        <is>
          <t>sodium</t>
        </is>
      </c>
      <c r="D39" s="41">
        <f>'3_鈉與NaCl'!$K$19</f>
        <v/>
      </c>
      <c r="E39" s="19" t="n"/>
      <c r="F39" s="32">
        <f>IF(D39="","",IF(ISNUMBER(E39),D39/E39,D39))</f>
        <v/>
      </c>
      <c r="G39" s="19" t="n"/>
      <c r="H39" s="28" t="n">
        <v>50</v>
      </c>
      <c r="I39" s="41">
        <f t="array" ref="I39">IF(COUNTIFS('7_參考資料'!$A$2:$A$335,B39,'7_參考資料'!$I$2:$I$335,C39)=0,"",MIN(IF(('7_參考資料'!$A$2:$A$335=B39)*('7_參考資料'!$I$2:$I$335=C39)*ISNUMBER('7_參考資料'!$T$2:$T$335),'7_參考資料'!$T$2:$T$335)))</f>
        <v/>
      </c>
      <c r="J39" s="41">
        <f t="array" ref="J39">IF(COUNTIFS('7_參考資料'!$A$2:$A$335,B39,'7_參考資料'!$I$2:$I$335,C39)=0,"",MAX(IF(('7_參考資料'!$A$2:$A$335=B39)*('7_參考資料'!$I$2:$I$335=C39)*ISNUMBER('7_參考資料'!$T$2:$T$335),'7_參考資料'!$U$2:$U$335)))</f>
        <v/>
      </c>
      <c r="K39" s="41">
        <f>IF(COUNTIFS('7_參考資料'!$A$2:$A$335,B39,'7_參考資料'!$I$2:$I$335,C39)=0,"",AVERAGEIFS('7_參考資料'!$J$2:$J$335,'7_參考資料'!$A$2:$A$335,B39,'7_參考資料'!$I$2:$I$335,C39))</f>
        <v/>
      </c>
      <c r="L39" s="41">
        <f>IF(OR(F39="",K39=""),"",IF(K39=0,"",F39/K39))</f>
        <v/>
      </c>
      <c r="M39" s="42">
        <f>IF(OR(F39="",I39=""),"",IF(F39&lt;I39,"偏低",IF(F39&gt;J39,"偏高","範圍內")))</f>
        <v/>
      </c>
      <c r="N39" s="13">
        <f>IF(OR(F39="",I39=""),"",COUNTIFS('7_參考資料'!$A$2:$A$335,B39,'7_參考資料'!$I$2:$I$335,C39,'7_參考資料'!$T$2:$T$335,"&lt;="&amp;F39,'7_參考資料'!$U$2:$U$335,"&gt;="&amp;F39)&amp;" / "&amp;COUNTIFS('7_參考資料'!$A$2:$A$335,B39,'7_參考資料'!$I$2:$I$335,C39))</f>
        <v/>
      </c>
      <c r="O39" s="14">
        <f>IFERROR(AVERAGEIFS('7_參考資料'!$J$2:$J$335,'7_參考資料'!$A$2:$A$335,B39,'7_參考資料'!$I$2:$I$335,"water"),"")</f>
        <v/>
      </c>
      <c r="P39" s="34">
        <f>IF(F39="","",IF(AND(M39&lt;&gt;"範圍內",ISNUMBER(L39),N(L39)&gt;0),IF(AND(ABS(ROUND(LOG10(L39),0))&gt;=1,ABS(ROUND(LOG10(L39),0))&lt;=3,ABS(LOG10(L39)-ROUND(LOG10(L39),0))&lt;LOG10(1.25)),"單位換算錯誤？實測約"&amp;IF(L39&gt;1,"高","低")&amp;" "&amp;10^ABS(ROUND(LOG10(L39),0))&amp;" 倍；",""),"")&amp;IF(AND(AND(M39&lt;&gt;"範圍內",ISNUMBER(L39),N(L39)&gt;0),C39="sodium"),IF(ABS(ABS(LOG10(L39))-LOG10('3_鈉與NaCl'!$C$7))&lt;LOG10(1.25),"Na 與 NaCl 混用？約 2.542 倍；",""),"")&amp;IF(AND(AND(M39&lt;&gt;"範圍內",ISNUMBER(L39),N(L39)&gt;0),ISNUMBER(H39),N(H39)&gt;1),IF(ABS(ABS(LOG10(L39))-LOG10(H39))&lt;LOG10(1.25),"稀釋倍數 "&amp;H39&amp;" 忘了乘或多乘？；",IF(AND(H39/10&lt;&gt;1,H39/10&lt;&gt;10,H39/10&lt;&gt;100,ABS(ABS(LOG10(L39))-LOG10(H39/10))&lt;LOG10(1.25)),"約 D/10 = "&amp;H39/10&amp;" 倍：忘了 ×D 並 ÷10 換成每 100 g？；","")),"")&amp;IF(AND(ISNUMBER(O39),N(O39)&gt;=3,ISNUMBER(K39),N(K39)&gt;0),IF(AND(ABS(F39/(K39/(1-O39/100))-1)&lt;0.05,ABS(F39/K39-1)&gt;0.08),"基準不一致？接近乾基參考值 "&amp;TEXT((K39/(1-O39/100)),"0.00")&amp;"（資料庫是濕基）；",""),""))</f>
        <v/>
      </c>
      <c r="R39" s="16" t="inlineStr">
        <is>
          <t>G7：把上機讀數（稀釋 50 倍後的 ppm）直接當成 mg/100 g 報告。</t>
        </is>
      </c>
    </row>
    <row r="40" ht="45" customHeight="1">
      <c r="A40" s="19" t="inlineStr">
        <is>
          <t>G8 糙米灰分用乾基</t>
        </is>
      </c>
      <c r="B40" s="5" t="inlineStr">
        <is>
          <t>brown_rice</t>
        </is>
      </c>
      <c r="C40" s="19" t="inlineStr">
        <is>
          <t>ash</t>
        </is>
      </c>
      <c r="D40" s="41">
        <f>F18/(1-O18/100)</f>
        <v/>
      </c>
      <c r="E40" s="19" t="n"/>
      <c r="F40" s="32">
        <f>IF(D40="","",IF(ISNUMBER(E40),D40/E40,D40))</f>
        <v/>
      </c>
      <c r="G40" s="19" t="n"/>
      <c r="H40" s="19" t="n"/>
      <c r="I40" s="41">
        <f t="array" ref="I40">IF(COUNTIFS('7_參考資料'!$A$2:$A$335,B40,'7_參考資料'!$I$2:$I$335,C40)=0,"",MIN(IF(('7_參考資料'!$A$2:$A$335=B40)*('7_參考資料'!$I$2:$I$335=C40)*ISNUMBER('7_參考資料'!$T$2:$T$335),'7_參考資料'!$T$2:$T$335)))</f>
        <v/>
      </c>
      <c r="J40" s="41">
        <f t="array" ref="J40">IF(COUNTIFS('7_參考資料'!$A$2:$A$335,B40,'7_參考資料'!$I$2:$I$335,C40)=0,"",MAX(IF(('7_參考資料'!$A$2:$A$335=B40)*('7_參考資料'!$I$2:$I$335=C40)*ISNUMBER('7_參考資料'!$T$2:$T$335),'7_參考資料'!$U$2:$U$335)))</f>
        <v/>
      </c>
      <c r="K40" s="41">
        <f>IF(COUNTIFS('7_參考資料'!$A$2:$A$335,B40,'7_參考資料'!$I$2:$I$335,C40)=0,"",AVERAGEIFS('7_參考資料'!$J$2:$J$335,'7_參考資料'!$A$2:$A$335,B40,'7_參考資料'!$I$2:$I$335,C40))</f>
        <v/>
      </c>
      <c r="L40" s="41">
        <f>IF(OR(F40="",K40=""),"",IF(K40=0,"",F40/K40))</f>
        <v/>
      </c>
      <c r="M40" s="42">
        <f>IF(OR(F40="",I40=""),"",IF(F40&lt;I40,"偏低",IF(F40&gt;J40,"偏高","範圍內")))</f>
        <v/>
      </c>
      <c r="N40" s="13">
        <f>IF(OR(F40="",I40=""),"",COUNTIFS('7_參考資料'!$A$2:$A$335,B40,'7_參考資料'!$I$2:$I$335,C40,'7_參考資料'!$T$2:$T$335,"&lt;="&amp;F40,'7_參考資料'!$U$2:$U$335,"&gt;="&amp;F40)&amp;" / "&amp;COUNTIFS('7_參考資料'!$A$2:$A$335,B40,'7_參考資料'!$I$2:$I$335,C40))</f>
        <v/>
      </c>
      <c r="O40" s="14">
        <f>IFERROR(AVERAGEIFS('7_參考資料'!$J$2:$J$335,'7_參考資料'!$A$2:$A$335,B40,'7_參考資料'!$I$2:$I$335,"water"),"")</f>
        <v/>
      </c>
      <c r="P40" s="34">
        <f>IF(F40="","",IF(AND(M40&lt;&gt;"範圍內",ISNUMBER(L40),N(L40)&gt;0),IF(AND(ABS(ROUND(LOG10(L40),0))&gt;=1,ABS(ROUND(LOG10(L40),0))&lt;=3,ABS(LOG10(L40)-ROUND(LOG10(L40),0))&lt;LOG10(1.25)),"單位換算錯誤？實測約"&amp;IF(L40&gt;1,"高","低")&amp;" "&amp;10^ABS(ROUND(LOG10(L40),0))&amp;" 倍；",""),"")&amp;IF(AND(AND(M40&lt;&gt;"範圍內",ISNUMBER(L40),N(L40)&gt;0),C40="sodium"),IF(ABS(ABS(LOG10(L40))-LOG10('3_鈉與NaCl'!$C$7))&lt;LOG10(1.25),"Na 與 NaCl 混用？約 2.542 倍；",""),"")&amp;IF(AND(AND(M40&lt;&gt;"範圍內",ISNUMBER(L40),N(L40)&gt;0),ISNUMBER(H40),N(H40)&gt;1),IF(ABS(ABS(LOG10(L40))-LOG10(H40))&lt;LOG10(1.25),"稀釋倍數 "&amp;H40&amp;" 忘了乘或多乘？；",IF(AND(H40/10&lt;&gt;1,H40/10&lt;&gt;10,H40/10&lt;&gt;100,ABS(ABS(LOG10(L40))-LOG10(H40/10))&lt;LOG10(1.25)),"約 D/10 = "&amp;H40/10&amp;" 倍：忘了 ×D 並 ÷10 換成每 100 g？；","")),"")&amp;IF(AND(ISNUMBER(O40),N(O40)&gt;=3,ISNUMBER(K40),N(K40)&gt;0),IF(AND(ABS(F40/(K40/(1-O40/100))-1)&lt;0.05,ABS(F40/K40-1)&gt;0.08),"基準不一致？接近乾基參考值 "&amp;TEXT((K40/(1-O40/100)),"0.00")&amp;"（資料庫是濕基）；",""),""))</f>
        <v/>
      </c>
      <c r="R40" s="16" t="inlineStr">
        <is>
          <t>G8：糙米灰分以乾基計算（÷ 乾物重），卻當成一般濕基數值報告。它在「範圍內」，但旗標仍然抓得到。</t>
        </is>
      </c>
    </row>
    <row r="41" ht="45" customHeight="1">
      <c r="A41" s="19" t="inlineStr">
        <is>
          <t>G6/G7 改正（你算的，mg/100 mL）</t>
        </is>
      </c>
      <c r="B41" s="5" t="inlineStr">
        <is>
          <t>soy_sauce</t>
        </is>
      </c>
      <c r="C41" s="19" t="inlineStr">
        <is>
          <t>sodium</t>
        </is>
      </c>
      <c r="D41" s="44" t="n"/>
      <c r="E41" s="14">
        <f>'6_資料庫比對'!$H$10</f>
        <v/>
      </c>
      <c r="F41" s="32">
        <f>IF(D41="","",IF(ISNUMBER(E41),D41/E41,D41))</f>
        <v/>
      </c>
      <c r="G41" s="19" t="n"/>
      <c r="H41" s="28" t="n">
        <v>50</v>
      </c>
      <c r="I41" s="41">
        <f t="array" ref="I41">IF(COUNTIFS('7_參考資料'!$A$2:$A$335,B41,'7_參考資料'!$I$2:$I$335,C41)=0,"",MIN(IF(('7_參考資料'!$A$2:$A$335=B41)*('7_參考資料'!$I$2:$I$335=C41)*ISNUMBER('7_參考資料'!$T$2:$T$335),'7_參考資料'!$T$2:$T$335)))</f>
        <v/>
      </c>
      <c r="J41" s="41">
        <f t="array" ref="J41">IF(COUNTIFS('7_參考資料'!$A$2:$A$335,B41,'7_參考資料'!$I$2:$I$335,C41)=0,"",MAX(IF(('7_參考資料'!$A$2:$A$335=B41)*('7_參考資料'!$I$2:$I$335=C41)*ISNUMBER('7_參考資料'!$T$2:$T$335),'7_參考資料'!$U$2:$U$335)))</f>
        <v/>
      </c>
      <c r="K41" s="41">
        <f>IF(COUNTIFS('7_參考資料'!$A$2:$A$335,B41,'7_參考資料'!$I$2:$I$335,C41)=0,"",AVERAGEIFS('7_參考資料'!$J$2:$J$335,'7_參考資料'!$A$2:$A$335,B41,'7_參考資料'!$I$2:$I$335,C41))</f>
        <v/>
      </c>
      <c r="L41" s="41">
        <f>IF(OR(F41="",K41=""),"",IF(K41=0,"",F41/K41))</f>
        <v/>
      </c>
      <c r="M41" s="42">
        <f>IF(OR(F41="",I41=""),"",IF(F41&lt;I41,"偏低",IF(F41&gt;J41,"偏高","範圍內")))</f>
        <v/>
      </c>
      <c r="N41" s="13">
        <f>IF(OR(F41="",I41=""),"",COUNTIFS('7_參考資料'!$A$2:$A$335,B41,'7_參考資料'!$I$2:$I$335,C41,'7_參考資料'!$T$2:$T$335,"&lt;="&amp;F41,'7_參考資料'!$U$2:$U$335,"&gt;="&amp;F41)&amp;" / "&amp;COUNTIFS('7_參考資料'!$A$2:$A$335,B41,'7_參考資料'!$I$2:$I$335,C41))</f>
        <v/>
      </c>
      <c r="O41" s="14">
        <f>IFERROR(AVERAGEIFS('7_參考資料'!$J$2:$J$335,'7_參考資料'!$A$2:$A$335,B41,'7_參考資料'!$I$2:$I$335,"water"),"")</f>
        <v/>
      </c>
      <c r="P41" s="34">
        <f>IF(F41="","",IF(AND(M41&lt;&gt;"範圍內",ISNUMBER(L41),N(L41)&gt;0),IF(AND(ABS(ROUND(LOG10(L41),0))&gt;=1,ABS(ROUND(LOG10(L41),0))&lt;=3,ABS(LOG10(L41)-ROUND(LOG10(L41),0))&lt;LOG10(1.25)),"單位換算錯誤？實測約"&amp;IF(L41&gt;1,"高","低")&amp;" "&amp;10^ABS(ROUND(LOG10(L41),0))&amp;" 倍；",""),"")&amp;IF(AND(AND(M41&lt;&gt;"範圍內",ISNUMBER(L41),N(L41)&gt;0),C41="sodium"),IF(ABS(ABS(LOG10(L41))-LOG10('3_鈉與NaCl'!$C$7))&lt;LOG10(1.25),"Na 與 NaCl 混用？約 2.542 倍；",""),"")&amp;IF(AND(AND(M41&lt;&gt;"範圍內",ISNUMBER(L41),N(L41)&gt;0),ISNUMBER(H41),N(H41)&gt;1),IF(ABS(ABS(LOG10(L41))-LOG10(H41))&lt;LOG10(1.25),"稀釋倍數 "&amp;H41&amp;" 忘了乘或多乘？；",IF(AND(H41/10&lt;&gt;1,H41/10&lt;&gt;10,H41/10&lt;&gt;100,ABS(ABS(LOG10(L41))-LOG10(H41/10))&lt;LOG10(1.25)),"約 D/10 = "&amp;H41/10&amp;" 倍：忘了 ×D 並 ÷10 換成每 100 g？；","")),"")&amp;IF(AND(ISNUMBER(O41),N(O41)&gt;=3,ISNUMBER(K41),N(K41)&gt;0),IF(AND(ABS(F41/(K41/(1-O41/100))-1)&lt;0.05,ABS(F41/K41-1)&gt;0.08),"基準不一致？接近乾基參考值 "&amp;TEXT((K41/(1-O41/100)),"0.00")&amp;"（資料庫是濕基）；",""),""))</f>
        <v/>
      </c>
      <c r="R41" s="16" t="inlineStr">
        <is>
          <t>練習題 6：在黃色 D 欄填你改正後的醬油 Na（mg/100 mL；E 欄會自動除以密度），看判定與旗標怎麼變。</t>
        </is>
      </c>
    </row>
    <row r="42" ht="45" customHeight="1">
      <c r="A42" s="19" t="inlineStr">
        <is>
          <t>G8 改正（你算的，濕基）</t>
        </is>
      </c>
      <c r="B42" s="5" t="inlineStr">
        <is>
          <t>brown_rice</t>
        </is>
      </c>
      <c r="C42" s="19" t="inlineStr">
        <is>
          <t>ash</t>
        </is>
      </c>
      <c r="D42" s="44" t="n"/>
      <c r="E42" s="19" t="n"/>
      <c r="F42" s="32">
        <f>IF(D42="","",IF(ISNUMBER(E42),D42/E42,D42))</f>
        <v/>
      </c>
      <c r="G42" s="19" t="n"/>
      <c r="H42" s="19" t="n"/>
      <c r="I42" s="41">
        <f t="array" ref="I42">IF(COUNTIFS('7_參考資料'!$A$2:$A$335,B42,'7_參考資料'!$I$2:$I$335,C42)=0,"",MIN(IF(('7_參考資料'!$A$2:$A$335=B42)*('7_參考資料'!$I$2:$I$335=C42)*ISNUMBER('7_參考資料'!$T$2:$T$335),'7_參考資料'!$T$2:$T$335)))</f>
        <v/>
      </c>
      <c r="J42" s="41">
        <f t="array" ref="J42">IF(COUNTIFS('7_參考資料'!$A$2:$A$335,B42,'7_參考資料'!$I$2:$I$335,C42)=0,"",MAX(IF(('7_參考資料'!$A$2:$A$335=B42)*('7_參考資料'!$I$2:$I$335=C42)*ISNUMBER('7_參考資料'!$T$2:$T$335),'7_參考資料'!$U$2:$U$335)))</f>
        <v/>
      </c>
      <c r="K42" s="41">
        <f>IF(COUNTIFS('7_參考資料'!$A$2:$A$335,B42,'7_參考資料'!$I$2:$I$335,C42)=0,"",AVERAGEIFS('7_參考資料'!$J$2:$J$335,'7_參考資料'!$A$2:$A$335,B42,'7_參考資料'!$I$2:$I$335,C42))</f>
        <v/>
      </c>
      <c r="L42" s="41">
        <f>IF(OR(F42="",K42=""),"",IF(K42=0,"",F42/K42))</f>
        <v/>
      </c>
      <c r="M42" s="42">
        <f>IF(OR(F42="",I42=""),"",IF(F42&lt;I42,"偏低",IF(F42&gt;J42,"偏高","範圍內")))</f>
        <v/>
      </c>
      <c r="N42" s="13">
        <f>IF(OR(F42="",I42=""),"",COUNTIFS('7_參考資料'!$A$2:$A$335,B42,'7_參考資料'!$I$2:$I$335,C42,'7_參考資料'!$T$2:$T$335,"&lt;="&amp;F42,'7_參考資料'!$U$2:$U$335,"&gt;="&amp;F42)&amp;" / "&amp;COUNTIFS('7_參考資料'!$A$2:$A$335,B42,'7_參考資料'!$I$2:$I$335,C42))</f>
        <v/>
      </c>
      <c r="O42" s="14">
        <f>IFERROR(AVERAGEIFS('7_參考資料'!$J$2:$J$335,'7_參考資料'!$A$2:$A$335,B42,'7_參考資料'!$I$2:$I$335,"water"),"")</f>
        <v/>
      </c>
      <c r="P42" s="34">
        <f>IF(F42="","",IF(AND(M42&lt;&gt;"範圍內",ISNUMBER(L42),N(L42)&gt;0),IF(AND(ABS(ROUND(LOG10(L42),0))&gt;=1,ABS(ROUND(LOG10(L42),0))&lt;=3,ABS(LOG10(L42)-ROUND(LOG10(L42),0))&lt;LOG10(1.25)),"單位換算錯誤？實測約"&amp;IF(L42&gt;1,"高","低")&amp;" "&amp;10^ABS(ROUND(LOG10(L42),0))&amp;" 倍；",""),"")&amp;IF(AND(AND(M42&lt;&gt;"範圍內",ISNUMBER(L42),N(L42)&gt;0),C42="sodium"),IF(ABS(ABS(LOG10(L42))-LOG10('3_鈉與NaCl'!$C$7))&lt;LOG10(1.25),"Na 與 NaCl 混用？約 2.542 倍；",""),"")&amp;IF(AND(AND(M42&lt;&gt;"範圍內",ISNUMBER(L42),N(L42)&gt;0),ISNUMBER(H42),N(H42)&gt;1),IF(ABS(ABS(LOG10(L42))-LOG10(H42))&lt;LOG10(1.25),"稀釋倍數 "&amp;H42&amp;" 忘了乘或多乘？；",IF(AND(H42/10&lt;&gt;1,H42/10&lt;&gt;10,H42/10&lt;&gt;100,ABS(ABS(LOG10(L42))-LOG10(H42/10))&lt;LOG10(1.25)),"約 D/10 = "&amp;H42/10&amp;" 倍：忘了 ×D 並 ÷10 換成每 100 g？；","")),"")&amp;IF(AND(ISNUMBER(O42),N(O42)&gt;=3,ISNUMBER(K42),N(K42)&gt;0),IF(AND(ABS(F42/(K42/(1-O42/100))-1)&lt;0.05,ABS(F42/K42-1)&gt;0.08),"基準不一致？接近乾基參考值 "&amp;TEXT((K42/(1-O42/100)),"0.00")&amp;"（資料庫是濕基）；",""),""))</f>
        <v/>
      </c>
      <c r="R42" s="16" t="inlineStr">
        <is>
          <t>練習題 6：填你改正後的糙米濕基灰分 %。</t>
        </is>
      </c>
    </row>
    <row r="44">
      <c r="A44" s="3" t="inlineStr">
        <is>
          <t>基準很重要：同一包即食湯，乾粉與沖泡後差幾十倍</t>
        </is>
      </c>
    </row>
    <row r="45">
      <c r="A45" s="19" t="inlineStr">
        <is>
          <t>乾粉資料庫平均 (mg/100 g)</t>
        </is>
      </c>
      <c r="B45" s="20" t="n"/>
      <c r="C45" s="21" t="n"/>
      <c r="D45" s="25">
        <f>AVERAGEIFS('7_參考資料'!$J$2:$J$335,'7_參考資料'!$A$2:$A$335,"soup_powder_dry",'7_參考資料'!$I$2:$I$335,"sodium")</f>
        <v/>
      </c>
      <c r="E45" s="16" t="inlineStr">
        <is>
          <t>把沖泡後的湯拿去跟乾粉資料庫比，一定會「偏低」幾十倍——那不是量錯，是基準選錯。</t>
        </is>
      </c>
    </row>
    <row r="46">
      <c r="A46" s="19" t="inlineStr">
        <is>
          <t>本班即食湯（沖泡後）(mg/100 g)</t>
        </is>
      </c>
      <c r="B46" s="20" t="n"/>
      <c r="C46" s="21" t="n"/>
      <c r="D46" s="25">
        <f>F23</f>
        <v/>
      </c>
    </row>
    <row r="47">
      <c r="A47" s="19" t="inlineStr">
        <is>
          <t>倍數</t>
        </is>
      </c>
      <c r="B47" s="20" t="n"/>
      <c r="C47" s="21" t="n"/>
      <c r="D47" s="45">
        <f>D45/D46</f>
        <v/>
      </c>
    </row>
  </sheetData>
  <mergeCells count="9">
    <mergeCell ref="A28:P28"/>
    <mergeCell ref="E45:P46"/>
    <mergeCell ref="A47:C47"/>
    <mergeCell ref="A45:C45"/>
    <mergeCell ref="F10:G10"/>
    <mergeCell ref="A2:R2"/>
    <mergeCell ref="A46:C46"/>
    <mergeCell ref="I10:P11"/>
    <mergeCell ref="F5:P8"/>
  </mergeCells>
  <conditionalFormatting sqref="M16:M25">
    <cfRule type="expression" priority="1" dxfId="0">
      <formula>M16&lt;&gt;"範圍內"</formula>
    </cfRule>
  </conditionalFormatting>
  <conditionalFormatting sqref="B30:F34">
    <cfRule type="expression" priority="2" dxfId="0">
      <formula>B30&lt;&gt;"範圍內"</formula>
    </cfRule>
  </conditionalFormatting>
  <conditionalFormatting sqref="M38:M42">
    <cfRule type="expression" priority="3" dxfId="0">
      <formula>AND(M38&lt;&gt;"範圍內",M38&lt;&gt;"")</formula>
    </cfRule>
  </conditionalFormatting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 fitToPage="0"/>
  </sheetPr>
  <dimension ref="A1:X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7" customWidth="1" min="3" max="3"/>
    <col width="12" customWidth="1" min="4" max="4"/>
    <col width="11" customWidth="1" min="5" max="5"/>
    <col width="36" customWidth="1" min="6" max="6"/>
    <col width="9" customWidth="1" min="7" max="7"/>
    <col width="8" customWidth="1" min="8" max="8"/>
    <col width="13" customWidth="1" min="9" max="9"/>
    <col width="10" customWidth="1" min="10" max="10"/>
    <col width="6" customWidth="1" min="11" max="11"/>
    <col width="6" customWidth="1" min="12" max="12"/>
    <col width="7" customWidth="1" min="13" max="13"/>
    <col width="8" customWidth="1" min="14" max="14"/>
    <col width="8" customWidth="1" min="15" max="15"/>
    <col width="8" customWidth="1" min="16" max="16"/>
    <col width="20" customWidth="1" min="17" max="17"/>
    <col width="10" customWidth="1" min="18" max="18"/>
    <col width="9" customWidth="1" min="19" max="19"/>
    <col width="10" customWidth="1" min="20" max="20"/>
    <col width="10" customWidth="1" min="21" max="21"/>
    <col width="12" customWidth="1" min="22" max="22"/>
    <col width="64" customWidth="1" min="24" max="24"/>
  </cols>
  <sheetData>
    <row r="1">
      <c r="A1" s="9" t="inlineStr">
        <is>
          <t>food_key</t>
        </is>
      </c>
      <c r="B1" s="9" t="inlineStr">
        <is>
          <t>name_zh</t>
        </is>
      </c>
      <c r="C1" s="9" t="inlineStr">
        <is>
          <t>db</t>
        </is>
      </c>
      <c r="D1" s="9" t="inlineStr">
        <is>
          <t>dataset</t>
        </is>
      </c>
      <c r="E1" s="9" t="inlineStr">
        <is>
          <t>id</t>
        </is>
      </c>
      <c r="F1" s="9" t="inlineStr">
        <is>
          <t>name</t>
        </is>
      </c>
      <c r="G1" s="9" t="inlineStr">
        <is>
          <t>match</t>
        </is>
      </c>
      <c r="H1" s="9" t="inlineStr">
        <is>
          <t>n_factor</t>
        </is>
      </c>
      <c r="I1" s="9" t="inlineStr">
        <is>
          <t>nutrient</t>
        </is>
      </c>
      <c r="J1" s="9" t="inlineStr">
        <is>
          <t>value</t>
        </is>
      </c>
      <c r="K1" s="9" t="inlineStr">
        <is>
          <t>unit</t>
        </is>
      </c>
      <c r="L1" s="9" t="inlineStr">
        <is>
          <t>n</t>
        </is>
      </c>
      <c r="M1" s="9" t="inlineStr">
        <is>
          <t>sd</t>
        </is>
      </c>
      <c r="N1" s="9" t="inlineStr">
        <is>
          <t>min</t>
        </is>
      </c>
      <c r="O1" s="9" t="inlineStr">
        <is>
          <t>max</t>
        </is>
      </c>
      <c r="P1" s="9" t="inlineStr">
        <is>
          <t>median</t>
        </is>
      </c>
      <c r="Q1" s="9" t="inlineStr">
        <is>
          <t>derivation</t>
        </is>
      </c>
      <c r="R1" s="46" t="inlineStr">
        <is>
          <t>相對容許差</t>
        </is>
      </c>
      <c r="S1" s="46" t="inlineStr">
        <is>
          <t>絕對下限</t>
        </is>
      </c>
      <c r="T1" s="46" t="inlineStr">
        <is>
          <t>本筆下限</t>
        </is>
      </c>
      <c r="U1" s="46" t="inlineStr">
        <is>
          <t>本筆上限</t>
        </is>
      </c>
      <c r="V1" s="46" t="inlineStr">
        <is>
          <t>涵蓋本班值？</t>
        </is>
      </c>
      <c r="X1" s="3" t="inlineStr">
        <is>
          <t>這張工作表是什麼</t>
        </is>
      </c>
    </row>
    <row r="2" ht="45" customHeight="1">
      <c r="A2" s="47" t="inlineStr">
        <is>
          <t>whole_milk_powder</t>
        </is>
      </c>
      <c r="B2" s="47" t="inlineStr">
        <is>
          <t>全脂奶粉</t>
        </is>
      </c>
      <c r="C2" s="47" t="inlineStr">
        <is>
          <t>USDA</t>
        </is>
      </c>
      <c r="D2" s="47" t="inlineStr">
        <is>
          <t>SR Legacy</t>
        </is>
      </c>
      <c r="E2" s="47" t="n">
        <v>170876</v>
      </c>
      <c r="F2" s="47" t="inlineStr">
        <is>
          <t>Milk, dry, whole, with added vitamin D</t>
        </is>
      </c>
      <c r="G2" s="47" t="inlineStr">
        <is>
          <t>exact</t>
        </is>
      </c>
      <c r="H2" s="47" t="n">
        <v>6.38</v>
      </c>
      <c r="I2" s="47" t="inlineStr">
        <is>
          <t>water</t>
        </is>
      </c>
      <c r="J2" s="47" t="n">
        <v>2.47</v>
      </c>
      <c r="K2" s="47" t="inlineStr">
        <is>
          <t>g</t>
        </is>
      </c>
      <c r="L2" s="47" t="n">
        <v>25</v>
      </c>
      <c r="M2" s="47" t="n"/>
      <c r="N2" s="47" t="n"/>
      <c r="O2" s="47" t="n"/>
      <c r="P2" s="47" t="n"/>
      <c r="Q2" s="47" t="n"/>
      <c r="R2" s="48">
        <f>IF(OR($A2="",$J2=""),"",IFERROR(VLOOKUP(I2,'6_資料庫比對'!$A$6:$C$12,2,FALSE),""))</f>
        <v/>
      </c>
      <c r="S2" s="49">
        <f>IF(OR($A2="",$J2=""),"",IFERROR(VLOOKUP(I2,'6_資料庫比對'!$A$6:$C$12,3,FALSE),""))</f>
        <v/>
      </c>
      <c r="T2" s="50">
        <f>IF(OR($A2="",$J2=""),"",MAX(0,IF(AND(N2&lt;&gt;"",O2&lt;&gt;""),MIN(J2-MAX(R2*ABS(J2),S2),N2),IF(AND(M2&lt;&gt;"",N(L2)&gt;=2),MIN(J2-MAX(R2*ABS(J2),S2),J2-2*M2),J2-MAX(R2*ABS(J2),S2)))))</f>
        <v/>
      </c>
      <c r="U2" s="50">
        <f>IF(OR($A2="",$J2=""),"",IF(AND(N2&lt;&gt;"",O2&lt;&gt;""),MAX(J2+MAX(R2*ABS(J2),S2),O2),IF(AND(M2&lt;&gt;"",N(L2)&gt;=2),MAX(J2+MAX(R2*ABS(J2),S2),J2+2*M2),J2+MAX(R2*ABS(J2),S2))))</f>
        <v/>
      </c>
      <c r="V2" s="51">
        <f>IF(OR($A2="",$J2=""),"",IF(COUNTIFS('6_資料庫比對'!$B$16:$B$25,A2,'6_資料庫比對'!$C$16:$C$25,I2)=0,"",IF(AND(SUMIFS('6_資料庫比對'!$F$16:$F$25,'6_資料庫比對'!$B$16:$B$25,A2,'6_資料庫比對'!$C$16:$C$25,I2)&gt;=T2,SUMIFS('6_資料庫比對'!$F$16:$F$25,'6_資料庫比對'!$B$16:$B$25,A2,'6_資料庫比對'!$C$16:$C$25,I2)&lt;=U2),"✓ 涵蓋","✗ 不涵蓋")))</f>
        <v/>
      </c>
      <c r="X2" s="16" t="inlineStr">
        <is>
          <t>內容＝課程的 data/reference_foods.csv（原樣貼上，灰色；一般不用改）。每一列是「一個食品 × 一筆資料庫品項 × 一個營養素」，數值都是每 100 g 可食部分（鈉為 mg，其他為 g）。</t>
        </is>
      </c>
    </row>
    <row r="3" ht="45" customHeight="1">
      <c r="A3" s="47" t="inlineStr">
        <is>
          <t>whole_milk_powder</t>
        </is>
      </c>
      <c r="B3" s="47" t="inlineStr">
        <is>
          <t>全脂奶粉</t>
        </is>
      </c>
      <c r="C3" s="47" t="inlineStr">
        <is>
          <t>USDA</t>
        </is>
      </c>
      <c r="D3" s="47" t="inlineStr">
        <is>
          <t>SR Legacy</t>
        </is>
      </c>
      <c r="E3" s="47" t="n">
        <v>170876</v>
      </c>
      <c r="F3" s="47" t="inlineStr">
        <is>
          <t>Milk, dry, whole, with added vitamin D</t>
        </is>
      </c>
      <c r="G3" s="47" t="inlineStr">
        <is>
          <t>exact</t>
        </is>
      </c>
      <c r="H3" s="47" t="n">
        <v>6.38</v>
      </c>
      <c r="I3" s="47" t="inlineStr">
        <is>
          <t>protein</t>
        </is>
      </c>
      <c r="J3" s="47" t="n">
        <v>26.32</v>
      </c>
      <c r="K3" s="47" t="inlineStr">
        <is>
          <t>g</t>
        </is>
      </c>
      <c r="L3" s="47" t="n">
        <v>22</v>
      </c>
      <c r="M3" s="47" t="n"/>
      <c r="N3" s="47" t="n"/>
      <c r="O3" s="47" t="n"/>
      <c r="P3" s="47" t="n"/>
      <c r="Q3" s="47" t="n"/>
      <c r="R3" s="48">
        <f>IF(OR($A3="",$J3=""),"",IFERROR(VLOOKUP(I3,'6_資料庫比對'!$A$6:$C$12,2,FALSE),""))</f>
        <v/>
      </c>
      <c r="S3" s="49">
        <f>IF(OR($A3="",$J3=""),"",IFERROR(VLOOKUP(I3,'6_資料庫比對'!$A$6:$C$12,3,FALSE),""))</f>
        <v/>
      </c>
      <c r="T3" s="50">
        <f>IF(OR($A3="",$J3=""),"",MAX(0,IF(AND(N3&lt;&gt;"",O3&lt;&gt;""),MIN(J3-MAX(R3*ABS(J3),S3),N3),IF(AND(M3&lt;&gt;"",N(L3)&gt;=2),MIN(J3-MAX(R3*ABS(J3),S3),J3-2*M3),J3-MAX(R3*ABS(J3),S3)))))</f>
        <v/>
      </c>
      <c r="U3" s="50">
        <f>IF(OR($A3="",$J3=""),"",IF(AND(N3&lt;&gt;"",O3&lt;&gt;""),MAX(J3+MAX(R3*ABS(J3),S3),O3),IF(AND(M3&lt;&gt;"",N(L3)&gt;=2),MAX(J3+MAX(R3*ABS(J3),S3),J3+2*M3),J3+MAX(R3*ABS(J3),S3))))</f>
        <v/>
      </c>
      <c r="V3" s="51">
        <f>IF(OR($A3="",$J3=""),"",IF(COUNTIFS('6_資料庫比對'!$B$16:$B$25,A3,'6_資料庫比對'!$C$16:$C$25,I3)=0,"",IF(AND(SUMIFS('6_資料庫比對'!$F$16:$F$25,'6_資料庫比對'!$B$16:$B$25,A3,'6_資料庫比對'!$C$16:$C$25,I3)&gt;=T3,SUMIFS('6_資料庫比對'!$F$16:$F$25,'6_資料庫比對'!$B$16:$B$25,A3,'6_資料庫比對'!$C$16:$C$25,I3)&lt;=U3),"✓ 涵蓋","✗ 不涵蓋")))</f>
        <v/>
      </c>
      <c r="X3" s="16" t="inlineStr">
        <is>
          <t>資料來源：USDA FoodData Central（SR Legacy 2018-04；Foundation Foods 2026-04-30），公共領域／CC0 1.0。</t>
        </is>
      </c>
    </row>
    <row r="4" ht="45" customHeight="1">
      <c r="A4" s="47" t="inlineStr">
        <is>
          <t>whole_milk_powder</t>
        </is>
      </c>
      <c r="B4" s="47" t="inlineStr">
        <is>
          <t>全脂奶粉</t>
        </is>
      </c>
      <c r="C4" s="47" t="inlineStr">
        <is>
          <t>USDA</t>
        </is>
      </c>
      <c r="D4" s="47" t="inlineStr">
        <is>
          <t>SR Legacy</t>
        </is>
      </c>
      <c r="E4" s="47" t="n">
        <v>170876</v>
      </c>
      <c r="F4" s="47" t="inlineStr">
        <is>
          <t>Milk, dry, whole, with added vitamin D</t>
        </is>
      </c>
      <c r="G4" s="47" t="inlineStr">
        <is>
          <t>exact</t>
        </is>
      </c>
      <c r="H4" s="47" t="n">
        <v>6.38</v>
      </c>
      <c r="I4" s="47" t="inlineStr">
        <is>
          <t>fat</t>
        </is>
      </c>
      <c r="J4" s="47" t="n">
        <v>26.71</v>
      </c>
      <c r="K4" s="47" t="inlineStr">
        <is>
          <t>g</t>
        </is>
      </c>
      <c r="L4" s="47" t="n">
        <v>30</v>
      </c>
      <c r="M4" s="47" t="n"/>
      <c r="N4" s="47" t="n"/>
      <c r="O4" s="47" t="n"/>
      <c r="P4" s="47" t="n"/>
      <c r="Q4" s="47" t="n"/>
      <c r="R4" s="48">
        <f>IF(OR($A4="",$J4=""),"",IFERROR(VLOOKUP(I4,'6_資料庫比對'!$A$6:$C$12,2,FALSE),""))</f>
        <v/>
      </c>
      <c r="S4" s="49">
        <f>IF(OR($A4="",$J4=""),"",IFERROR(VLOOKUP(I4,'6_資料庫比對'!$A$6:$C$12,3,FALSE),""))</f>
        <v/>
      </c>
      <c r="T4" s="50">
        <f>IF(OR($A4="",$J4=""),"",MAX(0,IF(AND(N4&lt;&gt;"",O4&lt;&gt;""),MIN(J4-MAX(R4*ABS(J4),S4),N4),IF(AND(M4&lt;&gt;"",N(L4)&gt;=2),MIN(J4-MAX(R4*ABS(J4),S4),J4-2*M4),J4-MAX(R4*ABS(J4),S4)))))</f>
        <v/>
      </c>
      <c r="U4" s="50">
        <f>IF(OR($A4="",$J4=""),"",IF(AND(N4&lt;&gt;"",O4&lt;&gt;""),MAX(J4+MAX(R4*ABS(J4),S4),O4),IF(AND(M4&lt;&gt;"",N(L4)&gt;=2),MAX(J4+MAX(R4*ABS(J4),S4),J4+2*M4),J4+MAX(R4*ABS(J4),S4))))</f>
        <v/>
      </c>
      <c r="V4" s="51">
        <f>IF(OR($A4="",$J4=""),"",IF(COUNTIFS('6_資料庫比對'!$B$16:$B$25,A4,'6_資料庫比對'!$C$16:$C$25,I4)=0,"",IF(AND(SUMIFS('6_資料庫比對'!$F$16:$F$25,'6_資料庫比對'!$B$16:$B$25,A4,'6_資料庫比對'!$C$16:$C$25,I4)&gt;=T4,SUMIFS('6_資料庫比對'!$F$16:$F$25,'6_資料庫比對'!$B$16:$B$25,A4,'6_資料庫比對'!$C$16:$C$25,I4)&lt;=U4),"✓ 涵蓋","✗ 不涵蓋")))</f>
        <v/>
      </c>
      <c r="X4" s="16" t="inlineStr">
        <is>
          <t>資料來源：衛生福利部食品藥物管理署「食品營養成分資料庫」（政府資料開放平臺 data.gov.tw 資料集 8543），依政府資料開放授權條款第1版釋出。使用本表數字時請註明出處。</t>
        </is>
      </c>
    </row>
    <row r="5" ht="45" customHeight="1">
      <c r="A5" s="47" t="inlineStr">
        <is>
          <t>whole_milk_powder</t>
        </is>
      </c>
      <c r="B5" s="47" t="inlineStr">
        <is>
          <t>全脂奶粉</t>
        </is>
      </c>
      <c r="C5" s="47" t="inlineStr">
        <is>
          <t>USDA</t>
        </is>
      </c>
      <c r="D5" s="47" t="inlineStr">
        <is>
          <t>SR Legacy</t>
        </is>
      </c>
      <c r="E5" s="47" t="n">
        <v>170876</v>
      </c>
      <c r="F5" s="47" t="inlineStr">
        <is>
          <t>Milk, dry, whole, with added vitamin D</t>
        </is>
      </c>
      <c r="G5" s="47" t="inlineStr">
        <is>
          <t>exact</t>
        </is>
      </c>
      <c r="H5" s="47" t="n">
        <v>6.38</v>
      </c>
      <c r="I5" s="47" t="inlineStr">
        <is>
          <t>ash</t>
        </is>
      </c>
      <c r="J5" s="47" t="n">
        <v>6.08</v>
      </c>
      <c r="K5" s="47" t="inlineStr">
        <is>
          <t>g</t>
        </is>
      </c>
      <c r="L5" s="47" t="n">
        <v>20</v>
      </c>
      <c r="M5" s="47" t="n"/>
      <c r="N5" s="47" t="n"/>
      <c r="O5" s="47" t="n"/>
      <c r="P5" s="47" t="n"/>
      <c r="Q5" s="47" t="n"/>
      <c r="R5" s="48">
        <f>IF(OR($A5="",$J5=""),"",IFERROR(VLOOKUP(I5,'6_資料庫比對'!$A$6:$C$12,2,FALSE),""))</f>
        <v/>
      </c>
      <c r="S5" s="49">
        <f>IF(OR($A5="",$J5=""),"",IFERROR(VLOOKUP(I5,'6_資料庫比對'!$A$6:$C$12,3,FALSE),""))</f>
        <v/>
      </c>
      <c r="T5" s="50">
        <f>IF(OR($A5="",$J5=""),"",MAX(0,IF(AND(N5&lt;&gt;"",O5&lt;&gt;""),MIN(J5-MAX(R5*ABS(J5),S5),N5),IF(AND(M5&lt;&gt;"",N(L5)&gt;=2),MIN(J5-MAX(R5*ABS(J5),S5),J5-2*M5),J5-MAX(R5*ABS(J5),S5)))))</f>
        <v/>
      </c>
      <c r="U5" s="50">
        <f>IF(OR($A5="",$J5=""),"",IF(AND(N5&lt;&gt;"",O5&lt;&gt;""),MAX(J5+MAX(R5*ABS(J5),S5),O5),IF(AND(M5&lt;&gt;"",N(L5)&gt;=2),MAX(J5+MAX(R5*ABS(J5),S5),J5+2*M5),J5+MAX(R5*ABS(J5),S5))))</f>
        <v/>
      </c>
      <c r="V5" s="51">
        <f>IF(OR($A5="",$J5=""),"",IF(COUNTIFS('6_資料庫比對'!$B$16:$B$25,A5,'6_資料庫比對'!$C$16:$C$25,I5)=0,"",IF(AND(SUMIFS('6_資料庫比對'!$F$16:$F$25,'6_資料庫比對'!$B$16:$B$25,A5,'6_資料庫比對'!$C$16:$C$25,I5)&gt;=T5,SUMIFS('6_資料庫比對'!$F$16:$F$25,'6_資料庫比對'!$B$16:$B$25,A5,'6_資料庫比對'!$C$16:$C$25,I5)&lt;=U5),"✓ 涵蓋","✗ 不涵蓋")))</f>
        <v/>
      </c>
      <c r="X5" s="16" t="inlineStr">
        <is>
          <t>n＝樣本數（USDA 為 data points；n = 0 代表不是直接分析值，看 derivation）。sd 只有 TFND 有；min／max 只有部分 USDA 品項有。</t>
        </is>
      </c>
    </row>
    <row r="6" ht="30" customHeight="1">
      <c r="A6" s="47" t="inlineStr">
        <is>
          <t>whole_milk_powder</t>
        </is>
      </c>
      <c r="B6" s="47" t="inlineStr">
        <is>
          <t>全脂奶粉</t>
        </is>
      </c>
      <c r="C6" s="47" t="inlineStr">
        <is>
          <t>USDA</t>
        </is>
      </c>
      <c r="D6" s="47" t="inlineStr">
        <is>
          <t>SR Legacy</t>
        </is>
      </c>
      <c r="E6" s="47" t="n">
        <v>170876</v>
      </c>
      <c r="F6" s="47" t="inlineStr">
        <is>
          <t>Milk, dry, whole, with added vitamin D</t>
        </is>
      </c>
      <c r="G6" s="47" t="inlineStr">
        <is>
          <t>exact</t>
        </is>
      </c>
      <c r="H6" s="47" t="n">
        <v>6.38</v>
      </c>
      <c r="I6" s="47" t="inlineStr">
        <is>
          <t>carbohydrate</t>
        </is>
      </c>
      <c r="J6" s="47" t="n">
        <v>38.42</v>
      </c>
      <c r="K6" s="47" t="inlineStr">
        <is>
          <t>g</t>
        </is>
      </c>
      <c r="L6" s="47" t="n">
        <v>0</v>
      </c>
      <c r="M6" s="47" t="n"/>
      <c r="N6" s="47" t="n"/>
      <c r="O6" s="47" t="n"/>
      <c r="P6" s="47" t="n"/>
      <c r="Q6" s="47" t="inlineStr">
        <is>
          <t>NC: Calculated</t>
        </is>
      </c>
      <c r="R6" s="48">
        <f>IF(OR($A6="",$J6=""),"",IFERROR(VLOOKUP(I6,'6_資料庫比對'!$A$6:$C$12,2,FALSE),""))</f>
        <v/>
      </c>
      <c r="S6" s="49">
        <f>IF(OR($A6="",$J6=""),"",IFERROR(VLOOKUP(I6,'6_資料庫比對'!$A$6:$C$12,3,FALSE),""))</f>
        <v/>
      </c>
      <c r="T6" s="50">
        <f>IF(OR($A6="",$J6=""),"",MAX(0,IF(AND(N6&lt;&gt;"",O6&lt;&gt;""),MIN(J6-MAX(R6*ABS(J6),S6),N6),IF(AND(M6&lt;&gt;"",N(L6)&gt;=2),MIN(J6-MAX(R6*ABS(J6),S6),J6-2*M6),J6-MAX(R6*ABS(J6),S6)))))</f>
        <v/>
      </c>
      <c r="U6" s="50">
        <f>IF(OR($A6="",$J6=""),"",IF(AND(N6&lt;&gt;"",O6&lt;&gt;""),MAX(J6+MAX(R6*ABS(J6),S6),O6),IF(AND(M6&lt;&gt;"",N(L6)&gt;=2),MAX(J6+MAX(R6*ABS(J6),S6),J6+2*M6),J6+MAX(R6*ABS(J6),S6))))</f>
        <v/>
      </c>
      <c r="V6" s="51">
        <f>IF(OR($A6="",$J6=""),"",IF(COUNTIFS('6_資料庫比對'!$B$16:$B$25,A6,'6_資料庫比對'!$C$16:$C$25,I6)=0,"",IF(AND(SUMIFS('6_資料庫比對'!$F$16:$F$25,'6_資料庫比對'!$B$16:$B$25,A6,'6_資料庫比對'!$C$16:$C$25,I6)&gt;=T6,SUMIFS('6_資料庫比對'!$F$16:$F$25,'6_資料庫比對'!$B$16:$B$25,A6,'6_資料庫比對'!$C$16:$C$25,I6)&lt;=U6),"✓ 涵蓋","✗ 不涵蓋")))</f>
        <v/>
      </c>
      <c r="X6" s="16" t="inlineStr">
        <is>
          <t>match = closest 代表只是最接近的品項（例如 USDA 的 brown sugar 是美式紅糖，不是台灣黑糖）。</t>
        </is>
      </c>
    </row>
    <row r="7" ht="60" customHeight="1">
      <c r="A7" s="47" t="inlineStr">
        <is>
          <t>whole_milk_powder</t>
        </is>
      </c>
      <c r="B7" s="47" t="inlineStr">
        <is>
          <t>全脂奶粉</t>
        </is>
      </c>
      <c r="C7" s="47" t="inlineStr">
        <is>
          <t>USDA</t>
        </is>
      </c>
      <c r="D7" s="47" t="inlineStr">
        <is>
          <t>SR Legacy</t>
        </is>
      </c>
      <c r="E7" s="47" t="n">
        <v>170876</v>
      </c>
      <c r="F7" s="47" t="inlineStr">
        <is>
          <t>Milk, dry, whole, with added vitamin D</t>
        </is>
      </c>
      <c r="G7" s="47" t="inlineStr">
        <is>
          <t>exact</t>
        </is>
      </c>
      <c r="H7" s="47" t="n">
        <v>6.38</v>
      </c>
      <c r="I7" s="47" t="inlineStr">
        <is>
          <t>sugars_total</t>
        </is>
      </c>
      <c r="J7" s="47" t="n">
        <v>38.42</v>
      </c>
      <c r="K7" s="47" t="inlineStr">
        <is>
          <t>g</t>
        </is>
      </c>
      <c r="L7" s="47" t="n">
        <v>0</v>
      </c>
      <c r="M7" s="47" t="n"/>
      <c r="N7" s="47" t="n"/>
      <c r="O7" s="47" t="n"/>
      <c r="P7" s="47" t="n"/>
      <c r="Q7" s="47" t="inlineStr">
        <is>
          <t>NR: Nutrient that is based on other nutrient/s; value used directly, ex. Nut.#204 from Nut.#298</t>
        </is>
      </c>
      <c r="R7" s="48">
        <f>IF(OR($A7="",$J7=""),"",IFERROR(VLOOKUP(I7,'6_資料庫比對'!$A$6:$C$12,2,FALSE),""))</f>
        <v/>
      </c>
      <c r="S7" s="49">
        <f>IF(OR($A7="",$J7=""),"",IFERROR(VLOOKUP(I7,'6_資料庫比對'!$A$6:$C$12,3,FALSE),""))</f>
        <v/>
      </c>
      <c r="T7" s="50">
        <f>IF(OR($A7="",$J7=""),"",MAX(0,IF(AND(N7&lt;&gt;"",O7&lt;&gt;""),MIN(J7-MAX(R7*ABS(J7),S7),N7),IF(AND(M7&lt;&gt;"",N(L7)&gt;=2),MIN(J7-MAX(R7*ABS(J7),S7),J7-2*M7),J7-MAX(R7*ABS(J7),S7)))))</f>
        <v/>
      </c>
      <c r="U7" s="50">
        <f>IF(OR($A7="",$J7=""),"",IF(AND(N7&lt;&gt;"",O7&lt;&gt;""),MAX(J7+MAX(R7*ABS(J7),S7),O7),IF(AND(M7&lt;&gt;"",N(L7)&gt;=2),MAX(J7+MAX(R7*ABS(J7),S7),J7+2*M7),J7+MAX(R7*ABS(J7),S7))))</f>
        <v/>
      </c>
      <c r="V7" s="51">
        <f>IF(OR($A7="",$J7=""),"",IF(COUNTIFS('6_資料庫比對'!$B$16:$B$25,A7,'6_資料庫比對'!$C$16:$C$25,I7)=0,"",IF(AND(SUMIFS('6_資料庫比對'!$F$16:$F$25,'6_資料庫比對'!$B$16:$B$25,A7,'6_資料庫比對'!$C$16:$C$25,I7)&gt;=T7,SUMIFS('6_資料庫比對'!$F$16:$F$25,'6_資料庫比對'!$B$16:$B$25,A7,'6_資料庫比對'!$C$16:$C$25,I7)&lt;=U7),"✓ 涵蓋","✗ 不涵蓋")))</f>
        <v/>
      </c>
      <c r="X7" s="16" t="inlineStr">
        <is>
          <t>綠色 R–U 欄：教學預設容許差與「本筆」的合理區間。T＝MAX(0, …)：有 min、max 就取 min(數值 − 容許差, min)；有 SD 且 n ≥ 2 就取 min(數值 − 容許差, 平均 − 2 SD)；否則就是 數值 − 容許差。U 同理取最大。</t>
        </is>
      </c>
    </row>
    <row r="8" ht="30" customHeight="1">
      <c r="A8" s="47" t="inlineStr">
        <is>
          <t>whole_milk_powder</t>
        </is>
      </c>
      <c r="B8" s="47" t="inlineStr">
        <is>
          <t>全脂奶粉</t>
        </is>
      </c>
      <c r="C8" s="47" t="inlineStr">
        <is>
          <t>USDA</t>
        </is>
      </c>
      <c r="D8" s="47" t="inlineStr">
        <is>
          <t>SR Legacy</t>
        </is>
      </c>
      <c r="E8" s="47" t="n">
        <v>170876</v>
      </c>
      <c r="F8" s="47" t="inlineStr">
        <is>
          <t>Milk, dry, whole, with added vitamin D</t>
        </is>
      </c>
      <c r="G8" s="47" t="inlineStr">
        <is>
          <t>exact</t>
        </is>
      </c>
      <c r="H8" s="47" t="n">
        <v>6.38</v>
      </c>
      <c r="I8" s="47" t="inlineStr">
        <is>
          <t>sodium</t>
        </is>
      </c>
      <c r="J8" s="47" t="n">
        <v>371</v>
      </c>
      <c r="K8" s="47" t="inlineStr">
        <is>
          <t>mg</t>
        </is>
      </c>
      <c r="L8" s="47" t="n">
        <v>7</v>
      </c>
      <c r="M8" s="47" t="n"/>
      <c r="N8" s="47" t="n"/>
      <c r="O8" s="47" t="n"/>
      <c r="P8" s="47" t="n"/>
      <c r="Q8" s="47" t="n"/>
      <c r="R8" s="48">
        <f>IF(OR($A8="",$J8=""),"",IFERROR(VLOOKUP(I8,'6_資料庫比對'!$A$6:$C$12,2,FALSE),""))</f>
        <v/>
      </c>
      <c r="S8" s="49">
        <f>IF(OR($A8="",$J8=""),"",IFERROR(VLOOKUP(I8,'6_資料庫比對'!$A$6:$C$12,3,FALSE),""))</f>
        <v/>
      </c>
      <c r="T8" s="50">
        <f>IF(OR($A8="",$J8=""),"",MAX(0,IF(AND(N8&lt;&gt;"",O8&lt;&gt;""),MIN(J8-MAX(R8*ABS(J8),S8),N8),IF(AND(M8&lt;&gt;"",N(L8)&gt;=2),MIN(J8-MAX(R8*ABS(J8),S8),J8-2*M8),J8-MAX(R8*ABS(J8),S8)))))</f>
        <v/>
      </c>
      <c r="U8" s="50">
        <f>IF(OR($A8="",$J8=""),"",IF(AND(N8&lt;&gt;"",O8&lt;&gt;""),MAX(J8+MAX(R8*ABS(J8),S8),O8),IF(AND(M8&lt;&gt;"",N(L8)&gt;=2),MAX(J8+MAX(R8*ABS(J8),S8),J8+2*M8),J8+MAX(R8*ABS(J8),S8))))</f>
        <v/>
      </c>
      <c r="V8" s="51">
        <f>IF(OR($A8="",$J8=""),"",IF(COUNTIFS('6_資料庫比對'!$B$16:$B$25,A8,'6_資料庫比對'!$C$16:$C$25,I8)=0,"",IF(AND(SUMIFS('6_資料庫比對'!$F$16:$F$25,'6_資料庫比對'!$B$16:$B$25,A8,'6_資料庫比對'!$C$16:$C$25,I8)&gt;=T8,SUMIFS('6_資料庫比對'!$F$16:$F$25,'6_資料庫比對'!$B$16:$B$25,A8,'6_資料庫比對'!$C$16:$C$25,I8)&lt;=U8),"✓ 涵蓋","✗ 不涵蓋")))</f>
        <v/>
      </c>
      <c r="X8" s="16" t="inlineStr">
        <is>
          <t>V 欄：這一筆資料庫區間有沒有涵蓋「6_資料庫比對」算出的全班值（逐筆看，避免只被其中一個資料庫撐住）。</t>
        </is>
      </c>
    </row>
    <row r="9">
      <c r="A9" s="47" t="inlineStr">
        <is>
          <t>whole_milk_powder</t>
        </is>
      </c>
      <c r="B9" s="47" t="inlineStr">
        <is>
          <t>全脂奶粉</t>
        </is>
      </c>
      <c r="C9" s="47" t="inlineStr">
        <is>
          <t>USDA</t>
        </is>
      </c>
      <c r="D9" s="47" t="inlineStr">
        <is>
          <t>SR Legacy</t>
        </is>
      </c>
      <c r="E9" s="47" t="n">
        <v>173454</v>
      </c>
      <c r="F9" s="47" t="inlineStr">
        <is>
          <t>Milk, dry, whole, without added vitamin D</t>
        </is>
      </c>
      <c r="G9" s="47" t="inlineStr">
        <is>
          <t>exact</t>
        </is>
      </c>
      <c r="H9" s="47" t="n">
        <v>6.38</v>
      </c>
      <c r="I9" s="47" t="inlineStr">
        <is>
          <t>water</t>
        </is>
      </c>
      <c r="J9" s="47" t="n">
        <v>2.47</v>
      </c>
      <c r="K9" s="47" t="inlineStr">
        <is>
          <t>g</t>
        </is>
      </c>
      <c r="L9" s="47" t="n">
        <v>25</v>
      </c>
      <c r="M9" s="47" t="n"/>
      <c r="N9" s="47" t="n"/>
      <c r="O9" s="47" t="n"/>
      <c r="P9" s="47" t="n"/>
      <c r="Q9" s="47" t="n"/>
      <c r="R9" s="48">
        <f>IF(OR($A9="",$J9=""),"",IFERROR(VLOOKUP(I9,'6_資料庫比對'!$A$6:$C$12,2,FALSE),""))</f>
        <v/>
      </c>
      <c r="S9" s="49">
        <f>IF(OR($A9="",$J9=""),"",IFERROR(VLOOKUP(I9,'6_資料庫比對'!$A$6:$C$12,3,FALSE),""))</f>
        <v/>
      </c>
      <c r="T9" s="50">
        <f>IF(OR($A9="",$J9=""),"",MAX(0,IF(AND(N9&lt;&gt;"",O9&lt;&gt;""),MIN(J9-MAX(R9*ABS(J9),S9),N9),IF(AND(M9&lt;&gt;"",N(L9)&gt;=2),MIN(J9-MAX(R9*ABS(J9),S9),J9-2*M9),J9-MAX(R9*ABS(J9),S9)))))</f>
        <v/>
      </c>
      <c r="U9" s="50">
        <f>IF(OR($A9="",$J9=""),"",IF(AND(N9&lt;&gt;"",O9&lt;&gt;""),MAX(J9+MAX(R9*ABS(J9),S9),O9),IF(AND(M9&lt;&gt;"",N(L9)&gt;=2),MAX(J9+MAX(R9*ABS(J9),S9),J9+2*M9),J9+MAX(R9*ABS(J9),S9))))</f>
        <v/>
      </c>
      <c r="V9" s="51">
        <f>IF(OR($A9="",$J9=""),"",IF(COUNTIFS('6_資料庫比對'!$B$16:$B$25,A9,'6_資料庫比對'!$C$16:$C$25,I9)=0,"",IF(AND(SUMIFS('6_資料庫比對'!$F$16:$F$25,'6_資料庫比對'!$B$16:$B$25,A9,'6_資料庫比對'!$C$16:$C$25,I9)&gt;=T9,SUMIFS('6_資料庫比對'!$F$16:$F$25,'6_資料庫比對'!$B$16:$B$25,A9,'6_資料庫比對'!$C$16:$C$25,I9)&lt;=U9),"✓ 涵蓋","✗ 不涵蓋")))</f>
        <v/>
      </c>
    </row>
    <row r="10">
      <c r="A10" s="47" t="inlineStr">
        <is>
          <t>whole_milk_powder</t>
        </is>
      </c>
      <c r="B10" s="47" t="inlineStr">
        <is>
          <t>全脂奶粉</t>
        </is>
      </c>
      <c r="C10" s="47" t="inlineStr">
        <is>
          <t>USDA</t>
        </is>
      </c>
      <c r="D10" s="47" t="inlineStr">
        <is>
          <t>SR Legacy</t>
        </is>
      </c>
      <c r="E10" s="47" t="n">
        <v>173454</v>
      </c>
      <c r="F10" s="47" t="inlineStr">
        <is>
          <t>Milk, dry, whole, without added vitamin D</t>
        </is>
      </c>
      <c r="G10" s="47" t="inlineStr">
        <is>
          <t>exact</t>
        </is>
      </c>
      <c r="H10" s="47" t="n">
        <v>6.38</v>
      </c>
      <c r="I10" s="47" t="inlineStr">
        <is>
          <t>protein</t>
        </is>
      </c>
      <c r="J10" s="47" t="n">
        <v>26.32</v>
      </c>
      <c r="K10" s="47" t="inlineStr">
        <is>
          <t>g</t>
        </is>
      </c>
      <c r="L10" s="47" t="n">
        <v>22</v>
      </c>
      <c r="M10" s="47" t="n"/>
      <c r="N10" s="47" t="n"/>
      <c r="O10" s="47" t="n"/>
      <c r="P10" s="47" t="n"/>
      <c r="Q10" s="47" t="n"/>
      <c r="R10" s="48">
        <f>IF(OR($A10="",$J10=""),"",IFERROR(VLOOKUP(I10,'6_資料庫比對'!$A$6:$C$12,2,FALSE),""))</f>
        <v/>
      </c>
      <c r="S10" s="49">
        <f>IF(OR($A10="",$J10=""),"",IFERROR(VLOOKUP(I10,'6_資料庫比對'!$A$6:$C$12,3,FALSE),""))</f>
        <v/>
      </c>
      <c r="T10" s="50">
        <f>IF(OR($A10="",$J10=""),"",MAX(0,IF(AND(N10&lt;&gt;"",O10&lt;&gt;""),MIN(J10-MAX(R10*ABS(J10),S10),N10),IF(AND(M10&lt;&gt;"",N(L10)&gt;=2),MIN(J10-MAX(R10*ABS(J10),S10),J10-2*M10),J10-MAX(R10*ABS(J10),S10)))))</f>
        <v/>
      </c>
      <c r="U10" s="50">
        <f>IF(OR($A10="",$J10=""),"",IF(AND(N10&lt;&gt;"",O10&lt;&gt;""),MAX(J10+MAX(R10*ABS(J10),S10),O10),IF(AND(M10&lt;&gt;"",N(L10)&gt;=2),MAX(J10+MAX(R10*ABS(J10),S10),J10+2*M10),J10+MAX(R10*ABS(J10),S10))))</f>
        <v/>
      </c>
      <c r="V10" s="51">
        <f>IF(OR($A10="",$J10=""),"",IF(COUNTIFS('6_資料庫比對'!$B$16:$B$25,A10,'6_資料庫比對'!$C$16:$C$25,I10)=0,"",IF(AND(SUMIFS('6_資料庫比對'!$F$16:$F$25,'6_資料庫比對'!$B$16:$B$25,A10,'6_資料庫比對'!$C$16:$C$25,I10)&gt;=T10,SUMIFS('6_資料庫比對'!$F$16:$F$25,'6_資料庫比對'!$B$16:$B$25,A10,'6_資料庫比對'!$C$16:$C$25,I10)&lt;=U10),"✓ 涵蓋","✗ 不涵蓋")))</f>
        <v/>
      </c>
    </row>
    <row r="11">
      <c r="A11" s="47" t="inlineStr">
        <is>
          <t>whole_milk_powder</t>
        </is>
      </c>
      <c r="B11" s="47" t="inlineStr">
        <is>
          <t>全脂奶粉</t>
        </is>
      </c>
      <c r="C11" s="47" t="inlineStr">
        <is>
          <t>USDA</t>
        </is>
      </c>
      <c r="D11" s="47" t="inlineStr">
        <is>
          <t>SR Legacy</t>
        </is>
      </c>
      <c r="E11" s="47" t="n">
        <v>173454</v>
      </c>
      <c r="F11" s="47" t="inlineStr">
        <is>
          <t>Milk, dry, whole, without added vitamin D</t>
        </is>
      </c>
      <c r="G11" s="47" t="inlineStr">
        <is>
          <t>exact</t>
        </is>
      </c>
      <c r="H11" s="47" t="n">
        <v>6.38</v>
      </c>
      <c r="I11" s="47" t="inlineStr">
        <is>
          <t>fat</t>
        </is>
      </c>
      <c r="J11" s="47" t="n">
        <v>26.71</v>
      </c>
      <c r="K11" s="47" t="inlineStr">
        <is>
          <t>g</t>
        </is>
      </c>
      <c r="L11" s="47" t="n">
        <v>30</v>
      </c>
      <c r="M11" s="47" t="n"/>
      <c r="N11" s="47" t="n"/>
      <c r="O11" s="47" t="n"/>
      <c r="P11" s="47" t="n"/>
      <c r="Q11" s="47" t="n"/>
      <c r="R11" s="48">
        <f>IF(OR($A11="",$J11=""),"",IFERROR(VLOOKUP(I11,'6_資料庫比對'!$A$6:$C$12,2,FALSE),""))</f>
        <v/>
      </c>
      <c r="S11" s="49">
        <f>IF(OR($A11="",$J11=""),"",IFERROR(VLOOKUP(I11,'6_資料庫比對'!$A$6:$C$12,3,FALSE),""))</f>
        <v/>
      </c>
      <c r="T11" s="50">
        <f>IF(OR($A11="",$J11=""),"",MAX(0,IF(AND(N11&lt;&gt;"",O11&lt;&gt;""),MIN(J11-MAX(R11*ABS(J11),S11),N11),IF(AND(M11&lt;&gt;"",N(L11)&gt;=2),MIN(J11-MAX(R11*ABS(J11),S11),J11-2*M11),J11-MAX(R11*ABS(J11),S11)))))</f>
        <v/>
      </c>
      <c r="U11" s="50">
        <f>IF(OR($A11="",$J11=""),"",IF(AND(N11&lt;&gt;"",O11&lt;&gt;""),MAX(J11+MAX(R11*ABS(J11),S11),O11),IF(AND(M11&lt;&gt;"",N(L11)&gt;=2),MAX(J11+MAX(R11*ABS(J11),S11),J11+2*M11),J11+MAX(R11*ABS(J11),S11))))</f>
        <v/>
      </c>
      <c r="V11" s="51">
        <f>IF(OR($A11="",$J11=""),"",IF(COUNTIFS('6_資料庫比對'!$B$16:$B$25,A11,'6_資料庫比對'!$C$16:$C$25,I11)=0,"",IF(AND(SUMIFS('6_資料庫比對'!$F$16:$F$25,'6_資料庫比對'!$B$16:$B$25,A11,'6_資料庫比對'!$C$16:$C$25,I11)&gt;=T11,SUMIFS('6_資料庫比對'!$F$16:$F$25,'6_資料庫比對'!$B$16:$B$25,A11,'6_資料庫比對'!$C$16:$C$25,I11)&lt;=U11),"✓ 涵蓋","✗ 不涵蓋")))</f>
        <v/>
      </c>
    </row>
    <row r="12">
      <c r="A12" s="47" t="inlineStr">
        <is>
          <t>whole_milk_powder</t>
        </is>
      </c>
      <c r="B12" s="47" t="inlineStr">
        <is>
          <t>全脂奶粉</t>
        </is>
      </c>
      <c r="C12" s="47" t="inlineStr">
        <is>
          <t>USDA</t>
        </is>
      </c>
      <c r="D12" s="47" t="inlineStr">
        <is>
          <t>SR Legacy</t>
        </is>
      </c>
      <c r="E12" s="47" t="n">
        <v>173454</v>
      </c>
      <c r="F12" s="47" t="inlineStr">
        <is>
          <t>Milk, dry, whole, without added vitamin D</t>
        </is>
      </c>
      <c r="G12" s="47" t="inlineStr">
        <is>
          <t>exact</t>
        </is>
      </c>
      <c r="H12" s="47" t="n">
        <v>6.38</v>
      </c>
      <c r="I12" s="47" t="inlineStr">
        <is>
          <t>ash</t>
        </is>
      </c>
      <c r="J12" s="47" t="n">
        <v>6.08</v>
      </c>
      <c r="K12" s="47" t="inlineStr">
        <is>
          <t>g</t>
        </is>
      </c>
      <c r="L12" s="47" t="n">
        <v>20</v>
      </c>
      <c r="M12" s="47" t="n"/>
      <c r="N12" s="47" t="n"/>
      <c r="O12" s="47" t="n"/>
      <c r="P12" s="47" t="n"/>
      <c r="Q12" s="47" t="n"/>
      <c r="R12" s="48">
        <f>IF(OR($A12="",$J12=""),"",IFERROR(VLOOKUP(I12,'6_資料庫比對'!$A$6:$C$12,2,FALSE),""))</f>
        <v/>
      </c>
      <c r="S12" s="49">
        <f>IF(OR($A12="",$J12=""),"",IFERROR(VLOOKUP(I12,'6_資料庫比對'!$A$6:$C$12,3,FALSE),""))</f>
        <v/>
      </c>
      <c r="T12" s="50">
        <f>IF(OR($A12="",$J12=""),"",MAX(0,IF(AND(N12&lt;&gt;"",O12&lt;&gt;""),MIN(J12-MAX(R12*ABS(J12),S12),N12),IF(AND(M12&lt;&gt;"",N(L12)&gt;=2),MIN(J12-MAX(R12*ABS(J12),S12),J12-2*M12),J12-MAX(R12*ABS(J12),S12)))))</f>
        <v/>
      </c>
      <c r="U12" s="50">
        <f>IF(OR($A12="",$J12=""),"",IF(AND(N12&lt;&gt;"",O12&lt;&gt;""),MAX(J12+MAX(R12*ABS(J12),S12),O12),IF(AND(M12&lt;&gt;"",N(L12)&gt;=2),MAX(J12+MAX(R12*ABS(J12),S12),J12+2*M12),J12+MAX(R12*ABS(J12),S12))))</f>
        <v/>
      </c>
      <c r="V12" s="51">
        <f>IF(OR($A12="",$J12=""),"",IF(COUNTIFS('6_資料庫比對'!$B$16:$B$25,A12,'6_資料庫比對'!$C$16:$C$25,I12)=0,"",IF(AND(SUMIFS('6_資料庫比對'!$F$16:$F$25,'6_資料庫比對'!$B$16:$B$25,A12,'6_資料庫比對'!$C$16:$C$25,I12)&gt;=T12,SUMIFS('6_資料庫比對'!$F$16:$F$25,'6_資料庫比對'!$B$16:$B$25,A12,'6_資料庫比對'!$C$16:$C$25,I12)&lt;=U12),"✓ 涵蓋","✗ 不涵蓋")))</f>
        <v/>
      </c>
    </row>
    <row r="13">
      <c r="A13" s="47" t="inlineStr">
        <is>
          <t>whole_milk_powder</t>
        </is>
      </c>
      <c r="B13" s="47" t="inlineStr">
        <is>
          <t>全脂奶粉</t>
        </is>
      </c>
      <c r="C13" s="47" t="inlineStr">
        <is>
          <t>USDA</t>
        </is>
      </c>
      <c r="D13" s="47" t="inlineStr">
        <is>
          <t>SR Legacy</t>
        </is>
      </c>
      <c r="E13" s="47" t="n">
        <v>173454</v>
      </c>
      <c r="F13" s="47" t="inlineStr">
        <is>
          <t>Milk, dry, whole, without added vitamin D</t>
        </is>
      </c>
      <c r="G13" s="47" t="inlineStr">
        <is>
          <t>exact</t>
        </is>
      </c>
      <c r="H13" s="47" t="n">
        <v>6.38</v>
      </c>
      <c r="I13" s="47" t="inlineStr">
        <is>
          <t>carbohydrate</t>
        </is>
      </c>
      <c r="J13" s="47" t="n">
        <v>38.42</v>
      </c>
      <c r="K13" s="47" t="inlineStr">
        <is>
          <t>g</t>
        </is>
      </c>
      <c r="L13" s="47" t="n">
        <v>0</v>
      </c>
      <c r="M13" s="47" t="n"/>
      <c r="N13" s="47" t="n"/>
      <c r="O13" s="47" t="n"/>
      <c r="P13" s="47" t="n"/>
      <c r="Q13" s="47" t="inlineStr">
        <is>
          <t>NC: Calculated</t>
        </is>
      </c>
      <c r="R13" s="48">
        <f>IF(OR($A13="",$J13=""),"",IFERROR(VLOOKUP(I13,'6_資料庫比對'!$A$6:$C$12,2,FALSE),""))</f>
        <v/>
      </c>
      <c r="S13" s="49">
        <f>IF(OR($A13="",$J13=""),"",IFERROR(VLOOKUP(I13,'6_資料庫比對'!$A$6:$C$12,3,FALSE),""))</f>
        <v/>
      </c>
      <c r="T13" s="50">
        <f>IF(OR($A13="",$J13=""),"",MAX(0,IF(AND(N13&lt;&gt;"",O13&lt;&gt;""),MIN(J13-MAX(R13*ABS(J13),S13),N13),IF(AND(M13&lt;&gt;"",N(L13)&gt;=2),MIN(J13-MAX(R13*ABS(J13),S13),J13-2*M13),J13-MAX(R13*ABS(J13),S13)))))</f>
        <v/>
      </c>
      <c r="U13" s="50">
        <f>IF(OR($A13="",$J13=""),"",IF(AND(N13&lt;&gt;"",O13&lt;&gt;""),MAX(J13+MAX(R13*ABS(J13),S13),O13),IF(AND(M13&lt;&gt;"",N(L13)&gt;=2),MAX(J13+MAX(R13*ABS(J13),S13),J13+2*M13),J13+MAX(R13*ABS(J13),S13))))</f>
        <v/>
      </c>
      <c r="V13" s="51">
        <f>IF(OR($A13="",$J13=""),"",IF(COUNTIFS('6_資料庫比對'!$B$16:$B$25,A13,'6_資料庫比對'!$C$16:$C$25,I13)=0,"",IF(AND(SUMIFS('6_資料庫比對'!$F$16:$F$25,'6_資料庫比對'!$B$16:$B$25,A13,'6_資料庫比對'!$C$16:$C$25,I13)&gt;=T13,SUMIFS('6_資料庫比對'!$F$16:$F$25,'6_資料庫比對'!$B$16:$B$25,A13,'6_資料庫比對'!$C$16:$C$25,I13)&lt;=U13),"✓ 涵蓋","✗ 不涵蓋")))</f>
        <v/>
      </c>
    </row>
    <row r="14">
      <c r="A14" s="47" t="inlineStr">
        <is>
          <t>whole_milk_powder</t>
        </is>
      </c>
      <c r="B14" s="47" t="inlineStr">
        <is>
          <t>全脂奶粉</t>
        </is>
      </c>
      <c r="C14" s="47" t="inlineStr">
        <is>
          <t>USDA</t>
        </is>
      </c>
      <c r="D14" s="47" t="inlineStr">
        <is>
          <t>SR Legacy</t>
        </is>
      </c>
      <c r="E14" s="47" t="n">
        <v>173454</v>
      </c>
      <c r="F14" s="47" t="inlineStr">
        <is>
          <t>Milk, dry, whole, without added vitamin D</t>
        </is>
      </c>
      <c r="G14" s="47" t="inlineStr">
        <is>
          <t>exact</t>
        </is>
      </c>
      <c r="H14" s="47" t="n">
        <v>6.38</v>
      </c>
      <c r="I14" s="47" t="inlineStr">
        <is>
          <t>sugars_total</t>
        </is>
      </c>
      <c r="J14" s="47" t="n">
        <v>38.42</v>
      </c>
      <c r="K14" s="47" t="inlineStr">
        <is>
          <t>g</t>
        </is>
      </c>
      <c r="L14" s="47" t="n">
        <v>0</v>
      </c>
      <c r="M14" s="47" t="n"/>
      <c r="N14" s="47" t="n"/>
      <c r="O14" s="47" t="n"/>
      <c r="P14" s="47" t="n"/>
      <c r="Q14" s="47" t="inlineStr">
        <is>
          <t>NR: Nutrient that is based on other nutrient/s; value used directly, ex. Nut.#204 from Nut.#298</t>
        </is>
      </c>
      <c r="R14" s="48">
        <f>IF(OR($A14="",$J14=""),"",IFERROR(VLOOKUP(I14,'6_資料庫比對'!$A$6:$C$12,2,FALSE),""))</f>
        <v/>
      </c>
      <c r="S14" s="49">
        <f>IF(OR($A14="",$J14=""),"",IFERROR(VLOOKUP(I14,'6_資料庫比對'!$A$6:$C$12,3,FALSE),""))</f>
        <v/>
      </c>
      <c r="T14" s="50">
        <f>IF(OR($A14="",$J14=""),"",MAX(0,IF(AND(N14&lt;&gt;"",O14&lt;&gt;""),MIN(J14-MAX(R14*ABS(J14),S14),N14),IF(AND(M14&lt;&gt;"",N(L14)&gt;=2),MIN(J14-MAX(R14*ABS(J14),S14),J14-2*M14),J14-MAX(R14*ABS(J14),S14)))))</f>
        <v/>
      </c>
      <c r="U14" s="50">
        <f>IF(OR($A14="",$J14=""),"",IF(AND(N14&lt;&gt;"",O14&lt;&gt;""),MAX(J14+MAX(R14*ABS(J14),S14),O14),IF(AND(M14&lt;&gt;"",N(L14)&gt;=2),MAX(J14+MAX(R14*ABS(J14),S14),J14+2*M14),J14+MAX(R14*ABS(J14),S14))))</f>
        <v/>
      </c>
      <c r="V14" s="51">
        <f>IF(OR($A14="",$J14=""),"",IF(COUNTIFS('6_資料庫比對'!$B$16:$B$25,A14,'6_資料庫比對'!$C$16:$C$25,I14)=0,"",IF(AND(SUMIFS('6_資料庫比對'!$F$16:$F$25,'6_資料庫比對'!$B$16:$B$25,A14,'6_資料庫比對'!$C$16:$C$25,I14)&gt;=T14,SUMIFS('6_資料庫比對'!$F$16:$F$25,'6_資料庫比對'!$B$16:$B$25,A14,'6_資料庫比對'!$C$16:$C$25,I14)&lt;=U14),"✓ 涵蓋","✗ 不涵蓋")))</f>
        <v/>
      </c>
    </row>
    <row r="15">
      <c r="A15" s="47" t="inlineStr">
        <is>
          <t>whole_milk_powder</t>
        </is>
      </c>
      <c r="B15" s="47" t="inlineStr">
        <is>
          <t>全脂奶粉</t>
        </is>
      </c>
      <c r="C15" s="47" t="inlineStr">
        <is>
          <t>USDA</t>
        </is>
      </c>
      <c r="D15" s="47" t="inlineStr">
        <is>
          <t>SR Legacy</t>
        </is>
      </c>
      <c r="E15" s="47" t="n">
        <v>173454</v>
      </c>
      <c r="F15" s="47" t="inlineStr">
        <is>
          <t>Milk, dry, whole, without added vitamin D</t>
        </is>
      </c>
      <c r="G15" s="47" t="inlineStr">
        <is>
          <t>exact</t>
        </is>
      </c>
      <c r="H15" s="47" t="n">
        <v>6.38</v>
      </c>
      <c r="I15" s="47" t="inlineStr">
        <is>
          <t>sodium</t>
        </is>
      </c>
      <c r="J15" s="47" t="n">
        <v>371</v>
      </c>
      <c r="K15" s="47" t="inlineStr">
        <is>
          <t>mg</t>
        </is>
      </c>
      <c r="L15" s="47" t="n">
        <v>7</v>
      </c>
      <c r="M15" s="47" t="n"/>
      <c r="N15" s="47" t="n"/>
      <c r="O15" s="47" t="n"/>
      <c r="P15" s="47" t="n"/>
      <c r="Q15" s="47" t="n"/>
      <c r="R15" s="48">
        <f>IF(OR($A15="",$J15=""),"",IFERROR(VLOOKUP(I15,'6_資料庫比對'!$A$6:$C$12,2,FALSE),""))</f>
        <v/>
      </c>
      <c r="S15" s="49">
        <f>IF(OR($A15="",$J15=""),"",IFERROR(VLOOKUP(I15,'6_資料庫比對'!$A$6:$C$12,3,FALSE),""))</f>
        <v/>
      </c>
      <c r="T15" s="50">
        <f>IF(OR($A15="",$J15=""),"",MAX(0,IF(AND(N15&lt;&gt;"",O15&lt;&gt;""),MIN(J15-MAX(R15*ABS(J15),S15),N15),IF(AND(M15&lt;&gt;"",N(L15)&gt;=2),MIN(J15-MAX(R15*ABS(J15),S15),J15-2*M15),J15-MAX(R15*ABS(J15),S15)))))</f>
        <v/>
      </c>
      <c r="U15" s="50">
        <f>IF(OR($A15="",$J15=""),"",IF(AND(N15&lt;&gt;"",O15&lt;&gt;""),MAX(J15+MAX(R15*ABS(J15),S15),O15),IF(AND(M15&lt;&gt;"",N(L15)&gt;=2),MAX(J15+MAX(R15*ABS(J15),S15),J15+2*M15),J15+MAX(R15*ABS(J15),S15))))</f>
        <v/>
      </c>
      <c r="V15" s="51">
        <f>IF(OR($A15="",$J15=""),"",IF(COUNTIFS('6_資料庫比對'!$B$16:$B$25,A15,'6_資料庫比對'!$C$16:$C$25,I15)=0,"",IF(AND(SUMIFS('6_資料庫比對'!$F$16:$F$25,'6_資料庫比對'!$B$16:$B$25,A15,'6_資料庫比對'!$C$16:$C$25,I15)&gt;=T15,SUMIFS('6_資料庫比對'!$F$16:$F$25,'6_資料庫比對'!$B$16:$B$25,A15,'6_資料庫比對'!$C$16:$C$25,I15)&lt;=U15),"✓ 涵蓋","✗ 不涵蓋")))</f>
        <v/>
      </c>
    </row>
    <row r="16">
      <c r="A16" s="47" t="inlineStr">
        <is>
          <t>whole_milk_powder</t>
        </is>
      </c>
      <c r="B16" s="47" t="inlineStr">
        <is>
          <t>全脂奶粉</t>
        </is>
      </c>
      <c r="C16" s="47" t="inlineStr">
        <is>
          <t>TFND</t>
        </is>
      </c>
      <c r="D16" s="47" t="inlineStr">
        <is>
          <t>食品營養成分資料集</t>
        </is>
      </c>
      <c r="E16" s="47" t="inlineStr">
        <is>
          <t>L0200101</t>
        </is>
      </c>
      <c r="F16" s="47" t="inlineStr">
        <is>
          <t>全脂奶粉</t>
        </is>
      </c>
      <c r="G16" s="47" t="inlineStr">
        <is>
          <t>exact</t>
        </is>
      </c>
      <c r="H16" s="47" t="n"/>
      <c r="I16" s="47" t="inlineStr">
        <is>
          <t>water</t>
        </is>
      </c>
      <c r="J16" s="47" t="n">
        <v>2.8</v>
      </c>
      <c r="K16" s="47" t="inlineStr">
        <is>
          <t>g</t>
        </is>
      </c>
      <c r="L16" s="47" t="n">
        <v>2</v>
      </c>
      <c r="M16" s="47" t="n">
        <v>0.1</v>
      </c>
      <c r="N16" s="47" t="n"/>
      <c r="O16" s="47" t="n"/>
      <c r="P16" s="47" t="n"/>
      <c r="Q16" s="47" t="n"/>
      <c r="R16" s="48">
        <f>IF(OR($A16="",$J16=""),"",IFERROR(VLOOKUP(I16,'6_資料庫比對'!$A$6:$C$12,2,FALSE),""))</f>
        <v/>
      </c>
      <c r="S16" s="49">
        <f>IF(OR($A16="",$J16=""),"",IFERROR(VLOOKUP(I16,'6_資料庫比對'!$A$6:$C$12,3,FALSE),""))</f>
        <v/>
      </c>
      <c r="T16" s="50">
        <f>IF(OR($A16="",$J16=""),"",MAX(0,IF(AND(N16&lt;&gt;"",O16&lt;&gt;""),MIN(J16-MAX(R16*ABS(J16),S16),N16),IF(AND(M16&lt;&gt;"",N(L16)&gt;=2),MIN(J16-MAX(R16*ABS(J16),S16),J16-2*M16),J16-MAX(R16*ABS(J16),S16)))))</f>
        <v/>
      </c>
      <c r="U16" s="50">
        <f>IF(OR($A16="",$J16=""),"",IF(AND(N16&lt;&gt;"",O16&lt;&gt;""),MAX(J16+MAX(R16*ABS(J16),S16),O16),IF(AND(M16&lt;&gt;"",N(L16)&gt;=2),MAX(J16+MAX(R16*ABS(J16),S16),J16+2*M16),J16+MAX(R16*ABS(J16),S16))))</f>
        <v/>
      </c>
      <c r="V16" s="51">
        <f>IF(OR($A16="",$J16=""),"",IF(COUNTIFS('6_資料庫比對'!$B$16:$B$25,A16,'6_資料庫比對'!$C$16:$C$25,I16)=0,"",IF(AND(SUMIFS('6_資料庫比對'!$F$16:$F$25,'6_資料庫比對'!$B$16:$B$25,A16,'6_資料庫比對'!$C$16:$C$25,I16)&gt;=T16,SUMIFS('6_資料庫比對'!$F$16:$F$25,'6_資料庫比對'!$B$16:$B$25,A16,'6_資料庫比對'!$C$16:$C$25,I16)&lt;=U16),"✓ 涵蓋","✗ 不涵蓋")))</f>
        <v/>
      </c>
    </row>
    <row r="17">
      <c r="A17" s="47" t="inlineStr">
        <is>
          <t>whole_milk_powder</t>
        </is>
      </c>
      <c r="B17" s="47" t="inlineStr">
        <is>
          <t>全脂奶粉</t>
        </is>
      </c>
      <c r="C17" s="47" t="inlineStr">
        <is>
          <t>TFND</t>
        </is>
      </c>
      <c r="D17" s="47" t="inlineStr">
        <is>
          <t>食品營養成分資料集</t>
        </is>
      </c>
      <c r="E17" s="47" t="inlineStr">
        <is>
          <t>L0200101</t>
        </is>
      </c>
      <c r="F17" s="47" t="inlineStr">
        <is>
          <t>全脂奶粉</t>
        </is>
      </c>
      <c r="G17" s="47" t="inlineStr">
        <is>
          <t>exact</t>
        </is>
      </c>
      <c r="H17" s="47" t="n"/>
      <c r="I17" s="47" t="inlineStr">
        <is>
          <t>protein</t>
        </is>
      </c>
      <c r="J17" s="47" t="n">
        <v>26.4</v>
      </c>
      <c r="K17" s="47" t="inlineStr">
        <is>
          <t>g</t>
        </is>
      </c>
      <c r="L17" s="47" t="n">
        <v>2</v>
      </c>
      <c r="M17" s="47" t="n">
        <v>0.3</v>
      </c>
      <c r="N17" s="47" t="n"/>
      <c r="O17" s="47" t="n"/>
      <c r="P17" s="47" t="n"/>
      <c r="Q17" s="47" t="n"/>
      <c r="R17" s="48">
        <f>IF(OR($A17="",$J17=""),"",IFERROR(VLOOKUP(I17,'6_資料庫比對'!$A$6:$C$12,2,FALSE),""))</f>
        <v/>
      </c>
      <c r="S17" s="49">
        <f>IF(OR($A17="",$J17=""),"",IFERROR(VLOOKUP(I17,'6_資料庫比對'!$A$6:$C$12,3,FALSE),""))</f>
        <v/>
      </c>
      <c r="T17" s="50">
        <f>IF(OR($A17="",$J17=""),"",MAX(0,IF(AND(N17&lt;&gt;"",O17&lt;&gt;""),MIN(J17-MAX(R17*ABS(J17),S17),N17),IF(AND(M17&lt;&gt;"",N(L17)&gt;=2),MIN(J17-MAX(R17*ABS(J17),S17),J17-2*M17),J17-MAX(R17*ABS(J17),S17)))))</f>
        <v/>
      </c>
      <c r="U17" s="50">
        <f>IF(OR($A17="",$J17=""),"",IF(AND(N17&lt;&gt;"",O17&lt;&gt;""),MAX(J17+MAX(R17*ABS(J17),S17),O17),IF(AND(M17&lt;&gt;"",N(L17)&gt;=2),MAX(J17+MAX(R17*ABS(J17),S17),J17+2*M17),J17+MAX(R17*ABS(J17),S17))))</f>
        <v/>
      </c>
      <c r="V17" s="51">
        <f>IF(OR($A17="",$J17=""),"",IF(COUNTIFS('6_資料庫比對'!$B$16:$B$25,A17,'6_資料庫比對'!$C$16:$C$25,I17)=0,"",IF(AND(SUMIFS('6_資料庫比對'!$F$16:$F$25,'6_資料庫比對'!$B$16:$B$25,A17,'6_資料庫比對'!$C$16:$C$25,I17)&gt;=T17,SUMIFS('6_資料庫比對'!$F$16:$F$25,'6_資料庫比對'!$B$16:$B$25,A17,'6_資料庫比對'!$C$16:$C$25,I17)&lt;=U17),"✓ 涵蓋","✗ 不涵蓋")))</f>
        <v/>
      </c>
    </row>
    <row r="18">
      <c r="A18" s="47" t="inlineStr">
        <is>
          <t>whole_milk_powder</t>
        </is>
      </c>
      <c r="B18" s="47" t="inlineStr">
        <is>
          <t>全脂奶粉</t>
        </is>
      </c>
      <c r="C18" s="47" t="inlineStr">
        <is>
          <t>TFND</t>
        </is>
      </c>
      <c r="D18" s="47" t="inlineStr">
        <is>
          <t>食品營養成分資料集</t>
        </is>
      </c>
      <c r="E18" s="47" t="inlineStr">
        <is>
          <t>L0200101</t>
        </is>
      </c>
      <c r="F18" s="47" t="inlineStr">
        <is>
          <t>全脂奶粉</t>
        </is>
      </c>
      <c r="G18" s="47" t="inlineStr">
        <is>
          <t>exact</t>
        </is>
      </c>
      <c r="H18" s="47" t="n"/>
      <c r="I18" s="47" t="inlineStr">
        <is>
          <t>fat</t>
        </is>
      </c>
      <c r="J18" s="47" t="n">
        <v>28.2</v>
      </c>
      <c r="K18" s="47" t="inlineStr">
        <is>
          <t>g</t>
        </is>
      </c>
      <c r="L18" s="47" t="n">
        <v>2</v>
      </c>
      <c r="M18" s="47" t="n">
        <v>0.6</v>
      </c>
      <c r="N18" s="47" t="n"/>
      <c r="O18" s="47" t="n"/>
      <c r="P18" s="47" t="n"/>
      <c r="Q18" s="47" t="n"/>
      <c r="R18" s="48">
        <f>IF(OR($A18="",$J18=""),"",IFERROR(VLOOKUP(I18,'6_資料庫比對'!$A$6:$C$12,2,FALSE),""))</f>
        <v/>
      </c>
      <c r="S18" s="49">
        <f>IF(OR($A18="",$J18=""),"",IFERROR(VLOOKUP(I18,'6_資料庫比對'!$A$6:$C$12,3,FALSE),""))</f>
        <v/>
      </c>
      <c r="T18" s="50">
        <f>IF(OR($A18="",$J18=""),"",MAX(0,IF(AND(N18&lt;&gt;"",O18&lt;&gt;""),MIN(J18-MAX(R18*ABS(J18),S18),N18),IF(AND(M18&lt;&gt;"",N(L18)&gt;=2),MIN(J18-MAX(R18*ABS(J18),S18),J18-2*M18),J18-MAX(R18*ABS(J18),S18)))))</f>
        <v/>
      </c>
      <c r="U18" s="50">
        <f>IF(OR($A18="",$J18=""),"",IF(AND(N18&lt;&gt;"",O18&lt;&gt;""),MAX(J18+MAX(R18*ABS(J18),S18),O18),IF(AND(M18&lt;&gt;"",N(L18)&gt;=2),MAX(J18+MAX(R18*ABS(J18),S18),J18+2*M18),J18+MAX(R18*ABS(J18),S18))))</f>
        <v/>
      </c>
      <c r="V18" s="51">
        <f>IF(OR($A18="",$J18=""),"",IF(COUNTIFS('6_資料庫比對'!$B$16:$B$25,A18,'6_資料庫比對'!$C$16:$C$25,I18)=0,"",IF(AND(SUMIFS('6_資料庫比對'!$F$16:$F$25,'6_資料庫比對'!$B$16:$B$25,A18,'6_資料庫比對'!$C$16:$C$25,I18)&gt;=T18,SUMIFS('6_資料庫比對'!$F$16:$F$25,'6_資料庫比對'!$B$16:$B$25,A18,'6_資料庫比對'!$C$16:$C$25,I18)&lt;=U18),"✓ 涵蓋","✗ 不涵蓋")))</f>
        <v/>
      </c>
    </row>
    <row r="19">
      <c r="A19" s="47" t="inlineStr">
        <is>
          <t>whole_milk_powder</t>
        </is>
      </c>
      <c r="B19" s="47" t="inlineStr">
        <is>
          <t>全脂奶粉</t>
        </is>
      </c>
      <c r="C19" s="47" t="inlineStr">
        <is>
          <t>TFND</t>
        </is>
      </c>
      <c r="D19" s="47" t="inlineStr">
        <is>
          <t>食品營養成分資料集</t>
        </is>
      </c>
      <c r="E19" s="47" t="inlineStr">
        <is>
          <t>L0200101</t>
        </is>
      </c>
      <c r="F19" s="47" t="inlineStr">
        <is>
          <t>全脂奶粉</t>
        </is>
      </c>
      <c r="G19" s="47" t="inlineStr">
        <is>
          <t>exact</t>
        </is>
      </c>
      <c r="H19" s="47" t="n"/>
      <c r="I19" s="47" t="inlineStr">
        <is>
          <t>ash</t>
        </is>
      </c>
      <c r="J19" s="47" t="n">
        <v>5.6</v>
      </c>
      <c r="K19" s="47" t="inlineStr">
        <is>
          <t>g</t>
        </is>
      </c>
      <c r="L19" s="47" t="n">
        <v>2</v>
      </c>
      <c r="M19" s="47" t="n">
        <v>0</v>
      </c>
      <c r="N19" s="47" t="n"/>
      <c r="O19" s="47" t="n"/>
      <c r="P19" s="47" t="n"/>
      <c r="Q19" s="47" t="n"/>
      <c r="R19" s="48">
        <f>IF(OR($A19="",$J19=""),"",IFERROR(VLOOKUP(I19,'6_資料庫比對'!$A$6:$C$12,2,FALSE),""))</f>
        <v/>
      </c>
      <c r="S19" s="49">
        <f>IF(OR($A19="",$J19=""),"",IFERROR(VLOOKUP(I19,'6_資料庫比對'!$A$6:$C$12,3,FALSE),""))</f>
        <v/>
      </c>
      <c r="T19" s="50">
        <f>IF(OR($A19="",$J19=""),"",MAX(0,IF(AND(N19&lt;&gt;"",O19&lt;&gt;""),MIN(J19-MAX(R19*ABS(J19),S19),N19),IF(AND(M19&lt;&gt;"",N(L19)&gt;=2),MIN(J19-MAX(R19*ABS(J19),S19),J19-2*M19),J19-MAX(R19*ABS(J19),S19)))))</f>
        <v/>
      </c>
      <c r="U19" s="50">
        <f>IF(OR($A19="",$J19=""),"",IF(AND(N19&lt;&gt;"",O19&lt;&gt;""),MAX(J19+MAX(R19*ABS(J19),S19),O19),IF(AND(M19&lt;&gt;"",N(L19)&gt;=2),MAX(J19+MAX(R19*ABS(J19),S19),J19+2*M19),J19+MAX(R19*ABS(J19),S19))))</f>
        <v/>
      </c>
      <c r="V19" s="51">
        <f>IF(OR($A19="",$J19=""),"",IF(COUNTIFS('6_資料庫比對'!$B$16:$B$25,A19,'6_資料庫比對'!$C$16:$C$25,I19)=0,"",IF(AND(SUMIFS('6_資料庫比對'!$F$16:$F$25,'6_資料庫比對'!$B$16:$B$25,A19,'6_資料庫比對'!$C$16:$C$25,I19)&gt;=T19,SUMIFS('6_資料庫比對'!$F$16:$F$25,'6_資料庫比對'!$B$16:$B$25,A19,'6_資料庫比對'!$C$16:$C$25,I19)&lt;=U19),"✓ 涵蓋","✗ 不涵蓋")))</f>
        <v/>
      </c>
    </row>
    <row r="20">
      <c r="A20" s="47" t="inlineStr">
        <is>
          <t>whole_milk_powder</t>
        </is>
      </c>
      <c r="B20" s="47" t="inlineStr">
        <is>
          <t>全脂奶粉</t>
        </is>
      </c>
      <c r="C20" s="47" t="inlineStr">
        <is>
          <t>TFND</t>
        </is>
      </c>
      <c r="D20" s="47" t="inlineStr">
        <is>
          <t>食品營養成分資料集</t>
        </is>
      </c>
      <c r="E20" s="47" t="inlineStr">
        <is>
          <t>L0200101</t>
        </is>
      </c>
      <c r="F20" s="47" t="inlineStr">
        <is>
          <t>全脂奶粉</t>
        </is>
      </c>
      <c r="G20" s="47" t="inlineStr">
        <is>
          <t>exact</t>
        </is>
      </c>
      <c r="H20" s="47" t="n"/>
      <c r="I20" s="47" t="inlineStr">
        <is>
          <t>carbohydrate</t>
        </is>
      </c>
      <c r="J20" s="47" t="n">
        <v>37</v>
      </c>
      <c r="K20" s="47" t="inlineStr">
        <is>
          <t>g</t>
        </is>
      </c>
      <c r="L20" s="47" t="n"/>
      <c r="M20" s="47" t="n"/>
      <c r="N20" s="47" t="n"/>
      <c r="O20" s="47" t="n"/>
      <c r="P20" s="47" t="n"/>
      <c r="Q20" s="47" t="n"/>
      <c r="R20" s="48">
        <f>IF(OR($A20="",$J20=""),"",IFERROR(VLOOKUP(I20,'6_資料庫比對'!$A$6:$C$12,2,FALSE),""))</f>
        <v/>
      </c>
      <c r="S20" s="49">
        <f>IF(OR($A20="",$J20=""),"",IFERROR(VLOOKUP(I20,'6_資料庫比對'!$A$6:$C$12,3,FALSE),""))</f>
        <v/>
      </c>
      <c r="T20" s="50">
        <f>IF(OR($A20="",$J20=""),"",MAX(0,IF(AND(N20&lt;&gt;"",O20&lt;&gt;""),MIN(J20-MAX(R20*ABS(J20),S20),N20),IF(AND(M20&lt;&gt;"",N(L20)&gt;=2),MIN(J20-MAX(R20*ABS(J20),S20),J20-2*M20),J20-MAX(R20*ABS(J20),S20)))))</f>
        <v/>
      </c>
      <c r="U20" s="50">
        <f>IF(OR($A20="",$J20=""),"",IF(AND(N20&lt;&gt;"",O20&lt;&gt;""),MAX(J20+MAX(R20*ABS(J20),S20),O20),IF(AND(M20&lt;&gt;"",N(L20)&gt;=2),MAX(J20+MAX(R20*ABS(J20),S20),J20+2*M20),J20+MAX(R20*ABS(J20),S20))))</f>
        <v/>
      </c>
      <c r="V20" s="51">
        <f>IF(OR($A20="",$J20=""),"",IF(COUNTIFS('6_資料庫比對'!$B$16:$B$25,A20,'6_資料庫比對'!$C$16:$C$25,I20)=0,"",IF(AND(SUMIFS('6_資料庫比對'!$F$16:$F$25,'6_資料庫比對'!$B$16:$B$25,A20,'6_資料庫比對'!$C$16:$C$25,I20)&gt;=T20,SUMIFS('6_資料庫比對'!$F$16:$F$25,'6_資料庫比對'!$B$16:$B$25,A20,'6_資料庫比對'!$C$16:$C$25,I20)&lt;=U20),"✓ 涵蓋","✗ 不涵蓋")))</f>
        <v/>
      </c>
    </row>
    <row r="21">
      <c r="A21" s="47" t="inlineStr">
        <is>
          <t>whole_milk_powder</t>
        </is>
      </c>
      <c r="B21" s="47" t="inlineStr">
        <is>
          <t>全脂奶粉</t>
        </is>
      </c>
      <c r="C21" s="47" t="inlineStr">
        <is>
          <t>TFND</t>
        </is>
      </c>
      <c r="D21" s="47" t="inlineStr">
        <is>
          <t>食品營養成分資料集</t>
        </is>
      </c>
      <c r="E21" s="47" t="inlineStr">
        <is>
          <t>L0200101</t>
        </is>
      </c>
      <c r="F21" s="47" t="inlineStr">
        <is>
          <t>全脂奶粉</t>
        </is>
      </c>
      <c r="G21" s="47" t="inlineStr">
        <is>
          <t>exact</t>
        </is>
      </c>
      <c r="H21" s="47" t="n"/>
      <c r="I21" s="47" t="inlineStr">
        <is>
          <t>sugars_total</t>
        </is>
      </c>
      <c r="J21" s="47" t="n">
        <v>36.4</v>
      </c>
      <c r="K21" s="47" t="inlineStr">
        <is>
          <t>g</t>
        </is>
      </c>
      <c r="L21" s="47" t="n"/>
      <c r="M21" s="47" t="n"/>
      <c r="N21" s="47" t="n"/>
      <c r="O21" s="47" t="n"/>
      <c r="P21" s="47" t="n"/>
      <c r="Q21" s="47" t="n"/>
      <c r="R21" s="48">
        <f>IF(OR($A21="",$J21=""),"",IFERROR(VLOOKUP(I21,'6_資料庫比對'!$A$6:$C$12,2,FALSE),""))</f>
        <v/>
      </c>
      <c r="S21" s="49">
        <f>IF(OR($A21="",$J21=""),"",IFERROR(VLOOKUP(I21,'6_資料庫比對'!$A$6:$C$12,3,FALSE),""))</f>
        <v/>
      </c>
      <c r="T21" s="50">
        <f>IF(OR($A21="",$J21=""),"",MAX(0,IF(AND(N21&lt;&gt;"",O21&lt;&gt;""),MIN(J21-MAX(R21*ABS(J21),S21),N21),IF(AND(M21&lt;&gt;"",N(L21)&gt;=2),MIN(J21-MAX(R21*ABS(J21),S21),J21-2*M21),J21-MAX(R21*ABS(J21),S21)))))</f>
        <v/>
      </c>
      <c r="U21" s="50">
        <f>IF(OR($A21="",$J21=""),"",IF(AND(N21&lt;&gt;"",O21&lt;&gt;""),MAX(J21+MAX(R21*ABS(J21),S21),O21),IF(AND(M21&lt;&gt;"",N(L21)&gt;=2),MAX(J21+MAX(R21*ABS(J21),S21),J21+2*M21),J21+MAX(R21*ABS(J21),S21))))</f>
        <v/>
      </c>
      <c r="V21" s="51">
        <f>IF(OR($A21="",$J21=""),"",IF(COUNTIFS('6_資料庫比對'!$B$16:$B$25,A21,'6_資料庫比對'!$C$16:$C$25,I21)=0,"",IF(AND(SUMIFS('6_資料庫比對'!$F$16:$F$25,'6_資料庫比對'!$B$16:$B$25,A21,'6_資料庫比對'!$C$16:$C$25,I21)&gt;=T21,SUMIFS('6_資料庫比對'!$F$16:$F$25,'6_資料庫比對'!$B$16:$B$25,A21,'6_資料庫比對'!$C$16:$C$25,I21)&lt;=U21),"✓ 涵蓋","✗ 不涵蓋")))</f>
        <v/>
      </c>
    </row>
    <row r="22">
      <c r="A22" s="47" t="inlineStr">
        <is>
          <t>whole_milk_powder</t>
        </is>
      </c>
      <c r="B22" s="47" t="inlineStr">
        <is>
          <t>全脂奶粉</t>
        </is>
      </c>
      <c r="C22" s="47" t="inlineStr">
        <is>
          <t>TFND</t>
        </is>
      </c>
      <c r="D22" s="47" t="inlineStr">
        <is>
          <t>食品營養成分資料集</t>
        </is>
      </c>
      <c r="E22" s="47" t="inlineStr">
        <is>
          <t>L0200101</t>
        </is>
      </c>
      <c r="F22" s="47" t="inlineStr">
        <is>
          <t>全脂奶粉</t>
        </is>
      </c>
      <c r="G22" s="47" t="inlineStr">
        <is>
          <t>exact</t>
        </is>
      </c>
      <c r="H22" s="47" t="n"/>
      <c r="I22" s="47" t="inlineStr">
        <is>
          <t>sodium</t>
        </is>
      </c>
      <c r="J22" s="47" t="n">
        <v>337</v>
      </c>
      <c r="K22" s="47" t="inlineStr">
        <is>
          <t>mg</t>
        </is>
      </c>
      <c r="L22" s="47" t="n">
        <v>2</v>
      </c>
      <c r="M22" s="47" t="n">
        <v>70</v>
      </c>
      <c r="N22" s="47" t="n"/>
      <c r="O22" s="47" t="n"/>
      <c r="P22" s="47" t="n"/>
      <c r="Q22" s="47" t="n"/>
      <c r="R22" s="48">
        <f>IF(OR($A22="",$J22=""),"",IFERROR(VLOOKUP(I22,'6_資料庫比對'!$A$6:$C$12,2,FALSE),""))</f>
        <v/>
      </c>
      <c r="S22" s="49">
        <f>IF(OR($A22="",$J22=""),"",IFERROR(VLOOKUP(I22,'6_資料庫比對'!$A$6:$C$12,3,FALSE),""))</f>
        <v/>
      </c>
      <c r="T22" s="50">
        <f>IF(OR($A22="",$J22=""),"",MAX(0,IF(AND(N22&lt;&gt;"",O22&lt;&gt;""),MIN(J22-MAX(R22*ABS(J22),S22),N22),IF(AND(M22&lt;&gt;"",N(L22)&gt;=2),MIN(J22-MAX(R22*ABS(J22),S22),J22-2*M22),J22-MAX(R22*ABS(J22),S22)))))</f>
        <v/>
      </c>
      <c r="U22" s="50">
        <f>IF(OR($A22="",$J22=""),"",IF(AND(N22&lt;&gt;"",O22&lt;&gt;""),MAX(J22+MAX(R22*ABS(J22),S22),O22),IF(AND(M22&lt;&gt;"",N(L22)&gt;=2),MAX(J22+MAX(R22*ABS(J22),S22),J22+2*M22),J22+MAX(R22*ABS(J22),S22))))</f>
        <v/>
      </c>
      <c r="V22" s="51">
        <f>IF(OR($A22="",$J22=""),"",IF(COUNTIFS('6_資料庫比對'!$B$16:$B$25,A22,'6_資料庫比對'!$C$16:$C$25,I22)=0,"",IF(AND(SUMIFS('6_資料庫比對'!$F$16:$F$25,'6_資料庫比對'!$B$16:$B$25,A22,'6_資料庫比對'!$C$16:$C$25,I22)&gt;=T22,SUMIFS('6_資料庫比對'!$F$16:$F$25,'6_資料庫比對'!$B$16:$B$25,A22,'6_資料庫比對'!$C$16:$C$25,I22)&lt;=U22),"✓ 涵蓋","✗ 不涵蓋")))</f>
        <v/>
      </c>
    </row>
    <row r="23">
      <c r="A23" s="47" t="inlineStr">
        <is>
          <t>nonfat_milk_powder</t>
        </is>
      </c>
      <c r="B23" s="47" t="inlineStr">
        <is>
          <t>脫脂奶粉</t>
        </is>
      </c>
      <c r="C23" s="47" t="inlineStr">
        <is>
          <t>USDA</t>
        </is>
      </c>
      <c r="D23" s="47" t="inlineStr">
        <is>
          <t>SR Legacy</t>
        </is>
      </c>
      <c r="E23" s="47" t="n">
        <v>170877</v>
      </c>
      <c r="F23" s="47" t="inlineStr">
        <is>
          <t>Milk, dry, nonfat, regular, without added vitamin A and vitamin D</t>
        </is>
      </c>
      <c r="G23" s="47" t="inlineStr">
        <is>
          <t>exact</t>
        </is>
      </c>
      <c r="H23" s="47" t="n">
        <v>6.38</v>
      </c>
      <c r="I23" s="47" t="inlineStr">
        <is>
          <t>water</t>
        </is>
      </c>
      <c r="J23" s="47" t="n">
        <v>3.16</v>
      </c>
      <c r="K23" s="47" t="inlineStr">
        <is>
          <t>g</t>
        </is>
      </c>
      <c r="L23" s="47" t="n">
        <v>382</v>
      </c>
      <c r="M23" s="47" t="n"/>
      <c r="N23" s="47" t="n"/>
      <c r="O23" s="47" t="n"/>
      <c r="P23" s="47" t="n"/>
      <c r="Q23" s="47" t="n"/>
      <c r="R23" s="48">
        <f>IF(OR($A23="",$J23=""),"",IFERROR(VLOOKUP(I23,'6_資料庫比對'!$A$6:$C$12,2,FALSE),""))</f>
        <v/>
      </c>
      <c r="S23" s="49">
        <f>IF(OR($A23="",$J23=""),"",IFERROR(VLOOKUP(I23,'6_資料庫比對'!$A$6:$C$12,3,FALSE),""))</f>
        <v/>
      </c>
      <c r="T23" s="50">
        <f>IF(OR($A23="",$J23=""),"",MAX(0,IF(AND(N23&lt;&gt;"",O23&lt;&gt;""),MIN(J23-MAX(R23*ABS(J23),S23),N23),IF(AND(M23&lt;&gt;"",N(L23)&gt;=2),MIN(J23-MAX(R23*ABS(J23),S23),J23-2*M23),J23-MAX(R23*ABS(J23),S23)))))</f>
        <v/>
      </c>
      <c r="U23" s="50">
        <f>IF(OR($A23="",$J23=""),"",IF(AND(N23&lt;&gt;"",O23&lt;&gt;""),MAX(J23+MAX(R23*ABS(J23),S23),O23),IF(AND(M23&lt;&gt;"",N(L23)&gt;=2),MAX(J23+MAX(R23*ABS(J23),S23),J23+2*M23),J23+MAX(R23*ABS(J23),S23))))</f>
        <v/>
      </c>
      <c r="V23" s="51">
        <f>IF(OR($A23="",$J23=""),"",IF(COUNTIFS('6_資料庫比對'!$B$16:$B$25,A23,'6_資料庫比對'!$C$16:$C$25,I23)=0,"",IF(AND(SUMIFS('6_資料庫比對'!$F$16:$F$25,'6_資料庫比對'!$B$16:$B$25,A23,'6_資料庫比對'!$C$16:$C$25,I23)&gt;=T23,SUMIFS('6_資料庫比對'!$F$16:$F$25,'6_資料庫比對'!$B$16:$B$25,A23,'6_資料庫比對'!$C$16:$C$25,I23)&lt;=U23),"✓ 涵蓋","✗ 不涵蓋")))</f>
        <v/>
      </c>
    </row>
    <row r="24">
      <c r="A24" s="47" t="inlineStr">
        <is>
          <t>nonfat_milk_powder</t>
        </is>
      </c>
      <c r="B24" s="47" t="inlineStr">
        <is>
          <t>脫脂奶粉</t>
        </is>
      </c>
      <c r="C24" s="47" t="inlineStr">
        <is>
          <t>USDA</t>
        </is>
      </c>
      <c r="D24" s="47" t="inlineStr">
        <is>
          <t>SR Legacy</t>
        </is>
      </c>
      <c r="E24" s="47" t="n">
        <v>170877</v>
      </c>
      <c r="F24" s="47" t="inlineStr">
        <is>
          <t>Milk, dry, nonfat, regular, without added vitamin A and vitamin D</t>
        </is>
      </c>
      <c r="G24" s="47" t="inlineStr">
        <is>
          <t>exact</t>
        </is>
      </c>
      <c r="H24" s="47" t="n">
        <v>6.38</v>
      </c>
      <c r="I24" s="47" t="inlineStr">
        <is>
          <t>protein</t>
        </is>
      </c>
      <c r="J24" s="47" t="n">
        <v>36.16</v>
      </c>
      <c r="K24" s="47" t="inlineStr">
        <is>
          <t>g</t>
        </is>
      </c>
      <c r="L24" s="47" t="n">
        <v>183</v>
      </c>
      <c r="M24" s="47" t="n"/>
      <c r="N24" s="47" t="n"/>
      <c r="O24" s="47" t="n"/>
      <c r="P24" s="47" t="n"/>
      <c r="Q24" s="47" t="n"/>
      <c r="R24" s="48">
        <f>IF(OR($A24="",$J24=""),"",IFERROR(VLOOKUP(I24,'6_資料庫比對'!$A$6:$C$12,2,FALSE),""))</f>
        <v/>
      </c>
      <c r="S24" s="49">
        <f>IF(OR($A24="",$J24=""),"",IFERROR(VLOOKUP(I24,'6_資料庫比對'!$A$6:$C$12,3,FALSE),""))</f>
        <v/>
      </c>
      <c r="T24" s="50">
        <f>IF(OR($A24="",$J24=""),"",MAX(0,IF(AND(N24&lt;&gt;"",O24&lt;&gt;""),MIN(J24-MAX(R24*ABS(J24),S24),N24),IF(AND(M24&lt;&gt;"",N(L24)&gt;=2),MIN(J24-MAX(R24*ABS(J24),S24),J24-2*M24),J24-MAX(R24*ABS(J24),S24)))))</f>
        <v/>
      </c>
      <c r="U24" s="50">
        <f>IF(OR($A24="",$J24=""),"",IF(AND(N24&lt;&gt;"",O24&lt;&gt;""),MAX(J24+MAX(R24*ABS(J24),S24),O24),IF(AND(M24&lt;&gt;"",N(L24)&gt;=2),MAX(J24+MAX(R24*ABS(J24),S24),J24+2*M24),J24+MAX(R24*ABS(J24),S24))))</f>
        <v/>
      </c>
      <c r="V24" s="51">
        <f>IF(OR($A24="",$J24=""),"",IF(COUNTIFS('6_資料庫比對'!$B$16:$B$25,A24,'6_資料庫比對'!$C$16:$C$25,I24)=0,"",IF(AND(SUMIFS('6_資料庫比對'!$F$16:$F$25,'6_資料庫比對'!$B$16:$B$25,A24,'6_資料庫比對'!$C$16:$C$25,I24)&gt;=T24,SUMIFS('6_資料庫比對'!$F$16:$F$25,'6_資料庫比對'!$B$16:$B$25,A24,'6_資料庫比對'!$C$16:$C$25,I24)&lt;=U24),"✓ 涵蓋","✗ 不涵蓋")))</f>
        <v/>
      </c>
    </row>
    <row r="25">
      <c r="A25" s="47" t="inlineStr">
        <is>
          <t>nonfat_milk_powder</t>
        </is>
      </c>
      <c r="B25" s="47" t="inlineStr">
        <is>
          <t>脫脂奶粉</t>
        </is>
      </c>
      <c r="C25" s="47" t="inlineStr">
        <is>
          <t>USDA</t>
        </is>
      </c>
      <c r="D25" s="47" t="inlineStr">
        <is>
          <t>SR Legacy</t>
        </is>
      </c>
      <c r="E25" s="47" t="n">
        <v>170877</v>
      </c>
      <c r="F25" s="47" t="inlineStr">
        <is>
          <t>Milk, dry, nonfat, regular, without added vitamin A and vitamin D</t>
        </is>
      </c>
      <c r="G25" s="47" t="inlineStr">
        <is>
          <t>exact</t>
        </is>
      </c>
      <c r="H25" s="47" t="n">
        <v>6.38</v>
      </c>
      <c r="I25" s="47" t="inlineStr">
        <is>
          <t>fat</t>
        </is>
      </c>
      <c r="J25" s="47" t="n">
        <v>0.77</v>
      </c>
      <c r="K25" s="47" t="inlineStr">
        <is>
          <t>g</t>
        </is>
      </c>
      <c r="L25" s="47" t="n">
        <v>351</v>
      </c>
      <c r="M25" s="47" t="n"/>
      <c r="N25" s="47" t="n"/>
      <c r="O25" s="47" t="n"/>
      <c r="P25" s="47" t="n"/>
      <c r="Q25" s="47" t="n"/>
      <c r="R25" s="48">
        <f>IF(OR($A25="",$J25=""),"",IFERROR(VLOOKUP(I25,'6_資料庫比對'!$A$6:$C$12,2,FALSE),""))</f>
        <v/>
      </c>
      <c r="S25" s="49">
        <f>IF(OR($A25="",$J25=""),"",IFERROR(VLOOKUP(I25,'6_資料庫比對'!$A$6:$C$12,3,FALSE),""))</f>
        <v/>
      </c>
      <c r="T25" s="50">
        <f>IF(OR($A25="",$J25=""),"",MAX(0,IF(AND(N25&lt;&gt;"",O25&lt;&gt;""),MIN(J25-MAX(R25*ABS(J25),S25),N25),IF(AND(M25&lt;&gt;"",N(L25)&gt;=2),MIN(J25-MAX(R25*ABS(J25),S25),J25-2*M25),J25-MAX(R25*ABS(J25),S25)))))</f>
        <v/>
      </c>
      <c r="U25" s="50">
        <f>IF(OR($A25="",$J25=""),"",IF(AND(N25&lt;&gt;"",O25&lt;&gt;""),MAX(J25+MAX(R25*ABS(J25),S25),O25),IF(AND(M25&lt;&gt;"",N(L25)&gt;=2),MAX(J25+MAX(R25*ABS(J25),S25),J25+2*M25),J25+MAX(R25*ABS(J25),S25))))</f>
        <v/>
      </c>
      <c r="V25" s="51">
        <f>IF(OR($A25="",$J25=""),"",IF(COUNTIFS('6_資料庫比對'!$B$16:$B$25,A25,'6_資料庫比對'!$C$16:$C$25,I25)=0,"",IF(AND(SUMIFS('6_資料庫比對'!$F$16:$F$25,'6_資料庫比對'!$B$16:$B$25,A25,'6_資料庫比對'!$C$16:$C$25,I25)&gt;=T25,SUMIFS('6_資料庫比對'!$F$16:$F$25,'6_資料庫比對'!$B$16:$B$25,A25,'6_資料庫比對'!$C$16:$C$25,I25)&lt;=U25),"✓ 涵蓋","✗ 不涵蓋")))</f>
        <v/>
      </c>
    </row>
    <row r="26">
      <c r="A26" s="47" t="inlineStr">
        <is>
          <t>nonfat_milk_powder</t>
        </is>
      </c>
      <c r="B26" s="47" t="inlineStr">
        <is>
          <t>脫脂奶粉</t>
        </is>
      </c>
      <c r="C26" s="47" t="inlineStr">
        <is>
          <t>USDA</t>
        </is>
      </c>
      <c r="D26" s="47" t="inlineStr">
        <is>
          <t>SR Legacy</t>
        </is>
      </c>
      <c r="E26" s="47" t="n">
        <v>170877</v>
      </c>
      <c r="F26" s="47" t="inlineStr">
        <is>
          <t>Milk, dry, nonfat, regular, without added vitamin A and vitamin D</t>
        </is>
      </c>
      <c r="G26" s="47" t="inlineStr">
        <is>
          <t>exact</t>
        </is>
      </c>
      <c r="H26" s="47" t="n">
        <v>6.38</v>
      </c>
      <c r="I26" s="47" t="inlineStr">
        <is>
          <t>ash</t>
        </is>
      </c>
      <c r="J26" s="47" t="n">
        <v>7.93</v>
      </c>
      <c r="K26" s="47" t="inlineStr">
        <is>
          <t>g</t>
        </is>
      </c>
      <c r="L26" s="47" t="n">
        <v>104</v>
      </c>
      <c r="M26" s="47" t="n"/>
      <c r="N26" s="47" t="n"/>
      <c r="O26" s="47" t="n"/>
      <c r="P26" s="47" t="n"/>
      <c r="Q26" s="47" t="n"/>
      <c r="R26" s="48">
        <f>IF(OR($A26="",$J26=""),"",IFERROR(VLOOKUP(I26,'6_資料庫比對'!$A$6:$C$12,2,FALSE),""))</f>
        <v/>
      </c>
      <c r="S26" s="49">
        <f>IF(OR($A26="",$J26=""),"",IFERROR(VLOOKUP(I26,'6_資料庫比對'!$A$6:$C$12,3,FALSE),""))</f>
        <v/>
      </c>
      <c r="T26" s="50">
        <f>IF(OR($A26="",$J26=""),"",MAX(0,IF(AND(N26&lt;&gt;"",O26&lt;&gt;""),MIN(J26-MAX(R26*ABS(J26),S26),N26),IF(AND(M26&lt;&gt;"",N(L26)&gt;=2),MIN(J26-MAX(R26*ABS(J26),S26),J26-2*M26),J26-MAX(R26*ABS(J26),S26)))))</f>
        <v/>
      </c>
      <c r="U26" s="50">
        <f>IF(OR($A26="",$J26=""),"",IF(AND(N26&lt;&gt;"",O26&lt;&gt;""),MAX(J26+MAX(R26*ABS(J26),S26),O26),IF(AND(M26&lt;&gt;"",N(L26)&gt;=2),MAX(J26+MAX(R26*ABS(J26),S26),J26+2*M26),J26+MAX(R26*ABS(J26),S26))))</f>
        <v/>
      </c>
      <c r="V26" s="51">
        <f>IF(OR($A26="",$J26=""),"",IF(COUNTIFS('6_資料庫比對'!$B$16:$B$25,A26,'6_資料庫比對'!$C$16:$C$25,I26)=0,"",IF(AND(SUMIFS('6_資料庫比對'!$F$16:$F$25,'6_資料庫比對'!$B$16:$B$25,A26,'6_資料庫比對'!$C$16:$C$25,I26)&gt;=T26,SUMIFS('6_資料庫比對'!$F$16:$F$25,'6_資料庫比對'!$B$16:$B$25,A26,'6_資料庫比對'!$C$16:$C$25,I26)&lt;=U26),"✓ 涵蓋","✗ 不涵蓋")))</f>
        <v/>
      </c>
    </row>
    <row r="27">
      <c r="A27" s="47" t="inlineStr">
        <is>
          <t>nonfat_milk_powder</t>
        </is>
      </c>
      <c r="B27" s="47" t="inlineStr">
        <is>
          <t>脫脂奶粉</t>
        </is>
      </c>
      <c r="C27" s="47" t="inlineStr">
        <is>
          <t>USDA</t>
        </is>
      </c>
      <c r="D27" s="47" t="inlineStr">
        <is>
          <t>SR Legacy</t>
        </is>
      </c>
      <c r="E27" s="47" t="n">
        <v>170877</v>
      </c>
      <c r="F27" s="47" t="inlineStr">
        <is>
          <t>Milk, dry, nonfat, regular, without added vitamin A and vitamin D</t>
        </is>
      </c>
      <c r="G27" s="47" t="inlineStr">
        <is>
          <t>exact</t>
        </is>
      </c>
      <c r="H27" s="47" t="n">
        <v>6.38</v>
      </c>
      <c r="I27" s="47" t="inlineStr">
        <is>
          <t>carbohydrate</t>
        </is>
      </c>
      <c r="J27" s="47" t="n">
        <v>51.98</v>
      </c>
      <c r="K27" s="47" t="inlineStr">
        <is>
          <t>g</t>
        </is>
      </c>
      <c r="L27" s="47" t="n">
        <v>0</v>
      </c>
      <c r="M27" s="47" t="n"/>
      <c r="N27" s="47" t="n"/>
      <c r="O27" s="47" t="n"/>
      <c r="P27" s="47" t="n"/>
      <c r="Q27" s="47" t="inlineStr">
        <is>
          <t>NC: Calculated</t>
        </is>
      </c>
      <c r="R27" s="48">
        <f>IF(OR($A27="",$J27=""),"",IFERROR(VLOOKUP(I27,'6_資料庫比對'!$A$6:$C$12,2,FALSE),""))</f>
        <v/>
      </c>
      <c r="S27" s="49">
        <f>IF(OR($A27="",$J27=""),"",IFERROR(VLOOKUP(I27,'6_資料庫比對'!$A$6:$C$12,3,FALSE),""))</f>
        <v/>
      </c>
      <c r="T27" s="50">
        <f>IF(OR($A27="",$J27=""),"",MAX(0,IF(AND(N27&lt;&gt;"",O27&lt;&gt;""),MIN(J27-MAX(R27*ABS(J27),S27),N27),IF(AND(M27&lt;&gt;"",N(L27)&gt;=2),MIN(J27-MAX(R27*ABS(J27),S27),J27-2*M27),J27-MAX(R27*ABS(J27),S27)))))</f>
        <v/>
      </c>
      <c r="U27" s="50">
        <f>IF(OR($A27="",$J27=""),"",IF(AND(N27&lt;&gt;"",O27&lt;&gt;""),MAX(J27+MAX(R27*ABS(J27),S27),O27),IF(AND(M27&lt;&gt;"",N(L27)&gt;=2),MAX(J27+MAX(R27*ABS(J27),S27),J27+2*M27),J27+MAX(R27*ABS(J27),S27))))</f>
        <v/>
      </c>
      <c r="V27" s="51">
        <f>IF(OR($A27="",$J27=""),"",IF(COUNTIFS('6_資料庫比對'!$B$16:$B$25,A27,'6_資料庫比對'!$C$16:$C$25,I27)=0,"",IF(AND(SUMIFS('6_資料庫比對'!$F$16:$F$25,'6_資料庫比對'!$B$16:$B$25,A27,'6_資料庫比對'!$C$16:$C$25,I27)&gt;=T27,SUMIFS('6_資料庫比對'!$F$16:$F$25,'6_資料庫比對'!$B$16:$B$25,A27,'6_資料庫比對'!$C$16:$C$25,I27)&lt;=U27),"✓ 涵蓋","✗ 不涵蓋")))</f>
        <v/>
      </c>
    </row>
    <row r="28">
      <c r="A28" s="47" t="inlineStr">
        <is>
          <t>nonfat_milk_powder</t>
        </is>
      </c>
      <c r="B28" s="47" t="inlineStr">
        <is>
          <t>脫脂奶粉</t>
        </is>
      </c>
      <c r="C28" s="47" t="inlineStr">
        <is>
          <t>USDA</t>
        </is>
      </c>
      <c r="D28" s="47" t="inlineStr">
        <is>
          <t>SR Legacy</t>
        </is>
      </c>
      <c r="E28" s="47" t="n">
        <v>170877</v>
      </c>
      <c r="F28" s="47" t="inlineStr">
        <is>
          <t>Milk, dry, nonfat, regular, without added vitamin A and vitamin D</t>
        </is>
      </c>
      <c r="G28" s="47" t="inlineStr">
        <is>
          <t>exact</t>
        </is>
      </c>
      <c r="H28" s="47" t="n">
        <v>6.38</v>
      </c>
      <c r="I28" s="47" t="inlineStr">
        <is>
          <t>sugars_total</t>
        </is>
      </c>
      <c r="J28" s="47" t="n">
        <v>51.98</v>
      </c>
      <c r="K28" s="47" t="inlineStr">
        <is>
          <t>g</t>
        </is>
      </c>
      <c r="L28" s="47" t="n">
        <v>0</v>
      </c>
      <c r="M28" s="47" t="n"/>
      <c r="N28" s="47" t="n"/>
      <c r="O28" s="47" t="n"/>
      <c r="P28" s="47" t="n"/>
      <c r="Q28" s="47" t="inlineStr">
        <is>
          <t>NR: Nutrient that is based on other nutrient/s; value used directly, ex. Nut.#204 from Nut.#298</t>
        </is>
      </c>
      <c r="R28" s="48">
        <f>IF(OR($A28="",$J28=""),"",IFERROR(VLOOKUP(I28,'6_資料庫比對'!$A$6:$C$12,2,FALSE),""))</f>
        <v/>
      </c>
      <c r="S28" s="49">
        <f>IF(OR($A28="",$J28=""),"",IFERROR(VLOOKUP(I28,'6_資料庫比對'!$A$6:$C$12,3,FALSE),""))</f>
        <v/>
      </c>
      <c r="T28" s="50">
        <f>IF(OR($A28="",$J28=""),"",MAX(0,IF(AND(N28&lt;&gt;"",O28&lt;&gt;""),MIN(J28-MAX(R28*ABS(J28),S28),N28),IF(AND(M28&lt;&gt;"",N(L28)&gt;=2),MIN(J28-MAX(R28*ABS(J28),S28),J28-2*M28),J28-MAX(R28*ABS(J28),S28)))))</f>
        <v/>
      </c>
      <c r="U28" s="50">
        <f>IF(OR($A28="",$J28=""),"",IF(AND(N28&lt;&gt;"",O28&lt;&gt;""),MAX(J28+MAX(R28*ABS(J28),S28),O28),IF(AND(M28&lt;&gt;"",N(L28)&gt;=2),MAX(J28+MAX(R28*ABS(J28),S28),J28+2*M28),J28+MAX(R28*ABS(J28),S28))))</f>
        <v/>
      </c>
      <c r="V28" s="51">
        <f>IF(OR($A28="",$J28=""),"",IF(COUNTIFS('6_資料庫比對'!$B$16:$B$25,A28,'6_資料庫比對'!$C$16:$C$25,I28)=0,"",IF(AND(SUMIFS('6_資料庫比對'!$F$16:$F$25,'6_資料庫比對'!$B$16:$B$25,A28,'6_資料庫比對'!$C$16:$C$25,I28)&gt;=T28,SUMIFS('6_資料庫比對'!$F$16:$F$25,'6_資料庫比對'!$B$16:$B$25,A28,'6_資料庫比對'!$C$16:$C$25,I28)&lt;=U28),"✓ 涵蓋","✗ 不涵蓋")))</f>
        <v/>
      </c>
    </row>
    <row r="29">
      <c r="A29" s="47" t="inlineStr">
        <is>
          <t>nonfat_milk_powder</t>
        </is>
      </c>
      <c r="B29" s="47" t="inlineStr">
        <is>
          <t>脫脂奶粉</t>
        </is>
      </c>
      <c r="C29" s="47" t="inlineStr">
        <is>
          <t>USDA</t>
        </is>
      </c>
      <c r="D29" s="47" t="inlineStr">
        <is>
          <t>SR Legacy</t>
        </is>
      </c>
      <c r="E29" s="47" t="n">
        <v>170877</v>
      </c>
      <c r="F29" s="47" t="inlineStr">
        <is>
          <t>Milk, dry, nonfat, regular, without added vitamin A and vitamin D</t>
        </is>
      </c>
      <c r="G29" s="47" t="inlineStr">
        <is>
          <t>exact</t>
        </is>
      </c>
      <c r="H29" s="47" t="n">
        <v>6.38</v>
      </c>
      <c r="I29" s="47" t="inlineStr">
        <is>
          <t>sodium</t>
        </is>
      </c>
      <c r="J29" s="47" t="n">
        <v>535</v>
      </c>
      <c r="K29" s="47" t="inlineStr">
        <is>
          <t>mg</t>
        </is>
      </c>
      <c r="L29" s="47" t="n">
        <v>6</v>
      </c>
      <c r="M29" s="47" t="n"/>
      <c r="N29" s="47" t="n"/>
      <c r="O29" s="47" t="n"/>
      <c r="P29" s="47" t="n"/>
      <c r="Q29" s="47" t="n"/>
      <c r="R29" s="48">
        <f>IF(OR($A29="",$J29=""),"",IFERROR(VLOOKUP(I29,'6_資料庫比對'!$A$6:$C$12,2,FALSE),""))</f>
        <v/>
      </c>
      <c r="S29" s="49">
        <f>IF(OR($A29="",$J29=""),"",IFERROR(VLOOKUP(I29,'6_資料庫比對'!$A$6:$C$12,3,FALSE),""))</f>
        <v/>
      </c>
      <c r="T29" s="50">
        <f>IF(OR($A29="",$J29=""),"",MAX(0,IF(AND(N29&lt;&gt;"",O29&lt;&gt;""),MIN(J29-MAX(R29*ABS(J29),S29),N29),IF(AND(M29&lt;&gt;"",N(L29)&gt;=2),MIN(J29-MAX(R29*ABS(J29),S29),J29-2*M29),J29-MAX(R29*ABS(J29),S29)))))</f>
        <v/>
      </c>
      <c r="U29" s="50">
        <f>IF(OR($A29="",$J29=""),"",IF(AND(N29&lt;&gt;"",O29&lt;&gt;""),MAX(J29+MAX(R29*ABS(J29),S29),O29),IF(AND(M29&lt;&gt;"",N(L29)&gt;=2),MAX(J29+MAX(R29*ABS(J29),S29),J29+2*M29),J29+MAX(R29*ABS(J29),S29))))</f>
        <v/>
      </c>
      <c r="V29" s="51">
        <f>IF(OR($A29="",$J29=""),"",IF(COUNTIFS('6_資料庫比對'!$B$16:$B$25,A29,'6_資料庫比對'!$C$16:$C$25,I29)=0,"",IF(AND(SUMIFS('6_資料庫比對'!$F$16:$F$25,'6_資料庫比對'!$B$16:$B$25,A29,'6_資料庫比對'!$C$16:$C$25,I29)&gt;=T29,SUMIFS('6_資料庫比對'!$F$16:$F$25,'6_資料庫比對'!$B$16:$B$25,A29,'6_資料庫比對'!$C$16:$C$25,I29)&lt;=U29),"✓ 涵蓋","✗ 不涵蓋")))</f>
        <v/>
      </c>
    </row>
    <row r="30">
      <c r="A30" s="47" t="inlineStr">
        <is>
          <t>nonfat_milk_powder</t>
        </is>
      </c>
      <c r="B30" s="47" t="inlineStr">
        <is>
          <t>脫脂奶粉</t>
        </is>
      </c>
      <c r="C30" s="47" t="inlineStr">
        <is>
          <t>TFND</t>
        </is>
      </c>
      <c r="D30" s="47" t="inlineStr">
        <is>
          <t>食品營養成分資料集</t>
        </is>
      </c>
      <c r="E30" s="47" t="inlineStr">
        <is>
          <t>L0207101</t>
        </is>
      </c>
      <c r="F30" s="47" t="inlineStr">
        <is>
          <t>脫脂奶粉</t>
        </is>
      </c>
      <c r="G30" s="47" t="inlineStr">
        <is>
          <t>exact</t>
        </is>
      </c>
      <c r="H30" s="47" t="n"/>
      <c r="I30" s="47" t="inlineStr">
        <is>
          <t>water</t>
        </is>
      </c>
      <c r="J30" s="47" t="n">
        <v>4</v>
      </c>
      <c r="K30" s="47" t="inlineStr">
        <is>
          <t>g</t>
        </is>
      </c>
      <c r="L30" s="47" t="n">
        <v>1</v>
      </c>
      <c r="M30" s="47" t="n"/>
      <c r="N30" s="47" t="n"/>
      <c r="O30" s="47" t="n"/>
      <c r="P30" s="47" t="n"/>
      <c r="Q30" s="47" t="n"/>
      <c r="R30" s="48">
        <f>IF(OR($A30="",$J30=""),"",IFERROR(VLOOKUP(I30,'6_資料庫比對'!$A$6:$C$12,2,FALSE),""))</f>
        <v/>
      </c>
      <c r="S30" s="49">
        <f>IF(OR($A30="",$J30=""),"",IFERROR(VLOOKUP(I30,'6_資料庫比對'!$A$6:$C$12,3,FALSE),""))</f>
        <v/>
      </c>
      <c r="T30" s="50">
        <f>IF(OR($A30="",$J30=""),"",MAX(0,IF(AND(N30&lt;&gt;"",O30&lt;&gt;""),MIN(J30-MAX(R30*ABS(J30),S30),N30),IF(AND(M30&lt;&gt;"",N(L30)&gt;=2),MIN(J30-MAX(R30*ABS(J30),S30),J30-2*M30),J30-MAX(R30*ABS(J30),S30)))))</f>
        <v/>
      </c>
      <c r="U30" s="50">
        <f>IF(OR($A30="",$J30=""),"",IF(AND(N30&lt;&gt;"",O30&lt;&gt;""),MAX(J30+MAX(R30*ABS(J30),S30),O30),IF(AND(M30&lt;&gt;"",N(L30)&gt;=2),MAX(J30+MAX(R30*ABS(J30),S30),J30+2*M30),J30+MAX(R30*ABS(J30),S30))))</f>
        <v/>
      </c>
      <c r="V30" s="51">
        <f>IF(OR($A30="",$J30=""),"",IF(COUNTIFS('6_資料庫比對'!$B$16:$B$25,A30,'6_資料庫比對'!$C$16:$C$25,I30)=0,"",IF(AND(SUMIFS('6_資料庫比對'!$F$16:$F$25,'6_資料庫比對'!$B$16:$B$25,A30,'6_資料庫比對'!$C$16:$C$25,I30)&gt;=T30,SUMIFS('6_資料庫比對'!$F$16:$F$25,'6_資料庫比對'!$B$16:$B$25,A30,'6_資料庫比對'!$C$16:$C$25,I30)&lt;=U30),"✓ 涵蓋","✗ 不涵蓋")))</f>
        <v/>
      </c>
    </row>
    <row r="31">
      <c r="A31" s="47" t="inlineStr">
        <is>
          <t>nonfat_milk_powder</t>
        </is>
      </c>
      <c r="B31" s="47" t="inlineStr">
        <is>
          <t>脫脂奶粉</t>
        </is>
      </c>
      <c r="C31" s="47" t="inlineStr">
        <is>
          <t>TFND</t>
        </is>
      </c>
      <c r="D31" s="47" t="inlineStr">
        <is>
          <t>食品營養成分資料集</t>
        </is>
      </c>
      <c r="E31" s="47" t="inlineStr">
        <is>
          <t>L0207101</t>
        </is>
      </c>
      <c r="F31" s="47" t="inlineStr">
        <is>
          <t>脫脂奶粉</t>
        </is>
      </c>
      <c r="G31" s="47" t="inlineStr">
        <is>
          <t>exact</t>
        </is>
      </c>
      <c r="H31" s="47" t="n"/>
      <c r="I31" s="47" t="inlineStr">
        <is>
          <t>protein</t>
        </is>
      </c>
      <c r="J31" s="47" t="n">
        <v>36.2</v>
      </c>
      <c r="K31" s="47" t="inlineStr">
        <is>
          <t>g</t>
        </is>
      </c>
      <c r="L31" s="47" t="n">
        <v>1</v>
      </c>
      <c r="M31" s="47" t="n"/>
      <c r="N31" s="47" t="n"/>
      <c r="O31" s="47" t="n"/>
      <c r="P31" s="47" t="n"/>
      <c r="Q31" s="47" t="n"/>
      <c r="R31" s="48">
        <f>IF(OR($A31="",$J31=""),"",IFERROR(VLOOKUP(I31,'6_資料庫比對'!$A$6:$C$12,2,FALSE),""))</f>
        <v/>
      </c>
      <c r="S31" s="49">
        <f>IF(OR($A31="",$J31=""),"",IFERROR(VLOOKUP(I31,'6_資料庫比對'!$A$6:$C$12,3,FALSE),""))</f>
        <v/>
      </c>
      <c r="T31" s="50">
        <f>IF(OR($A31="",$J31=""),"",MAX(0,IF(AND(N31&lt;&gt;"",O31&lt;&gt;""),MIN(J31-MAX(R31*ABS(J31),S31),N31),IF(AND(M31&lt;&gt;"",N(L31)&gt;=2),MIN(J31-MAX(R31*ABS(J31),S31),J31-2*M31),J31-MAX(R31*ABS(J31),S31)))))</f>
        <v/>
      </c>
      <c r="U31" s="50">
        <f>IF(OR($A31="",$J31=""),"",IF(AND(N31&lt;&gt;"",O31&lt;&gt;""),MAX(J31+MAX(R31*ABS(J31),S31),O31),IF(AND(M31&lt;&gt;"",N(L31)&gt;=2),MAX(J31+MAX(R31*ABS(J31),S31),J31+2*M31),J31+MAX(R31*ABS(J31),S31))))</f>
        <v/>
      </c>
      <c r="V31" s="51">
        <f>IF(OR($A31="",$J31=""),"",IF(COUNTIFS('6_資料庫比對'!$B$16:$B$25,A31,'6_資料庫比對'!$C$16:$C$25,I31)=0,"",IF(AND(SUMIFS('6_資料庫比對'!$F$16:$F$25,'6_資料庫比對'!$B$16:$B$25,A31,'6_資料庫比對'!$C$16:$C$25,I31)&gt;=T31,SUMIFS('6_資料庫比對'!$F$16:$F$25,'6_資料庫比對'!$B$16:$B$25,A31,'6_資料庫比對'!$C$16:$C$25,I31)&lt;=U31),"✓ 涵蓋","✗ 不涵蓋")))</f>
        <v/>
      </c>
    </row>
    <row r="32">
      <c r="A32" s="47" t="inlineStr">
        <is>
          <t>nonfat_milk_powder</t>
        </is>
      </c>
      <c r="B32" s="47" t="inlineStr">
        <is>
          <t>脫脂奶粉</t>
        </is>
      </c>
      <c r="C32" s="47" t="inlineStr">
        <is>
          <t>TFND</t>
        </is>
      </c>
      <c r="D32" s="47" t="inlineStr">
        <is>
          <t>食品營養成分資料集</t>
        </is>
      </c>
      <c r="E32" s="47" t="inlineStr">
        <is>
          <t>L0207101</t>
        </is>
      </c>
      <c r="F32" s="47" t="inlineStr">
        <is>
          <t>脫脂奶粉</t>
        </is>
      </c>
      <c r="G32" s="47" t="inlineStr">
        <is>
          <t>exact</t>
        </is>
      </c>
      <c r="H32" s="47" t="n"/>
      <c r="I32" s="47" t="inlineStr">
        <is>
          <t>fat</t>
        </is>
      </c>
      <c r="J32" s="47" t="n">
        <v>0.9</v>
      </c>
      <c r="K32" s="47" t="inlineStr">
        <is>
          <t>g</t>
        </is>
      </c>
      <c r="L32" s="47" t="n">
        <v>1</v>
      </c>
      <c r="M32" s="47" t="n"/>
      <c r="N32" s="47" t="n"/>
      <c r="O32" s="47" t="n"/>
      <c r="P32" s="47" t="n"/>
      <c r="Q32" s="47" t="n"/>
      <c r="R32" s="48">
        <f>IF(OR($A32="",$J32=""),"",IFERROR(VLOOKUP(I32,'6_資料庫比對'!$A$6:$C$12,2,FALSE),""))</f>
        <v/>
      </c>
      <c r="S32" s="49">
        <f>IF(OR($A32="",$J32=""),"",IFERROR(VLOOKUP(I32,'6_資料庫比對'!$A$6:$C$12,3,FALSE),""))</f>
        <v/>
      </c>
      <c r="T32" s="50">
        <f>IF(OR($A32="",$J32=""),"",MAX(0,IF(AND(N32&lt;&gt;"",O32&lt;&gt;""),MIN(J32-MAX(R32*ABS(J32),S32),N32),IF(AND(M32&lt;&gt;"",N(L32)&gt;=2),MIN(J32-MAX(R32*ABS(J32),S32),J32-2*M32),J32-MAX(R32*ABS(J32),S32)))))</f>
        <v/>
      </c>
      <c r="U32" s="50">
        <f>IF(OR($A32="",$J32=""),"",IF(AND(N32&lt;&gt;"",O32&lt;&gt;""),MAX(J32+MAX(R32*ABS(J32),S32),O32),IF(AND(M32&lt;&gt;"",N(L32)&gt;=2),MAX(J32+MAX(R32*ABS(J32),S32),J32+2*M32),J32+MAX(R32*ABS(J32),S32))))</f>
        <v/>
      </c>
      <c r="V32" s="51">
        <f>IF(OR($A32="",$J32=""),"",IF(COUNTIFS('6_資料庫比對'!$B$16:$B$25,A32,'6_資料庫比對'!$C$16:$C$25,I32)=0,"",IF(AND(SUMIFS('6_資料庫比對'!$F$16:$F$25,'6_資料庫比對'!$B$16:$B$25,A32,'6_資料庫比對'!$C$16:$C$25,I32)&gt;=T32,SUMIFS('6_資料庫比對'!$F$16:$F$25,'6_資料庫比對'!$B$16:$B$25,A32,'6_資料庫比對'!$C$16:$C$25,I32)&lt;=U32),"✓ 涵蓋","✗ 不涵蓋")))</f>
        <v/>
      </c>
    </row>
    <row r="33">
      <c r="A33" s="47" t="inlineStr">
        <is>
          <t>nonfat_milk_powder</t>
        </is>
      </c>
      <c r="B33" s="47" t="inlineStr">
        <is>
          <t>脫脂奶粉</t>
        </is>
      </c>
      <c r="C33" s="47" t="inlineStr">
        <is>
          <t>TFND</t>
        </is>
      </c>
      <c r="D33" s="47" t="inlineStr">
        <is>
          <t>食品營養成分資料集</t>
        </is>
      </c>
      <c r="E33" s="47" t="inlineStr">
        <is>
          <t>L0207101</t>
        </is>
      </c>
      <c r="F33" s="47" t="inlineStr">
        <is>
          <t>脫脂奶粉</t>
        </is>
      </c>
      <c r="G33" s="47" t="inlineStr">
        <is>
          <t>exact</t>
        </is>
      </c>
      <c r="H33" s="47" t="n"/>
      <c r="I33" s="47" t="inlineStr">
        <is>
          <t>ash</t>
        </is>
      </c>
      <c r="J33" s="47" t="n">
        <v>7.7</v>
      </c>
      <c r="K33" s="47" t="inlineStr">
        <is>
          <t>g</t>
        </is>
      </c>
      <c r="L33" s="47" t="n">
        <v>1</v>
      </c>
      <c r="M33" s="47" t="n"/>
      <c r="N33" s="47" t="n"/>
      <c r="O33" s="47" t="n"/>
      <c r="P33" s="47" t="n"/>
      <c r="Q33" s="47" t="n"/>
      <c r="R33" s="48">
        <f>IF(OR($A33="",$J33=""),"",IFERROR(VLOOKUP(I33,'6_資料庫比對'!$A$6:$C$12,2,FALSE),""))</f>
        <v/>
      </c>
      <c r="S33" s="49">
        <f>IF(OR($A33="",$J33=""),"",IFERROR(VLOOKUP(I33,'6_資料庫比對'!$A$6:$C$12,3,FALSE),""))</f>
        <v/>
      </c>
      <c r="T33" s="50">
        <f>IF(OR($A33="",$J33=""),"",MAX(0,IF(AND(N33&lt;&gt;"",O33&lt;&gt;""),MIN(J33-MAX(R33*ABS(J33),S33),N33),IF(AND(M33&lt;&gt;"",N(L33)&gt;=2),MIN(J33-MAX(R33*ABS(J33),S33),J33-2*M33),J33-MAX(R33*ABS(J33),S33)))))</f>
        <v/>
      </c>
      <c r="U33" s="50">
        <f>IF(OR($A33="",$J33=""),"",IF(AND(N33&lt;&gt;"",O33&lt;&gt;""),MAX(J33+MAX(R33*ABS(J33),S33),O33),IF(AND(M33&lt;&gt;"",N(L33)&gt;=2),MAX(J33+MAX(R33*ABS(J33),S33),J33+2*M33),J33+MAX(R33*ABS(J33),S33))))</f>
        <v/>
      </c>
      <c r="V33" s="51">
        <f>IF(OR($A33="",$J33=""),"",IF(COUNTIFS('6_資料庫比對'!$B$16:$B$25,A33,'6_資料庫比對'!$C$16:$C$25,I33)=0,"",IF(AND(SUMIFS('6_資料庫比對'!$F$16:$F$25,'6_資料庫比對'!$B$16:$B$25,A33,'6_資料庫比對'!$C$16:$C$25,I33)&gt;=T33,SUMIFS('6_資料庫比對'!$F$16:$F$25,'6_資料庫比對'!$B$16:$B$25,A33,'6_資料庫比對'!$C$16:$C$25,I33)&lt;=U33),"✓ 涵蓋","✗ 不涵蓋")))</f>
        <v/>
      </c>
    </row>
    <row r="34">
      <c r="A34" s="47" t="inlineStr">
        <is>
          <t>nonfat_milk_powder</t>
        </is>
      </c>
      <c r="B34" s="47" t="inlineStr">
        <is>
          <t>脫脂奶粉</t>
        </is>
      </c>
      <c r="C34" s="47" t="inlineStr">
        <is>
          <t>TFND</t>
        </is>
      </c>
      <c r="D34" s="47" t="inlineStr">
        <is>
          <t>食品營養成分資料集</t>
        </is>
      </c>
      <c r="E34" s="47" t="inlineStr">
        <is>
          <t>L0207101</t>
        </is>
      </c>
      <c r="F34" s="47" t="inlineStr">
        <is>
          <t>脫脂奶粉</t>
        </is>
      </c>
      <c r="G34" s="47" t="inlineStr">
        <is>
          <t>exact</t>
        </is>
      </c>
      <c r="H34" s="47" t="n"/>
      <c r="I34" s="47" t="inlineStr">
        <is>
          <t>carbohydrate</t>
        </is>
      </c>
      <c r="J34" s="47" t="n">
        <v>51.2</v>
      </c>
      <c r="K34" s="47" t="inlineStr">
        <is>
          <t>g</t>
        </is>
      </c>
      <c r="L34" s="47" t="n"/>
      <c r="M34" s="47" t="n"/>
      <c r="N34" s="47" t="n"/>
      <c r="O34" s="47" t="n"/>
      <c r="P34" s="47" t="n"/>
      <c r="Q34" s="47" t="n"/>
      <c r="R34" s="48">
        <f>IF(OR($A34="",$J34=""),"",IFERROR(VLOOKUP(I34,'6_資料庫比對'!$A$6:$C$12,2,FALSE),""))</f>
        <v/>
      </c>
      <c r="S34" s="49">
        <f>IF(OR($A34="",$J34=""),"",IFERROR(VLOOKUP(I34,'6_資料庫比對'!$A$6:$C$12,3,FALSE),""))</f>
        <v/>
      </c>
      <c r="T34" s="50">
        <f>IF(OR($A34="",$J34=""),"",MAX(0,IF(AND(N34&lt;&gt;"",O34&lt;&gt;""),MIN(J34-MAX(R34*ABS(J34),S34),N34),IF(AND(M34&lt;&gt;"",N(L34)&gt;=2),MIN(J34-MAX(R34*ABS(J34),S34),J34-2*M34),J34-MAX(R34*ABS(J34),S34)))))</f>
        <v/>
      </c>
      <c r="U34" s="50">
        <f>IF(OR($A34="",$J34=""),"",IF(AND(N34&lt;&gt;"",O34&lt;&gt;""),MAX(J34+MAX(R34*ABS(J34),S34),O34),IF(AND(M34&lt;&gt;"",N(L34)&gt;=2),MAX(J34+MAX(R34*ABS(J34),S34),J34+2*M34),J34+MAX(R34*ABS(J34),S34))))</f>
        <v/>
      </c>
      <c r="V34" s="51">
        <f>IF(OR($A34="",$J34=""),"",IF(COUNTIFS('6_資料庫比對'!$B$16:$B$25,A34,'6_資料庫比對'!$C$16:$C$25,I34)=0,"",IF(AND(SUMIFS('6_資料庫比對'!$F$16:$F$25,'6_資料庫比對'!$B$16:$B$25,A34,'6_資料庫比對'!$C$16:$C$25,I34)&gt;=T34,SUMIFS('6_資料庫比對'!$F$16:$F$25,'6_資料庫比對'!$B$16:$B$25,A34,'6_資料庫比對'!$C$16:$C$25,I34)&lt;=U34),"✓ 涵蓋","✗ 不涵蓋")))</f>
        <v/>
      </c>
    </row>
    <row r="35">
      <c r="A35" s="47" t="inlineStr">
        <is>
          <t>nonfat_milk_powder</t>
        </is>
      </c>
      <c r="B35" s="47" t="inlineStr">
        <is>
          <t>脫脂奶粉</t>
        </is>
      </c>
      <c r="C35" s="47" t="inlineStr">
        <is>
          <t>TFND</t>
        </is>
      </c>
      <c r="D35" s="47" t="inlineStr">
        <is>
          <t>食品營養成分資料集</t>
        </is>
      </c>
      <c r="E35" s="47" t="inlineStr">
        <is>
          <t>L0207101</t>
        </is>
      </c>
      <c r="F35" s="47" t="inlineStr">
        <is>
          <t>脫脂奶粉</t>
        </is>
      </c>
      <c r="G35" s="47" t="inlineStr">
        <is>
          <t>exact</t>
        </is>
      </c>
      <c r="H35" s="47" t="n"/>
      <c r="I35" s="47" t="inlineStr">
        <is>
          <t>sugars_total</t>
        </is>
      </c>
      <c r="J35" s="47" t="n">
        <v>36.6</v>
      </c>
      <c r="K35" s="47" t="inlineStr">
        <is>
          <t>g</t>
        </is>
      </c>
      <c r="L35" s="47" t="n"/>
      <c r="M35" s="47" t="n"/>
      <c r="N35" s="47" t="n"/>
      <c r="O35" s="47" t="n"/>
      <c r="P35" s="47" t="n"/>
      <c r="Q35" s="47" t="n"/>
      <c r="R35" s="48">
        <f>IF(OR($A35="",$J35=""),"",IFERROR(VLOOKUP(I35,'6_資料庫比對'!$A$6:$C$12,2,FALSE),""))</f>
        <v/>
      </c>
      <c r="S35" s="49">
        <f>IF(OR($A35="",$J35=""),"",IFERROR(VLOOKUP(I35,'6_資料庫比對'!$A$6:$C$12,3,FALSE),""))</f>
        <v/>
      </c>
      <c r="T35" s="50">
        <f>IF(OR($A35="",$J35=""),"",MAX(0,IF(AND(N35&lt;&gt;"",O35&lt;&gt;""),MIN(J35-MAX(R35*ABS(J35),S35),N35),IF(AND(M35&lt;&gt;"",N(L35)&gt;=2),MIN(J35-MAX(R35*ABS(J35),S35),J35-2*M35),J35-MAX(R35*ABS(J35),S35)))))</f>
        <v/>
      </c>
      <c r="U35" s="50">
        <f>IF(OR($A35="",$J35=""),"",IF(AND(N35&lt;&gt;"",O35&lt;&gt;""),MAX(J35+MAX(R35*ABS(J35),S35),O35),IF(AND(M35&lt;&gt;"",N(L35)&gt;=2),MAX(J35+MAX(R35*ABS(J35),S35),J35+2*M35),J35+MAX(R35*ABS(J35),S35))))</f>
        <v/>
      </c>
      <c r="V35" s="51">
        <f>IF(OR($A35="",$J35=""),"",IF(COUNTIFS('6_資料庫比對'!$B$16:$B$25,A35,'6_資料庫比對'!$C$16:$C$25,I35)=0,"",IF(AND(SUMIFS('6_資料庫比對'!$F$16:$F$25,'6_資料庫比對'!$B$16:$B$25,A35,'6_資料庫比對'!$C$16:$C$25,I35)&gt;=T35,SUMIFS('6_資料庫比對'!$F$16:$F$25,'6_資料庫比對'!$B$16:$B$25,A35,'6_資料庫比對'!$C$16:$C$25,I35)&lt;=U35),"✓ 涵蓋","✗ 不涵蓋")))</f>
        <v/>
      </c>
    </row>
    <row r="36">
      <c r="A36" s="47" t="inlineStr">
        <is>
          <t>nonfat_milk_powder</t>
        </is>
      </c>
      <c r="B36" s="47" t="inlineStr">
        <is>
          <t>脫脂奶粉</t>
        </is>
      </c>
      <c r="C36" s="47" t="inlineStr">
        <is>
          <t>TFND</t>
        </is>
      </c>
      <c r="D36" s="47" t="inlineStr">
        <is>
          <t>食品營養成分資料集</t>
        </is>
      </c>
      <c r="E36" s="47" t="inlineStr">
        <is>
          <t>L0207101</t>
        </is>
      </c>
      <c r="F36" s="47" t="inlineStr">
        <is>
          <t>脫脂奶粉</t>
        </is>
      </c>
      <c r="G36" s="47" t="inlineStr">
        <is>
          <t>exact</t>
        </is>
      </c>
      <c r="H36" s="47" t="n"/>
      <c r="I36" s="47" t="inlineStr">
        <is>
          <t>sodium</t>
        </is>
      </c>
      <c r="J36" s="47" t="n">
        <v>338</v>
      </c>
      <c r="K36" s="47" t="inlineStr">
        <is>
          <t>mg</t>
        </is>
      </c>
      <c r="L36" s="47" t="n">
        <v>1</v>
      </c>
      <c r="M36" s="47" t="n"/>
      <c r="N36" s="47" t="n"/>
      <c r="O36" s="47" t="n"/>
      <c r="P36" s="47" t="n"/>
      <c r="Q36" s="47" t="n"/>
      <c r="R36" s="48">
        <f>IF(OR($A36="",$J36=""),"",IFERROR(VLOOKUP(I36,'6_資料庫比對'!$A$6:$C$12,2,FALSE),""))</f>
        <v/>
      </c>
      <c r="S36" s="49">
        <f>IF(OR($A36="",$J36=""),"",IFERROR(VLOOKUP(I36,'6_資料庫比對'!$A$6:$C$12,3,FALSE),""))</f>
        <v/>
      </c>
      <c r="T36" s="50">
        <f>IF(OR($A36="",$J36=""),"",MAX(0,IF(AND(N36&lt;&gt;"",O36&lt;&gt;""),MIN(J36-MAX(R36*ABS(J36),S36),N36),IF(AND(M36&lt;&gt;"",N(L36)&gt;=2),MIN(J36-MAX(R36*ABS(J36),S36),J36-2*M36),J36-MAX(R36*ABS(J36),S36)))))</f>
        <v/>
      </c>
      <c r="U36" s="50">
        <f>IF(OR($A36="",$J36=""),"",IF(AND(N36&lt;&gt;"",O36&lt;&gt;""),MAX(J36+MAX(R36*ABS(J36),S36),O36),IF(AND(M36&lt;&gt;"",N(L36)&gt;=2),MAX(J36+MAX(R36*ABS(J36),S36),J36+2*M36),J36+MAX(R36*ABS(J36),S36))))</f>
        <v/>
      </c>
      <c r="V36" s="51">
        <f>IF(OR($A36="",$J36=""),"",IF(COUNTIFS('6_資料庫比對'!$B$16:$B$25,A36,'6_資料庫比對'!$C$16:$C$25,I36)=0,"",IF(AND(SUMIFS('6_資料庫比對'!$F$16:$F$25,'6_資料庫比對'!$B$16:$B$25,A36,'6_資料庫比對'!$C$16:$C$25,I36)&gt;=T36,SUMIFS('6_資料庫比對'!$F$16:$F$25,'6_資料庫比對'!$B$16:$B$25,A36,'6_資料庫比對'!$C$16:$C$25,I36)&lt;=U36),"✓ 涵蓋","✗ 不涵蓋")))</f>
        <v/>
      </c>
    </row>
    <row r="37">
      <c r="A37" s="47" t="inlineStr">
        <is>
          <t>soy_sauce</t>
        </is>
      </c>
      <c r="B37" s="47" t="inlineStr">
        <is>
          <t>醬油</t>
        </is>
      </c>
      <c r="C37" s="47" t="inlineStr">
        <is>
          <t>USDA</t>
        </is>
      </c>
      <c r="D37" s="47" t="inlineStr">
        <is>
          <t>SR Legacy</t>
        </is>
      </c>
      <c r="E37" s="47" t="n">
        <v>174277</v>
      </c>
      <c r="F37" s="47" t="inlineStr">
        <is>
          <t>Soy sauce made from soy and wheat (shoyu)</t>
        </is>
      </c>
      <c r="G37" s="47" t="inlineStr">
        <is>
          <t>exact</t>
        </is>
      </c>
      <c r="H37" s="47" t="n">
        <v>6.25</v>
      </c>
      <c r="I37" s="47" t="inlineStr">
        <is>
          <t>water</t>
        </is>
      </c>
      <c r="J37" s="47" t="n">
        <v>71.15000000000001</v>
      </c>
      <c r="K37" s="47" t="inlineStr">
        <is>
          <t>g</t>
        </is>
      </c>
      <c r="L37" s="47" t="n">
        <v>6</v>
      </c>
      <c r="M37" s="47" t="n"/>
      <c r="N37" s="47" t="n">
        <v>71.05</v>
      </c>
      <c r="O37" s="47" t="n">
        <v>71.26000000000001</v>
      </c>
      <c r="P37" s="47" t="n"/>
      <c r="Q37" s="47" t="inlineStr">
        <is>
          <t>A: Analytical</t>
        </is>
      </c>
      <c r="R37" s="48">
        <f>IF(OR($A37="",$J37=""),"",IFERROR(VLOOKUP(I37,'6_資料庫比對'!$A$6:$C$12,2,FALSE),""))</f>
        <v/>
      </c>
      <c r="S37" s="49">
        <f>IF(OR($A37="",$J37=""),"",IFERROR(VLOOKUP(I37,'6_資料庫比對'!$A$6:$C$12,3,FALSE),""))</f>
        <v/>
      </c>
      <c r="T37" s="50">
        <f>IF(OR($A37="",$J37=""),"",MAX(0,IF(AND(N37&lt;&gt;"",O37&lt;&gt;""),MIN(J37-MAX(R37*ABS(J37),S37),N37),IF(AND(M37&lt;&gt;"",N(L37)&gt;=2),MIN(J37-MAX(R37*ABS(J37),S37),J37-2*M37),J37-MAX(R37*ABS(J37),S37)))))</f>
        <v/>
      </c>
      <c r="U37" s="50">
        <f>IF(OR($A37="",$J37=""),"",IF(AND(N37&lt;&gt;"",O37&lt;&gt;""),MAX(J37+MAX(R37*ABS(J37),S37),O37),IF(AND(M37&lt;&gt;"",N(L37)&gt;=2),MAX(J37+MAX(R37*ABS(J37),S37),J37+2*M37),J37+MAX(R37*ABS(J37),S37))))</f>
        <v/>
      </c>
      <c r="V37" s="51">
        <f>IF(OR($A37="",$J37=""),"",IF(COUNTIFS('6_資料庫比對'!$B$16:$B$25,A37,'6_資料庫比對'!$C$16:$C$25,I37)=0,"",IF(AND(SUMIFS('6_資料庫比對'!$F$16:$F$25,'6_資料庫比對'!$B$16:$B$25,A37,'6_資料庫比對'!$C$16:$C$25,I37)&gt;=T37,SUMIFS('6_資料庫比對'!$F$16:$F$25,'6_資料庫比對'!$B$16:$B$25,A37,'6_資料庫比對'!$C$16:$C$25,I37)&lt;=U37),"✓ 涵蓋","✗ 不涵蓋")))</f>
        <v/>
      </c>
    </row>
    <row r="38">
      <c r="A38" s="47" t="inlineStr">
        <is>
          <t>soy_sauce</t>
        </is>
      </c>
      <c r="B38" s="47" t="inlineStr">
        <is>
          <t>醬油</t>
        </is>
      </c>
      <c r="C38" s="47" t="inlineStr">
        <is>
          <t>USDA</t>
        </is>
      </c>
      <c r="D38" s="47" t="inlineStr">
        <is>
          <t>SR Legacy</t>
        </is>
      </c>
      <c r="E38" s="47" t="n">
        <v>174277</v>
      </c>
      <c r="F38" s="47" t="inlineStr">
        <is>
          <t>Soy sauce made from soy and wheat (shoyu)</t>
        </is>
      </c>
      <c r="G38" s="47" t="inlineStr">
        <is>
          <t>exact</t>
        </is>
      </c>
      <c r="H38" s="47" t="n">
        <v>6.25</v>
      </c>
      <c r="I38" s="47" t="inlineStr">
        <is>
          <t>protein</t>
        </is>
      </c>
      <c r="J38" s="47" t="n">
        <v>8.140000000000001</v>
      </c>
      <c r="K38" s="47" t="inlineStr">
        <is>
          <t>g</t>
        </is>
      </c>
      <c r="L38" s="47" t="n">
        <v>6</v>
      </c>
      <c r="M38" s="47" t="n"/>
      <c r="N38" s="47" t="n">
        <v>8.050000000000001</v>
      </c>
      <c r="O38" s="47" t="n">
        <v>8.220000000000001</v>
      </c>
      <c r="P38" s="47" t="n"/>
      <c r="Q38" s="47" t="inlineStr">
        <is>
          <t>A: Analytical</t>
        </is>
      </c>
      <c r="R38" s="48">
        <f>IF(OR($A38="",$J38=""),"",IFERROR(VLOOKUP(I38,'6_資料庫比對'!$A$6:$C$12,2,FALSE),""))</f>
        <v/>
      </c>
      <c r="S38" s="49">
        <f>IF(OR($A38="",$J38=""),"",IFERROR(VLOOKUP(I38,'6_資料庫比對'!$A$6:$C$12,3,FALSE),""))</f>
        <v/>
      </c>
      <c r="T38" s="50">
        <f>IF(OR($A38="",$J38=""),"",MAX(0,IF(AND(N38&lt;&gt;"",O38&lt;&gt;""),MIN(J38-MAX(R38*ABS(J38),S38),N38),IF(AND(M38&lt;&gt;"",N(L38)&gt;=2),MIN(J38-MAX(R38*ABS(J38),S38),J38-2*M38),J38-MAX(R38*ABS(J38),S38)))))</f>
        <v/>
      </c>
      <c r="U38" s="50">
        <f>IF(OR($A38="",$J38=""),"",IF(AND(N38&lt;&gt;"",O38&lt;&gt;""),MAX(J38+MAX(R38*ABS(J38),S38),O38),IF(AND(M38&lt;&gt;"",N(L38)&gt;=2),MAX(J38+MAX(R38*ABS(J38),S38),J38+2*M38),J38+MAX(R38*ABS(J38),S38))))</f>
        <v/>
      </c>
      <c r="V38" s="51">
        <f>IF(OR($A38="",$J38=""),"",IF(COUNTIFS('6_資料庫比對'!$B$16:$B$25,A38,'6_資料庫比對'!$C$16:$C$25,I38)=0,"",IF(AND(SUMIFS('6_資料庫比對'!$F$16:$F$25,'6_資料庫比對'!$B$16:$B$25,A38,'6_資料庫比對'!$C$16:$C$25,I38)&gt;=T38,SUMIFS('6_資料庫比對'!$F$16:$F$25,'6_資料庫比對'!$B$16:$B$25,A38,'6_資料庫比對'!$C$16:$C$25,I38)&lt;=U38),"✓ 涵蓋","✗ 不涵蓋")))</f>
        <v/>
      </c>
    </row>
    <row r="39">
      <c r="A39" s="47" t="inlineStr">
        <is>
          <t>soy_sauce</t>
        </is>
      </c>
      <c r="B39" s="47" t="inlineStr">
        <is>
          <t>醬油</t>
        </is>
      </c>
      <c r="C39" s="47" t="inlineStr">
        <is>
          <t>USDA</t>
        </is>
      </c>
      <c r="D39" s="47" t="inlineStr">
        <is>
          <t>SR Legacy</t>
        </is>
      </c>
      <c r="E39" s="47" t="n">
        <v>174277</v>
      </c>
      <c r="F39" s="47" t="inlineStr">
        <is>
          <t>Soy sauce made from soy and wheat (shoyu)</t>
        </is>
      </c>
      <c r="G39" s="47" t="inlineStr">
        <is>
          <t>exact</t>
        </is>
      </c>
      <c r="H39" s="47" t="n">
        <v>6.25</v>
      </c>
      <c r="I39" s="47" t="inlineStr">
        <is>
          <t>fat</t>
        </is>
      </c>
      <c r="J39" s="47" t="n">
        <v>0.57</v>
      </c>
      <c r="K39" s="47" t="inlineStr">
        <is>
          <t>g</t>
        </is>
      </c>
      <c r="L39" s="47" t="n">
        <v>6</v>
      </c>
      <c r="M39" s="47" t="n"/>
      <c r="N39" s="47" t="n">
        <v>0.44</v>
      </c>
      <c r="O39" s="47" t="n">
        <v>0.6899999999999999</v>
      </c>
      <c r="P39" s="47" t="n"/>
      <c r="Q39" s="47" t="inlineStr">
        <is>
          <t>A: Analytical</t>
        </is>
      </c>
      <c r="R39" s="48">
        <f>IF(OR($A39="",$J39=""),"",IFERROR(VLOOKUP(I39,'6_資料庫比對'!$A$6:$C$12,2,FALSE),""))</f>
        <v/>
      </c>
      <c r="S39" s="49">
        <f>IF(OR($A39="",$J39=""),"",IFERROR(VLOOKUP(I39,'6_資料庫比對'!$A$6:$C$12,3,FALSE),""))</f>
        <v/>
      </c>
      <c r="T39" s="50">
        <f>IF(OR($A39="",$J39=""),"",MAX(0,IF(AND(N39&lt;&gt;"",O39&lt;&gt;""),MIN(J39-MAX(R39*ABS(J39),S39),N39),IF(AND(M39&lt;&gt;"",N(L39)&gt;=2),MIN(J39-MAX(R39*ABS(J39),S39),J39-2*M39),J39-MAX(R39*ABS(J39),S39)))))</f>
        <v/>
      </c>
      <c r="U39" s="50">
        <f>IF(OR($A39="",$J39=""),"",IF(AND(N39&lt;&gt;"",O39&lt;&gt;""),MAX(J39+MAX(R39*ABS(J39),S39),O39),IF(AND(M39&lt;&gt;"",N(L39)&gt;=2),MAX(J39+MAX(R39*ABS(J39),S39),J39+2*M39),J39+MAX(R39*ABS(J39),S39))))</f>
        <v/>
      </c>
      <c r="V39" s="51">
        <f>IF(OR($A39="",$J39=""),"",IF(COUNTIFS('6_資料庫比對'!$B$16:$B$25,A39,'6_資料庫比對'!$C$16:$C$25,I39)=0,"",IF(AND(SUMIFS('6_資料庫比對'!$F$16:$F$25,'6_資料庫比對'!$B$16:$B$25,A39,'6_資料庫比對'!$C$16:$C$25,I39)&gt;=T39,SUMIFS('6_資料庫比對'!$F$16:$F$25,'6_資料庫比對'!$B$16:$B$25,A39,'6_資料庫比對'!$C$16:$C$25,I39)&lt;=U39),"✓ 涵蓋","✗ 不涵蓋")))</f>
        <v/>
      </c>
    </row>
    <row r="40">
      <c r="A40" s="47" t="inlineStr">
        <is>
          <t>soy_sauce</t>
        </is>
      </c>
      <c r="B40" s="47" t="inlineStr">
        <is>
          <t>醬油</t>
        </is>
      </c>
      <c r="C40" s="47" t="inlineStr">
        <is>
          <t>USDA</t>
        </is>
      </c>
      <c r="D40" s="47" t="inlineStr">
        <is>
          <t>SR Legacy</t>
        </is>
      </c>
      <c r="E40" s="47" t="n">
        <v>174277</v>
      </c>
      <c r="F40" s="47" t="inlineStr">
        <is>
          <t>Soy sauce made from soy and wheat (shoyu)</t>
        </is>
      </c>
      <c r="G40" s="47" t="inlineStr">
        <is>
          <t>exact</t>
        </is>
      </c>
      <c r="H40" s="47" t="n">
        <v>6.25</v>
      </c>
      <c r="I40" s="47" t="inlineStr">
        <is>
          <t>ash</t>
        </is>
      </c>
      <c r="J40" s="47" t="n">
        <v>15.21</v>
      </c>
      <c r="K40" s="47" t="inlineStr">
        <is>
          <t>g</t>
        </is>
      </c>
      <c r="L40" s="47" t="n">
        <v>6</v>
      </c>
      <c r="M40" s="47" t="n"/>
      <c r="N40" s="47" t="n">
        <v>15.17</v>
      </c>
      <c r="O40" s="47" t="n">
        <v>15.28</v>
      </c>
      <c r="P40" s="47" t="n"/>
      <c r="Q40" s="47" t="inlineStr">
        <is>
          <t>A: Analytical</t>
        </is>
      </c>
      <c r="R40" s="48">
        <f>IF(OR($A40="",$J40=""),"",IFERROR(VLOOKUP(I40,'6_資料庫比對'!$A$6:$C$12,2,FALSE),""))</f>
        <v/>
      </c>
      <c r="S40" s="49">
        <f>IF(OR($A40="",$J40=""),"",IFERROR(VLOOKUP(I40,'6_資料庫比對'!$A$6:$C$12,3,FALSE),""))</f>
        <v/>
      </c>
      <c r="T40" s="50">
        <f>IF(OR($A40="",$J40=""),"",MAX(0,IF(AND(N40&lt;&gt;"",O40&lt;&gt;""),MIN(J40-MAX(R40*ABS(J40),S40),N40),IF(AND(M40&lt;&gt;"",N(L40)&gt;=2),MIN(J40-MAX(R40*ABS(J40),S40),J40-2*M40),J40-MAX(R40*ABS(J40),S40)))))</f>
        <v/>
      </c>
      <c r="U40" s="50">
        <f>IF(OR($A40="",$J40=""),"",IF(AND(N40&lt;&gt;"",O40&lt;&gt;""),MAX(J40+MAX(R40*ABS(J40),S40),O40),IF(AND(M40&lt;&gt;"",N(L40)&gt;=2),MAX(J40+MAX(R40*ABS(J40),S40),J40+2*M40),J40+MAX(R40*ABS(J40),S40))))</f>
        <v/>
      </c>
      <c r="V40" s="51">
        <f>IF(OR($A40="",$J40=""),"",IF(COUNTIFS('6_資料庫比對'!$B$16:$B$25,A40,'6_資料庫比對'!$C$16:$C$25,I40)=0,"",IF(AND(SUMIFS('6_資料庫比對'!$F$16:$F$25,'6_資料庫比對'!$B$16:$B$25,A40,'6_資料庫比對'!$C$16:$C$25,I40)&gt;=T40,SUMIFS('6_資料庫比對'!$F$16:$F$25,'6_資料庫比對'!$B$16:$B$25,A40,'6_資料庫比對'!$C$16:$C$25,I40)&lt;=U40),"✓ 涵蓋","✗ 不涵蓋")))</f>
        <v/>
      </c>
    </row>
    <row r="41">
      <c r="A41" s="47" t="inlineStr">
        <is>
          <t>soy_sauce</t>
        </is>
      </c>
      <c r="B41" s="47" t="inlineStr">
        <is>
          <t>醬油</t>
        </is>
      </c>
      <c r="C41" s="47" t="inlineStr">
        <is>
          <t>USDA</t>
        </is>
      </c>
      <c r="D41" s="47" t="inlineStr">
        <is>
          <t>SR Legacy</t>
        </is>
      </c>
      <c r="E41" s="47" t="n">
        <v>174277</v>
      </c>
      <c r="F41" s="47" t="inlineStr">
        <is>
          <t>Soy sauce made from soy and wheat (shoyu)</t>
        </is>
      </c>
      <c r="G41" s="47" t="inlineStr">
        <is>
          <t>exact</t>
        </is>
      </c>
      <c r="H41" s="47" t="n">
        <v>6.25</v>
      </c>
      <c r="I41" s="47" t="inlineStr">
        <is>
          <t>carbohydrate</t>
        </is>
      </c>
      <c r="J41" s="47" t="n">
        <v>4.93</v>
      </c>
      <c r="K41" s="47" t="inlineStr">
        <is>
          <t>g</t>
        </is>
      </c>
      <c r="L41" s="47" t="n">
        <v>0</v>
      </c>
      <c r="M41" s="47" t="n"/>
      <c r="N41" s="47" t="n"/>
      <c r="O41" s="47" t="n"/>
      <c r="P41" s="47" t="n"/>
      <c r="Q41" s="47" t="inlineStr">
        <is>
          <t>NC: Calculated</t>
        </is>
      </c>
      <c r="R41" s="48">
        <f>IF(OR($A41="",$J41=""),"",IFERROR(VLOOKUP(I41,'6_資料庫比對'!$A$6:$C$12,2,FALSE),""))</f>
        <v/>
      </c>
      <c r="S41" s="49">
        <f>IF(OR($A41="",$J41=""),"",IFERROR(VLOOKUP(I41,'6_資料庫比對'!$A$6:$C$12,3,FALSE),""))</f>
        <v/>
      </c>
      <c r="T41" s="50">
        <f>IF(OR($A41="",$J41=""),"",MAX(0,IF(AND(N41&lt;&gt;"",O41&lt;&gt;""),MIN(J41-MAX(R41*ABS(J41),S41),N41),IF(AND(M41&lt;&gt;"",N(L41)&gt;=2),MIN(J41-MAX(R41*ABS(J41),S41),J41-2*M41),J41-MAX(R41*ABS(J41),S41)))))</f>
        <v/>
      </c>
      <c r="U41" s="50">
        <f>IF(OR($A41="",$J41=""),"",IF(AND(N41&lt;&gt;"",O41&lt;&gt;""),MAX(J41+MAX(R41*ABS(J41),S41),O41),IF(AND(M41&lt;&gt;"",N(L41)&gt;=2),MAX(J41+MAX(R41*ABS(J41),S41),J41+2*M41),J41+MAX(R41*ABS(J41),S41))))</f>
        <v/>
      </c>
      <c r="V41" s="51">
        <f>IF(OR($A41="",$J41=""),"",IF(COUNTIFS('6_資料庫比對'!$B$16:$B$25,A41,'6_資料庫比對'!$C$16:$C$25,I41)=0,"",IF(AND(SUMIFS('6_資料庫比對'!$F$16:$F$25,'6_資料庫比對'!$B$16:$B$25,A41,'6_資料庫比對'!$C$16:$C$25,I41)&gt;=T41,SUMIFS('6_資料庫比對'!$F$16:$F$25,'6_資料庫比對'!$B$16:$B$25,A41,'6_資料庫比對'!$C$16:$C$25,I41)&lt;=U41),"✓ 涵蓋","✗ 不涵蓋")))</f>
        <v/>
      </c>
    </row>
    <row r="42">
      <c r="A42" s="47" t="inlineStr">
        <is>
          <t>soy_sauce</t>
        </is>
      </c>
      <c r="B42" s="47" t="inlineStr">
        <is>
          <t>醬油</t>
        </is>
      </c>
      <c r="C42" s="47" t="inlineStr">
        <is>
          <t>USDA</t>
        </is>
      </c>
      <c r="D42" s="47" t="inlineStr">
        <is>
          <t>SR Legacy</t>
        </is>
      </c>
      <c r="E42" s="47" t="n">
        <v>174277</v>
      </c>
      <c r="F42" s="47" t="inlineStr">
        <is>
          <t>Soy sauce made from soy and wheat (shoyu)</t>
        </is>
      </c>
      <c r="G42" s="47" t="inlineStr">
        <is>
          <t>exact</t>
        </is>
      </c>
      <c r="H42" s="47" t="n">
        <v>6.25</v>
      </c>
      <c r="I42" s="47" t="inlineStr">
        <is>
          <t>sugars_total</t>
        </is>
      </c>
      <c r="J42" s="47" t="n">
        <v>0.4</v>
      </c>
      <c r="K42" s="47" t="inlineStr">
        <is>
          <t>g</t>
        </is>
      </c>
      <c r="L42" s="47" t="n">
        <v>0</v>
      </c>
      <c r="M42" s="47" t="n"/>
      <c r="N42" s="47" t="n"/>
      <c r="O42" s="47" t="n"/>
      <c r="P42" s="47" t="n"/>
      <c r="Q42" s="47" t="n"/>
      <c r="R42" s="48">
        <f>IF(OR($A42="",$J42=""),"",IFERROR(VLOOKUP(I42,'6_資料庫比對'!$A$6:$C$12,2,FALSE),""))</f>
        <v/>
      </c>
      <c r="S42" s="49">
        <f>IF(OR($A42="",$J42=""),"",IFERROR(VLOOKUP(I42,'6_資料庫比對'!$A$6:$C$12,3,FALSE),""))</f>
        <v/>
      </c>
      <c r="T42" s="50">
        <f>IF(OR($A42="",$J42=""),"",MAX(0,IF(AND(N42&lt;&gt;"",O42&lt;&gt;""),MIN(J42-MAX(R42*ABS(J42),S42),N42),IF(AND(M42&lt;&gt;"",N(L42)&gt;=2),MIN(J42-MAX(R42*ABS(J42),S42),J42-2*M42),J42-MAX(R42*ABS(J42),S42)))))</f>
        <v/>
      </c>
      <c r="U42" s="50">
        <f>IF(OR($A42="",$J42=""),"",IF(AND(N42&lt;&gt;"",O42&lt;&gt;""),MAX(J42+MAX(R42*ABS(J42),S42),O42),IF(AND(M42&lt;&gt;"",N(L42)&gt;=2),MAX(J42+MAX(R42*ABS(J42),S42),J42+2*M42),J42+MAX(R42*ABS(J42),S42))))</f>
        <v/>
      </c>
      <c r="V42" s="51">
        <f>IF(OR($A42="",$J42=""),"",IF(COUNTIFS('6_資料庫比對'!$B$16:$B$25,A42,'6_資料庫比對'!$C$16:$C$25,I42)=0,"",IF(AND(SUMIFS('6_資料庫比對'!$F$16:$F$25,'6_資料庫比對'!$B$16:$B$25,A42,'6_資料庫比對'!$C$16:$C$25,I42)&gt;=T42,SUMIFS('6_資料庫比對'!$F$16:$F$25,'6_資料庫比對'!$B$16:$B$25,A42,'6_資料庫比對'!$C$16:$C$25,I42)&lt;=U42),"✓ 涵蓋","✗ 不涵蓋")))</f>
        <v/>
      </c>
    </row>
    <row r="43">
      <c r="A43" s="47" t="inlineStr">
        <is>
          <t>soy_sauce</t>
        </is>
      </c>
      <c r="B43" s="47" t="inlineStr">
        <is>
          <t>醬油</t>
        </is>
      </c>
      <c r="C43" s="47" t="inlineStr">
        <is>
          <t>USDA</t>
        </is>
      </c>
      <c r="D43" s="47" t="inlineStr">
        <is>
          <t>SR Legacy</t>
        </is>
      </c>
      <c r="E43" s="47" t="n">
        <v>174277</v>
      </c>
      <c r="F43" s="47" t="inlineStr">
        <is>
          <t>Soy sauce made from soy and wheat (shoyu)</t>
        </is>
      </c>
      <c r="G43" s="47" t="inlineStr">
        <is>
          <t>exact</t>
        </is>
      </c>
      <c r="H43" s="47" t="n">
        <v>6.25</v>
      </c>
      <c r="I43" s="47" t="inlineStr">
        <is>
          <t>sodium</t>
        </is>
      </c>
      <c r="J43" s="47" t="n">
        <v>5493</v>
      </c>
      <c r="K43" s="47" t="inlineStr">
        <is>
          <t>mg</t>
        </is>
      </c>
      <c r="L43" s="47" t="n">
        <v>6</v>
      </c>
      <c r="M43" s="47" t="n"/>
      <c r="N43" s="47" t="n">
        <v>5390</v>
      </c>
      <c r="O43" s="47" t="n">
        <v>5660</v>
      </c>
      <c r="P43" s="47" t="n"/>
      <c r="Q43" s="47" t="inlineStr">
        <is>
          <t>A: Analytical</t>
        </is>
      </c>
      <c r="R43" s="48">
        <f>IF(OR($A43="",$J43=""),"",IFERROR(VLOOKUP(I43,'6_資料庫比對'!$A$6:$C$12,2,FALSE),""))</f>
        <v/>
      </c>
      <c r="S43" s="49">
        <f>IF(OR($A43="",$J43=""),"",IFERROR(VLOOKUP(I43,'6_資料庫比對'!$A$6:$C$12,3,FALSE),""))</f>
        <v/>
      </c>
      <c r="T43" s="50">
        <f>IF(OR($A43="",$J43=""),"",MAX(0,IF(AND(N43&lt;&gt;"",O43&lt;&gt;""),MIN(J43-MAX(R43*ABS(J43),S43),N43),IF(AND(M43&lt;&gt;"",N(L43)&gt;=2),MIN(J43-MAX(R43*ABS(J43),S43),J43-2*M43),J43-MAX(R43*ABS(J43),S43)))))</f>
        <v/>
      </c>
      <c r="U43" s="50">
        <f>IF(OR($A43="",$J43=""),"",IF(AND(N43&lt;&gt;"",O43&lt;&gt;""),MAX(J43+MAX(R43*ABS(J43),S43),O43),IF(AND(M43&lt;&gt;"",N(L43)&gt;=2),MAX(J43+MAX(R43*ABS(J43),S43),J43+2*M43),J43+MAX(R43*ABS(J43),S43))))</f>
        <v/>
      </c>
      <c r="V43" s="51">
        <f>IF(OR($A43="",$J43=""),"",IF(COUNTIFS('6_資料庫比對'!$B$16:$B$25,A43,'6_資料庫比對'!$C$16:$C$25,I43)=0,"",IF(AND(SUMIFS('6_資料庫比對'!$F$16:$F$25,'6_資料庫比對'!$B$16:$B$25,A43,'6_資料庫比對'!$C$16:$C$25,I43)&gt;=T43,SUMIFS('6_資料庫比對'!$F$16:$F$25,'6_資料庫比對'!$B$16:$B$25,A43,'6_資料庫比對'!$C$16:$C$25,I43)&lt;=U43),"✓ 涵蓋","✗ 不涵蓋")))</f>
        <v/>
      </c>
    </row>
    <row r="44">
      <c r="A44" s="47" t="inlineStr">
        <is>
          <t>soy_sauce</t>
        </is>
      </c>
      <c r="B44" s="47" t="inlineStr">
        <is>
          <t>醬油</t>
        </is>
      </c>
      <c r="C44" s="47" t="inlineStr">
        <is>
          <t>TFND</t>
        </is>
      </c>
      <c r="D44" s="47" t="inlineStr">
        <is>
          <t>食品營養成分資料集</t>
        </is>
      </c>
      <c r="E44" s="47" t="inlineStr">
        <is>
          <t>P0700101</t>
        </is>
      </c>
      <c r="F44" s="47" t="inlineStr">
        <is>
          <t>醬油</t>
        </is>
      </c>
      <c r="G44" s="47" t="inlineStr">
        <is>
          <t>exact</t>
        </is>
      </c>
      <c r="H44" s="47" t="n"/>
      <c r="I44" s="47" t="inlineStr">
        <is>
          <t>water</t>
        </is>
      </c>
      <c r="J44" s="47" t="n">
        <v>67</v>
      </c>
      <c r="K44" s="47" t="inlineStr">
        <is>
          <t>g</t>
        </is>
      </c>
      <c r="L44" s="47" t="n">
        <v>2</v>
      </c>
      <c r="M44" s="47" t="n">
        <v>2.6</v>
      </c>
      <c r="N44" s="47" t="n"/>
      <c r="O44" s="47" t="n"/>
      <c r="P44" s="47" t="n"/>
      <c r="Q44" s="47" t="n"/>
      <c r="R44" s="48">
        <f>IF(OR($A44="",$J44=""),"",IFERROR(VLOOKUP(I44,'6_資料庫比對'!$A$6:$C$12,2,FALSE),""))</f>
        <v/>
      </c>
      <c r="S44" s="49">
        <f>IF(OR($A44="",$J44=""),"",IFERROR(VLOOKUP(I44,'6_資料庫比對'!$A$6:$C$12,3,FALSE),""))</f>
        <v/>
      </c>
      <c r="T44" s="50">
        <f>IF(OR($A44="",$J44=""),"",MAX(0,IF(AND(N44&lt;&gt;"",O44&lt;&gt;""),MIN(J44-MAX(R44*ABS(J44),S44),N44),IF(AND(M44&lt;&gt;"",N(L44)&gt;=2),MIN(J44-MAX(R44*ABS(J44),S44),J44-2*M44),J44-MAX(R44*ABS(J44),S44)))))</f>
        <v/>
      </c>
      <c r="U44" s="50">
        <f>IF(OR($A44="",$J44=""),"",IF(AND(N44&lt;&gt;"",O44&lt;&gt;""),MAX(J44+MAX(R44*ABS(J44),S44),O44),IF(AND(M44&lt;&gt;"",N(L44)&gt;=2),MAX(J44+MAX(R44*ABS(J44),S44),J44+2*M44),J44+MAX(R44*ABS(J44),S44))))</f>
        <v/>
      </c>
      <c r="V44" s="51">
        <f>IF(OR($A44="",$J44=""),"",IF(COUNTIFS('6_資料庫比對'!$B$16:$B$25,A44,'6_資料庫比對'!$C$16:$C$25,I44)=0,"",IF(AND(SUMIFS('6_資料庫比對'!$F$16:$F$25,'6_資料庫比對'!$B$16:$B$25,A44,'6_資料庫比對'!$C$16:$C$25,I44)&gt;=T44,SUMIFS('6_資料庫比對'!$F$16:$F$25,'6_資料庫比對'!$B$16:$B$25,A44,'6_資料庫比對'!$C$16:$C$25,I44)&lt;=U44),"✓ 涵蓋","✗ 不涵蓋")))</f>
        <v/>
      </c>
    </row>
    <row r="45">
      <c r="A45" s="47" t="inlineStr">
        <is>
          <t>soy_sauce</t>
        </is>
      </c>
      <c r="B45" s="47" t="inlineStr">
        <is>
          <t>醬油</t>
        </is>
      </c>
      <c r="C45" s="47" t="inlineStr">
        <is>
          <t>TFND</t>
        </is>
      </c>
      <c r="D45" s="47" t="inlineStr">
        <is>
          <t>食品營養成分資料集</t>
        </is>
      </c>
      <c r="E45" s="47" t="inlineStr">
        <is>
          <t>P0700101</t>
        </is>
      </c>
      <c r="F45" s="47" t="inlineStr">
        <is>
          <t>醬油</t>
        </is>
      </c>
      <c r="G45" s="47" t="inlineStr">
        <is>
          <t>exact</t>
        </is>
      </c>
      <c r="H45" s="47" t="n"/>
      <c r="I45" s="47" t="inlineStr">
        <is>
          <t>protein</t>
        </is>
      </c>
      <c r="J45" s="47" t="n">
        <v>7.8</v>
      </c>
      <c r="K45" s="47" t="inlineStr">
        <is>
          <t>g</t>
        </is>
      </c>
      <c r="L45" s="47" t="n">
        <v>2</v>
      </c>
      <c r="M45" s="47" t="n">
        <v>0</v>
      </c>
      <c r="N45" s="47" t="n"/>
      <c r="O45" s="47" t="n"/>
      <c r="P45" s="47" t="n"/>
      <c r="Q45" s="47" t="n"/>
      <c r="R45" s="48">
        <f>IF(OR($A45="",$J45=""),"",IFERROR(VLOOKUP(I45,'6_資料庫比對'!$A$6:$C$12,2,FALSE),""))</f>
        <v/>
      </c>
      <c r="S45" s="49">
        <f>IF(OR($A45="",$J45=""),"",IFERROR(VLOOKUP(I45,'6_資料庫比對'!$A$6:$C$12,3,FALSE),""))</f>
        <v/>
      </c>
      <c r="T45" s="50">
        <f>IF(OR($A45="",$J45=""),"",MAX(0,IF(AND(N45&lt;&gt;"",O45&lt;&gt;""),MIN(J45-MAX(R45*ABS(J45),S45),N45),IF(AND(M45&lt;&gt;"",N(L45)&gt;=2),MIN(J45-MAX(R45*ABS(J45),S45),J45-2*M45),J45-MAX(R45*ABS(J45),S45)))))</f>
        <v/>
      </c>
      <c r="U45" s="50">
        <f>IF(OR($A45="",$J45=""),"",IF(AND(N45&lt;&gt;"",O45&lt;&gt;""),MAX(J45+MAX(R45*ABS(J45),S45),O45),IF(AND(M45&lt;&gt;"",N(L45)&gt;=2),MAX(J45+MAX(R45*ABS(J45),S45),J45+2*M45),J45+MAX(R45*ABS(J45),S45))))</f>
        <v/>
      </c>
      <c r="V45" s="51">
        <f>IF(OR($A45="",$J45=""),"",IF(COUNTIFS('6_資料庫比對'!$B$16:$B$25,A45,'6_資料庫比對'!$C$16:$C$25,I45)=0,"",IF(AND(SUMIFS('6_資料庫比對'!$F$16:$F$25,'6_資料庫比對'!$B$16:$B$25,A45,'6_資料庫比對'!$C$16:$C$25,I45)&gt;=T45,SUMIFS('6_資料庫比對'!$F$16:$F$25,'6_資料庫比對'!$B$16:$B$25,A45,'6_資料庫比對'!$C$16:$C$25,I45)&lt;=U45),"✓ 涵蓋","✗ 不涵蓋")))</f>
        <v/>
      </c>
    </row>
    <row r="46">
      <c r="A46" s="47" t="inlineStr">
        <is>
          <t>soy_sauce</t>
        </is>
      </c>
      <c r="B46" s="47" t="inlineStr">
        <is>
          <t>醬油</t>
        </is>
      </c>
      <c r="C46" s="47" t="inlineStr">
        <is>
          <t>TFND</t>
        </is>
      </c>
      <c r="D46" s="47" t="inlineStr">
        <is>
          <t>食品營養成分資料集</t>
        </is>
      </c>
      <c r="E46" s="47" t="inlineStr">
        <is>
          <t>P0700101</t>
        </is>
      </c>
      <c r="F46" s="47" t="inlineStr">
        <is>
          <t>醬油</t>
        </is>
      </c>
      <c r="G46" s="47" t="inlineStr">
        <is>
          <t>exact</t>
        </is>
      </c>
      <c r="H46" s="47" t="n"/>
      <c r="I46" s="47" t="inlineStr">
        <is>
          <t>ash</t>
        </is>
      </c>
      <c r="J46" s="47" t="n">
        <v>10.4</v>
      </c>
      <c r="K46" s="47" t="inlineStr">
        <is>
          <t>g</t>
        </is>
      </c>
      <c r="L46" s="47" t="n">
        <v>2</v>
      </c>
      <c r="M46" s="47" t="n">
        <v>2.9</v>
      </c>
      <c r="N46" s="47" t="n"/>
      <c r="O46" s="47" t="n"/>
      <c r="P46" s="47" t="n"/>
      <c r="Q46" s="47" t="n"/>
      <c r="R46" s="48">
        <f>IF(OR($A46="",$J46=""),"",IFERROR(VLOOKUP(I46,'6_資料庫比對'!$A$6:$C$12,2,FALSE),""))</f>
        <v/>
      </c>
      <c r="S46" s="49">
        <f>IF(OR($A46="",$J46=""),"",IFERROR(VLOOKUP(I46,'6_資料庫比對'!$A$6:$C$12,3,FALSE),""))</f>
        <v/>
      </c>
      <c r="T46" s="50">
        <f>IF(OR($A46="",$J46=""),"",MAX(0,IF(AND(N46&lt;&gt;"",O46&lt;&gt;""),MIN(J46-MAX(R46*ABS(J46),S46),N46),IF(AND(M46&lt;&gt;"",N(L46)&gt;=2),MIN(J46-MAX(R46*ABS(J46),S46),J46-2*M46),J46-MAX(R46*ABS(J46),S46)))))</f>
        <v/>
      </c>
      <c r="U46" s="50">
        <f>IF(OR($A46="",$J46=""),"",IF(AND(N46&lt;&gt;"",O46&lt;&gt;""),MAX(J46+MAX(R46*ABS(J46),S46),O46),IF(AND(M46&lt;&gt;"",N(L46)&gt;=2),MAX(J46+MAX(R46*ABS(J46),S46),J46+2*M46),J46+MAX(R46*ABS(J46),S46))))</f>
        <v/>
      </c>
      <c r="V46" s="51">
        <f>IF(OR($A46="",$J46=""),"",IF(COUNTIFS('6_資料庫比對'!$B$16:$B$25,A46,'6_資料庫比對'!$C$16:$C$25,I46)=0,"",IF(AND(SUMIFS('6_資料庫比對'!$F$16:$F$25,'6_資料庫比對'!$B$16:$B$25,A46,'6_資料庫比對'!$C$16:$C$25,I46)&gt;=T46,SUMIFS('6_資料庫比對'!$F$16:$F$25,'6_資料庫比對'!$B$16:$B$25,A46,'6_資料庫比對'!$C$16:$C$25,I46)&lt;=U46),"✓ 涵蓋","✗ 不涵蓋")))</f>
        <v/>
      </c>
    </row>
    <row r="47">
      <c r="A47" s="47" t="inlineStr">
        <is>
          <t>soy_sauce</t>
        </is>
      </c>
      <c r="B47" s="47" t="inlineStr">
        <is>
          <t>醬油</t>
        </is>
      </c>
      <c r="C47" s="47" t="inlineStr">
        <is>
          <t>TFND</t>
        </is>
      </c>
      <c r="D47" s="47" t="inlineStr">
        <is>
          <t>食品營養成分資料集</t>
        </is>
      </c>
      <c r="E47" s="47" t="inlineStr">
        <is>
          <t>P0700101</t>
        </is>
      </c>
      <c r="F47" s="47" t="inlineStr">
        <is>
          <t>醬油</t>
        </is>
      </c>
      <c r="G47" s="47" t="inlineStr">
        <is>
          <t>exact</t>
        </is>
      </c>
      <c r="H47" s="47" t="n"/>
      <c r="I47" s="47" t="inlineStr">
        <is>
          <t>carbohydrate</t>
        </is>
      </c>
      <c r="J47" s="47" t="n">
        <v>14.7</v>
      </c>
      <c r="K47" s="47" t="inlineStr">
        <is>
          <t>g</t>
        </is>
      </c>
      <c r="L47" s="47" t="n"/>
      <c r="M47" s="47" t="n"/>
      <c r="N47" s="47" t="n"/>
      <c r="O47" s="47" t="n"/>
      <c r="P47" s="47" t="n"/>
      <c r="Q47" s="47" t="n"/>
      <c r="R47" s="48">
        <f>IF(OR($A47="",$J47=""),"",IFERROR(VLOOKUP(I47,'6_資料庫比對'!$A$6:$C$12,2,FALSE),""))</f>
        <v/>
      </c>
      <c r="S47" s="49">
        <f>IF(OR($A47="",$J47=""),"",IFERROR(VLOOKUP(I47,'6_資料庫比對'!$A$6:$C$12,3,FALSE),""))</f>
        <v/>
      </c>
      <c r="T47" s="50">
        <f>IF(OR($A47="",$J47=""),"",MAX(0,IF(AND(N47&lt;&gt;"",O47&lt;&gt;""),MIN(J47-MAX(R47*ABS(J47),S47),N47),IF(AND(M47&lt;&gt;"",N(L47)&gt;=2),MIN(J47-MAX(R47*ABS(J47),S47),J47-2*M47),J47-MAX(R47*ABS(J47),S47)))))</f>
        <v/>
      </c>
      <c r="U47" s="50">
        <f>IF(OR($A47="",$J47=""),"",IF(AND(N47&lt;&gt;"",O47&lt;&gt;""),MAX(J47+MAX(R47*ABS(J47),S47),O47),IF(AND(M47&lt;&gt;"",N(L47)&gt;=2),MAX(J47+MAX(R47*ABS(J47),S47),J47+2*M47),J47+MAX(R47*ABS(J47),S47))))</f>
        <v/>
      </c>
      <c r="V47" s="51">
        <f>IF(OR($A47="",$J47=""),"",IF(COUNTIFS('6_資料庫比對'!$B$16:$B$25,A47,'6_資料庫比對'!$C$16:$C$25,I47)=0,"",IF(AND(SUMIFS('6_資料庫比對'!$F$16:$F$25,'6_資料庫比對'!$B$16:$B$25,A47,'6_資料庫比對'!$C$16:$C$25,I47)&gt;=T47,SUMIFS('6_資料庫比對'!$F$16:$F$25,'6_資料庫比對'!$B$16:$B$25,A47,'6_資料庫比對'!$C$16:$C$25,I47)&lt;=U47),"✓ 涵蓋","✗ 不涵蓋")))</f>
        <v/>
      </c>
    </row>
    <row r="48">
      <c r="A48" s="47" t="inlineStr">
        <is>
          <t>soy_sauce</t>
        </is>
      </c>
      <c r="B48" s="47" t="inlineStr">
        <is>
          <t>醬油</t>
        </is>
      </c>
      <c r="C48" s="47" t="inlineStr">
        <is>
          <t>TFND</t>
        </is>
      </c>
      <c r="D48" s="47" t="inlineStr">
        <is>
          <t>食品營養成分資料集</t>
        </is>
      </c>
      <c r="E48" s="47" t="inlineStr">
        <is>
          <t>P0700101</t>
        </is>
      </c>
      <c r="F48" s="47" t="inlineStr">
        <is>
          <t>醬油</t>
        </is>
      </c>
      <c r="G48" s="47" t="inlineStr">
        <is>
          <t>exact</t>
        </is>
      </c>
      <c r="H48" s="47" t="n"/>
      <c r="I48" s="47" t="inlineStr">
        <is>
          <t>sodium</t>
        </is>
      </c>
      <c r="J48" s="47" t="n">
        <v>4997</v>
      </c>
      <c r="K48" s="47" t="inlineStr">
        <is>
          <t>mg</t>
        </is>
      </c>
      <c r="L48" s="47" t="n">
        <v>2</v>
      </c>
      <c r="M48" s="47" t="n">
        <v>123</v>
      </c>
      <c r="N48" s="47" t="n"/>
      <c r="O48" s="47" t="n"/>
      <c r="P48" s="47" t="n"/>
      <c r="Q48" s="47" t="n"/>
      <c r="R48" s="48">
        <f>IF(OR($A48="",$J48=""),"",IFERROR(VLOOKUP(I48,'6_資料庫比對'!$A$6:$C$12,2,FALSE),""))</f>
        <v/>
      </c>
      <c r="S48" s="49">
        <f>IF(OR($A48="",$J48=""),"",IFERROR(VLOOKUP(I48,'6_資料庫比對'!$A$6:$C$12,3,FALSE),""))</f>
        <v/>
      </c>
      <c r="T48" s="50">
        <f>IF(OR($A48="",$J48=""),"",MAX(0,IF(AND(N48&lt;&gt;"",O48&lt;&gt;""),MIN(J48-MAX(R48*ABS(J48),S48),N48),IF(AND(M48&lt;&gt;"",N(L48)&gt;=2),MIN(J48-MAX(R48*ABS(J48),S48),J48-2*M48),J48-MAX(R48*ABS(J48),S48)))))</f>
        <v/>
      </c>
      <c r="U48" s="50">
        <f>IF(OR($A48="",$J48=""),"",IF(AND(N48&lt;&gt;"",O48&lt;&gt;""),MAX(J48+MAX(R48*ABS(J48),S48),O48),IF(AND(M48&lt;&gt;"",N(L48)&gt;=2),MAX(J48+MAX(R48*ABS(J48),S48),J48+2*M48),J48+MAX(R48*ABS(J48),S48))))</f>
        <v/>
      </c>
      <c r="V48" s="51">
        <f>IF(OR($A48="",$J48=""),"",IF(COUNTIFS('6_資料庫比對'!$B$16:$B$25,A48,'6_資料庫比對'!$C$16:$C$25,I48)=0,"",IF(AND(SUMIFS('6_資料庫比對'!$F$16:$F$25,'6_資料庫比對'!$B$16:$B$25,A48,'6_資料庫比對'!$C$16:$C$25,I48)&gt;=T48,SUMIFS('6_資料庫比對'!$F$16:$F$25,'6_資料庫比對'!$B$16:$B$25,A48,'6_資料庫比對'!$C$16:$C$25,I48)&lt;=U48),"✓ 涵蓋","✗ 不涵蓋")))</f>
        <v/>
      </c>
    </row>
    <row r="49">
      <c r="A49" s="47" t="inlineStr">
        <is>
          <t>soy_sauce_low_sodium</t>
        </is>
      </c>
      <c r="B49" s="47" t="inlineStr">
        <is>
          <t>薄鹽醬油（低鈉）</t>
        </is>
      </c>
      <c r="C49" s="47" t="inlineStr">
        <is>
          <t>USDA</t>
        </is>
      </c>
      <c r="D49" s="47" t="inlineStr">
        <is>
          <t>SR Legacy</t>
        </is>
      </c>
      <c r="E49" s="47" t="n">
        <v>172473</v>
      </c>
      <c r="F49" s="47" t="inlineStr">
        <is>
          <t>Soy sauce made from soy and wheat (shoyu), low sodium</t>
        </is>
      </c>
      <c r="G49" s="47" t="inlineStr">
        <is>
          <t>exact</t>
        </is>
      </c>
      <c r="H49" s="47" t="n">
        <v>6.25</v>
      </c>
      <c r="I49" s="47" t="inlineStr">
        <is>
          <t>water</t>
        </is>
      </c>
      <c r="J49" s="47" t="n">
        <v>75.14</v>
      </c>
      <c r="K49" s="47" t="inlineStr">
        <is>
          <t>g</t>
        </is>
      </c>
      <c r="L49" s="47" t="n">
        <v>6</v>
      </c>
      <c r="M49" s="47" t="n"/>
      <c r="N49" s="47" t="n">
        <v>74.95999999999999</v>
      </c>
      <c r="O49" s="47" t="n">
        <v>75.33</v>
      </c>
      <c r="P49" s="47" t="n"/>
      <c r="Q49" s="47" t="inlineStr">
        <is>
          <t>A: Analytical</t>
        </is>
      </c>
      <c r="R49" s="48">
        <f>IF(OR($A49="",$J49=""),"",IFERROR(VLOOKUP(I49,'6_資料庫比對'!$A$6:$C$12,2,FALSE),""))</f>
        <v/>
      </c>
      <c r="S49" s="49">
        <f>IF(OR($A49="",$J49=""),"",IFERROR(VLOOKUP(I49,'6_資料庫比對'!$A$6:$C$12,3,FALSE),""))</f>
        <v/>
      </c>
      <c r="T49" s="50">
        <f>IF(OR($A49="",$J49=""),"",MAX(0,IF(AND(N49&lt;&gt;"",O49&lt;&gt;""),MIN(J49-MAX(R49*ABS(J49),S49),N49),IF(AND(M49&lt;&gt;"",N(L49)&gt;=2),MIN(J49-MAX(R49*ABS(J49),S49),J49-2*M49),J49-MAX(R49*ABS(J49),S49)))))</f>
        <v/>
      </c>
      <c r="U49" s="50">
        <f>IF(OR($A49="",$J49=""),"",IF(AND(N49&lt;&gt;"",O49&lt;&gt;""),MAX(J49+MAX(R49*ABS(J49),S49),O49),IF(AND(M49&lt;&gt;"",N(L49)&gt;=2),MAX(J49+MAX(R49*ABS(J49),S49),J49+2*M49),J49+MAX(R49*ABS(J49),S49))))</f>
        <v/>
      </c>
      <c r="V49" s="51">
        <f>IF(OR($A49="",$J49=""),"",IF(COUNTIFS('6_資料庫比對'!$B$16:$B$25,A49,'6_資料庫比對'!$C$16:$C$25,I49)=0,"",IF(AND(SUMIFS('6_資料庫比對'!$F$16:$F$25,'6_資料庫比對'!$B$16:$B$25,A49,'6_資料庫比對'!$C$16:$C$25,I49)&gt;=T49,SUMIFS('6_資料庫比對'!$F$16:$F$25,'6_資料庫比對'!$B$16:$B$25,A49,'6_資料庫比對'!$C$16:$C$25,I49)&lt;=U49),"✓ 涵蓋","✗ 不涵蓋")))</f>
        <v/>
      </c>
    </row>
    <row r="50">
      <c r="A50" s="47" t="inlineStr">
        <is>
          <t>soy_sauce_low_sodium</t>
        </is>
      </c>
      <c r="B50" s="47" t="inlineStr">
        <is>
          <t>薄鹽醬油（低鈉）</t>
        </is>
      </c>
      <c r="C50" s="47" t="inlineStr">
        <is>
          <t>USDA</t>
        </is>
      </c>
      <c r="D50" s="47" t="inlineStr">
        <is>
          <t>SR Legacy</t>
        </is>
      </c>
      <c r="E50" s="47" t="n">
        <v>172473</v>
      </c>
      <c r="F50" s="47" t="inlineStr">
        <is>
          <t>Soy sauce made from soy and wheat (shoyu), low sodium</t>
        </is>
      </c>
      <c r="G50" s="47" t="inlineStr">
        <is>
          <t>exact</t>
        </is>
      </c>
      <c r="H50" s="47" t="n">
        <v>6.25</v>
      </c>
      <c r="I50" s="47" t="inlineStr">
        <is>
          <t>protein</t>
        </is>
      </c>
      <c r="J50" s="47" t="n">
        <v>9.050000000000001</v>
      </c>
      <c r="K50" s="47" t="inlineStr">
        <is>
          <t>g</t>
        </is>
      </c>
      <c r="L50" s="47" t="n">
        <v>6</v>
      </c>
      <c r="M50" s="47" t="n"/>
      <c r="N50" s="47" t="n">
        <v>8.56</v>
      </c>
      <c r="O50" s="47" t="n">
        <v>9.44</v>
      </c>
      <c r="P50" s="47" t="n"/>
      <c r="Q50" s="47" t="inlineStr">
        <is>
          <t>A: Analytical</t>
        </is>
      </c>
      <c r="R50" s="48">
        <f>IF(OR($A50="",$J50=""),"",IFERROR(VLOOKUP(I50,'6_資料庫比對'!$A$6:$C$12,2,FALSE),""))</f>
        <v/>
      </c>
      <c r="S50" s="49">
        <f>IF(OR($A50="",$J50=""),"",IFERROR(VLOOKUP(I50,'6_資料庫比對'!$A$6:$C$12,3,FALSE),""))</f>
        <v/>
      </c>
      <c r="T50" s="50">
        <f>IF(OR($A50="",$J50=""),"",MAX(0,IF(AND(N50&lt;&gt;"",O50&lt;&gt;""),MIN(J50-MAX(R50*ABS(J50),S50),N50),IF(AND(M50&lt;&gt;"",N(L50)&gt;=2),MIN(J50-MAX(R50*ABS(J50),S50),J50-2*M50),J50-MAX(R50*ABS(J50),S50)))))</f>
        <v/>
      </c>
      <c r="U50" s="50">
        <f>IF(OR($A50="",$J50=""),"",IF(AND(N50&lt;&gt;"",O50&lt;&gt;""),MAX(J50+MAX(R50*ABS(J50),S50),O50),IF(AND(M50&lt;&gt;"",N(L50)&gt;=2),MAX(J50+MAX(R50*ABS(J50),S50),J50+2*M50),J50+MAX(R50*ABS(J50),S50))))</f>
        <v/>
      </c>
      <c r="V50" s="51">
        <f>IF(OR($A50="",$J50=""),"",IF(COUNTIFS('6_資料庫比對'!$B$16:$B$25,A50,'6_資料庫比對'!$C$16:$C$25,I50)=0,"",IF(AND(SUMIFS('6_資料庫比對'!$F$16:$F$25,'6_資料庫比對'!$B$16:$B$25,A50,'6_資料庫比對'!$C$16:$C$25,I50)&gt;=T50,SUMIFS('6_資料庫比對'!$F$16:$F$25,'6_資料庫比對'!$B$16:$B$25,A50,'6_資料庫比對'!$C$16:$C$25,I50)&lt;=U50),"✓ 涵蓋","✗ 不涵蓋")))</f>
        <v/>
      </c>
    </row>
    <row r="51">
      <c r="A51" s="47" t="inlineStr">
        <is>
          <t>soy_sauce_low_sodium</t>
        </is>
      </c>
      <c r="B51" s="47" t="inlineStr">
        <is>
          <t>薄鹽醬油（低鈉）</t>
        </is>
      </c>
      <c r="C51" s="47" t="inlineStr">
        <is>
          <t>USDA</t>
        </is>
      </c>
      <c r="D51" s="47" t="inlineStr">
        <is>
          <t>SR Legacy</t>
        </is>
      </c>
      <c r="E51" s="47" t="n">
        <v>172473</v>
      </c>
      <c r="F51" s="47" t="inlineStr">
        <is>
          <t>Soy sauce made from soy and wheat (shoyu), low sodium</t>
        </is>
      </c>
      <c r="G51" s="47" t="inlineStr">
        <is>
          <t>exact</t>
        </is>
      </c>
      <c r="H51" s="47" t="n">
        <v>6.25</v>
      </c>
      <c r="I51" s="47" t="inlineStr">
        <is>
          <t>fat</t>
        </is>
      </c>
      <c r="J51" s="47" t="n">
        <v>0.3</v>
      </c>
      <c r="K51" s="47" t="inlineStr">
        <is>
          <t>g</t>
        </is>
      </c>
      <c r="L51" s="47" t="n">
        <v>6</v>
      </c>
      <c r="M51" s="47" t="n"/>
      <c r="N51" s="47" t="n">
        <v>0.2</v>
      </c>
      <c r="O51" s="47" t="n">
        <v>0.36</v>
      </c>
      <c r="P51" s="47" t="n"/>
      <c r="Q51" s="47" t="inlineStr">
        <is>
          <t>A: Analytical</t>
        </is>
      </c>
      <c r="R51" s="48">
        <f>IF(OR($A51="",$J51=""),"",IFERROR(VLOOKUP(I51,'6_資料庫比對'!$A$6:$C$12,2,FALSE),""))</f>
        <v/>
      </c>
      <c r="S51" s="49">
        <f>IF(OR($A51="",$J51=""),"",IFERROR(VLOOKUP(I51,'6_資料庫比對'!$A$6:$C$12,3,FALSE),""))</f>
        <v/>
      </c>
      <c r="T51" s="50">
        <f>IF(OR($A51="",$J51=""),"",MAX(0,IF(AND(N51&lt;&gt;"",O51&lt;&gt;""),MIN(J51-MAX(R51*ABS(J51),S51),N51),IF(AND(M51&lt;&gt;"",N(L51)&gt;=2),MIN(J51-MAX(R51*ABS(J51),S51),J51-2*M51),J51-MAX(R51*ABS(J51),S51)))))</f>
        <v/>
      </c>
      <c r="U51" s="50">
        <f>IF(OR($A51="",$J51=""),"",IF(AND(N51&lt;&gt;"",O51&lt;&gt;""),MAX(J51+MAX(R51*ABS(J51),S51),O51),IF(AND(M51&lt;&gt;"",N(L51)&gt;=2),MAX(J51+MAX(R51*ABS(J51),S51),J51+2*M51),J51+MAX(R51*ABS(J51),S51))))</f>
        <v/>
      </c>
      <c r="V51" s="51">
        <f>IF(OR($A51="",$J51=""),"",IF(COUNTIFS('6_資料庫比對'!$B$16:$B$25,A51,'6_資料庫比對'!$C$16:$C$25,I51)=0,"",IF(AND(SUMIFS('6_資料庫比對'!$F$16:$F$25,'6_資料庫比對'!$B$16:$B$25,A51,'6_資料庫比對'!$C$16:$C$25,I51)&gt;=T51,SUMIFS('6_資料庫比對'!$F$16:$F$25,'6_資料庫比對'!$B$16:$B$25,A51,'6_資料庫比對'!$C$16:$C$25,I51)&lt;=U51),"✓ 涵蓋","✗ 不涵蓋")))</f>
        <v/>
      </c>
    </row>
    <row r="52">
      <c r="A52" s="47" t="inlineStr">
        <is>
          <t>soy_sauce_low_sodium</t>
        </is>
      </c>
      <c r="B52" s="47" t="inlineStr">
        <is>
          <t>薄鹽醬油（低鈉）</t>
        </is>
      </c>
      <c r="C52" s="47" t="inlineStr">
        <is>
          <t>USDA</t>
        </is>
      </c>
      <c r="D52" s="47" t="inlineStr">
        <is>
          <t>SR Legacy</t>
        </is>
      </c>
      <c r="E52" s="47" t="n">
        <v>172473</v>
      </c>
      <c r="F52" s="47" t="inlineStr">
        <is>
          <t>Soy sauce made from soy and wheat (shoyu), low sodium</t>
        </is>
      </c>
      <c r="G52" s="47" t="inlineStr">
        <is>
          <t>exact</t>
        </is>
      </c>
      <c r="H52" s="47" t="n">
        <v>6.25</v>
      </c>
      <c r="I52" s="47" t="inlineStr">
        <is>
          <t>ash</t>
        </is>
      </c>
      <c r="J52" s="47" t="n">
        <v>9.92</v>
      </c>
      <c r="K52" s="47" t="inlineStr">
        <is>
          <t>g</t>
        </is>
      </c>
      <c r="L52" s="47" t="n">
        <v>6</v>
      </c>
      <c r="M52" s="47" t="n"/>
      <c r="N52" s="47" t="n">
        <v>9.859999999999999</v>
      </c>
      <c r="O52" s="47" t="n">
        <v>9.960000000000001</v>
      </c>
      <c r="P52" s="47" t="n"/>
      <c r="Q52" s="47" t="inlineStr">
        <is>
          <t>A: Analytical</t>
        </is>
      </c>
      <c r="R52" s="48">
        <f>IF(OR($A52="",$J52=""),"",IFERROR(VLOOKUP(I52,'6_資料庫比對'!$A$6:$C$12,2,FALSE),""))</f>
        <v/>
      </c>
      <c r="S52" s="49">
        <f>IF(OR($A52="",$J52=""),"",IFERROR(VLOOKUP(I52,'6_資料庫比對'!$A$6:$C$12,3,FALSE),""))</f>
        <v/>
      </c>
      <c r="T52" s="50">
        <f>IF(OR($A52="",$J52=""),"",MAX(0,IF(AND(N52&lt;&gt;"",O52&lt;&gt;""),MIN(J52-MAX(R52*ABS(J52),S52),N52),IF(AND(M52&lt;&gt;"",N(L52)&gt;=2),MIN(J52-MAX(R52*ABS(J52),S52),J52-2*M52),J52-MAX(R52*ABS(J52),S52)))))</f>
        <v/>
      </c>
      <c r="U52" s="50">
        <f>IF(OR($A52="",$J52=""),"",IF(AND(N52&lt;&gt;"",O52&lt;&gt;""),MAX(J52+MAX(R52*ABS(J52),S52),O52),IF(AND(M52&lt;&gt;"",N(L52)&gt;=2),MAX(J52+MAX(R52*ABS(J52),S52),J52+2*M52),J52+MAX(R52*ABS(J52),S52))))</f>
        <v/>
      </c>
      <c r="V52" s="51">
        <f>IF(OR($A52="",$J52=""),"",IF(COUNTIFS('6_資料庫比對'!$B$16:$B$25,A52,'6_資料庫比對'!$C$16:$C$25,I52)=0,"",IF(AND(SUMIFS('6_資料庫比對'!$F$16:$F$25,'6_資料庫比對'!$B$16:$B$25,A52,'6_資料庫比對'!$C$16:$C$25,I52)&gt;=T52,SUMIFS('6_資料庫比對'!$F$16:$F$25,'6_資料庫比對'!$B$16:$B$25,A52,'6_資料庫比對'!$C$16:$C$25,I52)&lt;=U52),"✓ 涵蓋","✗ 不涵蓋")))</f>
        <v/>
      </c>
    </row>
    <row r="53">
      <c r="A53" s="47" t="inlineStr">
        <is>
          <t>soy_sauce_low_sodium</t>
        </is>
      </c>
      <c r="B53" s="47" t="inlineStr">
        <is>
          <t>薄鹽醬油（低鈉）</t>
        </is>
      </c>
      <c r="C53" s="47" t="inlineStr">
        <is>
          <t>USDA</t>
        </is>
      </c>
      <c r="D53" s="47" t="inlineStr">
        <is>
          <t>SR Legacy</t>
        </is>
      </c>
      <c r="E53" s="47" t="n">
        <v>172473</v>
      </c>
      <c r="F53" s="47" t="inlineStr">
        <is>
          <t>Soy sauce made from soy and wheat (shoyu), low sodium</t>
        </is>
      </c>
      <c r="G53" s="47" t="inlineStr">
        <is>
          <t>exact</t>
        </is>
      </c>
      <c r="H53" s="47" t="n">
        <v>6.25</v>
      </c>
      <c r="I53" s="47" t="inlineStr">
        <is>
          <t>carbohydrate</t>
        </is>
      </c>
      <c r="J53" s="47" t="n">
        <v>5.59</v>
      </c>
      <c r="K53" s="47" t="inlineStr">
        <is>
          <t>g</t>
        </is>
      </c>
      <c r="L53" s="47" t="n">
        <v>0</v>
      </c>
      <c r="M53" s="47" t="n"/>
      <c r="N53" s="47" t="n"/>
      <c r="O53" s="47" t="n"/>
      <c r="P53" s="47" t="n"/>
      <c r="Q53" s="47" t="inlineStr">
        <is>
          <t>NC: Calculated</t>
        </is>
      </c>
      <c r="R53" s="48">
        <f>IF(OR($A53="",$J53=""),"",IFERROR(VLOOKUP(I53,'6_資料庫比對'!$A$6:$C$12,2,FALSE),""))</f>
        <v/>
      </c>
      <c r="S53" s="49">
        <f>IF(OR($A53="",$J53=""),"",IFERROR(VLOOKUP(I53,'6_資料庫比對'!$A$6:$C$12,3,FALSE),""))</f>
        <v/>
      </c>
      <c r="T53" s="50">
        <f>IF(OR($A53="",$J53=""),"",MAX(0,IF(AND(N53&lt;&gt;"",O53&lt;&gt;""),MIN(J53-MAX(R53*ABS(J53),S53),N53),IF(AND(M53&lt;&gt;"",N(L53)&gt;=2),MIN(J53-MAX(R53*ABS(J53),S53),J53-2*M53),J53-MAX(R53*ABS(J53),S53)))))</f>
        <v/>
      </c>
      <c r="U53" s="50">
        <f>IF(OR($A53="",$J53=""),"",IF(AND(N53&lt;&gt;"",O53&lt;&gt;""),MAX(J53+MAX(R53*ABS(J53),S53),O53),IF(AND(M53&lt;&gt;"",N(L53)&gt;=2),MAX(J53+MAX(R53*ABS(J53),S53),J53+2*M53),J53+MAX(R53*ABS(J53),S53))))</f>
        <v/>
      </c>
      <c r="V53" s="51">
        <f>IF(OR($A53="",$J53=""),"",IF(COUNTIFS('6_資料庫比對'!$B$16:$B$25,A53,'6_資料庫比對'!$C$16:$C$25,I53)=0,"",IF(AND(SUMIFS('6_資料庫比對'!$F$16:$F$25,'6_資料庫比對'!$B$16:$B$25,A53,'6_資料庫比對'!$C$16:$C$25,I53)&gt;=T53,SUMIFS('6_資料庫比對'!$F$16:$F$25,'6_資料庫比對'!$B$16:$B$25,A53,'6_資料庫比對'!$C$16:$C$25,I53)&lt;=U53),"✓ 涵蓋","✗ 不涵蓋")))</f>
        <v/>
      </c>
    </row>
    <row r="54">
      <c r="A54" s="47" t="inlineStr">
        <is>
          <t>soy_sauce_low_sodium</t>
        </is>
      </c>
      <c r="B54" s="47" t="inlineStr">
        <is>
          <t>薄鹽醬油（低鈉）</t>
        </is>
      </c>
      <c r="C54" s="47" t="inlineStr">
        <is>
          <t>USDA</t>
        </is>
      </c>
      <c r="D54" s="47" t="inlineStr">
        <is>
          <t>SR Legacy</t>
        </is>
      </c>
      <c r="E54" s="47" t="n">
        <v>172473</v>
      </c>
      <c r="F54" s="47" t="inlineStr">
        <is>
          <t>Soy sauce made from soy and wheat (shoyu), low sodium</t>
        </is>
      </c>
      <c r="G54" s="47" t="inlineStr">
        <is>
          <t>exact</t>
        </is>
      </c>
      <c r="H54" s="47" t="n">
        <v>6.25</v>
      </c>
      <c r="I54" s="47" t="inlineStr">
        <is>
          <t>sugars_total</t>
        </is>
      </c>
      <c r="J54" s="47" t="n">
        <v>0.5</v>
      </c>
      <c r="K54" s="47" t="inlineStr">
        <is>
          <t>g</t>
        </is>
      </c>
      <c r="L54" s="47" t="n">
        <v>3</v>
      </c>
      <c r="M54" s="47" t="n"/>
      <c r="N54" s="47" t="n">
        <v>0.5</v>
      </c>
      <c r="O54" s="47" t="n">
        <v>0.5</v>
      </c>
      <c r="P54" s="47" t="n"/>
      <c r="Q54" s="47" t="inlineStr">
        <is>
          <t>A: Analytical</t>
        </is>
      </c>
      <c r="R54" s="48">
        <f>IF(OR($A54="",$J54=""),"",IFERROR(VLOOKUP(I54,'6_資料庫比對'!$A$6:$C$12,2,FALSE),""))</f>
        <v/>
      </c>
      <c r="S54" s="49">
        <f>IF(OR($A54="",$J54=""),"",IFERROR(VLOOKUP(I54,'6_資料庫比對'!$A$6:$C$12,3,FALSE),""))</f>
        <v/>
      </c>
      <c r="T54" s="50">
        <f>IF(OR($A54="",$J54=""),"",MAX(0,IF(AND(N54&lt;&gt;"",O54&lt;&gt;""),MIN(J54-MAX(R54*ABS(J54),S54),N54),IF(AND(M54&lt;&gt;"",N(L54)&gt;=2),MIN(J54-MAX(R54*ABS(J54),S54),J54-2*M54),J54-MAX(R54*ABS(J54),S54)))))</f>
        <v/>
      </c>
      <c r="U54" s="50">
        <f>IF(OR($A54="",$J54=""),"",IF(AND(N54&lt;&gt;"",O54&lt;&gt;""),MAX(J54+MAX(R54*ABS(J54),S54),O54),IF(AND(M54&lt;&gt;"",N(L54)&gt;=2),MAX(J54+MAX(R54*ABS(J54),S54),J54+2*M54),J54+MAX(R54*ABS(J54),S54))))</f>
        <v/>
      </c>
      <c r="V54" s="51">
        <f>IF(OR($A54="",$J54=""),"",IF(COUNTIFS('6_資料庫比對'!$B$16:$B$25,A54,'6_資料庫比對'!$C$16:$C$25,I54)=0,"",IF(AND(SUMIFS('6_資料庫比對'!$F$16:$F$25,'6_資料庫比對'!$B$16:$B$25,A54,'6_資料庫比對'!$C$16:$C$25,I54)&gt;=T54,SUMIFS('6_資料庫比對'!$F$16:$F$25,'6_資料庫比對'!$B$16:$B$25,A54,'6_資料庫比對'!$C$16:$C$25,I54)&lt;=U54),"✓ 涵蓋","✗ 不涵蓋")))</f>
        <v/>
      </c>
    </row>
    <row r="55">
      <c r="A55" s="47" t="inlineStr">
        <is>
          <t>soy_sauce_low_sodium</t>
        </is>
      </c>
      <c r="B55" s="47" t="inlineStr">
        <is>
          <t>薄鹽醬油（低鈉）</t>
        </is>
      </c>
      <c r="C55" s="47" t="inlineStr">
        <is>
          <t>USDA</t>
        </is>
      </c>
      <c r="D55" s="47" t="inlineStr">
        <is>
          <t>SR Legacy</t>
        </is>
      </c>
      <c r="E55" s="47" t="n">
        <v>172473</v>
      </c>
      <c r="F55" s="47" t="inlineStr">
        <is>
          <t>Soy sauce made from soy and wheat (shoyu), low sodium</t>
        </is>
      </c>
      <c r="G55" s="47" t="inlineStr">
        <is>
          <t>exact</t>
        </is>
      </c>
      <c r="H55" s="47" t="n">
        <v>6.25</v>
      </c>
      <c r="I55" s="47" t="inlineStr">
        <is>
          <t>sodium</t>
        </is>
      </c>
      <c r="J55" s="47" t="n">
        <v>3598</v>
      </c>
      <c r="K55" s="47" t="inlineStr">
        <is>
          <t>mg</t>
        </is>
      </c>
      <c r="L55" s="47" t="n">
        <v>6</v>
      </c>
      <c r="M55" s="47" t="n"/>
      <c r="N55" s="47" t="n">
        <v>3570</v>
      </c>
      <c r="O55" s="47" t="n">
        <v>3630</v>
      </c>
      <c r="P55" s="47" t="n"/>
      <c r="Q55" s="47" t="inlineStr">
        <is>
          <t>A: Analytical</t>
        </is>
      </c>
      <c r="R55" s="48">
        <f>IF(OR($A55="",$J55=""),"",IFERROR(VLOOKUP(I55,'6_資料庫比對'!$A$6:$C$12,2,FALSE),""))</f>
        <v/>
      </c>
      <c r="S55" s="49">
        <f>IF(OR($A55="",$J55=""),"",IFERROR(VLOOKUP(I55,'6_資料庫比對'!$A$6:$C$12,3,FALSE),""))</f>
        <v/>
      </c>
      <c r="T55" s="50">
        <f>IF(OR($A55="",$J55=""),"",MAX(0,IF(AND(N55&lt;&gt;"",O55&lt;&gt;""),MIN(J55-MAX(R55*ABS(J55),S55),N55),IF(AND(M55&lt;&gt;"",N(L55)&gt;=2),MIN(J55-MAX(R55*ABS(J55),S55),J55-2*M55),J55-MAX(R55*ABS(J55),S55)))))</f>
        <v/>
      </c>
      <c r="U55" s="50">
        <f>IF(OR($A55="",$J55=""),"",IF(AND(N55&lt;&gt;"",O55&lt;&gt;""),MAX(J55+MAX(R55*ABS(J55),S55),O55),IF(AND(M55&lt;&gt;"",N(L55)&gt;=2),MAX(J55+MAX(R55*ABS(J55),S55),J55+2*M55),J55+MAX(R55*ABS(J55),S55))))</f>
        <v/>
      </c>
      <c r="V55" s="51">
        <f>IF(OR($A55="",$J55=""),"",IF(COUNTIFS('6_資料庫比對'!$B$16:$B$25,A55,'6_資料庫比對'!$C$16:$C$25,I55)=0,"",IF(AND(SUMIFS('6_資料庫比對'!$F$16:$F$25,'6_資料庫比對'!$B$16:$B$25,A55,'6_資料庫比對'!$C$16:$C$25,I55)&gt;=T55,SUMIFS('6_資料庫比對'!$F$16:$F$25,'6_資料庫比對'!$B$16:$B$25,A55,'6_資料庫比對'!$C$16:$C$25,I55)&lt;=U55),"✓ 涵蓋","✗ 不涵蓋")))</f>
        <v/>
      </c>
    </row>
    <row r="56">
      <c r="A56" s="47" t="inlineStr">
        <is>
          <t>soy_sauce_low_sodium</t>
        </is>
      </c>
      <c r="B56" s="47" t="inlineStr">
        <is>
          <t>薄鹽醬油（低鈉）</t>
        </is>
      </c>
      <c r="C56" s="47" t="inlineStr">
        <is>
          <t>TFND</t>
        </is>
      </c>
      <c r="D56" s="47" t="inlineStr">
        <is>
          <t>食品營養成分資料集</t>
        </is>
      </c>
      <c r="E56" s="47" t="inlineStr">
        <is>
          <t>P0700501</t>
        </is>
      </c>
      <c r="F56" s="47" t="inlineStr">
        <is>
          <t>薄鹽醬油(低鈉)</t>
        </is>
      </c>
      <c r="G56" s="47" t="inlineStr">
        <is>
          <t>exact</t>
        </is>
      </c>
      <c r="H56" s="47" t="n"/>
      <c r="I56" s="47" t="inlineStr">
        <is>
          <t>water</t>
        </is>
      </c>
      <c r="J56" s="47" t="n">
        <v>71.40000000000001</v>
      </c>
      <c r="K56" s="47" t="inlineStr">
        <is>
          <t>g</t>
        </is>
      </c>
      <c r="L56" s="47" t="n">
        <v>1</v>
      </c>
      <c r="M56" s="47" t="n"/>
      <c r="N56" s="47" t="n"/>
      <c r="O56" s="47" t="n"/>
      <c r="P56" s="47" t="n"/>
      <c r="Q56" s="47" t="n"/>
      <c r="R56" s="48">
        <f>IF(OR($A56="",$J56=""),"",IFERROR(VLOOKUP(I56,'6_資料庫比對'!$A$6:$C$12,2,FALSE),""))</f>
        <v/>
      </c>
      <c r="S56" s="49">
        <f>IF(OR($A56="",$J56=""),"",IFERROR(VLOOKUP(I56,'6_資料庫比對'!$A$6:$C$12,3,FALSE),""))</f>
        <v/>
      </c>
      <c r="T56" s="50">
        <f>IF(OR($A56="",$J56=""),"",MAX(0,IF(AND(N56&lt;&gt;"",O56&lt;&gt;""),MIN(J56-MAX(R56*ABS(J56),S56),N56),IF(AND(M56&lt;&gt;"",N(L56)&gt;=2),MIN(J56-MAX(R56*ABS(J56),S56),J56-2*M56),J56-MAX(R56*ABS(J56),S56)))))</f>
        <v/>
      </c>
      <c r="U56" s="50">
        <f>IF(OR($A56="",$J56=""),"",IF(AND(N56&lt;&gt;"",O56&lt;&gt;""),MAX(J56+MAX(R56*ABS(J56),S56),O56),IF(AND(M56&lt;&gt;"",N(L56)&gt;=2),MAX(J56+MAX(R56*ABS(J56),S56),J56+2*M56),J56+MAX(R56*ABS(J56),S56))))</f>
        <v/>
      </c>
      <c r="V56" s="51">
        <f>IF(OR($A56="",$J56=""),"",IF(COUNTIFS('6_資料庫比對'!$B$16:$B$25,A56,'6_資料庫比對'!$C$16:$C$25,I56)=0,"",IF(AND(SUMIFS('6_資料庫比對'!$F$16:$F$25,'6_資料庫比對'!$B$16:$B$25,A56,'6_資料庫比對'!$C$16:$C$25,I56)&gt;=T56,SUMIFS('6_資料庫比對'!$F$16:$F$25,'6_資料庫比對'!$B$16:$B$25,A56,'6_資料庫比對'!$C$16:$C$25,I56)&lt;=U56),"✓ 涵蓋","✗ 不涵蓋")))</f>
        <v/>
      </c>
    </row>
    <row r="57">
      <c r="A57" s="47" t="inlineStr">
        <is>
          <t>soy_sauce_low_sodium</t>
        </is>
      </c>
      <c r="B57" s="47" t="inlineStr">
        <is>
          <t>薄鹽醬油（低鈉）</t>
        </is>
      </c>
      <c r="C57" s="47" t="inlineStr">
        <is>
          <t>TFND</t>
        </is>
      </c>
      <c r="D57" s="47" t="inlineStr">
        <is>
          <t>食品營養成分資料集</t>
        </is>
      </c>
      <c r="E57" s="47" t="inlineStr">
        <is>
          <t>P0700501</t>
        </is>
      </c>
      <c r="F57" s="47" t="inlineStr">
        <is>
          <t>薄鹽醬油(低鈉)</t>
        </is>
      </c>
      <c r="G57" s="47" t="inlineStr">
        <is>
          <t>exact</t>
        </is>
      </c>
      <c r="H57" s="47" t="n"/>
      <c r="I57" s="47" t="inlineStr">
        <is>
          <t>protein</t>
        </is>
      </c>
      <c r="J57" s="47" t="n">
        <v>7.4</v>
      </c>
      <c r="K57" s="47" t="inlineStr">
        <is>
          <t>g</t>
        </is>
      </c>
      <c r="L57" s="47" t="n">
        <v>1</v>
      </c>
      <c r="M57" s="47" t="n"/>
      <c r="N57" s="47" t="n"/>
      <c r="O57" s="47" t="n"/>
      <c r="P57" s="47" t="n"/>
      <c r="Q57" s="47" t="n"/>
      <c r="R57" s="48">
        <f>IF(OR($A57="",$J57=""),"",IFERROR(VLOOKUP(I57,'6_資料庫比對'!$A$6:$C$12,2,FALSE),""))</f>
        <v/>
      </c>
      <c r="S57" s="49">
        <f>IF(OR($A57="",$J57=""),"",IFERROR(VLOOKUP(I57,'6_資料庫比對'!$A$6:$C$12,3,FALSE),""))</f>
        <v/>
      </c>
      <c r="T57" s="50">
        <f>IF(OR($A57="",$J57=""),"",MAX(0,IF(AND(N57&lt;&gt;"",O57&lt;&gt;""),MIN(J57-MAX(R57*ABS(J57),S57),N57),IF(AND(M57&lt;&gt;"",N(L57)&gt;=2),MIN(J57-MAX(R57*ABS(J57),S57),J57-2*M57),J57-MAX(R57*ABS(J57),S57)))))</f>
        <v/>
      </c>
      <c r="U57" s="50">
        <f>IF(OR($A57="",$J57=""),"",IF(AND(N57&lt;&gt;"",O57&lt;&gt;""),MAX(J57+MAX(R57*ABS(J57),S57),O57),IF(AND(M57&lt;&gt;"",N(L57)&gt;=2),MAX(J57+MAX(R57*ABS(J57),S57),J57+2*M57),J57+MAX(R57*ABS(J57),S57))))</f>
        <v/>
      </c>
      <c r="V57" s="51">
        <f>IF(OR($A57="",$J57=""),"",IF(COUNTIFS('6_資料庫比對'!$B$16:$B$25,A57,'6_資料庫比對'!$C$16:$C$25,I57)=0,"",IF(AND(SUMIFS('6_資料庫比對'!$F$16:$F$25,'6_資料庫比對'!$B$16:$B$25,A57,'6_資料庫比對'!$C$16:$C$25,I57)&gt;=T57,SUMIFS('6_資料庫比對'!$F$16:$F$25,'6_資料庫比對'!$B$16:$B$25,A57,'6_資料庫比對'!$C$16:$C$25,I57)&lt;=U57),"✓ 涵蓋","✗ 不涵蓋")))</f>
        <v/>
      </c>
    </row>
    <row r="58">
      <c r="A58" s="47" t="inlineStr">
        <is>
          <t>soy_sauce_low_sodium</t>
        </is>
      </c>
      <c r="B58" s="47" t="inlineStr">
        <is>
          <t>薄鹽醬油（低鈉）</t>
        </is>
      </c>
      <c r="C58" s="47" t="inlineStr">
        <is>
          <t>TFND</t>
        </is>
      </c>
      <c r="D58" s="47" t="inlineStr">
        <is>
          <t>食品營養成分資料集</t>
        </is>
      </c>
      <c r="E58" s="47" t="inlineStr">
        <is>
          <t>P0700501</t>
        </is>
      </c>
      <c r="F58" s="47" t="inlineStr">
        <is>
          <t>薄鹽醬油(低鈉)</t>
        </is>
      </c>
      <c r="G58" s="47" t="inlineStr">
        <is>
          <t>exact</t>
        </is>
      </c>
      <c r="H58" s="47" t="n"/>
      <c r="I58" s="47" t="inlineStr">
        <is>
          <t>ash</t>
        </is>
      </c>
      <c r="J58" s="47" t="n">
        <v>9.199999999999999</v>
      </c>
      <c r="K58" s="47" t="inlineStr">
        <is>
          <t>g</t>
        </is>
      </c>
      <c r="L58" s="47" t="n">
        <v>1</v>
      </c>
      <c r="M58" s="47" t="n"/>
      <c r="N58" s="47" t="n"/>
      <c r="O58" s="47" t="n"/>
      <c r="P58" s="47" t="n"/>
      <c r="Q58" s="47" t="n"/>
      <c r="R58" s="48">
        <f>IF(OR($A58="",$J58=""),"",IFERROR(VLOOKUP(I58,'6_資料庫比對'!$A$6:$C$12,2,FALSE),""))</f>
        <v/>
      </c>
      <c r="S58" s="49">
        <f>IF(OR($A58="",$J58=""),"",IFERROR(VLOOKUP(I58,'6_資料庫比對'!$A$6:$C$12,3,FALSE),""))</f>
        <v/>
      </c>
      <c r="T58" s="50">
        <f>IF(OR($A58="",$J58=""),"",MAX(0,IF(AND(N58&lt;&gt;"",O58&lt;&gt;""),MIN(J58-MAX(R58*ABS(J58),S58),N58),IF(AND(M58&lt;&gt;"",N(L58)&gt;=2),MIN(J58-MAX(R58*ABS(J58),S58),J58-2*M58),J58-MAX(R58*ABS(J58),S58)))))</f>
        <v/>
      </c>
      <c r="U58" s="50">
        <f>IF(OR($A58="",$J58=""),"",IF(AND(N58&lt;&gt;"",O58&lt;&gt;""),MAX(J58+MAX(R58*ABS(J58),S58),O58),IF(AND(M58&lt;&gt;"",N(L58)&gt;=2),MAX(J58+MAX(R58*ABS(J58),S58),J58+2*M58),J58+MAX(R58*ABS(J58),S58))))</f>
        <v/>
      </c>
      <c r="V58" s="51">
        <f>IF(OR($A58="",$J58=""),"",IF(COUNTIFS('6_資料庫比對'!$B$16:$B$25,A58,'6_資料庫比對'!$C$16:$C$25,I58)=0,"",IF(AND(SUMIFS('6_資料庫比對'!$F$16:$F$25,'6_資料庫比對'!$B$16:$B$25,A58,'6_資料庫比對'!$C$16:$C$25,I58)&gt;=T58,SUMIFS('6_資料庫比對'!$F$16:$F$25,'6_資料庫比對'!$B$16:$B$25,A58,'6_資料庫比對'!$C$16:$C$25,I58)&lt;=U58),"✓ 涵蓋","✗ 不涵蓋")))</f>
        <v/>
      </c>
    </row>
    <row r="59">
      <c r="A59" s="47" t="inlineStr">
        <is>
          <t>soy_sauce_low_sodium</t>
        </is>
      </c>
      <c r="B59" s="47" t="inlineStr">
        <is>
          <t>薄鹽醬油（低鈉）</t>
        </is>
      </c>
      <c r="C59" s="47" t="inlineStr">
        <is>
          <t>TFND</t>
        </is>
      </c>
      <c r="D59" s="47" t="inlineStr">
        <is>
          <t>食品營養成分資料集</t>
        </is>
      </c>
      <c r="E59" s="47" t="inlineStr">
        <is>
          <t>P0700501</t>
        </is>
      </c>
      <c r="F59" s="47" t="inlineStr">
        <is>
          <t>薄鹽醬油(低鈉)</t>
        </is>
      </c>
      <c r="G59" s="47" t="inlineStr">
        <is>
          <t>exact</t>
        </is>
      </c>
      <c r="H59" s="47" t="n"/>
      <c r="I59" s="47" t="inlineStr">
        <is>
          <t>carbohydrate</t>
        </is>
      </c>
      <c r="J59" s="47" t="n">
        <v>11.9</v>
      </c>
      <c r="K59" s="47" t="inlineStr">
        <is>
          <t>g</t>
        </is>
      </c>
      <c r="L59" s="47" t="n"/>
      <c r="M59" s="47" t="n"/>
      <c r="N59" s="47" t="n"/>
      <c r="O59" s="47" t="n"/>
      <c r="P59" s="47" t="n"/>
      <c r="Q59" s="47" t="n"/>
      <c r="R59" s="48">
        <f>IF(OR($A59="",$J59=""),"",IFERROR(VLOOKUP(I59,'6_資料庫比對'!$A$6:$C$12,2,FALSE),""))</f>
        <v/>
      </c>
      <c r="S59" s="49">
        <f>IF(OR($A59="",$J59=""),"",IFERROR(VLOOKUP(I59,'6_資料庫比對'!$A$6:$C$12,3,FALSE),""))</f>
        <v/>
      </c>
      <c r="T59" s="50">
        <f>IF(OR($A59="",$J59=""),"",MAX(0,IF(AND(N59&lt;&gt;"",O59&lt;&gt;""),MIN(J59-MAX(R59*ABS(J59),S59),N59),IF(AND(M59&lt;&gt;"",N(L59)&gt;=2),MIN(J59-MAX(R59*ABS(J59),S59),J59-2*M59),J59-MAX(R59*ABS(J59),S59)))))</f>
        <v/>
      </c>
      <c r="U59" s="50">
        <f>IF(OR($A59="",$J59=""),"",IF(AND(N59&lt;&gt;"",O59&lt;&gt;""),MAX(J59+MAX(R59*ABS(J59),S59),O59),IF(AND(M59&lt;&gt;"",N(L59)&gt;=2),MAX(J59+MAX(R59*ABS(J59),S59),J59+2*M59),J59+MAX(R59*ABS(J59),S59))))</f>
        <v/>
      </c>
      <c r="V59" s="51">
        <f>IF(OR($A59="",$J59=""),"",IF(COUNTIFS('6_資料庫比對'!$B$16:$B$25,A59,'6_資料庫比對'!$C$16:$C$25,I59)=0,"",IF(AND(SUMIFS('6_資料庫比對'!$F$16:$F$25,'6_資料庫比對'!$B$16:$B$25,A59,'6_資料庫比對'!$C$16:$C$25,I59)&gt;=T59,SUMIFS('6_資料庫比對'!$F$16:$F$25,'6_資料庫比對'!$B$16:$B$25,A59,'6_資料庫比對'!$C$16:$C$25,I59)&lt;=U59),"✓ 涵蓋","✗ 不涵蓋")))</f>
        <v/>
      </c>
    </row>
    <row r="60">
      <c r="A60" s="47" t="inlineStr">
        <is>
          <t>soy_sauce_low_sodium</t>
        </is>
      </c>
      <c r="B60" s="47" t="inlineStr">
        <is>
          <t>薄鹽醬油（低鈉）</t>
        </is>
      </c>
      <c r="C60" s="47" t="inlineStr">
        <is>
          <t>TFND</t>
        </is>
      </c>
      <c r="D60" s="47" t="inlineStr">
        <is>
          <t>食品營養成分資料集</t>
        </is>
      </c>
      <c r="E60" s="47" t="inlineStr">
        <is>
          <t>P0700501</t>
        </is>
      </c>
      <c r="F60" s="47" t="inlineStr">
        <is>
          <t>薄鹽醬油(低鈉)</t>
        </is>
      </c>
      <c r="G60" s="47" t="inlineStr">
        <is>
          <t>exact</t>
        </is>
      </c>
      <c r="H60" s="47" t="n"/>
      <c r="I60" s="47" t="inlineStr">
        <is>
          <t>sodium</t>
        </is>
      </c>
      <c r="J60" s="47" t="n">
        <v>3508</v>
      </c>
      <c r="K60" s="47" t="inlineStr">
        <is>
          <t>mg</t>
        </is>
      </c>
      <c r="L60" s="47" t="n">
        <v>1</v>
      </c>
      <c r="M60" s="47" t="n"/>
      <c r="N60" s="47" t="n"/>
      <c r="O60" s="47" t="n"/>
      <c r="P60" s="47" t="n"/>
      <c r="Q60" s="47" t="n"/>
      <c r="R60" s="48">
        <f>IF(OR($A60="",$J60=""),"",IFERROR(VLOOKUP(I60,'6_資料庫比對'!$A$6:$C$12,2,FALSE),""))</f>
        <v/>
      </c>
      <c r="S60" s="49">
        <f>IF(OR($A60="",$J60=""),"",IFERROR(VLOOKUP(I60,'6_資料庫比對'!$A$6:$C$12,3,FALSE),""))</f>
        <v/>
      </c>
      <c r="T60" s="50">
        <f>IF(OR($A60="",$J60=""),"",MAX(0,IF(AND(N60&lt;&gt;"",O60&lt;&gt;""),MIN(J60-MAX(R60*ABS(J60),S60),N60),IF(AND(M60&lt;&gt;"",N(L60)&gt;=2),MIN(J60-MAX(R60*ABS(J60),S60),J60-2*M60),J60-MAX(R60*ABS(J60),S60)))))</f>
        <v/>
      </c>
      <c r="U60" s="50">
        <f>IF(OR($A60="",$J60=""),"",IF(AND(N60&lt;&gt;"",O60&lt;&gt;""),MAX(J60+MAX(R60*ABS(J60),S60),O60),IF(AND(M60&lt;&gt;"",N(L60)&gt;=2),MAX(J60+MAX(R60*ABS(J60),S60),J60+2*M60),J60+MAX(R60*ABS(J60),S60))))</f>
        <v/>
      </c>
      <c r="V60" s="51">
        <f>IF(OR($A60="",$J60=""),"",IF(COUNTIFS('6_資料庫比對'!$B$16:$B$25,A60,'6_資料庫比對'!$C$16:$C$25,I60)=0,"",IF(AND(SUMIFS('6_資料庫比對'!$F$16:$F$25,'6_資料庫比對'!$B$16:$B$25,A60,'6_資料庫比對'!$C$16:$C$25,I60)&gt;=T60,SUMIFS('6_資料庫比對'!$F$16:$F$25,'6_資料庫比對'!$B$16:$B$25,A60,'6_資料庫比對'!$C$16:$C$25,I60)&lt;=U60),"✓ 涵蓋","✗ 不涵蓋")))</f>
        <v/>
      </c>
    </row>
    <row r="61">
      <c r="A61" s="47" t="inlineStr">
        <is>
          <t>potato_chips</t>
        </is>
      </c>
      <c r="B61" s="47" t="inlineStr">
        <is>
          <t>洋芋片（原味）</t>
        </is>
      </c>
      <c r="C61" s="47" t="inlineStr">
        <is>
          <t>USDA</t>
        </is>
      </c>
      <c r="D61" s="47" t="inlineStr">
        <is>
          <t>SR Legacy</t>
        </is>
      </c>
      <c r="E61" s="47" t="n">
        <v>169677</v>
      </c>
      <c r="F61" s="47" t="inlineStr">
        <is>
          <t>Snacks, potato chips, plain, salted</t>
        </is>
      </c>
      <c r="G61" s="47" t="inlineStr">
        <is>
          <t>exact</t>
        </is>
      </c>
      <c r="H61" s="47" t="n">
        <v>6.25</v>
      </c>
      <c r="I61" s="47" t="inlineStr">
        <is>
          <t>water</t>
        </is>
      </c>
      <c r="J61" s="47" t="n">
        <v>1.86</v>
      </c>
      <c r="K61" s="47" t="inlineStr">
        <is>
          <t>g</t>
        </is>
      </c>
      <c r="L61" s="47" t="n">
        <v>17</v>
      </c>
      <c r="M61" s="47" t="n"/>
      <c r="N61" s="47" t="n">
        <v>1.24</v>
      </c>
      <c r="O61" s="47" t="n">
        <v>2.44</v>
      </c>
      <c r="P61" s="47" t="n"/>
      <c r="Q61" s="47" t="inlineStr">
        <is>
          <t>A: Analytical</t>
        </is>
      </c>
      <c r="R61" s="48">
        <f>IF(OR($A61="",$J61=""),"",IFERROR(VLOOKUP(I61,'6_資料庫比對'!$A$6:$C$12,2,FALSE),""))</f>
        <v/>
      </c>
      <c r="S61" s="49">
        <f>IF(OR($A61="",$J61=""),"",IFERROR(VLOOKUP(I61,'6_資料庫比對'!$A$6:$C$12,3,FALSE),""))</f>
        <v/>
      </c>
      <c r="T61" s="50">
        <f>IF(OR($A61="",$J61=""),"",MAX(0,IF(AND(N61&lt;&gt;"",O61&lt;&gt;""),MIN(J61-MAX(R61*ABS(J61),S61),N61),IF(AND(M61&lt;&gt;"",N(L61)&gt;=2),MIN(J61-MAX(R61*ABS(J61),S61),J61-2*M61),J61-MAX(R61*ABS(J61),S61)))))</f>
        <v/>
      </c>
      <c r="U61" s="50">
        <f>IF(OR($A61="",$J61=""),"",IF(AND(N61&lt;&gt;"",O61&lt;&gt;""),MAX(J61+MAX(R61*ABS(J61),S61),O61),IF(AND(M61&lt;&gt;"",N(L61)&gt;=2),MAX(J61+MAX(R61*ABS(J61),S61),J61+2*M61),J61+MAX(R61*ABS(J61),S61))))</f>
        <v/>
      </c>
      <c r="V61" s="51">
        <f>IF(OR($A61="",$J61=""),"",IF(COUNTIFS('6_資料庫比對'!$B$16:$B$25,A61,'6_資料庫比對'!$C$16:$C$25,I61)=0,"",IF(AND(SUMIFS('6_資料庫比對'!$F$16:$F$25,'6_資料庫比對'!$B$16:$B$25,A61,'6_資料庫比對'!$C$16:$C$25,I61)&gt;=T61,SUMIFS('6_資料庫比對'!$F$16:$F$25,'6_資料庫比對'!$B$16:$B$25,A61,'6_資料庫比對'!$C$16:$C$25,I61)&lt;=U61),"✓ 涵蓋","✗ 不涵蓋")))</f>
        <v/>
      </c>
    </row>
    <row r="62">
      <c r="A62" s="47" t="inlineStr">
        <is>
          <t>potato_chips</t>
        </is>
      </c>
      <c r="B62" s="47" t="inlineStr">
        <is>
          <t>洋芋片（原味）</t>
        </is>
      </c>
      <c r="C62" s="47" t="inlineStr">
        <is>
          <t>USDA</t>
        </is>
      </c>
      <c r="D62" s="47" t="inlineStr">
        <is>
          <t>SR Legacy</t>
        </is>
      </c>
      <c r="E62" s="47" t="n">
        <v>169677</v>
      </c>
      <c r="F62" s="47" t="inlineStr">
        <is>
          <t>Snacks, potato chips, plain, salted</t>
        </is>
      </c>
      <c r="G62" s="47" t="inlineStr">
        <is>
          <t>exact</t>
        </is>
      </c>
      <c r="H62" s="47" t="n">
        <v>6.25</v>
      </c>
      <c r="I62" s="47" t="inlineStr">
        <is>
          <t>protein</t>
        </is>
      </c>
      <c r="J62" s="47" t="n">
        <v>6.39</v>
      </c>
      <c r="K62" s="47" t="inlineStr">
        <is>
          <t>g</t>
        </is>
      </c>
      <c r="L62" s="47" t="n">
        <v>17</v>
      </c>
      <c r="M62" s="47" t="n"/>
      <c r="N62" s="47" t="n">
        <v>5.44</v>
      </c>
      <c r="O62" s="47" t="n">
        <v>7.19</v>
      </c>
      <c r="P62" s="47" t="n"/>
      <c r="Q62" s="47" t="inlineStr">
        <is>
          <t>A: Analytical</t>
        </is>
      </c>
      <c r="R62" s="48">
        <f>IF(OR($A62="",$J62=""),"",IFERROR(VLOOKUP(I62,'6_資料庫比對'!$A$6:$C$12,2,FALSE),""))</f>
        <v/>
      </c>
      <c r="S62" s="49">
        <f>IF(OR($A62="",$J62=""),"",IFERROR(VLOOKUP(I62,'6_資料庫比對'!$A$6:$C$12,3,FALSE),""))</f>
        <v/>
      </c>
      <c r="T62" s="50">
        <f>IF(OR($A62="",$J62=""),"",MAX(0,IF(AND(N62&lt;&gt;"",O62&lt;&gt;""),MIN(J62-MAX(R62*ABS(J62),S62),N62),IF(AND(M62&lt;&gt;"",N(L62)&gt;=2),MIN(J62-MAX(R62*ABS(J62),S62),J62-2*M62),J62-MAX(R62*ABS(J62),S62)))))</f>
        <v/>
      </c>
      <c r="U62" s="50">
        <f>IF(OR($A62="",$J62=""),"",IF(AND(N62&lt;&gt;"",O62&lt;&gt;""),MAX(J62+MAX(R62*ABS(J62),S62),O62),IF(AND(M62&lt;&gt;"",N(L62)&gt;=2),MAX(J62+MAX(R62*ABS(J62),S62),J62+2*M62),J62+MAX(R62*ABS(J62),S62))))</f>
        <v/>
      </c>
      <c r="V62" s="51">
        <f>IF(OR($A62="",$J62=""),"",IF(COUNTIFS('6_資料庫比對'!$B$16:$B$25,A62,'6_資料庫比對'!$C$16:$C$25,I62)=0,"",IF(AND(SUMIFS('6_資料庫比對'!$F$16:$F$25,'6_資料庫比對'!$B$16:$B$25,A62,'6_資料庫比對'!$C$16:$C$25,I62)&gt;=T62,SUMIFS('6_資料庫比對'!$F$16:$F$25,'6_資料庫比對'!$B$16:$B$25,A62,'6_資料庫比對'!$C$16:$C$25,I62)&lt;=U62),"✓ 涵蓋","✗ 不涵蓋")))</f>
        <v/>
      </c>
    </row>
    <row r="63">
      <c r="A63" s="47" t="inlineStr">
        <is>
          <t>potato_chips</t>
        </is>
      </c>
      <c r="B63" s="47" t="inlineStr">
        <is>
          <t>洋芋片（原味）</t>
        </is>
      </c>
      <c r="C63" s="47" t="inlineStr">
        <is>
          <t>USDA</t>
        </is>
      </c>
      <c r="D63" s="47" t="inlineStr">
        <is>
          <t>SR Legacy</t>
        </is>
      </c>
      <c r="E63" s="47" t="n">
        <v>169677</v>
      </c>
      <c r="F63" s="47" t="inlineStr">
        <is>
          <t>Snacks, potato chips, plain, salted</t>
        </is>
      </c>
      <c r="G63" s="47" t="inlineStr">
        <is>
          <t>exact</t>
        </is>
      </c>
      <c r="H63" s="47" t="n">
        <v>6.25</v>
      </c>
      <c r="I63" s="47" t="inlineStr">
        <is>
          <t>fat</t>
        </is>
      </c>
      <c r="J63" s="47" t="n">
        <v>33.98</v>
      </c>
      <c r="K63" s="47" t="inlineStr">
        <is>
          <t>g</t>
        </is>
      </c>
      <c r="L63" s="47" t="n">
        <v>17</v>
      </c>
      <c r="M63" s="47" t="n"/>
      <c r="N63" s="47" t="n">
        <v>30.74</v>
      </c>
      <c r="O63" s="47" t="n">
        <v>38.39</v>
      </c>
      <c r="P63" s="47" t="n"/>
      <c r="Q63" s="47" t="inlineStr">
        <is>
          <t>A: Analytical</t>
        </is>
      </c>
      <c r="R63" s="48">
        <f>IF(OR($A63="",$J63=""),"",IFERROR(VLOOKUP(I63,'6_資料庫比對'!$A$6:$C$12,2,FALSE),""))</f>
        <v/>
      </c>
      <c r="S63" s="49">
        <f>IF(OR($A63="",$J63=""),"",IFERROR(VLOOKUP(I63,'6_資料庫比對'!$A$6:$C$12,3,FALSE),""))</f>
        <v/>
      </c>
      <c r="T63" s="50">
        <f>IF(OR($A63="",$J63=""),"",MAX(0,IF(AND(N63&lt;&gt;"",O63&lt;&gt;""),MIN(J63-MAX(R63*ABS(J63),S63),N63),IF(AND(M63&lt;&gt;"",N(L63)&gt;=2),MIN(J63-MAX(R63*ABS(J63),S63),J63-2*M63),J63-MAX(R63*ABS(J63),S63)))))</f>
        <v/>
      </c>
      <c r="U63" s="50">
        <f>IF(OR($A63="",$J63=""),"",IF(AND(N63&lt;&gt;"",O63&lt;&gt;""),MAX(J63+MAX(R63*ABS(J63),S63),O63),IF(AND(M63&lt;&gt;"",N(L63)&gt;=2),MAX(J63+MAX(R63*ABS(J63),S63),J63+2*M63),J63+MAX(R63*ABS(J63),S63))))</f>
        <v/>
      </c>
      <c r="V63" s="51">
        <f>IF(OR($A63="",$J63=""),"",IF(COUNTIFS('6_資料庫比對'!$B$16:$B$25,A63,'6_資料庫比對'!$C$16:$C$25,I63)=0,"",IF(AND(SUMIFS('6_資料庫比對'!$F$16:$F$25,'6_資料庫比對'!$B$16:$B$25,A63,'6_資料庫比對'!$C$16:$C$25,I63)&gt;=T63,SUMIFS('6_資料庫比對'!$F$16:$F$25,'6_資料庫比對'!$B$16:$B$25,A63,'6_資料庫比對'!$C$16:$C$25,I63)&lt;=U63),"✓ 涵蓋","✗ 不涵蓋")))</f>
        <v/>
      </c>
    </row>
    <row r="64">
      <c r="A64" s="47" t="inlineStr">
        <is>
          <t>potato_chips</t>
        </is>
      </c>
      <c r="B64" s="47" t="inlineStr">
        <is>
          <t>洋芋片（原味）</t>
        </is>
      </c>
      <c r="C64" s="47" t="inlineStr">
        <is>
          <t>USDA</t>
        </is>
      </c>
      <c r="D64" s="47" t="inlineStr">
        <is>
          <t>SR Legacy</t>
        </is>
      </c>
      <c r="E64" s="47" t="n">
        <v>169677</v>
      </c>
      <c r="F64" s="47" t="inlineStr">
        <is>
          <t>Snacks, potato chips, plain, salted</t>
        </is>
      </c>
      <c r="G64" s="47" t="inlineStr">
        <is>
          <t>exact</t>
        </is>
      </c>
      <c r="H64" s="47" t="n">
        <v>6.25</v>
      </c>
      <c r="I64" s="47" t="inlineStr">
        <is>
          <t>ash</t>
        </is>
      </c>
      <c r="J64" s="47" t="n">
        <v>3.94</v>
      </c>
      <c r="K64" s="47" t="inlineStr">
        <is>
          <t>g</t>
        </is>
      </c>
      <c r="L64" s="47" t="n">
        <v>17</v>
      </c>
      <c r="M64" s="47" t="n"/>
      <c r="N64" s="47" t="n">
        <v>3.13</v>
      </c>
      <c r="O64" s="47" t="n">
        <v>4.23</v>
      </c>
      <c r="P64" s="47" t="n"/>
      <c r="Q64" s="47" t="inlineStr">
        <is>
          <t>A: Analytical</t>
        </is>
      </c>
      <c r="R64" s="48">
        <f>IF(OR($A64="",$J64=""),"",IFERROR(VLOOKUP(I64,'6_資料庫比對'!$A$6:$C$12,2,FALSE),""))</f>
        <v/>
      </c>
      <c r="S64" s="49">
        <f>IF(OR($A64="",$J64=""),"",IFERROR(VLOOKUP(I64,'6_資料庫比對'!$A$6:$C$12,3,FALSE),""))</f>
        <v/>
      </c>
      <c r="T64" s="50">
        <f>IF(OR($A64="",$J64=""),"",MAX(0,IF(AND(N64&lt;&gt;"",O64&lt;&gt;""),MIN(J64-MAX(R64*ABS(J64),S64),N64),IF(AND(M64&lt;&gt;"",N(L64)&gt;=2),MIN(J64-MAX(R64*ABS(J64),S64),J64-2*M64),J64-MAX(R64*ABS(J64),S64)))))</f>
        <v/>
      </c>
      <c r="U64" s="50">
        <f>IF(OR($A64="",$J64=""),"",IF(AND(N64&lt;&gt;"",O64&lt;&gt;""),MAX(J64+MAX(R64*ABS(J64),S64),O64),IF(AND(M64&lt;&gt;"",N(L64)&gt;=2),MAX(J64+MAX(R64*ABS(J64),S64),J64+2*M64),J64+MAX(R64*ABS(J64),S64))))</f>
        <v/>
      </c>
      <c r="V64" s="51">
        <f>IF(OR($A64="",$J64=""),"",IF(COUNTIFS('6_資料庫比對'!$B$16:$B$25,A64,'6_資料庫比對'!$C$16:$C$25,I64)=0,"",IF(AND(SUMIFS('6_資料庫比對'!$F$16:$F$25,'6_資料庫比對'!$B$16:$B$25,A64,'6_資料庫比對'!$C$16:$C$25,I64)&gt;=T64,SUMIFS('6_資料庫比對'!$F$16:$F$25,'6_資料庫比對'!$B$16:$B$25,A64,'6_資料庫比對'!$C$16:$C$25,I64)&lt;=U64),"✓ 涵蓋","✗ 不涵蓋")))</f>
        <v/>
      </c>
    </row>
    <row r="65">
      <c r="A65" s="47" t="inlineStr">
        <is>
          <t>potato_chips</t>
        </is>
      </c>
      <c r="B65" s="47" t="inlineStr">
        <is>
          <t>洋芋片（原味）</t>
        </is>
      </c>
      <c r="C65" s="47" t="inlineStr">
        <is>
          <t>USDA</t>
        </is>
      </c>
      <c r="D65" s="47" t="inlineStr">
        <is>
          <t>SR Legacy</t>
        </is>
      </c>
      <c r="E65" s="47" t="n">
        <v>169677</v>
      </c>
      <c r="F65" s="47" t="inlineStr">
        <is>
          <t>Snacks, potato chips, plain, salted</t>
        </is>
      </c>
      <c r="G65" s="47" t="inlineStr">
        <is>
          <t>exact</t>
        </is>
      </c>
      <c r="H65" s="47" t="n">
        <v>6.25</v>
      </c>
      <c r="I65" s="47" t="inlineStr">
        <is>
          <t>carbohydrate</t>
        </is>
      </c>
      <c r="J65" s="47" t="n">
        <v>53.83</v>
      </c>
      <c r="K65" s="47" t="inlineStr">
        <is>
          <t>g</t>
        </is>
      </c>
      <c r="L65" s="47" t="n">
        <v>0</v>
      </c>
      <c r="M65" s="47" t="n"/>
      <c r="N65" s="47" t="n"/>
      <c r="O65" s="47" t="n"/>
      <c r="P65" s="47" t="n"/>
      <c r="Q65" s="47" t="inlineStr">
        <is>
          <t>NC: Calculated</t>
        </is>
      </c>
      <c r="R65" s="48">
        <f>IF(OR($A65="",$J65=""),"",IFERROR(VLOOKUP(I65,'6_資料庫比對'!$A$6:$C$12,2,FALSE),""))</f>
        <v/>
      </c>
      <c r="S65" s="49">
        <f>IF(OR($A65="",$J65=""),"",IFERROR(VLOOKUP(I65,'6_資料庫比對'!$A$6:$C$12,3,FALSE),""))</f>
        <v/>
      </c>
      <c r="T65" s="50">
        <f>IF(OR($A65="",$J65=""),"",MAX(0,IF(AND(N65&lt;&gt;"",O65&lt;&gt;""),MIN(J65-MAX(R65*ABS(J65),S65),N65),IF(AND(M65&lt;&gt;"",N(L65)&gt;=2),MIN(J65-MAX(R65*ABS(J65),S65),J65-2*M65),J65-MAX(R65*ABS(J65),S65)))))</f>
        <v/>
      </c>
      <c r="U65" s="50">
        <f>IF(OR($A65="",$J65=""),"",IF(AND(N65&lt;&gt;"",O65&lt;&gt;""),MAX(J65+MAX(R65*ABS(J65),S65),O65),IF(AND(M65&lt;&gt;"",N(L65)&gt;=2),MAX(J65+MAX(R65*ABS(J65),S65),J65+2*M65),J65+MAX(R65*ABS(J65),S65))))</f>
        <v/>
      </c>
      <c r="V65" s="51">
        <f>IF(OR($A65="",$J65=""),"",IF(COUNTIFS('6_資料庫比對'!$B$16:$B$25,A65,'6_資料庫比對'!$C$16:$C$25,I65)=0,"",IF(AND(SUMIFS('6_資料庫比對'!$F$16:$F$25,'6_資料庫比對'!$B$16:$B$25,A65,'6_資料庫比對'!$C$16:$C$25,I65)&gt;=T65,SUMIFS('6_資料庫比對'!$F$16:$F$25,'6_資料庫比對'!$B$16:$B$25,A65,'6_資料庫比對'!$C$16:$C$25,I65)&lt;=U65),"✓ 涵蓋","✗ 不涵蓋")))</f>
        <v/>
      </c>
    </row>
    <row r="66">
      <c r="A66" s="47" t="inlineStr">
        <is>
          <t>potato_chips</t>
        </is>
      </c>
      <c r="B66" s="47" t="inlineStr">
        <is>
          <t>洋芋片（原味）</t>
        </is>
      </c>
      <c r="C66" s="47" t="inlineStr">
        <is>
          <t>USDA</t>
        </is>
      </c>
      <c r="D66" s="47" t="inlineStr">
        <is>
          <t>SR Legacy</t>
        </is>
      </c>
      <c r="E66" s="47" t="n">
        <v>169677</v>
      </c>
      <c r="F66" s="47" t="inlineStr">
        <is>
          <t>Snacks, potato chips, plain, salted</t>
        </is>
      </c>
      <c r="G66" s="47" t="inlineStr">
        <is>
          <t>exact</t>
        </is>
      </c>
      <c r="H66" s="47" t="n">
        <v>6.25</v>
      </c>
      <c r="I66" s="47" t="inlineStr">
        <is>
          <t>sugars_total</t>
        </is>
      </c>
      <c r="J66" s="47" t="n">
        <v>0.33</v>
      </c>
      <c r="K66" s="47" t="inlineStr">
        <is>
          <t>g</t>
        </is>
      </c>
      <c r="L66" s="47" t="n">
        <v>9</v>
      </c>
      <c r="M66" s="47" t="n"/>
      <c r="N66" s="47" t="n">
        <v>0.3</v>
      </c>
      <c r="O66" s="47" t="n">
        <v>0.4</v>
      </c>
      <c r="P66" s="47" t="n"/>
      <c r="Q66" s="47" t="inlineStr">
        <is>
          <t>A: Analytical</t>
        </is>
      </c>
      <c r="R66" s="48">
        <f>IF(OR($A66="",$J66=""),"",IFERROR(VLOOKUP(I66,'6_資料庫比對'!$A$6:$C$12,2,FALSE),""))</f>
        <v/>
      </c>
      <c r="S66" s="49">
        <f>IF(OR($A66="",$J66=""),"",IFERROR(VLOOKUP(I66,'6_資料庫比對'!$A$6:$C$12,3,FALSE),""))</f>
        <v/>
      </c>
      <c r="T66" s="50">
        <f>IF(OR($A66="",$J66=""),"",MAX(0,IF(AND(N66&lt;&gt;"",O66&lt;&gt;""),MIN(J66-MAX(R66*ABS(J66),S66),N66),IF(AND(M66&lt;&gt;"",N(L66)&gt;=2),MIN(J66-MAX(R66*ABS(J66),S66),J66-2*M66),J66-MAX(R66*ABS(J66),S66)))))</f>
        <v/>
      </c>
      <c r="U66" s="50">
        <f>IF(OR($A66="",$J66=""),"",IF(AND(N66&lt;&gt;"",O66&lt;&gt;""),MAX(J66+MAX(R66*ABS(J66),S66),O66),IF(AND(M66&lt;&gt;"",N(L66)&gt;=2),MAX(J66+MAX(R66*ABS(J66),S66),J66+2*M66),J66+MAX(R66*ABS(J66),S66))))</f>
        <v/>
      </c>
      <c r="V66" s="51">
        <f>IF(OR($A66="",$J66=""),"",IF(COUNTIFS('6_資料庫比對'!$B$16:$B$25,A66,'6_資料庫比對'!$C$16:$C$25,I66)=0,"",IF(AND(SUMIFS('6_資料庫比對'!$F$16:$F$25,'6_資料庫比對'!$B$16:$B$25,A66,'6_資料庫比對'!$C$16:$C$25,I66)&gt;=T66,SUMIFS('6_資料庫比對'!$F$16:$F$25,'6_資料庫比對'!$B$16:$B$25,A66,'6_資料庫比對'!$C$16:$C$25,I66)&lt;=U66),"✓ 涵蓋","✗ 不涵蓋")))</f>
        <v/>
      </c>
    </row>
    <row r="67">
      <c r="A67" s="47" t="inlineStr">
        <is>
          <t>potato_chips</t>
        </is>
      </c>
      <c r="B67" s="47" t="inlineStr">
        <is>
          <t>洋芋片（原味）</t>
        </is>
      </c>
      <c r="C67" s="47" t="inlineStr">
        <is>
          <t>USDA</t>
        </is>
      </c>
      <c r="D67" s="47" t="inlineStr">
        <is>
          <t>SR Legacy</t>
        </is>
      </c>
      <c r="E67" s="47" t="n">
        <v>169677</v>
      </c>
      <c r="F67" s="47" t="inlineStr">
        <is>
          <t>Snacks, potato chips, plain, salted</t>
        </is>
      </c>
      <c r="G67" s="47" t="inlineStr">
        <is>
          <t>exact</t>
        </is>
      </c>
      <c r="H67" s="47" t="n">
        <v>6.25</v>
      </c>
      <c r="I67" s="47" t="inlineStr">
        <is>
          <t>sodium</t>
        </is>
      </c>
      <c r="J67" s="47" t="n">
        <v>527</v>
      </c>
      <c r="K67" s="47" t="inlineStr">
        <is>
          <t>mg</t>
        </is>
      </c>
      <c r="L67" s="47" t="n">
        <v>17</v>
      </c>
      <c r="M67" s="47" t="n"/>
      <c r="N67" s="47" t="n">
        <v>235</v>
      </c>
      <c r="O67" s="47" t="n">
        <v>633</v>
      </c>
      <c r="P67" s="47" t="n"/>
      <c r="Q67" s="47" t="inlineStr">
        <is>
          <t>A: Analytical</t>
        </is>
      </c>
      <c r="R67" s="48">
        <f>IF(OR($A67="",$J67=""),"",IFERROR(VLOOKUP(I67,'6_資料庫比對'!$A$6:$C$12,2,FALSE),""))</f>
        <v/>
      </c>
      <c r="S67" s="49">
        <f>IF(OR($A67="",$J67=""),"",IFERROR(VLOOKUP(I67,'6_資料庫比對'!$A$6:$C$12,3,FALSE),""))</f>
        <v/>
      </c>
      <c r="T67" s="50">
        <f>IF(OR($A67="",$J67=""),"",MAX(0,IF(AND(N67&lt;&gt;"",O67&lt;&gt;""),MIN(J67-MAX(R67*ABS(J67),S67),N67),IF(AND(M67&lt;&gt;"",N(L67)&gt;=2),MIN(J67-MAX(R67*ABS(J67),S67),J67-2*M67),J67-MAX(R67*ABS(J67),S67)))))</f>
        <v/>
      </c>
      <c r="U67" s="50">
        <f>IF(OR($A67="",$J67=""),"",IF(AND(N67&lt;&gt;"",O67&lt;&gt;""),MAX(J67+MAX(R67*ABS(J67),S67),O67),IF(AND(M67&lt;&gt;"",N(L67)&gt;=2),MAX(J67+MAX(R67*ABS(J67),S67),J67+2*M67),J67+MAX(R67*ABS(J67),S67))))</f>
        <v/>
      </c>
      <c r="V67" s="51">
        <f>IF(OR($A67="",$J67=""),"",IF(COUNTIFS('6_資料庫比對'!$B$16:$B$25,A67,'6_資料庫比對'!$C$16:$C$25,I67)=0,"",IF(AND(SUMIFS('6_資料庫比對'!$F$16:$F$25,'6_資料庫比對'!$B$16:$B$25,A67,'6_資料庫比對'!$C$16:$C$25,I67)&gt;=T67,SUMIFS('6_資料庫比對'!$F$16:$F$25,'6_資料庫比對'!$B$16:$B$25,A67,'6_資料庫比對'!$C$16:$C$25,I67)&lt;=U67),"✓ 涵蓋","✗ 不涵蓋")))</f>
        <v/>
      </c>
    </row>
    <row r="68">
      <c r="A68" s="47" t="inlineStr">
        <is>
          <t>potato_chips</t>
        </is>
      </c>
      <c r="B68" s="47" t="inlineStr">
        <is>
          <t>洋芋片（原味）</t>
        </is>
      </c>
      <c r="C68" s="47" t="inlineStr">
        <is>
          <t>TFND</t>
        </is>
      </c>
      <c r="D68" s="47" t="inlineStr">
        <is>
          <t>食品營養成分資料集</t>
        </is>
      </c>
      <c r="E68" s="47" t="inlineStr">
        <is>
          <t>Q4200201</t>
        </is>
      </c>
      <c r="F68" s="47" t="inlineStr">
        <is>
          <t>洋芋片</t>
        </is>
      </c>
      <c r="G68" s="47" t="inlineStr">
        <is>
          <t>closest</t>
        </is>
      </c>
      <c r="H68" s="47" t="n"/>
      <c r="I68" s="47" t="inlineStr">
        <is>
          <t>water</t>
        </is>
      </c>
      <c r="J68" s="47" t="n">
        <v>1.9</v>
      </c>
      <c r="K68" s="47" t="inlineStr">
        <is>
          <t>g</t>
        </is>
      </c>
      <c r="L68" s="47" t="n">
        <v>1</v>
      </c>
      <c r="M68" s="47" t="n"/>
      <c r="N68" s="47" t="n"/>
      <c r="O68" s="47" t="n"/>
      <c r="P68" s="47" t="n"/>
      <c r="Q68" s="47" t="n"/>
      <c r="R68" s="48">
        <f>IF(OR($A68="",$J68=""),"",IFERROR(VLOOKUP(I68,'6_資料庫比對'!$A$6:$C$12,2,FALSE),""))</f>
        <v/>
      </c>
      <c r="S68" s="49">
        <f>IF(OR($A68="",$J68=""),"",IFERROR(VLOOKUP(I68,'6_資料庫比對'!$A$6:$C$12,3,FALSE),""))</f>
        <v/>
      </c>
      <c r="T68" s="50">
        <f>IF(OR($A68="",$J68=""),"",MAX(0,IF(AND(N68&lt;&gt;"",O68&lt;&gt;""),MIN(J68-MAX(R68*ABS(J68),S68),N68),IF(AND(M68&lt;&gt;"",N(L68)&gt;=2),MIN(J68-MAX(R68*ABS(J68),S68),J68-2*M68),J68-MAX(R68*ABS(J68),S68)))))</f>
        <v/>
      </c>
      <c r="U68" s="50">
        <f>IF(OR($A68="",$J68=""),"",IF(AND(N68&lt;&gt;"",O68&lt;&gt;""),MAX(J68+MAX(R68*ABS(J68),S68),O68),IF(AND(M68&lt;&gt;"",N(L68)&gt;=2),MAX(J68+MAX(R68*ABS(J68),S68),J68+2*M68),J68+MAX(R68*ABS(J68),S68))))</f>
        <v/>
      </c>
      <c r="V68" s="51">
        <f>IF(OR($A68="",$J68=""),"",IF(COUNTIFS('6_資料庫比對'!$B$16:$B$25,A68,'6_資料庫比對'!$C$16:$C$25,I68)=0,"",IF(AND(SUMIFS('6_資料庫比對'!$F$16:$F$25,'6_資料庫比對'!$B$16:$B$25,A68,'6_資料庫比對'!$C$16:$C$25,I68)&gt;=T68,SUMIFS('6_資料庫比對'!$F$16:$F$25,'6_資料庫比對'!$B$16:$B$25,A68,'6_資料庫比對'!$C$16:$C$25,I68)&lt;=U68),"✓ 涵蓋","✗ 不涵蓋")))</f>
        <v/>
      </c>
    </row>
    <row r="69">
      <c r="A69" s="47" t="inlineStr">
        <is>
          <t>potato_chips</t>
        </is>
      </c>
      <c r="B69" s="47" t="inlineStr">
        <is>
          <t>洋芋片（原味）</t>
        </is>
      </c>
      <c r="C69" s="47" t="inlineStr">
        <is>
          <t>TFND</t>
        </is>
      </c>
      <c r="D69" s="47" t="inlineStr">
        <is>
          <t>食品營養成分資料集</t>
        </is>
      </c>
      <c r="E69" s="47" t="inlineStr">
        <is>
          <t>Q4200201</t>
        </is>
      </c>
      <c r="F69" s="47" t="inlineStr">
        <is>
          <t>洋芋片</t>
        </is>
      </c>
      <c r="G69" s="47" t="inlineStr">
        <is>
          <t>closest</t>
        </is>
      </c>
      <c r="H69" s="47" t="n"/>
      <c r="I69" s="47" t="inlineStr">
        <is>
          <t>protein</t>
        </is>
      </c>
      <c r="J69" s="47" t="n">
        <v>5.2</v>
      </c>
      <c r="K69" s="47" t="inlineStr">
        <is>
          <t>g</t>
        </is>
      </c>
      <c r="L69" s="47" t="n">
        <v>1</v>
      </c>
      <c r="M69" s="47" t="n"/>
      <c r="N69" s="47" t="n"/>
      <c r="O69" s="47" t="n"/>
      <c r="P69" s="47" t="n"/>
      <c r="Q69" s="47" t="n"/>
      <c r="R69" s="48">
        <f>IF(OR($A69="",$J69=""),"",IFERROR(VLOOKUP(I69,'6_資料庫比對'!$A$6:$C$12,2,FALSE),""))</f>
        <v/>
      </c>
      <c r="S69" s="49">
        <f>IF(OR($A69="",$J69=""),"",IFERROR(VLOOKUP(I69,'6_資料庫比對'!$A$6:$C$12,3,FALSE),""))</f>
        <v/>
      </c>
      <c r="T69" s="50">
        <f>IF(OR($A69="",$J69=""),"",MAX(0,IF(AND(N69&lt;&gt;"",O69&lt;&gt;""),MIN(J69-MAX(R69*ABS(J69),S69),N69),IF(AND(M69&lt;&gt;"",N(L69)&gt;=2),MIN(J69-MAX(R69*ABS(J69),S69),J69-2*M69),J69-MAX(R69*ABS(J69),S69)))))</f>
        <v/>
      </c>
      <c r="U69" s="50">
        <f>IF(OR($A69="",$J69=""),"",IF(AND(N69&lt;&gt;"",O69&lt;&gt;""),MAX(J69+MAX(R69*ABS(J69),S69),O69),IF(AND(M69&lt;&gt;"",N(L69)&gt;=2),MAX(J69+MAX(R69*ABS(J69),S69),J69+2*M69),J69+MAX(R69*ABS(J69),S69))))</f>
        <v/>
      </c>
      <c r="V69" s="51">
        <f>IF(OR($A69="",$J69=""),"",IF(COUNTIFS('6_資料庫比對'!$B$16:$B$25,A69,'6_資料庫比對'!$C$16:$C$25,I69)=0,"",IF(AND(SUMIFS('6_資料庫比對'!$F$16:$F$25,'6_資料庫比對'!$B$16:$B$25,A69,'6_資料庫比對'!$C$16:$C$25,I69)&gt;=T69,SUMIFS('6_資料庫比對'!$F$16:$F$25,'6_資料庫比對'!$B$16:$B$25,A69,'6_資料庫比對'!$C$16:$C$25,I69)&lt;=U69),"✓ 涵蓋","✗ 不涵蓋")))</f>
        <v/>
      </c>
    </row>
    <row r="70">
      <c r="A70" s="47" t="inlineStr">
        <is>
          <t>potato_chips</t>
        </is>
      </c>
      <c r="B70" s="47" t="inlineStr">
        <is>
          <t>洋芋片（原味）</t>
        </is>
      </c>
      <c r="C70" s="47" t="inlineStr">
        <is>
          <t>TFND</t>
        </is>
      </c>
      <c r="D70" s="47" t="inlineStr">
        <is>
          <t>食品營養成分資料集</t>
        </is>
      </c>
      <c r="E70" s="47" t="inlineStr">
        <is>
          <t>Q4200201</t>
        </is>
      </c>
      <c r="F70" s="47" t="inlineStr">
        <is>
          <t>洋芋片</t>
        </is>
      </c>
      <c r="G70" s="47" t="inlineStr">
        <is>
          <t>closest</t>
        </is>
      </c>
      <c r="H70" s="47" t="n"/>
      <c r="I70" s="47" t="inlineStr">
        <is>
          <t>fat</t>
        </is>
      </c>
      <c r="J70" s="47" t="n">
        <v>34.3</v>
      </c>
      <c r="K70" s="47" t="inlineStr">
        <is>
          <t>g</t>
        </is>
      </c>
      <c r="L70" s="47" t="n">
        <v>2</v>
      </c>
      <c r="M70" s="47" t="n">
        <v>6</v>
      </c>
      <c r="N70" s="47" t="n"/>
      <c r="O70" s="47" t="n"/>
      <c r="P70" s="47" t="n"/>
      <c r="Q70" s="47" t="n"/>
      <c r="R70" s="48">
        <f>IF(OR($A70="",$J70=""),"",IFERROR(VLOOKUP(I70,'6_資料庫比對'!$A$6:$C$12,2,FALSE),""))</f>
        <v/>
      </c>
      <c r="S70" s="49">
        <f>IF(OR($A70="",$J70=""),"",IFERROR(VLOOKUP(I70,'6_資料庫比對'!$A$6:$C$12,3,FALSE),""))</f>
        <v/>
      </c>
      <c r="T70" s="50">
        <f>IF(OR($A70="",$J70=""),"",MAX(0,IF(AND(N70&lt;&gt;"",O70&lt;&gt;""),MIN(J70-MAX(R70*ABS(J70),S70),N70),IF(AND(M70&lt;&gt;"",N(L70)&gt;=2),MIN(J70-MAX(R70*ABS(J70),S70),J70-2*M70),J70-MAX(R70*ABS(J70),S70)))))</f>
        <v/>
      </c>
      <c r="U70" s="50">
        <f>IF(OR($A70="",$J70=""),"",IF(AND(N70&lt;&gt;"",O70&lt;&gt;""),MAX(J70+MAX(R70*ABS(J70),S70),O70),IF(AND(M70&lt;&gt;"",N(L70)&gt;=2),MAX(J70+MAX(R70*ABS(J70),S70),J70+2*M70),J70+MAX(R70*ABS(J70),S70))))</f>
        <v/>
      </c>
      <c r="V70" s="51">
        <f>IF(OR($A70="",$J70=""),"",IF(COUNTIFS('6_資料庫比對'!$B$16:$B$25,A70,'6_資料庫比對'!$C$16:$C$25,I70)=0,"",IF(AND(SUMIFS('6_資料庫比對'!$F$16:$F$25,'6_資料庫比對'!$B$16:$B$25,A70,'6_資料庫比對'!$C$16:$C$25,I70)&gt;=T70,SUMIFS('6_資料庫比對'!$F$16:$F$25,'6_資料庫比對'!$B$16:$B$25,A70,'6_資料庫比對'!$C$16:$C$25,I70)&lt;=U70),"✓ 涵蓋","✗ 不涵蓋")))</f>
        <v/>
      </c>
    </row>
    <row r="71">
      <c r="A71" s="47" t="inlineStr">
        <is>
          <t>potato_chips</t>
        </is>
      </c>
      <c r="B71" s="47" t="inlineStr">
        <is>
          <t>洋芋片（原味）</t>
        </is>
      </c>
      <c r="C71" s="47" t="inlineStr">
        <is>
          <t>TFND</t>
        </is>
      </c>
      <c r="D71" s="47" t="inlineStr">
        <is>
          <t>食品營養成分資料集</t>
        </is>
      </c>
      <c r="E71" s="47" t="inlineStr">
        <is>
          <t>Q4200201</t>
        </is>
      </c>
      <c r="F71" s="47" t="inlineStr">
        <is>
          <t>洋芋片</t>
        </is>
      </c>
      <c r="G71" s="47" t="inlineStr">
        <is>
          <t>closest</t>
        </is>
      </c>
      <c r="H71" s="47" t="n"/>
      <c r="I71" s="47" t="inlineStr">
        <is>
          <t>ash</t>
        </is>
      </c>
      <c r="J71" s="47" t="n">
        <v>2.8</v>
      </c>
      <c r="K71" s="47" t="inlineStr">
        <is>
          <t>g</t>
        </is>
      </c>
      <c r="L71" s="47" t="n">
        <v>1</v>
      </c>
      <c r="M71" s="47" t="n"/>
      <c r="N71" s="47" t="n"/>
      <c r="O71" s="47" t="n"/>
      <c r="P71" s="47" t="n"/>
      <c r="Q71" s="47" t="n"/>
      <c r="R71" s="48">
        <f>IF(OR($A71="",$J71=""),"",IFERROR(VLOOKUP(I71,'6_資料庫比對'!$A$6:$C$12,2,FALSE),""))</f>
        <v/>
      </c>
      <c r="S71" s="49">
        <f>IF(OR($A71="",$J71=""),"",IFERROR(VLOOKUP(I71,'6_資料庫比對'!$A$6:$C$12,3,FALSE),""))</f>
        <v/>
      </c>
      <c r="T71" s="50">
        <f>IF(OR($A71="",$J71=""),"",MAX(0,IF(AND(N71&lt;&gt;"",O71&lt;&gt;""),MIN(J71-MAX(R71*ABS(J71),S71),N71),IF(AND(M71&lt;&gt;"",N(L71)&gt;=2),MIN(J71-MAX(R71*ABS(J71),S71),J71-2*M71),J71-MAX(R71*ABS(J71),S71)))))</f>
        <v/>
      </c>
      <c r="U71" s="50">
        <f>IF(OR($A71="",$J71=""),"",IF(AND(N71&lt;&gt;"",O71&lt;&gt;""),MAX(J71+MAX(R71*ABS(J71),S71),O71),IF(AND(M71&lt;&gt;"",N(L71)&gt;=2),MAX(J71+MAX(R71*ABS(J71),S71),J71+2*M71),J71+MAX(R71*ABS(J71),S71))))</f>
        <v/>
      </c>
      <c r="V71" s="51">
        <f>IF(OR($A71="",$J71=""),"",IF(COUNTIFS('6_資料庫比對'!$B$16:$B$25,A71,'6_資料庫比對'!$C$16:$C$25,I71)=0,"",IF(AND(SUMIFS('6_資料庫比對'!$F$16:$F$25,'6_資料庫比對'!$B$16:$B$25,A71,'6_資料庫比對'!$C$16:$C$25,I71)&gt;=T71,SUMIFS('6_資料庫比對'!$F$16:$F$25,'6_資料庫比對'!$B$16:$B$25,A71,'6_資料庫比對'!$C$16:$C$25,I71)&lt;=U71),"✓ 涵蓋","✗ 不涵蓋")))</f>
        <v/>
      </c>
    </row>
    <row r="72">
      <c r="A72" s="47" t="inlineStr">
        <is>
          <t>potato_chips</t>
        </is>
      </c>
      <c r="B72" s="47" t="inlineStr">
        <is>
          <t>洋芋片（原味）</t>
        </is>
      </c>
      <c r="C72" s="47" t="inlineStr">
        <is>
          <t>TFND</t>
        </is>
      </c>
      <c r="D72" s="47" t="inlineStr">
        <is>
          <t>食品營養成分資料集</t>
        </is>
      </c>
      <c r="E72" s="47" t="inlineStr">
        <is>
          <t>Q4200201</t>
        </is>
      </c>
      <c r="F72" s="47" t="inlineStr">
        <is>
          <t>洋芋片</t>
        </is>
      </c>
      <c r="G72" s="47" t="inlineStr">
        <is>
          <t>closest</t>
        </is>
      </c>
      <c r="H72" s="47" t="n"/>
      <c r="I72" s="47" t="inlineStr">
        <is>
          <t>carbohydrate</t>
        </is>
      </c>
      <c r="J72" s="47" t="n">
        <v>55.8</v>
      </c>
      <c r="K72" s="47" t="inlineStr">
        <is>
          <t>g</t>
        </is>
      </c>
      <c r="L72" s="47" t="n"/>
      <c r="M72" s="47" t="n"/>
      <c r="N72" s="47" t="n"/>
      <c r="O72" s="47" t="n"/>
      <c r="P72" s="47" t="n"/>
      <c r="Q72" s="47" t="n"/>
      <c r="R72" s="48">
        <f>IF(OR($A72="",$J72=""),"",IFERROR(VLOOKUP(I72,'6_資料庫比對'!$A$6:$C$12,2,FALSE),""))</f>
        <v/>
      </c>
      <c r="S72" s="49">
        <f>IF(OR($A72="",$J72=""),"",IFERROR(VLOOKUP(I72,'6_資料庫比對'!$A$6:$C$12,3,FALSE),""))</f>
        <v/>
      </c>
      <c r="T72" s="50">
        <f>IF(OR($A72="",$J72=""),"",MAX(0,IF(AND(N72&lt;&gt;"",O72&lt;&gt;""),MIN(J72-MAX(R72*ABS(J72),S72),N72),IF(AND(M72&lt;&gt;"",N(L72)&gt;=2),MIN(J72-MAX(R72*ABS(J72),S72),J72-2*M72),J72-MAX(R72*ABS(J72),S72)))))</f>
        <v/>
      </c>
      <c r="U72" s="50">
        <f>IF(OR($A72="",$J72=""),"",IF(AND(N72&lt;&gt;"",O72&lt;&gt;""),MAX(J72+MAX(R72*ABS(J72),S72),O72),IF(AND(M72&lt;&gt;"",N(L72)&gt;=2),MAX(J72+MAX(R72*ABS(J72),S72),J72+2*M72),J72+MAX(R72*ABS(J72),S72))))</f>
        <v/>
      </c>
      <c r="V72" s="51">
        <f>IF(OR($A72="",$J72=""),"",IF(COUNTIFS('6_資料庫比對'!$B$16:$B$25,A72,'6_資料庫比對'!$C$16:$C$25,I72)=0,"",IF(AND(SUMIFS('6_資料庫比對'!$F$16:$F$25,'6_資料庫比對'!$B$16:$B$25,A72,'6_資料庫比對'!$C$16:$C$25,I72)&gt;=T72,SUMIFS('6_資料庫比對'!$F$16:$F$25,'6_資料庫比對'!$B$16:$B$25,A72,'6_資料庫比對'!$C$16:$C$25,I72)&lt;=U72),"✓ 涵蓋","✗ 不涵蓋")))</f>
        <v/>
      </c>
    </row>
    <row r="73">
      <c r="A73" s="47" t="inlineStr">
        <is>
          <t>potato_chips</t>
        </is>
      </c>
      <c r="B73" s="47" t="inlineStr">
        <is>
          <t>洋芋片（原味）</t>
        </is>
      </c>
      <c r="C73" s="47" t="inlineStr">
        <is>
          <t>TFND</t>
        </is>
      </c>
      <c r="D73" s="47" t="inlineStr">
        <is>
          <t>食品營養成分資料集</t>
        </is>
      </c>
      <c r="E73" s="47" t="inlineStr">
        <is>
          <t>Q4200201</t>
        </is>
      </c>
      <c r="F73" s="47" t="inlineStr">
        <is>
          <t>洋芋片</t>
        </is>
      </c>
      <c r="G73" s="47" t="inlineStr">
        <is>
          <t>closest</t>
        </is>
      </c>
      <c r="H73" s="47" t="n"/>
      <c r="I73" s="47" t="inlineStr">
        <is>
          <t>sugars_total</t>
        </is>
      </c>
      <c r="J73" s="47" t="n">
        <v>1.9</v>
      </c>
      <c r="K73" s="47" t="inlineStr">
        <is>
          <t>g</t>
        </is>
      </c>
      <c r="L73" s="47" t="n"/>
      <c r="M73" s="47" t="n"/>
      <c r="N73" s="47" t="n"/>
      <c r="O73" s="47" t="n"/>
      <c r="P73" s="47" t="n"/>
      <c r="Q73" s="47" t="n"/>
      <c r="R73" s="48">
        <f>IF(OR($A73="",$J73=""),"",IFERROR(VLOOKUP(I73,'6_資料庫比對'!$A$6:$C$12,2,FALSE),""))</f>
        <v/>
      </c>
      <c r="S73" s="49">
        <f>IF(OR($A73="",$J73=""),"",IFERROR(VLOOKUP(I73,'6_資料庫比對'!$A$6:$C$12,3,FALSE),""))</f>
        <v/>
      </c>
      <c r="T73" s="50">
        <f>IF(OR($A73="",$J73=""),"",MAX(0,IF(AND(N73&lt;&gt;"",O73&lt;&gt;""),MIN(J73-MAX(R73*ABS(J73),S73),N73),IF(AND(M73&lt;&gt;"",N(L73)&gt;=2),MIN(J73-MAX(R73*ABS(J73),S73),J73-2*M73),J73-MAX(R73*ABS(J73),S73)))))</f>
        <v/>
      </c>
      <c r="U73" s="50">
        <f>IF(OR($A73="",$J73=""),"",IF(AND(N73&lt;&gt;"",O73&lt;&gt;""),MAX(J73+MAX(R73*ABS(J73),S73),O73),IF(AND(M73&lt;&gt;"",N(L73)&gt;=2),MAX(J73+MAX(R73*ABS(J73),S73),J73+2*M73),J73+MAX(R73*ABS(J73),S73))))</f>
        <v/>
      </c>
      <c r="V73" s="51">
        <f>IF(OR($A73="",$J73=""),"",IF(COUNTIFS('6_資料庫比對'!$B$16:$B$25,A73,'6_資料庫比對'!$C$16:$C$25,I73)=0,"",IF(AND(SUMIFS('6_資料庫比對'!$F$16:$F$25,'6_資料庫比對'!$B$16:$B$25,A73,'6_資料庫比對'!$C$16:$C$25,I73)&gt;=T73,SUMIFS('6_資料庫比對'!$F$16:$F$25,'6_資料庫比對'!$B$16:$B$25,A73,'6_資料庫比對'!$C$16:$C$25,I73)&lt;=U73),"✓ 涵蓋","✗ 不涵蓋")))</f>
        <v/>
      </c>
    </row>
    <row r="74">
      <c r="A74" s="47" t="inlineStr">
        <is>
          <t>potato_chips</t>
        </is>
      </c>
      <c r="B74" s="47" t="inlineStr">
        <is>
          <t>洋芋片（原味）</t>
        </is>
      </c>
      <c r="C74" s="47" t="inlineStr">
        <is>
          <t>TFND</t>
        </is>
      </c>
      <c r="D74" s="47" t="inlineStr">
        <is>
          <t>食品營養成分資料集</t>
        </is>
      </c>
      <c r="E74" s="47" t="inlineStr">
        <is>
          <t>Q4200201</t>
        </is>
      </c>
      <c r="F74" s="47" t="inlineStr">
        <is>
          <t>洋芋片</t>
        </is>
      </c>
      <c r="G74" s="47" t="inlineStr">
        <is>
          <t>closest</t>
        </is>
      </c>
      <c r="H74" s="47" t="n"/>
      <c r="I74" s="47" t="inlineStr">
        <is>
          <t>sodium</t>
        </is>
      </c>
      <c r="J74" s="47" t="n">
        <v>383</v>
      </c>
      <c r="K74" s="47" t="inlineStr">
        <is>
          <t>mg</t>
        </is>
      </c>
      <c r="L74" s="47" t="n">
        <v>1</v>
      </c>
      <c r="M74" s="47" t="n"/>
      <c r="N74" s="47" t="n"/>
      <c r="O74" s="47" t="n"/>
      <c r="P74" s="47" t="n"/>
      <c r="Q74" s="47" t="n"/>
      <c r="R74" s="48">
        <f>IF(OR($A74="",$J74=""),"",IFERROR(VLOOKUP(I74,'6_資料庫比對'!$A$6:$C$12,2,FALSE),""))</f>
        <v/>
      </c>
      <c r="S74" s="49">
        <f>IF(OR($A74="",$J74=""),"",IFERROR(VLOOKUP(I74,'6_資料庫比對'!$A$6:$C$12,3,FALSE),""))</f>
        <v/>
      </c>
      <c r="T74" s="50">
        <f>IF(OR($A74="",$J74=""),"",MAX(0,IF(AND(N74&lt;&gt;"",O74&lt;&gt;""),MIN(J74-MAX(R74*ABS(J74),S74),N74),IF(AND(M74&lt;&gt;"",N(L74)&gt;=2),MIN(J74-MAX(R74*ABS(J74),S74),J74-2*M74),J74-MAX(R74*ABS(J74),S74)))))</f>
        <v/>
      </c>
      <c r="U74" s="50">
        <f>IF(OR($A74="",$J74=""),"",IF(AND(N74&lt;&gt;"",O74&lt;&gt;""),MAX(J74+MAX(R74*ABS(J74),S74),O74),IF(AND(M74&lt;&gt;"",N(L74)&gt;=2),MAX(J74+MAX(R74*ABS(J74),S74),J74+2*M74),J74+MAX(R74*ABS(J74),S74))))</f>
        <v/>
      </c>
      <c r="V74" s="51">
        <f>IF(OR($A74="",$J74=""),"",IF(COUNTIFS('6_資料庫比對'!$B$16:$B$25,A74,'6_資料庫比對'!$C$16:$C$25,I74)=0,"",IF(AND(SUMIFS('6_資料庫比對'!$F$16:$F$25,'6_資料庫比對'!$B$16:$B$25,A74,'6_資料庫比對'!$C$16:$C$25,I74)&gt;=T74,SUMIFS('6_資料庫比對'!$F$16:$F$25,'6_資料庫比對'!$B$16:$B$25,A74,'6_資料庫比對'!$C$16:$C$25,I74)&lt;=U74),"✓ 涵蓋","✗ 不涵蓋")))</f>
        <v/>
      </c>
    </row>
    <row r="75">
      <c r="A75" s="47" t="inlineStr">
        <is>
          <t>soup_powder_dry</t>
        </is>
      </c>
      <c r="B75" s="47" t="inlineStr">
        <is>
          <t>湯粉/高湯粉（乾粉）</t>
        </is>
      </c>
      <c r="C75" s="47" t="inlineStr">
        <is>
          <t>USDA</t>
        </is>
      </c>
      <c r="D75" s="47" t="inlineStr">
        <is>
          <t>SR Legacy</t>
        </is>
      </c>
      <c r="E75" s="47" t="n">
        <v>171562</v>
      </c>
      <c r="F75" s="47" t="inlineStr">
        <is>
          <t>Soup, chicken broth or bouillon, dry</t>
        </is>
      </c>
      <c r="G75" s="47" t="inlineStr">
        <is>
          <t>closest</t>
        </is>
      </c>
      <c r="H75" s="47" t="n">
        <v>6.25</v>
      </c>
      <c r="I75" s="47" t="inlineStr">
        <is>
          <t>water</t>
        </is>
      </c>
      <c r="J75" s="47" t="n">
        <v>2.27</v>
      </c>
      <c r="K75" s="47" t="inlineStr">
        <is>
          <t>g</t>
        </is>
      </c>
      <c r="L75" s="47" t="n">
        <v>4</v>
      </c>
      <c r="M75" s="47" t="n"/>
      <c r="N75" s="47" t="n"/>
      <c r="O75" s="47" t="n"/>
      <c r="P75" s="47" t="n"/>
      <c r="Q75" s="47" t="n"/>
      <c r="R75" s="48">
        <f>IF(OR($A75="",$J75=""),"",IFERROR(VLOOKUP(I75,'6_資料庫比對'!$A$6:$C$12,2,FALSE),""))</f>
        <v/>
      </c>
      <c r="S75" s="49">
        <f>IF(OR($A75="",$J75=""),"",IFERROR(VLOOKUP(I75,'6_資料庫比對'!$A$6:$C$12,3,FALSE),""))</f>
        <v/>
      </c>
      <c r="T75" s="50">
        <f>IF(OR($A75="",$J75=""),"",MAX(0,IF(AND(N75&lt;&gt;"",O75&lt;&gt;""),MIN(J75-MAX(R75*ABS(J75),S75),N75),IF(AND(M75&lt;&gt;"",N(L75)&gt;=2),MIN(J75-MAX(R75*ABS(J75),S75),J75-2*M75),J75-MAX(R75*ABS(J75),S75)))))</f>
        <v/>
      </c>
      <c r="U75" s="50">
        <f>IF(OR($A75="",$J75=""),"",IF(AND(N75&lt;&gt;"",O75&lt;&gt;""),MAX(J75+MAX(R75*ABS(J75),S75),O75),IF(AND(M75&lt;&gt;"",N(L75)&gt;=2),MAX(J75+MAX(R75*ABS(J75),S75),J75+2*M75),J75+MAX(R75*ABS(J75),S75))))</f>
        <v/>
      </c>
      <c r="V75" s="51">
        <f>IF(OR($A75="",$J75=""),"",IF(COUNTIFS('6_資料庫比對'!$B$16:$B$25,A75,'6_資料庫比對'!$C$16:$C$25,I75)=0,"",IF(AND(SUMIFS('6_資料庫比對'!$F$16:$F$25,'6_資料庫比對'!$B$16:$B$25,A75,'6_資料庫比對'!$C$16:$C$25,I75)&gt;=T75,SUMIFS('6_資料庫比對'!$F$16:$F$25,'6_資料庫比對'!$B$16:$B$25,A75,'6_資料庫比對'!$C$16:$C$25,I75)&lt;=U75),"✓ 涵蓋","✗ 不涵蓋")))</f>
        <v/>
      </c>
    </row>
    <row r="76">
      <c r="A76" s="47" t="inlineStr">
        <is>
          <t>soup_powder_dry</t>
        </is>
      </c>
      <c r="B76" s="47" t="inlineStr">
        <is>
          <t>湯粉/高湯粉（乾粉）</t>
        </is>
      </c>
      <c r="C76" s="47" t="inlineStr">
        <is>
          <t>USDA</t>
        </is>
      </c>
      <c r="D76" s="47" t="inlineStr">
        <is>
          <t>SR Legacy</t>
        </is>
      </c>
      <c r="E76" s="47" t="n">
        <v>171562</v>
      </c>
      <c r="F76" s="47" t="inlineStr">
        <is>
          <t>Soup, chicken broth or bouillon, dry</t>
        </is>
      </c>
      <c r="G76" s="47" t="inlineStr">
        <is>
          <t>closest</t>
        </is>
      </c>
      <c r="H76" s="47" t="n">
        <v>6.25</v>
      </c>
      <c r="I76" s="47" t="inlineStr">
        <is>
          <t>protein</t>
        </is>
      </c>
      <c r="J76" s="47" t="n">
        <v>16.66</v>
      </c>
      <c r="K76" s="47" t="inlineStr">
        <is>
          <t>g</t>
        </is>
      </c>
      <c r="L76" s="47" t="n">
        <v>4</v>
      </c>
      <c r="M76" s="47" t="n"/>
      <c r="N76" s="47" t="n"/>
      <c r="O76" s="47" t="n"/>
      <c r="P76" s="47" t="n"/>
      <c r="Q76" s="47" t="n"/>
      <c r="R76" s="48">
        <f>IF(OR($A76="",$J76=""),"",IFERROR(VLOOKUP(I76,'6_資料庫比對'!$A$6:$C$12,2,FALSE),""))</f>
        <v/>
      </c>
      <c r="S76" s="49">
        <f>IF(OR($A76="",$J76=""),"",IFERROR(VLOOKUP(I76,'6_資料庫比對'!$A$6:$C$12,3,FALSE),""))</f>
        <v/>
      </c>
      <c r="T76" s="50">
        <f>IF(OR($A76="",$J76=""),"",MAX(0,IF(AND(N76&lt;&gt;"",O76&lt;&gt;""),MIN(J76-MAX(R76*ABS(J76),S76),N76),IF(AND(M76&lt;&gt;"",N(L76)&gt;=2),MIN(J76-MAX(R76*ABS(J76),S76),J76-2*M76),J76-MAX(R76*ABS(J76),S76)))))</f>
        <v/>
      </c>
      <c r="U76" s="50">
        <f>IF(OR($A76="",$J76=""),"",IF(AND(N76&lt;&gt;"",O76&lt;&gt;""),MAX(J76+MAX(R76*ABS(J76),S76),O76),IF(AND(M76&lt;&gt;"",N(L76)&gt;=2),MAX(J76+MAX(R76*ABS(J76),S76),J76+2*M76),J76+MAX(R76*ABS(J76),S76))))</f>
        <v/>
      </c>
      <c r="V76" s="51">
        <f>IF(OR($A76="",$J76=""),"",IF(COUNTIFS('6_資料庫比對'!$B$16:$B$25,A76,'6_資料庫比對'!$C$16:$C$25,I76)=0,"",IF(AND(SUMIFS('6_資料庫比對'!$F$16:$F$25,'6_資料庫比對'!$B$16:$B$25,A76,'6_資料庫比對'!$C$16:$C$25,I76)&gt;=T76,SUMIFS('6_資料庫比對'!$F$16:$F$25,'6_資料庫比對'!$B$16:$B$25,A76,'6_資料庫比對'!$C$16:$C$25,I76)&lt;=U76),"✓ 涵蓋","✗ 不涵蓋")))</f>
        <v/>
      </c>
    </row>
    <row r="77">
      <c r="A77" s="47" t="inlineStr">
        <is>
          <t>soup_powder_dry</t>
        </is>
      </c>
      <c r="B77" s="47" t="inlineStr">
        <is>
          <t>湯粉/高湯粉（乾粉）</t>
        </is>
      </c>
      <c r="C77" s="47" t="inlineStr">
        <is>
          <t>USDA</t>
        </is>
      </c>
      <c r="D77" s="47" t="inlineStr">
        <is>
          <t>SR Legacy</t>
        </is>
      </c>
      <c r="E77" s="47" t="n">
        <v>171562</v>
      </c>
      <c r="F77" s="47" t="inlineStr">
        <is>
          <t>Soup, chicken broth or bouillon, dry</t>
        </is>
      </c>
      <c r="G77" s="47" t="inlineStr">
        <is>
          <t>closest</t>
        </is>
      </c>
      <c r="H77" s="47" t="n">
        <v>6.25</v>
      </c>
      <c r="I77" s="47" t="inlineStr">
        <is>
          <t>fat</t>
        </is>
      </c>
      <c r="J77" s="47" t="n">
        <v>13.88</v>
      </c>
      <c r="K77" s="47" t="inlineStr">
        <is>
          <t>g</t>
        </is>
      </c>
      <c r="L77" s="47" t="n">
        <v>4</v>
      </c>
      <c r="M77" s="47" t="n"/>
      <c r="N77" s="47" t="n"/>
      <c r="O77" s="47" t="n"/>
      <c r="P77" s="47" t="n"/>
      <c r="Q77" s="47" t="n"/>
      <c r="R77" s="48">
        <f>IF(OR($A77="",$J77=""),"",IFERROR(VLOOKUP(I77,'6_資料庫比對'!$A$6:$C$12,2,FALSE),""))</f>
        <v/>
      </c>
      <c r="S77" s="49">
        <f>IF(OR($A77="",$J77=""),"",IFERROR(VLOOKUP(I77,'6_資料庫比對'!$A$6:$C$12,3,FALSE),""))</f>
        <v/>
      </c>
      <c r="T77" s="50">
        <f>IF(OR($A77="",$J77=""),"",MAX(0,IF(AND(N77&lt;&gt;"",O77&lt;&gt;""),MIN(J77-MAX(R77*ABS(J77),S77),N77),IF(AND(M77&lt;&gt;"",N(L77)&gt;=2),MIN(J77-MAX(R77*ABS(J77),S77),J77-2*M77),J77-MAX(R77*ABS(J77),S77)))))</f>
        <v/>
      </c>
      <c r="U77" s="50">
        <f>IF(OR($A77="",$J77=""),"",IF(AND(N77&lt;&gt;"",O77&lt;&gt;""),MAX(J77+MAX(R77*ABS(J77),S77),O77),IF(AND(M77&lt;&gt;"",N(L77)&gt;=2),MAX(J77+MAX(R77*ABS(J77),S77),J77+2*M77),J77+MAX(R77*ABS(J77),S77))))</f>
        <v/>
      </c>
      <c r="V77" s="51">
        <f>IF(OR($A77="",$J77=""),"",IF(COUNTIFS('6_資料庫比對'!$B$16:$B$25,A77,'6_資料庫比對'!$C$16:$C$25,I77)=0,"",IF(AND(SUMIFS('6_資料庫比對'!$F$16:$F$25,'6_資料庫比對'!$B$16:$B$25,A77,'6_資料庫比對'!$C$16:$C$25,I77)&gt;=T77,SUMIFS('6_資料庫比對'!$F$16:$F$25,'6_資料庫比對'!$B$16:$B$25,A77,'6_資料庫比對'!$C$16:$C$25,I77)&lt;=U77),"✓ 涵蓋","✗ 不涵蓋")))</f>
        <v/>
      </c>
    </row>
    <row r="78">
      <c r="A78" s="47" t="inlineStr">
        <is>
          <t>soup_powder_dry</t>
        </is>
      </c>
      <c r="B78" s="47" t="inlineStr">
        <is>
          <t>湯粉/高湯粉（乾粉）</t>
        </is>
      </c>
      <c r="C78" s="47" t="inlineStr">
        <is>
          <t>USDA</t>
        </is>
      </c>
      <c r="D78" s="47" t="inlineStr">
        <is>
          <t>SR Legacy</t>
        </is>
      </c>
      <c r="E78" s="47" t="n">
        <v>171562</v>
      </c>
      <c r="F78" s="47" t="inlineStr">
        <is>
          <t>Soup, chicken broth or bouillon, dry</t>
        </is>
      </c>
      <c r="G78" s="47" t="inlineStr">
        <is>
          <t>closest</t>
        </is>
      </c>
      <c r="H78" s="47" t="n">
        <v>6.25</v>
      </c>
      <c r="I78" s="47" t="inlineStr">
        <is>
          <t>ash</t>
        </is>
      </c>
      <c r="J78" s="47" t="n">
        <v>49.18</v>
      </c>
      <c r="K78" s="47" t="inlineStr">
        <is>
          <t>g</t>
        </is>
      </c>
      <c r="L78" s="47" t="n">
        <v>4</v>
      </c>
      <c r="M78" s="47" t="n"/>
      <c r="N78" s="47" t="n"/>
      <c r="O78" s="47" t="n"/>
      <c r="P78" s="47" t="n"/>
      <c r="Q78" s="47" t="n"/>
      <c r="R78" s="48">
        <f>IF(OR($A78="",$J78=""),"",IFERROR(VLOOKUP(I78,'6_資料庫比對'!$A$6:$C$12,2,FALSE),""))</f>
        <v/>
      </c>
      <c r="S78" s="49">
        <f>IF(OR($A78="",$J78=""),"",IFERROR(VLOOKUP(I78,'6_資料庫比對'!$A$6:$C$12,3,FALSE),""))</f>
        <v/>
      </c>
      <c r="T78" s="50">
        <f>IF(OR($A78="",$J78=""),"",MAX(0,IF(AND(N78&lt;&gt;"",O78&lt;&gt;""),MIN(J78-MAX(R78*ABS(J78),S78),N78),IF(AND(M78&lt;&gt;"",N(L78)&gt;=2),MIN(J78-MAX(R78*ABS(J78),S78),J78-2*M78),J78-MAX(R78*ABS(J78),S78)))))</f>
        <v/>
      </c>
      <c r="U78" s="50">
        <f>IF(OR($A78="",$J78=""),"",IF(AND(N78&lt;&gt;"",O78&lt;&gt;""),MAX(J78+MAX(R78*ABS(J78),S78),O78),IF(AND(M78&lt;&gt;"",N(L78)&gt;=2),MAX(J78+MAX(R78*ABS(J78),S78),J78+2*M78),J78+MAX(R78*ABS(J78),S78))))</f>
        <v/>
      </c>
      <c r="V78" s="51">
        <f>IF(OR($A78="",$J78=""),"",IF(COUNTIFS('6_資料庫比對'!$B$16:$B$25,A78,'6_資料庫比對'!$C$16:$C$25,I78)=0,"",IF(AND(SUMIFS('6_資料庫比對'!$F$16:$F$25,'6_資料庫比對'!$B$16:$B$25,A78,'6_資料庫比對'!$C$16:$C$25,I78)&gt;=T78,SUMIFS('6_資料庫比對'!$F$16:$F$25,'6_資料庫比對'!$B$16:$B$25,A78,'6_資料庫比對'!$C$16:$C$25,I78)&lt;=U78),"✓ 涵蓋","✗ 不涵蓋")))</f>
        <v/>
      </c>
    </row>
    <row r="79">
      <c r="A79" s="47" t="inlineStr">
        <is>
          <t>soup_powder_dry</t>
        </is>
      </c>
      <c r="B79" s="47" t="inlineStr">
        <is>
          <t>湯粉/高湯粉（乾粉）</t>
        </is>
      </c>
      <c r="C79" s="47" t="inlineStr">
        <is>
          <t>USDA</t>
        </is>
      </c>
      <c r="D79" s="47" t="inlineStr">
        <is>
          <t>SR Legacy</t>
        </is>
      </c>
      <c r="E79" s="47" t="n">
        <v>171562</v>
      </c>
      <c r="F79" s="47" t="inlineStr">
        <is>
          <t>Soup, chicken broth or bouillon, dry</t>
        </is>
      </c>
      <c r="G79" s="47" t="inlineStr">
        <is>
          <t>closest</t>
        </is>
      </c>
      <c r="H79" s="47" t="n">
        <v>6.25</v>
      </c>
      <c r="I79" s="47" t="inlineStr">
        <is>
          <t>carbohydrate</t>
        </is>
      </c>
      <c r="J79" s="47" t="n">
        <v>18.01</v>
      </c>
      <c r="K79" s="47" t="inlineStr">
        <is>
          <t>g</t>
        </is>
      </c>
      <c r="L79" s="47" t="n">
        <v>0</v>
      </c>
      <c r="M79" s="47" t="n"/>
      <c r="N79" s="47" t="n"/>
      <c r="O79" s="47" t="n"/>
      <c r="P79" s="47" t="n"/>
      <c r="Q79" s="47" t="inlineStr">
        <is>
          <t>NC: Calculated</t>
        </is>
      </c>
      <c r="R79" s="48">
        <f>IF(OR($A79="",$J79=""),"",IFERROR(VLOOKUP(I79,'6_資料庫比對'!$A$6:$C$12,2,FALSE),""))</f>
        <v/>
      </c>
      <c r="S79" s="49">
        <f>IF(OR($A79="",$J79=""),"",IFERROR(VLOOKUP(I79,'6_資料庫比對'!$A$6:$C$12,3,FALSE),""))</f>
        <v/>
      </c>
      <c r="T79" s="50">
        <f>IF(OR($A79="",$J79=""),"",MAX(0,IF(AND(N79&lt;&gt;"",O79&lt;&gt;""),MIN(J79-MAX(R79*ABS(J79),S79),N79),IF(AND(M79&lt;&gt;"",N(L79)&gt;=2),MIN(J79-MAX(R79*ABS(J79),S79),J79-2*M79),J79-MAX(R79*ABS(J79),S79)))))</f>
        <v/>
      </c>
      <c r="U79" s="50">
        <f>IF(OR($A79="",$J79=""),"",IF(AND(N79&lt;&gt;"",O79&lt;&gt;""),MAX(J79+MAX(R79*ABS(J79),S79),O79),IF(AND(M79&lt;&gt;"",N(L79)&gt;=2),MAX(J79+MAX(R79*ABS(J79),S79),J79+2*M79),J79+MAX(R79*ABS(J79),S79))))</f>
        <v/>
      </c>
      <c r="V79" s="51">
        <f>IF(OR($A79="",$J79=""),"",IF(COUNTIFS('6_資料庫比對'!$B$16:$B$25,A79,'6_資料庫比對'!$C$16:$C$25,I79)=0,"",IF(AND(SUMIFS('6_資料庫比對'!$F$16:$F$25,'6_資料庫比對'!$B$16:$B$25,A79,'6_資料庫比對'!$C$16:$C$25,I79)&gt;=T79,SUMIFS('6_資料庫比對'!$F$16:$F$25,'6_資料庫比對'!$B$16:$B$25,A79,'6_資料庫比對'!$C$16:$C$25,I79)&lt;=U79),"✓ 涵蓋","✗ 不涵蓋")))</f>
        <v/>
      </c>
    </row>
    <row r="80">
      <c r="A80" s="47" t="inlineStr">
        <is>
          <t>soup_powder_dry</t>
        </is>
      </c>
      <c r="B80" s="47" t="inlineStr">
        <is>
          <t>湯粉/高湯粉（乾粉）</t>
        </is>
      </c>
      <c r="C80" s="47" t="inlineStr">
        <is>
          <t>USDA</t>
        </is>
      </c>
      <c r="D80" s="47" t="inlineStr">
        <is>
          <t>SR Legacy</t>
        </is>
      </c>
      <c r="E80" s="47" t="n">
        <v>171562</v>
      </c>
      <c r="F80" s="47" t="inlineStr">
        <is>
          <t>Soup, chicken broth or bouillon, dry</t>
        </is>
      </c>
      <c r="G80" s="47" t="inlineStr">
        <is>
          <t>closest</t>
        </is>
      </c>
      <c r="H80" s="47" t="n">
        <v>6.25</v>
      </c>
      <c r="I80" s="47" t="inlineStr">
        <is>
          <t>sugars_total</t>
        </is>
      </c>
      <c r="J80" s="47" t="n">
        <v>17.36</v>
      </c>
      <c r="K80" s="47" t="inlineStr">
        <is>
          <t>g</t>
        </is>
      </c>
      <c r="L80" s="47" t="n">
        <v>0</v>
      </c>
      <c r="M80" s="47" t="n"/>
      <c r="N80" s="47" t="n"/>
      <c r="O80" s="47" t="n"/>
      <c r="P80" s="47" t="n"/>
      <c r="Q80" s="47" t="inlineStr">
        <is>
          <t>FLA: Estimated formulation based on ingredient list; Linear program used to estimate ingredients; Analytical data</t>
        </is>
      </c>
      <c r="R80" s="48">
        <f>IF(OR($A80="",$J80=""),"",IFERROR(VLOOKUP(I80,'6_資料庫比對'!$A$6:$C$12,2,FALSE),""))</f>
        <v/>
      </c>
      <c r="S80" s="49">
        <f>IF(OR($A80="",$J80=""),"",IFERROR(VLOOKUP(I80,'6_資料庫比對'!$A$6:$C$12,3,FALSE),""))</f>
        <v/>
      </c>
      <c r="T80" s="50">
        <f>IF(OR($A80="",$J80=""),"",MAX(0,IF(AND(N80&lt;&gt;"",O80&lt;&gt;""),MIN(J80-MAX(R80*ABS(J80),S80),N80),IF(AND(M80&lt;&gt;"",N(L80)&gt;=2),MIN(J80-MAX(R80*ABS(J80),S80),J80-2*M80),J80-MAX(R80*ABS(J80),S80)))))</f>
        <v/>
      </c>
      <c r="U80" s="50">
        <f>IF(OR($A80="",$J80=""),"",IF(AND(N80&lt;&gt;"",O80&lt;&gt;""),MAX(J80+MAX(R80*ABS(J80),S80),O80),IF(AND(M80&lt;&gt;"",N(L80)&gt;=2),MAX(J80+MAX(R80*ABS(J80),S80),J80+2*M80),J80+MAX(R80*ABS(J80),S80))))</f>
        <v/>
      </c>
      <c r="V80" s="51">
        <f>IF(OR($A80="",$J80=""),"",IF(COUNTIFS('6_資料庫比對'!$B$16:$B$25,A80,'6_資料庫比對'!$C$16:$C$25,I80)=0,"",IF(AND(SUMIFS('6_資料庫比對'!$F$16:$F$25,'6_資料庫比對'!$B$16:$B$25,A80,'6_資料庫比對'!$C$16:$C$25,I80)&gt;=T80,SUMIFS('6_資料庫比對'!$F$16:$F$25,'6_資料庫比對'!$B$16:$B$25,A80,'6_資料庫比對'!$C$16:$C$25,I80)&lt;=U80),"✓ 涵蓋","✗ 不涵蓋")))</f>
        <v/>
      </c>
    </row>
    <row r="81">
      <c r="A81" s="47" t="inlineStr">
        <is>
          <t>soup_powder_dry</t>
        </is>
      </c>
      <c r="B81" s="47" t="inlineStr">
        <is>
          <t>湯粉/高湯粉（乾粉）</t>
        </is>
      </c>
      <c r="C81" s="47" t="inlineStr">
        <is>
          <t>USDA</t>
        </is>
      </c>
      <c r="D81" s="47" t="inlineStr">
        <is>
          <t>SR Legacy</t>
        </is>
      </c>
      <c r="E81" s="47" t="n">
        <v>171562</v>
      </c>
      <c r="F81" s="47" t="inlineStr">
        <is>
          <t>Soup, chicken broth or bouillon, dry</t>
        </is>
      </c>
      <c r="G81" s="47" t="inlineStr">
        <is>
          <t>closest</t>
        </is>
      </c>
      <c r="H81" s="47" t="n">
        <v>6.25</v>
      </c>
      <c r="I81" s="47" t="inlineStr">
        <is>
          <t>sodium</t>
        </is>
      </c>
      <c r="J81" s="47" t="n">
        <v>23875</v>
      </c>
      <c r="K81" s="47" t="inlineStr">
        <is>
          <t>mg</t>
        </is>
      </c>
      <c r="L81" s="47" t="n">
        <v>4</v>
      </c>
      <c r="M81" s="47" t="n"/>
      <c r="N81" s="47" t="n"/>
      <c r="O81" s="47" t="n"/>
      <c r="P81" s="47" t="n"/>
      <c r="Q81" s="47" t="inlineStr">
        <is>
          <t>LC: Label claim (back calculated from label by NDL staff; Calculated from label claim/serving (g or %RDI)</t>
        </is>
      </c>
      <c r="R81" s="48">
        <f>IF(OR($A81="",$J81=""),"",IFERROR(VLOOKUP(I81,'6_資料庫比對'!$A$6:$C$12,2,FALSE),""))</f>
        <v/>
      </c>
      <c r="S81" s="49">
        <f>IF(OR($A81="",$J81=""),"",IFERROR(VLOOKUP(I81,'6_資料庫比對'!$A$6:$C$12,3,FALSE),""))</f>
        <v/>
      </c>
      <c r="T81" s="50">
        <f>IF(OR($A81="",$J81=""),"",MAX(0,IF(AND(N81&lt;&gt;"",O81&lt;&gt;""),MIN(J81-MAX(R81*ABS(J81),S81),N81),IF(AND(M81&lt;&gt;"",N(L81)&gt;=2),MIN(J81-MAX(R81*ABS(J81),S81),J81-2*M81),J81-MAX(R81*ABS(J81),S81)))))</f>
        <v/>
      </c>
      <c r="U81" s="50">
        <f>IF(OR($A81="",$J81=""),"",IF(AND(N81&lt;&gt;"",O81&lt;&gt;""),MAX(J81+MAX(R81*ABS(J81),S81),O81),IF(AND(M81&lt;&gt;"",N(L81)&gt;=2),MAX(J81+MAX(R81*ABS(J81),S81),J81+2*M81),J81+MAX(R81*ABS(J81),S81))))</f>
        <v/>
      </c>
      <c r="V81" s="51">
        <f>IF(OR($A81="",$J81=""),"",IF(COUNTIFS('6_資料庫比對'!$B$16:$B$25,A81,'6_資料庫比對'!$C$16:$C$25,I81)=0,"",IF(AND(SUMIFS('6_資料庫比對'!$F$16:$F$25,'6_資料庫比對'!$B$16:$B$25,A81,'6_資料庫比對'!$C$16:$C$25,I81)&gt;=T81,SUMIFS('6_資料庫比對'!$F$16:$F$25,'6_資料庫比對'!$B$16:$B$25,A81,'6_資料庫比對'!$C$16:$C$25,I81)&lt;=U81),"✓ 涵蓋","✗ 不涵蓋")))</f>
        <v/>
      </c>
    </row>
    <row r="82">
      <c r="A82" s="47" t="inlineStr">
        <is>
          <t>soup_powder_dry</t>
        </is>
      </c>
      <c r="B82" s="47" t="inlineStr">
        <is>
          <t>湯粉/高湯粉（乾粉）</t>
        </is>
      </c>
      <c r="C82" s="47" t="inlineStr">
        <is>
          <t>USDA</t>
        </is>
      </c>
      <c r="D82" s="47" t="inlineStr">
        <is>
          <t>SR Legacy</t>
        </is>
      </c>
      <c r="E82" s="47" t="n">
        <v>171560</v>
      </c>
      <c r="F82" s="47" t="inlineStr">
        <is>
          <t>Soup, beef broth or bouillon, powder, dry</t>
        </is>
      </c>
      <c r="G82" s="47" t="inlineStr">
        <is>
          <t>closest</t>
        </is>
      </c>
      <c r="H82" s="47" t="n">
        <v>6.25</v>
      </c>
      <c r="I82" s="47" t="inlineStr">
        <is>
          <t>water</t>
        </is>
      </c>
      <c r="J82" s="47" t="n">
        <v>3.27</v>
      </c>
      <c r="K82" s="47" t="inlineStr">
        <is>
          <t>g</t>
        </is>
      </c>
      <c r="L82" s="47" t="n">
        <v>3</v>
      </c>
      <c r="M82" s="47" t="n"/>
      <c r="N82" s="47" t="n"/>
      <c r="O82" s="47" t="n"/>
      <c r="P82" s="47" t="n"/>
      <c r="Q82" s="47" t="n"/>
      <c r="R82" s="48">
        <f>IF(OR($A82="",$J82=""),"",IFERROR(VLOOKUP(I82,'6_資料庫比對'!$A$6:$C$12,2,FALSE),""))</f>
        <v/>
      </c>
      <c r="S82" s="49">
        <f>IF(OR($A82="",$J82=""),"",IFERROR(VLOOKUP(I82,'6_資料庫比對'!$A$6:$C$12,3,FALSE),""))</f>
        <v/>
      </c>
      <c r="T82" s="50">
        <f>IF(OR($A82="",$J82=""),"",MAX(0,IF(AND(N82&lt;&gt;"",O82&lt;&gt;""),MIN(J82-MAX(R82*ABS(J82),S82),N82),IF(AND(M82&lt;&gt;"",N(L82)&gt;=2),MIN(J82-MAX(R82*ABS(J82),S82),J82-2*M82),J82-MAX(R82*ABS(J82),S82)))))</f>
        <v/>
      </c>
      <c r="U82" s="50">
        <f>IF(OR($A82="",$J82=""),"",IF(AND(N82&lt;&gt;"",O82&lt;&gt;""),MAX(J82+MAX(R82*ABS(J82),S82),O82),IF(AND(M82&lt;&gt;"",N(L82)&gt;=2),MAX(J82+MAX(R82*ABS(J82),S82),J82+2*M82),J82+MAX(R82*ABS(J82),S82))))</f>
        <v/>
      </c>
      <c r="V82" s="51">
        <f>IF(OR($A82="",$J82=""),"",IF(COUNTIFS('6_資料庫比對'!$B$16:$B$25,A82,'6_資料庫比對'!$C$16:$C$25,I82)=0,"",IF(AND(SUMIFS('6_資料庫比對'!$F$16:$F$25,'6_資料庫比對'!$B$16:$B$25,A82,'6_資料庫比對'!$C$16:$C$25,I82)&gt;=T82,SUMIFS('6_資料庫比對'!$F$16:$F$25,'6_資料庫比對'!$B$16:$B$25,A82,'6_資料庫比對'!$C$16:$C$25,I82)&lt;=U82),"✓ 涵蓋","✗ 不涵蓋")))</f>
        <v/>
      </c>
    </row>
    <row r="83">
      <c r="A83" s="47" t="inlineStr">
        <is>
          <t>soup_powder_dry</t>
        </is>
      </c>
      <c r="B83" s="47" t="inlineStr">
        <is>
          <t>湯粉/高湯粉（乾粉）</t>
        </is>
      </c>
      <c r="C83" s="47" t="inlineStr">
        <is>
          <t>USDA</t>
        </is>
      </c>
      <c r="D83" s="47" t="inlineStr">
        <is>
          <t>SR Legacy</t>
        </is>
      </c>
      <c r="E83" s="47" t="n">
        <v>171560</v>
      </c>
      <c r="F83" s="47" t="inlineStr">
        <is>
          <t>Soup, beef broth or bouillon, powder, dry</t>
        </is>
      </c>
      <c r="G83" s="47" t="inlineStr">
        <is>
          <t>closest</t>
        </is>
      </c>
      <c r="H83" s="47" t="n">
        <v>6.25</v>
      </c>
      <c r="I83" s="47" t="inlineStr">
        <is>
          <t>protein</t>
        </is>
      </c>
      <c r="J83" s="47" t="n">
        <v>15.97</v>
      </c>
      <c r="K83" s="47" t="inlineStr">
        <is>
          <t>g</t>
        </is>
      </c>
      <c r="L83" s="47" t="n">
        <v>3</v>
      </c>
      <c r="M83" s="47" t="n"/>
      <c r="N83" s="47" t="n"/>
      <c r="O83" s="47" t="n"/>
      <c r="P83" s="47" t="n"/>
      <c r="Q83" s="47" t="n"/>
      <c r="R83" s="48">
        <f>IF(OR($A83="",$J83=""),"",IFERROR(VLOOKUP(I83,'6_資料庫比對'!$A$6:$C$12,2,FALSE),""))</f>
        <v/>
      </c>
      <c r="S83" s="49">
        <f>IF(OR($A83="",$J83=""),"",IFERROR(VLOOKUP(I83,'6_資料庫比對'!$A$6:$C$12,3,FALSE),""))</f>
        <v/>
      </c>
      <c r="T83" s="50">
        <f>IF(OR($A83="",$J83=""),"",MAX(0,IF(AND(N83&lt;&gt;"",O83&lt;&gt;""),MIN(J83-MAX(R83*ABS(J83),S83),N83),IF(AND(M83&lt;&gt;"",N(L83)&gt;=2),MIN(J83-MAX(R83*ABS(J83),S83),J83-2*M83),J83-MAX(R83*ABS(J83),S83)))))</f>
        <v/>
      </c>
      <c r="U83" s="50">
        <f>IF(OR($A83="",$J83=""),"",IF(AND(N83&lt;&gt;"",O83&lt;&gt;""),MAX(J83+MAX(R83*ABS(J83),S83),O83),IF(AND(M83&lt;&gt;"",N(L83)&gt;=2),MAX(J83+MAX(R83*ABS(J83),S83),J83+2*M83),J83+MAX(R83*ABS(J83),S83))))</f>
        <v/>
      </c>
      <c r="V83" s="51">
        <f>IF(OR($A83="",$J83=""),"",IF(COUNTIFS('6_資料庫比對'!$B$16:$B$25,A83,'6_資料庫比對'!$C$16:$C$25,I83)=0,"",IF(AND(SUMIFS('6_資料庫比對'!$F$16:$F$25,'6_資料庫比對'!$B$16:$B$25,A83,'6_資料庫比對'!$C$16:$C$25,I83)&gt;=T83,SUMIFS('6_資料庫比對'!$F$16:$F$25,'6_資料庫比對'!$B$16:$B$25,A83,'6_資料庫比對'!$C$16:$C$25,I83)&lt;=U83),"✓ 涵蓋","✗ 不涵蓋")))</f>
        <v/>
      </c>
    </row>
    <row r="84">
      <c r="A84" s="47" t="inlineStr">
        <is>
          <t>soup_powder_dry</t>
        </is>
      </c>
      <c r="B84" s="47" t="inlineStr">
        <is>
          <t>湯粉/高湯粉（乾粉）</t>
        </is>
      </c>
      <c r="C84" s="47" t="inlineStr">
        <is>
          <t>USDA</t>
        </is>
      </c>
      <c r="D84" s="47" t="inlineStr">
        <is>
          <t>SR Legacy</t>
        </is>
      </c>
      <c r="E84" s="47" t="n">
        <v>171560</v>
      </c>
      <c r="F84" s="47" t="inlineStr">
        <is>
          <t>Soup, beef broth or bouillon, powder, dry</t>
        </is>
      </c>
      <c r="G84" s="47" t="inlineStr">
        <is>
          <t>closest</t>
        </is>
      </c>
      <c r="H84" s="47" t="n">
        <v>6.25</v>
      </c>
      <c r="I84" s="47" t="inlineStr">
        <is>
          <t>fat</t>
        </is>
      </c>
      <c r="J84" s="47" t="n">
        <v>8.890000000000001</v>
      </c>
      <c r="K84" s="47" t="inlineStr">
        <is>
          <t>g</t>
        </is>
      </c>
      <c r="L84" s="47" t="n">
        <v>3</v>
      </c>
      <c r="M84" s="47" t="n"/>
      <c r="N84" s="47" t="n"/>
      <c r="O84" s="47" t="n"/>
      <c r="P84" s="47" t="n"/>
      <c r="Q84" s="47" t="n"/>
      <c r="R84" s="48">
        <f>IF(OR($A84="",$J84=""),"",IFERROR(VLOOKUP(I84,'6_資料庫比對'!$A$6:$C$12,2,FALSE),""))</f>
        <v/>
      </c>
      <c r="S84" s="49">
        <f>IF(OR($A84="",$J84=""),"",IFERROR(VLOOKUP(I84,'6_資料庫比對'!$A$6:$C$12,3,FALSE),""))</f>
        <v/>
      </c>
      <c r="T84" s="50">
        <f>IF(OR($A84="",$J84=""),"",MAX(0,IF(AND(N84&lt;&gt;"",O84&lt;&gt;""),MIN(J84-MAX(R84*ABS(J84),S84),N84),IF(AND(M84&lt;&gt;"",N(L84)&gt;=2),MIN(J84-MAX(R84*ABS(J84),S84),J84-2*M84),J84-MAX(R84*ABS(J84),S84)))))</f>
        <v/>
      </c>
      <c r="U84" s="50">
        <f>IF(OR($A84="",$J84=""),"",IF(AND(N84&lt;&gt;"",O84&lt;&gt;""),MAX(J84+MAX(R84*ABS(J84),S84),O84),IF(AND(M84&lt;&gt;"",N(L84)&gt;=2),MAX(J84+MAX(R84*ABS(J84),S84),J84+2*M84),J84+MAX(R84*ABS(J84),S84))))</f>
        <v/>
      </c>
      <c r="V84" s="51">
        <f>IF(OR($A84="",$J84=""),"",IF(COUNTIFS('6_資料庫比對'!$B$16:$B$25,A84,'6_資料庫比對'!$C$16:$C$25,I84)=0,"",IF(AND(SUMIFS('6_資料庫比對'!$F$16:$F$25,'6_資料庫比對'!$B$16:$B$25,A84,'6_資料庫比對'!$C$16:$C$25,I84)&gt;=T84,SUMIFS('6_資料庫比對'!$F$16:$F$25,'6_資料庫比對'!$B$16:$B$25,A84,'6_資料庫比對'!$C$16:$C$25,I84)&lt;=U84),"✓ 涵蓋","✗ 不涵蓋")))</f>
        <v/>
      </c>
    </row>
    <row r="85">
      <c r="A85" s="47" t="inlineStr">
        <is>
          <t>soup_powder_dry</t>
        </is>
      </c>
      <c r="B85" s="47" t="inlineStr">
        <is>
          <t>湯粉/高湯粉（乾粉）</t>
        </is>
      </c>
      <c r="C85" s="47" t="inlineStr">
        <is>
          <t>USDA</t>
        </is>
      </c>
      <c r="D85" s="47" t="inlineStr">
        <is>
          <t>SR Legacy</t>
        </is>
      </c>
      <c r="E85" s="47" t="n">
        <v>171560</v>
      </c>
      <c r="F85" s="47" t="inlineStr">
        <is>
          <t>Soup, beef broth or bouillon, powder, dry</t>
        </is>
      </c>
      <c r="G85" s="47" t="inlineStr">
        <is>
          <t>closest</t>
        </is>
      </c>
      <c r="H85" s="47" t="n">
        <v>6.25</v>
      </c>
      <c r="I85" s="47" t="inlineStr">
        <is>
          <t>ash</t>
        </is>
      </c>
      <c r="J85" s="47" t="n">
        <v>54.5</v>
      </c>
      <c r="K85" s="47" t="inlineStr">
        <is>
          <t>g</t>
        </is>
      </c>
      <c r="L85" s="47" t="n">
        <v>0</v>
      </c>
      <c r="M85" s="47" t="n"/>
      <c r="N85" s="47" t="n"/>
      <c r="O85" s="47" t="n"/>
      <c r="P85" s="47" t="n"/>
      <c r="Q85" s="47" t="inlineStr">
        <is>
          <t>NR: Nutrient that is based on other nutrient/s; value used directly, ex. Nut.#204 from Nut.#298</t>
        </is>
      </c>
      <c r="R85" s="48">
        <f>IF(OR($A85="",$J85=""),"",IFERROR(VLOOKUP(I85,'6_資料庫比對'!$A$6:$C$12,2,FALSE),""))</f>
        <v/>
      </c>
      <c r="S85" s="49">
        <f>IF(OR($A85="",$J85=""),"",IFERROR(VLOOKUP(I85,'6_資料庫比對'!$A$6:$C$12,3,FALSE),""))</f>
        <v/>
      </c>
      <c r="T85" s="50">
        <f>IF(OR($A85="",$J85=""),"",MAX(0,IF(AND(N85&lt;&gt;"",O85&lt;&gt;""),MIN(J85-MAX(R85*ABS(J85),S85),N85),IF(AND(M85&lt;&gt;"",N(L85)&gt;=2),MIN(J85-MAX(R85*ABS(J85),S85),J85-2*M85),J85-MAX(R85*ABS(J85),S85)))))</f>
        <v/>
      </c>
      <c r="U85" s="50">
        <f>IF(OR($A85="",$J85=""),"",IF(AND(N85&lt;&gt;"",O85&lt;&gt;""),MAX(J85+MAX(R85*ABS(J85),S85),O85),IF(AND(M85&lt;&gt;"",N(L85)&gt;=2),MAX(J85+MAX(R85*ABS(J85),S85),J85+2*M85),J85+MAX(R85*ABS(J85),S85))))</f>
        <v/>
      </c>
      <c r="V85" s="51">
        <f>IF(OR($A85="",$J85=""),"",IF(COUNTIFS('6_資料庫比對'!$B$16:$B$25,A85,'6_資料庫比對'!$C$16:$C$25,I85)=0,"",IF(AND(SUMIFS('6_資料庫比對'!$F$16:$F$25,'6_資料庫比對'!$B$16:$B$25,A85,'6_資料庫比對'!$C$16:$C$25,I85)&gt;=T85,SUMIFS('6_資料庫比對'!$F$16:$F$25,'6_資料庫比對'!$B$16:$B$25,A85,'6_資料庫比對'!$C$16:$C$25,I85)&lt;=U85),"✓ 涵蓋","✗ 不涵蓋")))</f>
        <v/>
      </c>
    </row>
    <row r="86">
      <c r="A86" s="47" t="inlineStr">
        <is>
          <t>soup_powder_dry</t>
        </is>
      </c>
      <c r="B86" s="47" t="inlineStr">
        <is>
          <t>湯粉/高湯粉（乾粉）</t>
        </is>
      </c>
      <c r="C86" s="47" t="inlineStr">
        <is>
          <t>USDA</t>
        </is>
      </c>
      <c r="D86" s="47" t="inlineStr">
        <is>
          <t>SR Legacy</t>
        </is>
      </c>
      <c r="E86" s="47" t="n">
        <v>171560</v>
      </c>
      <c r="F86" s="47" t="inlineStr">
        <is>
          <t>Soup, beef broth or bouillon, powder, dry</t>
        </is>
      </c>
      <c r="G86" s="47" t="inlineStr">
        <is>
          <t>closest</t>
        </is>
      </c>
      <c r="H86" s="47" t="n">
        <v>6.25</v>
      </c>
      <c r="I86" s="47" t="inlineStr">
        <is>
          <t>carbohydrate</t>
        </is>
      </c>
      <c r="J86" s="47" t="n">
        <v>17.4</v>
      </c>
      <c r="K86" s="47" t="inlineStr">
        <is>
          <t>g</t>
        </is>
      </c>
      <c r="L86" s="47" t="n">
        <v>0</v>
      </c>
      <c r="M86" s="47" t="n"/>
      <c r="N86" s="47" t="n"/>
      <c r="O86" s="47" t="n"/>
      <c r="P86" s="47" t="n"/>
      <c r="Q86" s="47" t="inlineStr">
        <is>
          <t>NR: Nutrient that is based on other nutrient/s; value used directly, ex. Nut.#204 from Nut.#298</t>
        </is>
      </c>
      <c r="R86" s="48">
        <f>IF(OR($A86="",$J86=""),"",IFERROR(VLOOKUP(I86,'6_資料庫比對'!$A$6:$C$12,2,FALSE),""))</f>
        <v/>
      </c>
      <c r="S86" s="49">
        <f>IF(OR($A86="",$J86=""),"",IFERROR(VLOOKUP(I86,'6_資料庫比對'!$A$6:$C$12,3,FALSE),""))</f>
        <v/>
      </c>
      <c r="T86" s="50">
        <f>IF(OR($A86="",$J86=""),"",MAX(0,IF(AND(N86&lt;&gt;"",O86&lt;&gt;""),MIN(J86-MAX(R86*ABS(J86),S86),N86),IF(AND(M86&lt;&gt;"",N(L86)&gt;=2),MIN(J86-MAX(R86*ABS(J86),S86),J86-2*M86),J86-MAX(R86*ABS(J86),S86)))))</f>
        <v/>
      </c>
      <c r="U86" s="50">
        <f>IF(OR($A86="",$J86=""),"",IF(AND(N86&lt;&gt;"",O86&lt;&gt;""),MAX(J86+MAX(R86*ABS(J86),S86),O86),IF(AND(M86&lt;&gt;"",N(L86)&gt;=2),MAX(J86+MAX(R86*ABS(J86),S86),J86+2*M86),J86+MAX(R86*ABS(J86),S86))))</f>
        <v/>
      </c>
      <c r="V86" s="51">
        <f>IF(OR($A86="",$J86=""),"",IF(COUNTIFS('6_資料庫比對'!$B$16:$B$25,A86,'6_資料庫比對'!$C$16:$C$25,I86)=0,"",IF(AND(SUMIFS('6_資料庫比對'!$F$16:$F$25,'6_資料庫比對'!$B$16:$B$25,A86,'6_資料庫比對'!$C$16:$C$25,I86)&gt;=T86,SUMIFS('6_資料庫比對'!$F$16:$F$25,'6_資料庫比對'!$B$16:$B$25,A86,'6_資料庫比對'!$C$16:$C$25,I86)&lt;=U86),"✓ 涵蓋","✗ 不涵蓋")))</f>
        <v/>
      </c>
    </row>
    <row r="87">
      <c r="A87" s="47" t="inlineStr">
        <is>
          <t>soup_powder_dry</t>
        </is>
      </c>
      <c r="B87" s="47" t="inlineStr">
        <is>
          <t>湯粉/高湯粉（乾粉）</t>
        </is>
      </c>
      <c r="C87" s="47" t="inlineStr">
        <is>
          <t>USDA</t>
        </is>
      </c>
      <c r="D87" s="47" t="inlineStr">
        <is>
          <t>SR Legacy</t>
        </is>
      </c>
      <c r="E87" s="47" t="n">
        <v>171560</v>
      </c>
      <c r="F87" s="47" t="inlineStr">
        <is>
          <t>Soup, beef broth or bouillon, powder, dry</t>
        </is>
      </c>
      <c r="G87" s="47" t="inlineStr">
        <is>
          <t>closest</t>
        </is>
      </c>
      <c r="H87" s="47" t="n">
        <v>6.25</v>
      </c>
      <c r="I87" s="47" t="inlineStr">
        <is>
          <t>sugars_total</t>
        </is>
      </c>
      <c r="J87" s="47" t="n">
        <v>16.71</v>
      </c>
      <c r="K87" s="47" t="inlineStr">
        <is>
          <t>g</t>
        </is>
      </c>
      <c r="L87" s="47" t="n">
        <v>0</v>
      </c>
      <c r="M87" s="47" t="n"/>
      <c r="N87" s="47" t="n"/>
      <c r="O87" s="47" t="n"/>
      <c r="P87" s="47" t="n"/>
      <c r="Q87" s="47" t="inlineStr">
        <is>
          <t>FLA: Estimated formulation based on ingredient list; Linear program used to estimate ingredients; Analytical data</t>
        </is>
      </c>
      <c r="R87" s="48">
        <f>IF(OR($A87="",$J87=""),"",IFERROR(VLOOKUP(I87,'6_資料庫比對'!$A$6:$C$12,2,FALSE),""))</f>
        <v/>
      </c>
      <c r="S87" s="49">
        <f>IF(OR($A87="",$J87=""),"",IFERROR(VLOOKUP(I87,'6_資料庫比對'!$A$6:$C$12,3,FALSE),""))</f>
        <v/>
      </c>
      <c r="T87" s="50">
        <f>IF(OR($A87="",$J87=""),"",MAX(0,IF(AND(N87&lt;&gt;"",O87&lt;&gt;""),MIN(J87-MAX(R87*ABS(J87),S87),N87),IF(AND(M87&lt;&gt;"",N(L87)&gt;=2),MIN(J87-MAX(R87*ABS(J87),S87),J87-2*M87),J87-MAX(R87*ABS(J87),S87)))))</f>
        <v/>
      </c>
      <c r="U87" s="50">
        <f>IF(OR($A87="",$J87=""),"",IF(AND(N87&lt;&gt;"",O87&lt;&gt;""),MAX(J87+MAX(R87*ABS(J87),S87),O87),IF(AND(M87&lt;&gt;"",N(L87)&gt;=2),MAX(J87+MAX(R87*ABS(J87),S87),J87+2*M87),J87+MAX(R87*ABS(J87),S87))))</f>
        <v/>
      </c>
      <c r="V87" s="51">
        <f>IF(OR($A87="",$J87=""),"",IF(COUNTIFS('6_資料庫比對'!$B$16:$B$25,A87,'6_資料庫比對'!$C$16:$C$25,I87)=0,"",IF(AND(SUMIFS('6_資料庫比對'!$F$16:$F$25,'6_資料庫比對'!$B$16:$B$25,A87,'6_資料庫比對'!$C$16:$C$25,I87)&gt;=T87,SUMIFS('6_資料庫比對'!$F$16:$F$25,'6_資料庫比對'!$B$16:$B$25,A87,'6_資料庫比對'!$C$16:$C$25,I87)&lt;=U87),"✓ 涵蓋","✗ 不涵蓋")))</f>
        <v/>
      </c>
    </row>
    <row r="88">
      <c r="A88" s="47" t="inlineStr">
        <is>
          <t>soup_powder_dry</t>
        </is>
      </c>
      <c r="B88" s="47" t="inlineStr">
        <is>
          <t>湯粉/高湯粉（乾粉）</t>
        </is>
      </c>
      <c r="C88" s="47" t="inlineStr">
        <is>
          <t>USDA</t>
        </is>
      </c>
      <c r="D88" s="47" t="inlineStr">
        <is>
          <t>SR Legacy</t>
        </is>
      </c>
      <c r="E88" s="47" t="n">
        <v>171560</v>
      </c>
      <c r="F88" s="47" t="inlineStr">
        <is>
          <t>Soup, beef broth or bouillon, powder, dry</t>
        </is>
      </c>
      <c r="G88" s="47" t="inlineStr">
        <is>
          <t>closest</t>
        </is>
      </c>
      <c r="H88" s="47" t="n">
        <v>6.25</v>
      </c>
      <c r="I88" s="47" t="inlineStr">
        <is>
          <t>sodium</t>
        </is>
      </c>
      <c r="J88" s="47" t="n">
        <v>26000</v>
      </c>
      <c r="K88" s="47" t="inlineStr">
        <is>
          <t>mg</t>
        </is>
      </c>
      <c r="L88" s="47" t="n">
        <v>1</v>
      </c>
      <c r="M88" s="47" t="n"/>
      <c r="N88" s="47" t="n"/>
      <c r="O88" s="47" t="n"/>
      <c r="P88" s="47" t="n"/>
      <c r="Q88" s="47" t="inlineStr">
        <is>
          <t>LC: Label claim (back calculated from label by NDL staff; Calculated from label claim/serving (g or %RDI)</t>
        </is>
      </c>
      <c r="R88" s="48">
        <f>IF(OR($A88="",$J88=""),"",IFERROR(VLOOKUP(I88,'6_資料庫比對'!$A$6:$C$12,2,FALSE),""))</f>
        <v/>
      </c>
      <c r="S88" s="49">
        <f>IF(OR($A88="",$J88=""),"",IFERROR(VLOOKUP(I88,'6_資料庫比對'!$A$6:$C$12,3,FALSE),""))</f>
        <v/>
      </c>
      <c r="T88" s="50">
        <f>IF(OR($A88="",$J88=""),"",MAX(0,IF(AND(N88&lt;&gt;"",O88&lt;&gt;""),MIN(J88-MAX(R88*ABS(J88),S88),N88),IF(AND(M88&lt;&gt;"",N(L88)&gt;=2),MIN(J88-MAX(R88*ABS(J88),S88),J88-2*M88),J88-MAX(R88*ABS(J88),S88)))))</f>
        <v/>
      </c>
      <c r="U88" s="50">
        <f>IF(OR($A88="",$J88=""),"",IF(AND(N88&lt;&gt;"",O88&lt;&gt;""),MAX(J88+MAX(R88*ABS(J88),S88),O88),IF(AND(M88&lt;&gt;"",N(L88)&gt;=2),MAX(J88+MAX(R88*ABS(J88),S88),J88+2*M88),J88+MAX(R88*ABS(J88),S88))))</f>
        <v/>
      </c>
      <c r="V88" s="51">
        <f>IF(OR($A88="",$J88=""),"",IF(COUNTIFS('6_資料庫比對'!$B$16:$B$25,A88,'6_資料庫比對'!$C$16:$C$25,I88)=0,"",IF(AND(SUMIFS('6_資料庫比對'!$F$16:$F$25,'6_資料庫比對'!$B$16:$B$25,A88,'6_資料庫比對'!$C$16:$C$25,I88)&gt;=T88,SUMIFS('6_資料庫比對'!$F$16:$F$25,'6_資料庫比對'!$B$16:$B$25,A88,'6_資料庫比對'!$C$16:$C$25,I88)&lt;=U88),"✓ 涵蓋","✗ 不涵蓋")))</f>
        <v/>
      </c>
    </row>
    <row r="89">
      <c r="A89" s="47" t="inlineStr">
        <is>
          <t>soup_powder_dry</t>
        </is>
      </c>
      <c r="B89" s="47" t="inlineStr">
        <is>
          <t>湯粉/高湯粉（乾粉）</t>
        </is>
      </c>
      <c r="C89" s="47" t="inlineStr">
        <is>
          <t>TFND</t>
        </is>
      </c>
      <c r="D89" s="47" t="inlineStr">
        <is>
          <t>食品營養成分資料集</t>
        </is>
      </c>
      <c r="E89" s="47" t="inlineStr">
        <is>
          <t>P0500201</t>
        </is>
      </c>
      <c r="F89" s="47" t="inlineStr">
        <is>
          <t>高湯塊(雞肉)</t>
        </is>
      </c>
      <c r="G89" s="47" t="inlineStr">
        <is>
          <t>closest</t>
        </is>
      </c>
      <c r="H89" s="47" t="n"/>
      <c r="I89" s="47" t="inlineStr">
        <is>
          <t>water</t>
        </is>
      </c>
      <c r="J89" s="47" t="n">
        <v>2.1</v>
      </c>
      <c r="K89" s="47" t="inlineStr">
        <is>
          <t>g</t>
        </is>
      </c>
      <c r="L89" s="47" t="n">
        <v>1</v>
      </c>
      <c r="M89" s="47" t="n"/>
      <c r="N89" s="47" t="n"/>
      <c r="O89" s="47" t="n"/>
      <c r="P89" s="47" t="n"/>
      <c r="Q89" s="47" t="n"/>
      <c r="R89" s="48">
        <f>IF(OR($A89="",$J89=""),"",IFERROR(VLOOKUP(I89,'6_資料庫比對'!$A$6:$C$12,2,FALSE),""))</f>
        <v/>
      </c>
      <c r="S89" s="49">
        <f>IF(OR($A89="",$J89=""),"",IFERROR(VLOOKUP(I89,'6_資料庫比對'!$A$6:$C$12,3,FALSE),""))</f>
        <v/>
      </c>
      <c r="T89" s="50">
        <f>IF(OR($A89="",$J89=""),"",MAX(0,IF(AND(N89&lt;&gt;"",O89&lt;&gt;""),MIN(J89-MAX(R89*ABS(J89),S89),N89),IF(AND(M89&lt;&gt;"",N(L89)&gt;=2),MIN(J89-MAX(R89*ABS(J89),S89),J89-2*M89),J89-MAX(R89*ABS(J89),S89)))))</f>
        <v/>
      </c>
      <c r="U89" s="50">
        <f>IF(OR($A89="",$J89=""),"",IF(AND(N89&lt;&gt;"",O89&lt;&gt;""),MAX(J89+MAX(R89*ABS(J89),S89),O89),IF(AND(M89&lt;&gt;"",N(L89)&gt;=2),MAX(J89+MAX(R89*ABS(J89),S89),J89+2*M89),J89+MAX(R89*ABS(J89),S89))))</f>
        <v/>
      </c>
      <c r="V89" s="51">
        <f>IF(OR($A89="",$J89=""),"",IF(COUNTIFS('6_資料庫比對'!$B$16:$B$25,A89,'6_資料庫比對'!$C$16:$C$25,I89)=0,"",IF(AND(SUMIFS('6_資料庫比對'!$F$16:$F$25,'6_資料庫比對'!$B$16:$B$25,A89,'6_資料庫比對'!$C$16:$C$25,I89)&gt;=T89,SUMIFS('6_資料庫比對'!$F$16:$F$25,'6_資料庫比對'!$B$16:$B$25,A89,'6_資料庫比對'!$C$16:$C$25,I89)&lt;=U89),"✓ 涵蓋","✗ 不涵蓋")))</f>
        <v/>
      </c>
    </row>
    <row r="90">
      <c r="A90" s="47" t="inlineStr">
        <is>
          <t>soup_powder_dry</t>
        </is>
      </c>
      <c r="B90" s="47" t="inlineStr">
        <is>
          <t>湯粉/高湯粉（乾粉）</t>
        </is>
      </c>
      <c r="C90" s="47" t="inlineStr">
        <is>
          <t>TFND</t>
        </is>
      </c>
      <c r="D90" s="47" t="inlineStr">
        <is>
          <t>食品營養成分資料集</t>
        </is>
      </c>
      <c r="E90" s="47" t="inlineStr">
        <is>
          <t>P0500201</t>
        </is>
      </c>
      <c r="F90" s="47" t="inlineStr">
        <is>
          <t>高湯塊(雞肉)</t>
        </is>
      </c>
      <c r="G90" s="47" t="inlineStr">
        <is>
          <t>closest</t>
        </is>
      </c>
      <c r="H90" s="47" t="n"/>
      <c r="I90" s="47" t="inlineStr">
        <is>
          <t>protein</t>
        </is>
      </c>
      <c r="J90" s="47" t="n">
        <v>14.7</v>
      </c>
      <c r="K90" s="47" t="inlineStr">
        <is>
          <t>g</t>
        </is>
      </c>
      <c r="L90" s="47" t="n">
        <v>1</v>
      </c>
      <c r="M90" s="47" t="n"/>
      <c r="N90" s="47" t="n"/>
      <c r="O90" s="47" t="n"/>
      <c r="P90" s="47" t="n"/>
      <c r="Q90" s="47" t="n"/>
      <c r="R90" s="48">
        <f>IF(OR($A90="",$J90=""),"",IFERROR(VLOOKUP(I90,'6_資料庫比對'!$A$6:$C$12,2,FALSE),""))</f>
        <v/>
      </c>
      <c r="S90" s="49">
        <f>IF(OR($A90="",$J90=""),"",IFERROR(VLOOKUP(I90,'6_資料庫比對'!$A$6:$C$12,3,FALSE),""))</f>
        <v/>
      </c>
      <c r="T90" s="50">
        <f>IF(OR($A90="",$J90=""),"",MAX(0,IF(AND(N90&lt;&gt;"",O90&lt;&gt;""),MIN(J90-MAX(R90*ABS(J90),S90),N90),IF(AND(M90&lt;&gt;"",N(L90)&gt;=2),MIN(J90-MAX(R90*ABS(J90),S90),J90-2*M90),J90-MAX(R90*ABS(J90),S90)))))</f>
        <v/>
      </c>
      <c r="U90" s="50">
        <f>IF(OR($A90="",$J90=""),"",IF(AND(N90&lt;&gt;"",O90&lt;&gt;""),MAX(J90+MAX(R90*ABS(J90),S90),O90),IF(AND(M90&lt;&gt;"",N(L90)&gt;=2),MAX(J90+MAX(R90*ABS(J90),S90),J90+2*M90),J90+MAX(R90*ABS(J90),S90))))</f>
        <v/>
      </c>
      <c r="V90" s="51">
        <f>IF(OR($A90="",$J90=""),"",IF(COUNTIFS('6_資料庫比對'!$B$16:$B$25,A90,'6_資料庫比對'!$C$16:$C$25,I90)=0,"",IF(AND(SUMIFS('6_資料庫比對'!$F$16:$F$25,'6_資料庫比對'!$B$16:$B$25,A90,'6_資料庫比對'!$C$16:$C$25,I90)&gt;=T90,SUMIFS('6_資料庫比對'!$F$16:$F$25,'6_資料庫比對'!$B$16:$B$25,A90,'6_資料庫比對'!$C$16:$C$25,I90)&lt;=U90),"✓ 涵蓋","✗ 不涵蓋")))</f>
        <v/>
      </c>
    </row>
    <row r="91">
      <c r="A91" s="47" t="inlineStr">
        <is>
          <t>soup_powder_dry</t>
        </is>
      </c>
      <c r="B91" s="47" t="inlineStr">
        <is>
          <t>湯粉/高湯粉（乾粉）</t>
        </is>
      </c>
      <c r="C91" s="47" t="inlineStr">
        <is>
          <t>TFND</t>
        </is>
      </c>
      <c r="D91" s="47" t="inlineStr">
        <is>
          <t>食品營養成分資料集</t>
        </is>
      </c>
      <c r="E91" s="47" t="inlineStr">
        <is>
          <t>P0500201</t>
        </is>
      </c>
      <c r="F91" s="47" t="inlineStr">
        <is>
          <t>高湯塊(雞肉)</t>
        </is>
      </c>
      <c r="G91" s="47" t="inlineStr">
        <is>
          <t>closest</t>
        </is>
      </c>
      <c r="H91" s="47" t="n"/>
      <c r="I91" s="47" t="inlineStr">
        <is>
          <t>fat</t>
        </is>
      </c>
      <c r="J91" s="47" t="n">
        <v>24.8</v>
      </c>
      <c r="K91" s="47" t="inlineStr">
        <is>
          <t>g</t>
        </is>
      </c>
      <c r="L91" s="47" t="n">
        <v>1</v>
      </c>
      <c r="M91" s="47" t="n"/>
      <c r="N91" s="47" t="n"/>
      <c r="O91" s="47" t="n"/>
      <c r="P91" s="47" t="n"/>
      <c r="Q91" s="47" t="n"/>
      <c r="R91" s="48">
        <f>IF(OR($A91="",$J91=""),"",IFERROR(VLOOKUP(I91,'6_資料庫比對'!$A$6:$C$12,2,FALSE),""))</f>
        <v/>
      </c>
      <c r="S91" s="49">
        <f>IF(OR($A91="",$J91=""),"",IFERROR(VLOOKUP(I91,'6_資料庫比對'!$A$6:$C$12,3,FALSE),""))</f>
        <v/>
      </c>
      <c r="T91" s="50">
        <f>IF(OR($A91="",$J91=""),"",MAX(0,IF(AND(N91&lt;&gt;"",O91&lt;&gt;""),MIN(J91-MAX(R91*ABS(J91),S91),N91),IF(AND(M91&lt;&gt;"",N(L91)&gt;=2),MIN(J91-MAX(R91*ABS(J91),S91),J91-2*M91),J91-MAX(R91*ABS(J91),S91)))))</f>
        <v/>
      </c>
      <c r="U91" s="50">
        <f>IF(OR($A91="",$J91=""),"",IF(AND(N91&lt;&gt;"",O91&lt;&gt;""),MAX(J91+MAX(R91*ABS(J91),S91),O91),IF(AND(M91&lt;&gt;"",N(L91)&gt;=2),MAX(J91+MAX(R91*ABS(J91),S91),J91+2*M91),J91+MAX(R91*ABS(J91),S91))))</f>
        <v/>
      </c>
      <c r="V91" s="51">
        <f>IF(OR($A91="",$J91=""),"",IF(COUNTIFS('6_資料庫比對'!$B$16:$B$25,A91,'6_資料庫比對'!$C$16:$C$25,I91)=0,"",IF(AND(SUMIFS('6_資料庫比對'!$F$16:$F$25,'6_資料庫比對'!$B$16:$B$25,A91,'6_資料庫比對'!$C$16:$C$25,I91)&gt;=T91,SUMIFS('6_資料庫比對'!$F$16:$F$25,'6_資料庫比對'!$B$16:$B$25,A91,'6_資料庫比對'!$C$16:$C$25,I91)&lt;=U91),"✓ 涵蓋","✗ 不涵蓋")))</f>
        <v/>
      </c>
    </row>
    <row r="92">
      <c r="A92" s="47" t="inlineStr">
        <is>
          <t>soup_powder_dry</t>
        </is>
      </c>
      <c r="B92" s="47" t="inlineStr">
        <is>
          <t>湯粉/高湯粉（乾粉）</t>
        </is>
      </c>
      <c r="C92" s="47" t="inlineStr">
        <is>
          <t>TFND</t>
        </is>
      </c>
      <c r="D92" s="47" t="inlineStr">
        <is>
          <t>食品營養成分資料集</t>
        </is>
      </c>
      <c r="E92" s="47" t="inlineStr">
        <is>
          <t>P0500201</t>
        </is>
      </c>
      <c r="F92" s="47" t="inlineStr">
        <is>
          <t>高湯塊(雞肉)</t>
        </is>
      </c>
      <c r="G92" s="47" t="inlineStr">
        <is>
          <t>closest</t>
        </is>
      </c>
      <c r="H92" s="47" t="n"/>
      <c r="I92" s="47" t="inlineStr">
        <is>
          <t>ash</t>
        </is>
      </c>
      <c r="J92" s="47" t="n">
        <v>43.9</v>
      </c>
      <c r="K92" s="47" t="inlineStr">
        <is>
          <t>g</t>
        </is>
      </c>
      <c r="L92" s="47" t="n">
        <v>1</v>
      </c>
      <c r="M92" s="47" t="n"/>
      <c r="N92" s="47" t="n"/>
      <c r="O92" s="47" t="n"/>
      <c r="P92" s="47" t="n"/>
      <c r="Q92" s="47" t="n"/>
      <c r="R92" s="48">
        <f>IF(OR($A92="",$J92=""),"",IFERROR(VLOOKUP(I92,'6_資料庫比對'!$A$6:$C$12,2,FALSE),""))</f>
        <v/>
      </c>
      <c r="S92" s="49">
        <f>IF(OR($A92="",$J92=""),"",IFERROR(VLOOKUP(I92,'6_資料庫比對'!$A$6:$C$12,3,FALSE),""))</f>
        <v/>
      </c>
      <c r="T92" s="50">
        <f>IF(OR($A92="",$J92=""),"",MAX(0,IF(AND(N92&lt;&gt;"",O92&lt;&gt;""),MIN(J92-MAX(R92*ABS(J92),S92),N92),IF(AND(M92&lt;&gt;"",N(L92)&gt;=2),MIN(J92-MAX(R92*ABS(J92),S92),J92-2*M92),J92-MAX(R92*ABS(J92),S92)))))</f>
        <v/>
      </c>
      <c r="U92" s="50">
        <f>IF(OR($A92="",$J92=""),"",IF(AND(N92&lt;&gt;"",O92&lt;&gt;""),MAX(J92+MAX(R92*ABS(J92),S92),O92),IF(AND(M92&lt;&gt;"",N(L92)&gt;=2),MAX(J92+MAX(R92*ABS(J92),S92),J92+2*M92),J92+MAX(R92*ABS(J92),S92))))</f>
        <v/>
      </c>
      <c r="V92" s="51">
        <f>IF(OR($A92="",$J92=""),"",IF(COUNTIFS('6_資料庫比對'!$B$16:$B$25,A92,'6_資料庫比對'!$C$16:$C$25,I92)=0,"",IF(AND(SUMIFS('6_資料庫比對'!$F$16:$F$25,'6_資料庫比對'!$B$16:$B$25,A92,'6_資料庫比對'!$C$16:$C$25,I92)&gt;=T92,SUMIFS('6_資料庫比對'!$F$16:$F$25,'6_資料庫比對'!$B$16:$B$25,A92,'6_資料庫比對'!$C$16:$C$25,I92)&lt;=U92),"✓ 涵蓋","✗ 不涵蓋")))</f>
        <v/>
      </c>
    </row>
    <row r="93">
      <c r="A93" s="47" t="inlineStr">
        <is>
          <t>soup_powder_dry</t>
        </is>
      </c>
      <c r="B93" s="47" t="inlineStr">
        <is>
          <t>湯粉/高湯粉（乾粉）</t>
        </is>
      </c>
      <c r="C93" s="47" t="inlineStr">
        <is>
          <t>TFND</t>
        </is>
      </c>
      <c r="D93" s="47" t="inlineStr">
        <is>
          <t>食品營養成分資料集</t>
        </is>
      </c>
      <c r="E93" s="47" t="inlineStr">
        <is>
          <t>P0500201</t>
        </is>
      </c>
      <c r="F93" s="47" t="inlineStr">
        <is>
          <t>高湯塊(雞肉)</t>
        </is>
      </c>
      <c r="G93" s="47" t="inlineStr">
        <is>
          <t>closest</t>
        </is>
      </c>
      <c r="H93" s="47" t="n"/>
      <c r="I93" s="47" t="inlineStr">
        <is>
          <t>carbohydrate</t>
        </is>
      </c>
      <c r="J93" s="47" t="n">
        <v>14.5</v>
      </c>
      <c r="K93" s="47" t="inlineStr">
        <is>
          <t>g</t>
        </is>
      </c>
      <c r="L93" s="47" t="n"/>
      <c r="M93" s="47" t="n"/>
      <c r="N93" s="47" t="n"/>
      <c r="O93" s="47" t="n"/>
      <c r="P93" s="47" t="n"/>
      <c r="Q93" s="47" t="n"/>
      <c r="R93" s="48">
        <f>IF(OR($A93="",$J93=""),"",IFERROR(VLOOKUP(I93,'6_資料庫比對'!$A$6:$C$12,2,FALSE),""))</f>
        <v/>
      </c>
      <c r="S93" s="49">
        <f>IF(OR($A93="",$J93=""),"",IFERROR(VLOOKUP(I93,'6_資料庫比對'!$A$6:$C$12,3,FALSE),""))</f>
        <v/>
      </c>
      <c r="T93" s="50">
        <f>IF(OR($A93="",$J93=""),"",MAX(0,IF(AND(N93&lt;&gt;"",O93&lt;&gt;""),MIN(J93-MAX(R93*ABS(J93),S93),N93),IF(AND(M93&lt;&gt;"",N(L93)&gt;=2),MIN(J93-MAX(R93*ABS(J93),S93),J93-2*M93),J93-MAX(R93*ABS(J93),S93)))))</f>
        <v/>
      </c>
      <c r="U93" s="50">
        <f>IF(OR($A93="",$J93=""),"",IF(AND(N93&lt;&gt;"",O93&lt;&gt;""),MAX(J93+MAX(R93*ABS(J93),S93),O93),IF(AND(M93&lt;&gt;"",N(L93)&gt;=2),MAX(J93+MAX(R93*ABS(J93),S93),J93+2*M93),J93+MAX(R93*ABS(J93),S93))))</f>
        <v/>
      </c>
      <c r="V93" s="51">
        <f>IF(OR($A93="",$J93=""),"",IF(COUNTIFS('6_資料庫比對'!$B$16:$B$25,A93,'6_資料庫比對'!$C$16:$C$25,I93)=0,"",IF(AND(SUMIFS('6_資料庫比對'!$F$16:$F$25,'6_資料庫比對'!$B$16:$B$25,A93,'6_資料庫比對'!$C$16:$C$25,I93)&gt;=T93,SUMIFS('6_資料庫比對'!$F$16:$F$25,'6_資料庫比對'!$B$16:$B$25,A93,'6_資料庫比對'!$C$16:$C$25,I93)&lt;=U93),"✓ 涵蓋","✗ 不涵蓋")))</f>
        <v/>
      </c>
    </row>
    <row r="94">
      <c r="A94" s="47" t="inlineStr">
        <is>
          <t>soup_powder_dry</t>
        </is>
      </c>
      <c r="B94" s="47" t="inlineStr">
        <is>
          <t>湯粉/高湯粉（乾粉）</t>
        </is>
      </c>
      <c r="C94" s="47" t="inlineStr">
        <is>
          <t>TFND</t>
        </is>
      </c>
      <c r="D94" s="47" t="inlineStr">
        <is>
          <t>食品營養成分資料集</t>
        </is>
      </c>
      <c r="E94" s="47" t="inlineStr">
        <is>
          <t>P0500201</t>
        </is>
      </c>
      <c r="F94" s="47" t="inlineStr">
        <is>
          <t>高湯塊(雞肉)</t>
        </is>
      </c>
      <c r="G94" s="47" t="inlineStr">
        <is>
          <t>closest</t>
        </is>
      </c>
      <c r="H94" s="47" t="n"/>
      <c r="I94" s="47" t="inlineStr">
        <is>
          <t>sodium</t>
        </is>
      </c>
      <c r="J94" s="47" t="n">
        <v>16862</v>
      </c>
      <c r="K94" s="47" t="inlineStr">
        <is>
          <t>mg</t>
        </is>
      </c>
      <c r="L94" s="47" t="n">
        <v>1</v>
      </c>
      <c r="M94" s="47" t="n"/>
      <c r="N94" s="47" t="n"/>
      <c r="O94" s="47" t="n"/>
      <c r="P94" s="47" t="n"/>
      <c r="Q94" s="47" t="n"/>
      <c r="R94" s="48">
        <f>IF(OR($A94="",$J94=""),"",IFERROR(VLOOKUP(I94,'6_資料庫比對'!$A$6:$C$12,2,FALSE),""))</f>
        <v/>
      </c>
      <c r="S94" s="49">
        <f>IF(OR($A94="",$J94=""),"",IFERROR(VLOOKUP(I94,'6_資料庫比對'!$A$6:$C$12,3,FALSE),""))</f>
        <v/>
      </c>
      <c r="T94" s="50">
        <f>IF(OR($A94="",$J94=""),"",MAX(0,IF(AND(N94&lt;&gt;"",O94&lt;&gt;""),MIN(J94-MAX(R94*ABS(J94),S94),N94),IF(AND(M94&lt;&gt;"",N(L94)&gt;=2),MIN(J94-MAX(R94*ABS(J94),S94),J94-2*M94),J94-MAX(R94*ABS(J94),S94)))))</f>
        <v/>
      </c>
      <c r="U94" s="50">
        <f>IF(OR($A94="",$J94=""),"",IF(AND(N94&lt;&gt;"",O94&lt;&gt;""),MAX(J94+MAX(R94*ABS(J94),S94),O94),IF(AND(M94&lt;&gt;"",N(L94)&gt;=2),MAX(J94+MAX(R94*ABS(J94),S94),J94+2*M94),J94+MAX(R94*ABS(J94),S94))))</f>
        <v/>
      </c>
      <c r="V94" s="51">
        <f>IF(OR($A94="",$J94=""),"",IF(COUNTIFS('6_資料庫比對'!$B$16:$B$25,A94,'6_資料庫比對'!$C$16:$C$25,I94)=0,"",IF(AND(SUMIFS('6_資料庫比對'!$F$16:$F$25,'6_資料庫比對'!$B$16:$B$25,A94,'6_資料庫比對'!$C$16:$C$25,I94)&gt;=T94,SUMIFS('6_資料庫比對'!$F$16:$F$25,'6_資料庫比對'!$B$16:$B$25,A94,'6_資料庫比對'!$C$16:$C$25,I94)&lt;=U94),"✓ 涵蓋","✗ 不涵蓋")))</f>
        <v/>
      </c>
    </row>
    <row r="95">
      <c r="A95" s="47" t="inlineStr">
        <is>
          <t>soup_powder_dry</t>
        </is>
      </c>
      <c r="B95" s="47" t="inlineStr">
        <is>
          <t>湯粉/高湯粉（乾粉）</t>
        </is>
      </c>
      <c r="C95" s="47" t="inlineStr">
        <is>
          <t>TFND</t>
        </is>
      </c>
      <c r="D95" s="47" t="inlineStr">
        <is>
          <t>食品營養成分資料集</t>
        </is>
      </c>
      <c r="E95" s="47" t="inlineStr">
        <is>
          <t>R8100101</t>
        </is>
      </c>
      <c r="F95" s="47" t="inlineStr">
        <is>
          <t>沖泡濃湯(海鮮)</t>
        </is>
      </c>
      <c r="G95" s="47" t="inlineStr">
        <is>
          <t>closest</t>
        </is>
      </c>
      <c r="H95" s="47" t="n"/>
      <c r="I95" s="47" t="inlineStr">
        <is>
          <t>water</t>
        </is>
      </c>
      <c r="J95" s="47" t="n">
        <v>3.4</v>
      </c>
      <c r="K95" s="47" t="inlineStr">
        <is>
          <t>g</t>
        </is>
      </c>
      <c r="L95" s="47" t="n">
        <v>1</v>
      </c>
      <c r="M95" s="47" t="n"/>
      <c r="N95" s="47" t="n"/>
      <c r="O95" s="47" t="n"/>
      <c r="P95" s="47" t="n"/>
      <c r="Q95" s="47" t="n"/>
      <c r="R95" s="48">
        <f>IF(OR($A95="",$J95=""),"",IFERROR(VLOOKUP(I95,'6_資料庫比對'!$A$6:$C$12,2,FALSE),""))</f>
        <v/>
      </c>
      <c r="S95" s="49">
        <f>IF(OR($A95="",$J95=""),"",IFERROR(VLOOKUP(I95,'6_資料庫比對'!$A$6:$C$12,3,FALSE),""))</f>
        <v/>
      </c>
      <c r="T95" s="50">
        <f>IF(OR($A95="",$J95=""),"",MAX(0,IF(AND(N95&lt;&gt;"",O95&lt;&gt;""),MIN(J95-MAX(R95*ABS(J95),S95),N95),IF(AND(M95&lt;&gt;"",N(L95)&gt;=2),MIN(J95-MAX(R95*ABS(J95),S95),J95-2*M95),J95-MAX(R95*ABS(J95),S95)))))</f>
        <v/>
      </c>
      <c r="U95" s="50">
        <f>IF(OR($A95="",$J95=""),"",IF(AND(N95&lt;&gt;"",O95&lt;&gt;""),MAX(J95+MAX(R95*ABS(J95),S95),O95),IF(AND(M95&lt;&gt;"",N(L95)&gt;=2),MAX(J95+MAX(R95*ABS(J95),S95),J95+2*M95),J95+MAX(R95*ABS(J95),S95))))</f>
        <v/>
      </c>
      <c r="V95" s="51">
        <f>IF(OR($A95="",$J95=""),"",IF(COUNTIFS('6_資料庫比對'!$B$16:$B$25,A95,'6_資料庫比對'!$C$16:$C$25,I95)=0,"",IF(AND(SUMIFS('6_資料庫比對'!$F$16:$F$25,'6_資料庫比對'!$B$16:$B$25,A95,'6_資料庫比對'!$C$16:$C$25,I95)&gt;=T95,SUMIFS('6_資料庫比對'!$F$16:$F$25,'6_資料庫比對'!$B$16:$B$25,A95,'6_資料庫比對'!$C$16:$C$25,I95)&lt;=U95),"✓ 涵蓋","✗ 不涵蓋")))</f>
        <v/>
      </c>
    </row>
    <row r="96">
      <c r="A96" s="47" t="inlineStr">
        <is>
          <t>soup_powder_dry</t>
        </is>
      </c>
      <c r="B96" s="47" t="inlineStr">
        <is>
          <t>湯粉/高湯粉（乾粉）</t>
        </is>
      </c>
      <c r="C96" s="47" t="inlineStr">
        <is>
          <t>TFND</t>
        </is>
      </c>
      <c r="D96" s="47" t="inlineStr">
        <is>
          <t>食品營養成分資料集</t>
        </is>
      </c>
      <c r="E96" s="47" t="inlineStr">
        <is>
          <t>R8100101</t>
        </is>
      </c>
      <c r="F96" s="47" t="inlineStr">
        <is>
          <t>沖泡濃湯(海鮮)</t>
        </is>
      </c>
      <c r="G96" s="47" t="inlineStr">
        <is>
          <t>closest</t>
        </is>
      </c>
      <c r="H96" s="47" t="n"/>
      <c r="I96" s="47" t="inlineStr">
        <is>
          <t>protein</t>
        </is>
      </c>
      <c r="J96" s="47" t="n">
        <v>11.2</v>
      </c>
      <c r="K96" s="47" t="inlineStr">
        <is>
          <t>g</t>
        </is>
      </c>
      <c r="L96" s="47" t="n">
        <v>1</v>
      </c>
      <c r="M96" s="47" t="n"/>
      <c r="N96" s="47" t="n"/>
      <c r="O96" s="47" t="n"/>
      <c r="P96" s="47" t="n"/>
      <c r="Q96" s="47" t="n"/>
      <c r="R96" s="48">
        <f>IF(OR($A96="",$J96=""),"",IFERROR(VLOOKUP(I96,'6_資料庫比對'!$A$6:$C$12,2,FALSE),""))</f>
        <v/>
      </c>
      <c r="S96" s="49">
        <f>IF(OR($A96="",$J96=""),"",IFERROR(VLOOKUP(I96,'6_資料庫比對'!$A$6:$C$12,3,FALSE),""))</f>
        <v/>
      </c>
      <c r="T96" s="50">
        <f>IF(OR($A96="",$J96=""),"",MAX(0,IF(AND(N96&lt;&gt;"",O96&lt;&gt;""),MIN(J96-MAX(R96*ABS(J96),S96),N96),IF(AND(M96&lt;&gt;"",N(L96)&gt;=2),MIN(J96-MAX(R96*ABS(J96),S96),J96-2*M96),J96-MAX(R96*ABS(J96),S96)))))</f>
        <v/>
      </c>
      <c r="U96" s="50">
        <f>IF(OR($A96="",$J96=""),"",IF(AND(N96&lt;&gt;"",O96&lt;&gt;""),MAX(J96+MAX(R96*ABS(J96),S96),O96),IF(AND(M96&lt;&gt;"",N(L96)&gt;=2),MAX(J96+MAX(R96*ABS(J96),S96),J96+2*M96),J96+MAX(R96*ABS(J96),S96))))</f>
        <v/>
      </c>
      <c r="V96" s="51">
        <f>IF(OR($A96="",$J96=""),"",IF(COUNTIFS('6_資料庫比對'!$B$16:$B$25,A96,'6_資料庫比對'!$C$16:$C$25,I96)=0,"",IF(AND(SUMIFS('6_資料庫比對'!$F$16:$F$25,'6_資料庫比對'!$B$16:$B$25,A96,'6_資料庫比對'!$C$16:$C$25,I96)&gt;=T96,SUMIFS('6_資料庫比對'!$F$16:$F$25,'6_資料庫比對'!$B$16:$B$25,A96,'6_資料庫比對'!$C$16:$C$25,I96)&lt;=U96),"✓ 涵蓋","✗ 不涵蓋")))</f>
        <v/>
      </c>
    </row>
    <row r="97">
      <c r="A97" s="47" t="inlineStr">
        <is>
          <t>soup_powder_dry</t>
        </is>
      </c>
      <c r="B97" s="47" t="inlineStr">
        <is>
          <t>湯粉/高湯粉（乾粉）</t>
        </is>
      </c>
      <c r="C97" s="47" t="inlineStr">
        <is>
          <t>TFND</t>
        </is>
      </c>
      <c r="D97" s="47" t="inlineStr">
        <is>
          <t>食品營養成分資料集</t>
        </is>
      </c>
      <c r="E97" s="47" t="inlineStr">
        <is>
          <t>R8100101</t>
        </is>
      </c>
      <c r="F97" s="47" t="inlineStr">
        <is>
          <t>沖泡濃湯(海鮮)</t>
        </is>
      </c>
      <c r="G97" s="47" t="inlineStr">
        <is>
          <t>closest</t>
        </is>
      </c>
      <c r="H97" s="47" t="n"/>
      <c r="I97" s="47" t="inlineStr">
        <is>
          <t>fat</t>
        </is>
      </c>
      <c r="J97" s="47" t="n">
        <v>6.9</v>
      </c>
      <c r="K97" s="47" t="inlineStr">
        <is>
          <t>g</t>
        </is>
      </c>
      <c r="L97" s="47" t="n">
        <v>2</v>
      </c>
      <c r="M97" s="47" t="n">
        <v>3.3</v>
      </c>
      <c r="N97" s="47" t="n"/>
      <c r="O97" s="47" t="n"/>
      <c r="P97" s="47" t="n"/>
      <c r="Q97" s="47" t="n"/>
      <c r="R97" s="48">
        <f>IF(OR($A97="",$J97=""),"",IFERROR(VLOOKUP(I97,'6_資料庫比對'!$A$6:$C$12,2,FALSE),""))</f>
        <v/>
      </c>
      <c r="S97" s="49">
        <f>IF(OR($A97="",$J97=""),"",IFERROR(VLOOKUP(I97,'6_資料庫比對'!$A$6:$C$12,3,FALSE),""))</f>
        <v/>
      </c>
      <c r="T97" s="50">
        <f>IF(OR($A97="",$J97=""),"",MAX(0,IF(AND(N97&lt;&gt;"",O97&lt;&gt;""),MIN(J97-MAX(R97*ABS(J97),S97),N97),IF(AND(M97&lt;&gt;"",N(L97)&gt;=2),MIN(J97-MAX(R97*ABS(J97),S97),J97-2*M97),J97-MAX(R97*ABS(J97),S97)))))</f>
        <v/>
      </c>
      <c r="U97" s="50">
        <f>IF(OR($A97="",$J97=""),"",IF(AND(N97&lt;&gt;"",O97&lt;&gt;""),MAX(J97+MAX(R97*ABS(J97),S97),O97),IF(AND(M97&lt;&gt;"",N(L97)&gt;=2),MAX(J97+MAX(R97*ABS(J97),S97),J97+2*M97),J97+MAX(R97*ABS(J97),S97))))</f>
        <v/>
      </c>
      <c r="V97" s="51">
        <f>IF(OR($A97="",$J97=""),"",IF(COUNTIFS('6_資料庫比對'!$B$16:$B$25,A97,'6_資料庫比對'!$C$16:$C$25,I97)=0,"",IF(AND(SUMIFS('6_資料庫比對'!$F$16:$F$25,'6_資料庫比對'!$B$16:$B$25,A97,'6_資料庫比對'!$C$16:$C$25,I97)&gt;=T97,SUMIFS('6_資料庫比對'!$F$16:$F$25,'6_資料庫比對'!$B$16:$B$25,A97,'6_資料庫比對'!$C$16:$C$25,I97)&lt;=U97),"✓ 涵蓋","✗ 不涵蓋")))</f>
        <v/>
      </c>
    </row>
    <row r="98">
      <c r="A98" s="47" t="inlineStr">
        <is>
          <t>soup_powder_dry</t>
        </is>
      </c>
      <c r="B98" s="47" t="inlineStr">
        <is>
          <t>湯粉/高湯粉（乾粉）</t>
        </is>
      </c>
      <c r="C98" s="47" t="inlineStr">
        <is>
          <t>TFND</t>
        </is>
      </c>
      <c r="D98" s="47" t="inlineStr">
        <is>
          <t>食品營養成分資料集</t>
        </is>
      </c>
      <c r="E98" s="47" t="inlineStr">
        <is>
          <t>R8100101</t>
        </is>
      </c>
      <c r="F98" s="47" t="inlineStr">
        <is>
          <t>沖泡濃湯(海鮮)</t>
        </is>
      </c>
      <c r="G98" s="47" t="inlineStr">
        <is>
          <t>closest</t>
        </is>
      </c>
      <c r="H98" s="47" t="n"/>
      <c r="I98" s="47" t="inlineStr">
        <is>
          <t>ash</t>
        </is>
      </c>
      <c r="J98" s="47" t="n">
        <v>16.5</v>
      </c>
      <c r="K98" s="47" t="inlineStr">
        <is>
          <t>g</t>
        </is>
      </c>
      <c r="L98" s="47" t="n">
        <v>1</v>
      </c>
      <c r="M98" s="47" t="n"/>
      <c r="N98" s="47" t="n"/>
      <c r="O98" s="47" t="n"/>
      <c r="P98" s="47" t="n"/>
      <c r="Q98" s="47" t="n"/>
      <c r="R98" s="48">
        <f>IF(OR($A98="",$J98=""),"",IFERROR(VLOOKUP(I98,'6_資料庫比對'!$A$6:$C$12,2,FALSE),""))</f>
        <v/>
      </c>
      <c r="S98" s="49">
        <f>IF(OR($A98="",$J98=""),"",IFERROR(VLOOKUP(I98,'6_資料庫比對'!$A$6:$C$12,3,FALSE),""))</f>
        <v/>
      </c>
      <c r="T98" s="50">
        <f>IF(OR($A98="",$J98=""),"",MAX(0,IF(AND(N98&lt;&gt;"",O98&lt;&gt;""),MIN(J98-MAX(R98*ABS(J98),S98),N98),IF(AND(M98&lt;&gt;"",N(L98)&gt;=2),MIN(J98-MAX(R98*ABS(J98),S98),J98-2*M98),J98-MAX(R98*ABS(J98),S98)))))</f>
        <v/>
      </c>
      <c r="U98" s="50">
        <f>IF(OR($A98="",$J98=""),"",IF(AND(N98&lt;&gt;"",O98&lt;&gt;""),MAX(J98+MAX(R98*ABS(J98),S98),O98),IF(AND(M98&lt;&gt;"",N(L98)&gt;=2),MAX(J98+MAX(R98*ABS(J98),S98),J98+2*M98),J98+MAX(R98*ABS(J98),S98))))</f>
        <v/>
      </c>
      <c r="V98" s="51">
        <f>IF(OR($A98="",$J98=""),"",IF(COUNTIFS('6_資料庫比對'!$B$16:$B$25,A98,'6_資料庫比對'!$C$16:$C$25,I98)=0,"",IF(AND(SUMIFS('6_資料庫比對'!$F$16:$F$25,'6_資料庫比對'!$B$16:$B$25,A98,'6_資料庫比對'!$C$16:$C$25,I98)&gt;=T98,SUMIFS('6_資料庫比對'!$F$16:$F$25,'6_資料庫比對'!$B$16:$B$25,A98,'6_資料庫比對'!$C$16:$C$25,I98)&lt;=U98),"✓ 涵蓋","✗ 不涵蓋")))</f>
        <v/>
      </c>
    </row>
    <row r="99">
      <c r="A99" s="47" t="inlineStr">
        <is>
          <t>soup_powder_dry</t>
        </is>
      </c>
      <c r="B99" s="47" t="inlineStr">
        <is>
          <t>湯粉/高湯粉（乾粉）</t>
        </is>
      </c>
      <c r="C99" s="47" t="inlineStr">
        <is>
          <t>TFND</t>
        </is>
      </c>
      <c r="D99" s="47" t="inlineStr">
        <is>
          <t>食品營養成分資料集</t>
        </is>
      </c>
      <c r="E99" s="47" t="inlineStr">
        <is>
          <t>R8100101</t>
        </is>
      </c>
      <c r="F99" s="47" t="inlineStr">
        <is>
          <t>沖泡濃湯(海鮮)</t>
        </is>
      </c>
      <c r="G99" s="47" t="inlineStr">
        <is>
          <t>closest</t>
        </is>
      </c>
      <c r="H99" s="47" t="n"/>
      <c r="I99" s="47" t="inlineStr">
        <is>
          <t>carbohydrate</t>
        </is>
      </c>
      <c r="J99" s="47" t="n">
        <v>62</v>
      </c>
      <c r="K99" s="47" t="inlineStr">
        <is>
          <t>g</t>
        </is>
      </c>
      <c r="L99" s="47" t="n"/>
      <c r="M99" s="47" t="n"/>
      <c r="N99" s="47" t="n"/>
      <c r="O99" s="47" t="n"/>
      <c r="P99" s="47" t="n"/>
      <c r="Q99" s="47" t="n"/>
      <c r="R99" s="48">
        <f>IF(OR($A99="",$J99=""),"",IFERROR(VLOOKUP(I99,'6_資料庫比對'!$A$6:$C$12,2,FALSE),""))</f>
        <v/>
      </c>
      <c r="S99" s="49">
        <f>IF(OR($A99="",$J99=""),"",IFERROR(VLOOKUP(I99,'6_資料庫比對'!$A$6:$C$12,3,FALSE),""))</f>
        <v/>
      </c>
      <c r="T99" s="50">
        <f>IF(OR($A99="",$J99=""),"",MAX(0,IF(AND(N99&lt;&gt;"",O99&lt;&gt;""),MIN(J99-MAX(R99*ABS(J99),S99),N99),IF(AND(M99&lt;&gt;"",N(L99)&gt;=2),MIN(J99-MAX(R99*ABS(J99),S99),J99-2*M99),J99-MAX(R99*ABS(J99),S99)))))</f>
        <v/>
      </c>
      <c r="U99" s="50">
        <f>IF(OR($A99="",$J99=""),"",IF(AND(N99&lt;&gt;"",O99&lt;&gt;""),MAX(J99+MAX(R99*ABS(J99),S99),O99),IF(AND(M99&lt;&gt;"",N(L99)&gt;=2),MAX(J99+MAX(R99*ABS(J99),S99),J99+2*M99),J99+MAX(R99*ABS(J99),S99))))</f>
        <v/>
      </c>
      <c r="V99" s="51">
        <f>IF(OR($A99="",$J99=""),"",IF(COUNTIFS('6_資料庫比對'!$B$16:$B$25,A99,'6_資料庫比對'!$C$16:$C$25,I99)=0,"",IF(AND(SUMIFS('6_資料庫比對'!$F$16:$F$25,'6_資料庫比對'!$B$16:$B$25,A99,'6_資料庫比對'!$C$16:$C$25,I99)&gt;=T99,SUMIFS('6_資料庫比對'!$F$16:$F$25,'6_資料庫比對'!$B$16:$B$25,A99,'6_資料庫比對'!$C$16:$C$25,I99)&lt;=U99),"✓ 涵蓋","✗ 不涵蓋")))</f>
        <v/>
      </c>
    </row>
    <row r="100">
      <c r="A100" s="47" t="inlineStr">
        <is>
          <t>soup_powder_dry</t>
        </is>
      </c>
      <c r="B100" s="47" t="inlineStr">
        <is>
          <t>湯粉/高湯粉（乾粉）</t>
        </is>
      </c>
      <c r="C100" s="47" t="inlineStr">
        <is>
          <t>TFND</t>
        </is>
      </c>
      <c r="D100" s="47" t="inlineStr">
        <is>
          <t>食品營養成分資料集</t>
        </is>
      </c>
      <c r="E100" s="47" t="inlineStr">
        <is>
          <t>R8100101</t>
        </is>
      </c>
      <c r="F100" s="47" t="inlineStr">
        <is>
          <t>沖泡濃湯(海鮮)</t>
        </is>
      </c>
      <c r="G100" s="47" t="inlineStr">
        <is>
          <t>closest</t>
        </is>
      </c>
      <c r="H100" s="47" t="n"/>
      <c r="I100" s="47" t="inlineStr">
        <is>
          <t>sugars_total</t>
        </is>
      </c>
      <c r="J100" s="47" t="n">
        <v>11.6</v>
      </c>
      <c r="K100" s="47" t="inlineStr">
        <is>
          <t>g</t>
        </is>
      </c>
      <c r="L100" s="47" t="n"/>
      <c r="M100" s="47" t="n"/>
      <c r="N100" s="47" t="n"/>
      <c r="O100" s="47" t="n"/>
      <c r="P100" s="47" t="n"/>
      <c r="Q100" s="47" t="n"/>
      <c r="R100" s="48">
        <f>IF(OR($A100="",$J100=""),"",IFERROR(VLOOKUP(I100,'6_資料庫比對'!$A$6:$C$12,2,FALSE),""))</f>
        <v/>
      </c>
      <c r="S100" s="49">
        <f>IF(OR($A100="",$J100=""),"",IFERROR(VLOOKUP(I100,'6_資料庫比對'!$A$6:$C$12,3,FALSE),""))</f>
        <v/>
      </c>
      <c r="T100" s="50">
        <f>IF(OR($A100="",$J100=""),"",MAX(0,IF(AND(N100&lt;&gt;"",O100&lt;&gt;""),MIN(J100-MAX(R100*ABS(J100),S100),N100),IF(AND(M100&lt;&gt;"",N(L100)&gt;=2),MIN(J100-MAX(R100*ABS(J100),S100),J100-2*M100),J100-MAX(R100*ABS(J100),S100)))))</f>
        <v/>
      </c>
      <c r="U100" s="50">
        <f>IF(OR($A100="",$J100=""),"",IF(AND(N100&lt;&gt;"",O100&lt;&gt;""),MAX(J100+MAX(R100*ABS(J100),S100),O100),IF(AND(M100&lt;&gt;"",N(L100)&gt;=2),MAX(J100+MAX(R100*ABS(J100),S100),J100+2*M100),J100+MAX(R100*ABS(J100),S100))))</f>
        <v/>
      </c>
      <c r="V100" s="51">
        <f>IF(OR($A100="",$J100=""),"",IF(COUNTIFS('6_資料庫比對'!$B$16:$B$25,A100,'6_資料庫比對'!$C$16:$C$25,I100)=0,"",IF(AND(SUMIFS('6_資料庫比對'!$F$16:$F$25,'6_資料庫比對'!$B$16:$B$25,A100,'6_資料庫比對'!$C$16:$C$25,I100)&gt;=T100,SUMIFS('6_資料庫比對'!$F$16:$F$25,'6_資料庫比對'!$B$16:$B$25,A100,'6_資料庫比對'!$C$16:$C$25,I100)&lt;=U100),"✓ 涵蓋","✗ 不涵蓋")))</f>
        <v/>
      </c>
    </row>
    <row r="101">
      <c r="A101" s="47" t="inlineStr">
        <is>
          <t>soup_powder_dry</t>
        </is>
      </c>
      <c r="B101" s="47" t="inlineStr">
        <is>
          <t>湯粉/高湯粉（乾粉）</t>
        </is>
      </c>
      <c r="C101" s="47" t="inlineStr">
        <is>
          <t>TFND</t>
        </is>
      </c>
      <c r="D101" s="47" t="inlineStr">
        <is>
          <t>食品營養成分資料集</t>
        </is>
      </c>
      <c r="E101" s="47" t="inlineStr">
        <is>
          <t>R8100101</t>
        </is>
      </c>
      <c r="F101" s="47" t="inlineStr">
        <is>
          <t>沖泡濃湯(海鮮)</t>
        </is>
      </c>
      <c r="G101" s="47" t="inlineStr">
        <is>
          <t>closest</t>
        </is>
      </c>
      <c r="H101" s="47" t="n"/>
      <c r="I101" s="47" t="inlineStr">
        <is>
          <t>sodium</t>
        </is>
      </c>
      <c r="J101" s="47" t="n">
        <v>6118</v>
      </c>
      <c r="K101" s="47" t="inlineStr">
        <is>
          <t>mg</t>
        </is>
      </c>
      <c r="L101" s="47" t="n">
        <v>1</v>
      </c>
      <c r="M101" s="47" t="n"/>
      <c r="N101" s="47" t="n"/>
      <c r="O101" s="47" t="n"/>
      <c r="P101" s="47" t="n"/>
      <c r="Q101" s="47" t="n"/>
      <c r="R101" s="48">
        <f>IF(OR($A101="",$J101=""),"",IFERROR(VLOOKUP(I101,'6_資料庫比對'!$A$6:$C$12,2,FALSE),""))</f>
        <v/>
      </c>
      <c r="S101" s="49">
        <f>IF(OR($A101="",$J101=""),"",IFERROR(VLOOKUP(I101,'6_資料庫比對'!$A$6:$C$12,3,FALSE),""))</f>
        <v/>
      </c>
      <c r="T101" s="50">
        <f>IF(OR($A101="",$J101=""),"",MAX(0,IF(AND(N101&lt;&gt;"",O101&lt;&gt;""),MIN(J101-MAX(R101*ABS(J101),S101),N101),IF(AND(M101&lt;&gt;"",N(L101)&gt;=2),MIN(J101-MAX(R101*ABS(J101),S101),J101-2*M101),J101-MAX(R101*ABS(J101),S101)))))</f>
        <v/>
      </c>
      <c r="U101" s="50">
        <f>IF(OR($A101="",$J101=""),"",IF(AND(N101&lt;&gt;"",O101&lt;&gt;""),MAX(J101+MAX(R101*ABS(J101),S101),O101),IF(AND(M101&lt;&gt;"",N(L101)&gt;=2),MAX(J101+MAX(R101*ABS(J101),S101),J101+2*M101),J101+MAX(R101*ABS(J101),S101))))</f>
        <v/>
      </c>
      <c r="V101" s="51">
        <f>IF(OR($A101="",$J101=""),"",IF(COUNTIFS('6_資料庫比對'!$B$16:$B$25,A101,'6_資料庫比對'!$C$16:$C$25,I101)=0,"",IF(AND(SUMIFS('6_資料庫比對'!$F$16:$F$25,'6_資料庫比對'!$B$16:$B$25,A101,'6_資料庫比對'!$C$16:$C$25,I101)&gt;=T101,SUMIFS('6_資料庫比對'!$F$16:$F$25,'6_資料庫比對'!$B$16:$B$25,A101,'6_資料庫比對'!$C$16:$C$25,I101)&lt;=U101),"✓ 涵蓋","✗ 不涵蓋")))</f>
        <v/>
      </c>
    </row>
    <row r="102">
      <c r="A102" s="47" t="inlineStr">
        <is>
          <t>soup_prepared</t>
        </is>
      </c>
      <c r="B102" s="47" t="inlineStr">
        <is>
          <t>沖泡後的湯（依標示沖泡）</t>
        </is>
      </c>
      <c r="C102" s="47" t="inlineStr">
        <is>
          <t>USDA</t>
        </is>
      </c>
      <c r="D102" s="47" t="inlineStr">
        <is>
          <t>SR Legacy</t>
        </is>
      </c>
      <c r="E102" s="47" t="n">
        <v>172924</v>
      </c>
      <c r="F102" s="47" t="inlineStr">
        <is>
          <t>Soup, chicken broth or bouillon, dry, prepared with water</t>
        </is>
      </c>
      <c r="G102" s="47" t="inlineStr">
        <is>
          <t>closest</t>
        </is>
      </c>
      <c r="H102" s="47" t="n">
        <v>6.25</v>
      </c>
      <c r="I102" s="47" t="inlineStr">
        <is>
          <t>water</t>
        </is>
      </c>
      <c r="J102" s="47" t="n">
        <v>98.28</v>
      </c>
      <c r="K102" s="47" t="inlineStr">
        <is>
          <t>g</t>
        </is>
      </c>
      <c r="L102" s="47" t="n">
        <v>0</v>
      </c>
      <c r="M102" s="47" t="n"/>
      <c r="N102" s="47" t="n"/>
      <c r="O102" s="47" t="n"/>
      <c r="P102" s="47" t="n"/>
      <c r="Q102" s="47" t="inlineStr">
        <is>
          <t>RPI: Recipe;Per package directions;No adjustments applied, combination of source codes which incl codes other than 1,12,or 6</t>
        </is>
      </c>
      <c r="R102" s="48">
        <f>IF(OR($A102="",$J102=""),"",IFERROR(VLOOKUP(I102,'6_資料庫比對'!$A$6:$C$12,2,FALSE),""))</f>
        <v/>
      </c>
      <c r="S102" s="49">
        <f>IF(OR($A102="",$J102=""),"",IFERROR(VLOOKUP(I102,'6_資料庫比對'!$A$6:$C$12,3,FALSE),""))</f>
        <v/>
      </c>
      <c r="T102" s="50">
        <f>IF(OR($A102="",$J102=""),"",MAX(0,IF(AND(N102&lt;&gt;"",O102&lt;&gt;""),MIN(J102-MAX(R102*ABS(J102),S102),N102),IF(AND(M102&lt;&gt;"",N(L102)&gt;=2),MIN(J102-MAX(R102*ABS(J102),S102),J102-2*M102),J102-MAX(R102*ABS(J102),S102)))))</f>
        <v/>
      </c>
      <c r="U102" s="50">
        <f>IF(OR($A102="",$J102=""),"",IF(AND(N102&lt;&gt;"",O102&lt;&gt;""),MAX(J102+MAX(R102*ABS(J102),S102),O102),IF(AND(M102&lt;&gt;"",N(L102)&gt;=2),MAX(J102+MAX(R102*ABS(J102),S102),J102+2*M102),J102+MAX(R102*ABS(J102),S102))))</f>
        <v/>
      </c>
      <c r="V102" s="51">
        <f>IF(OR($A102="",$J102=""),"",IF(COUNTIFS('6_資料庫比對'!$B$16:$B$25,A102,'6_資料庫比對'!$C$16:$C$25,I102)=0,"",IF(AND(SUMIFS('6_資料庫比對'!$F$16:$F$25,'6_資料庫比對'!$B$16:$B$25,A102,'6_資料庫比對'!$C$16:$C$25,I102)&gt;=T102,SUMIFS('6_資料庫比對'!$F$16:$F$25,'6_資料庫比對'!$B$16:$B$25,A102,'6_資料庫比對'!$C$16:$C$25,I102)&lt;=U102),"✓ 涵蓋","✗ 不涵蓋")))</f>
        <v/>
      </c>
    </row>
    <row r="103">
      <c r="A103" s="47" t="inlineStr">
        <is>
          <t>soup_prepared</t>
        </is>
      </c>
      <c r="B103" s="47" t="inlineStr">
        <is>
          <t>沖泡後的湯（依標示沖泡）</t>
        </is>
      </c>
      <c r="C103" s="47" t="inlineStr">
        <is>
          <t>USDA</t>
        </is>
      </c>
      <c r="D103" s="47" t="inlineStr">
        <is>
          <t>SR Legacy</t>
        </is>
      </c>
      <c r="E103" s="47" t="n">
        <v>172924</v>
      </c>
      <c r="F103" s="47" t="inlineStr">
        <is>
          <t>Soup, chicken broth or bouillon, dry, prepared with water</t>
        </is>
      </c>
      <c r="G103" s="47" t="inlineStr">
        <is>
          <t>closest</t>
        </is>
      </c>
      <c r="H103" s="47" t="n">
        <v>6.25</v>
      </c>
      <c r="I103" s="47" t="inlineStr">
        <is>
          <t>protein</t>
        </is>
      </c>
      <c r="J103" s="47" t="n">
        <v>0.28</v>
      </c>
      <c r="K103" s="47" t="inlineStr">
        <is>
          <t>g</t>
        </is>
      </c>
      <c r="L103" s="47" t="n">
        <v>0</v>
      </c>
      <c r="M103" s="47" t="n"/>
      <c r="N103" s="47" t="n"/>
      <c r="O103" s="47" t="n"/>
      <c r="P103" s="47" t="n"/>
      <c r="Q103" s="47" t="inlineStr">
        <is>
          <t>RPI: Recipe;Per package directions;No adjustments applied, combination of source codes which incl codes other than 1,12,or 6</t>
        </is>
      </c>
      <c r="R103" s="48">
        <f>IF(OR($A103="",$J103=""),"",IFERROR(VLOOKUP(I103,'6_資料庫比對'!$A$6:$C$12,2,FALSE),""))</f>
        <v/>
      </c>
      <c r="S103" s="49">
        <f>IF(OR($A103="",$J103=""),"",IFERROR(VLOOKUP(I103,'6_資料庫比對'!$A$6:$C$12,3,FALSE),""))</f>
        <v/>
      </c>
      <c r="T103" s="50">
        <f>IF(OR($A103="",$J103=""),"",MAX(0,IF(AND(N103&lt;&gt;"",O103&lt;&gt;""),MIN(J103-MAX(R103*ABS(J103),S103),N103),IF(AND(M103&lt;&gt;"",N(L103)&gt;=2),MIN(J103-MAX(R103*ABS(J103),S103),J103-2*M103),J103-MAX(R103*ABS(J103),S103)))))</f>
        <v/>
      </c>
      <c r="U103" s="50">
        <f>IF(OR($A103="",$J103=""),"",IF(AND(N103&lt;&gt;"",O103&lt;&gt;""),MAX(J103+MAX(R103*ABS(J103),S103),O103),IF(AND(M103&lt;&gt;"",N(L103)&gt;=2),MAX(J103+MAX(R103*ABS(J103),S103),J103+2*M103),J103+MAX(R103*ABS(J103),S103))))</f>
        <v/>
      </c>
      <c r="V103" s="51">
        <f>IF(OR($A103="",$J103=""),"",IF(COUNTIFS('6_資料庫比對'!$B$16:$B$25,A103,'6_資料庫比對'!$C$16:$C$25,I103)=0,"",IF(AND(SUMIFS('6_資料庫比對'!$F$16:$F$25,'6_資料庫比對'!$B$16:$B$25,A103,'6_資料庫比對'!$C$16:$C$25,I103)&gt;=T103,SUMIFS('6_資料庫比對'!$F$16:$F$25,'6_資料庫比對'!$B$16:$B$25,A103,'6_資料庫比對'!$C$16:$C$25,I103)&lt;=U103),"✓ 涵蓋","✗ 不涵蓋")))</f>
        <v/>
      </c>
    </row>
    <row r="104">
      <c r="A104" s="47" t="inlineStr">
        <is>
          <t>soup_prepared</t>
        </is>
      </c>
      <c r="B104" s="47" t="inlineStr">
        <is>
          <t>沖泡後的湯（依標示沖泡）</t>
        </is>
      </c>
      <c r="C104" s="47" t="inlineStr">
        <is>
          <t>USDA</t>
        </is>
      </c>
      <c r="D104" s="47" t="inlineStr">
        <is>
          <t>SR Legacy</t>
        </is>
      </c>
      <c r="E104" s="47" t="n">
        <v>172924</v>
      </c>
      <c r="F104" s="47" t="inlineStr">
        <is>
          <t>Soup, chicken broth or bouillon, dry, prepared with water</t>
        </is>
      </c>
      <c r="G104" s="47" t="inlineStr">
        <is>
          <t>closest</t>
        </is>
      </c>
      <c r="H104" s="47" t="n">
        <v>6.25</v>
      </c>
      <c r="I104" s="47" t="inlineStr">
        <is>
          <t>fat</t>
        </is>
      </c>
      <c r="J104" s="47" t="n">
        <v>0.23</v>
      </c>
      <c r="K104" s="47" t="inlineStr">
        <is>
          <t>g</t>
        </is>
      </c>
      <c r="L104" s="47" t="n">
        <v>0</v>
      </c>
      <c r="M104" s="47" t="n"/>
      <c r="N104" s="47" t="n"/>
      <c r="O104" s="47" t="n"/>
      <c r="P104" s="47" t="n"/>
      <c r="Q104" s="47" t="inlineStr">
        <is>
          <t>RPI: Recipe;Per package directions;No adjustments applied, combination of source codes which incl codes other than 1,12,or 6</t>
        </is>
      </c>
      <c r="R104" s="48">
        <f>IF(OR($A104="",$J104=""),"",IFERROR(VLOOKUP(I104,'6_資料庫比對'!$A$6:$C$12,2,FALSE),""))</f>
        <v/>
      </c>
      <c r="S104" s="49">
        <f>IF(OR($A104="",$J104=""),"",IFERROR(VLOOKUP(I104,'6_資料庫比對'!$A$6:$C$12,3,FALSE),""))</f>
        <v/>
      </c>
      <c r="T104" s="50">
        <f>IF(OR($A104="",$J104=""),"",MAX(0,IF(AND(N104&lt;&gt;"",O104&lt;&gt;""),MIN(J104-MAX(R104*ABS(J104),S104),N104),IF(AND(M104&lt;&gt;"",N(L104)&gt;=2),MIN(J104-MAX(R104*ABS(J104),S104),J104-2*M104),J104-MAX(R104*ABS(J104),S104)))))</f>
        <v/>
      </c>
      <c r="U104" s="50">
        <f>IF(OR($A104="",$J104=""),"",IF(AND(N104&lt;&gt;"",O104&lt;&gt;""),MAX(J104+MAX(R104*ABS(J104),S104),O104),IF(AND(M104&lt;&gt;"",N(L104)&gt;=2),MAX(J104+MAX(R104*ABS(J104),S104),J104+2*M104),J104+MAX(R104*ABS(J104),S104))))</f>
        <v/>
      </c>
      <c r="V104" s="51">
        <f>IF(OR($A104="",$J104=""),"",IF(COUNTIFS('6_資料庫比對'!$B$16:$B$25,A104,'6_資料庫比對'!$C$16:$C$25,I104)=0,"",IF(AND(SUMIFS('6_資料庫比對'!$F$16:$F$25,'6_資料庫比對'!$B$16:$B$25,A104,'6_資料庫比對'!$C$16:$C$25,I104)&gt;=T104,SUMIFS('6_資料庫比對'!$F$16:$F$25,'6_資料庫比對'!$B$16:$B$25,A104,'6_資料庫比對'!$C$16:$C$25,I104)&lt;=U104),"✓ 涵蓋","✗ 不涵蓋")))</f>
        <v/>
      </c>
    </row>
    <row r="105">
      <c r="A105" s="47" t="inlineStr">
        <is>
          <t>soup_prepared</t>
        </is>
      </c>
      <c r="B105" s="47" t="inlineStr">
        <is>
          <t>沖泡後的湯（依標示沖泡）</t>
        </is>
      </c>
      <c r="C105" s="47" t="inlineStr">
        <is>
          <t>USDA</t>
        </is>
      </c>
      <c r="D105" s="47" t="inlineStr">
        <is>
          <t>SR Legacy</t>
        </is>
      </c>
      <c r="E105" s="47" t="n">
        <v>172924</v>
      </c>
      <c r="F105" s="47" t="inlineStr">
        <is>
          <t>Soup, chicken broth or bouillon, dry, prepared with water</t>
        </is>
      </c>
      <c r="G105" s="47" t="inlineStr">
        <is>
          <t>closest</t>
        </is>
      </c>
      <c r="H105" s="47" t="n">
        <v>6.25</v>
      </c>
      <c r="I105" s="47" t="inlineStr">
        <is>
          <t>ash</t>
        </is>
      </c>
      <c r="J105" s="47" t="n">
        <v>0.92</v>
      </c>
      <c r="K105" s="47" t="inlineStr">
        <is>
          <t>g</t>
        </is>
      </c>
      <c r="L105" s="47" t="n">
        <v>0</v>
      </c>
      <c r="M105" s="47" t="n"/>
      <c r="N105" s="47" t="n"/>
      <c r="O105" s="47" t="n"/>
      <c r="P105" s="47" t="n"/>
      <c r="Q105" s="47" t="inlineStr">
        <is>
          <t>RPI: Recipe;Per package directions;No adjustments applied, combination of source codes which incl codes other than 1,12,or 6</t>
        </is>
      </c>
      <c r="R105" s="48">
        <f>IF(OR($A105="",$J105=""),"",IFERROR(VLOOKUP(I105,'6_資料庫比對'!$A$6:$C$12,2,FALSE),""))</f>
        <v/>
      </c>
      <c r="S105" s="49">
        <f>IF(OR($A105="",$J105=""),"",IFERROR(VLOOKUP(I105,'6_資料庫比對'!$A$6:$C$12,3,FALSE),""))</f>
        <v/>
      </c>
      <c r="T105" s="50">
        <f>IF(OR($A105="",$J105=""),"",MAX(0,IF(AND(N105&lt;&gt;"",O105&lt;&gt;""),MIN(J105-MAX(R105*ABS(J105),S105),N105),IF(AND(M105&lt;&gt;"",N(L105)&gt;=2),MIN(J105-MAX(R105*ABS(J105),S105),J105-2*M105),J105-MAX(R105*ABS(J105),S105)))))</f>
        <v/>
      </c>
      <c r="U105" s="50">
        <f>IF(OR($A105="",$J105=""),"",IF(AND(N105&lt;&gt;"",O105&lt;&gt;""),MAX(J105+MAX(R105*ABS(J105),S105),O105),IF(AND(M105&lt;&gt;"",N(L105)&gt;=2),MAX(J105+MAX(R105*ABS(J105),S105),J105+2*M105),J105+MAX(R105*ABS(J105),S105))))</f>
        <v/>
      </c>
      <c r="V105" s="51">
        <f>IF(OR($A105="",$J105=""),"",IF(COUNTIFS('6_資料庫比對'!$B$16:$B$25,A105,'6_資料庫比對'!$C$16:$C$25,I105)=0,"",IF(AND(SUMIFS('6_資料庫比對'!$F$16:$F$25,'6_資料庫比對'!$B$16:$B$25,A105,'6_資料庫比對'!$C$16:$C$25,I105)&gt;=T105,SUMIFS('6_資料庫比對'!$F$16:$F$25,'6_資料庫比對'!$B$16:$B$25,A105,'6_資料庫比對'!$C$16:$C$25,I105)&lt;=U105),"✓ 涵蓋","✗ 不涵蓋")))</f>
        <v/>
      </c>
    </row>
    <row r="106">
      <c r="A106" s="47" t="inlineStr">
        <is>
          <t>soup_prepared</t>
        </is>
      </c>
      <c r="B106" s="47" t="inlineStr">
        <is>
          <t>沖泡後的湯（依標示沖泡）</t>
        </is>
      </c>
      <c r="C106" s="47" t="inlineStr">
        <is>
          <t>USDA</t>
        </is>
      </c>
      <c r="D106" s="47" t="inlineStr">
        <is>
          <t>SR Legacy</t>
        </is>
      </c>
      <c r="E106" s="47" t="n">
        <v>172924</v>
      </c>
      <c r="F106" s="47" t="inlineStr">
        <is>
          <t>Soup, chicken broth or bouillon, dry, prepared with water</t>
        </is>
      </c>
      <c r="G106" s="47" t="inlineStr">
        <is>
          <t>closest</t>
        </is>
      </c>
      <c r="H106" s="47" t="n">
        <v>6.25</v>
      </c>
      <c r="I106" s="47" t="inlineStr">
        <is>
          <t>carbohydrate</t>
        </is>
      </c>
      <c r="J106" s="47" t="n">
        <v>0.3</v>
      </c>
      <c r="K106" s="47" t="inlineStr">
        <is>
          <t>g</t>
        </is>
      </c>
      <c r="L106" s="47" t="n">
        <v>0</v>
      </c>
      <c r="M106" s="47" t="n"/>
      <c r="N106" s="47" t="n"/>
      <c r="O106" s="47" t="n"/>
      <c r="P106" s="47" t="n"/>
      <c r="Q106" s="47" t="inlineStr">
        <is>
          <t>RPI: Recipe;Per package directions;No adjustments applied, combination of source codes which incl codes other than 1,12,or 6</t>
        </is>
      </c>
      <c r="R106" s="48">
        <f>IF(OR($A106="",$J106=""),"",IFERROR(VLOOKUP(I106,'6_資料庫比對'!$A$6:$C$12,2,FALSE),""))</f>
        <v/>
      </c>
      <c r="S106" s="49">
        <f>IF(OR($A106="",$J106=""),"",IFERROR(VLOOKUP(I106,'6_資料庫比對'!$A$6:$C$12,3,FALSE),""))</f>
        <v/>
      </c>
      <c r="T106" s="50">
        <f>IF(OR($A106="",$J106=""),"",MAX(0,IF(AND(N106&lt;&gt;"",O106&lt;&gt;""),MIN(J106-MAX(R106*ABS(J106),S106),N106),IF(AND(M106&lt;&gt;"",N(L106)&gt;=2),MIN(J106-MAX(R106*ABS(J106),S106),J106-2*M106),J106-MAX(R106*ABS(J106),S106)))))</f>
        <v/>
      </c>
      <c r="U106" s="50">
        <f>IF(OR($A106="",$J106=""),"",IF(AND(N106&lt;&gt;"",O106&lt;&gt;""),MAX(J106+MAX(R106*ABS(J106),S106),O106),IF(AND(M106&lt;&gt;"",N(L106)&gt;=2),MAX(J106+MAX(R106*ABS(J106),S106),J106+2*M106),J106+MAX(R106*ABS(J106),S106))))</f>
        <v/>
      </c>
      <c r="V106" s="51">
        <f>IF(OR($A106="",$J106=""),"",IF(COUNTIFS('6_資料庫比對'!$B$16:$B$25,A106,'6_資料庫比對'!$C$16:$C$25,I106)=0,"",IF(AND(SUMIFS('6_資料庫比對'!$F$16:$F$25,'6_資料庫比對'!$B$16:$B$25,A106,'6_資料庫比對'!$C$16:$C$25,I106)&gt;=T106,SUMIFS('6_資料庫比對'!$F$16:$F$25,'6_資料庫比對'!$B$16:$B$25,A106,'6_資料庫比對'!$C$16:$C$25,I106)&lt;=U106),"✓ 涵蓋","✗ 不涵蓋")))</f>
        <v/>
      </c>
    </row>
    <row r="107">
      <c r="A107" s="47" t="inlineStr">
        <is>
          <t>soup_prepared</t>
        </is>
      </c>
      <c r="B107" s="47" t="inlineStr">
        <is>
          <t>沖泡後的湯（依標示沖泡）</t>
        </is>
      </c>
      <c r="C107" s="47" t="inlineStr">
        <is>
          <t>USDA</t>
        </is>
      </c>
      <c r="D107" s="47" t="inlineStr">
        <is>
          <t>SR Legacy</t>
        </is>
      </c>
      <c r="E107" s="47" t="n">
        <v>172924</v>
      </c>
      <c r="F107" s="47" t="inlineStr">
        <is>
          <t>Soup, chicken broth or bouillon, dry, prepared with water</t>
        </is>
      </c>
      <c r="G107" s="47" t="inlineStr">
        <is>
          <t>closest</t>
        </is>
      </c>
      <c r="H107" s="47" t="n">
        <v>6.25</v>
      </c>
      <c r="I107" s="47" t="inlineStr">
        <is>
          <t>sugars_total</t>
        </is>
      </c>
      <c r="J107" s="47" t="n">
        <v>0.29</v>
      </c>
      <c r="K107" s="47" t="inlineStr">
        <is>
          <t>g</t>
        </is>
      </c>
      <c r="L107" s="47" t="n">
        <v>0</v>
      </c>
      <c r="M107" s="47" t="n"/>
      <c r="N107" s="47" t="n"/>
      <c r="O107" s="47" t="n"/>
      <c r="P107" s="47" t="n"/>
      <c r="Q107" s="47" t="inlineStr">
        <is>
          <t>RPI: Recipe;Per package directions;No adjustments applied, combination of source codes which incl codes other than 1,12,or 6</t>
        </is>
      </c>
      <c r="R107" s="48">
        <f>IF(OR($A107="",$J107=""),"",IFERROR(VLOOKUP(I107,'6_資料庫比對'!$A$6:$C$12,2,FALSE),""))</f>
        <v/>
      </c>
      <c r="S107" s="49">
        <f>IF(OR($A107="",$J107=""),"",IFERROR(VLOOKUP(I107,'6_資料庫比對'!$A$6:$C$12,3,FALSE),""))</f>
        <v/>
      </c>
      <c r="T107" s="50">
        <f>IF(OR($A107="",$J107=""),"",MAX(0,IF(AND(N107&lt;&gt;"",O107&lt;&gt;""),MIN(J107-MAX(R107*ABS(J107),S107),N107),IF(AND(M107&lt;&gt;"",N(L107)&gt;=2),MIN(J107-MAX(R107*ABS(J107),S107),J107-2*M107),J107-MAX(R107*ABS(J107),S107)))))</f>
        <v/>
      </c>
      <c r="U107" s="50">
        <f>IF(OR($A107="",$J107=""),"",IF(AND(N107&lt;&gt;"",O107&lt;&gt;""),MAX(J107+MAX(R107*ABS(J107),S107),O107),IF(AND(M107&lt;&gt;"",N(L107)&gt;=2),MAX(J107+MAX(R107*ABS(J107),S107),J107+2*M107),J107+MAX(R107*ABS(J107),S107))))</f>
        <v/>
      </c>
      <c r="V107" s="51">
        <f>IF(OR($A107="",$J107=""),"",IF(COUNTIFS('6_資料庫比對'!$B$16:$B$25,A107,'6_資料庫比對'!$C$16:$C$25,I107)=0,"",IF(AND(SUMIFS('6_資料庫比對'!$F$16:$F$25,'6_資料庫比對'!$B$16:$B$25,A107,'6_資料庫比對'!$C$16:$C$25,I107)&gt;=T107,SUMIFS('6_資料庫比對'!$F$16:$F$25,'6_資料庫比對'!$B$16:$B$25,A107,'6_資料庫比對'!$C$16:$C$25,I107)&lt;=U107),"✓ 涵蓋","✗ 不涵蓋")))</f>
        <v/>
      </c>
    </row>
    <row r="108">
      <c r="A108" s="47" t="inlineStr">
        <is>
          <t>soup_prepared</t>
        </is>
      </c>
      <c r="B108" s="47" t="inlineStr">
        <is>
          <t>沖泡後的湯（依標示沖泡）</t>
        </is>
      </c>
      <c r="C108" s="47" t="inlineStr">
        <is>
          <t>USDA</t>
        </is>
      </c>
      <c r="D108" s="47" t="inlineStr">
        <is>
          <t>SR Legacy</t>
        </is>
      </c>
      <c r="E108" s="47" t="n">
        <v>172924</v>
      </c>
      <c r="F108" s="47" t="inlineStr">
        <is>
          <t>Soup, chicken broth or bouillon, dry, prepared with water</t>
        </is>
      </c>
      <c r="G108" s="47" t="inlineStr">
        <is>
          <t>closest</t>
        </is>
      </c>
      <c r="H108" s="47" t="n">
        <v>6.25</v>
      </c>
      <c r="I108" s="47" t="inlineStr">
        <is>
          <t>sodium</t>
        </is>
      </c>
      <c r="J108" s="47" t="n">
        <v>401</v>
      </c>
      <c r="K108" s="47" t="inlineStr">
        <is>
          <t>mg</t>
        </is>
      </c>
      <c r="L108" s="47" t="n">
        <v>0</v>
      </c>
      <c r="M108" s="47" t="n"/>
      <c r="N108" s="47" t="n"/>
      <c r="O108" s="47" t="n"/>
      <c r="P108" s="47" t="n"/>
      <c r="Q108" s="47" t="inlineStr">
        <is>
          <t>NR: Nutrient that is based on other nutrient/s; value used directly, ex. Nut.#204 from Nut.#298</t>
        </is>
      </c>
      <c r="R108" s="48">
        <f>IF(OR($A108="",$J108=""),"",IFERROR(VLOOKUP(I108,'6_資料庫比對'!$A$6:$C$12,2,FALSE),""))</f>
        <v/>
      </c>
      <c r="S108" s="49">
        <f>IF(OR($A108="",$J108=""),"",IFERROR(VLOOKUP(I108,'6_資料庫比對'!$A$6:$C$12,3,FALSE),""))</f>
        <v/>
      </c>
      <c r="T108" s="50">
        <f>IF(OR($A108="",$J108=""),"",MAX(0,IF(AND(N108&lt;&gt;"",O108&lt;&gt;""),MIN(J108-MAX(R108*ABS(J108),S108),N108),IF(AND(M108&lt;&gt;"",N(L108)&gt;=2),MIN(J108-MAX(R108*ABS(J108),S108),J108-2*M108),J108-MAX(R108*ABS(J108),S108)))))</f>
        <v/>
      </c>
      <c r="U108" s="50">
        <f>IF(OR($A108="",$J108=""),"",IF(AND(N108&lt;&gt;"",O108&lt;&gt;""),MAX(J108+MAX(R108*ABS(J108),S108),O108),IF(AND(M108&lt;&gt;"",N(L108)&gt;=2),MAX(J108+MAX(R108*ABS(J108),S108),J108+2*M108),J108+MAX(R108*ABS(J108),S108))))</f>
        <v/>
      </c>
      <c r="V108" s="51">
        <f>IF(OR($A108="",$J108=""),"",IF(COUNTIFS('6_資料庫比對'!$B$16:$B$25,A108,'6_資料庫比對'!$C$16:$C$25,I108)=0,"",IF(AND(SUMIFS('6_資料庫比對'!$F$16:$F$25,'6_資料庫比對'!$B$16:$B$25,A108,'6_資料庫比對'!$C$16:$C$25,I108)&gt;=T108,SUMIFS('6_資料庫比對'!$F$16:$F$25,'6_資料庫比對'!$B$16:$B$25,A108,'6_資料庫比對'!$C$16:$C$25,I108)&lt;=U108),"✓ 涵蓋","✗ 不涵蓋")))</f>
        <v/>
      </c>
    </row>
    <row r="109">
      <c r="A109" s="47" t="inlineStr">
        <is>
          <t>sports_drink</t>
        </is>
      </c>
      <c r="B109" s="47" t="inlineStr">
        <is>
          <t>運動飲料</t>
        </is>
      </c>
      <c r="C109" s="47" t="inlineStr">
        <is>
          <t>USDA</t>
        </is>
      </c>
      <c r="D109" s="47" t="inlineStr">
        <is>
          <t>SR Legacy</t>
        </is>
      </c>
      <c r="E109" s="47" t="n">
        <v>173660</v>
      </c>
      <c r="F109" s="47" t="inlineStr">
        <is>
          <t>Beverages, PEPSICO QUAKER, Gatorade, G performance O 2, ready-to-drink.</t>
        </is>
      </c>
      <c r="G109" s="47" t="inlineStr">
        <is>
          <t>closest</t>
        </is>
      </c>
      <c r="H109" s="47" t="n">
        <v>6.25</v>
      </c>
      <c r="I109" s="47" t="inlineStr">
        <is>
          <t>water</t>
        </is>
      </c>
      <c r="J109" s="47" t="n">
        <v>93.38</v>
      </c>
      <c r="K109" s="47" t="inlineStr">
        <is>
          <t>g</t>
        </is>
      </c>
      <c r="L109" s="47" t="n">
        <v>1</v>
      </c>
      <c r="M109" s="47" t="n"/>
      <c r="N109" s="47" t="n"/>
      <c r="O109" s="47" t="n"/>
      <c r="P109" s="47" t="n"/>
      <c r="Q109" s="47" t="inlineStr">
        <is>
          <t>A: Analytical</t>
        </is>
      </c>
      <c r="R109" s="48">
        <f>IF(OR($A109="",$J109=""),"",IFERROR(VLOOKUP(I109,'6_資料庫比對'!$A$6:$C$12,2,FALSE),""))</f>
        <v/>
      </c>
      <c r="S109" s="49">
        <f>IF(OR($A109="",$J109=""),"",IFERROR(VLOOKUP(I109,'6_資料庫比對'!$A$6:$C$12,3,FALSE),""))</f>
        <v/>
      </c>
      <c r="T109" s="50">
        <f>IF(OR($A109="",$J109=""),"",MAX(0,IF(AND(N109&lt;&gt;"",O109&lt;&gt;""),MIN(J109-MAX(R109*ABS(J109),S109),N109),IF(AND(M109&lt;&gt;"",N(L109)&gt;=2),MIN(J109-MAX(R109*ABS(J109),S109),J109-2*M109),J109-MAX(R109*ABS(J109),S109)))))</f>
        <v/>
      </c>
      <c r="U109" s="50">
        <f>IF(OR($A109="",$J109=""),"",IF(AND(N109&lt;&gt;"",O109&lt;&gt;""),MAX(J109+MAX(R109*ABS(J109),S109),O109),IF(AND(M109&lt;&gt;"",N(L109)&gt;=2),MAX(J109+MAX(R109*ABS(J109),S109),J109+2*M109),J109+MAX(R109*ABS(J109),S109))))</f>
        <v/>
      </c>
      <c r="V109" s="51">
        <f>IF(OR($A109="",$J109=""),"",IF(COUNTIFS('6_資料庫比對'!$B$16:$B$25,A109,'6_資料庫比對'!$C$16:$C$25,I109)=0,"",IF(AND(SUMIFS('6_資料庫比對'!$F$16:$F$25,'6_資料庫比對'!$B$16:$B$25,A109,'6_資料庫比對'!$C$16:$C$25,I109)&gt;=T109,SUMIFS('6_資料庫比對'!$F$16:$F$25,'6_資料庫比對'!$B$16:$B$25,A109,'6_資料庫比對'!$C$16:$C$25,I109)&lt;=U109),"✓ 涵蓋","✗ 不涵蓋")))</f>
        <v/>
      </c>
    </row>
    <row r="110">
      <c r="A110" s="47" t="inlineStr">
        <is>
          <t>sports_drink</t>
        </is>
      </c>
      <c r="B110" s="47" t="inlineStr">
        <is>
          <t>運動飲料</t>
        </is>
      </c>
      <c r="C110" s="47" t="inlineStr">
        <is>
          <t>USDA</t>
        </is>
      </c>
      <c r="D110" s="47" t="inlineStr">
        <is>
          <t>SR Legacy</t>
        </is>
      </c>
      <c r="E110" s="47" t="n">
        <v>173660</v>
      </c>
      <c r="F110" s="47" t="inlineStr">
        <is>
          <t>Beverages, PEPSICO QUAKER, Gatorade, G performance O 2, ready-to-drink.</t>
        </is>
      </c>
      <c r="G110" s="47" t="inlineStr">
        <is>
          <t>closest</t>
        </is>
      </c>
      <c r="H110" s="47" t="n">
        <v>6.25</v>
      </c>
      <c r="I110" s="47" t="inlineStr">
        <is>
          <t>protein</t>
        </is>
      </c>
      <c r="J110" s="47" t="n">
        <v>0</v>
      </c>
      <c r="K110" s="47" t="inlineStr">
        <is>
          <t>g</t>
        </is>
      </c>
      <c r="L110" s="47" t="n">
        <v>1</v>
      </c>
      <c r="M110" s="47" t="n"/>
      <c r="N110" s="47" t="n"/>
      <c r="O110" s="47" t="n"/>
      <c r="P110" s="47" t="n"/>
      <c r="Q110" s="47" t="inlineStr">
        <is>
          <t>LC: Label claim (back calculated from label by NDL staff; Calculated from label claim/serving (g or %RDI)</t>
        </is>
      </c>
      <c r="R110" s="48">
        <f>IF(OR($A110="",$J110=""),"",IFERROR(VLOOKUP(I110,'6_資料庫比對'!$A$6:$C$12,2,FALSE),""))</f>
        <v/>
      </c>
      <c r="S110" s="49">
        <f>IF(OR($A110="",$J110=""),"",IFERROR(VLOOKUP(I110,'6_資料庫比對'!$A$6:$C$12,3,FALSE),""))</f>
        <v/>
      </c>
      <c r="T110" s="50">
        <f>IF(OR($A110="",$J110=""),"",MAX(0,IF(AND(N110&lt;&gt;"",O110&lt;&gt;""),MIN(J110-MAX(R110*ABS(J110),S110),N110),IF(AND(M110&lt;&gt;"",N(L110)&gt;=2),MIN(J110-MAX(R110*ABS(J110),S110),J110-2*M110),J110-MAX(R110*ABS(J110),S110)))))</f>
        <v/>
      </c>
      <c r="U110" s="50">
        <f>IF(OR($A110="",$J110=""),"",IF(AND(N110&lt;&gt;"",O110&lt;&gt;""),MAX(J110+MAX(R110*ABS(J110),S110),O110),IF(AND(M110&lt;&gt;"",N(L110)&gt;=2),MAX(J110+MAX(R110*ABS(J110),S110),J110+2*M110),J110+MAX(R110*ABS(J110),S110))))</f>
        <v/>
      </c>
      <c r="V110" s="51">
        <f>IF(OR($A110="",$J110=""),"",IF(COUNTIFS('6_資料庫比對'!$B$16:$B$25,A110,'6_資料庫比對'!$C$16:$C$25,I110)=0,"",IF(AND(SUMIFS('6_資料庫比對'!$F$16:$F$25,'6_資料庫比對'!$B$16:$B$25,A110,'6_資料庫比對'!$C$16:$C$25,I110)&gt;=T110,SUMIFS('6_資料庫比對'!$F$16:$F$25,'6_資料庫比對'!$B$16:$B$25,A110,'6_資料庫比對'!$C$16:$C$25,I110)&lt;=U110),"✓ 涵蓋","✗ 不涵蓋")))</f>
        <v/>
      </c>
    </row>
    <row r="111">
      <c r="A111" s="47" t="inlineStr">
        <is>
          <t>sports_drink</t>
        </is>
      </c>
      <c r="B111" s="47" t="inlineStr">
        <is>
          <t>運動飲料</t>
        </is>
      </c>
      <c r="C111" s="47" t="inlineStr">
        <is>
          <t>USDA</t>
        </is>
      </c>
      <c r="D111" s="47" t="inlineStr">
        <is>
          <t>SR Legacy</t>
        </is>
      </c>
      <c r="E111" s="47" t="n">
        <v>173660</v>
      </c>
      <c r="F111" s="47" t="inlineStr">
        <is>
          <t>Beverages, PEPSICO QUAKER, Gatorade, G performance O 2, ready-to-drink.</t>
        </is>
      </c>
      <c r="G111" s="47" t="inlineStr">
        <is>
          <t>closest</t>
        </is>
      </c>
      <c r="H111" s="47" t="n">
        <v>6.25</v>
      </c>
      <c r="I111" s="47" t="inlineStr">
        <is>
          <t>fat</t>
        </is>
      </c>
      <c r="J111" s="47" t="n">
        <v>0</v>
      </c>
      <c r="K111" s="47" t="inlineStr">
        <is>
          <t>g</t>
        </is>
      </c>
      <c r="L111" s="47" t="n">
        <v>0</v>
      </c>
      <c r="M111" s="47" t="n"/>
      <c r="N111" s="47" t="n"/>
      <c r="O111" s="47" t="n"/>
      <c r="P111" s="47" t="n"/>
      <c r="Q111" s="47" t="inlineStr">
        <is>
          <t>Z: Assumed zero (Insignificant amount or not naturally occurring in a food, such as fiber in meat)</t>
        </is>
      </c>
      <c r="R111" s="48">
        <f>IF(OR($A111="",$J111=""),"",IFERROR(VLOOKUP(I111,'6_資料庫比對'!$A$6:$C$12,2,FALSE),""))</f>
        <v/>
      </c>
      <c r="S111" s="49">
        <f>IF(OR($A111="",$J111=""),"",IFERROR(VLOOKUP(I111,'6_資料庫比對'!$A$6:$C$12,3,FALSE),""))</f>
        <v/>
      </c>
      <c r="T111" s="50">
        <f>IF(OR($A111="",$J111=""),"",MAX(0,IF(AND(N111&lt;&gt;"",O111&lt;&gt;""),MIN(J111-MAX(R111*ABS(J111),S111),N111),IF(AND(M111&lt;&gt;"",N(L111)&gt;=2),MIN(J111-MAX(R111*ABS(J111),S111),J111-2*M111),J111-MAX(R111*ABS(J111),S111)))))</f>
        <v/>
      </c>
      <c r="U111" s="50">
        <f>IF(OR($A111="",$J111=""),"",IF(AND(N111&lt;&gt;"",O111&lt;&gt;""),MAX(J111+MAX(R111*ABS(J111),S111),O111),IF(AND(M111&lt;&gt;"",N(L111)&gt;=2),MAX(J111+MAX(R111*ABS(J111),S111),J111+2*M111),J111+MAX(R111*ABS(J111),S111))))</f>
        <v/>
      </c>
      <c r="V111" s="51">
        <f>IF(OR($A111="",$J111=""),"",IF(COUNTIFS('6_資料庫比對'!$B$16:$B$25,A111,'6_資料庫比對'!$C$16:$C$25,I111)=0,"",IF(AND(SUMIFS('6_資料庫比對'!$F$16:$F$25,'6_資料庫比對'!$B$16:$B$25,A111,'6_資料庫比對'!$C$16:$C$25,I111)&gt;=T111,SUMIFS('6_資料庫比對'!$F$16:$F$25,'6_資料庫比對'!$B$16:$B$25,A111,'6_資料庫比對'!$C$16:$C$25,I111)&lt;=U111),"✓ 涵蓋","✗ 不涵蓋")))</f>
        <v/>
      </c>
    </row>
    <row r="112">
      <c r="A112" s="47" t="inlineStr">
        <is>
          <t>sports_drink</t>
        </is>
      </c>
      <c r="B112" s="47" t="inlineStr">
        <is>
          <t>運動飲料</t>
        </is>
      </c>
      <c r="C112" s="47" t="inlineStr">
        <is>
          <t>USDA</t>
        </is>
      </c>
      <c r="D112" s="47" t="inlineStr">
        <is>
          <t>SR Legacy</t>
        </is>
      </c>
      <c r="E112" s="47" t="n">
        <v>173660</v>
      </c>
      <c r="F112" s="47" t="inlineStr">
        <is>
          <t>Beverages, PEPSICO QUAKER, Gatorade, G performance O 2, ready-to-drink.</t>
        </is>
      </c>
      <c r="G112" s="47" t="inlineStr">
        <is>
          <t>closest</t>
        </is>
      </c>
      <c r="H112" s="47" t="n">
        <v>6.25</v>
      </c>
      <c r="I112" s="47" t="inlineStr">
        <is>
          <t>ash</t>
        </is>
      </c>
      <c r="J112" s="47" t="n">
        <v>0.14</v>
      </c>
      <c r="K112" s="47" t="inlineStr">
        <is>
          <t>g</t>
        </is>
      </c>
      <c r="L112" s="47" t="n">
        <v>2</v>
      </c>
      <c r="M112" s="47" t="n"/>
      <c r="N112" s="47" t="n">
        <v>0.07000000000000001</v>
      </c>
      <c r="O112" s="47" t="n">
        <v>0.2</v>
      </c>
      <c r="P112" s="47" t="n"/>
      <c r="Q112" s="47" t="inlineStr">
        <is>
          <t>A: Analytical</t>
        </is>
      </c>
      <c r="R112" s="48">
        <f>IF(OR($A112="",$J112=""),"",IFERROR(VLOOKUP(I112,'6_資料庫比對'!$A$6:$C$12,2,FALSE),""))</f>
        <v/>
      </c>
      <c r="S112" s="49">
        <f>IF(OR($A112="",$J112=""),"",IFERROR(VLOOKUP(I112,'6_資料庫比對'!$A$6:$C$12,3,FALSE),""))</f>
        <v/>
      </c>
      <c r="T112" s="50">
        <f>IF(OR($A112="",$J112=""),"",MAX(0,IF(AND(N112&lt;&gt;"",O112&lt;&gt;""),MIN(J112-MAX(R112*ABS(J112),S112),N112),IF(AND(M112&lt;&gt;"",N(L112)&gt;=2),MIN(J112-MAX(R112*ABS(J112),S112),J112-2*M112),J112-MAX(R112*ABS(J112),S112)))))</f>
        <v/>
      </c>
      <c r="U112" s="50">
        <f>IF(OR($A112="",$J112=""),"",IF(AND(N112&lt;&gt;"",O112&lt;&gt;""),MAX(J112+MAX(R112*ABS(J112),S112),O112),IF(AND(M112&lt;&gt;"",N(L112)&gt;=2),MAX(J112+MAX(R112*ABS(J112),S112),J112+2*M112),J112+MAX(R112*ABS(J112),S112))))</f>
        <v/>
      </c>
      <c r="V112" s="51">
        <f>IF(OR($A112="",$J112=""),"",IF(COUNTIFS('6_資料庫比對'!$B$16:$B$25,A112,'6_資料庫比對'!$C$16:$C$25,I112)=0,"",IF(AND(SUMIFS('6_資料庫比對'!$F$16:$F$25,'6_資料庫比對'!$B$16:$B$25,A112,'6_資料庫比對'!$C$16:$C$25,I112)&gt;=T112,SUMIFS('6_資料庫比對'!$F$16:$F$25,'6_資料庫比對'!$B$16:$B$25,A112,'6_資料庫比對'!$C$16:$C$25,I112)&lt;=U112),"✓ 涵蓋","✗ 不涵蓋")))</f>
        <v/>
      </c>
    </row>
    <row r="113">
      <c r="A113" s="47" t="inlineStr">
        <is>
          <t>sports_drink</t>
        </is>
      </c>
      <c r="B113" s="47" t="inlineStr">
        <is>
          <t>運動飲料</t>
        </is>
      </c>
      <c r="C113" s="47" t="inlineStr">
        <is>
          <t>USDA</t>
        </is>
      </c>
      <c r="D113" s="47" t="inlineStr">
        <is>
          <t>SR Legacy</t>
        </is>
      </c>
      <c r="E113" s="47" t="n">
        <v>173660</v>
      </c>
      <c r="F113" s="47" t="inlineStr">
        <is>
          <t>Beverages, PEPSICO QUAKER, Gatorade, G performance O 2, ready-to-drink.</t>
        </is>
      </c>
      <c r="G113" s="47" t="inlineStr">
        <is>
          <t>closest</t>
        </is>
      </c>
      <c r="H113" s="47" t="n">
        <v>6.25</v>
      </c>
      <c r="I113" s="47" t="inlineStr">
        <is>
          <t>carbohydrate</t>
        </is>
      </c>
      <c r="J113" s="47" t="n">
        <v>6.43</v>
      </c>
      <c r="K113" s="47" t="inlineStr">
        <is>
          <t>g</t>
        </is>
      </c>
      <c r="L113" s="47" t="n">
        <v>0</v>
      </c>
      <c r="M113" s="47" t="n"/>
      <c r="N113" s="47" t="n"/>
      <c r="O113" s="47" t="n"/>
      <c r="P113" s="47" t="n"/>
      <c r="Q113" s="47" t="inlineStr">
        <is>
          <t>NC: Calculated</t>
        </is>
      </c>
      <c r="R113" s="48">
        <f>IF(OR($A113="",$J113=""),"",IFERROR(VLOOKUP(I113,'6_資料庫比對'!$A$6:$C$12,2,FALSE),""))</f>
        <v/>
      </c>
      <c r="S113" s="49">
        <f>IF(OR($A113="",$J113=""),"",IFERROR(VLOOKUP(I113,'6_資料庫比對'!$A$6:$C$12,3,FALSE),""))</f>
        <v/>
      </c>
      <c r="T113" s="50">
        <f>IF(OR($A113="",$J113=""),"",MAX(0,IF(AND(N113&lt;&gt;"",O113&lt;&gt;""),MIN(J113-MAX(R113*ABS(J113),S113),N113),IF(AND(M113&lt;&gt;"",N(L113)&gt;=2),MIN(J113-MAX(R113*ABS(J113),S113),J113-2*M113),J113-MAX(R113*ABS(J113),S113)))))</f>
        <v/>
      </c>
      <c r="U113" s="50">
        <f>IF(OR($A113="",$J113=""),"",IF(AND(N113&lt;&gt;"",O113&lt;&gt;""),MAX(J113+MAX(R113*ABS(J113),S113),O113),IF(AND(M113&lt;&gt;"",N(L113)&gt;=2),MAX(J113+MAX(R113*ABS(J113),S113),J113+2*M113),J113+MAX(R113*ABS(J113),S113))))</f>
        <v/>
      </c>
      <c r="V113" s="51">
        <f>IF(OR($A113="",$J113=""),"",IF(COUNTIFS('6_資料庫比對'!$B$16:$B$25,A113,'6_資料庫比對'!$C$16:$C$25,I113)=0,"",IF(AND(SUMIFS('6_資料庫比對'!$F$16:$F$25,'6_資料庫比對'!$B$16:$B$25,A113,'6_資料庫比對'!$C$16:$C$25,I113)&gt;=T113,SUMIFS('6_資料庫比對'!$F$16:$F$25,'6_資料庫比對'!$B$16:$B$25,A113,'6_資料庫比對'!$C$16:$C$25,I113)&lt;=U113),"✓ 涵蓋","✗ 不涵蓋")))</f>
        <v/>
      </c>
    </row>
    <row r="114">
      <c r="A114" s="47" t="inlineStr">
        <is>
          <t>sports_drink</t>
        </is>
      </c>
      <c r="B114" s="47" t="inlineStr">
        <is>
          <t>運動飲料</t>
        </is>
      </c>
      <c r="C114" s="47" t="inlineStr">
        <is>
          <t>USDA</t>
        </is>
      </c>
      <c r="D114" s="47" t="inlineStr">
        <is>
          <t>SR Legacy</t>
        </is>
      </c>
      <c r="E114" s="47" t="n">
        <v>173660</v>
      </c>
      <c r="F114" s="47" t="inlineStr">
        <is>
          <t>Beverages, PEPSICO QUAKER, Gatorade, G performance O 2, ready-to-drink.</t>
        </is>
      </c>
      <c r="G114" s="47" t="inlineStr">
        <is>
          <t>closest</t>
        </is>
      </c>
      <c r="H114" s="47" t="n">
        <v>6.25</v>
      </c>
      <c r="I114" s="47" t="inlineStr">
        <is>
          <t>sugars_total</t>
        </is>
      </c>
      <c r="J114" s="47" t="n">
        <v>5.24</v>
      </c>
      <c r="K114" s="47" t="inlineStr">
        <is>
          <t>g</t>
        </is>
      </c>
      <c r="L114" s="47" t="n">
        <v>0</v>
      </c>
      <c r="M114" s="47" t="n"/>
      <c r="N114" s="47" t="n"/>
      <c r="O114" s="47" t="n"/>
      <c r="P114" s="47" t="n"/>
      <c r="Q114" s="47" t="inlineStr">
        <is>
          <t>NC: Calculated</t>
        </is>
      </c>
      <c r="R114" s="48">
        <f>IF(OR($A114="",$J114=""),"",IFERROR(VLOOKUP(I114,'6_資料庫比對'!$A$6:$C$12,2,FALSE),""))</f>
        <v/>
      </c>
      <c r="S114" s="49">
        <f>IF(OR($A114="",$J114=""),"",IFERROR(VLOOKUP(I114,'6_資料庫比對'!$A$6:$C$12,3,FALSE),""))</f>
        <v/>
      </c>
      <c r="T114" s="50">
        <f>IF(OR($A114="",$J114=""),"",MAX(0,IF(AND(N114&lt;&gt;"",O114&lt;&gt;""),MIN(J114-MAX(R114*ABS(J114),S114),N114),IF(AND(M114&lt;&gt;"",N(L114)&gt;=2),MIN(J114-MAX(R114*ABS(J114),S114),J114-2*M114),J114-MAX(R114*ABS(J114),S114)))))</f>
        <v/>
      </c>
      <c r="U114" s="50">
        <f>IF(OR($A114="",$J114=""),"",IF(AND(N114&lt;&gt;"",O114&lt;&gt;""),MAX(J114+MAX(R114*ABS(J114),S114),O114),IF(AND(M114&lt;&gt;"",N(L114)&gt;=2),MAX(J114+MAX(R114*ABS(J114),S114),J114+2*M114),J114+MAX(R114*ABS(J114),S114))))</f>
        <v/>
      </c>
      <c r="V114" s="51">
        <f>IF(OR($A114="",$J114=""),"",IF(COUNTIFS('6_資料庫比對'!$B$16:$B$25,A114,'6_資料庫比對'!$C$16:$C$25,I114)=0,"",IF(AND(SUMIFS('6_資料庫比對'!$F$16:$F$25,'6_資料庫比對'!$B$16:$B$25,A114,'6_資料庫比對'!$C$16:$C$25,I114)&gt;=T114,SUMIFS('6_資料庫比對'!$F$16:$F$25,'6_資料庫比對'!$B$16:$B$25,A114,'6_資料庫比對'!$C$16:$C$25,I114)&lt;=U114),"✓ 涵蓋","✗ 不涵蓋")))</f>
        <v/>
      </c>
    </row>
    <row r="115">
      <c r="A115" s="47" t="inlineStr">
        <is>
          <t>sports_drink</t>
        </is>
      </c>
      <c r="B115" s="47" t="inlineStr">
        <is>
          <t>運動飲料</t>
        </is>
      </c>
      <c r="C115" s="47" t="inlineStr">
        <is>
          <t>USDA</t>
        </is>
      </c>
      <c r="D115" s="47" t="inlineStr">
        <is>
          <t>SR Legacy</t>
        </is>
      </c>
      <c r="E115" s="47" t="n">
        <v>173660</v>
      </c>
      <c r="F115" s="47" t="inlineStr">
        <is>
          <t>Beverages, PEPSICO QUAKER, Gatorade, G performance O 2, ready-to-drink.</t>
        </is>
      </c>
      <c r="G115" s="47" t="inlineStr">
        <is>
          <t>closest</t>
        </is>
      </c>
      <c r="H115" s="47" t="n">
        <v>6.25</v>
      </c>
      <c r="I115" s="47" t="inlineStr">
        <is>
          <t>sodium</t>
        </is>
      </c>
      <c r="J115" s="47" t="n">
        <v>39</v>
      </c>
      <c r="K115" s="47" t="inlineStr">
        <is>
          <t>mg</t>
        </is>
      </c>
      <c r="L115" s="47" t="n">
        <v>2</v>
      </c>
      <c r="M115" s="47" t="n"/>
      <c r="N115" s="47" t="n">
        <v>39</v>
      </c>
      <c r="O115" s="47" t="n">
        <v>39</v>
      </c>
      <c r="P115" s="47" t="n"/>
      <c r="Q115" s="47" t="inlineStr">
        <is>
          <t>A: Analytical</t>
        </is>
      </c>
      <c r="R115" s="48">
        <f>IF(OR($A115="",$J115=""),"",IFERROR(VLOOKUP(I115,'6_資料庫比對'!$A$6:$C$12,2,FALSE),""))</f>
        <v/>
      </c>
      <c r="S115" s="49">
        <f>IF(OR($A115="",$J115=""),"",IFERROR(VLOOKUP(I115,'6_資料庫比對'!$A$6:$C$12,3,FALSE),""))</f>
        <v/>
      </c>
      <c r="T115" s="50">
        <f>IF(OR($A115="",$J115=""),"",MAX(0,IF(AND(N115&lt;&gt;"",O115&lt;&gt;""),MIN(J115-MAX(R115*ABS(J115),S115),N115),IF(AND(M115&lt;&gt;"",N(L115)&gt;=2),MIN(J115-MAX(R115*ABS(J115),S115),J115-2*M115),J115-MAX(R115*ABS(J115),S115)))))</f>
        <v/>
      </c>
      <c r="U115" s="50">
        <f>IF(OR($A115="",$J115=""),"",IF(AND(N115&lt;&gt;"",O115&lt;&gt;""),MAX(J115+MAX(R115*ABS(J115),S115),O115),IF(AND(M115&lt;&gt;"",N(L115)&gt;=2),MAX(J115+MAX(R115*ABS(J115),S115),J115+2*M115),J115+MAX(R115*ABS(J115),S115))))</f>
        <v/>
      </c>
      <c r="V115" s="51">
        <f>IF(OR($A115="",$J115=""),"",IF(COUNTIFS('6_資料庫比對'!$B$16:$B$25,A115,'6_資料庫比對'!$C$16:$C$25,I115)=0,"",IF(AND(SUMIFS('6_資料庫比對'!$F$16:$F$25,'6_資料庫比對'!$B$16:$B$25,A115,'6_資料庫比對'!$C$16:$C$25,I115)&gt;=T115,SUMIFS('6_資料庫比對'!$F$16:$F$25,'6_資料庫比對'!$B$16:$B$25,A115,'6_資料庫比對'!$C$16:$C$25,I115)&lt;=U115),"✓ 涵蓋","✗ 不涵蓋")))</f>
        <v/>
      </c>
    </row>
    <row r="116">
      <c r="A116" s="47" t="inlineStr">
        <is>
          <t>sports_drink</t>
        </is>
      </c>
      <c r="B116" s="47" t="inlineStr">
        <is>
          <t>運動飲料</t>
        </is>
      </c>
      <c r="C116" s="47" t="inlineStr">
        <is>
          <t>USDA</t>
        </is>
      </c>
      <c r="D116" s="47" t="inlineStr">
        <is>
          <t>SR Legacy</t>
        </is>
      </c>
      <c r="E116" s="47" t="n">
        <v>175108</v>
      </c>
      <c r="F116" s="47" t="inlineStr">
        <is>
          <t>Beverages, COCA-COLA, POWERADE, lemon-lime flavored, ready-to-drink</t>
        </is>
      </c>
      <c r="G116" s="47" t="inlineStr">
        <is>
          <t>closest</t>
        </is>
      </c>
      <c r="H116" s="47" t="n">
        <v>6.25</v>
      </c>
      <c r="I116" s="47" t="inlineStr">
        <is>
          <t>water</t>
        </is>
      </c>
      <c r="J116" s="47" t="n">
        <v>91.91</v>
      </c>
      <c r="K116" s="47" t="inlineStr">
        <is>
          <t>g</t>
        </is>
      </c>
      <c r="L116" s="47" t="n">
        <v>1</v>
      </c>
      <c r="M116" s="47" t="n"/>
      <c r="N116" s="47" t="n"/>
      <c r="O116" s="47" t="n"/>
      <c r="P116" s="47" t="n"/>
      <c r="Q116" s="47" t="inlineStr">
        <is>
          <t>A: Analytical</t>
        </is>
      </c>
      <c r="R116" s="48">
        <f>IF(OR($A116="",$J116=""),"",IFERROR(VLOOKUP(I116,'6_資料庫比對'!$A$6:$C$12,2,FALSE),""))</f>
        <v/>
      </c>
      <c r="S116" s="49">
        <f>IF(OR($A116="",$J116=""),"",IFERROR(VLOOKUP(I116,'6_資料庫比對'!$A$6:$C$12,3,FALSE),""))</f>
        <v/>
      </c>
      <c r="T116" s="50">
        <f>IF(OR($A116="",$J116=""),"",MAX(0,IF(AND(N116&lt;&gt;"",O116&lt;&gt;""),MIN(J116-MAX(R116*ABS(J116),S116),N116),IF(AND(M116&lt;&gt;"",N(L116)&gt;=2),MIN(J116-MAX(R116*ABS(J116),S116),J116-2*M116),J116-MAX(R116*ABS(J116),S116)))))</f>
        <v/>
      </c>
      <c r="U116" s="50">
        <f>IF(OR($A116="",$J116=""),"",IF(AND(N116&lt;&gt;"",O116&lt;&gt;""),MAX(J116+MAX(R116*ABS(J116),S116),O116),IF(AND(M116&lt;&gt;"",N(L116)&gt;=2),MAX(J116+MAX(R116*ABS(J116),S116),J116+2*M116),J116+MAX(R116*ABS(J116),S116))))</f>
        <v/>
      </c>
      <c r="V116" s="51">
        <f>IF(OR($A116="",$J116=""),"",IF(COUNTIFS('6_資料庫比對'!$B$16:$B$25,A116,'6_資料庫比對'!$C$16:$C$25,I116)=0,"",IF(AND(SUMIFS('6_資料庫比對'!$F$16:$F$25,'6_資料庫比對'!$B$16:$B$25,A116,'6_資料庫比對'!$C$16:$C$25,I116)&gt;=T116,SUMIFS('6_資料庫比對'!$F$16:$F$25,'6_資料庫比對'!$B$16:$B$25,A116,'6_資料庫比對'!$C$16:$C$25,I116)&lt;=U116),"✓ 涵蓋","✗ 不涵蓋")))</f>
        <v/>
      </c>
    </row>
    <row r="117">
      <c r="A117" s="47" t="inlineStr">
        <is>
          <t>sports_drink</t>
        </is>
      </c>
      <c r="B117" s="47" t="inlineStr">
        <is>
          <t>運動飲料</t>
        </is>
      </c>
      <c r="C117" s="47" t="inlineStr">
        <is>
          <t>USDA</t>
        </is>
      </c>
      <c r="D117" s="47" t="inlineStr">
        <is>
          <t>SR Legacy</t>
        </is>
      </c>
      <c r="E117" s="47" t="n">
        <v>175108</v>
      </c>
      <c r="F117" s="47" t="inlineStr">
        <is>
          <t>Beverages, COCA-COLA, POWERADE, lemon-lime flavored, ready-to-drink</t>
        </is>
      </c>
      <c r="G117" s="47" t="inlineStr">
        <is>
          <t>closest</t>
        </is>
      </c>
      <c r="H117" s="47" t="n">
        <v>6.25</v>
      </c>
      <c r="I117" s="47" t="inlineStr">
        <is>
          <t>protein</t>
        </is>
      </c>
      <c r="J117" s="47" t="n">
        <v>0</v>
      </c>
      <c r="K117" s="47" t="inlineStr">
        <is>
          <t>g</t>
        </is>
      </c>
      <c r="L117" s="47" t="n">
        <v>3</v>
      </c>
      <c r="M117" s="47" t="n"/>
      <c r="N117" s="47" t="n">
        <v>0</v>
      </c>
      <c r="O117" s="47" t="n">
        <v>0</v>
      </c>
      <c r="P117" s="47" t="n"/>
      <c r="Q117" s="47" t="inlineStr">
        <is>
          <t>LC: Label claim (back calculated from label by NDL staff; Calculated from label claim/serving (g or %RDI)</t>
        </is>
      </c>
      <c r="R117" s="48">
        <f>IF(OR($A117="",$J117=""),"",IFERROR(VLOOKUP(I117,'6_資料庫比對'!$A$6:$C$12,2,FALSE),""))</f>
        <v/>
      </c>
      <c r="S117" s="49">
        <f>IF(OR($A117="",$J117=""),"",IFERROR(VLOOKUP(I117,'6_資料庫比對'!$A$6:$C$12,3,FALSE),""))</f>
        <v/>
      </c>
      <c r="T117" s="50">
        <f>IF(OR($A117="",$J117=""),"",MAX(0,IF(AND(N117&lt;&gt;"",O117&lt;&gt;""),MIN(J117-MAX(R117*ABS(J117),S117),N117),IF(AND(M117&lt;&gt;"",N(L117)&gt;=2),MIN(J117-MAX(R117*ABS(J117),S117),J117-2*M117),J117-MAX(R117*ABS(J117),S117)))))</f>
        <v/>
      </c>
      <c r="U117" s="50">
        <f>IF(OR($A117="",$J117=""),"",IF(AND(N117&lt;&gt;"",O117&lt;&gt;""),MAX(J117+MAX(R117*ABS(J117),S117),O117),IF(AND(M117&lt;&gt;"",N(L117)&gt;=2),MAX(J117+MAX(R117*ABS(J117),S117),J117+2*M117),J117+MAX(R117*ABS(J117),S117))))</f>
        <v/>
      </c>
      <c r="V117" s="51">
        <f>IF(OR($A117="",$J117=""),"",IF(COUNTIFS('6_資料庫比對'!$B$16:$B$25,A117,'6_資料庫比對'!$C$16:$C$25,I117)=0,"",IF(AND(SUMIFS('6_資料庫比對'!$F$16:$F$25,'6_資料庫比對'!$B$16:$B$25,A117,'6_資料庫比對'!$C$16:$C$25,I117)&gt;=T117,SUMIFS('6_資料庫比對'!$F$16:$F$25,'6_資料庫比對'!$B$16:$B$25,A117,'6_資料庫比對'!$C$16:$C$25,I117)&lt;=U117),"✓ 涵蓋","✗ 不涵蓋")))</f>
        <v/>
      </c>
    </row>
    <row r="118">
      <c r="A118" s="47" t="inlineStr">
        <is>
          <t>sports_drink</t>
        </is>
      </c>
      <c r="B118" s="47" t="inlineStr">
        <is>
          <t>運動飲料</t>
        </is>
      </c>
      <c r="C118" s="47" t="inlineStr">
        <is>
          <t>USDA</t>
        </is>
      </c>
      <c r="D118" s="47" t="inlineStr">
        <is>
          <t>SR Legacy</t>
        </is>
      </c>
      <c r="E118" s="47" t="n">
        <v>175108</v>
      </c>
      <c r="F118" s="47" t="inlineStr">
        <is>
          <t>Beverages, COCA-COLA, POWERADE, lemon-lime flavored, ready-to-drink</t>
        </is>
      </c>
      <c r="G118" s="47" t="inlineStr">
        <is>
          <t>closest</t>
        </is>
      </c>
      <c r="H118" s="47" t="n">
        <v>6.25</v>
      </c>
      <c r="I118" s="47" t="inlineStr">
        <is>
          <t>fat</t>
        </is>
      </c>
      <c r="J118" s="47" t="n">
        <v>0.05</v>
      </c>
      <c r="K118" s="47" t="inlineStr">
        <is>
          <t>g</t>
        </is>
      </c>
      <c r="L118" s="47" t="n">
        <v>0</v>
      </c>
      <c r="M118" s="47" t="n"/>
      <c r="N118" s="47" t="n"/>
      <c r="O118" s="47" t="n"/>
      <c r="P118" s="47" t="n"/>
      <c r="Q118" s="47" t="inlineStr">
        <is>
          <t>FLA: Estimated formulation based on ingredient list; Linear program used to estimate ingredients; Analytical data</t>
        </is>
      </c>
      <c r="R118" s="48">
        <f>IF(OR($A118="",$J118=""),"",IFERROR(VLOOKUP(I118,'6_資料庫比對'!$A$6:$C$12,2,FALSE),""))</f>
        <v/>
      </c>
      <c r="S118" s="49">
        <f>IF(OR($A118="",$J118=""),"",IFERROR(VLOOKUP(I118,'6_資料庫比對'!$A$6:$C$12,3,FALSE),""))</f>
        <v/>
      </c>
      <c r="T118" s="50">
        <f>IF(OR($A118="",$J118=""),"",MAX(0,IF(AND(N118&lt;&gt;"",O118&lt;&gt;""),MIN(J118-MAX(R118*ABS(J118),S118),N118),IF(AND(M118&lt;&gt;"",N(L118)&gt;=2),MIN(J118-MAX(R118*ABS(J118),S118),J118-2*M118),J118-MAX(R118*ABS(J118),S118)))))</f>
        <v/>
      </c>
      <c r="U118" s="50">
        <f>IF(OR($A118="",$J118=""),"",IF(AND(N118&lt;&gt;"",O118&lt;&gt;""),MAX(J118+MAX(R118*ABS(J118),S118),O118),IF(AND(M118&lt;&gt;"",N(L118)&gt;=2),MAX(J118+MAX(R118*ABS(J118),S118),J118+2*M118),J118+MAX(R118*ABS(J118),S118))))</f>
        <v/>
      </c>
      <c r="V118" s="51">
        <f>IF(OR($A118="",$J118=""),"",IF(COUNTIFS('6_資料庫比對'!$B$16:$B$25,A118,'6_資料庫比對'!$C$16:$C$25,I118)=0,"",IF(AND(SUMIFS('6_資料庫比對'!$F$16:$F$25,'6_資料庫比對'!$B$16:$B$25,A118,'6_資料庫比對'!$C$16:$C$25,I118)&gt;=T118,SUMIFS('6_資料庫比對'!$F$16:$F$25,'6_資料庫比對'!$B$16:$B$25,A118,'6_資料庫比對'!$C$16:$C$25,I118)&lt;=U118),"✓ 涵蓋","✗ 不涵蓋")))</f>
        <v/>
      </c>
    </row>
    <row r="119">
      <c r="A119" s="47" t="inlineStr">
        <is>
          <t>sports_drink</t>
        </is>
      </c>
      <c r="B119" s="47" t="inlineStr">
        <is>
          <t>運動飲料</t>
        </is>
      </c>
      <c r="C119" s="47" t="inlineStr">
        <is>
          <t>USDA</t>
        </is>
      </c>
      <c r="D119" s="47" t="inlineStr">
        <is>
          <t>SR Legacy</t>
        </is>
      </c>
      <c r="E119" s="47" t="n">
        <v>175108</v>
      </c>
      <c r="F119" s="47" t="inlineStr">
        <is>
          <t>Beverages, COCA-COLA, POWERADE, lemon-lime flavored, ready-to-drink</t>
        </is>
      </c>
      <c r="G119" s="47" t="inlineStr">
        <is>
          <t>closest</t>
        </is>
      </c>
      <c r="H119" s="47" t="n">
        <v>6.25</v>
      </c>
      <c r="I119" s="47" t="inlineStr">
        <is>
          <t>ash</t>
        </is>
      </c>
      <c r="J119" s="47" t="n">
        <v>0.2</v>
      </c>
      <c r="K119" s="47" t="inlineStr">
        <is>
          <t>g</t>
        </is>
      </c>
      <c r="L119" s="47" t="n">
        <v>1</v>
      </c>
      <c r="M119" s="47" t="n"/>
      <c r="N119" s="47" t="n"/>
      <c r="O119" s="47" t="n"/>
      <c r="P119" s="47" t="n"/>
      <c r="Q119" s="47" t="inlineStr">
        <is>
          <t>A: Analytical</t>
        </is>
      </c>
      <c r="R119" s="48">
        <f>IF(OR($A119="",$J119=""),"",IFERROR(VLOOKUP(I119,'6_資料庫比對'!$A$6:$C$12,2,FALSE),""))</f>
        <v/>
      </c>
      <c r="S119" s="49">
        <f>IF(OR($A119="",$J119=""),"",IFERROR(VLOOKUP(I119,'6_資料庫比對'!$A$6:$C$12,3,FALSE),""))</f>
        <v/>
      </c>
      <c r="T119" s="50">
        <f>IF(OR($A119="",$J119=""),"",MAX(0,IF(AND(N119&lt;&gt;"",O119&lt;&gt;""),MIN(J119-MAX(R119*ABS(J119),S119),N119),IF(AND(M119&lt;&gt;"",N(L119)&gt;=2),MIN(J119-MAX(R119*ABS(J119),S119),J119-2*M119),J119-MAX(R119*ABS(J119),S119)))))</f>
        <v/>
      </c>
      <c r="U119" s="50">
        <f>IF(OR($A119="",$J119=""),"",IF(AND(N119&lt;&gt;"",O119&lt;&gt;""),MAX(J119+MAX(R119*ABS(J119),S119),O119),IF(AND(M119&lt;&gt;"",N(L119)&gt;=2),MAX(J119+MAX(R119*ABS(J119),S119),J119+2*M119),J119+MAX(R119*ABS(J119),S119))))</f>
        <v/>
      </c>
      <c r="V119" s="51">
        <f>IF(OR($A119="",$J119=""),"",IF(COUNTIFS('6_資料庫比對'!$B$16:$B$25,A119,'6_資料庫比對'!$C$16:$C$25,I119)=0,"",IF(AND(SUMIFS('6_資料庫比對'!$F$16:$F$25,'6_資料庫比對'!$B$16:$B$25,A119,'6_資料庫比對'!$C$16:$C$25,I119)&gt;=T119,SUMIFS('6_資料庫比對'!$F$16:$F$25,'6_資料庫比對'!$B$16:$B$25,A119,'6_資料庫比對'!$C$16:$C$25,I119)&lt;=U119),"✓ 涵蓋","✗ 不涵蓋")))</f>
        <v/>
      </c>
    </row>
    <row r="120">
      <c r="A120" s="47" t="inlineStr">
        <is>
          <t>sports_drink</t>
        </is>
      </c>
      <c r="B120" s="47" t="inlineStr">
        <is>
          <t>運動飲料</t>
        </is>
      </c>
      <c r="C120" s="47" t="inlineStr">
        <is>
          <t>USDA</t>
        </is>
      </c>
      <c r="D120" s="47" t="inlineStr">
        <is>
          <t>SR Legacy</t>
        </is>
      </c>
      <c r="E120" s="47" t="n">
        <v>175108</v>
      </c>
      <c r="F120" s="47" t="inlineStr">
        <is>
          <t>Beverages, COCA-COLA, POWERADE, lemon-lime flavored, ready-to-drink</t>
        </is>
      </c>
      <c r="G120" s="47" t="inlineStr">
        <is>
          <t>closest</t>
        </is>
      </c>
      <c r="H120" s="47" t="n">
        <v>6.25</v>
      </c>
      <c r="I120" s="47" t="inlineStr">
        <is>
          <t>carbohydrate</t>
        </is>
      </c>
      <c r="J120" s="47" t="n">
        <v>7.84</v>
      </c>
      <c r="K120" s="47" t="inlineStr">
        <is>
          <t>g</t>
        </is>
      </c>
      <c r="L120" s="47" t="n">
        <v>0</v>
      </c>
      <c r="M120" s="47" t="n"/>
      <c r="N120" s="47" t="n"/>
      <c r="O120" s="47" t="n"/>
      <c r="P120" s="47" t="n"/>
      <c r="Q120" s="47" t="inlineStr">
        <is>
          <t>NC: Calculated</t>
        </is>
      </c>
      <c r="R120" s="48">
        <f>IF(OR($A120="",$J120=""),"",IFERROR(VLOOKUP(I120,'6_資料庫比對'!$A$6:$C$12,2,FALSE),""))</f>
        <v/>
      </c>
      <c r="S120" s="49">
        <f>IF(OR($A120="",$J120=""),"",IFERROR(VLOOKUP(I120,'6_資料庫比對'!$A$6:$C$12,3,FALSE),""))</f>
        <v/>
      </c>
      <c r="T120" s="50">
        <f>IF(OR($A120="",$J120=""),"",MAX(0,IF(AND(N120&lt;&gt;"",O120&lt;&gt;""),MIN(J120-MAX(R120*ABS(J120),S120),N120),IF(AND(M120&lt;&gt;"",N(L120)&gt;=2),MIN(J120-MAX(R120*ABS(J120),S120),J120-2*M120),J120-MAX(R120*ABS(J120),S120)))))</f>
        <v/>
      </c>
      <c r="U120" s="50">
        <f>IF(OR($A120="",$J120=""),"",IF(AND(N120&lt;&gt;"",O120&lt;&gt;""),MAX(J120+MAX(R120*ABS(J120),S120),O120),IF(AND(M120&lt;&gt;"",N(L120)&gt;=2),MAX(J120+MAX(R120*ABS(J120),S120),J120+2*M120),J120+MAX(R120*ABS(J120),S120))))</f>
        <v/>
      </c>
      <c r="V120" s="51">
        <f>IF(OR($A120="",$J120=""),"",IF(COUNTIFS('6_資料庫比對'!$B$16:$B$25,A120,'6_資料庫比對'!$C$16:$C$25,I120)=0,"",IF(AND(SUMIFS('6_資料庫比對'!$F$16:$F$25,'6_資料庫比對'!$B$16:$B$25,A120,'6_資料庫比對'!$C$16:$C$25,I120)&gt;=T120,SUMIFS('6_資料庫比對'!$F$16:$F$25,'6_資料庫比對'!$B$16:$B$25,A120,'6_資料庫比對'!$C$16:$C$25,I120)&lt;=U120),"✓ 涵蓋","✗ 不涵蓋")))</f>
        <v/>
      </c>
    </row>
    <row r="121">
      <c r="A121" s="47" t="inlineStr">
        <is>
          <t>sports_drink</t>
        </is>
      </c>
      <c r="B121" s="47" t="inlineStr">
        <is>
          <t>運動飲料</t>
        </is>
      </c>
      <c r="C121" s="47" t="inlineStr">
        <is>
          <t>USDA</t>
        </is>
      </c>
      <c r="D121" s="47" t="inlineStr">
        <is>
          <t>SR Legacy</t>
        </is>
      </c>
      <c r="E121" s="47" t="n">
        <v>175108</v>
      </c>
      <c r="F121" s="47" t="inlineStr">
        <is>
          <t>Beverages, COCA-COLA, POWERADE, lemon-lime flavored, ready-to-drink</t>
        </is>
      </c>
      <c r="G121" s="47" t="inlineStr">
        <is>
          <t>closest</t>
        </is>
      </c>
      <c r="H121" s="47" t="n">
        <v>6.25</v>
      </c>
      <c r="I121" s="47" t="inlineStr">
        <is>
          <t>sugars_total</t>
        </is>
      </c>
      <c r="J121" s="47" t="n">
        <v>6.11</v>
      </c>
      <c r="K121" s="47" t="inlineStr">
        <is>
          <t>g</t>
        </is>
      </c>
      <c r="L121" s="47" t="n">
        <v>3</v>
      </c>
      <c r="M121" s="47" t="n"/>
      <c r="N121" s="47" t="n">
        <v>6.02</v>
      </c>
      <c r="O121" s="47" t="n">
        <v>6.16</v>
      </c>
      <c r="P121" s="47" t="n"/>
      <c r="Q121" s="47" t="inlineStr">
        <is>
          <t>LC: Label claim (back calculated from label by NDL staff; Calculated from label claim/serving (g or %RDI)</t>
        </is>
      </c>
      <c r="R121" s="48">
        <f>IF(OR($A121="",$J121=""),"",IFERROR(VLOOKUP(I121,'6_資料庫比對'!$A$6:$C$12,2,FALSE),""))</f>
        <v/>
      </c>
      <c r="S121" s="49">
        <f>IF(OR($A121="",$J121=""),"",IFERROR(VLOOKUP(I121,'6_資料庫比對'!$A$6:$C$12,3,FALSE),""))</f>
        <v/>
      </c>
      <c r="T121" s="50">
        <f>IF(OR($A121="",$J121=""),"",MAX(0,IF(AND(N121&lt;&gt;"",O121&lt;&gt;""),MIN(J121-MAX(R121*ABS(J121),S121),N121),IF(AND(M121&lt;&gt;"",N(L121)&gt;=2),MIN(J121-MAX(R121*ABS(J121),S121),J121-2*M121),J121-MAX(R121*ABS(J121),S121)))))</f>
        <v/>
      </c>
      <c r="U121" s="50">
        <f>IF(OR($A121="",$J121=""),"",IF(AND(N121&lt;&gt;"",O121&lt;&gt;""),MAX(J121+MAX(R121*ABS(J121),S121),O121),IF(AND(M121&lt;&gt;"",N(L121)&gt;=2),MAX(J121+MAX(R121*ABS(J121),S121),J121+2*M121),J121+MAX(R121*ABS(J121),S121))))</f>
        <v/>
      </c>
      <c r="V121" s="51">
        <f>IF(OR($A121="",$J121=""),"",IF(COUNTIFS('6_資料庫比對'!$B$16:$B$25,A121,'6_資料庫比對'!$C$16:$C$25,I121)=0,"",IF(AND(SUMIFS('6_資料庫比對'!$F$16:$F$25,'6_資料庫比對'!$B$16:$B$25,A121,'6_資料庫比對'!$C$16:$C$25,I121)&gt;=T121,SUMIFS('6_資料庫比對'!$F$16:$F$25,'6_資料庫比對'!$B$16:$B$25,A121,'6_資料庫比對'!$C$16:$C$25,I121)&lt;=U121),"✓ 涵蓋","✗ 不涵蓋")))</f>
        <v/>
      </c>
    </row>
    <row r="122">
      <c r="A122" s="47" t="inlineStr">
        <is>
          <t>sports_drink</t>
        </is>
      </c>
      <c r="B122" s="47" t="inlineStr">
        <is>
          <t>運動飲料</t>
        </is>
      </c>
      <c r="C122" s="47" t="inlineStr">
        <is>
          <t>USDA</t>
        </is>
      </c>
      <c r="D122" s="47" t="inlineStr">
        <is>
          <t>SR Legacy</t>
        </is>
      </c>
      <c r="E122" s="47" t="n">
        <v>175108</v>
      </c>
      <c r="F122" s="47" t="inlineStr">
        <is>
          <t>Beverages, COCA-COLA, POWERADE, lemon-lime flavored, ready-to-drink</t>
        </is>
      </c>
      <c r="G122" s="47" t="inlineStr">
        <is>
          <t>closest</t>
        </is>
      </c>
      <c r="H122" s="47" t="n">
        <v>6.25</v>
      </c>
      <c r="I122" s="47" t="inlineStr">
        <is>
          <t>sodium</t>
        </is>
      </c>
      <c r="J122" s="47" t="n">
        <v>42</v>
      </c>
      <c r="K122" s="47" t="inlineStr">
        <is>
          <t>mg</t>
        </is>
      </c>
      <c r="L122" s="47" t="n">
        <v>0</v>
      </c>
      <c r="M122" s="47" t="n"/>
      <c r="N122" s="47" t="n"/>
      <c r="O122" s="47" t="n"/>
      <c r="P122" s="47" t="n"/>
      <c r="Q122" s="47" t="inlineStr">
        <is>
          <t>NR: Nutrient that is based on other nutrient/s; value used directly, ex. Nut.#204 from Nut.#298</t>
        </is>
      </c>
      <c r="R122" s="48">
        <f>IF(OR($A122="",$J122=""),"",IFERROR(VLOOKUP(I122,'6_資料庫比對'!$A$6:$C$12,2,FALSE),""))</f>
        <v/>
      </c>
      <c r="S122" s="49">
        <f>IF(OR($A122="",$J122=""),"",IFERROR(VLOOKUP(I122,'6_資料庫比對'!$A$6:$C$12,3,FALSE),""))</f>
        <v/>
      </c>
      <c r="T122" s="50">
        <f>IF(OR($A122="",$J122=""),"",MAX(0,IF(AND(N122&lt;&gt;"",O122&lt;&gt;""),MIN(J122-MAX(R122*ABS(J122),S122),N122),IF(AND(M122&lt;&gt;"",N(L122)&gt;=2),MIN(J122-MAX(R122*ABS(J122),S122),J122-2*M122),J122-MAX(R122*ABS(J122),S122)))))</f>
        <v/>
      </c>
      <c r="U122" s="50">
        <f>IF(OR($A122="",$J122=""),"",IF(AND(N122&lt;&gt;"",O122&lt;&gt;""),MAX(J122+MAX(R122*ABS(J122),S122),O122),IF(AND(M122&lt;&gt;"",N(L122)&gt;=2),MAX(J122+MAX(R122*ABS(J122),S122),J122+2*M122),J122+MAX(R122*ABS(J122),S122))))</f>
        <v/>
      </c>
      <c r="V122" s="51">
        <f>IF(OR($A122="",$J122=""),"",IF(COUNTIFS('6_資料庫比對'!$B$16:$B$25,A122,'6_資料庫比對'!$C$16:$C$25,I122)=0,"",IF(AND(SUMIFS('6_資料庫比對'!$F$16:$F$25,'6_資料庫比對'!$B$16:$B$25,A122,'6_資料庫比對'!$C$16:$C$25,I122)&gt;=T122,SUMIFS('6_資料庫比對'!$F$16:$F$25,'6_資料庫比對'!$B$16:$B$25,A122,'6_資料庫比對'!$C$16:$C$25,I122)&lt;=U122),"✓ 涵蓋","✗ 不涵蓋")))</f>
        <v/>
      </c>
    </row>
    <row r="123">
      <c r="A123" s="47" t="inlineStr">
        <is>
          <t>sports_drink</t>
        </is>
      </c>
      <c r="B123" s="47" t="inlineStr">
        <is>
          <t>運動飲料</t>
        </is>
      </c>
      <c r="C123" s="47" t="inlineStr">
        <is>
          <t>TFND</t>
        </is>
      </c>
      <c r="D123" s="47" t="inlineStr">
        <is>
          <t>食品營養成分資料集</t>
        </is>
      </c>
      <c r="E123" s="47" t="inlineStr">
        <is>
          <t>O0703301</t>
        </is>
      </c>
      <c r="F123" s="47" t="inlineStr">
        <is>
          <t>運動飲料</t>
        </is>
      </c>
      <c r="G123" s="47" t="inlineStr">
        <is>
          <t>exact</t>
        </is>
      </c>
      <c r="H123" s="47" t="n"/>
      <c r="I123" s="47" t="inlineStr">
        <is>
          <t>water</t>
        </is>
      </c>
      <c r="J123" s="47" t="n">
        <v>92.7</v>
      </c>
      <c r="K123" s="47" t="inlineStr">
        <is>
          <t>g</t>
        </is>
      </c>
      <c r="L123" s="47" t="n">
        <v>1</v>
      </c>
      <c r="M123" s="47" t="n"/>
      <c r="N123" s="47" t="n"/>
      <c r="O123" s="47" t="n"/>
      <c r="P123" s="47" t="n"/>
      <c r="Q123" s="47" t="n"/>
      <c r="R123" s="48">
        <f>IF(OR($A123="",$J123=""),"",IFERROR(VLOOKUP(I123,'6_資料庫比對'!$A$6:$C$12,2,FALSE),""))</f>
        <v/>
      </c>
      <c r="S123" s="49">
        <f>IF(OR($A123="",$J123=""),"",IFERROR(VLOOKUP(I123,'6_資料庫比對'!$A$6:$C$12,3,FALSE),""))</f>
        <v/>
      </c>
      <c r="T123" s="50">
        <f>IF(OR($A123="",$J123=""),"",MAX(0,IF(AND(N123&lt;&gt;"",O123&lt;&gt;""),MIN(J123-MAX(R123*ABS(J123),S123),N123),IF(AND(M123&lt;&gt;"",N(L123)&gt;=2),MIN(J123-MAX(R123*ABS(J123),S123),J123-2*M123),J123-MAX(R123*ABS(J123),S123)))))</f>
        <v/>
      </c>
      <c r="U123" s="50">
        <f>IF(OR($A123="",$J123=""),"",IF(AND(N123&lt;&gt;"",O123&lt;&gt;""),MAX(J123+MAX(R123*ABS(J123),S123),O123),IF(AND(M123&lt;&gt;"",N(L123)&gt;=2),MAX(J123+MAX(R123*ABS(J123),S123),J123+2*M123),J123+MAX(R123*ABS(J123),S123))))</f>
        <v/>
      </c>
      <c r="V123" s="51">
        <f>IF(OR($A123="",$J123=""),"",IF(COUNTIFS('6_資料庫比對'!$B$16:$B$25,A123,'6_資料庫比對'!$C$16:$C$25,I123)=0,"",IF(AND(SUMIFS('6_資料庫比對'!$F$16:$F$25,'6_資料庫比對'!$B$16:$B$25,A123,'6_資料庫比對'!$C$16:$C$25,I123)&gt;=T123,SUMIFS('6_資料庫比對'!$F$16:$F$25,'6_資料庫比對'!$B$16:$B$25,A123,'6_資料庫比對'!$C$16:$C$25,I123)&lt;=U123),"✓ 涵蓋","✗ 不涵蓋")))</f>
        <v/>
      </c>
    </row>
    <row r="124">
      <c r="A124" s="47" t="inlineStr">
        <is>
          <t>sports_drink</t>
        </is>
      </c>
      <c r="B124" s="47" t="inlineStr">
        <is>
          <t>運動飲料</t>
        </is>
      </c>
      <c r="C124" s="47" t="inlineStr">
        <is>
          <t>TFND</t>
        </is>
      </c>
      <c r="D124" s="47" t="inlineStr">
        <is>
          <t>食品營養成分資料集</t>
        </is>
      </c>
      <c r="E124" s="47" t="inlineStr">
        <is>
          <t>O0703301</t>
        </is>
      </c>
      <c r="F124" s="47" t="inlineStr">
        <is>
          <t>運動飲料</t>
        </is>
      </c>
      <c r="G124" s="47" t="inlineStr">
        <is>
          <t>exact</t>
        </is>
      </c>
      <c r="H124" s="47" t="n"/>
      <c r="I124" s="47" t="inlineStr">
        <is>
          <t>protein</t>
        </is>
      </c>
      <c r="J124" s="47" t="n">
        <v>0.1</v>
      </c>
      <c r="K124" s="47" t="inlineStr">
        <is>
          <t>g</t>
        </is>
      </c>
      <c r="L124" s="47" t="n">
        <v>1</v>
      </c>
      <c r="M124" s="47" t="n"/>
      <c r="N124" s="47" t="n"/>
      <c r="O124" s="47" t="n"/>
      <c r="P124" s="47" t="n"/>
      <c r="Q124" s="47" t="n"/>
      <c r="R124" s="48">
        <f>IF(OR($A124="",$J124=""),"",IFERROR(VLOOKUP(I124,'6_資料庫比對'!$A$6:$C$12,2,FALSE),""))</f>
        <v/>
      </c>
      <c r="S124" s="49">
        <f>IF(OR($A124="",$J124=""),"",IFERROR(VLOOKUP(I124,'6_資料庫比對'!$A$6:$C$12,3,FALSE),""))</f>
        <v/>
      </c>
      <c r="T124" s="50">
        <f>IF(OR($A124="",$J124=""),"",MAX(0,IF(AND(N124&lt;&gt;"",O124&lt;&gt;""),MIN(J124-MAX(R124*ABS(J124),S124),N124),IF(AND(M124&lt;&gt;"",N(L124)&gt;=2),MIN(J124-MAX(R124*ABS(J124),S124),J124-2*M124),J124-MAX(R124*ABS(J124),S124)))))</f>
        <v/>
      </c>
      <c r="U124" s="50">
        <f>IF(OR($A124="",$J124=""),"",IF(AND(N124&lt;&gt;"",O124&lt;&gt;""),MAX(J124+MAX(R124*ABS(J124),S124),O124),IF(AND(M124&lt;&gt;"",N(L124)&gt;=2),MAX(J124+MAX(R124*ABS(J124),S124),J124+2*M124),J124+MAX(R124*ABS(J124),S124))))</f>
        <v/>
      </c>
      <c r="V124" s="51">
        <f>IF(OR($A124="",$J124=""),"",IF(COUNTIFS('6_資料庫比對'!$B$16:$B$25,A124,'6_資料庫比對'!$C$16:$C$25,I124)=0,"",IF(AND(SUMIFS('6_資料庫比對'!$F$16:$F$25,'6_資料庫比對'!$B$16:$B$25,A124,'6_資料庫比對'!$C$16:$C$25,I124)&gt;=T124,SUMIFS('6_資料庫比對'!$F$16:$F$25,'6_資料庫比對'!$B$16:$B$25,A124,'6_資料庫比對'!$C$16:$C$25,I124)&lt;=U124),"✓ 涵蓋","✗ 不涵蓋")))</f>
        <v/>
      </c>
    </row>
    <row r="125">
      <c r="A125" s="47" t="inlineStr">
        <is>
          <t>sports_drink</t>
        </is>
      </c>
      <c r="B125" s="47" t="inlineStr">
        <is>
          <t>運動飲料</t>
        </is>
      </c>
      <c r="C125" s="47" t="inlineStr">
        <is>
          <t>TFND</t>
        </is>
      </c>
      <c r="D125" s="47" t="inlineStr">
        <is>
          <t>食品營養成分資料集</t>
        </is>
      </c>
      <c r="E125" s="47" t="inlineStr">
        <is>
          <t>O0703301</t>
        </is>
      </c>
      <c r="F125" s="47" t="inlineStr">
        <is>
          <t>運動飲料</t>
        </is>
      </c>
      <c r="G125" s="47" t="inlineStr">
        <is>
          <t>exact</t>
        </is>
      </c>
      <c r="H125" s="47" t="n"/>
      <c r="I125" s="47" t="inlineStr">
        <is>
          <t>ash</t>
        </is>
      </c>
      <c r="J125" s="47" t="n">
        <v>0.2</v>
      </c>
      <c r="K125" s="47" t="inlineStr">
        <is>
          <t>g</t>
        </is>
      </c>
      <c r="L125" s="47" t="n">
        <v>1</v>
      </c>
      <c r="M125" s="47" t="n"/>
      <c r="N125" s="47" t="n"/>
      <c r="O125" s="47" t="n"/>
      <c r="P125" s="47" t="n"/>
      <c r="Q125" s="47" t="n"/>
      <c r="R125" s="48">
        <f>IF(OR($A125="",$J125=""),"",IFERROR(VLOOKUP(I125,'6_資料庫比對'!$A$6:$C$12,2,FALSE),""))</f>
        <v/>
      </c>
      <c r="S125" s="49">
        <f>IF(OR($A125="",$J125=""),"",IFERROR(VLOOKUP(I125,'6_資料庫比對'!$A$6:$C$12,3,FALSE),""))</f>
        <v/>
      </c>
      <c r="T125" s="50">
        <f>IF(OR($A125="",$J125=""),"",MAX(0,IF(AND(N125&lt;&gt;"",O125&lt;&gt;""),MIN(J125-MAX(R125*ABS(J125),S125),N125),IF(AND(M125&lt;&gt;"",N(L125)&gt;=2),MIN(J125-MAX(R125*ABS(J125),S125),J125-2*M125),J125-MAX(R125*ABS(J125),S125)))))</f>
        <v/>
      </c>
      <c r="U125" s="50">
        <f>IF(OR($A125="",$J125=""),"",IF(AND(N125&lt;&gt;"",O125&lt;&gt;""),MAX(J125+MAX(R125*ABS(J125),S125),O125),IF(AND(M125&lt;&gt;"",N(L125)&gt;=2),MAX(J125+MAX(R125*ABS(J125),S125),J125+2*M125),J125+MAX(R125*ABS(J125),S125))))</f>
        <v/>
      </c>
      <c r="V125" s="51">
        <f>IF(OR($A125="",$J125=""),"",IF(COUNTIFS('6_資料庫比對'!$B$16:$B$25,A125,'6_資料庫比對'!$C$16:$C$25,I125)=0,"",IF(AND(SUMIFS('6_資料庫比對'!$F$16:$F$25,'6_資料庫比對'!$B$16:$B$25,A125,'6_資料庫比對'!$C$16:$C$25,I125)&gt;=T125,SUMIFS('6_資料庫比對'!$F$16:$F$25,'6_資料庫比對'!$B$16:$B$25,A125,'6_資料庫比對'!$C$16:$C$25,I125)&lt;=U125),"✓ 涵蓋","✗ 不涵蓋")))</f>
        <v/>
      </c>
    </row>
    <row r="126">
      <c r="A126" s="47" t="inlineStr">
        <is>
          <t>sports_drink</t>
        </is>
      </c>
      <c r="B126" s="47" t="inlineStr">
        <is>
          <t>運動飲料</t>
        </is>
      </c>
      <c r="C126" s="47" t="inlineStr">
        <is>
          <t>TFND</t>
        </is>
      </c>
      <c r="D126" s="47" t="inlineStr">
        <is>
          <t>食品營養成分資料集</t>
        </is>
      </c>
      <c r="E126" s="47" t="inlineStr">
        <is>
          <t>O0703301</t>
        </is>
      </c>
      <c r="F126" s="47" t="inlineStr">
        <is>
          <t>運動飲料</t>
        </is>
      </c>
      <c r="G126" s="47" t="inlineStr">
        <is>
          <t>exact</t>
        </is>
      </c>
      <c r="H126" s="47" t="n"/>
      <c r="I126" s="47" t="inlineStr">
        <is>
          <t>carbohydrate</t>
        </is>
      </c>
      <c r="J126" s="47" t="n">
        <v>7</v>
      </c>
      <c r="K126" s="47" t="inlineStr">
        <is>
          <t>g</t>
        </is>
      </c>
      <c r="L126" s="47" t="n"/>
      <c r="M126" s="47" t="n"/>
      <c r="N126" s="47" t="n"/>
      <c r="O126" s="47" t="n"/>
      <c r="P126" s="47" t="n"/>
      <c r="Q126" s="47" t="n"/>
      <c r="R126" s="48">
        <f>IF(OR($A126="",$J126=""),"",IFERROR(VLOOKUP(I126,'6_資料庫比對'!$A$6:$C$12,2,FALSE),""))</f>
        <v/>
      </c>
      <c r="S126" s="49">
        <f>IF(OR($A126="",$J126=""),"",IFERROR(VLOOKUP(I126,'6_資料庫比對'!$A$6:$C$12,3,FALSE),""))</f>
        <v/>
      </c>
      <c r="T126" s="50">
        <f>IF(OR($A126="",$J126=""),"",MAX(0,IF(AND(N126&lt;&gt;"",O126&lt;&gt;""),MIN(J126-MAX(R126*ABS(J126),S126),N126),IF(AND(M126&lt;&gt;"",N(L126)&gt;=2),MIN(J126-MAX(R126*ABS(J126),S126),J126-2*M126),J126-MAX(R126*ABS(J126),S126)))))</f>
        <v/>
      </c>
      <c r="U126" s="50">
        <f>IF(OR($A126="",$J126=""),"",IF(AND(N126&lt;&gt;"",O126&lt;&gt;""),MAX(J126+MAX(R126*ABS(J126),S126),O126),IF(AND(M126&lt;&gt;"",N(L126)&gt;=2),MAX(J126+MAX(R126*ABS(J126),S126),J126+2*M126),J126+MAX(R126*ABS(J126),S126))))</f>
        <v/>
      </c>
      <c r="V126" s="51">
        <f>IF(OR($A126="",$J126=""),"",IF(COUNTIFS('6_資料庫比對'!$B$16:$B$25,A126,'6_資料庫比對'!$C$16:$C$25,I126)=0,"",IF(AND(SUMIFS('6_資料庫比對'!$F$16:$F$25,'6_資料庫比對'!$B$16:$B$25,A126,'6_資料庫比對'!$C$16:$C$25,I126)&gt;=T126,SUMIFS('6_資料庫比對'!$F$16:$F$25,'6_資料庫比對'!$B$16:$B$25,A126,'6_資料庫比對'!$C$16:$C$25,I126)&lt;=U126),"✓ 涵蓋","✗ 不涵蓋")))</f>
        <v/>
      </c>
    </row>
    <row r="127">
      <c r="A127" s="47" t="inlineStr">
        <is>
          <t>sports_drink</t>
        </is>
      </c>
      <c r="B127" s="47" t="inlineStr">
        <is>
          <t>運動飲料</t>
        </is>
      </c>
      <c r="C127" s="47" t="inlineStr">
        <is>
          <t>TFND</t>
        </is>
      </c>
      <c r="D127" s="47" t="inlineStr">
        <is>
          <t>食品營養成分資料集</t>
        </is>
      </c>
      <c r="E127" s="47" t="inlineStr">
        <is>
          <t>O0703301</t>
        </is>
      </c>
      <c r="F127" s="47" t="inlineStr">
        <is>
          <t>運動飲料</t>
        </is>
      </c>
      <c r="G127" s="47" t="inlineStr">
        <is>
          <t>exact</t>
        </is>
      </c>
      <c r="H127" s="47" t="n"/>
      <c r="I127" s="47" t="inlineStr">
        <is>
          <t>sodium</t>
        </is>
      </c>
      <c r="J127" s="47" t="n">
        <v>41</v>
      </c>
      <c r="K127" s="47" t="inlineStr">
        <is>
          <t>mg</t>
        </is>
      </c>
      <c r="L127" s="47" t="n">
        <v>1</v>
      </c>
      <c r="M127" s="47" t="n"/>
      <c r="N127" s="47" t="n"/>
      <c r="O127" s="47" t="n"/>
      <c r="P127" s="47" t="n"/>
      <c r="Q127" s="47" t="n"/>
      <c r="R127" s="48">
        <f>IF(OR($A127="",$J127=""),"",IFERROR(VLOOKUP(I127,'6_資料庫比對'!$A$6:$C$12,2,FALSE),""))</f>
        <v/>
      </c>
      <c r="S127" s="49">
        <f>IF(OR($A127="",$J127=""),"",IFERROR(VLOOKUP(I127,'6_資料庫比對'!$A$6:$C$12,3,FALSE),""))</f>
        <v/>
      </c>
      <c r="T127" s="50">
        <f>IF(OR($A127="",$J127=""),"",MAX(0,IF(AND(N127&lt;&gt;"",O127&lt;&gt;""),MIN(J127-MAX(R127*ABS(J127),S127),N127),IF(AND(M127&lt;&gt;"",N(L127)&gt;=2),MIN(J127-MAX(R127*ABS(J127),S127),J127-2*M127),J127-MAX(R127*ABS(J127),S127)))))</f>
        <v/>
      </c>
      <c r="U127" s="50">
        <f>IF(OR($A127="",$J127=""),"",IF(AND(N127&lt;&gt;"",O127&lt;&gt;""),MAX(J127+MAX(R127*ABS(J127),S127),O127),IF(AND(M127&lt;&gt;"",N(L127)&gt;=2),MAX(J127+MAX(R127*ABS(J127),S127),J127+2*M127),J127+MAX(R127*ABS(J127),S127))))</f>
        <v/>
      </c>
      <c r="V127" s="51">
        <f>IF(OR($A127="",$J127=""),"",IF(COUNTIFS('6_資料庫比對'!$B$16:$B$25,A127,'6_資料庫比對'!$C$16:$C$25,I127)=0,"",IF(AND(SUMIFS('6_資料庫比對'!$F$16:$F$25,'6_資料庫比對'!$B$16:$B$25,A127,'6_資料庫比對'!$C$16:$C$25,I127)&gt;=T127,SUMIFS('6_資料庫比對'!$F$16:$F$25,'6_資料庫比對'!$B$16:$B$25,A127,'6_資料庫比對'!$C$16:$C$25,I127)&lt;=U127),"✓ 涵蓋","✗ 不涵蓋")))</f>
        <v/>
      </c>
    </row>
    <row r="128">
      <c r="A128" s="47" t="inlineStr">
        <is>
          <t>brown_sugar</t>
        </is>
      </c>
      <c r="B128" s="47" t="inlineStr">
        <is>
          <t>黑糖</t>
        </is>
      </c>
      <c r="C128" s="47" t="inlineStr">
        <is>
          <t>USDA</t>
        </is>
      </c>
      <c r="D128" s="47" t="inlineStr">
        <is>
          <t>SR Legacy</t>
        </is>
      </c>
      <c r="E128" s="47" t="n">
        <v>168833</v>
      </c>
      <c r="F128" s="47" t="inlineStr">
        <is>
          <t>Sugars, brown</t>
        </is>
      </c>
      <c r="G128" s="47" t="inlineStr">
        <is>
          <t>closest</t>
        </is>
      </c>
      <c r="H128" s="47" t="n">
        <v>6.25</v>
      </c>
      <c r="I128" s="47" t="inlineStr">
        <is>
          <t>water</t>
        </is>
      </c>
      <c r="J128" s="47" t="n">
        <v>1.34</v>
      </c>
      <c r="K128" s="47" t="inlineStr">
        <is>
          <t>g</t>
        </is>
      </c>
      <c r="L128" s="47" t="n">
        <v>15</v>
      </c>
      <c r="M128" s="47" t="n"/>
      <c r="N128" s="47" t="n">
        <v>1.1</v>
      </c>
      <c r="O128" s="47" t="n">
        <v>2.13</v>
      </c>
      <c r="P128" s="47" t="n"/>
      <c r="Q128" s="47" t="inlineStr">
        <is>
          <t>A: Analytical</t>
        </is>
      </c>
      <c r="R128" s="48">
        <f>IF(OR($A128="",$J128=""),"",IFERROR(VLOOKUP(I128,'6_資料庫比對'!$A$6:$C$12,2,FALSE),""))</f>
        <v/>
      </c>
      <c r="S128" s="49">
        <f>IF(OR($A128="",$J128=""),"",IFERROR(VLOOKUP(I128,'6_資料庫比對'!$A$6:$C$12,3,FALSE),""))</f>
        <v/>
      </c>
      <c r="T128" s="50">
        <f>IF(OR($A128="",$J128=""),"",MAX(0,IF(AND(N128&lt;&gt;"",O128&lt;&gt;""),MIN(J128-MAX(R128*ABS(J128),S128),N128),IF(AND(M128&lt;&gt;"",N(L128)&gt;=2),MIN(J128-MAX(R128*ABS(J128),S128),J128-2*M128),J128-MAX(R128*ABS(J128),S128)))))</f>
        <v/>
      </c>
      <c r="U128" s="50">
        <f>IF(OR($A128="",$J128=""),"",IF(AND(N128&lt;&gt;"",O128&lt;&gt;""),MAX(J128+MAX(R128*ABS(J128),S128),O128),IF(AND(M128&lt;&gt;"",N(L128)&gt;=2),MAX(J128+MAX(R128*ABS(J128),S128),J128+2*M128),J128+MAX(R128*ABS(J128),S128))))</f>
        <v/>
      </c>
      <c r="V128" s="51">
        <f>IF(OR($A128="",$J128=""),"",IF(COUNTIFS('6_資料庫比對'!$B$16:$B$25,A128,'6_資料庫比對'!$C$16:$C$25,I128)=0,"",IF(AND(SUMIFS('6_資料庫比對'!$F$16:$F$25,'6_資料庫比對'!$B$16:$B$25,A128,'6_資料庫比對'!$C$16:$C$25,I128)&gt;=T128,SUMIFS('6_資料庫比對'!$F$16:$F$25,'6_資料庫比對'!$B$16:$B$25,A128,'6_資料庫比對'!$C$16:$C$25,I128)&lt;=U128),"✓ 涵蓋","✗ 不涵蓋")))</f>
        <v/>
      </c>
    </row>
    <row r="129">
      <c r="A129" s="47" t="inlineStr">
        <is>
          <t>brown_sugar</t>
        </is>
      </c>
      <c r="B129" s="47" t="inlineStr">
        <is>
          <t>黑糖</t>
        </is>
      </c>
      <c r="C129" s="47" t="inlineStr">
        <is>
          <t>USDA</t>
        </is>
      </c>
      <c r="D129" s="47" t="inlineStr">
        <is>
          <t>SR Legacy</t>
        </is>
      </c>
      <c r="E129" s="47" t="n">
        <v>168833</v>
      </c>
      <c r="F129" s="47" t="inlineStr">
        <is>
          <t>Sugars, brown</t>
        </is>
      </c>
      <c r="G129" s="47" t="inlineStr">
        <is>
          <t>closest</t>
        </is>
      </c>
      <c r="H129" s="47" t="n">
        <v>6.25</v>
      </c>
      <c r="I129" s="47" t="inlineStr">
        <is>
          <t>protein</t>
        </is>
      </c>
      <c r="J129" s="47" t="n">
        <v>0.12</v>
      </c>
      <c r="K129" s="47" t="inlineStr">
        <is>
          <t>g</t>
        </is>
      </c>
      <c r="L129" s="47" t="n">
        <v>15</v>
      </c>
      <c r="M129" s="47" t="n"/>
      <c r="N129" s="47" t="n">
        <v>0.09</v>
      </c>
      <c r="O129" s="47" t="n">
        <v>0.25</v>
      </c>
      <c r="P129" s="47" t="n"/>
      <c r="Q129" s="47" t="inlineStr">
        <is>
          <t>A: Analytical</t>
        </is>
      </c>
      <c r="R129" s="48">
        <f>IF(OR($A129="",$J129=""),"",IFERROR(VLOOKUP(I129,'6_資料庫比對'!$A$6:$C$12,2,FALSE),""))</f>
        <v/>
      </c>
      <c r="S129" s="49">
        <f>IF(OR($A129="",$J129=""),"",IFERROR(VLOOKUP(I129,'6_資料庫比對'!$A$6:$C$12,3,FALSE),""))</f>
        <v/>
      </c>
      <c r="T129" s="50">
        <f>IF(OR($A129="",$J129=""),"",MAX(0,IF(AND(N129&lt;&gt;"",O129&lt;&gt;""),MIN(J129-MAX(R129*ABS(J129),S129),N129),IF(AND(M129&lt;&gt;"",N(L129)&gt;=2),MIN(J129-MAX(R129*ABS(J129),S129),J129-2*M129),J129-MAX(R129*ABS(J129),S129)))))</f>
        <v/>
      </c>
      <c r="U129" s="50">
        <f>IF(OR($A129="",$J129=""),"",IF(AND(N129&lt;&gt;"",O129&lt;&gt;""),MAX(J129+MAX(R129*ABS(J129),S129),O129),IF(AND(M129&lt;&gt;"",N(L129)&gt;=2),MAX(J129+MAX(R129*ABS(J129),S129),J129+2*M129),J129+MAX(R129*ABS(J129),S129))))</f>
        <v/>
      </c>
      <c r="V129" s="51">
        <f>IF(OR($A129="",$J129=""),"",IF(COUNTIFS('6_資料庫比對'!$B$16:$B$25,A129,'6_資料庫比對'!$C$16:$C$25,I129)=0,"",IF(AND(SUMIFS('6_資料庫比對'!$F$16:$F$25,'6_資料庫比對'!$B$16:$B$25,A129,'6_資料庫比對'!$C$16:$C$25,I129)&gt;=T129,SUMIFS('6_資料庫比對'!$F$16:$F$25,'6_資料庫比對'!$B$16:$B$25,A129,'6_資料庫比對'!$C$16:$C$25,I129)&lt;=U129),"✓ 涵蓋","✗ 不涵蓋")))</f>
        <v/>
      </c>
    </row>
    <row r="130">
      <c r="A130" s="47" t="inlineStr">
        <is>
          <t>brown_sugar</t>
        </is>
      </c>
      <c r="B130" s="47" t="inlineStr">
        <is>
          <t>黑糖</t>
        </is>
      </c>
      <c r="C130" s="47" t="inlineStr">
        <is>
          <t>USDA</t>
        </is>
      </c>
      <c r="D130" s="47" t="inlineStr">
        <is>
          <t>SR Legacy</t>
        </is>
      </c>
      <c r="E130" s="47" t="n">
        <v>168833</v>
      </c>
      <c r="F130" s="47" t="inlineStr">
        <is>
          <t>Sugars, brown</t>
        </is>
      </c>
      <c r="G130" s="47" t="inlineStr">
        <is>
          <t>closest</t>
        </is>
      </c>
      <c r="H130" s="47" t="n">
        <v>6.25</v>
      </c>
      <c r="I130" s="47" t="inlineStr">
        <is>
          <t>fat</t>
        </is>
      </c>
      <c r="J130" s="47" t="n">
        <v>0</v>
      </c>
      <c r="K130" s="47" t="inlineStr">
        <is>
          <t>g</t>
        </is>
      </c>
      <c r="L130" s="47" t="n">
        <v>3</v>
      </c>
      <c r="M130" s="47" t="n"/>
      <c r="N130" s="47" t="n">
        <v>0</v>
      </c>
      <c r="O130" s="47" t="n">
        <v>0</v>
      </c>
      <c r="P130" s="47" t="n"/>
      <c r="Q130" s="47" t="inlineStr">
        <is>
          <t>A: Analytical</t>
        </is>
      </c>
      <c r="R130" s="48">
        <f>IF(OR($A130="",$J130=""),"",IFERROR(VLOOKUP(I130,'6_資料庫比對'!$A$6:$C$12,2,FALSE),""))</f>
        <v/>
      </c>
      <c r="S130" s="49">
        <f>IF(OR($A130="",$J130=""),"",IFERROR(VLOOKUP(I130,'6_資料庫比對'!$A$6:$C$12,3,FALSE),""))</f>
        <v/>
      </c>
      <c r="T130" s="50">
        <f>IF(OR($A130="",$J130=""),"",MAX(0,IF(AND(N130&lt;&gt;"",O130&lt;&gt;""),MIN(J130-MAX(R130*ABS(J130),S130),N130),IF(AND(M130&lt;&gt;"",N(L130)&gt;=2),MIN(J130-MAX(R130*ABS(J130),S130),J130-2*M130),J130-MAX(R130*ABS(J130),S130)))))</f>
        <v/>
      </c>
      <c r="U130" s="50">
        <f>IF(OR($A130="",$J130=""),"",IF(AND(N130&lt;&gt;"",O130&lt;&gt;""),MAX(J130+MAX(R130*ABS(J130),S130),O130),IF(AND(M130&lt;&gt;"",N(L130)&gt;=2),MAX(J130+MAX(R130*ABS(J130),S130),J130+2*M130),J130+MAX(R130*ABS(J130),S130))))</f>
        <v/>
      </c>
      <c r="V130" s="51">
        <f>IF(OR($A130="",$J130=""),"",IF(COUNTIFS('6_資料庫比對'!$B$16:$B$25,A130,'6_資料庫比對'!$C$16:$C$25,I130)=0,"",IF(AND(SUMIFS('6_資料庫比對'!$F$16:$F$25,'6_資料庫比對'!$B$16:$B$25,A130,'6_資料庫比對'!$C$16:$C$25,I130)&gt;=T130,SUMIFS('6_資料庫比對'!$F$16:$F$25,'6_資料庫比對'!$B$16:$B$25,A130,'6_資料庫比對'!$C$16:$C$25,I130)&lt;=U130),"✓ 涵蓋","✗ 不涵蓋")))</f>
        <v/>
      </c>
    </row>
    <row r="131">
      <c r="A131" s="47" t="inlineStr">
        <is>
          <t>brown_sugar</t>
        </is>
      </c>
      <c r="B131" s="47" t="inlineStr">
        <is>
          <t>黑糖</t>
        </is>
      </c>
      <c r="C131" s="47" t="inlineStr">
        <is>
          <t>USDA</t>
        </is>
      </c>
      <c r="D131" s="47" t="inlineStr">
        <is>
          <t>SR Legacy</t>
        </is>
      </c>
      <c r="E131" s="47" t="n">
        <v>168833</v>
      </c>
      <c r="F131" s="47" t="inlineStr">
        <is>
          <t>Sugars, brown</t>
        </is>
      </c>
      <c r="G131" s="47" t="inlineStr">
        <is>
          <t>closest</t>
        </is>
      </c>
      <c r="H131" s="47" t="n">
        <v>6.25</v>
      </c>
      <c r="I131" s="47" t="inlineStr">
        <is>
          <t>ash</t>
        </is>
      </c>
      <c r="J131" s="47" t="n">
        <v>0.45</v>
      </c>
      <c r="K131" s="47" t="inlineStr">
        <is>
          <t>g</t>
        </is>
      </c>
      <c r="L131" s="47" t="n">
        <v>15</v>
      </c>
      <c r="M131" s="47" t="n"/>
      <c r="N131" s="47" t="n">
        <v>0.04</v>
      </c>
      <c r="O131" s="47" t="n">
        <v>0.87</v>
      </c>
      <c r="P131" s="47" t="n"/>
      <c r="Q131" s="47" t="inlineStr">
        <is>
          <t>A: Analytical</t>
        </is>
      </c>
      <c r="R131" s="48">
        <f>IF(OR($A131="",$J131=""),"",IFERROR(VLOOKUP(I131,'6_資料庫比對'!$A$6:$C$12,2,FALSE),""))</f>
        <v/>
      </c>
      <c r="S131" s="49">
        <f>IF(OR($A131="",$J131=""),"",IFERROR(VLOOKUP(I131,'6_資料庫比對'!$A$6:$C$12,3,FALSE),""))</f>
        <v/>
      </c>
      <c r="T131" s="50">
        <f>IF(OR($A131="",$J131=""),"",MAX(0,IF(AND(N131&lt;&gt;"",O131&lt;&gt;""),MIN(J131-MAX(R131*ABS(J131),S131),N131),IF(AND(M131&lt;&gt;"",N(L131)&gt;=2),MIN(J131-MAX(R131*ABS(J131),S131),J131-2*M131),J131-MAX(R131*ABS(J131),S131)))))</f>
        <v/>
      </c>
      <c r="U131" s="50">
        <f>IF(OR($A131="",$J131=""),"",IF(AND(N131&lt;&gt;"",O131&lt;&gt;""),MAX(J131+MAX(R131*ABS(J131),S131),O131),IF(AND(M131&lt;&gt;"",N(L131)&gt;=2),MAX(J131+MAX(R131*ABS(J131),S131),J131+2*M131),J131+MAX(R131*ABS(J131),S131))))</f>
        <v/>
      </c>
      <c r="V131" s="51">
        <f>IF(OR($A131="",$J131=""),"",IF(COUNTIFS('6_資料庫比對'!$B$16:$B$25,A131,'6_資料庫比對'!$C$16:$C$25,I131)=0,"",IF(AND(SUMIFS('6_資料庫比對'!$F$16:$F$25,'6_資料庫比對'!$B$16:$B$25,A131,'6_資料庫比對'!$C$16:$C$25,I131)&gt;=T131,SUMIFS('6_資料庫比對'!$F$16:$F$25,'6_資料庫比對'!$B$16:$B$25,A131,'6_資料庫比對'!$C$16:$C$25,I131)&lt;=U131),"✓ 涵蓋","✗ 不涵蓋")))</f>
        <v/>
      </c>
    </row>
    <row r="132">
      <c r="A132" s="47" t="inlineStr">
        <is>
          <t>brown_sugar</t>
        </is>
      </c>
      <c r="B132" s="47" t="inlineStr">
        <is>
          <t>黑糖</t>
        </is>
      </c>
      <c r="C132" s="47" t="inlineStr">
        <is>
          <t>USDA</t>
        </is>
      </c>
      <c r="D132" s="47" t="inlineStr">
        <is>
          <t>SR Legacy</t>
        </is>
      </c>
      <c r="E132" s="47" t="n">
        <v>168833</v>
      </c>
      <c r="F132" s="47" t="inlineStr">
        <is>
          <t>Sugars, brown</t>
        </is>
      </c>
      <c r="G132" s="47" t="inlineStr">
        <is>
          <t>closest</t>
        </is>
      </c>
      <c r="H132" s="47" t="n">
        <v>6.25</v>
      </c>
      <c r="I132" s="47" t="inlineStr">
        <is>
          <t>carbohydrate</t>
        </is>
      </c>
      <c r="J132" s="47" t="n">
        <v>98.09</v>
      </c>
      <c r="K132" s="47" t="inlineStr">
        <is>
          <t>g</t>
        </is>
      </c>
      <c r="L132" s="47" t="n">
        <v>0</v>
      </c>
      <c r="M132" s="47" t="n"/>
      <c r="N132" s="47" t="n"/>
      <c r="O132" s="47" t="n"/>
      <c r="P132" s="47" t="n"/>
      <c r="Q132" s="47" t="inlineStr">
        <is>
          <t>NC: Calculated</t>
        </is>
      </c>
      <c r="R132" s="48">
        <f>IF(OR($A132="",$J132=""),"",IFERROR(VLOOKUP(I132,'6_資料庫比對'!$A$6:$C$12,2,FALSE),""))</f>
        <v/>
      </c>
      <c r="S132" s="49">
        <f>IF(OR($A132="",$J132=""),"",IFERROR(VLOOKUP(I132,'6_資料庫比對'!$A$6:$C$12,3,FALSE),""))</f>
        <v/>
      </c>
      <c r="T132" s="50">
        <f>IF(OR($A132="",$J132=""),"",MAX(0,IF(AND(N132&lt;&gt;"",O132&lt;&gt;""),MIN(J132-MAX(R132*ABS(J132),S132),N132),IF(AND(M132&lt;&gt;"",N(L132)&gt;=2),MIN(J132-MAX(R132*ABS(J132),S132),J132-2*M132),J132-MAX(R132*ABS(J132),S132)))))</f>
        <v/>
      </c>
      <c r="U132" s="50">
        <f>IF(OR($A132="",$J132=""),"",IF(AND(N132&lt;&gt;"",O132&lt;&gt;""),MAX(J132+MAX(R132*ABS(J132),S132),O132),IF(AND(M132&lt;&gt;"",N(L132)&gt;=2),MAX(J132+MAX(R132*ABS(J132),S132),J132+2*M132),J132+MAX(R132*ABS(J132),S132))))</f>
        <v/>
      </c>
      <c r="V132" s="51">
        <f>IF(OR($A132="",$J132=""),"",IF(COUNTIFS('6_資料庫比對'!$B$16:$B$25,A132,'6_資料庫比對'!$C$16:$C$25,I132)=0,"",IF(AND(SUMIFS('6_資料庫比對'!$F$16:$F$25,'6_資料庫比對'!$B$16:$B$25,A132,'6_資料庫比對'!$C$16:$C$25,I132)&gt;=T132,SUMIFS('6_資料庫比對'!$F$16:$F$25,'6_資料庫比對'!$B$16:$B$25,A132,'6_資料庫比對'!$C$16:$C$25,I132)&lt;=U132),"✓ 涵蓋","✗ 不涵蓋")))</f>
        <v/>
      </c>
    </row>
    <row r="133">
      <c r="A133" s="47" t="inlineStr">
        <is>
          <t>brown_sugar</t>
        </is>
      </c>
      <c r="B133" s="47" t="inlineStr">
        <is>
          <t>黑糖</t>
        </is>
      </c>
      <c r="C133" s="47" t="inlineStr">
        <is>
          <t>USDA</t>
        </is>
      </c>
      <c r="D133" s="47" t="inlineStr">
        <is>
          <t>SR Legacy</t>
        </is>
      </c>
      <c r="E133" s="47" t="n">
        <v>168833</v>
      </c>
      <c r="F133" s="47" t="inlineStr">
        <is>
          <t>Sugars, brown</t>
        </is>
      </c>
      <c r="G133" s="47" t="inlineStr">
        <is>
          <t>closest</t>
        </is>
      </c>
      <c r="H133" s="47" t="n">
        <v>6.25</v>
      </c>
      <c r="I133" s="47" t="inlineStr">
        <is>
          <t>sugars_total</t>
        </is>
      </c>
      <c r="J133" s="47" t="n">
        <v>97.02</v>
      </c>
      <c r="K133" s="47" t="inlineStr">
        <is>
          <t>g</t>
        </is>
      </c>
      <c r="L133" s="47" t="n">
        <v>15</v>
      </c>
      <c r="M133" s="47" t="n"/>
      <c r="N133" s="47" t="n">
        <v>92.42</v>
      </c>
      <c r="O133" s="47" t="n">
        <v>99.84999999999999</v>
      </c>
      <c r="P133" s="47" t="n"/>
      <c r="Q133" s="47" t="inlineStr">
        <is>
          <t>A: Analytical</t>
        </is>
      </c>
      <c r="R133" s="48">
        <f>IF(OR($A133="",$J133=""),"",IFERROR(VLOOKUP(I133,'6_資料庫比對'!$A$6:$C$12,2,FALSE),""))</f>
        <v/>
      </c>
      <c r="S133" s="49">
        <f>IF(OR($A133="",$J133=""),"",IFERROR(VLOOKUP(I133,'6_資料庫比對'!$A$6:$C$12,3,FALSE),""))</f>
        <v/>
      </c>
      <c r="T133" s="50">
        <f>IF(OR($A133="",$J133=""),"",MAX(0,IF(AND(N133&lt;&gt;"",O133&lt;&gt;""),MIN(J133-MAX(R133*ABS(J133),S133),N133),IF(AND(M133&lt;&gt;"",N(L133)&gt;=2),MIN(J133-MAX(R133*ABS(J133),S133),J133-2*M133),J133-MAX(R133*ABS(J133),S133)))))</f>
        <v/>
      </c>
      <c r="U133" s="50">
        <f>IF(OR($A133="",$J133=""),"",IF(AND(N133&lt;&gt;"",O133&lt;&gt;""),MAX(J133+MAX(R133*ABS(J133),S133),O133),IF(AND(M133&lt;&gt;"",N(L133)&gt;=2),MAX(J133+MAX(R133*ABS(J133),S133),J133+2*M133),J133+MAX(R133*ABS(J133),S133))))</f>
        <v/>
      </c>
      <c r="V133" s="51">
        <f>IF(OR($A133="",$J133=""),"",IF(COUNTIFS('6_資料庫比對'!$B$16:$B$25,A133,'6_資料庫比對'!$C$16:$C$25,I133)=0,"",IF(AND(SUMIFS('6_資料庫比對'!$F$16:$F$25,'6_資料庫比對'!$B$16:$B$25,A133,'6_資料庫比對'!$C$16:$C$25,I133)&gt;=T133,SUMIFS('6_資料庫比對'!$F$16:$F$25,'6_資料庫比對'!$B$16:$B$25,A133,'6_資料庫比對'!$C$16:$C$25,I133)&lt;=U133),"✓ 涵蓋","✗ 不涵蓋")))</f>
        <v/>
      </c>
    </row>
    <row r="134">
      <c r="A134" s="47" t="inlineStr">
        <is>
          <t>brown_sugar</t>
        </is>
      </c>
      <c r="B134" s="47" t="inlineStr">
        <is>
          <t>黑糖</t>
        </is>
      </c>
      <c r="C134" s="47" t="inlineStr">
        <is>
          <t>USDA</t>
        </is>
      </c>
      <c r="D134" s="47" t="inlineStr">
        <is>
          <t>SR Legacy</t>
        </is>
      </c>
      <c r="E134" s="47" t="n">
        <v>168833</v>
      </c>
      <c r="F134" s="47" t="inlineStr">
        <is>
          <t>Sugars, brown</t>
        </is>
      </c>
      <c r="G134" s="47" t="inlineStr">
        <is>
          <t>closest</t>
        </is>
      </c>
      <c r="H134" s="47" t="n">
        <v>6.25</v>
      </c>
      <c r="I134" s="47" t="inlineStr">
        <is>
          <t>sodium</t>
        </is>
      </c>
      <c r="J134" s="47" t="n">
        <v>28</v>
      </c>
      <c r="K134" s="47" t="inlineStr">
        <is>
          <t>mg</t>
        </is>
      </c>
      <c r="L134" s="47" t="n">
        <v>15</v>
      </c>
      <c r="M134" s="47" t="n"/>
      <c r="N134" s="47" t="n">
        <v>3</v>
      </c>
      <c r="O134" s="47" t="n">
        <v>63</v>
      </c>
      <c r="P134" s="47" t="n"/>
      <c r="Q134" s="47" t="inlineStr">
        <is>
          <t>A: Analytical</t>
        </is>
      </c>
      <c r="R134" s="48">
        <f>IF(OR($A134="",$J134=""),"",IFERROR(VLOOKUP(I134,'6_資料庫比對'!$A$6:$C$12,2,FALSE),""))</f>
        <v/>
      </c>
      <c r="S134" s="49">
        <f>IF(OR($A134="",$J134=""),"",IFERROR(VLOOKUP(I134,'6_資料庫比對'!$A$6:$C$12,3,FALSE),""))</f>
        <v/>
      </c>
      <c r="T134" s="50">
        <f>IF(OR($A134="",$J134=""),"",MAX(0,IF(AND(N134&lt;&gt;"",O134&lt;&gt;""),MIN(J134-MAX(R134*ABS(J134),S134),N134),IF(AND(M134&lt;&gt;"",N(L134)&gt;=2),MIN(J134-MAX(R134*ABS(J134),S134),J134-2*M134),J134-MAX(R134*ABS(J134),S134)))))</f>
        <v/>
      </c>
      <c r="U134" s="50">
        <f>IF(OR($A134="",$J134=""),"",IF(AND(N134&lt;&gt;"",O134&lt;&gt;""),MAX(J134+MAX(R134*ABS(J134),S134),O134),IF(AND(M134&lt;&gt;"",N(L134)&gt;=2),MAX(J134+MAX(R134*ABS(J134),S134),J134+2*M134),J134+MAX(R134*ABS(J134),S134))))</f>
        <v/>
      </c>
      <c r="V134" s="51">
        <f>IF(OR($A134="",$J134=""),"",IF(COUNTIFS('6_資料庫比對'!$B$16:$B$25,A134,'6_資料庫比對'!$C$16:$C$25,I134)=0,"",IF(AND(SUMIFS('6_資料庫比對'!$F$16:$F$25,'6_資料庫比對'!$B$16:$B$25,A134,'6_資料庫比對'!$C$16:$C$25,I134)&gt;=T134,SUMIFS('6_資料庫比對'!$F$16:$F$25,'6_資料庫比對'!$B$16:$B$25,A134,'6_資料庫比對'!$C$16:$C$25,I134)&lt;=U134),"✓ 涵蓋","✗ 不涵蓋")))</f>
        <v/>
      </c>
    </row>
    <row r="135">
      <c r="A135" s="47" t="inlineStr">
        <is>
          <t>brown_sugar</t>
        </is>
      </c>
      <c r="B135" s="47" t="inlineStr">
        <is>
          <t>黑糖</t>
        </is>
      </c>
      <c r="C135" s="47" t="inlineStr">
        <is>
          <t>TFND</t>
        </is>
      </c>
      <c r="D135" s="47" t="inlineStr">
        <is>
          <t>食品營養成分資料集</t>
        </is>
      </c>
      <c r="E135" s="47" t="inlineStr">
        <is>
          <t>N0100401</t>
        </is>
      </c>
      <c r="F135" s="47" t="inlineStr">
        <is>
          <t>黑砂糖</t>
        </is>
      </c>
      <c r="G135" s="47" t="inlineStr">
        <is>
          <t>closest</t>
        </is>
      </c>
      <c r="H135" s="47" t="n"/>
      <c r="I135" s="47" t="inlineStr">
        <is>
          <t>water</t>
        </is>
      </c>
      <c r="J135" s="47" t="n">
        <v>2.4</v>
      </c>
      <c r="K135" s="47" t="inlineStr">
        <is>
          <t>g</t>
        </is>
      </c>
      <c r="L135" s="47" t="n">
        <v>1</v>
      </c>
      <c r="M135" s="47" t="n"/>
      <c r="N135" s="47" t="n"/>
      <c r="O135" s="47" t="n"/>
      <c r="P135" s="47" t="n"/>
      <c r="Q135" s="47" t="n"/>
      <c r="R135" s="48">
        <f>IF(OR($A135="",$J135=""),"",IFERROR(VLOOKUP(I135,'6_資料庫比對'!$A$6:$C$12,2,FALSE),""))</f>
        <v/>
      </c>
      <c r="S135" s="49">
        <f>IF(OR($A135="",$J135=""),"",IFERROR(VLOOKUP(I135,'6_資料庫比對'!$A$6:$C$12,3,FALSE),""))</f>
        <v/>
      </c>
      <c r="T135" s="50">
        <f>IF(OR($A135="",$J135=""),"",MAX(0,IF(AND(N135&lt;&gt;"",O135&lt;&gt;""),MIN(J135-MAX(R135*ABS(J135),S135),N135),IF(AND(M135&lt;&gt;"",N(L135)&gt;=2),MIN(J135-MAX(R135*ABS(J135),S135),J135-2*M135),J135-MAX(R135*ABS(J135),S135)))))</f>
        <v/>
      </c>
      <c r="U135" s="50">
        <f>IF(OR($A135="",$J135=""),"",IF(AND(N135&lt;&gt;"",O135&lt;&gt;""),MAX(J135+MAX(R135*ABS(J135),S135),O135),IF(AND(M135&lt;&gt;"",N(L135)&gt;=2),MAX(J135+MAX(R135*ABS(J135),S135),J135+2*M135),J135+MAX(R135*ABS(J135),S135))))</f>
        <v/>
      </c>
      <c r="V135" s="51">
        <f>IF(OR($A135="",$J135=""),"",IF(COUNTIFS('6_資料庫比對'!$B$16:$B$25,A135,'6_資料庫比對'!$C$16:$C$25,I135)=0,"",IF(AND(SUMIFS('6_資料庫比對'!$F$16:$F$25,'6_資料庫比對'!$B$16:$B$25,A135,'6_資料庫比對'!$C$16:$C$25,I135)&gt;=T135,SUMIFS('6_資料庫比對'!$F$16:$F$25,'6_資料庫比對'!$B$16:$B$25,A135,'6_資料庫比對'!$C$16:$C$25,I135)&lt;=U135),"✓ 涵蓋","✗ 不涵蓋")))</f>
        <v/>
      </c>
    </row>
    <row r="136">
      <c r="A136" s="47" t="inlineStr">
        <is>
          <t>brown_sugar</t>
        </is>
      </c>
      <c r="B136" s="47" t="inlineStr">
        <is>
          <t>黑糖</t>
        </is>
      </c>
      <c r="C136" s="47" t="inlineStr">
        <is>
          <t>TFND</t>
        </is>
      </c>
      <c r="D136" s="47" t="inlineStr">
        <is>
          <t>食品營養成分資料集</t>
        </is>
      </c>
      <c r="E136" s="47" t="inlineStr">
        <is>
          <t>N0100401</t>
        </is>
      </c>
      <c r="F136" s="47" t="inlineStr">
        <is>
          <t>黑砂糖</t>
        </is>
      </c>
      <c r="G136" s="47" t="inlineStr">
        <is>
          <t>closest</t>
        </is>
      </c>
      <c r="H136" s="47" t="n"/>
      <c r="I136" s="47" t="inlineStr">
        <is>
          <t>protein</t>
        </is>
      </c>
      <c r="J136" s="47" t="n">
        <v>0.5</v>
      </c>
      <c r="K136" s="47" t="inlineStr">
        <is>
          <t>g</t>
        </is>
      </c>
      <c r="L136" s="47" t="n">
        <v>1</v>
      </c>
      <c r="M136" s="47" t="n"/>
      <c r="N136" s="47" t="n"/>
      <c r="O136" s="47" t="n"/>
      <c r="P136" s="47" t="n"/>
      <c r="Q136" s="47" t="n"/>
      <c r="R136" s="48">
        <f>IF(OR($A136="",$J136=""),"",IFERROR(VLOOKUP(I136,'6_資料庫比對'!$A$6:$C$12,2,FALSE),""))</f>
        <v/>
      </c>
      <c r="S136" s="49">
        <f>IF(OR($A136="",$J136=""),"",IFERROR(VLOOKUP(I136,'6_資料庫比對'!$A$6:$C$12,3,FALSE),""))</f>
        <v/>
      </c>
      <c r="T136" s="50">
        <f>IF(OR($A136="",$J136=""),"",MAX(0,IF(AND(N136&lt;&gt;"",O136&lt;&gt;""),MIN(J136-MAX(R136*ABS(J136),S136),N136),IF(AND(M136&lt;&gt;"",N(L136)&gt;=2),MIN(J136-MAX(R136*ABS(J136),S136),J136-2*M136),J136-MAX(R136*ABS(J136),S136)))))</f>
        <v/>
      </c>
      <c r="U136" s="50">
        <f>IF(OR($A136="",$J136=""),"",IF(AND(N136&lt;&gt;"",O136&lt;&gt;""),MAX(J136+MAX(R136*ABS(J136),S136),O136),IF(AND(M136&lt;&gt;"",N(L136)&gt;=2),MAX(J136+MAX(R136*ABS(J136),S136),J136+2*M136),J136+MAX(R136*ABS(J136),S136))))</f>
        <v/>
      </c>
      <c r="V136" s="51">
        <f>IF(OR($A136="",$J136=""),"",IF(COUNTIFS('6_資料庫比對'!$B$16:$B$25,A136,'6_資料庫比對'!$C$16:$C$25,I136)=0,"",IF(AND(SUMIFS('6_資料庫比對'!$F$16:$F$25,'6_資料庫比對'!$B$16:$B$25,A136,'6_資料庫比對'!$C$16:$C$25,I136)&gt;=T136,SUMIFS('6_資料庫比對'!$F$16:$F$25,'6_資料庫比對'!$B$16:$B$25,A136,'6_資料庫比對'!$C$16:$C$25,I136)&lt;=U136),"✓ 涵蓋","✗ 不涵蓋")))</f>
        <v/>
      </c>
    </row>
    <row r="137">
      <c r="A137" s="47" t="inlineStr">
        <is>
          <t>brown_sugar</t>
        </is>
      </c>
      <c r="B137" s="47" t="inlineStr">
        <is>
          <t>黑糖</t>
        </is>
      </c>
      <c r="C137" s="47" t="inlineStr">
        <is>
          <t>TFND</t>
        </is>
      </c>
      <c r="D137" s="47" t="inlineStr">
        <is>
          <t>食品營養成分資料集</t>
        </is>
      </c>
      <c r="E137" s="47" t="inlineStr">
        <is>
          <t>N0100401</t>
        </is>
      </c>
      <c r="F137" s="47" t="inlineStr">
        <is>
          <t>黑砂糖</t>
        </is>
      </c>
      <c r="G137" s="47" t="inlineStr">
        <is>
          <t>closest</t>
        </is>
      </c>
      <c r="H137" s="47" t="n"/>
      <c r="I137" s="47" t="inlineStr">
        <is>
          <t>fat</t>
        </is>
      </c>
      <c r="J137" s="47" t="n">
        <v>0.7</v>
      </c>
      <c r="K137" s="47" t="inlineStr">
        <is>
          <t>g</t>
        </is>
      </c>
      <c r="L137" s="47" t="n">
        <v>1</v>
      </c>
      <c r="M137" s="47" t="n"/>
      <c r="N137" s="47" t="n"/>
      <c r="O137" s="47" t="n"/>
      <c r="P137" s="47" t="n"/>
      <c r="Q137" s="47" t="n"/>
      <c r="R137" s="48">
        <f>IF(OR($A137="",$J137=""),"",IFERROR(VLOOKUP(I137,'6_資料庫比對'!$A$6:$C$12,2,FALSE),""))</f>
        <v/>
      </c>
      <c r="S137" s="49">
        <f>IF(OR($A137="",$J137=""),"",IFERROR(VLOOKUP(I137,'6_資料庫比對'!$A$6:$C$12,3,FALSE),""))</f>
        <v/>
      </c>
      <c r="T137" s="50">
        <f>IF(OR($A137="",$J137=""),"",MAX(0,IF(AND(N137&lt;&gt;"",O137&lt;&gt;""),MIN(J137-MAX(R137*ABS(J137),S137),N137),IF(AND(M137&lt;&gt;"",N(L137)&gt;=2),MIN(J137-MAX(R137*ABS(J137),S137),J137-2*M137),J137-MAX(R137*ABS(J137),S137)))))</f>
        <v/>
      </c>
      <c r="U137" s="50">
        <f>IF(OR($A137="",$J137=""),"",IF(AND(N137&lt;&gt;"",O137&lt;&gt;""),MAX(J137+MAX(R137*ABS(J137),S137),O137),IF(AND(M137&lt;&gt;"",N(L137)&gt;=2),MAX(J137+MAX(R137*ABS(J137),S137),J137+2*M137),J137+MAX(R137*ABS(J137),S137))))</f>
        <v/>
      </c>
      <c r="V137" s="51">
        <f>IF(OR($A137="",$J137=""),"",IF(COUNTIFS('6_資料庫比對'!$B$16:$B$25,A137,'6_資料庫比對'!$C$16:$C$25,I137)=0,"",IF(AND(SUMIFS('6_資料庫比對'!$F$16:$F$25,'6_資料庫比對'!$B$16:$B$25,A137,'6_資料庫比對'!$C$16:$C$25,I137)&gt;=T137,SUMIFS('6_資料庫比對'!$F$16:$F$25,'6_資料庫比對'!$B$16:$B$25,A137,'6_資料庫比對'!$C$16:$C$25,I137)&lt;=U137),"✓ 涵蓋","✗ 不涵蓋")))</f>
        <v/>
      </c>
    </row>
    <row r="138">
      <c r="A138" s="47" t="inlineStr">
        <is>
          <t>brown_sugar</t>
        </is>
      </c>
      <c r="B138" s="47" t="inlineStr">
        <is>
          <t>黑糖</t>
        </is>
      </c>
      <c r="C138" s="47" t="inlineStr">
        <is>
          <t>TFND</t>
        </is>
      </c>
      <c r="D138" s="47" t="inlineStr">
        <is>
          <t>食品營養成分資料集</t>
        </is>
      </c>
      <c r="E138" s="47" t="inlineStr">
        <is>
          <t>N0100401</t>
        </is>
      </c>
      <c r="F138" s="47" t="inlineStr">
        <is>
          <t>黑砂糖</t>
        </is>
      </c>
      <c r="G138" s="47" t="inlineStr">
        <is>
          <t>closest</t>
        </is>
      </c>
      <c r="H138" s="47" t="n"/>
      <c r="I138" s="47" t="inlineStr">
        <is>
          <t>ash</t>
        </is>
      </c>
      <c r="J138" s="47" t="n">
        <v>1.1</v>
      </c>
      <c r="K138" s="47" t="inlineStr">
        <is>
          <t>g</t>
        </is>
      </c>
      <c r="L138" s="47" t="n">
        <v>1</v>
      </c>
      <c r="M138" s="47" t="n"/>
      <c r="N138" s="47" t="n"/>
      <c r="O138" s="47" t="n"/>
      <c r="P138" s="47" t="n"/>
      <c r="Q138" s="47" t="n"/>
      <c r="R138" s="48">
        <f>IF(OR($A138="",$J138=""),"",IFERROR(VLOOKUP(I138,'6_資料庫比對'!$A$6:$C$12,2,FALSE),""))</f>
        <v/>
      </c>
      <c r="S138" s="49">
        <f>IF(OR($A138="",$J138=""),"",IFERROR(VLOOKUP(I138,'6_資料庫比對'!$A$6:$C$12,3,FALSE),""))</f>
        <v/>
      </c>
      <c r="T138" s="50">
        <f>IF(OR($A138="",$J138=""),"",MAX(0,IF(AND(N138&lt;&gt;"",O138&lt;&gt;""),MIN(J138-MAX(R138*ABS(J138),S138),N138),IF(AND(M138&lt;&gt;"",N(L138)&gt;=2),MIN(J138-MAX(R138*ABS(J138),S138),J138-2*M138),J138-MAX(R138*ABS(J138),S138)))))</f>
        <v/>
      </c>
      <c r="U138" s="50">
        <f>IF(OR($A138="",$J138=""),"",IF(AND(N138&lt;&gt;"",O138&lt;&gt;""),MAX(J138+MAX(R138*ABS(J138),S138),O138),IF(AND(M138&lt;&gt;"",N(L138)&gt;=2),MAX(J138+MAX(R138*ABS(J138),S138),J138+2*M138),J138+MAX(R138*ABS(J138),S138))))</f>
        <v/>
      </c>
      <c r="V138" s="51">
        <f>IF(OR($A138="",$J138=""),"",IF(COUNTIFS('6_資料庫比對'!$B$16:$B$25,A138,'6_資料庫比對'!$C$16:$C$25,I138)=0,"",IF(AND(SUMIFS('6_資料庫比對'!$F$16:$F$25,'6_資料庫比對'!$B$16:$B$25,A138,'6_資料庫比對'!$C$16:$C$25,I138)&gt;=T138,SUMIFS('6_資料庫比對'!$F$16:$F$25,'6_資料庫比對'!$B$16:$B$25,A138,'6_資料庫比對'!$C$16:$C$25,I138)&lt;=U138),"✓ 涵蓋","✗ 不涵蓋")))</f>
        <v/>
      </c>
    </row>
    <row r="139">
      <c r="A139" s="47" t="inlineStr">
        <is>
          <t>brown_sugar</t>
        </is>
      </c>
      <c r="B139" s="47" t="inlineStr">
        <is>
          <t>黑糖</t>
        </is>
      </c>
      <c r="C139" s="47" t="inlineStr">
        <is>
          <t>TFND</t>
        </is>
      </c>
      <c r="D139" s="47" t="inlineStr">
        <is>
          <t>食品營養成分資料集</t>
        </is>
      </c>
      <c r="E139" s="47" t="inlineStr">
        <is>
          <t>N0100401</t>
        </is>
      </c>
      <c r="F139" s="47" t="inlineStr">
        <is>
          <t>黑砂糖</t>
        </is>
      </c>
      <c r="G139" s="47" t="inlineStr">
        <is>
          <t>closest</t>
        </is>
      </c>
      <c r="H139" s="47" t="n"/>
      <c r="I139" s="47" t="inlineStr">
        <is>
          <t>carbohydrate</t>
        </is>
      </c>
      <c r="J139" s="47" t="n">
        <v>95.3</v>
      </c>
      <c r="K139" s="47" t="inlineStr">
        <is>
          <t>g</t>
        </is>
      </c>
      <c r="L139" s="47" t="n"/>
      <c r="M139" s="47" t="n"/>
      <c r="N139" s="47" t="n"/>
      <c r="O139" s="47" t="n"/>
      <c r="P139" s="47" t="n"/>
      <c r="Q139" s="47" t="n"/>
      <c r="R139" s="48">
        <f>IF(OR($A139="",$J139=""),"",IFERROR(VLOOKUP(I139,'6_資料庫比對'!$A$6:$C$12,2,FALSE),""))</f>
        <v/>
      </c>
      <c r="S139" s="49">
        <f>IF(OR($A139="",$J139=""),"",IFERROR(VLOOKUP(I139,'6_資料庫比對'!$A$6:$C$12,3,FALSE),""))</f>
        <v/>
      </c>
      <c r="T139" s="50">
        <f>IF(OR($A139="",$J139=""),"",MAX(0,IF(AND(N139&lt;&gt;"",O139&lt;&gt;""),MIN(J139-MAX(R139*ABS(J139),S139),N139),IF(AND(M139&lt;&gt;"",N(L139)&gt;=2),MIN(J139-MAX(R139*ABS(J139),S139),J139-2*M139),J139-MAX(R139*ABS(J139),S139)))))</f>
        <v/>
      </c>
      <c r="U139" s="50">
        <f>IF(OR($A139="",$J139=""),"",IF(AND(N139&lt;&gt;"",O139&lt;&gt;""),MAX(J139+MAX(R139*ABS(J139),S139),O139),IF(AND(M139&lt;&gt;"",N(L139)&gt;=2),MAX(J139+MAX(R139*ABS(J139),S139),J139+2*M139),J139+MAX(R139*ABS(J139),S139))))</f>
        <v/>
      </c>
      <c r="V139" s="51">
        <f>IF(OR($A139="",$J139=""),"",IF(COUNTIFS('6_資料庫比對'!$B$16:$B$25,A139,'6_資料庫比對'!$C$16:$C$25,I139)=0,"",IF(AND(SUMIFS('6_資料庫比對'!$F$16:$F$25,'6_資料庫比對'!$B$16:$B$25,A139,'6_資料庫比對'!$C$16:$C$25,I139)&gt;=T139,SUMIFS('6_資料庫比對'!$F$16:$F$25,'6_資料庫比對'!$B$16:$B$25,A139,'6_資料庫比對'!$C$16:$C$25,I139)&lt;=U139),"✓ 涵蓋","✗ 不涵蓋")))</f>
        <v/>
      </c>
    </row>
    <row r="140">
      <c r="A140" s="47" t="inlineStr">
        <is>
          <t>brown_sugar</t>
        </is>
      </c>
      <c r="B140" s="47" t="inlineStr">
        <is>
          <t>黑糖</t>
        </is>
      </c>
      <c r="C140" s="47" t="inlineStr">
        <is>
          <t>TFND</t>
        </is>
      </c>
      <c r="D140" s="47" t="inlineStr">
        <is>
          <t>食品營養成分資料集</t>
        </is>
      </c>
      <c r="E140" s="47" t="inlineStr">
        <is>
          <t>N0100401</t>
        </is>
      </c>
      <c r="F140" s="47" t="inlineStr">
        <is>
          <t>黑砂糖</t>
        </is>
      </c>
      <c r="G140" s="47" t="inlineStr">
        <is>
          <t>closest</t>
        </is>
      </c>
      <c r="H140" s="47" t="n"/>
      <c r="I140" s="47" t="inlineStr">
        <is>
          <t>sugars_total</t>
        </is>
      </c>
      <c r="J140" s="47" t="n">
        <v>86.09999999999999</v>
      </c>
      <c r="K140" s="47" t="inlineStr">
        <is>
          <t>g</t>
        </is>
      </c>
      <c r="L140" s="47" t="n"/>
      <c r="M140" s="47" t="n"/>
      <c r="N140" s="47" t="n"/>
      <c r="O140" s="47" t="n"/>
      <c r="P140" s="47" t="n"/>
      <c r="Q140" s="47" t="n"/>
      <c r="R140" s="48">
        <f>IF(OR($A140="",$J140=""),"",IFERROR(VLOOKUP(I140,'6_資料庫比對'!$A$6:$C$12,2,FALSE),""))</f>
        <v/>
      </c>
      <c r="S140" s="49">
        <f>IF(OR($A140="",$J140=""),"",IFERROR(VLOOKUP(I140,'6_資料庫比對'!$A$6:$C$12,3,FALSE),""))</f>
        <v/>
      </c>
      <c r="T140" s="50">
        <f>IF(OR($A140="",$J140=""),"",MAX(0,IF(AND(N140&lt;&gt;"",O140&lt;&gt;""),MIN(J140-MAX(R140*ABS(J140),S140),N140),IF(AND(M140&lt;&gt;"",N(L140)&gt;=2),MIN(J140-MAX(R140*ABS(J140),S140),J140-2*M140),J140-MAX(R140*ABS(J140),S140)))))</f>
        <v/>
      </c>
      <c r="U140" s="50">
        <f>IF(OR($A140="",$J140=""),"",IF(AND(N140&lt;&gt;"",O140&lt;&gt;""),MAX(J140+MAX(R140*ABS(J140),S140),O140),IF(AND(M140&lt;&gt;"",N(L140)&gt;=2),MAX(J140+MAX(R140*ABS(J140),S140),J140+2*M140),J140+MAX(R140*ABS(J140),S140))))</f>
        <v/>
      </c>
      <c r="V140" s="51">
        <f>IF(OR($A140="",$J140=""),"",IF(COUNTIFS('6_資料庫比對'!$B$16:$B$25,A140,'6_資料庫比對'!$C$16:$C$25,I140)=0,"",IF(AND(SUMIFS('6_資料庫比對'!$F$16:$F$25,'6_資料庫比對'!$B$16:$B$25,A140,'6_資料庫比對'!$C$16:$C$25,I140)&gt;=T140,SUMIFS('6_資料庫比對'!$F$16:$F$25,'6_資料庫比對'!$B$16:$B$25,A140,'6_資料庫比對'!$C$16:$C$25,I140)&lt;=U140),"✓ 涵蓋","✗ 不涵蓋")))</f>
        <v/>
      </c>
    </row>
    <row r="141">
      <c r="A141" s="47" t="inlineStr">
        <is>
          <t>brown_sugar</t>
        </is>
      </c>
      <c r="B141" s="47" t="inlineStr">
        <is>
          <t>黑糖</t>
        </is>
      </c>
      <c r="C141" s="47" t="inlineStr">
        <is>
          <t>TFND</t>
        </is>
      </c>
      <c r="D141" s="47" t="inlineStr">
        <is>
          <t>食品營養成分資料集</t>
        </is>
      </c>
      <c r="E141" s="47" t="inlineStr">
        <is>
          <t>N0100401</t>
        </is>
      </c>
      <c r="F141" s="47" t="inlineStr">
        <is>
          <t>黑砂糖</t>
        </is>
      </c>
      <c r="G141" s="47" t="inlineStr">
        <is>
          <t>closest</t>
        </is>
      </c>
      <c r="H141" s="47" t="n"/>
      <c r="I141" s="47" t="inlineStr">
        <is>
          <t>sodium</t>
        </is>
      </c>
      <c r="J141" s="47" t="n">
        <v>10</v>
      </c>
      <c r="K141" s="47" t="inlineStr">
        <is>
          <t>mg</t>
        </is>
      </c>
      <c r="L141" s="47" t="n">
        <v>1</v>
      </c>
      <c r="M141" s="47" t="n"/>
      <c r="N141" s="47" t="n"/>
      <c r="O141" s="47" t="n"/>
      <c r="P141" s="47" t="n"/>
      <c r="Q141" s="47" t="n"/>
      <c r="R141" s="48">
        <f>IF(OR($A141="",$J141=""),"",IFERROR(VLOOKUP(I141,'6_資料庫比對'!$A$6:$C$12,2,FALSE),""))</f>
        <v/>
      </c>
      <c r="S141" s="49">
        <f>IF(OR($A141="",$J141=""),"",IFERROR(VLOOKUP(I141,'6_資料庫比對'!$A$6:$C$12,3,FALSE),""))</f>
        <v/>
      </c>
      <c r="T141" s="50">
        <f>IF(OR($A141="",$J141=""),"",MAX(0,IF(AND(N141&lt;&gt;"",O141&lt;&gt;""),MIN(J141-MAX(R141*ABS(J141),S141),N141),IF(AND(M141&lt;&gt;"",N(L141)&gt;=2),MIN(J141-MAX(R141*ABS(J141),S141),J141-2*M141),J141-MAX(R141*ABS(J141),S141)))))</f>
        <v/>
      </c>
      <c r="U141" s="50">
        <f>IF(OR($A141="",$J141=""),"",IF(AND(N141&lt;&gt;"",O141&lt;&gt;""),MAX(J141+MAX(R141*ABS(J141),S141),O141),IF(AND(M141&lt;&gt;"",N(L141)&gt;=2),MAX(J141+MAX(R141*ABS(J141),S141),J141+2*M141),J141+MAX(R141*ABS(J141),S141))))</f>
        <v/>
      </c>
      <c r="V141" s="51">
        <f>IF(OR($A141="",$J141=""),"",IF(COUNTIFS('6_資料庫比對'!$B$16:$B$25,A141,'6_資料庫比對'!$C$16:$C$25,I141)=0,"",IF(AND(SUMIFS('6_資料庫比對'!$F$16:$F$25,'6_資料庫比對'!$B$16:$B$25,A141,'6_資料庫比對'!$C$16:$C$25,I141)&gt;=T141,SUMIFS('6_資料庫比對'!$F$16:$F$25,'6_資料庫比對'!$B$16:$B$25,A141,'6_資料庫比對'!$C$16:$C$25,I141)&lt;=U141),"✓ 涵蓋","✗ 不涵蓋")))</f>
        <v/>
      </c>
    </row>
    <row r="142">
      <c r="A142" s="47" t="inlineStr">
        <is>
          <t>white_sugar</t>
        </is>
      </c>
      <c r="B142" s="47" t="inlineStr">
        <is>
          <t>白砂糖</t>
        </is>
      </c>
      <c r="C142" s="47" t="inlineStr">
        <is>
          <t>USDA</t>
        </is>
      </c>
      <c r="D142" s="47" t="inlineStr">
        <is>
          <t>SR Legacy</t>
        </is>
      </c>
      <c r="E142" s="47" t="n">
        <v>169655</v>
      </c>
      <c r="F142" s="47" t="inlineStr">
        <is>
          <t>Sugars, granulated</t>
        </is>
      </c>
      <c r="G142" s="47" t="inlineStr">
        <is>
          <t>exact</t>
        </is>
      </c>
      <c r="H142" s="47" t="n">
        <v>6.25</v>
      </c>
      <c r="I142" s="47" t="inlineStr">
        <is>
          <t>water</t>
        </is>
      </c>
      <c r="J142" s="47" t="n">
        <v>0.02</v>
      </c>
      <c r="K142" s="47" t="inlineStr">
        <is>
          <t>g</t>
        </is>
      </c>
      <c r="L142" s="47" t="n">
        <v>8</v>
      </c>
      <c r="M142" s="47" t="n"/>
      <c r="N142" s="47" t="n">
        <v>0.01</v>
      </c>
      <c r="O142" s="47" t="n">
        <v>0.06</v>
      </c>
      <c r="P142" s="47" t="n"/>
      <c r="Q142" s="47" t="inlineStr">
        <is>
          <t>A: Analytical</t>
        </is>
      </c>
      <c r="R142" s="48">
        <f>IF(OR($A142="",$J142=""),"",IFERROR(VLOOKUP(I142,'6_資料庫比對'!$A$6:$C$12,2,FALSE),""))</f>
        <v/>
      </c>
      <c r="S142" s="49">
        <f>IF(OR($A142="",$J142=""),"",IFERROR(VLOOKUP(I142,'6_資料庫比對'!$A$6:$C$12,3,FALSE),""))</f>
        <v/>
      </c>
      <c r="T142" s="50">
        <f>IF(OR($A142="",$J142=""),"",MAX(0,IF(AND(N142&lt;&gt;"",O142&lt;&gt;""),MIN(J142-MAX(R142*ABS(J142),S142),N142),IF(AND(M142&lt;&gt;"",N(L142)&gt;=2),MIN(J142-MAX(R142*ABS(J142),S142),J142-2*M142),J142-MAX(R142*ABS(J142),S142)))))</f>
        <v/>
      </c>
      <c r="U142" s="50">
        <f>IF(OR($A142="",$J142=""),"",IF(AND(N142&lt;&gt;"",O142&lt;&gt;""),MAX(J142+MAX(R142*ABS(J142),S142),O142),IF(AND(M142&lt;&gt;"",N(L142)&gt;=2),MAX(J142+MAX(R142*ABS(J142),S142),J142+2*M142),J142+MAX(R142*ABS(J142),S142))))</f>
        <v/>
      </c>
      <c r="V142" s="51">
        <f>IF(OR($A142="",$J142=""),"",IF(COUNTIFS('6_資料庫比對'!$B$16:$B$25,A142,'6_資料庫比對'!$C$16:$C$25,I142)=0,"",IF(AND(SUMIFS('6_資料庫比對'!$F$16:$F$25,'6_資料庫比對'!$B$16:$B$25,A142,'6_資料庫比對'!$C$16:$C$25,I142)&gt;=T142,SUMIFS('6_資料庫比對'!$F$16:$F$25,'6_資料庫比對'!$B$16:$B$25,A142,'6_資料庫比對'!$C$16:$C$25,I142)&lt;=U142),"✓ 涵蓋","✗ 不涵蓋")))</f>
        <v/>
      </c>
    </row>
    <row r="143">
      <c r="A143" s="47" t="inlineStr">
        <is>
          <t>white_sugar</t>
        </is>
      </c>
      <c r="B143" s="47" t="inlineStr">
        <is>
          <t>白砂糖</t>
        </is>
      </c>
      <c r="C143" s="47" t="inlineStr">
        <is>
          <t>USDA</t>
        </is>
      </c>
      <c r="D143" s="47" t="inlineStr">
        <is>
          <t>SR Legacy</t>
        </is>
      </c>
      <c r="E143" s="47" t="n">
        <v>169655</v>
      </c>
      <c r="F143" s="47" t="inlineStr">
        <is>
          <t>Sugars, granulated</t>
        </is>
      </c>
      <c r="G143" s="47" t="inlineStr">
        <is>
          <t>exact</t>
        </is>
      </c>
      <c r="H143" s="47" t="n">
        <v>6.25</v>
      </c>
      <c r="I143" s="47" t="inlineStr">
        <is>
          <t>protein</t>
        </is>
      </c>
      <c r="J143" s="47" t="n">
        <v>0</v>
      </c>
      <c r="K143" s="47" t="inlineStr">
        <is>
          <t>g</t>
        </is>
      </c>
      <c r="L143" s="47" t="n">
        <v>8</v>
      </c>
      <c r="M143" s="47" t="n"/>
      <c r="N143" s="47" t="n">
        <v>0</v>
      </c>
      <c r="O143" s="47" t="n">
        <v>0</v>
      </c>
      <c r="P143" s="47" t="n"/>
      <c r="Q143" s="47" t="inlineStr">
        <is>
          <t>A: Analytical</t>
        </is>
      </c>
      <c r="R143" s="48">
        <f>IF(OR($A143="",$J143=""),"",IFERROR(VLOOKUP(I143,'6_資料庫比對'!$A$6:$C$12,2,FALSE),""))</f>
        <v/>
      </c>
      <c r="S143" s="49">
        <f>IF(OR($A143="",$J143=""),"",IFERROR(VLOOKUP(I143,'6_資料庫比對'!$A$6:$C$12,3,FALSE),""))</f>
        <v/>
      </c>
      <c r="T143" s="50">
        <f>IF(OR($A143="",$J143=""),"",MAX(0,IF(AND(N143&lt;&gt;"",O143&lt;&gt;""),MIN(J143-MAX(R143*ABS(J143),S143),N143),IF(AND(M143&lt;&gt;"",N(L143)&gt;=2),MIN(J143-MAX(R143*ABS(J143),S143),J143-2*M143),J143-MAX(R143*ABS(J143),S143)))))</f>
        <v/>
      </c>
      <c r="U143" s="50">
        <f>IF(OR($A143="",$J143=""),"",IF(AND(N143&lt;&gt;"",O143&lt;&gt;""),MAX(J143+MAX(R143*ABS(J143),S143),O143),IF(AND(M143&lt;&gt;"",N(L143)&gt;=2),MAX(J143+MAX(R143*ABS(J143),S143),J143+2*M143),J143+MAX(R143*ABS(J143),S143))))</f>
        <v/>
      </c>
      <c r="V143" s="51">
        <f>IF(OR($A143="",$J143=""),"",IF(COUNTIFS('6_資料庫比對'!$B$16:$B$25,A143,'6_資料庫比對'!$C$16:$C$25,I143)=0,"",IF(AND(SUMIFS('6_資料庫比對'!$F$16:$F$25,'6_資料庫比對'!$B$16:$B$25,A143,'6_資料庫比對'!$C$16:$C$25,I143)&gt;=T143,SUMIFS('6_資料庫比對'!$F$16:$F$25,'6_資料庫比對'!$B$16:$B$25,A143,'6_資料庫比對'!$C$16:$C$25,I143)&lt;=U143),"✓ 涵蓋","✗ 不涵蓋")))</f>
        <v/>
      </c>
    </row>
    <row r="144">
      <c r="A144" s="47" t="inlineStr">
        <is>
          <t>white_sugar</t>
        </is>
      </c>
      <c r="B144" s="47" t="inlineStr">
        <is>
          <t>白砂糖</t>
        </is>
      </c>
      <c r="C144" s="47" t="inlineStr">
        <is>
          <t>USDA</t>
        </is>
      </c>
      <c r="D144" s="47" t="inlineStr">
        <is>
          <t>SR Legacy</t>
        </is>
      </c>
      <c r="E144" s="47" t="n">
        <v>169655</v>
      </c>
      <c r="F144" s="47" t="inlineStr">
        <is>
          <t>Sugars, granulated</t>
        </is>
      </c>
      <c r="G144" s="47" t="inlineStr">
        <is>
          <t>exact</t>
        </is>
      </c>
      <c r="H144" s="47" t="n">
        <v>6.25</v>
      </c>
      <c r="I144" s="47" t="inlineStr">
        <is>
          <t>fat</t>
        </is>
      </c>
      <c r="J144" s="47" t="n">
        <v>0</v>
      </c>
      <c r="K144" s="47" t="inlineStr">
        <is>
          <t>g</t>
        </is>
      </c>
      <c r="L144" s="47" t="n">
        <v>1</v>
      </c>
      <c r="M144" s="47" t="n"/>
      <c r="N144" s="47" t="n"/>
      <c r="O144" s="47" t="n"/>
      <c r="P144" s="47" t="n"/>
      <c r="Q144" s="47" t="inlineStr">
        <is>
          <t>A: Analytical</t>
        </is>
      </c>
      <c r="R144" s="48">
        <f>IF(OR($A144="",$J144=""),"",IFERROR(VLOOKUP(I144,'6_資料庫比對'!$A$6:$C$12,2,FALSE),""))</f>
        <v/>
      </c>
      <c r="S144" s="49">
        <f>IF(OR($A144="",$J144=""),"",IFERROR(VLOOKUP(I144,'6_資料庫比對'!$A$6:$C$12,3,FALSE),""))</f>
        <v/>
      </c>
      <c r="T144" s="50">
        <f>IF(OR($A144="",$J144=""),"",MAX(0,IF(AND(N144&lt;&gt;"",O144&lt;&gt;""),MIN(J144-MAX(R144*ABS(J144),S144),N144),IF(AND(M144&lt;&gt;"",N(L144)&gt;=2),MIN(J144-MAX(R144*ABS(J144),S144),J144-2*M144),J144-MAX(R144*ABS(J144),S144)))))</f>
        <v/>
      </c>
      <c r="U144" s="50">
        <f>IF(OR($A144="",$J144=""),"",IF(AND(N144&lt;&gt;"",O144&lt;&gt;""),MAX(J144+MAX(R144*ABS(J144),S144),O144),IF(AND(M144&lt;&gt;"",N(L144)&gt;=2),MAX(J144+MAX(R144*ABS(J144),S144),J144+2*M144),J144+MAX(R144*ABS(J144),S144))))</f>
        <v/>
      </c>
      <c r="V144" s="51">
        <f>IF(OR($A144="",$J144=""),"",IF(COUNTIFS('6_資料庫比對'!$B$16:$B$25,A144,'6_資料庫比對'!$C$16:$C$25,I144)=0,"",IF(AND(SUMIFS('6_資料庫比對'!$F$16:$F$25,'6_資料庫比對'!$B$16:$B$25,A144,'6_資料庫比對'!$C$16:$C$25,I144)&gt;=T144,SUMIFS('6_資料庫比對'!$F$16:$F$25,'6_資料庫比對'!$B$16:$B$25,A144,'6_資料庫比對'!$C$16:$C$25,I144)&lt;=U144),"✓ 涵蓋","✗ 不涵蓋")))</f>
        <v/>
      </c>
    </row>
    <row r="145">
      <c r="A145" s="47" t="inlineStr">
        <is>
          <t>white_sugar</t>
        </is>
      </c>
      <c r="B145" s="47" t="inlineStr">
        <is>
          <t>白砂糖</t>
        </is>
      </c>
      <c r="C145" s="47" t="inlineStr">
        <is>
          <t>USDA</t>
        </is>
      </c>
      <c r="D145" s="47" t="inlineStr">
        <is>
          <t>SR Legacy</t>
        </is>
      </c>
      <c r="E145" s="47" t="n">
        <v>169655</v>
      </c>
      <c r="F145" s="47" t="inlineStr">
        <is>
          <t>Sugars, granulated</t>
        </is>
      </c>
      <c r="G145" s="47" t="inlineStr">
        <is>
          <t>exact</t>
        </is>
      </c>
      <c r="H145" s="47" t="n">
        <v>6.25</v>
      </c>
      <c r="I145" s="47" t="inlineStr">
        <is>
          <t>ash</t>
        </is>
      </c>
      <c r="J145" s="47" t="n">
        <v>0.01</v>
      </c>
      <c r="K145" s="47" t="inlineStr">
        <is>
          <t>g</t>
        </is>
      </c>
      <c r="L145" s="47" t="n">
        <v>0</v>
      </c>
      <c r="M145" s="47" t="n"/>
      <c r="N145" s="47" t="n"/>
      <c r="O145" s="47" t="n"/>
      <c r="P145" s="47" t="n"/>
      <c r="Q145" s="47" t="inlineStr">
        <is>
          <t>NR: Nutrient that is based on other nutrient/s; value used directly, ex. Nut.#204 from Nut.#298</t>
        </is>
      </c>
      <c r="R145" s="48">
        <f>IF(OR($A145="",$J145=""),"",IFERROR(VLOOKUP(I145,'6_資料庫比對'!$A$6:$C$12,2,FALSE),""))</f>
        <v/>
      </c>
      <c r="S145" s="49">
        <f>IF(OR($A145="",$J145=""),"",IFERROR(VLOOKUP(I145,'6_資料庫比對'!$A$6:$C$12,3,FALSE),""))</f>
        <v/>
      </c>
      <c r="T145" s="50">
        <f>IF(OR($A145="",$J145=""),"",MAX(0,IF(AND(N145&lt;&gt;"",O145&lt;&gt;""),MIN(J145-MAX(R145*ABS(J145),S145),N145),IF(AND(M145&lt;&gt;"",N(L145)&gt;=2),MIN(J145-MAX(R145*ABS(J145),S145),J145-2*M145),J145-MAX(R145*ABS(J145),S145)))))</f>
        <v/>
      </c>
      <c r="U145" s="50">
        <f>IF(OR($A145="",$J145=""),"",IF(AND(N145&lt;&gt;"",O145&lt;&gt;""),MAX(J145+MAX(R145*ABS(J145),S145),O145),IF(AND(M145&lt;&gt;"",N(L145)&gt;=2),MAX(J145+MAX(R145*ABS(J145),S145),J145+2*M145),J145+MAX(R145*ABS(J145),S145))))</f>
        <v/>
      </c>
      <c r="V145" s="51">
        <f>IF(OR($A145="",$J145=""),"",IF(COUNTIFS('6_資料庫比對'!$B$16:$B$25,A145,'6_資料庫比對'!$C$16:$C$25,I145)=0,"",IF(AND(SUMIFS('6_資料庫比對'!$F$16:$F$25,'6_資料庫比對'!$B$16:$B$25,A145,'6_資料庫比對'!$C$16:$C$25,I145)&gt;=T145,SUMIFS('6_資料庫比對'!$F$16:$F$25,'6_資料庫比對'!$B$16:$B$25,A145,'6_資料庫比對'!$C$16:$C$25,I145)&lt;=U145),"✓ 涵蓋","✗ 不涵蓋")))</f>
        <v/>
      </c>
    </row>
    <row r="146">
      <c r="A146" s="47" t="inlineStr">
        <is>
          <t>white_sugar</t>
        </is>
      </c>
      <c r="B146" s="47" t="inlineStr">
        <is>
          <t>白砂糖</t>
        </is>
      </c>
      <c r="C146" s="47" t="inlineStr">
        <is>
          <t>USDA</t>
        </is>
      </c>
      <c r="D146" s="47" t="inlineStr">
        <is>
          <t>SR Legacy</t>
        </is>
      </c>
      <c r="E146" s="47" t="n">
        <v>169655</v>
      </c>
      <c r="F146" s="47" t="inlineStr">
        <is>
          <t>Sugars, granulated</t>
        </is>
      </c>
      <c r="G146" s="47" t="inlineStr">
        <is>
          <t>exact</t>
        </is>
      </c>
      <c r="H146" s="47" t="n">
        <v>6.25</v>
      </c>
      <c r="I146" s="47" t="inlineStr">
        <is>
          <t>carbohydrate</t>
        </is>
      </c>
      <c r="J146" s="47" t="n">
        <v>99.98</v>
      </c>
      <c r="K146" s="47" t="inlineStr">
        <is>
          <t>g</t>
        </is>
      </c>
      <c r="L146" s="47" t="n">
        <v>0</v>
      </c>
      <c r="M146" s="47" t="n"/>
      <c r="N146" s="47" t="n"/>
      <c r="O146" s="47" t="n"/>
      <c r="P146" s="47" t="n"/>
      <c r="Q146" s="47" t="inlineStr">
        <is>
          <t>NC: Calculated</t>
        </is>
      </c>
      <c r="R146" s="48">
        <f>IF(OR($A146="",$J146=""),"",IFERROR(VLOOKUP(I146,'6_資料庫比對'!$A$6:$C$12,2,FALSE),""))</f>
        <v/>
      </c>
      <c r="S146" s="49">
        <f>IF(OR($A146="",$J146=""),"",IFERROR(VLOOKUP(I146,'6_資料庫比對'!$A$6:$C$12,3,FALSE),""))</f>
        <v/>
      </c>
      <c r="T146" s="50">
        <f>IF(OR($A146="",$J146=""),"",MAX(0,IF(AND(N146&lt;&gt;"",O146&lt;&gt;""),MIN(J146-MAX(R146*ABS(J146),S146),N146),IF(AND(M146&lt;&gt;"",N(L146)&gt;=2),MIN(J146-MAX(R146*ABS(J146),S146),J146-2*M146),J146-MAX(R146*ABS(J146),S146)))))</f>
        <v/>
      </c>
      <c r="U146" s="50">
        <f>IF(OR($A146="",$J146=""),"",IF(AND(N146&lt;&gt;"",O146&lt;&gt;""),MAX(J146+MAX(R146*ABS(J146),S146),O146),IF(AND(M146&lt;&gt;"",N(L146)&gt;=2),MAX(J146+MAX(R146*ABS(J146),S146),J146+2*M146),J146+MAX(R146*ABS(J146),S146))))</f>
        <v/>
      </c>
      <c r="V146" s="51">
        <f>IF(OR($A146="",$J146=""),"",IF(COUNTIFS('6_資料庫比對'!$B$16:$B$25,A146,'6_資料庫比對'!$C$16:$C$25,I146)=0,"",IF(AND(SUMIFS('6_資料庫比對'!$F$16:$F$25,'6_資料庫比對'!$B$16:$B$25,A146,'6_資料庫比對'!$C$16:$C$25,I146)&gt;=T146,SUMIFS('6_資料庫比對'!$F$16:$F$25,'6_資料庫比對'!$B$16:$B$25,A146,'6_資料庫比對'!$C$16:$C$25,I146)&lt;=U146),"✓ 涵蓋","✗ 不涵蓋")))</f>
        <v/>
      </c>
    </row>
    <row r="147">
      <c r="A147" s="47" t="inlineStr">
        <is>
          <t>white_sugar</t>
        </is>
      </c>
      <c r="B147" s="47" t="inlineStr">
        <is>
          <t>白砂糖</t>
        </is>
      </c>
      <c r="C147" s="47" t="inlineStr">
        <is>
          <t>USDA</t>
        </is>
      </c>
      <c r="D147" s="47" t="inlineStr">
        <is>
          <t>SR Legacy</t>
        </is>
      </c>
      <c r="E147" s="47" t="n">
        <v>169655</v>
      </c>
      <c r="F147" s="47" t="inlineStr">
        <is>
          <t>Sugars, granulated</t>
        </is>
      </c>
      <c r="G147" s="47" t="inlineStr">
        <is>
          <t>exact</t>
        </is>
      </c>
      <c r="H147" s="47" t="n">
        <v>6.25</v>
      </c>
      <c r="I147" s="47" t="inlineStr">
        <is>
          <t>sugars_total</t>
        </is>
      </c>
      <c r="J147" s="47" t="n">
        <v>99.8</v>
      </c>
      <c r="K147" s="47" t="inlineStr">
        <is>
          <t>g</t>
        </is>
      </c>
      <c r="L147" s="47" t="n">
        <v>7</v>
      </c>
      <c r="M147" s="47" t="n"/>
      <c r="N147" s="47" t="n">
        <v>99.17</v>
      </c>
      <c r="O147" s="47" t="n">
        <v>100</v>
      </c>
      <c r="P147" s="47" t="n"/>
      <c r="Q147" s="47" t="inlineStr">
        <is>
          <t>A: Analytical</t>
        </is>
      </c>
      <c r="R147" s="48">
        <f>IF(OR($A147="",$J147=""),"",IFERROR(VLOOKUP(I147,'6_資料庫比對'!$A$6:$C$12,2,FALSE),""))</f>
        <v/>
      </c>
      <c r="S147" s="49">
        <f>IF(OR($A147="",$J147=""),"",IFERROR(VLOOKUP(I147,'6_資料庫比對'!$A$6:$C$12,3,FALSE),""))</f>
        <v/>
      </c>
      <c r="T147" s="50">
        <f>IF(OR($A147="",$J147=""),"",MAX(0,IF(AND(N147&lt;&gt;"",O147&lt;&gt;""),MIN(J147-MAX(R147*ABS(J147),S147),N147),IF(AND(M147&lt;&gt;"",N(L147)&gt;=2),MIN(J147-MAX(R147*ABS(J147),S147),J147-2*M147),J147-MAX(R147*ABS(J147),S147)))))</f>
        <v/>
      </c>
      <c r="U147" s="50">
        <f>IF(OR($A147="",$J147=""),"",IF(AND(N147&lt;&gt;"",O147&lt;&gt;""),MAX(J147+MAX(R147*ABS(J147),S147),O147),IF(AND(M147&lt;&gt;"",N(L147)&gt;=2),MAX(J147+MAX(R147*ABS(J147),S147),J147+2*M147),J147+MAX(R147*ABS(J147),S147))))</f>
        <v/>
      </c>
      <c r="V147" s="51">
        <f>IF(OR($A147="",$J147=""),"",IF(COUNTIFS('6_資料庫比對'!$B$16:$B$25,A147,'6_資料庫比對'!$C$16:$C$25,I147)=0,"",IF(AND(SUMIFS('6_資料庫比對'!$F$16:$F$25,'6_資料庫比對'!$B$16:$B$25,A147,'6_資料庫比對'!$C$16:$C$25,I147)&gt;=T147,SUMIFS('6_資料庫比對'!$F$16:$F$25,'6_資料庫比對'!$B$16:$B$25,A147,'6_資料庫比對'!$C$16:$C$25,I147)&lt;=U147),"✓ 涵蓋","✗ 不涵蓋")))</f>
        <v/>
      </c>
    </row>
    <row r="148">
      <c r="A148" s="47" t="inlineStr">
        <is>
          <t>white_sugar</t>
        </is>
      </c>
      <c r="B148" s="47" t="inlineStr">
        <is>
          <t>白砂糖</t>
        </is>
      </c>
      <c r="C148" s="47" t="inlineStr">
        <is>
          <t>USDA</t>
        </is>
      </c>
      <c r="D148" s="47" t="inlineStr">
        <is>
          <t>SR Legacy</t>
        </is>
      </c>
      <c r="E148" s="47" t="n">
        <v>169655</v>
      </c>
      <c r="F148" s="47" t="inlineStr">
        <is>
          <t>Sugars, granulated</t>
        </is>
      </c>
      <c r="G148" s="47" t="inlineStr">
        <is>
          <t>exact</t>
        </is>
      </c>
      <c r="H148" s="47" t="n">
        <v>6.25</v>
      </c>
      <c r="I148" s="47" t="inlineStr">
        <is>
          <t>sodium</t>
        </is>
      </c>
      <c r="J148" s="47" t="n">
        <v>1</v>
      </c>
      <c r="K148" s="47" t="inlineStr">
        <is>
          <t>mg</t>
        </is>
      </c>
      <c r="L148" s="47" t="n">
        <v>8</v>
      </c>
      <c r="M148" s="47" t="n"/>
      <c r="N148" s="47" t="n">
        <v>1</v>
      </c>
      <c r="O148" s="47" t="n">
        <v>1</v>
      </c>
      <c r="P148" s="47" t="n"/>
      <c r="Q148" s="47" t="inlineStr">
        <is>
          <t>A: Analytical</t>
        </is>
      </c>
      <c r="R148" s="48">
        <f>IF(OR($A148="",$J148=""),"",IFERROR(VLOOKUP(I148,'6_資料庫比對'!$A$6:$C$12,2,FALSE),""))</f>
        <v/>
      </c>
      <c r="S148" s="49">
        <f>IF(OR($A148="",$J148=""),"",IFERROR(VLOOKUP(I148,'6_資料庫比對'!$A$6:$C$12,3,FALSE),""))</f>
        <v/>
      </c>
      <c r="T148" s="50">
        <f>IF(OR($A148="",$J148=""),"",MAX(0,IF(AND(N148&lt;&gt;"",O148&lt;&gt;""),MIN(J148-MAX(R148*ABS(J148),S148),N148),IF(AND(M148&lt;&gt;"",N(L148)&gt;=2),MIN(J148-MAX(R148*ABS(J148),S148),J148-2*M148),J148-MAX(R148*ABS(J148),S148)))))</f>
        <v/>
      </c>
      <c r="U148" s="50">
        <f>IF(OR($A148="",$J148=""),"",IF(AND(N148&lt;&gt;"",O148&lt;&gt;""),MAX(J148+MAX(R148*ABS(J148),S148),O148),IF(AND(M148&lt;&gt;"",N(L148)&gt;=2),MAX(J148+MAX(R148*ABS(J148),S148),J148+2*M148),J148+MAX(R148*ABS(J148),S148))))</f>
        <v/>
      </c>
      <c r="V148" s="51">
        <f>IF(OR($A148="",$J148=""),"",IF(COUNTIFS('6_資料庫比對'!$B$16:$B$25,A148,'6_資料庫比對'!$C$16:$C$25,I148)=0,"",IF(AND(SUMIFS('6_資料庫比對'!$F$16:$F$25,'6_資料庫比對'!$B$16:$B$25,A148,'6_資料庫比對'!$C$16:$C$25,I148)&gt;=T148,SUMIFS('6_資料庫比對'!$F$16:$F$25,'6_資料庫比對'!$B$16:$B$25,A148,'6_資料庫比對'!$C$16:$C$25,I148)&lt;=U148),"✓ 涵蓋","✗ 不涵蓋")))</f>
        <v/>
      </c>
    </row>
    <row r="149">
      <c r="A149" s="47" t="inlineStr">
        <is>
          <t>white_sugar</t>
        </is>
      </c>
      <c r="B149" s="47" t="inlineStr">
        <is>
          <t>白砂糖</t>
        </is>
      </c>
      <c r="C149" s="47" t="inlineStr">
        <is>
          <t>USDA</t>
        </is>
      </c>
      <c r="D149" s="47" t="inlineStr">
        <is>
          <t>Foundation</t>
        </is>
      </c>
      <c r="E149" s="47" t="n">
        <v>746784</v>
      </c>
      <c r="F149" s="47" t="inlineStr">
        <is>
          <t>Sugars, granulated</t>
        </is>
      </c>
      <c r="G149" s="47" t="inlineStr">
        <is>
          <t>exact</t>
        </is>
      </c>
      <c r="H149" s="47" t="n">
        <v>6.25</v>
      </c>
      <c r="I149" s="47" t="inlineStr">
        <is>
          <t>water</t>
        </is>
      </c>
      <c r="J149" s="47" t="n">
        <v>0.02</v>
      </c>
      <c r="K149" s="47" t="inlineStr">
        <is>
          <t>g</t>
        </is>
      </c>
      <c r="L149" s="47" t="n">
        <v>8</v>
      </c>
      <c r="M149" s="47" t="n"/>
      <c r="N149" s="47" t="n">
        <v>0.01</v>
      </c>
      <c r="O149" s="47" t="n">
        <v>0.06</v>
      </c>
      <c r="P149" s="47" t="n">
        <v>0.01</v>
      </c>
      <c r="Q149" s="47" t="inlineStr">
        <is>
          <t>A: Analytical</t>
        </is>
      </c>
      <c r="R149" s="48">
        <f>IF(OR($A149="",$J149=""),"",IFERROR(VLOOKUP(I149,'6_資料庫比對'!$A$6:$C$12,2,FALSE),""))</f>
        <v/>
      </c>
      <c r="S149" s="49">
        <f>IF(OR($A149="",$J149=""),"",IFERROR(VLOOKUP(I149,'6_資料庫比對'!$A$6:$C$12,3,FALSE),""))</f>
        <v/>
      </c>
      <c r="T149" s="50">
        <f>IF(OR($A149="",$J149=""),"",MAX(0,IF(AND(N149&lt;&gt;"",O149&lt;&gt;""),MIN(J149-MAX(R149*ABS(J149),S149),N149),IF(AND(M149&lt;&gt;"",N(L149)&gt;=2),MIN(J149-MAX(R149*ABS(J149),S149),J149-2*M149),J149-MAX(R149*ABS(J149),S149)))))</f>
        <v/>
      </c>
      <c r="U149" s="50">
        <f>IF(OR($A149="",$J149=""),"",IF(AND(N149&lt;&gt;"",O149&lt;&gt;""),MAX(J149+MAX(R149*ABS(J149),S149),O149),IF(AND(M149&lt;&gt;"",N(L149)&gt;=2),MAX(J149+MAX(R149*ABS(J149),S149),J149+2*M149),J149+MAX(R149*ABS(J149),S149))))</f>
        <v/>
      </c>
      <c r="V149" s="51">
        <f>IF(OR($A149="",$J149=""),"",IF(COUNTIFS('6_資料庫比對'!$B$16:$B$25,A149,'6_資料庫比對'!$C$16:$C$25,I149)=0,"",IF(AND(SUMIFS('6_資料庫比對'!$F$16:$F$25,'6_資料庫比對'!$B$16:$B$25,A149,'6_資料庫比對'!$C$16:$C$25,I149)&gt;=T149,SUMIFS('6_資料庫比對'!$F$16:$F$25,'6_資料庫比對'!$B$16:$B$25,A149,'6_資料庫比對'!$C$16:$C$25,I149)&lt;=U149),"✓ 涵蓋","✗ 不涵蓋")))</f>
        <v/>
      </c>
    </row>
    <row r="150">
      <c r="A150" s="47" t="inlineStr">
        <is>
          <t>white_sugar</t>
        </is>
      </c>
      <c r="B150" s="47" t="inlineStr">
        <is>
          <t>白砂糖</t>
        </is>
      </c>
      <c r="C150" s="47" t="inlineStr">
        <is>
          <t>USDA</t>
        </is>
      </c>
      <c r="D150" s="47" t="inlineStr">
        <is>
          <t>Foundation</t>
        </is>
      </c>
      <c r="E150" s="47" t="n">
        <v>746784</v>
      </c>
      <c r="F150" s="47" t="inlineStr">
        <is>
          <t>Sugars, granulated</t>
        </is>
      </c>
      <c r="G150" s="47" t="inlineStr">
        <is>
          <t>exact</t>
        </is>
      </c>
      <c r="H150" s="47" t="n">
        <v>6.25</v>
      </c>
      <c r="I150" s="47" t="inlineStr">
        <is>
          <t>protein</t>
        </is>
      </c>
      <c r="J150" s="47" t="n">
        <v>0</v>
      </c>
      <c r="K150" s="47" t="inlineStr">
        <is>
          <t>g</t>
        </is>
      </c>
      <c r="L150" s="47" t="n"/>
      <c r="M150" s="47" t="n"/>
      <c r="N150" s="47" t="n">
        <v>0</v>
      </c>
      <c r="O150" s="47" t="n">
        <v>0</v>
      </c>
      <c r="P150" s="47" t="n">
        <v>0</v>
      </c>
      <c r="Q150" s="47" t="inlineStr">
        <is>
          <t>NC: Calculated</t>
        </is>
      </c>
      <c r="R150" s="48">
        <f>IF(OR($A150="",$J150=""),"",IFERROR(VLOOKUP(I150,'6_資料庫比對'!$A$6:$C$12,2,FALSE),""))</f>
        <v/>
      </c>
      <c r="S150" s="49">
        <f>IF(OR($A150="",$J150=""),"",IFERROR(VLOOKUP(I150,'6_資料庫比對'!$A$6:$C$12,3,FALSE),""))</f>
        <v/>
      </c>
      <c r="T150" s="50">
        <f>IF(OR($A150="",$J150=""),"",MAX(0,IF(AND(N150&lt;&gt;"",O150&lt;&gt;""),MIN(J150-MAX(R150*ABS(J150),S150),N150),IF(AND(M150&lt;&gt;"",N(L150)&gt;=2),MIN(J150-MAX(R150*ABS(J150),S150),J150-2*M150),J150-MAX(R150*ABS(J150),S150)))))</f>
        <v/>
      </c>
      <c r="U150" s="50">
        <f>IF(OR($A150="",$J150=""),"",IF(AND(N150&lt;&gt;"",O150&lt;&gt;""),MAX(J150+MAX(R150*ABS(J150),S150),O150),IF(AND(M150&lt;&gt;"",N(L150)&gt;=2),MAX(J150+MAX(R150*ABS(J150),S150),J150+2*M150),J150+MAX(R150*ABS(J150),S150))))</f>
        <v/>
      </c>
      <c r="V150" s="51">
        <f>IF(OR($A150="",$J150=""),"",IF(COUNTIFS('6_資料庫比對'!$B$16:$B$25,A150,'6_資料庫比對'!$C$16:$C$25,I150)=0,"",IF(AND(SUMIFS('6_資料庫比對'!$F$16:$F$25,'6_資料庫比對'!$B$16:$B$25,A150,'6_資料庫比對'!$C$16:$C$25,I150)&gt;=T150,SUMIFS('6_資料庫比對'!$F$16:$F$25,'6_資料庫比對'!$B$16:$B$25,A150,'6_資料庫比對'!$C$16:$C$25,I150)&lt;=U150),"✓ 涵蓋","✗ 不涵蓋")))</f>
        <v/>
      </c>
    </row>
    <row r="151">
      <c r="A151" s="47" t="inlineStr">
        <is>
          <t>white_sugar</t>
        </is>
      </c>
      <c r="B151" s="47" t="inlineStr">
        <is>
          <t>白砂糖</t>
        </is>
      </c>
      <c r="C151" s="47" t="inlineStr">
        <is>
          <t>USDA</t>
        </is>
      </c>
      <c r="D151" s="47" t="inlineStr">
        <is>
          <t>Foundation</t>
        </is>
      </c>
      <c r="E151" s="47" t="n">
        <v>746784</v>
      </c>
      <c r="F151" s="47" t="inlineStr">
        <is>
          <t>Sugars, granulated</t>
        </is>
      </c>
      <c r="G151" s="47" t="inlineStr">
        <is>
          <t>exact</t>
        </is>
      </c>
      <c r="H151" s="47" t="n">
        <v>6.25</v>
      </c>
      <c r="I151" s="47" t="inlineStr">
        <is>
          <t>fat</t>
        </is>
      </c>
      <c r="J151" s="47" t="n">
        <v>0.32</v>
      </c>
      <c r="K151" s="47" t="inlineStr">
        <is>
          <t>g</t>
        </is>
      </c>
      <c r="L151" s="47" t="n">
        <v>8</v>
      </c>
      <c r="M151" s="47" t="n"/>
      <c r="N151" s="47" t="n">
        <v>0.11</v>
      </c>
      <c r="O151" s="47" t="n">
        <v>0.55</v>
      </c>
      <c r="P151" s="47" t="n">
        <v>0.32</v>
      </c>
      <c r="Q151" s="47" t="inlineStr">
        <is>
          <t>A: Analytical</t>
        </is>
      </c>
      <c r="R151" s="48">
        <f>IF(OR($A151="",$J151=""),"",IFERROR(VLOOKUP(I151,'6_資料庫比對'!$A$6:$C$12,2,FALSE),""))</f>
        <v/>
      </c>
      <c r="S151" s="49">
        <f>IF(OR($A151="",$J151=""),"",IFERROR(VLOOKUP(I151,'6_資料庫比對'!$A$6:$C$12,3,FALSE),""))</f>
        <v/>
      </c>
      <c r="T151" s="50">
        <f>IF(OR($A151="",$J151=""),"",MAX(0,IF(AND(N151&lt;&gt;"",O151&lt;&gt;""),MIN(J151-MAX(R151*ABS(J151),S151),N151),IF(AND(M151&lt;&gt;"",N(L151)&gt;=2),MIN(J151-MAX(R151*ABS(J151),S151),J151-2*M151),J151-MAX(R151*ABS(J151),S151)))))</f>
        <v/>
      </c>
      <c r="U151" s="50">
        <f>IF(OR($A151="",$J151=""),"",IF(AND(N151&lt;&gt;"",O151&lt;&gt;""),MAX(J151+MAX(R151*ABS(J151),S151),O151),IF(AND(M151&lt;&gt;"",N(L151)&gt;=2),MAX(J151+MAX(R151*ABS(J151),S151),J151+2*M151),J151+MAX(R151*ABS(J151),S151))))</f>
        <v/>
      </c>
      <c r="V151" s="51">
        <f>IF(OR($A151="",$J151=""),"",IF(COUNTIFS('6_資料庫比對'!$B$16:$B$25,A151,'6_資料庫比對'!$C$16:$C$25,I151)=0,"",IF(AND(SUMIFS('6_資料庫比對'!$F$16:$F$25,'6_資料庫比對'!$B$16:$B$25,A151,'6_資料庫比對'!$C$16:$C$25,I151)&gt;=T151,SUMIFS('6_資料庫比對'!$F$16:$F$25,'6_資料庫比對'!$B$16:$B$25,A151,'6_資料庫比對'!$C$16:$C$25,I151)&lt;=U151),"✓ 涵蓋","✗ 不涵蓋")))</f>
        <v/>
      </c>
    </row>
    <row r="152">
      <c r="A152" s="47" t="inlineStr">
        <is>
          <t>white_sugar</t>
        </is>
      </c>
      <c r="B152" s="47" t="inlineStr">
        <is>
          <t>白砂糖</t>
        </is>
      </c>
      <c r="C152" s="47" t="inlineStr">
        <is>
          <t>USDA</t>
        </is>
      </c>
      <c r="D152" s="47" t="inlineStr">
        <is>
          <t>Foundation</t>
        </is>
      </c>
      <c r="E152" s="47" t="n">
        <v>746784</v>
      </c>
      <c r="F152" s="47" t="inlineStr">
        <is>
          <t>Sugars, granulated</t>
        </is>
      </c>
      <c r="G152" s="47" t="inlineStr">
        <is>
          <t>exact</t>
        </is>
      </c>
      <c r="H152" s="47" t="n">
        <v>6.25</v>
      </c>
      <c r="I152" s="47" t="inlineStr">
        <is>
          <t>ash</t>
        </is>
      </c>
      <c r="J152" s="47" t="n">
        <v>0.07000000000000001</v>
      </c>
      <c r="K152" s="47" t="inlineStr">
        <is>
          <t>g</t>
        </is>
      </c>
      <c r="L152" s="47" t="n">
        <v>8</v>
      </c>
      <c r="M152" s="47" t="n"/>
      <c r="N152" s="47" t="n">
        <v>0.03</v>
      </c>
      <c r="O152" s="47" t="n">
        <v>0.13</v>
      </c>
      <c r="P152" s="47" t="n">
        <v>0.05</v>
      </c>
      <c r="Q152" s="47" t="inlineStr">
        <is>
          <t>A: Analytical</t>
        </is>
      </c>
      <c r="R152" s="48">
        <f>IF(OR($A152="",$J152=""),"",IFERROR(VLOOKUP(I152,'6_資料庫比對'!$A$6:$C$12,2,FALSE),""))</f>
        <v/>
      </c>
      <c r="S152" s="49">
        <f>IF(OR($A152="",$J152=""),"",IFERROR(VLOOKUP(I152,'6_資料庫比對'!$A$6:$C$12,3,FALSE),""))</f>
        <v/>
      </c>
      <c r="T152" s="50">
        <f>IF(OR($A152="",$J152=""),"",MAX(0,IF(AND(N152&lt;&gt;"",O152&lt;&gt;""),MIN(J152-MAX(R152*ABS(J152),S152),N152),IF(AND(M152&lt;&gt;"",N(L152)&gt;=2),MIN(J152-MAX(R152*ABS(J152),S152),J152-2*M152),J152-MAX(R152*ABS(J152),S152)))))</f>
        <v/>
      </c>
      <c r="U152" s="50">
        <f>IF(OR($A152="",$J152=""),"",IF(AND(N152&lt;&gt;"",O152&lt;&gt;""),MAX(J152+MAX(R152*ABS(J152),S152),O152),IF(AND(M152&lt;&gt;"",N(L152)&gt;=2),MAX(J152+MAX(R152*ABS(J152),S152),J152+2*M152),J152+MAX(R152*ABS(J152),S152))))</f>
        <v/>
      </c>
      <c r="V152" s="51">
        <f>IF(OR($A152="",$J152=""),"",IF(COUNTIFS('6_資料庫比對'!$B$16:$B$25,A152,'6_資料庫比對'!$C$16:$C$25,I152)=0,"",IF(AND(SUMIFS('6_資料庫比對'!$F$16:$F$25,'6_資料庫比對'!$B$16:$B$25,A152,'6_資料庫比對'!$C$16:$C$25,I152)&gt;=T152,SUMIFS('6_資料庫比對'!$F$16:$F$25,'6_資料庫比對'!$B$16:$B$25,A152,'6_資料庫比對'!$C$16:$C$25,I152)&lt;=U152),"✓ 涵蓋","✗ 不涵蓋")))</f>
        <v/>
      </c>
    </row>
    <row r="153">
      <c r="A153" s="47" t="inlineStr">
        <is>
          <t>white_sugar</t>
        </is>
      </c>
      <c r="B153" s="47" t="inlineStr">
        <is>
          <t>白砂糖</t>
        </is>
      </c>
      <c r="C153" s="47" t="inlineStr">
        <is>
          <t>USDA</t>
        </is>
      </c>
      <c r="D153" s="47" t="inlineStr">
        <is>
          <t>Foundation</t>
        </is>
      </c>
      <c r="E153" s="47" t="n">
        <v>746784</v>
      </c>
      <c r="F153" s="47" t="inlineStr">
        <is>
          <t>Sugars, granulated</t>
        </is>
      </c>
      <c r="G153" s="47" t="inlineStr">
        <is>
          <t>exact</t>
        </is>
      </c>
      <c r="H153" s="47" t="n">
        <v>6.25</v>
      </c>
      <c r="I153" s="47" t="inlineStr">
        <is>
          <t>carbohydrate</t>
        </is>
      </c>
      <c r="J153" s="47" t="n">
        <v>99.59999999999999</v>
      </c>
      <c r="K153" s="47" t="inlineStr">
        <is>
          <t>g</t>
        </is>
      </c>
      <c r="L153" s="47" t="n"/>
      <c r="M153" s="47" t="n"/>
      <c r="N153" s="47" t="n"/>
      <c r="O153" s="47" t="n"/>
      <c r="P153" s="47" t="n"/>
      <c r="Q153" s="47" t="inlineStr">
        <is>
          <t>NC: Calculated</t>
        </is>
      </c>
      <c r="R153" s="48">
        <f>IF(OR($A153="",$J153=""),"",IFERROR(VLOOKUP(I153,'6_資料庫比對'!$A$6:$C$12,2,FALSE),""))</f>
        <v/>
      </c>
      <c r="S153" s="49">
        <f>IF(OR($A153="",$J153=""),"",IFERROR(VLOOKUP(I153,'6_資料庫比對'!$A$6:$C$12,3,FALSE),""))</f>
        <v/>
      </c>
      <c r="T153" s="50">
        <f>IF(OR($A153="",$J153=""),"",MAX(0,IF(AND(N153&lt;&gt;"",O153&lt;&gt;""),MIN(J153-MAX(R153*ABS(J153),S153),N153),IF(AND(M153&lt;&gt;"",N(L153)&gt;=2),MIN(J153-MAX(R153*ABS(J153),S153),J153-2*M153),J153-MAX(R153*ABS(J153),S153)))))</f>
        <v/>
      </c>
      <c r="U153" s="50">
        <f>IF(OR($A153="",$J153=""),"",IF(AND(N153&lt;&gt;"",O153&lt;&gt;""),MAX(J153+MAX(R153*ABS(J153),S153),O153),IF(AND(M153&lt;&gt;"",N(L153)&gt;=2),MAX(J153+MAX(R153*ABS(J153),S153),J153+2*M153),J153+MAX(R153*ABS(J153),S153))))</f>
        <v/>
      </c>
      <c r="V153" s="51">
        <f>IF(OR($A153="",$J153=""),"",IF(COUNTIFS('6_資料庫比對'!$B$16:$B$25,A153,'6_資料庫比對'!$C$16:$C$25,I153)=0,"",IF(AND(SUMIFS('6_資料庫比對'!$F$16:$F$25,'6_資料庫比對'!$B$16:$B$25,A153,'6_資料庫比對'!$C$16:$C$25,I153)&gt;=T153,SUMIFS('6_資料庫比對'!$F$16:$F$25,'6_資料庫比對'!$B$16:$B$25,A153,'6_資料庫比對'!$C$16:$C$25,I153)&lt;=U153),"✓ 涵蓋","✗ 不涵蓋")))</f>
        <v/>
      </c>
    </row>
    <row r="154">
      <c r="A154" s="47" t="inlineStr">
        <is>
          <t>white_sugar</t>
        </is>
      </c>
      <c r="B154" s="47" t="inlineStr">
        <is>
          <t>白砂糖</t>
        </is>
      </c>
      <c r="C154" s="47" t="inlineStr">
        <is>
          <t>USDA</t>
        </is>
      </c>
      <c r="D154" s="47" t="inlineStr">
        <is>
          <t>Foundation</t>
        </is>
      </c>
      <c r="E154" s="47" t="n">
        <v>746784</v>
      </c>
      <c r="F154" s="47" t="inlineStr">
        <is>
          <t>Sugars, granulated</t>
        </is>
      </c>
      <c r="G154" s="47" t="inlineStr">
        <is>
          <t>exact</t>
        </is>
      </c>
      <c r="H154" s="47" t="n">
        <v>6.25</v>
      </c>
      <c r="I154" s="47" t="inlineStr">
        <is>
          <t>sugars_total</t>
        </is>
      </c>
      <c r="J154" s="47" t="n">
        <v>99.8</v>
      </c>
      <c r="K154" s="47" t="inlineStr">
        <is>
          <t>g</t>
        </is>
      </c>
      <c r="L154" s="47" t="n"/>
      <c r="M154" s="47" t="n"/>
      <c r="N154" s="47" t="n"/>
      <c r="O154" s="47" t="n"/>
      <c r="P154" s="47" t="n"/>
      <c r="Q154" s="47" t="inlineStr">
        <is>
          <t>AS: Summed</t>
        </is>
      </c>
      <c r="R154" s="48">
        <f>IF(OR($A154="",$J154=""),"",IFERROR(VLOOKUP(I154,'6_資料庫比對'!$A$6:$C$12,2,FALSE),""))</f>
        <v/>
      </c>
      <c r="S154" s="49">
        <f>IF(OR($A154="",$J154=""),"",IFERROR(VLOOKUP(I154,'6_資料庫比對'!$A$6:$C$12,3,FALSE),""))</f>
        <v/>
      </c>
      <c r="T154" s="50">
        <f>IF(OR($A154="",$J154=""),"",MAX(0,IF(AND(N154&lt;&gt;"",O154&lt;&gt;""),MIN(J154-MAX(R154*ABS(J154),S154),N154),IF(AND(M154&lt;&gt;"",N(L154)&gt;=2),MIN(J154-MAX(R154*ABS(J154),S154),J154-2*M154),J154-MAX(R154*ABS(J154),S154)))))</f>
        <v/>
      </c>
      <c r="U154" s="50">
        <f>IF(OR($A154="",$J154=""),"",IF(AND(N154&lt;&gt;"",O154&lt;&gt;""),MAX(J154+MAX(R154*ABS(J154),S154),O154),IF(AND(M154&lt;&gt;"",N(L154)&gt;=2),MAX(J154+MAX(R154*ABS(J154),S154),J154+2*M154),J154+MAX(R154*ABS(J154),S154))))</f>
        <v/>
      </c>
      <c r="V154" s="51">
        <f>IF(OR($A154="",$J154=""),"",IF(COUNTIFS('6_資料庫比對'!$B$16:$B$25,A154,'6_資料庫比對'!$C$16:$C$25,I154)=0,"",IF(AND(SUMIFS('6_資料庫比對'!$F$16:$F$25,'6_資料庫比對'!$B$16:$B$25,A154,'6_資料庫比對'!$C$16:$C$25,I154)&gt;=T154,SUMIFS('6_資料庫比對'!$F$16:$F$25,'6_資料庫比對'!$B$16:$B$25,A154,'6_資料庫比對'!$C$16:$C$25,I154)&lt;=U154),"✓ 涵蓋","✗ 不涵蓋")))</f>
        <v/>
      </c>
    </row>
    <row r="155">
      <c r="A155" s="47" t="inlineStr">
        <is>
          <t>white_sugar</t>
        </is>
      </c>
      <c r="B155" s="47" t="inlineStr">
        <is>
          <t>白砂糖</t>
        </is>
      </c>
      <c r="C155" s="47" t="inlineStr">
        <is>
          <t>USDA</t>
        </is>
      </c>
      <c r="D155" s="47" t="inlineStr">
        <is>
          <t>Foundation</t>
        </is>
      </c>
      <c r="E155" s="47" t="n">
        <v>746784</v>
      </c>
      <c r="F155" s="47" t="inlineStr">
        <is>
          <t>Sugars, granulated</t>
        </is>
      </c>
      <c r="G155" s="47" t="inlineStr">
        <is>
          <t>exact</t>
        </is>
      </c>
      <c r="H155" s="47" t="n">
        <v>6.25</v>
      </c>
      <c r="I155" s="47" t="inlineStr">
        <is>
          <t>sodium</t>
        </is>
      </c>
      <c r="J155" s="47" t="n">
        <v>1</v>
      </c>
      <c r="K155" s="47" t="inlineStr">
        <is>
          <t>mg</t>
        </is>
      </c>
      <c r="L155" s="47" t="n">
        <v>8</v>
      </c>
      <c r="M155" s="47" t="n"/>
      <c r="N155" s="47" t="n">
        <v>1</v>
      </c>
      <c r="O155" s="47" t="n">
        <v>1</v>
      </c>
      <c r="P155" s="47" t="n">
        <v>1</v>
      </c>
      <c r="Q155" s="47" t="inlineStr">
        <is>
          <t>A: Analytical</t>
        </is>
      </c>
      <c r="R155" s="48">
        <f>IF(OR($A155="",$J155=""),"",IFERROR(VLOOKUP(I155,'6_資料庫比對'!$A$6:$C$12,2,FALSE),""))</f>
        <v/>
      </c>
      <c r="S155" s="49">
        <f>IF(OR($A155="",$J155=""),"",IFERROR(VLOOKUP(I155,'6_資料庫比對'!$A$6:$C$12,3,FALSE),""))</f>
        <v/>
      </c>
      <c r="T155" s="50">
        <f>IF(OR($A155="",$J155=""),"",MAX(0,IF(AND(N155&lt;&gt;"",O155&lt;&gt;""),MIN(J155-MAX(R155*ABS(J155),S155),N155),IF(AND(M155&lt;&gt;"",N(L155)&gt;=2),MIN(J155-MAX(R155*ABS(J155),S155),J155-2*M155),J155-MAX(R155*ABS(J155),S155)))))</f>
        <v/>
      </c>
      <c r="U155" s="50">
        <f>IF(OR($A155="",$J155=""),"",IF(AND(N155&lt;&gt;"",O155&lt;&gt;""),MAX(J155+MAX(R155*ABS(J155),S155),O155),IF(AND(M155&lt;&gt;"",N(L155)&gt;=2),MAX(J155+MAX(R155*ABS(J155),S155),J155+2*M155),J155+MAX(R155*ABS(J155),S155))))</f>
        <v/>
      </c>
      <c r="V155" s="51">
        <f>IF(OR($A155="",$J155=""),"",IF(COUNTIFS('6_資料庫比對'!$B$16:$B$25,A155,'6_資料庫比對'!$C$16:$C$25,I155)=0,"",IF(AND(SUMIFS('6_資料庫比對'!$F$16:$F$25,'6_資料庫比對'!$B$16:$B$25,A155,'6_資料庫比對'!$C$16:$C$25,I155)&gt;=T155,SUMIFS('6_資料庫比對'!$F$16:$F$25,'6_資料庫比對'!$B$16:$B$25,A155,'6_資料庫比對'!$C$16:$C$25,I155)&lt;=U155),"✓ 涵蓋","✗ 不涵蓋")))</f>
        <v/>
      </c>
    </row>
    <row r="156">
      <c r="A156" s="47" t="inlineStr">
        <is>
          <t>white_sugar</t>
        </is>
      </c>
      <c r="B156" s="47" t="inlineStr">
        <is>
          <t>白砂糖</t>
        </is>
      </c>
      <c r="C156" s="47" t="inlineStr">
        <is>
          <t>TFND</t>
        </is>
      </c>
      <c r="D156" s="47" t="inlineStr">
        <is>
          <t>食品營養成分資料集</t>
        </is>
      </c>
      <c r="E156" s="47" t="inlineStr">
        <is>
          <t>N0100101</t>
        </is>
      </c>
      <c r="F156" s="47" t="inlineStr">
        <is>
          <t>方糖</t>
        </is>
      </c>
      <c r="G156" s="47" t="inlineStr">
        <is>
          <t>closest</t>
        </is>
      </c>
      <c r="H156" s="47" t="n"/>
      <c r="I156" s="47" t="inlineStr">
        <is>
          <t>water</t>
        </is>
      </c>
      <c r="J156" s="47" t="n">
        <v>0.4</v>
      </c>
      <c r="K156" s="47" t="inlineStr">
        <is>
          <t>g</t>
        </is>
      </c>
      <c r="L156" s="47" t="n">
        <v>1</v>
      </c>
      <c r="M156" s="47" t="n"/>
      <c r="N156" s="47" t="n"/>
      <c r="O156" s="47" t="n"/>
      <c r="P156" s="47" t="n"/>
      <c r="Q156" s="47" t="n"/>
      <c r="R156" s="48">
        <f>IF(OR($A156="",$J156=""),"",IFERROR(VLOOKUP(I156,'6_資料庫比對'!$A$6:$C$12,2,FALSE),""))</f>
        <v/>
      </c>
      <c r="S156" s="49">
        <f>IF(OR($A156="",$J156=""),"",IFERROR(VLOOKUP(I156,'6_資料庫比對'!$A$6:$C$12,3,FALSE),""))</f>
        <v/>
      </c>
      <c r="T156" s="50">
        <f>IF(OR($A156="",$J156=""),"",MAX(0,IF(AND(N156&lt;&gt;"",O156&lt;&gt;""),MIN(J156-MAX(R156*ABS(J156),S156),N156),IF(AND(M156&lt;&gt;"",N(L156)&gt;=2),MIN(J156-MAX(R156*ABS(J156),S156),J156-2*M156),J156-MAX(R156*ABS(J156),S156)))))</f>
        <v/>
      </c>
      <c r="U156" s="50">
        <f>IF(OR($A156="",$J156=""),"",IF(AND(N156&lt;&gt;"",O156&lt;&gt;""),MAX(J156+MAX(R156*ABS(J156),S156),O156),IF(AND(M156&lt;&gt;"",N(L156)&gt;=2),MAX(J156+MAX(R156*ABS(J156),S156),J156+2*M156),J156+MAX(R156*ABS(J156),S156))))</f>
        <v/>
      </c>
      <c r="V156" s="51">
        <f>IF(OR($A156="",$J156=""),"",IF(COUNTIFS('6_資料庫比對'!$B$16:$B$25,A156,'6_資料庫比對'!$C$16:$C$25,I156)=0,"",IF(AND(SUMIFS('6_資料庫比對'!$F$16:$F$25,'6_資料庫比對'!$B$16:$B$25,A156,'6_資料庫比對'!$C$16:$C$25,I156)&gt;=T156,SUMIFS('6_資料庫比對'!$F$16:$F$25,'6_資料庫比對'!$B$16:$B$25,A156,'6_資料庫比對'!$C$16:$C$25,I156)&lt;=U156),"✓ 涵蓋","✗ 不涵蓋")))</f>
        <v/>
      </c>
    </row>
    <row r="157">
      <c r="A157" s="47" t="inlineStr">
        <is>
          <t>white_sugar</t>
        </is>
      </c>
      <c r="B157" s="47" t="inlineStr">
        <is>
          <t>白砂糖</t>
        </is>
      </c>
      <c r="C157" s="47" t="inlineStr">
        <is>
          <t>TFND</t>
        </is>
      </c>
      <c r="D157" s="47" t="inlineStr">
        <is>
          <t>食品營養成分資料集</t>
        </is>
      </c>
      <c r="E157" s="47" t="inlineStr">
        <is>
          <t>N0100101</t>
        </is>
      </c>
      <c r="F157" s="47" t="inlineStr">
        <is>
          <t>方糖</t>
        </is>
      </c>
      <c r="G157" s="47" t="inlineStr">
        <is>
          <t>closest</t>
        </is>
      </c>
      <c r="H157" s="47" t="n"/>
      <c r="I157" s="47" t="inlineStr">
        <is>
          <t>ash</t>
        </is>
      </c>
      <c r="J157" s="47" t="n">
        <v>0</v>
      </c>
      <c r="K157" s="47" t="inlineStr">
        <is>
          <t>g</t>
        </is>
      </c>
      <c r="L157" s="47" t="n">
        <v>1</v>
      </c>
      <c r="M157" s="47" t="n"/>
      <c r="N157" s="47" t="n"/>
      <c r="O157" s="47" t="n"/>
      <c r="P157" s="47" t="n"/>
      <c r="Q157" s="47" t="n"/>
      <c r="R157" s="48">
        <f>IF(OR($A157="",$J157=""),"",IFERROR(VLOOKUP(I157,'6_資料庫比對'!$A$6:$C$12,2,FALSE),""))</f>
        <v/>
      </c>
      <c r="S157" s="49">
        <f>IF(OR($A157="",$J157=""),"",IFERROR(VLOOKUP(I157,'6_資料庫比對'!$A$6:$C$12,3,FALSE),""))</f>
        <v/>
      </c>
      <c r="T157" s="50">
        <f>IF(OR($A157="",$J157=""),"",MAX(0,IF(AND(N157&lt;&gt;"",O157&lt;&gt;""),MIN(J157-MAX(R157*ABS(J157),S157),N157),IF(AND(M157&lt;&gt;"",N(L157)&gt;=2),MIN(J157-MAX(R157*ABS(J157),S157),J157-2*M157),J157-MAX(R157*ABS(J157),S157)))))</f>
        <v/>
      </c>
      <c r="U157" s="50">
        <f>IF(OR($A157="",$J157=""),"",IF(AND(N157&lt;&gt;"",O157&lt;&gt;""),MAX(J157+MAX(R157*ABS(J157),S157),O157),IF(AND(M157&lt;&gt;"",N(L157)&gt;=2),MAX(J157+MAX(R157*ABS(J157),S157),J157+2*M157),J157+MAX(R157*ABS(J157),S157))))</f>
        <v/>
      </c>
      <c r="V157" s="51">
        <f>IF(OR($A157="",$J157=""),"",IF(COUNTIFS('6_資料庫比對'!$B$16:$B$25,A157,'6_資料庫比對'!$C$16:$C$25,I157)=0,"",IF(AND(SUMIFS('6_資料庫比對'!$F$16:$F$25,'6_資料庫比對'!$B$16:$B$25,A157,'6_資料庫比對'!$C$16:$C$25,I157)&gt;=T157,SUMIFS('6_資料庫比對'!$F$16:$F$25,'6_資料庫比對'!$B$16:$B$25,A157,'6_資料庫比對'!$C$16:$C$25,I157)&lt;=U157),"✓ 涵蓋","✗ 不涵蓋")))</f>
        <v/>
      </c>
    </row>
    <row r="158">
      <c r="A158" s="47" t="inlineStr">
        <is>
          <t>white_sugar</t>
        </is>
      </c>
      <c r="B158" s="47" t="inlineStr">
        <is>
          <t>白砂糖</t>
        </is>
      </c>
      <c r="C158" s="47" t="inlineStr">
        <is>
          <t>TFND</t>
        </is>
      </c>
      <c r="D158" s="47" t="inlineStr">
        <is>
          <t>食品營養成分資料集</t>
        </is>
      </c>
      <c r="E158" s="47" t="inlineStr">
        <is>
          <t>N0100101</t>
        </is>
      </c>
      <c r="F158" s="47" t="inlineStr">
        <is>
          <t>方糖</t>
        </is>
      </c>
      <c r="G158" s="47" t="inlineStr">
        <is>
          <t>closest</t>
        </is>
      </c>
      <c r="H158" s="47" t="n"/>
      <c r="I158" s="47" t="inlineStr">
        <is>
          <t>carbohydrate</t>
        </is>
      </c>
      <c r="J158" s="47" t="n">
        <v>99.59999999999999</v>
      </c>
      <c r="K158" s="47" t="inlineStr">
        <is>
          <t>g</t>
        </is>
      </c>
      <c r="L158" s="47" t="n"/>
      <c r="M158" s="47" t="n"/>
      <c r="N158" s="47" t="n"/>
      <c r="O158" s="47" t="n"/>
      <c r="P158" s="47" t="n"/>
      <c r="Q158" s="47" t="n"/>
      <c r="R158" s="48">
        <f>IF(OR($A158="",$J158=""),"",IFERROR(VLOOKUP(I158,'6_資料庫比對'!$A$6:$C$12,2,FALSE),""))</f>
        <v/>
      </c>
      <c r="S158" s="49">
        <f>IF(OR($A158="",$J158=""),"",IFERROR(VLOOKUP(I158,'6_資料庫比對'!$A$6:$C$12,3,FALSE),""))</f>
        <v/>
      </c>
      <c r="T158" s="50">
        <f>IF(OR($A158="",$J158=""),"",MAX(0,IF(AND(N158&lt;&gt;"",O158&lt;&gt;""),MIN(J158-MAX(R158*ABS(J158),S158),N158),IF(AND(M158&lt;&gt;"",N(L158)&gt;=2),MIN(J158-MAX(R158*ABS(J158),S158),J158-2*M158),J158-MAX(R158*ABS(J158),S158)))))</f>
        <v/>
      </c>
      <c r="U158" s="50">
        <f>IF(OR($A158="",$J158=""),"",IF(AND(N158&lt;&gt;"",O158&lt;&gt;""),MAX(J158+MAX(R158*ABS(J158),S158),O158),IF(AND(M158&lt;&gt;"",N(L158)&gt;=2),MAX(J158+MAX(R158*ABS(J158),S158),J158+2*M158),J158+MAX(R158*ABS(J158),S158))))</f>
        <v/>
      </c>
      <c r="V158" s="51">
        <f>IF(OR($A158="",$J158=""),"",IF(COUNTIFS('6_資料庫比對'!$B$16:$B$25,A158,'6_資料庫比對'!$C$16:$C$25,I158)=0,"",IF(AND(SUMIFS('6_資料庫比對'!$F$16:$F$25,'6_資料庫比對'!$B$16:$B$25,A158,'6_資料庫比對'!$C$16:$C$25,I158)&gt;=T158,SUMIFS('6_資料庫比對'!$F$16:$F$25,'6_資料庫比對'!$B$16:$B$25,A158,'6_資料庫比對'!$C$16:$C$25,I158)&lt;=U158),"✓ 涵蓋","✗ 不涵蓋")))</f>
        <v/>
      </c>
    </row>
    <row r="159">
      <c r="A159" s="47" t="inlineStr">
        <is>
          <t>white_sugar</t>
        </is>
      </c>
      <c r="B159" s="47" t="inlineStr">
        <is>
          <t>白砂糖</t>
        </is>
      </c>
      <c r="C159" s="47" t="inlineStr">
        <is>
          <t>TFND</t>
        </is>
      </c>
      <c r="D159" s="47" t="inlineStr">
        <is>
          <t>食品營養成分資料集</t>
        </is>
      </c>
      <c r="E159" s="47" t="inlineStr">
        <is>
          <t>N0100101</t>
        </is>
      </c>
      <c r="F159" s="47" t="inlineStr">
        <is>
          <t>方糖</t>
        </is>
      </c>
      <c r="G159" s="47" t="inlineStr">
        <is>
          <t>closest</t>
        </is>
      </c>
      <c r="H159" s="47" t="n"/>
      <c r="I159" s="47" t="inlineStr">
        <is>
          <t>sodium</t>
        </is>
      </c>
      <c r="J159" s="47" t="n">
        <v>2</v>
      </c>
      <c r="K159" s="47" t="inlineStr">
        <is>
          <t>mg</t>
        </is>
      </c>
      <c r="L159" s="47" t="n">
        <v>1</v>
      </c>
      <c r="M159" s="47" t="n"/>
      <c r="N159" s="47" t="n"/>
      <c r="O159" s="47" t="n"/>
      <c r="P159" s="47" t="n"/>
      <c r="Q159" s="47" t="n"/>
      <c r="R159" s="48">
        <f>IF(OR($A159="",$J159=""),"",IFERROR(VLOOKUP(I159,'6_資料庫比對'!$A$6:$C$12,2,FALSE),""))</f>
        <v/>
      </c>
      <c r="S159" s="49">
        <f>IF(OR($A159="",$J159=""),"",IFERROR(VLOOKUP(I159,'6_資料庫比對'!$A$6:$C$12,3,FALSE),""))</f>
        <v/>
      </c>
      <c r="T159" s="50">
        <f>IF(OR($A159="",$J159=""),"",MAX(0,IF(AND(N159&lt;&gt;"",O159&lt;&gt;""),MIN(J159-MAX(R159*ABS(J159),S159),N159),IF(AND(M159&lt;&gt;"",N(L159)&gt;=2),MIN(J159-MAX(R159*ABS(J159),S159),J159-2*M159),J159-MAX(R159*ABS(J159),S159)))))</f>
        <v/>
      </c>
      <c r="U159" s="50">
        <f>IF(OR($A159="",$J159=""),"",IF(AND(N159&lt;&gt;"",O159&lt;&gt;""),MAX(J159+MAX(R159*ABS(J159),S159),O159),IF(AND(M159&lt;&gt;"",N(L159)&gt;=2),MAX(J159+MAX(R159*ABS(J159),S159),J159+2*M159),J159+MAX(R159*ABS(J159),S159))))</f>
        <v/>
      </c>
      <c r="V159" s="51">
        <f>IF(OR($A159="",$J159=""),"",IF(COUNTIFS('6_資料庫比對'!$B$16:$B$25,A159,'6_資料庫比對'!$C$16:$C$25,I159)=0,"",IF(AND(SUMIFS('6_資料庫比對'!$F$16:$F$25,'6_資料庫比對'!$B$16:$B$25,A159,'6_資料庫比對'!$C$16:$C$25,I159)&gt;=T159,SUMIFS('6_資料庫比對'!$F$16:$F$25,'6_資料庫比對'!$B$16:$B$25,A159,'6_資料庫比對'!$C$16:$C$25,I159)&lt;=U159),"✓ 涵蓋","✗ 不涵蓋")))</f>
        <v/>
      </c>
    </row>
    <row r="160">
      <c r="A160" s="47" t="inlineStr">
        <is>
          <t>brown_rice</t>
        </is>
      </c>
      <c r="B160" s="47" t="inlineStr">
        <is>
          <t>糙米（生）</t>
        </is>
      </c>
      <c r="C160" s="47" t="inlineStr">
        <is>
          <t>USDA</t>
        </is>
      </c>
      <c r="D160" s="47" t="inlineStr">
        <is>
          <t>SR Legacy</t>
        </is>
      </c>
      <c r="E160" s="47" t="n">
        <v>169703</v>
      </c>
      <c r="F160" s="47" t="inlineStr">
        <is>
          <t>Rice, brown, long-grain, raw (Includes foods for USDA's Food Distribution Program)</t>
        </is>
      </c>
      <c r="G160" s="47" t="inlineStr">
        <is>
          <t>closest</t>
        </is>
      </c>
      <c r="H160" s="47" t="n">
        <v>5.95</v>
      </c>
      <c r="I160" s="47" t="inlineStr">
        <is>
          <t>water</t>
        </is>
      </c>
      <c r="J160" s="47" t="n">
        <v>11.8</v>
      </c>
      <c r="K160" s="47" t="inlineStr">
        <is>
          <t>g</t>
        </is>
      </c>
      <c r="L160" s="47" t="n">
        <v>6</v>
      </c>
      <c r="M160" s="47" t="n"/>
      <c r="N160" s="47" t="n">
        <v>11.1</v>
      </c>
      <c r="O160" s="47" t="n">
        <v>12.3</v>
      </c>
      <c r="P160" s="47" t="n"/>
      <c r="Q160" s="47" t="inlineStr">
        <is>
          <t>A: Analytical</t>
        </is>
      </c>
      <c r="R160" s="48">
        <f>IF(OR($A160="",$J160=""),"",IFERROR(VLOOKUP(I160,'6_資料庫比對'!$A$6:$C$12,2,FALSE),""))</f>
        <v/>
      </c>
      <c r="S160" s="49">
        <f>IF(OR($A160="",$J160=""),"",IFERROR(VLOOKUP(I160,'6_資料庫比對'!$A$6:$C$12,3,FALSE),""))</f>
        <v/>
      </c>
      <c r="T160" s="50">
        <f>IF(OR($A160="",$J160=""),"",MAX(0,IF(AND(N160&lt;&gt;"",O160&lt;&gt;""),MIN(J160-MAX(R160*ABS(J160),S160),N160),IF(AND(M160&lt;&gt;"",N(L160)&gt;=2),MIN(J160-MAX(R160*ABS(J160),S160),J160-2*M160),J160-MAX(R160*ABS(J160),S160)))))</f>
        <v/>
      </c>
      <c r="U160" s="50">
        <f>IF(OR($A160="",$J160=""),"",IF(AND(N160&lt;&gt;"",O160&lt;&gt;""),MAX(J160+MAX(R160*ABS(J160),S160),O160),IF(AND(M160&lt;&gt;"",N(L160)&gt;=2),MAX(J160+MAX(R160*ABS(J160),S160),J160+2*M160),J160+MAX(R160*ABS(J160),S160))))</f>
        <v/>
      </c>
      <c r="V160" s="51">
        <f>IF(OR($A160="",$J160=""),"",IF(COUNTIFS('6_資料庫比對'!$B$16:$B$25,A160,'6_資料庫比對'!$C$16:$C$25,I160)=0,"",IF(AND(SUMIFS('6_資料庫比對'!$F$16:$F$25,'6_資料庫比對'!$B$16:$B$25,A160,'6_資料庫比對'!$C$16:$C$25,I160)&gt;=T160,SUMIFS('6_資料庫比對'!$F$16:$F$25,'6_資料庫比對'!$B$16:$B$25,A160,'6_資料庫比對'!$C$16:$C$25,I160)&lt;=U160),"✓ 涵蓋","✗ 不涵蓋")))</f>
        <v/>
      </c>
    </row>
    <row r="161">
      <c r="A161" s="47" t="inlineStr">
        <is>
          <t>brown_rice</t>
        </is>
      </c>
      <c r="B161" s="47" t="inlineStr">
        <is>
          <t>糙米（生）</t>
        </is>
      </c>
      <c r="C161" s="47" t="inlineStr">
        <is>
          <t>USDA</t>
        </is>
      </c>
      <c r="D161" s="47" t="inlineStr">
        <is>
          <t>SR Legacy</t>
        </is>
      </c>
      <c r="E161" s="47" t="n">
        <v>169703</v>
      </c>
      <c r="F161" s="47" t="inlineStr">
        <is>
          <t>Rice, brown, long-grain, raw (Includes foods for USDA's Food Distribution Program)</t>
        </is>
      </c>
      <c r="G161" s="47" t="inlineStr">
        <is>
          <t>closest</t>
        </is>
      </c>
      <c r="H161" s="47" t="n">
        <v>5.95</v>
      </c>
      <c r="I161" s="47" t="inlineStr">
        <is>
          <t>protein</t>
        </is>
      </c>
      <c r="J161" s="47" t="n">
        <v>7.54</v>
      </c>
      <c r="K161" s="47" t="inlineStr">
        <is>
          <t>g</t>
        </is>
      </c>
      <c r="L161" s="47" t="n">
        <v>6</v>
      </c>
      <c r="M161" s="47" t="n"/>
      <c r="N161" s="47" t="n">
        <v>7.21</v>
      </c>
      <c r="O161" s="47" t="n">
        <v>8.01</v>
      </c>
      <c r="P161" s="47" t="n"/>
      <c r="Q161" s="47" t="inlineStr">
        <is>
          <t>A: Analytical</t>
        </is>
      </c>
      <c r="R161" s="48">
        <f>IF(OR($A161="",$J161=""),"",IFERROR(VLOOKUP(I161,'6_資料庫比對'!$A$6:$C$12,2,FALSE),""))</f>
        <v/>
      </c>
      <c r="S161" s="49">
        <f>IF(OR($A161="",$J161=""),"",IFERROR(VLOOKUP(I161,'6_資料庫比對'!$A$6:$C$12,3,FALSE),""))</f>
        <v/>
      </c>
      <c r="T161" s="50">
        <f>IF(OR($A161="",$J161=""),"",MAX(0,IF(AND(N161&lt;&gt;"",O161&lt;&gt;""),MIN(J161-MAX(R161*ABS(J161),S161),N161),IF(AND(M161&lt;&gt;"",N(L161)&gt;=2),MIN(J161-MAX(R161*ABS(J161),S161),J161-2*M161),J161-MAX(R161*ABS(J161),S161)))))</f>
        <v/>
      </c>
      <c r="U161" s="50">
        <f>IF(OR($A161="",$J161=""),"",IF(AND(N161&lt;&gt;"",O161&lt;&gt;""),MAX(J161+MAX(R161*ABS(J161),S161),O161),IF(AND(M161&lt;&gt;"",N(L161)&gt;=2),MAX(J161+MAX(R161*ABS(J161),S161),J161+2*M161),J161+MAX(R161*ABS(J161),S161))))</f>
        <v/>
      </c>
      <c r="V161" s="51">
        <f>IF(OR($A161="",$J161=""),"",IF(COUNTIFS('6_資料庫比對'!$B$16:$B$25,A161,'6_資料庫比對'!$C$16:$C$25,I161)=0,"",IF(AND(SUMIFS('6_資料庫比對'!$F$16:$F$25,'6_資料庫比對'!$B$16:$B$25,A161,'6_資料庫比對'!$C$16:$C$25,I161)&gt;=T161,SUMIFS('6_資料庫比對'!$F$16:$F$25,'6_資料庫比對'!$B$16:$B$25,A161,'6_資料庫比對'!$C$16:$C$25,I161)&lt;=U161),"✓ 涵蓋","✗ 不涵蓋")))</f>
        <v/>
      </c>
    </row>
    <row r="162">
      <c r="A162" s="47" t="inlineStr">
        <is>
          <t>brown_rice</t>
        </is>
      </c>
      <c r="B162" s="47" t="inlineStr">
        <is>
          <t>糙米（生）</t>
        </is>
      </c>
      <c r="C162" s="47" t="inlineStr">
        <is>
          <t>USDA</t>
        </is>
      </c>
      <c r="D162" s="47" t="inlineStr">
        <is>
          <t>SR Legacy</t>
        </is>
      </c>
      <c r="E162" s="47" t="n">
        <v>169703</v>
      </c>
      <c r="F162" s="47" t="inlineStr">
        <is>
          <t>Rice, brown, long-grain, raw (Includes foods for USDA's Food Distribution Program)</t>
        </is>
      </c>
      <c r="G162" s="47" t="inlineStr">
        <is>
          <t>closest</t>
        </is>
      </c>
      <c r="H162" s="47" t="n">
        <v>5.95</v>
      </c>
      <c r="I162" s="47" t="inlineStr">
        <is>
          <t>fat</t>
        </is>
      </c>
      <c r="J162" s="47" t="n">
        <v>3.2</v>
      </c>
      <c r="K162" s="47" t="inlineStr">
        <is>
          <t>g</t>
        </is>
      </c>
      <c r="L162" s="47" t="n">
        <v>6</v>
      </c>
      <c r="M162" s="47" t="n"/>
      <c r="N162" s="47" t="n">
        <v>3</v>
      </c>
      <c r="O162" s="47" t="n">
        <v>3.5</v>
      </c>
      <c r="P162" s="47" t="n"/>
      <c r="Q162" s="47" t="inlineStr">
        <is>
          <t>A: Analytical</t>
        </is>
      </c>
      <c r="R162" s="48">
        <f>IF(OR($A162="",$J162=""),"",IFERROR(VLOOKUP(I162,'6_資料庫比對'!$A$6:$C$12,2,FALSE),""))</f>
        <v/>
      </c>
      <c r="S162" s="49">
        <f>IF(OR($A162="",$J162=""),"",IFERROR(VLOOKUP(I162,'6_資料庫比對'!$A$6:$C$12,3,FALSE),""))</f>
        <v/>
      </c>
      <c r="T162" s="50">
        <f>IF(OR($A162="",$J162=""),"",MAX(0,IF(AND(N162&lt;&gt;"",O162&lt;&gt;""),MIN(J162-MAX(R162*ABS(J162),S162),N162),IF(AND(M162&lt;&gt;"",N(L162)&gt;=2),MIN(J162-MAX(R162*ABS(J162),S162),J162-2*M162),J162-MAX(R162*ABS(J162),S162)))))</f>
        <v/>
      </c>
      <c r="U162" s="50">
        <f>IF(OR($A162="",$J162=""),"",IF(AND(N162&lt;&gt;"",O162&lt;&gt;""),MAX(J162+MAX(R162*ABS(J162),S162),O162),IF(AND(M162&lt;&gt;"",N(L162)&gt;=2),MAX(J162+MAX(R162*ABS(J162),S162),J162+2*M162),J162+MAX(R162*ABS(J162),S162))))</f>
        <v/>
      </c>
      <c r="V162" s="51">
        <f>IF(OR($A162="",$J162=""),"",IF(COUNTIFS('6_資料庫比對'!$B$16:$B$25,A162,'6_資料庫比對'!$C$16:$C$25,I162)=0,"",IF(AND(SUMIFS('6_資料庫比對'!$F$16:$F$25,'6_資料庫比對'!$B$16:$B$25,A162,'6_資料庫比對'!$C$16:$C$25,I162)&gt;=T162,SUMIFS('6_資料庫比對'!$F$16:$F$25,'6_資料庫比對'!$B$16:$B$25,A162,'6_資料庫比對'!$C$16:$C$25,I162)&lt;=U162),"✓ 涵蓋","✗ 不涵蓋")))</f>
        <v/>
      </c>
    </row>
    <row r="163">
      <c r="A163" s="47" t="inlineStr">
        <is>
          <t>brown_rice</t>
        </is>
      </c>
      <c r="B163" s="47" t="inlineStr">
        <is>
          <t>糙米（生）</t>
        </is>
      </c>
      <c r="C163" s="47" t="inlineStr">
        <is>
          <t>USDA</t>
        </is>
      </c>
      <c r="D163" s="47" t="inlineStr">
        <is>
          <t>SR Legacy</t>
        </is>
      </c>
      <c r="E163" s="47" t="n">
        <v>169703</v>
      </c>
      <c r="F163" s="47" t="inlineStr">
        <is>
          <t>Rice, brown, long-grain, raw (Includes foods for USDA's Food Distribution Program)</t>
        </is>
      </c>
      <c r="G163" s="47" t="inlineStr">
        <is>
          <t>closest</t>
        </is>
      </c>
      <c r="H163" s="47" t="n">
        <v>5.95</v>
      </c>
      <c r="I163" s="47" t="inlineStr">
        <is>
          <t>ash</t>
        </is>
      </c>
      <c r="J163" s="47" t="n">
        <v>1.21</v>
      </c>
      <c r="K163" s="47" t="inlineStr">
        <is>
          <t>g</t>
        </is>
      </c>
      <c r="L163" s="47" t="n">
        <v>6</v>
      </c>
      <c r="M163" s="47" t="n"/>
      <c r="N163" s="47" t="n">
        <v>1.13</v>
      </c>
      <c r="O163" s="47" t="n">
        <v>1.32</v>
      </c>
      <c r="P163" s="47" t="n"/>
      <c r="Q163" s="47" t="inlineStr">
        <is>
          <t>A: Analytical</t>
        </is>
      </c>
      <c r="R163" s="48">
        <f>IF(OR($A163="",$J163=""),"",IFERROR(VLOOKUP(I163,'6_資料庫比對'!$A$6:$C$12,2,FALSE),""))</f>
        <v/>
      </c>
      <c r="S163" s="49">
        <f>IF(OR($A163="",$J163=""),"",IFERROR(VLOOKUP(I163,'6_資料庫比對'!$A$6:$C$12,3,FALSE),""))</f>
        <v/>
      </c>
      <c r="T163" s="50">
        <f>IF(OR($A163="",$J163=""),"",MAX(0,IF(AND(N163&lt;&gt;"",O163&lt;&gt;""),MIN(J163-MAX(R163*ABS(J163),S163),N163),IF(AND(M163&lt;&gt;"",N(L163)&gt;=2),MIN(J163-MAX(R163*ABS(J163),S163),J163-2*M163),J163-MAX(R163*ABS(J163),S163)))))</f>
        <v/>
      </c>
      <c r="U163" s="50">
        <f>IF(OR($A163="",$J163=""),"",IF(AND(N163&lt;&gt;"",O163&lt;&gt;""),MAX(J163+MAX(R163*ABS(J163),S163),O163),IF(AND(M163&lt;&gt;"",N(L163)&gt;=2),MAX(J163+MAX(R163*ABS(J163),S163),J163+2*M163),J163+MAX(R163*ABS(J163),S163))))</f>
        <v/>
      </c>
      <c r="V163" s="51">
        <f>IF(OR($A163="",$J163=""),"",IF(COUNTIFS('6_資料庫比對'!$B$16:$B$25,A163,'6_資料庫比對'!$C$16:$C$25,I163)=0,"",IF(AND(SUMIFS('6_資料庫比對'!$F$16:$F$25,'6_資料庫比對'!$B$16:$B$25,A163,'6_資料庫比對'!$C$16:$C$25,I163)&gt;=T163,SUMIFS('6_資料庫比對'!$F$16:$F$25,'6_資料庫比對'!$B$16:$B$25,A163,'6_資料庫比對'!$C$16:$C$25,I163)&lt;=U163),"✓ 涵蓋","✗ 不涵蓋")))</f>
        <v/>
      </c>
    </row>
    <row r="164">
      <c r="A164" s="47" t="inlineStr">
        <is>
          <t>brown_rice</t>
        </is>
      </c>
      <c r="B164" s="47" t="inlineStr">
        <is>
          <t>糙米（生）</t>
        </is>
      </c>
      <c r="C164" s="47" t="inlineStr">
        <is>
          <t>USDA</t>
        </is>
      </c>
      <c r="D164" s="47" t="inlineStr">
        <is>
          <t>SR Legacy</t>
        </is>
      </c>
      <c r="E164" s="47" t="n">
        <v>169703</v>
      </c>
      <c r="F164" s="47" t="inlineStr">
        <is>
          <t>Rice, brown, long-grain, raw (Includes foods for USDA's Food Distribution Program)</t>
        </is>
      </c>
      <c r="G164" s="47" t="inlineStr">
        <is>
          <t>closest</t>
        </is>
      </c>
      <c r="H164" s="47" t="n">
        <v>5.95</v>
      </c>
      <c r="I164" s="47" t="inlineStr">
        <is>
          <t>carbohydrate</t>
        </is>
      </c>
      <c r="J164" s="47" t="n">
        <v>76.25</v>
      </c>
      <c r="K164" s="47" t="inlineStr">
        <is>
          <t>g</t>
        </is>
      </c>
      <c r="L164" s="47" t="n">
        <v>0</v>
      </c>
      <c r="M164" s="47" t="n"/>
      <c r="N164" s="47" t="n"/>
      <c r="O164" s="47" t="n"/>
      <c r="P164" s="47" t="n"/>
      <c r="Q164" s="47" t="inlineStr">
        <is>
          <t>NC: Calculated</t>
        </is>
      </c>
      <c r="R164" s="48">
        <f>IF(OR($A164="",$J164=""),"",IFERROR(VLOOKUP(I164,'6_資料庫比對'!$A$6:$C$12,2,FALSE),""))</f>
        <v/>
      </c>
      <c r="S164" s="49">
        <f>IF(OR($A164="",$J164=""),"",IFERROR(VLOOKUP(I164,'6_資料庫比對'!$A$6:$C$12,3,FALSE),""))</f>
        <v/>
      </c>
      <c r="T164" s="50">
        <f>IF(OR($A164="",$J164=""),"",MAX(0,IF(AND(N164&lt;&gt;"",O164&lt;&gt;""),MIN(J164-MAX(R164*ABS(J164),S164),N164),IF(AND(M164&lt;&gt;"",N(L164)&gt;=2),MIN(J164-MAX(R164*ABS(J164),S164),J164-2*M164),J164-MAX(R164*ABS(J164),S164)))))</f>
        <v/>
      </c>
      <c r="U164" s="50">
        <f>IF(OR($A164="",$J164=""),"",IF(AND(N164&lt;&gt;"",O164&lt;&gt;""),MAX(J164+MAX(R164*ABS(J164),S164),O164),IF(AND(M164&lt;&gt;"",N(L164)&gt;=2),MAX(J164+MAX(R164*ABS(J164),S164),J164+2*M164),J164+MAX(R164*ABS(J164),S164))))</f>
        <v/>
      </c>
      <c r="V164" s="51">
        <f>IF(OR($A164="",$J164=""),"",IF(COUNTIFS('6_資料庫比對'!$B$16:$B$25,A164,'6_資料庫比對'!$C$16:$C$25,I164)=0,"",IF(AND(SUMIFS('6_資料庫比對'!$F$16:$F$25,'6_資料庫比對'!$B$16:$B$25,A164,'6_資料庫比對'!$C$16:$C$25,I164)&gt;=T164,SUMIFS('6_資料庫比對'!$F$16:$F$25,'6_資料庫比對'!$B$16:$B$25,A164,'6_資料庫比對'!$C$16:$C$25,I164)&lt;=U164),"✓ 涵蓋","✗ 不涵蓋")))</f>
        <v/>
      </c>
    </row>
    <row r="165">
      <c r="A165" s="47" t="inlineStr">
        <is>
          <t>brown_rice</t>
        </is>
      </c>
      <c r="B165" s="47" t="inlineStr">
        <is>
          <t>糙米（生）</t>
        </is>
      </c>
      <c r="C165" s="47" t="inlineStr">
        <is>
          <t>USDA</t>
        </is>
      </c>
      <c r="D165" s="47" t="inlineStr">
        <is>
          <t>SR Legacy</t>
        </is>
      </c>
      <c r="E165" s="47" t="n">
        <v>169703</v>
      </c>
      <c r="F165" s="47" t="inlineStr">
        <is>
          <t>Rice, brown, long-grain, raw (Includes foods for USDA's Food Distribution Program)</t>
        </is>
      </c>
      <c r="G165" s="47" t="inlineStr">
        <is>
          <t>closest</t>
        </is>
      </c>
      <c r="H165" s="47" t="n">
        <v>5.95</v>
      </c>
      <c r="I165" s="47" t="inlineStr">
        <is>
          <t>sugars_total</t>
        </is>
      </c>
      <c r="J165" s="47" t="n">
        <v>0.66</v>
      </c>
      <c r="K165" s="47" t="inlineStr">
        <is>
          <t>g</t>
        </is>
      </c>
      <c r="L165" s="47" t="n">
        <v>3</v>
      </c>
      <c r="M165" s="47" t="n"/>
      <c r="N165" s="47" t="n">
        <v>0.6</v>
      </c>
      <c r="O165" s="47" t="n">
        <v>0.7</v>
      </c>
      <c r="P165" s="47" t="n"/>
      <c r="Q165" s="47" t="inlineStr">
        <is>
          <t>A: Analytical</t>
        </is>
      </c>
      <c r="R165" s="48">
        <f>IF(OR($A165="",$J165=""),"",IFERROR(VLOOKUP(I165,'6_資料庫比對'!$A$6:$C$12,2,FALSE),""))</f>
        <v/>
      </c>
      <c r="S165" s="49">
        <f>IF(OR($A165="",$J165=""),"",IFERROR(VLOOKUP(I165,'6_資料庫比對'!$A$6:$C$12,3,FALSE),""))</f>
        <v/>
      </c>
      <c r="T165" s="50">
        <f>IF(OR($A165="",$J165=""),"",MAX(0,IF(AND(N165&lt;&gt;"",O165&lt;&gt;""),MIN(J165-MAX(R165*ABS(J165),S165),N165),IF(AND(M165&lt;&gt;"",N(L165)&gt;=2),MIN(J165-MAX(R165*ABS(J165),S165),J165-2*M165),J165-MAX(R165*ABS(J165),S165)))))</f>
        <v/>
      </c>
      <c r="U165" s="50">
        <f>IF(OR($A165="",$J165=""),"",IF(AND(N165&lt;&gt;"",O165&lt;&gt;""),MAX(J165+MAX(R165*ABS(J165),S165),O165),IF(AND(M165&lt;&gt;"",N(L165)&gt;=2),MAX(J165+MAX(R165*ABS(J165),S165),J165+2*M165),J165+MAX(R165*ABS(J165),S165))))</f>
        <v/>
      </c>
      <c r="V165" s="51">
        <f>IF(OR($A165="",$J165=""),"",IF(COUNTIFS('6_資料庫比對'!$B$16:$B$25,A165,'6_資料庫比對'!$C$16:$C$25,I165)=0,"",IF(AND(SUMIFS('6_資料庫比對'!$F$16:$F$25,'6_資料庫比對'!$B$16:$B$25,A165,'6_資料庫比對'!$C$16:$C$25,I165)&gt;=T165,SUMIFS('6_資料庫比對'!$F$16:$F$25,'6_資料庫比對'!$B$16:$B$25,A165,'6_資料庫比對'!$C$16:$C$25,I165)&lt;=U165),"✓ 涵蓋","✗ 不涵蓋")))</f>
        <v/>
      </c>
    </row>
    <row r="166">
      <c r="A166" s="47" t="inlineStr">
        <is>
          <t>brown_rice</t>
        </is>
      </c>
      <c r="B166" s="47" t="inlineStr">
        <is>
          <t>糙米（生）</t>
        </is>
      </c>
      <c r="C166" s="47" t="inlineStr">
        <is>
          <t>USDA</t>
        </is>
      </c>
      <c r="D166" s="47" t="inlineStr">
        <is>
          <t>SR Legacy</t>
        </is>
      </c>
      <c r="E166" s="47" t="n">
        <v>169703</v>
      </c>
      <c r="F166" s="47" t="inlineStr">
        <is>
          <t>Rice, brown, long-grain, raw (Includes foods for USDA's Food Distribution Program)</t>
        </is>
      </c>
      <c r="G166" s="47" t="inlineStr">
        <is>
          <t>closest</t>
        </is>
      </c>
      <c r="H166" s="47" t="n">
        <v>5.95</v>
      </c>
      <c r="I166" s="47" t="inlineStr">
        <is>
          <t>sodium</t>
        </is>
      </c>
      <c r="J166" s="47" t="n">
        <v>5</v>
      </c>
      <c r="K166" s="47" t="inlineStr">
        <is>
          <t>mg</t>
        </is>
      </c>
      <c r="L166" s="47" t="n">
        <v>6</v>
      </c>
      <c r="M166" s="47" t="n"/>
      <c r="N166" s="47" t="n">
        <v>5</v>
      </c>
      <c r="O166" s="47" t="n">
        <v>5</v>
      </c>
      <c r="P166" s="47" t="n"/>
      <c r="Q166" s="47" t="inlineStr">
        <is>
          <t>A: Analytical</t>
        </is>
      </c>
      <c r="R166" s="48">
        <f>IF(OR($A166="",$J166=""),"",IFERROR(VLOOKUP(I166,'6_資料庫比對'!$A$6:$C$12,2,FALSE),""))</f>
        <v/>
      </c>
      <c r="S166" s="49">
        <f>IF(OR($A166="",$J166=""),"",IFERROR(VLOOKUP(I166,'6_資料庫比對'!$A$6:$C$12,3,FALSE),""))</f>
        <v/>
      </c>
      <c r="T166" s="50">
        <f>IF(OR($A166="",$J166=""),"",MAX(0,IF(AND(N166&lt;&gt;"",O166&lt;&gt;""),MIN(J166-MAX(R166*ABS(J166),S166),N166),IF(AND(M166&lt;&gt;"",N(L166)&gt;=2),MIN(J166-MAX(R166*ABS(J166),S166),J166-2*M166),J166-MAX(R166*ABS(J166),S166)))))</f>
        <v/>
      </c>
      <c r="U166" s="50">
        <f>IF(OR($A166="",$J166=""),"",IF(AND(N166&lt;&gt;"",O166&lt;&gt;""),MAX(J166+MAX(R166*ABS(J166),S166),O166),IF(AND(M166&lt;&gt;"",N(L166)&gt;=2),MAX(J166+MAX(R166*ABS(J166),S166),J166+2*M166),J166+MAX(R166*ABS(J166),S166))))</f>
        <v/>
      </c>
      <c r="V166" s="51">
        <f>IF(OR($A166="",$J166=""),"",IF(COUNTIFS('6_資料庫比對'!$B$16:$B$25,A166,'6_資料庫比對'!$C$16:$C$25,I166)=0,"",IF(AND(SUMIFS('6_資料庫比對'!$F$16:$F$25,'6_資料庫比對'!$B$16:$B$25,A166,'6_資料庫比對'!$C$16:$C$25,I166)&gt;=T166,SUMIFS('6_資料庫比對'!$F$16:$F$25,'6_資料庫比對'!$B$16:$B$25,A166,'6_資料庫比對'!$C$16:$C$25,I166)&lt;=U166),"✓ 涵蓋","✗ 不涵蓋")))</f>
        <v/>
      </c>
    </row>
    <row r="167">
      <c r="A167" s="47" t="inlineStr">
        <is>
          <t>brown_rice</t>
        </is>
      </c>
      <c r="B167" s="47" t="inlineStr">
        <is>
          <t>糙米（生）</t>
        </is>
      </c>
      <c r="C167" s="47" t="inlineStr">
        <is>
          <t>USDA</t>
        </is>
      </c>
      <c r="D167" s="47" t="inlineStr">
        <is>
          <t>Foundation</t>
        </is>
      </c>
      <c r="E167" s="47" t="n">
        <v>2512380</v>
      </c>
      <c r="F167" s="47" t="inlineStr">
        <is>
          <t>Rice, brown, long grain, unenriched, raw</t>
        </is>
      </c>
      <c r="G167" s="47" t="inlineStr">
        <is>
          <t>closest</t>
        </is>
      </c>
      <c r="H167" s="47" t="n">
        <v>5.95</v>
      </c>
      <c r="I167" s="47" t="inlineStr">
        <is>
          <t>water</t>
        </is>
      </c>
      <c r="J167" s="47" t="n">
        <v>11.47</v>
      </c>
      <c r="K167" s="47" t="inlineStr">
        <is>
          <t>g</t>
        </is>
      </c>
      <c r="L167" s="47" t="n">
        <v>8</v>
      </c>
      <c r="M167" s="47" t="n"/>
      <c r="N167" s="47" t="n">
        <v>10.79</v>
      </c>
      <c r="O167" s="47" t="n">
        <v>11.83</v>
      </c>
      <c r="P167" s="47" t="n">
        <v>11.54</v>
      </c>
      <c r="Q167" s="47" t="inlineStr">
        <is>
          <t>A: Analytical</t>
        </is>
      </c>
      <c r="R167" s="48">
        <f>IF(OR($A167="",$J167=""),"",IFERROR(VLOOKUP(I167,'6_資料庫比對'!$A$6:$C$12,2,FALSE),""))</f>
        <v/>
      </c>
      <c r="S167" s="49">
        <f>IF(OR($A167="",$J167=""),"",IFERROR(VLOOKUP(I167,'6_資料庫比對'!$A$6:$C$12,3,FALSE),""))</f>
        <v/>
      </c>
      <c r="T167" s="50">
        <f>IF(OR($A167="",$J167=""),"",MAX(0,IF(AND(N167&lt;&gt;"",O167&lt;&gt;""),MIN(J167-MAX(R167*ABS(J167),S167),N167),IF(AND(M167&lt;&gt;"",N(L167)&gt;=2),MIN(J167-MAX(R167*ABS(J167),S167),J167-2*M167),J167-MAX(R167*ABS(J167),S167)))))</f>
        <v/>
      </c>
      <c r="U167" s="50">
        <f>IF(OR($A167="",$J167=""),"",IF(AND(N167&lt;&gt;"",O167&lt;&gt;""),MAX(J167+MAX(R167*ABS(J167),S167),O167),IF(AND(M167&lt;&gt;"",N(L167)&gt;=2),MAX(J167+MAX(R167*ABS(J167),S167),J167+2*M167),J167+MAX(R167*ABS(J167),S167))))</f>
        <v/>
      </c>
      <c r="V167" s="51">
        <f>IF(OR($A167="",$J167=""),"",IF(COUNTIFS('6_資料庫比對'!$B$16:$B$25,A167,'6_資料庫比對'!$C$16:$C$25,I167)=0,"",IF(AND(SUMIFS('6_資料庫比對'!$F$16:$F$25,'6_資料庫比對'!$B$16:$B$25,A167,'6_資料庫比對'!$C$16:$C$25,I167)&gt;=T167,SUMIFS('6_資料庫比對'!$F$16:$F$25,'6_資料庫比對'!$B$16:$B$25,A167,'6_資料庫比對'!$C$16:$C$25,I167)&lt;=U167),"✓ 涵蓋","✗ 不涵蓋")))</f>
        <v/>
      </c>
    </row>
    <row r="168">
      <c r="A168" s="47" t="inlineStr">
        <is>
          <t>brown_rice</t>
        </is>
      </c>
      <c r="B168" s="47" t="inlineStr">
        <is>
          <t>糙米（生）</t>
        </is>
      </c>
      <c r="C168" s="47" t="inlineStr">
        <is>
          <t>USDA</t>
        </is>
      </c>
      <c r="D168" s="47" t="inlineStr">
        <is>
          <t>Foundation</t>
        </is>
      </c>
      <c r="E168" s="47" t="n">
        <v>2512380</v>
      </c>
      <c r="F168" s="47" t="inlineStr">
        <is>
          <t>Rice, brown, long grain, unenriched, raw</t>
        </is>
      </c>
      <c r="G168" s="47" t="inlineStr">
        <is>
          <t>closest</t>
        </is>
      </c>
      <c r="H168" s="47" t="n">
        <v>5.95</v>
      </c>
      <c r="I168" s="47" t="inlineStr">
        <is>
          <t>protein</t>
        </is>
      </c>
      <c r="J168" s="47" t="n">
        <v>7.253</v>
      </c>
      <c r="K168" s="47" t="inlineStr">
        <is>
          <t>g</t>
        </is>
      </c>
      <c r="L168" s="47" t="n"/>
      <c r="M168" s="47" t="n"/>
      <c r="N168" s="47" t="n">
        <v>6.6045</v>
      </c>
      <c r="O168" s="47" t="n">
        <v>7.9135</v>
      </c>
      <c r="P168" s="47" t="n">
        <v>7.1697</v>
      </c>
      <c r="Q168" s="47" t="inlineStr">
        <is>
          <t>NC: Calculated</t>
        </is>
      </c>
      <c r="R168" s="48">
        <f>IF(OR($A168="",$J168=""),"",IFERROR(VLOOKUP(I168,'6_資料庫比對'!$A$6:$C$12,2,FALSE),""))</f>
        <v/>
      </c>
      <c r="S168" s="49">
        <f>IF(OR($A168="",$J168=""),"",IFERROR(VLOOKUP(I168,'6_資料庫比對'!$A$6:$C$12,3,FALSE),""))</f>
        <v/>
      </c>
      <c r="T168" s="50">
        <f>IF(OR($A168="",$J168=""),"",MAX(0,IF(AND(N168&lt;&gt;"",O168&lt;&gt;""),MIN(J168-MAX(R168*ABS(J168),S168),N168),IF(AND(M168&lt;&gt;"",N(L168)&gt;=2),MIN(J168-MAX(R168*ABS(J168),S168),J168-2*M168),J168-MAX(R168*ABS(J168),S168)))))</f>
        <v/>
      </c>
      <c r="U168" s="50">
        <f>IF(OR($A168="",$J168=""),"",IF(AND(N168&lt;&gt;"",O168&lt;&gt;""),MAX(J168+MAX(R168*ABS(J168),S168),O168),IF(AND(M168&lt;&gt;"",N(L168)&gt;=2),MAX(J168+MAX(R168*ABS(J168),S168),J168+2*M168),J168+MAX(R168*ABS(J168),S168))))</f>
        <v/>
      </c>
      <c r="V168" s="51">
        <f>IF(OR($A168="",$J168=""),"",IF(COUNTIFS('6_資料庫比對'!$B$16:$B$25,A168,'6_資料庫比對'!$C$16:$C$25,I168)=0,"",IF(AND(SUMIFS('6_資料庫比對'!$F$16:$F$25,'6_資料庫比對'!$B$16:$B$25,A168,'6_資料庫比對'!$C$16:$C$25,I168)&gt;=T168,SUMIFS('6_資料庫比對'!$F$16:$F$25,'6_資料庫比對'!$B$16:$B$25,A168,'6_資料庫比對'!$C$16:$C$25,I168)&lt;=U168),"✓ 涵蓋","✗ 不涵蓋")))</f>
        <v/>
      </c>
    </row>
    <row r="169">
      <c r="A169" s="47" t="inlineStr">
        <is>
          <t>brown_rice</t>
        </is>
      </c>
      <c r="B169" s="47" t="inlineStr">
        <is>
          <t>糙米（生）</t>
        </is>
      </c>
      <c r="C169" s="47" t="inlineStr">
        <is>
          <t>USDA</t>
        </is>
      </c>
      <c r="D169" s="47" t="inlineStr">
        <is>
          <t>Foundation</t>
        </is>
      </c>
      <c r="E169" s="47" t="n">
        <v>2512380</v>
      </c>
      <c r="F169" s="47" t="inlineStr">
        <is>
          <t>Rice, brown, long grain, unenriched, raw</t>
        </is>
      </c>
      <c r="G169" s="47" t="inlineStr">
        <is>
          <t>closest</t>
        </is>
      </c>
      <c r="H169" s="47" t="n">
        <v>5.95</v>
      </c>
      <c r="I169" s="47" t="inlineStr">
        <is>
          <t>fat</t>
        </is>
      </c>
      <c r="J169" s="47" t="n">
        <v>3.306</v>
      </c>
      <c r="K169" s="47" t="inlineStr">
        <is>
          <t>g</t>
        </is>
      </c>
      <c r="L169" s="47" t="n">
        <v>8</v>
      </c>
      <c r="M169" s="47" t="n"/>
      <c r="N169" s="47" t="n">
        <v>2.57</v>
      </c>
      <c r="O169" s="47" t="n">
        <v>3.73</v>
      </c>
      <c r="P169" s="47" t="n">
        <v>3.48</v>
      </c>
      <c r="Q169" s="47" t="inlineStr">
        <is>
          <t>A: Analytical</t>
        </is>
      </c>
      <c r="R169" s="48">
        <f>IF(OR($A169="",$J169=""),"",IFERROR(VLOOKUP(I169,'6_資料庫比對'!$A$6:$C$12,2,FALSE),""))</f>
        <v/>
      </c>
      <c r="S169" s="49">
        <f>IF(OR($A169="",$J169=""),"",IFERROR(VLOOKUP(I169,'6_資料庫比對'!$A$6:$C$12,3,FALSE),""))</f>
        <v/>
      </c>
      <c r="T169" s="50">
        <f>IF(OR($A169="",$J169=""),"",MAX(0,IF(AND(N169&lt;&gt;"",O169&lt;&gt;""),MIN(J169-MAX(R169*ABS(J169),S169),N169),IF(AND(M169&lt;&gt;"",N(L169)&gt;=2),MIN(J169-MAX(R169*ABS(J169),S169),J169-2*M169),J169-MAX(R169*ABS(J169),S169)))))</f>
        <v/>
      </c>
      <c r="U169" s="50">
        <f>IF(OR($A169="",$J169=""),"",IF(AND(N169&lt;&gt;"",O169&lt;&gt;""),MAX(J169+MAX(R169*ABS(J169),S169),O169),IF(AND(M169&lt;&gt;"",N(L169)&gt;=2),MAX(J169+MAX(R169*ABS(J169),S169),J169+2*M169),J169+MAX(R169*ABS(J169),S169))))</f>
        <v/>
      </c>
      <c r="V169" s="51">
        <f>IF(OR($A169="",$J169=""),"",IF(COUNTIFS('6_資料庫比對'!$B$16:$B$25,A169,'6_資料庫比對'!$C$16:$C$25,I169)=0,"",IF(AND(SUMIFS('6_資料庫比對'!$F$16:$F$25,'6_資料庫比對'!$B$16:$B$25,A169,'6_資料庫比對'!$C$16:$C$25,I169)&gt;=T169,SUMIFS('6_資料庫比對'!$F$16:$F$25,'6_資料庫比對'!$B$16:$B$25,A169,'6_資料庫比對'!$C$16:$C$25,I169)&lt;=U169),"✓ 涵蓋","✗ 不涵蓋")))</f>
        <v/>
      </c>
    </row>
    <row r="170">
      <c r="A170" s="47" t="inlineStr">
        <is>
          <t>brown_rice</t>
        </is>
      </c>
      <c r="B170" s="47" t="inlineStr">
        <is>
          <t>糙米（生）</t>
        </is>
      </c>
      <c r="C170" s="47" t="inlineStr">
        <is>
          <t>USDA</t>
        </is>
      </c>
      <c r="D170" s="47" t="inlineStr">
        <is>
          <t>Foundation</t>
        </is>
      </c>
      <c r="E170" s="47" t="n">
        <v>2512380</v>
      </c>
      <c r="F170" s="47" t="inlineStr">
        <is>
          <t>Rice, brown, long grain, unenriched, raw</t>
        </is>
      </c>
      <c r="G170" s="47" t="inlineStr">
        <is>
          <t>closest</t>
        </is>
      </c>
      <c r="H170" s="47" t="n">
        <v>5.95</v>
      </c>
      <c r="I170" s="47" t="inlineStr">
        <is>
          <t>ash</t>
        </is>
      </c>
      <c r="J170" s="47" t="n">
        <v>1.283</v>
      </c>
      <c r="K170" s="47" t="inlineStr">
        <is>
          <t>g</t>
        </is>
      </c>
      <c r="L170" s="47" t="n">
        <v>8</v>
      </c>
      <c r="M170" s="47" t="n"/>
      <c r="N170" s="47" t="n">
        <v>1.2</v>
      </c>
      <c r="O170" s="47" t="n">
        <v>1.46</v>
      </c>
      <c r="P170" s="47" t="n">
        <v>1.255</v>
      </c>
      <c r="Q170" s="47" t="inlineStr">
        <is>
          <t>A: Analytical</t>
        </is>
      </c>
      <c r="R170" s="48">
        <f>IF(OR($A170="",$J170=""),"",IFERROR(VLOOKUP(I170,'6_資料庫比對'!$A$6:$C$12,2,FALSE),""))</f>
        <v/>
      </c>
      <c r="S170" s="49">
        <f>IF(OR($A170="",$J170=""),"",IFERROR(VLOOKUP(I170,'6_資料庫比對'!$A$6:$C$12,3,FALSE),""))</f>
        <v/>
      </c>
      <c r="T170" s="50">
        <f>IF(OR($A170="",$J170=""),"",MAX(0,IF(AND(N170&lt;&gt;"",O170&lt;&gt;""),MIN(J170-MAX(R170*ABS(J170),S170),N170),IF(AND(M170&lt;&gt;"",N(L170)&gt;=2),MIN(J170-MAX(R170*ABS(J170),S170),J170-2*M170),J170-MAX(R170*ABS(J170),S170)))))</f>
        <v/>
      </c>
      <c r="U170" s="50">
        <f>IF(OR($A170="",$J170=""),"",IF(AND(N170&lt;&gt;"",O170&lt;&gt;""),MAX(J170+MAX(R170*ABS(J170),S170),O170),IF(AND(M170&lt;&gt;"",N(L170)&gt;=2),MAX(J170+MAX(R170*ABS(J170),S170),J170+2*M170),J170+MAX(R170*ABS(J170),S170))))</f>
        <v/>
      </c>
      <c r="V170" s="51">
        <f>IF(OR($A170="",$J170=""),"",IF(COUNTIFS('6_資料庫比對'!$B$16:$B$25,A170,'6_資料庫比對'!$C$16:$C$25,I170)=0,"",IF(AND(SUMIFS('6_資料庫比對'!$F$16:$F$25,'6_資料庫比對'!$B$16:$B$25,A170,'6_資料庫比對'!$C$16:$C$25,I170)&gt;=T170,SUMIFS('6_資料庫比對'!$F$16:$F$25,'6_資料庫比對'!$B$16:$B$25,A170,'6_資料庫比對'!$C$16:$C$25,I170)&lt;=U170),"✓ 涵蓋","✗ 不涵蓋")))</f>
        <v/>
      </c>
    </row>
    <row r="171">
      <c r="A171" s="47" t="inlineStr">
        <is>
          <t>brown_rice</t>
        </is>
      </c>
      <c r="B171" s="47" t="inlineStr">
        <is>
          <t>糙米（生）</t>
        </is>
      </c>
      <c r="C171" s="47" t="inlineStr">
        <is>
          <t>USDA</t>
        </is>
      </c>
      <c r="D171" s="47" t="inlineStr">
        <is>
          <t>Foundation</t>
        </is>
      </c>
      <c r="E171" s="47" t="n">
        <v>2512380</v>
      </c>
      <c r="F171" s="47" t="inlineStr">
        <is>
          <t>Rice, brown, long grain, unenriched, raw</t>
        </is>
      </c>
      <c r="G171" s="47" t="inlineStr">
        <is>
          <t>closest</t>
        </is>
      </c>
      <c r="H171" s="47" t="n">
        <v>5.95</v>
      </c>
      <c r="I171" s="47" t="inlineStr">
        <is>
          <t>carbohydrate</t>
        </is>
      </c>
      <c r="J171" s="47" t="n">
        <v>76.688</v>
      </c>
      <c r="K171" s="47" t="inlineStr">
        <is>
          <t>g</t>
        </is>
      </c>
      <c r="L171" s="47" t="n"/>
      <c r="M171" s="47" t="n"/>
      <c r="N171" s="47" t="n"/>
      <c r="O171" s="47" t="n"/>
      <c r="P171" s="47" t="n"/>
      <c r="Q171" s="47" t="inlineStr">
        <is>
          <t>NC: Calculated</t>
        </is>
      </c>
      <c r="R171" s="48">
        <f>IF(OR($A171="",$J171=""),"",IFERROR(VLOOKUP(I171,'6_資料庫比對'!$A$6:$C$12,2,FALSE),""))</f>
        <v/>
      </c>
      <c r="S171" s="49">
        <f>IF(OR($A171="",$J171=""),"",IFERROR(VLOOKUP(I171,'6_資料庫比對'!$A$6:$C$12,3,FALSE),""))</f>
        <v/>
      </c>
      <c r="T171" s="50">
        <f>IF(OR($A171="",$J171=""),"",MAX(0,IF(AND(N171&lt;&gt;"",O171&lt;&gt;""),MIN(J171-MAX(R171*ABS(J171),S171),N171),IF(AND(M171&lt;&gt;"",N(L171)&gt;=2),MIN(J171-MAX(R171*ABS(J171),S171),J171-2*M171),J171-MAX(R171*ABS(J171),S171)))))</f>
        <v/>
      </c>
      <c r="U171" s="50">
        <f>IF(OR($A171="",$J171=""),"",IF(AND(N171&lt;&gt;"",O171&lt;&gt;""),MAX(J171+MAX(R171*ABS(J171),S171),O171),IF(AND(M171&lt;&gt;"",N(L171)&gt;=2),MAX(J171+MAX(R171*ABS(J171),S171),J171+2*M171),J171+MAX(R171*ABS(J171),S171))))</f>
        <v/>
      </c>
      <c r="V171" s="51">
        <f>IF(OR($A171="",$J171=""),"",IF(COUNTIFS('6_資料庫比對'!$B$16:$B$25,A171,'6_資料庫比對'!$C$16:$C$25,I171)=0,"",IF(AND(SUMIFS('6_資料庫比對'!$F$16:$F$25,'6_資料庫比對'!$B$16:$B$25,A171,'6_資料庫比對'!$C$16:$C$25,I171)&gt;=T171,SUMIFS('6_資料庫比對'!$F$16:$F$25,'6_資料庫比對'!$B$16:$B$25,A171,'6_資料庫比對'!$C$16:$C$25,I171)&lt;=U171),"✓ 涵蓋","✗ 不涵蓋")))</f>
        <v/>
      </c>
    </row>
    <row r="172">
      <c r="A172" s="47" t="inlineStr">
        <is>
          <t>brown_rice</t>
        </is>
      </c>
      <c r="B172" s="47" t="inlineStr">
        <is>
          <t>糙米（生）</t>
        </is>
      </c>
      <c r="C172" s="47" t="inlineStr">
        <is>
          <t>USDA</t>
        </is>
      </c>
      <c r="D172" s="47" t="inlineStr">
        <is>
          <t>Foundation</t>
        </is>
      </c>
      <c r="E172" s="47" t="n">
        <v>2512380</v>
      </c>
      <c r="F172" s="47" t="inlineStr">
        <is>
          <t>Rice, brown, long grain, unenriched, raw</t>
        </is>
      </c>
      <c r="G172" s="47" t="inlineStr">
        <is>
          <t>closest</t>
        </is>
      </c>
      <c r="H172" s="47" t="n">
        <v>5.95</v>
      </c>
      <c r="I172" s="47" t="inlineStr">
        <is>
          <t>sodium</t>
        </is>
      </c>
      <c r="J172" s="47" t="n">
        <v>0</v>
      </c>
      <c r="K172" s="47" t="inlineStr">
        <is>
          <t>mg</t>
        </is>
      </c>
      <c r="L172" s="47" t="n">
        <v>8</v>
      </c>
      <c r="M172" s="47" t="n"/>
      <c r="N172" s="47" t="n">
        <v>0</v>
      </c>
      <c r="O172" s="47" t="n">
        <v>0</v>
      </c>
      <c r="P172" s="47" t="n">
        <v>0</v>
      </c>
      <c r="Q172" s="47" t="inlineStr">
        <is>
          <t>A: Analytical</t>
        </is>
      </c>
      <c r="R172" s="48">
        <f>IF(OR($A172="",$J172=""),"",IFERROR(VLOOKUP(I172,'6_資料庫比對'!$A$6:$C$12,2,FALSE),""))</f>
        <v/>
      </c>
      <c r="S172" s="49">
        <f>IF(OR($A172="",$J172=""),"",IFERROR(VLOOKUP(I172,'6_資料庫比對'!$A$6:$C$12,3,FALSE),""))</f>
        <v/>
      </c>
      <c r="T172" s="50">
        <f>IF(OR($A172="",$J172=""),"",MAX(0,IF(AND(N172&lt;&gt;"",O172&lt;&gt;""),MIN(J172-MAX(R172*ABS(J172),S172),N172),IF(AND(M172&lt;&gt;"",N(L172)&gt;=2),MIN(J172-MAX(R172*ABS(J172),S172),J172-2*M172),J172-MAX(R172*ABS(J172),S172)))))</f>
        <v/>
      </c>
      <c r="U172" s="50">
        <f>IF(OR($A172="",$J172=""),"",IF(AND(N172&lt;&gt;"",O172&lt;&gt;""),MAX(J172+MAX(R172*ABS(J172),S172),O172),IF(AND(M172&lt;&gt;"",N(L172)&gt;=2),MAX(J172+MAX(R172*ABS(J172),S172),J172+2*M172),J172+MAX(R172*ABS(J172),S172))))</f>
        <v/>
      </c>
      <c r="V172" s="51">
        <f>IF(OR($A172="",$J172=""),"",IF(COUNTIFS('6_資料庫比對'!$B$16:$B$25,A172,'6_資料庫比對'!$C$16:$C$25,I172)=0,"",IF(AND(SUMIFS('6_資料庫比對'!$F$16:$F$25,'6_資料庫比對'!$B$16:$B$25,A172,'6_資料庫比對'!$C$16:$C$25,I172)&gt;=T172,SUMIFS('6_資料庫比對'!$F$16:$F$25,'6_資料庫比對'!$B$16:$B$25,A172,'6_資料庫比對'!$C$16:$C$25,I172)&lt;=U172),"✓ 涵蓋","✗ 不涵蓋")))</f>
        <v/>
      </c>
    </row>
    <row r="173">
      <c r="A173" s="47" t="inlineStr">
        <is>
          <t>brown_rice</t>
        </is>
      </c>
      <c r="B173" s="47" t="inlineStr">
        <is>
          <t>糙米（生）</t>
        </is>
      </c>
      <c r="C173" s="47" t="inlineStr">
        <is>
          <t>TFND</t>
        </is>
      </c>
      <c r="D173" s="47" t="inlineStr">
        <is>
          <t>食品營養成分資料集</t>
        </is>
      </c>
      <c r="E173" s="47" t="inlineStr">
        <is>
          <t>A05013</t>
        </is>
      </c>
      <c r="F173" s="47" t="inlineStr">
        <is>
          <t>糙稉米平均值</t>
        </is>
      </c>
      <c r="G173" s="47" t="inlineStr">
        <is>
          <t>exact</t>
        </is>
      </c>
      <c r="H173" s="47" t="n"/>
      <c r="I173" s="47" t="inlineStr">
        <is>
          <t>water</t>
        </is>
      </c>
      <c r="J173" s="47" t="n">
        <v>12.5</v>
      </c>
      <c r="K173" s="47" t="inlineStr">
        <is>
          <t>g</t>
        </is>
      </c>
      <c r="L173" s="47" t="n">
        <v>1</v>
      </c>
      <c r="M173" s="47" t="n"/>
      <c r="N173" s="47" t="n"/>
      <c r="O173" s="47" t="n"/>
      <c r="P173" s="47" t="n"/>
      <c r="Q173" s="47" t="n"/>
      <c r="R173" s="48">
        <f>IF(OR($A173="",$J173=""),"",IFERROR(VLOOKUP(I173,'6_資料庫比對'!$A$6:$C$12,2,FALSE),""))</f>
        <v/>
      </c>
      <c r="S173" s="49">
        <f>IF(OR($A173="",$J173=""),"",IFERROR(VLOOKUP(I173,'6_資料庫比對'!$A$6:$C$12,3,FALSE),""))</f>
        <v/>
      </c>
      <c r="T173" s="50">
        <f>IF(OR($A173="",$J173=""),"",MAX(0,IF(AND(N173&lt;&gt;"",O173&lt;&gt;""),MIN(J173-MAX(R173*ABS(J173),S173),N173),IF(AND(M173&lt;&gt;"",N(L173)&gt;=2),MIN(J173-MAX(R173*ABS(J173),S173),J173-2*M173),J173-MAX(R173*ABS(J173),S173)))))</f>
        <v/>
      </c>
      <c r="U173" s="50">
        <f>IF(OR($A173="",$J173=""),"",IF(AND(N173&lt;&gt;"",O173&lt;&gt;""),MAX(J173+MAX(R173*ABS(J173),S173),O173),IF(AND(M173&lt;&gt;"",N(L173)&gt;=2),MAX(J173+MAX(R173*ABS(J173),S173),J173+2*M173),J173+MAX(R173*ABS(J173),S173))))</f>
        <v/>
      </c>
      <c r="V173" s="51">
        <f>IF(OR($A173="",$J173=""),"",IF(COUNTIFS('6_資料庫比對'!$B$16:$B$25,A173,'6_資料庫比對'!$C$16:$C$25,I173)=0,"",IF(AND(SUMIFS('6_資料庫比對'!$F$16:$F$25,'6_資料庫比對'!$B$16:$B$25,A173,'6_資料庫比對'!$C$16:$C$25,I173)&gt;=T173,SUMIFS('6_資料庫比對'!$F$16:$F$25,'6_資料庫比對'!$B$16:$B$25,A173,'6_資料庫比對'!$C$16:$C$25,I173)&lt;=U173),"✓ 涵蓋","✗ 不涵蓋")))</f>
        <v/>
      </c>
    </row>
    <row r="174">
      <c r="A174" s="47" t="inlineStr">
        <is>
          <t>brown_rice</t>
        </is>
      </c>
      <c r="B174" s="47" t="inlineStr">
        <is>
          <t>糙米（生）</t>
        </is>
      </c>
      <c r="C174" s="47" t="inlineStr">
        <is>
          <t>TFND</t>
        </is>
      </c>
      <c r="D174" s="47" t="inlineStr">
        <is>
          <t>食品營養成分資料集</t>
        </is>
      </c>
      <c r="E174" s="47" t="inlineStr">
        <is>
          <t>A05013</t>
        </is>
      </c>
      <c r="F174" s="47" t="inlineStr">
        <is>
          <t>糙稉米平均值</t>
        </is>
      </c>
      <c r="G174" s="47" t="inlineStr">
        <is>
          <t>exact</t>
        </is>
      </c>
      <c r="H174" s="47" t="n"/>
      <c r="I174" s="47" t="inlineStr">
        <is>
          <t>protein</t>
        </is>
      </c>
      <c r="J174" s="47" t="n">
        <v>7.4</v>
      </c>
      <c r="K174" s="47" t="inlineStr">
        <is>
          <t>g</t>
        </is>
      </c>
      <c r="L174" s="47" t="n">
        <v>1</v>
      </c>
      <c r="M174" s="47" t="n"/>
      <c r="N174" s="47" t="n"/>
      <c r="O174" s="47" t="n"/>
      <c r="P174" s="47" t="n"/>
      <c r="Q174" s="47" t="n"/>
      <c r="R174" s="48">
        <f>IF(OR($A174="",$J174=""),"",IFERROR(VLOOKUP(I174,'6_資料庫比對'!$A$6:$C$12,2,FALSE),""))</f>
        <v/>
      </c>
      <c r="S174" s="49">
        <f>IF(OR($A174="",$J174=""),"",IFERROR(VLOOKUP(I174,'6_資料庫比對'!$A$6:$C$12,3,FALSE),""))</f>
        <v/>
      </c>
      <c r="T174" s="50">
        <f>IF(OR($A174="",$J174=""),"",MAX(0,IF(AND(N174&lt;&gt;"",O174&lt;&gt;""),MIN(J174-MAX(R174*ABS(J174),S174),N174),IF(AND(M174&lt;&gt;"",N(L174)&gt;=2),MIN(J174-MAX(R174*ABS(J174),S174),J174-2*M174),J174-MAX(R174*ABS(J174),S174)))))</f>
        <v/>
      </c>
      <c r="U174" s="50">
        <f>IF(OR($A174="",$J174=""),"",IF(AND(N174&lt;&gt;"",O174&lt;&gt;""),MAX(J174+MAX(R174*ABS(J174),S174),O174),IF(AND(M174&lt;&gt;"",N(L174)&gt;=2),MAX(J174+MAX(R174*ABS(J174),S174),J174+2*M174),J174+MAX(R174*ABS(J174),S174))))</f>
        <v/>
      </c>
      <c r="V174" s="51">
        <f>IF(OR($A174="",$J174=""),"",IF(COUNTIFS('6_資料庫比對'!$B$16:$B$25,A174,'6_資料庫比對'!$C$16:$C$25,I174)=0,"",IF(AND(SUMIFS('6_資料庫比對'!$F$16:$F$25,'6_資料庫比對'!$B$16:$B$25,A174,'6_資料庫比對'!$C$16:$C$25,I174)&gt;=T174,SUMIFS('6_資料庫比對'!$F$16:$F$25,'6_資料庫比對'!$B$16:$B$25,A174,'6_資料庫比對'!$C$16:$C$25,I174)&lt;=U174),"✓ 涵蓋","✗ 不涵蓋")))</f>
        <v/>
      </c>
    </row>
    <row r="175">
      <c r="A175" s="47" t="inlineStr">
        <is>
          <t>brown_rice</t>
        </is>
      </c>
      <c r="B175" s="47" t="inlineStr">
        <is>
          <t>糙米（生）</t>
        </is>
      </c>
      <c r="C175" s="47" t="inlineStr">
        <is>
          <t>TFND</t>
        </is>
      </c>
      <c r="D175" s="47" t="inlineStr">
        <is>
          <t>食品營養成分資料集</t>
        </is>
      </c>
      <c r="E175" s="47" t="inlineStr">
        <is>
          <t>A05013</t>
        </is>
      </c>
      <c r="F175" s="47" t="inlineStr">
        <is>
          <t>糙稉米平均值</t>
        </is>
      </c>
      <c r="G175" s="47" t="inlineStr">
        <is>
          <t>exact</t>
        </is>
      </c>
      <c r="H175" s="47" t="n"/>
      <c r="I175" s="47" t="inlineStr">
        <is>
          <t>fat</t>
        </is>
      </c>
      <c r="J175" s="47" t="n">
        <v>2.3</v>
      </c>
      <c r="K175" s="47" t="inlineStr">
        <is>
          <t>g</t>
        </is>
      </c>
      <c r="L175" s="47" t="n">
        <v>1</v>
      </c>
      <c r="M175" s="47" t="n"/>
      <c r="N175" s="47" t="n"/>
      <c r="O175" s="47" t="n"/>
      <c r="P175" s="47" t="n"/>
      <c r="Q175" s="47" t="n"/>
      <c r="R175" s="48">
        <f>IF(OR($A175="",$J175=""),"",IFERROR(VLOOKUP(I175,'6_資料庫比對'!$A$6:$C$12,2,FALSE),""))</f>
        <v/>
      </c>
      <c r="S175" s="49">
        <f>IF(OR($A175="",$J175=""),"",IFERROR(VLOOKUP(I175,'6_資料庫比對'!$A$6:$C$12,3,FALSE),""))</f>
        <v/>
      </c>
      <c r="T175" s="50">
        <f>IF(OR($A175="",$J175=""),"",MAX(0,IF(AND(N175&lt;&gt;"",O175&lt;&gt;""),MIN(J175-MAX(R175*ABS(J175),S175),N175),IF(AND(M175&lt;&gt;"",N(L175)&gt;=2),MIN(J175-MAX(R175*ABS(J175),S175),J175-2*M175),J175-MAX(R175*ABS(J175),S175)))))</f>
        <v/>
      </c>
      <c r="U175" s="50">
        <f>IF(OR($A175="",$J175=""),"",IF(AND(N175&lt;&gt;"",O175&lt;&gt;""),MAX(J175+MAX(R175*ABS(J175),S175),O175),IF(AND(M175&lt;&gt;"",N(L175)&gt;=2),MAX(J175+MAX(R175*ABS(J175),S175),J175+2*M175),J175+MAX(R175*ABS(J175),S175))))</f>
        <v/>
      </c>
      <c r="V175" s="51">
        <f>IF(OR($A175="",$J175=""),"",IF(COUNTIFS('6_資料庫比對'!$B$16:$B$25,A175,'6_資料庫比對'!$C$16:$C$25,I175)=0,"",IF(AND(SUMIFS('6_資料庫比對'!$F$16:$F$25,'6_資料庫比對'!$B$16:$B$25,A175,'6_資料庫比對'!$C$16:$C$25,I175)&gt;=T175,SUMIFS('6_資料庫比對'!$F$16:$F$25,'6_資料庫比對'!$B$16:$B$25,A175,'6_資料庫比對'!$C$16:$C$25,I175)&lt;=U175),"✓ 涵蓋","✗ 不涵蓋")))</f>
        <v/>
      </c>
    </row>
    <row r="176">
      <c r="A176" s="47" t="inlineStr">
        <is>
          <t>brown_rice</t>
        </is>
      </c>
      <c r="B176" s="47" t="inlineStr">
        <is>
          <t>糙米（生）</t>
        </is>
      </c>
      <c r="C176" s="47" t="inlineStr">
        <is>
          <t>TFND</t>
        </is>
      </c>
      <c r="D176" s="47" t="inlineStr">
        <is>
          <t>食品營養成分資料集</t>
        </is>
      </c>
      <c r="E176" s="47" t="inlineStr">
        <is>
          <t>A05013</t>
        </is>
      </c>
      <c r="F176" s="47" t="inlineStr">
        <is>
          <t>糙稉米平均值</t>
        </is>
      </c>
      <c r="G176" s="47" t="inlineStr">
        <is>
          <t>exact</t>
        </is>
      </c>
      <c r="H176" s="47" t="n"/>
      <c r="I176" s="47" t="inlineStr">
        <is>
          <t>ash</t>
        </is>
      </c>
      <c r="J176" s="47" t="n">
        <v>1.1</v>
      </c>
      <c r="K176" s="47" t="inlineStr">
        <is>
          <t>g</t>
        </is>
      </c>
      <c r="L176" s="47" t="n">
        <v>1</v>
      </c>
      <c r="M176" s="47" t="n"/>
      <c r="N176" s="47" t="n"/>
      <c r="O176" s="47" t="n"/>
      <c r="P176" s="47" t="n"/>
      <c r="Q176" s="47" t="n"/>
      <c r="R176" s="48">
        <f>IF(OR($A176="",$J176=""),"",IFERROR(VLOOKUP(I176,'6_資料庫比對'!$A$6:$C$12,2,FALSE),""))</f>
        <v/>
      </c>
      <c r="S176" s="49">
        <f>IF(OR($A176="",$J176=""),"",IFERROR(VLOOKUP(I176,'6_資料庫比對'!$A$6:$C$12,3,FALSE),""))</f>
        <v/>
      </c>
      <c r="T176" s="50">
        <f>IF(OR($A176="",$J176=""),"",MAX(0,IF(AND(N176&lt;&gt;"",O176&lt;&gt;""),MIN(J176-MAX(R176*ABS(J176),S176),N176),IF(AND(M176&lt;&gt;"",N(L176)&gt;=2),MIN(J176-MAX(R176*ABS(J176),S176),J176-2*M176),J176-MAX(R176*ABS(J176),S176)))))</f>
        <v/>
      </c>
      <c r="U176" s="50">
        <f>IF(OR($A176="",$J176=""),"",IF(AND(N176&lt;&gt;"",O176&lt;&gt;""),MAX(J176+MAX(R176*ABS(J176),S176),O176),IF(AND(M176&lt;&gt;"",N(L176)&gt;=2),MAX(J176+MAX(R176*ABS(J176),S176),J176+2*M176),J176+MAX(R176*ABS(J176),S176))))</f>
        <v/>
      </c>
      <c r="V176" s="51">
        <f>IF(OR($A176="",$J176=""),"",IF(COUNTIFS('6_資料庫比對'!$B$16:$B$25,A176,'6_資料庫比對'!$C$16:$C$25,I176)=0,"",IF(AND(SUMIFS('6_資料庫比對'!$F$16:$F$25,'6_資料庫比對'!$B$16:$B$25,A176,'6_資料庫比對'!$C$16:$C$25,I176)&gt;=T176,SUMIFS('6_資料庫比對'!$F$16:$F$25,'6_資料庫比對'!$B$16:$B$25,A176,'6_資料庫比對'!$C$16:$C$25,I176)&lt;=U176),"✓ 涵蓋","✗ 不涵蓋")))</f>
        <v/>
      </c>
    </row>
    <row r="177">
      <c r="A177" s="47" t="inlineStr">
        <is>
          <t>brown_rice</t>
        </is>
      </c>
      <c r="B177" s="47" t="inlineStr">
        <is>
          <t>糙米（生）</t>
        </is>
      </c>
      <c r="C177" s="47" t="inlineStr">
        <is>
          <t>TFND</t>
        </is>
      </c>
      <c r="D177" s="47" t="inlineStr">
        <is>
          <t>食品營養成分資料集</t>
        </is>
      </c>
      <c r="E177" s="47" t="inlineStr">
        <is>
          <t>A05013</t>
        </is>
      </c>
      <c r="F177" s="47" t="inlineStr">
        <is>
          <t>糙稉米平均值</t>
        </is>
      </c>
      <c r="G177" s="47" t="inlineStr">
        <is>
          <t>exact</t>
        </is>
      </c>
      <c r="H177" s="47" t="n"/>
      <c r="I177" s="47" t="inlineStr">
        <is>
          <t>carbohydrate</t>
        </is>
      </c>
      <c r="J177" s="47" t="n">
        <v>76.59999999999999</v>
      </c>
      <c r="K177" s="47" t="inlineStr">
        <is>
          <t>g</t>
        </is>
      </c>
      <c r="L177" s="47" t="n"/>
      <c r="M177" s="47" t="n"/>
      <c r="N177" s="47" t="n"/>
      <c r="O177" s="47" t="n"/>
      <c r="P177" s="47" t="n"/>
      <c r="Q177" s="47" t="n"/>
      <c r="R177" s="48">
        <f>IF(OR($A177="",$J177=""),"",IFERROR(VLOOKUP(I177,'6_資料庫比對'!$A$6:$C$12,2,FALSE),""))</f>
        <v/>
      </c>
      <c r="S177" s="49">
        <f>IF(OR($A177="",$J177=""),"",IFERROR(VLOOKUP(I177,'6_資料庫比對'!$A$6:$C$12,3,FALSE),""))</f>
        <v/>
      </c>
      <c r="T177" s="50">
        <f>IF(OR($A177="",$J177=""),"",MAX(0,IF(AND(N177&lt;&gt;"",O177&lt;&gt;""),MIN(J177-MAX(R177*ABS(J177),S177),N177),IF(AND(M177&lt;&gt;"",N(L177)&gt;=2),MIN(J177-MAX(R177*ABS(J177),S177),J177-2*M177),J177-MAX(R177*ABS(J177),S177)))))</f>
        <v/>
      </c>
      <c r="U177" s="50">
        <f>IF(OR($A177="",$J177=""),"",IF(AND(N177&lt;&gt;"",O177&lt;&gt;""),MAX(J177+MAX(R177*ABS(J177),S177),O177),IF(AND(M177&lt;&gt;"",N(L177)&gt;=2),MAX(J177+MAX(R177*ABS(J177),S177),J177+2*M177),J177+MAX(R177*ABS(J177),S177))))</f>
        <v/>
      </c>
      <c r="V177" s="51">
        <f>IF(OR($A177="",$J177=""),"",IF(COUNTIFS('6_資料庫比對'!$B$16:$B$25,A177,'6_資料庫比對'!$C$16:$C$25,I177)=0,"",IF(AND(SUMIFS('6_資料庫比對'!$F$16:$F$25,'6_資料庫比對'!$B$16:$B$25,A177,'6_資料庫比對'!$C$16:$C$25,I177)&gt;=T177,SUMIFS('6_資料庫比對'!$F$16:$F$25,'6_資料庫比對'!$B$16:$B$25,A177,'6_資料庫比對'!$C$16:$C$25,I177)&lt;=U177),"✓ 涵蓋","✗ 不涵蓋")))</f>
        <v/>
      </c>
    </row>
    <row r="178">
      <c r="A178" s="47" t="inlineStr">
        <is>
          <t>brown_rice</t>
        </is>
      </c>
      <c r="B178" s="47" t="inlineStr">
        <is>
          <t>糙米（生）</t>
        </is>
      </c>
      <c r="C178" s="47" t="inlineStr">
        <is>
          <t>TFND</t>
        </is>
      </c>
      <c r="D178" s="47" t="inlineStr">
        <is>
          <t>食品營養成分資料集</t>
        </is>
      </c>
      <c r="E178" s="47" t="inlineStr">
        <is>
          <t>A05013</t>
        </is>
      </c>
      <c r="F178" s="47" t="inlineStr">
        <is>
          <t>糙稉米平均值</t>
        </is>
      </c>
      <c r="G178" s="47" t="inlineStr">
        <is>
          <t>exact</t>
        </is>
      </c>
      <c r="H178" s="47" t="n"/>
      <c r="I178" s="47" t="inlineStr">
        <is>
          <t>sugars_total</t>
        </is>
      </c>
      <c r="J178" s="47" t="n">
        <v>0.5</v>
      </c>
      <c r="K178" s="47" t="inlineStr">
        <is>
          <t>g</t>
        </is>
      </c>
      <c r="L178" s="47" t="n"/>
      <c r="M178" s="47" t="n"/>
      <c r="N178" s="47" t="n"/>
      <c r="O178" s="47" t="n"/>
      <c r="P178" s="47" t="n"/>
      <c r="Q178" s="47" t="n"/>
      <c r="R178" s="48">
        <f>IF(OR($A178="",$J178=""),"",IFERROR(VLOOKUP(I178,'6_資料庫比對'!$A$6:$C$12,2,FALSE),""))</f>
        <v/>
      </c>
      <c r="S178" s="49">
        <f>IF(OR($A178="",$J178=""),"",IFERROR(VLOOKUP(I178,'6_資料庫比對'!$A$6:$C$12,3,FALSE),""))</f>
        <v/>
      </c>
      <c r="T178" s="50">
        <f>IF(OR($A178="",$J178=""),"",MAX(0,IF(AND(N178&lt;&gt;"",O178&lt;&gt;""),MIN(J178-MAX(R178*ABS(J178),S178),N178),IF(AND(M178&lt;&gt;"",N(L178)&gt;=2),MIN(J178-MAX(R178*ABS(J178),S178),J178-2*M178),J178-MAX(R178*ABS(J178),S178)))))</f>
        <v/>
      </c>
      <c r="U178" s="50">
        <f>IF(OR($A178="",$J178=""),"",IF(AND(N178&lt;&gt;"",O178&lt;&gt;""),MAX(J178+MAX(R178*ABS(J178),S178),O178),IF(AND(M178&lt;&gt;"",N(L178)&gt;=2),MAX(J178+MAX(R178*ABS(J178),S178),J178+2*M178),J178+MAX(R178*ABS(J178),S178))))</f>
        <v/>
      </c>
      <c r="V178" s="51">
        <f>IF(OR($A178="",$J178=""),"",IF(COUNTIFS('6_資料庫比對'!$B$16:$B$25,A178,'6_資料庫比對'!$C$16:$C$25,I178)=0,"",IF(AND(SUMIFS('6_資料庫比對'!$F$16:$F$25,'6_資料庫比對'!$B$16:$B$25,A178,'6_資料庫比對'!$C$16:$C$25,I178)&gt;=T178,SUMIFS('6_資料庫比對'!$F$16:$F$25,'6_資料庫比對'!$B$16:$B$25,A178,'6_資料庫比對'!$C$16:$C$25,I178)&lt;=U178),"✓ 涵蓋","✗ 不涵蓋")))</f>
        <v/>
      </c>
    </row>
    <row r="179">
      <c r="A179" s="47" t="inlineStr">
        <is>
          <t>brown_rice</t>
        </is>
      </c>
      <c r="B179" s="47" t="inlineStr">
        <is>
          <t>糙米（生）</t>
        </is>
      </c>
      <c r="C179" s="47" t="inlineStr">
        <is>
          <t>TFND</t>
        </is>
      </c>
      <c r="D179" s="47" t="inlineStr">
        <is>
          <t>食品營養成分資料集</t>
        </is>
      </c>
      <c r="E179" s="47" t="inlineStr">
        <is>
          <t>A05013</t>
        </is>
      </c>
      <c r="F179" s="47" t="inlineStr">
        <is>
          <t>糙稉米平均值</t>
        </is>
      </c>
      <c r="G179" s="47" t="inlineStr">
        <is>
          <t>exact</t>
        </is>
      </c>
      <c r="H179" s="47" t="n"/>
      <c r="I179" s="47" t="inlineStr">
        <is>
          <t>sodium</t>
        </is>
      </c>
      <c r="J179" s="47" t="n">
        <v>3</v>
      </c>
      <c r="K179" s="47" t="inlineStr">
        <is>
          <t>mg</t>
        </is>
      </c>
      <c r="L179" s="47" t="n">
        <v>1</v>
      </c>
      <c r="M179" s="47" t="n"/>
      <c r="N179" s="47" t="n"/>
      <c r="O179" s="47" t="n"/>
      <c r="P179" s="47" t="n"/>
      <c r="Q179" s="47" t="n"/>
      <c r="R179" s="48">
        <f>IF(OR($A179="",$J179=""),"",IFERROR(VLOOKUP(I179,'6_資料庫比對'!$A$6:$C$12,2,FALSE),""))</f>
        <v/>
      </c>
      <c r="S179" s="49">
        <f>IF(OR($A179="",$J179=""),"",IFERROR(VLOOKUP(I179,'6_資料庫比對'!$A$6:$C$12,3,FALSE),""))</f>
        <v/>
      </c>
      <c r="T179" s="50">
        <f>IF(OR($A179="",$J179=""),"",MAX(0,IF(AND(N179&lt;&gt;"",O179&lt;&gt;""),MIN(J179-MAX(R179*ABS(J179),S179),N179),IF(AND(M179&lt;&gt;"",N(L179)&gt;=2),MIN(J179-MAX(R179*ABS(J179),S179),J179-2*M179),J179-MAX(R179*ABS(J179),S179)))))</f>
        <v/>
      </c>
      <c r="U179" s="50">
        <f>IF(OR($A179="",$J179=""),"",IF(AND(N179&lt;&gt;"",O179&lt;&gt;""),MAX(J179+MAX(R179*ABS(J179),S179),O179),IF(AND(M179&lt;&gt;"",N(L179)&gt;=2),MAX(J179+MAX(R179*ABS(J179),S179),J179+2*M179),J179+MAX(R179*ABS(J179),S179))))</f>
        <v/>
      </c>
      <c r="V179" s="51">
        <f>IF(OR($A179="",$J179=""),"",IF(COUNTIFS('6_資料庫比對'!$B$16:$B$25,A179,'6_資料庫比對'!$C$16:$C$25,I179)=0,"",IF(AND(SUMIFS('6_資料庫比對'!$F$16:$F$25,'6_資料庫比對'!$B$16:$B$25,A179,'6_資料庫比對'!$C$16:$C$25,I179)&gt;=T179,SUMIFS('6_資料庫比對'!$F$16:$F$25,'6_資料庫比對'!$B$16:$B$25,A179,'6_資料庫比對'!$C$16:$C$25,I179)&lt;=U179),"✓ 涵蓋","✗ 不涵蓋")))</f>
        <v/>
      </c>
    </row>
    <row r="180">
      <c r="A180" s="47" t="inlineStr">
        <is>
          <t>white_rice</t>
        </is>
      </c>
      <c r="B180" s="47" t="inlineStr">
        <is>
          <t>白米（生）</t>
        </is>
      </c>
      <c r="C180" s="47" t="inlineStr">
        <is>
          <t>USDA</t>
        </is>
      </c>
      <c r="D180" s="47" t="inlineStr">
        <is>
          <t>SR Legacy</t>
        </is>
      </c>
      <c r="E180" s="47" t="n">
        <v>169756</v>
      </c>
      <c r="F180" s="47" t="inlineStr">
        <is>
          <t>Rice, white, long-grain, regular, raw, unenriched</t>
        </is>
      </c>
      <c r="G180" s="47" t="inlineStr">
        <is>
          <t>closest</t>
        </is>
      </c>
      <c r="H180" s="47" t="n">
        <v>5.95</v>
      </c>
      <c r="I180" s="47" t="inlineStr">
        <is>
          <t>water</t>
        </is>
      </c>
      <c r="J180" s="47" t="n">
        <v>11.62</v>
      </c>
      <c r="K180" s="47" t="inlineStr">
        <is>
          <t>g</t>
        </is>
      </c>
      <c r="L180" s="47" t="n">
        <v>58</v>
      </c>
      <c r="M180" s="47" t="n"/>
      <c r="N180" s="47" t="n"/>
      <c r="O180" s="47" t="n"/>
      <c r="P180" s="47" t="n"/>
      <c r="Q180" s="47" t="n"/>
      <c r="R180" s="48">
        <f>IF(OR($A180="",$J180=""),"",IFERROR(VLOOKUP(I180,'6_資料庫比對'!$A$6:$C$12,2,FALSE),""))</f>
        <v/>
      </c>
      <c r="S180" s="49">
        <f>IF(OR($A180="",$J180=""),"",IFERROR(VLOOKUP(I180,'6_資料庫比對'!$A$6:$C$12,3,FALSE),""))</f>
        <v/>
      </c>
      <c r="T180" s="50">
        <f>IF(OR($A180="",$J180=""),"",MAX(0,IF(AND(N180&lt;&gt;"",O180&lt;&gt;""),MIN(J180-MAX(R180*ABS(J180),S180),N180),IF(AND(M180&lt;&gt;"",N(L180)&gt;=2),MIN(J180-MAX(R180*ABS(J180),S180),J180-2*M180),J180-MAX(R180*ABS(J180),S180)))))</f>
        <v/>
      </c>
      <c r="U180" s="50">
        <f>IF(OR($A180="",$J180=""),"",IF(AND(N180&lt;&gt;"",O180&lt;&gt;""),MAX(J180+MAX(R180*ABS(J180),S180),O180),IF(AND(M180&lt;&gt;"",N(L180)&gt;=2),MAX(J180+MAX(R180*ABS(J180),S180),J180+2*M180),J180+MAX(R180*ABS(J180),S180))))</f>
        <v/>
      </c>
      <c r="V180" s="51">
        <f>IF(OR($A180="",$J180=""),"",IF(COUNTIFS('6_資料庫比對'!$B$16:$B$25,A180,'6_資料庫比對'!$C$16:$C$25,I180)=0,"",IF(AND(SUMIFS('6_資料庫比對'!$F$16:$F$25,'6_資料庫比對'!$B$16:$B$25,A180,'6_資料庫比對'!$C$16:$C$25,I180)&gt;=T180,SUMIFS('6_資料庫比對'!$F$16:$F$25,'6_資料庫比對'!$B$16:$B$25,A180,'6_資料庫比對'!$C$16:$C$25,I180)&lt;=U180),"✓ 涵蓋","✗ 不涵蓋")))</f>
        <v/>
      </c>
    </row>
    <row r="181">
      <c r="A181" s="47" t="inlineStr">
        <is>
          <t>white_rice</t>
        </is>
      </c>
      <c r="B181" s="47" t="inlineStr">
        <is>
          <t>白米（生）</t>
        </is>
      </c>
      <c r="C181" s="47" t="inlineStr">
        <is>
          <t>USDA</t>
        </is>
      </c>
      <c r="D181" s="47" t="inlineStr">
        <is>
          <t>SR Legacy</t>
        </is>
      </c>
      <c r="E181" s="47" t="n">
        <v>169756</v>
      </c>
      <c r="F181" s="47" t="inlineStr">
        <is>
          <t>Rice, white, long-grain, regular, raw, unenriched</t>
        </is>
      </c>
      <c r="G181" s="47" t="inlineStr">
        <is>
          <t>closest</t>
        </is>
      </c>
      <c r="H181" s="47" t="n">
        <v>5.95</v>
      </c>
      <c r="I181" s="47" t="inlineStr">
        <is>
          <t>protein</t>
        </is>
      </c>
      <c r="J181" s="47" t="n">
        <v>7.13</v>
      </c>
      <c r="K181" s="47" t="inlineStr">
        <is>
          <t>g</t>
        </is>
      </c>
      <c r="L181" s="47" t="n">
        <v>70</v>
      </c>
      <c r="M181" s="47" t="n"/>
      <c r="N181" s="47" t="n"/>
      <c r="O181" s="47" t="n"/>
      <c r="P181" s="47" t="n"/>
      <c r="Q181" s="47" t="n"/>
      <c r="R181" s="48">
        <f>IF(OR($A181="",$J181=""),"",IFERROR(VLOOKUP(I181,'6_資料庫比對'!$A$6:$C$12,2,FALSE),""))</f>
        <v/>
      </c>
      <c r="S181" s="49">
        <f>IF(OR($A181="",$J181=""),"",IFERROR(VLOOKUP(I181,'6_資料庫比對'!$A$6:$C$12,3,FALSE),""))</f>
        <v/>
      </c>
      <c r="T181" s="50">
        <f>IF(OR($A181="",$J181=""),"",MAX(0,IF(AND(N181&lt;&gt;"",O181&lt;&gt;""),MIN(J181-MAX(R181*ABS(J181),S181),N181),IF(AND(M181&lt;&gt;"",N(L181)&gt;=2),MIN(J181-MAX(R181*ABS(J181),S181),J181-2*M181),J181-MAX(R181*ABS(J181),S181)))))</f>
        <v/>
      </c>
      <c r="U181" s="50">
        <f>IF(OR($A181="",$J181=""),"",IF(AND(N181&lt;&gt;"",O181&lt;&gt;""),MAX(J181+MAX(R181*ABS(J181),S181),O181),IF(AND(M181&lt;&gt;"",N(L181)&gt;=2),MAX(J181+MAX(R181*ABS(J181),S181),J181+2*M181),J181+MAX(R181*ABS(J181),S181))))</f>
        <v/>
      </c>
      <c r="V181" s="51">
        <f>IF(OR($A181="",$J181=""),"",IF(COUNTIFS('6_資料庫比對'!$B$16:$B$25,A181,'6_資料庫比對'!$C$16:$C$25,I181)=0,"",IF(AND(SUMIFS('6_資料庫比對'!$F$16:$F$25,'6_資料庫比對'!$B$16:$B$25,A181,'6_資料庫比對'!$C$16:$C$25,I181)&gt;=T181,SUMIFS('6_資料庫比對'!$F$16:$F$25,'6_資料庫比對'!$B$16:$B$25,A181,'6_資料庫比對'!$C$16:$C$25,I181)&lt;=U181),"✓ 涵蓋","✗ 不涵蓋")))</f>
        <v/>
      </c>
    </row>
    <row r="182">
      <c r="A182" s="47" t="inlineStr">
        <is>
          <t>white_rice</t>
        </is>
      </c>
      <c r="B182" s="47" t="inlineStr">
        <is>
          <t>白米（生）</t>
        </is>
      </c>
      <c r="C182" s="47" t="inlineStr">
        <is>
          <t>USDA</t>
        </is>
      </c>
      <c r="D182" s="47" t="inlineStr">
        <is>
          <t>SR Legacy</t>
        </is>
      </c>
      <c r="E182" s="47" t="n">
        <v>169756</v>
      </c>
      <c r="F182" s="47" t="inlineStr">
        <is>
          <t>Rice, white, long-grain, regular, raw, unenriched</t>
        </is>
      </c>
      <c r="G182" s="47" t="inlineStr">
        <is>
          <t>closest</t>
        </is>
      </c>
      <c r="H182" s="47" t="n">
        <v>5.95</v>
      </c>
      <c r="I182" s="47" t="inlineStr">
        <is>
          <t>fat</t>
        </is>
      </c>
      <c r="J182" s="47" t="n">
        <v>0.66</v>
      </c>
      <c r="K182" s="47" t="inlineStr">
        <is>
          <t>g</t>
        </is>
      </c>
      <c r="L182" s="47" t="n">
        <v>23</v>
      </c>
      <c r="M182" s="47" t="n"/>
      <c r="N182" s="47" t="n"/>
      <c r="O182" s="47" t="n"/>
      <c r="P182" s="47" t="n"/>
      <c r="Q182" s="47" t="n"/>
      <c r="R182" s="48">
        <f>IF(OR($A182="",$J182=""),"",IFERROR(VLOOKUP(I182,'6_資料庫比對'!$A$6:$C$12,2,FALSE),""))</f>
        <v/>
      </c>
      <c r="S182" s="49">
        <f>IF(OR($A182="",$J182=""),"",IFERROR(VLOOKUP(I182,'6_資料庫比對'!$A$6:$C$12,3,FALSE),""))</f>
        <v/>
      </c>
      <c r="T182" s="50">
        <f>IF(OR($A182="",$J182=""),"",MAX(0,IF(AND(N182&lt;&gt;"",O182&lt;&gt;""),MIN(J182-MAX(R182*ABS(J182),S182),N182),IF(AND(M182&lt;&gt;"",N(L182)&gt;=2),MIN(J182-MAX(R182*ABS(J182),S182),J182-2*M182),J182-MAX(R182*ABS(J182),S182)))))</f>
        <v/>
      </c>
      <c r="U182" s="50">
        <f>IF(OR($A182="",$J182=""),"",IF(AND(N182&lt;&gt;"",O182&lt;&gt;""),MAX(J182+MAX(R182*ABS(J182),S182),O182),IF(AND(M182&lt;&gt;"",N(L182)&gt;=2),MAX(J182+MAX(R182*ABS(J182),S182),J182+2*M182),J182+MAX(R182*ABS(J182),S182))))</f>
        <v/>
      </c>
      <c r="V182" s="51">
        <f>IF(OR($A182="",$J182=""),"",IF(COUNTIFS('6_資料庫比對'!$B$16:$B$25,A182,'6_資料庫比對'!$C$16:$C$25,I182)=0,"",IF(AND(SUMIFS('6_資料庫比對'!$F$16:$F$25,'6_資料庫比對'!$B$16:$B$25,A182,'6_資料庫比對'!$C$16:$C$25,I182)&gt;=T182,SUMIFS('6_資料庫比對'!$F$16:$F$25,'6_資料庫比對'!$B$16:$B$25,A182,'6_資料庫比對'!$C$16:$C$25,I182)&lt;=U182),"✓ 涵蓋","✗ 不涵蓋")))</f>
        <v/>
      </c>
    </row>
    <row r="183">
      <c r="A183" s="47" t="inlineStr">
        <is>
          <t>white_rice</t>
        </is>
      </c>
      <c r="B183" s="47" t="inlineStr">
        <is>
          <t>白米（生）</t>
        </is>
      </c>
      <c r="C183" s="47" t="inlineStr">
        <is>
          <t>USDA</t>
        </is>
      </c>
      <c r="D183" s="47" t="inlineStr">
        <is>
          <t>SR Legacy</t>
        </is>
      </c>
      <c r="E183" s="47" t="n">
        <v>169756</v>
      </c>
      <c r="F183" s="47" t="inlineStr">
        <is>
          <t>Rice, white, long-grain, regular, raw, unenriched</t>
        </is>
      </c>
      <c r="G183" s="47" t="inlineStr">
        <is>
          <t>closest</t>
        </is>
      </c>
      <c r="H183" s="47" t="n">
        <v>5.95</v>
      </c>
      <c r="I183" s="47" t="inlineStr">
        <is>
          <t>ash</t>
        </is>
      </c>
      <c r="J183" s="47" t="n">
        <v>0.64</v>
      </c>
      <c r="K183" s="47" t="inlineStr">
        <is>
          <t>g</t>
        </is>
      </c>
      <c r="L183" s="47" t="n">
        <v>60</v>
      </c>
      <c r="M183" s="47" t="n"/>
      <c r="N183" s="47" t="n"/>
      <c r="O183" s="47" t="n"/>
      <c r="P183" s="47" t="n"/>
      <c r="Q183" s="47" t="n"/>
      <c r="R183" s="48">
        <f>IF(OR($A183="",$J183=""),"",IFERROR(VLOOKUP(I183,'6_資料庫比對'!$A$6:$C$12,2,FALSE),""))</f>
        <v/>
      </c>
      <c r="S183" s="49">
        <f>IF(OR($A183="",$J183=""),"",IFERROR(VLOOKUP(I183,'6_資料庫比對'!$A$6:$C$12,3,FALSE),""))</f>
        <v/>
      </c>
      <c r="T183" s="50">
        <f>IF(OR($A183="",$J183=""),"",MAX(0,IF(AND(N183&lt;&gt;"",O183&lt;&gt;""),MIN(J183-MAX(R183*ABS(J183),S183),N183),IF(AND(M183&lt;&gt;"",N(L183)&gt;=2),MIN(J183-MAX(R183*ABS(J183),S183),J183-2*M183),J183-MAX(R183*ABS(J183),S183)))))</f>
        <v/>
      </c>
      <c r="U183" s="50">
        <f>IF(OR($A183="",$J183=""),"",IF(AND(N183&lt;&gt;"",O183&lt;&gt;""),MAX(J183+MAX(R183*ABS(J183),S183),O183),IF(AND(M183&lt;&gt;"",N(L183)&gt;=2),MAX(J183+MAX(R183*ABS(J183),S183),J183+2*M183),J183+MAX(R183*ABS(J183),S183))))</f>
        <v/>
      </c>
      <c r="V183" s="51">
        <f>IF(OR($A183="",$J183=""),"",IF(COUNTIFS('6_資料庫比對'!$B$16:$B$25,A183,'6_資料庫比對'!$C$16:$C$25,I183)=0,"",IF(AND(SUMIFS('6_資料庫比對'!$F$16:$F$25,'6_資料庫比對'!$B$16:$B$25,A183,'6_資料庫比對'!$C$16:$C$25,I183)&gt;=T183,SUMIFS('6_資料庫比對'!$F$16:$F$25,'6_資料庫比對'!$B$16:$B$25,A183,'6_資料庫比對'!$C$16:$C$25,I183)&lt;=U183),"✓ 涵蓋","✗ 不涵蓋")))</f>
        <v/>
      </c>
    </row>
    <row r="184">
      <c r="A184" s="47" t="inlineStr">
        <is>
          <t>white_rice</t>
        </is>
      </c>
      <c r="B184" s="47" t="inlineStr">
        <is>
          <t>白米（生）</t>
        </is>
      </c>
      <c r="C184" s="47" t="inlineStr">
        <is>
          <t>USDA</t>
        </is>
      </c>
      <c r="D184" s="47" t="inlineStr">
        <is>
          <t>SR Legacy</t>
        </is>
      </c>
      <c r="E184" s="47" t="n">
        <v>169756</v>
      </c>
      <c r="F184" s="47" t="inlineStr">
        <is>
          <t>Rice, white, long-grain, regular, raw, unenriched</t>
        </is>
      </c>
      <c r="G184" s="47" t="inlineStr">
        <is>
          <t>closest</t>
        </is>
      </c>
      <c r="H184" s="47" t="n">
        <v>5.95</v>
      </c>
      <c r="I184" s="47" t="inlineStr">
        <is>
          <t>carbohydrate</t>
        </is>
      </c>
      <c r="J184" s="47" t="n">
        <v>79.95</v>
      </c>
      <c r="K184" s="47" t="inlineStr">
        <is>
          <t>g</t>
        </is>
      </c>
      <c r="L184" s="47" t="n">
        <v>0</v>
      </c>
      <c r="M184" s="47" t="n"/>
      <c r="N184" s="47" t="n"/>
      <c r="O184" s="47" t="n"/>
      <c r="P184" s="47" t="n"/>
      <c r="Q184" s="47" t="inlineStr">
        <is>
          <t>NC: Calculated</t>
        </is>
      </c>
      <c r="R184" s="48">
        <f>IF(OR($A184="",$J184=""),"",IFERROR(VLOOKUP(I184,'6_資料庫比對'!$A$6:$C$12,2,FALSE),""))</f>
        <v/>
      </c>
      <c r="S184" s="49">
        <f>IF(OR($A184="",$J184=""),"",IFERROR(VLOOKUP(I184,'6_資料庫比對'!$A$6:$C$12,3,FALSE),""))</f>
        <v/>
      </c>
      <c r="T184" s="50">
        <f>IF(OR($A184="",$J184=""),"",MAX(0,IF(AND(N184&lt;&gt;"",O184&lt;&gt;""),MIN(J184-MAX(R184*ABS(J184),S184),N184),IF(AND(M184&lt;&gt;"",N(L184)&gt;=2),MIN(J184-MAX(R184*ABS(J184),S184),J184-2*M184),J184-MAX(R184*ABS(J184),S184)))))</f>
        <v/>
      </c>
      <c r="U184" s="50">
        <f>IF(OR($A184="",$J184=""),"",IF(AND(N184&lt;&gt;"",O184&lt;&gt;""),MAX(J184+MAX(R184*ABS(J184),S184),O184),IF(AND(M184&lt;&gt;"",N(L184)&gt;=2),MAX(J184+MAX(R184*ABS(J184),S184),J184+2*M184),J184+MAX(R184*ABS(J184),S184))))</f>
        <v/>
      </c>
      <c r="V184" s="51">
        <f>IF(OR($A184="",$J184=""),"",IF(COUNTIFS('6_資料庫比對'!$B$16:$B$25,A184,'6_資料庫比對'!$C$16:$C$25,I184)=0,"",IF(AND(SUMIFS('6_資料庫比對'!$F$16:$F$25,'6_資料庫比對'!$B$16:$B$25,A184,'6_資料庫比對'!$C$16:$C$25,I184)&gt;=T184,SUMIFS('6_資料庫比對'!$F$16:$F$25,'6_資料庫比對'!$B$16:$B$25,A184,'6_資料庫比對'!$C$16:$C$25,I184)&lt;=U184),"✓ 涵蓋","✗ 不涵蓋")))</f>
        <v/>
      </c>
    </row>
    <row r="185">
      <c r="A185" s="47" t="inlineStr">
        <is>
          <t>white_rice</t>
        </is>
      </c>
      <c r="B185" s="47" t="inlineStr">
        <is>
          <t>白米（生）</t>
        </is>
      </c>
      <c r="C185" s="47" t="inlineStr">
        <is>
          <t>USDA</t>
        </is>
      </c>
      <c r="D185" s="47" t="inlineStr">
        <is>
          <t>SR Legacy</t>
        </is>
      </c>
      <c r="E185" s="47" t="n">
        <v>169756</v>
      </c>
      <c r="F185" s="47" t="inlineStr">
        <is>
          <t>Rice, white, long-grain, regular, raw, unenriched</t>
        </is>
      </c>
      <c r="G185" s="47" t="inlineStr">
        <is>
          <t>closest</t>
        </is>
      </c>
      <c r="H185" s="47" t="n">
        <v>5.95</v>
      </c>
      <c r="I185" s="47" t="inlineStr">
        <is>
          <t>sugars_total</t>
        </is>
      </c>
      <c r="J185" s="47" t="n">
        <v>0.12</v>
      </c>
      <c r="K185" s="47" t="inlineStr">
        <is>
          <t>g</t>
        </is>
      </c>
      <c r="L185" s="47" t="n">
        <v>0</v>
      </c>
      <c r="M185" s="47" t="n"/>
      <c r="N185" s="47" t="n"/>
      <c r="O185" s="47" t="n"/>
      <c r="P185" s="47" t="n"/>
      <c r="Q185" s="47" t="inlineStr">
        <is>
          <t>BFZN: Based on another form of the food or similar food; Concentration adjustment; No adjustment; Retention factors not used</t>
        </is>
      </c>
      <c r="R185" s="48">
        <f>IF(OR($A185="",$J185=""),"",IFERROR(VLOOKUP(I185,'6_資料庫比對'!$A$6:$C$12,2,FALSE),""))</f>
        <v/>
      </c>
      <c r="S185" s="49">
        <f>IF(OR($A185="",$J185=""),"",IFERROR(VLOOKUP(I185,'6_資料庫比對'!$A$6:$C$12,3,FALSE),""))</f>
        <v/>
      </c>
      <c r="T185" s="50">
        <f>IF(OR($A185="",$J185=""),"",MAX(0,IF(AND(N185&lt;&gt;"",O185&lt;&gt;""),MIN(J185-MAX(R185*ABS(J185),S185),N185),IF(AND(M185&lt;&gt;"",N(L185)&gt;=2),MIN(J185-MAX(R185*ABS(J185),S185),J185-2*M185),J185-MAX(R185*ABS(J185),S185)))))</f>
        <v/>
      </c>
      <c r="U185" s="50">
        <f>IF(OR($A185="",$J185=""),"",IF(AND(N185&lt;&gt;"",O185&lt;&gt;""),MAX(J185+MAX(R185*ABS(J185),S185),O185),IF(AND(M185&lt;&gt;"",N(L185)&gt;=2),MAX(J185+MAX(R185*ABS(J185),S185),J185+2*M185),J185+MAX(R185*ABS(J185),S185))))</f>
        <v/>
      </c>
      <c r="V185" s="51">
        <f>IF(OR($A185="",$J185=""),"",IF(COUNTIFS('6_資料庫比對'!$B$16:$B$25,A185,'6_資料庫比對'!$C$16:$C$25,I185)=0,"",IF(AND(SUMIFS('6_資料庫比對'!$F$16:$F$25,'6_資料庫比對'!$B$16:$B$25,A185,'6_資料庫比對'!$C$16:$C$25,I185)&gt;=T185,SUMIFS('6_資料庫比對'!$F$16:$F$25,'6_資料庫比對'!$B$16:$B$25,A185,'6_資料庫比對'!$C$16:$C$25,I185)&lt;=U185),"✓ 涵蓋","✗ 不涵蓋")))</f>
        <v/>
      </c>
    </row>
    <row r="186">
      <c r="A186" s="47" t="inlineStr">
        <is>
          <t>white_rice</t>
        </is>
      </c>
      <c r="B186" s="47" t="inlineStr">
        <is>
          <t>白米（生）</t>
        </is>
      </c>
      <c r="C186" s="47" t="inlineStr">
        <is>
          <t>USDA</t>
        </is>
      </c>
      <c r="D186" s="47" t="inlineStr">
        <is>
          <t>SR Legacy</t>
        </is>
      </c>
      <c r="E186" s="47" t="n">
        <v>169756</v>
      </c>
      <c r="F186" s="47" t="inlineStr">
        <is>
          <t>Rice, white, long-grain, regular, raw, unenriched</t>
        </is>
      </c>
      <c r="G186" s="47" t="inlineStr">
        <is>
          <t>closest</t>
        </is>
      </c>
      <c r="H186" s="47" t="n">
        <v>5.95</v>
      </c>
      <c r="I186" s="47" t="inlineStr">
        <is>
          <t>sodium</t>
        </is>
      </c>
      <c r="J186" s="47" t="n">
        <v>5</v>
      </c>
      <c r="K186" s="47" t="inlineStr">
        <is>
          <t>mg</t>
        </is>
      </c>
      <c r="L186" s="47" t="n">
        <v>10</v>
      </c>
      <c r="M186" s="47" t="n"/>
      <c r="N186" s="47" t="n"/>
      <c r="O186" s="47" t="n"/>
      <c r="P186" s="47" t="n"/>
      <c r="Q186" s="47" t="n"/>
      <c r="R186" s="48">
        <f>IF(OR($A186="",$J186=""),"",IFERROR(VLOOKUP(I186,'6_資料庫比對'!$A$6:$C$12,2,FALSE),""))</f>
        <v/>
      </c>
      <c r="S186" s="49">
        <f>IF(OR($A186="",$J186=""),"",IFERROR(VLOOKUP(I186,'6_資料庫比對'!$A$6:$C$12,3,FALSE),""))</f>
        <v/>
      </c>
      <c r="T186" s="50">
        <f>IF(OR($A186="",$J186=""),"",MAX(0,IF(AND(N186&lt;&gt;"",O186&lt;&gt;""),MIN(J186-MAX(R186*ABS(J186),S186),N186),IF(AND(M186&lt;&gt;"",N(L186)&gt;=2),MIN(J186-MAX(R186*ABS(J186),S186),J186-2*M186),J186-MAX(R186*ABS(J186),S186)))))</f>
        <v/>
      </c>
      <c r="U186" s="50">
        <f>IF(OR($A186="",$J186=""),"",IF(AND(N186&lt;&gt;"",O186&lt;&gt;""),MAX(J186+MAX(R186*ABS(J186),S186),O186),IF(AND(M186&lt;&gt;"",N(L186)&gt;=2),MAX(J186+MAX(R186*ABS(J186),S186),J186+2*M186),J186+MAX(R186*ABS(J186),S186))))</f>
        <v/>
      </c>
      <c r="V186" s="51">
        <f>IF(OR($A186="",$J186=""),"",IF(COUNTIFS('6_資料庫比對'!$B$16:$B$25,A186,'6_資料庫比對'!$C$16:$C$25,I186)=0,"",IF(AND(SUMIFS('6_資料庫比對'!$F$16:$F$25,'6_資料庫比對'!$B$16:$B$25,A186,'6_資料庫比對'!$C$16:$C$25,I186)&gt;=T186,SUMIFS('6_資料庫比對'!$F$16:$F$25,'6_資料庫比對'!$B$16:$B$25,A186,'6_資料庫比對'!$C$16:$C$25,I186)&lt;=U186),"✓ 涵蓋","✗ 不涵蓋")))</f>
        <v/>
      </c>
    </row>
    <row r="187">
      <c r="A187" s="47" t="inlineStr">
        <is>
          <t>white_rice</t>
        </is>
      </c>
      <c r="B187" s="47" t="inlineStr">
        <is>
          <t>白米（生）</t>
        </is>
      </c>
      <c r="C187" s="47" t="inlineStr">
        <is>
          <t>USDA</t>
        </is>
      </c>
      <c r="D187" s="47" t="inlineStr">
        <is>
          <t>Foundation</t>
        </is>
      </c>
      <c r="E187" s="47" t="n">
        <v>2512381</v>
      </c>
      <c r="F187" s="47" t="inlineStr">
        <is>
          <t>Rice, white, long grain, unenriched, raw</t>
        </is>
      </c>
      <c r="G187" s="47" t="inlineStr">
        <is>
          <t>closest</t>
        </is>
      </c>
      <c r="H187" s="47" t="n">
        <v>5.95</v>
      </c>
      <c r="I187" s="47" t="inlineStr">
        <is>
          <t>water</t>
        </is>
      </c>
      <c r="J187" s="47" t="n">
        <v>11.19</v>
      </c>
      <c r="K187" s="47" t="inlineStr">
        <is>
          <t>g</t>
        </is>
      </c>
      <c r="L187" s="47" t="n">
        <v>8</v>
      </c>
      <c r="M187" s="47" t="n"/>
      <c r="N187" s="47" t="n">
        <v>10.28</v>
      </c>
      <c r="O187" s="47" t="n">
        <v>12.16</v>
      </c>
      <c r="P187" s="47" t="n">
        <v>11.33</v>
      </c>
      <c r="Q187" s="47" t="inlineStr">
        <is>
          <t>A: Analytical</t>
        </is>
      </c>
      <c r="R187" s="48">
        <f>IF(OR($A187="",$J187=""),"",IFERROR(VLOOKUP(I187,'6_資料庫比對'!$A$6:$C$12,2,FALSE),""))</f>
        <v/>
      </c>
      <c r="S187" s="49">
        <f>IF(OR($A187="",$J187=""),"",IFERROR(VLOOKUP(I187,'6_資料庫比對'!$A$6:$C$12,3,FALSE),""))</f>
        <v/>
      </c>
      <c r="T187" s="50">
        <f>IF(OR($A187="",$J187=""),"",MAX(0,IF(AND(N187&lt;&gt;"",O187&lt;&gt;""),MIN(J187-MAX(R187*ABS(J187),S187),N187),IF(AND(M187&lt;&gt;"",N(L187)&gt;=2),MIN(J187-MAX(R187*ABS(J187),S187),J187-2*M187),J187-MAX(R187*ABS(J187),S187)))))</f>
        <v/>
      </c>
      <c r="U187" s="50">
        <f>IF(OR($A187="",$J187=""),"",IF(AND(N187&lt;&gt;"",O187&lt;&gt;""),MAX(J187+MAX(R187*ABS(J187),S187),O187),IF(AND(M187&lt;&gt;"",N(L187)&gt;=2),MAX(J187+MAX(R187*ABS(J187),S187),J187+2*M187),J187+MAX(R187*ABS(J187),S187))))</f>
        <v/>
      </c>
      <c r="V187" s="51">
        <f>IF(OR($A187="",$J187=""),"",IF(COUNTIFS('6_資料庫比對'!$B$16:$B$25,A187,'6_資料庫比對'!$C$16:$C$25,I187)=0,"",IF(AND(SUMIFS('6_資料庫比對'!$F$16:$F$25,'6_資料庫比對'!$B$16:$B$25,A187,'6_資料庫比對'!$C$16:$C$25,I187)&gt;=T187,SUMIFS('6_資料庫比對'!$F$16:$F$25,'6_資料庫比對'!$B$16:$B$25,A187,'6_資料庫比對'!$C$16:$C$25,I187)&lt;=U187),"✓ 涵蓋","✗ 不涵蓋")))</f>
        <v/>
      </c>
    </row>
    <row r="188">
      <c r="A188" s="47" t="inlineStr">
        <is>
          <t>white_rice</t>
        </is>
      </c>
      <c r="B188" s="47" t="inlineStr">
        <is>
          <t>白米（生）</t>
        </is>
      </c>
      <c r="C188" s="47" t="inlineStr">
        <is>
          <t>USDA</t>
        </is>
      </c>
      <c r="D188" s="47" t="inlineStr">
        <is>
          <t>Foundation</t>
        </is>
      </c>
      <c r="E188" s="47" t="n">
        <v>2512381</v>
      </c>
      <c r="F188" s="47" t="inlineStr">
        <is>
          <t>Rice, white, long grain, unenriched, raw</t>
        </is>
      </c>
      <c r="G188" s="47" t="inlineStr">
        <is>
          <t>closest</t>
        </is>
      </c>
      <c r="H188" s="47" t="n">
        <v>5.95</v>
      </c>
      <c r="I188" s="47" t="inlineStr">
        <is>
          <t>protein</t>
        </is>
      </c>
      <c r="J188" s="47" t="n">
        <v>7.0389</v>
      </c>
      <c r="K188" s="47" t="inlineStr">
        <is>
          <t>g</t>
        </is>
      </c>
      <c r="L188" s="47" t="n"/>
      <c r="M188" s="47" t="n"/>
      <c r="N188" s="47" t="n">
        <v>5.8905</v>
      </c>
      <c r="O188" s="47" t="n">
        <v>8.33</v>
      </c>
      <c r="P188" s="47" t="n">
        <v>6.7533</v>
      </c>
      <c r="Q188" s="47" t="inlineStr">
        <is>
          <t>NC: Calculated</t>
        </is>
      </c>
      <c r="R188" s="48">
        <f>IF(OR($A188="",$J188=""),"",IFERROR(VLOOKUP(I188,'6_資料庫比對'!$A$6:$C$12,2,FALSE),""))</f>
        <v/>
      </c>
      <c r="S188" s="49">
        <f>IF(OR($A188="",$J188=""),"",IFERROR(VLOOKUP(I188,'6_資料庫比對'!$A$6:$C$12,3,FALSE),""))</f>
        <v/>
      </c>
      <c r="T188" s="50">
        <f>IF(OR($A188="",$J188=""),"",MAX(0,IF(AND(N188&lt;&gt;"",O188&lt;&gt;""),MIN(J188-MAX(R188*ABS(J188),S188),N188),IF(AND(M188&lt;&gt;"",N(L188)&gt;=2),MIN(J188-MAX(R188*ABS(J188),S188),J188-2*M188),J188-MAX(R188*ABS(J188),S188)))))</f>
        <v/>
      </c>
      <c r="U188" s="50">
        <f>IF(OR($A188="",$J188=""),"",IF(AND(N188&lt;&gt;"",O188&lt;&gt;""),MAX(J188+MAX(R188*ABS(J188),S188),O188),IF(AND(M188&lt;&gt;"",N(L188)&gt;=2),MAX(J188+MAX(R188*ABS(J188),S188),J188+2*M188),J188+MAX(R188*ABS(J188),S188))))</f>
        <v/>
      </c>
      <c r="V188" s="51">
        <f>IF(OR($A188="",$J188=""),"",IF(COUNTIFS('6_資料庫比對'!$B$16:$B$25,A188,'6_資料庫比對'!$C$16:$C$25,I188)=0,"",IF(AND(SUMIFS('6_資料庫比對'!$F$16:$F$25,'6_資料庫比對'!$B$16:$B$25,A188,'6_資料庫比對'!$C$16:$C$25,I188)&gt;=T188,SUMIFS('6_資料庫比對'!$F$16:$F$25,'6_資料庫比對'!$B$16:$B$25,A188,'6_資料庫比對'!$C$16:$C$25,I188)&lt;=U188),"✓ 涵蓋","✗ 不涵蓋")))</f>
        <v/>
      </c>
    </row>
    <row r="189">
      <c r="A189" s="47" t="inlineStr">
        <is>
          <t>white_rice</t>
        </is>
      </c>
      <c r="B189" s="47" t="inlineStr">
        <is>
          <t>白米（生）</t>
        </is>
      </c>
      <c r="C189" s="47" t="inlineStr">
        <is>
          <t>USDA</t>
        </is>
      </c>
      <c r="D189" s="47" t="inlineStr">
        <is>
          <t>Foundation</t>
        </is>
      </c>
      <c r="E189" s="47" t="n">
        <v>2512381</v>
      </c>
      <c r="F189" s="47" t="inlineStr">
        <is>
          <t>Rice, white, long grain, unenriched, raw</t>
        </is>
      </c>
      <c r="G189" s="47" t="inlineStr">
        <is>
          <t>closest</t>
        </is>
      </c>
      <c r="H189" s="47" t="n">
        <v>5.95</v>
      </c>
      <c r="I189" s="47" t="inlineStr">
        <is>
          <t>fat</t>
        </is>
      </c>
      <c r="J189" s="47" t="n">
        <v>1.033</v>
      </c>
      <c r="K189" s="47" t="inlineStr">
        <is>
          <t>g</t>
        </is>
      </c>
      <c r="L189" s="47" t="n">
        <v>8</v>
      </c>
      <c r="M189" s="47" t="n"/>
      <c r="N189" s="47" t="n">
        <v>0.72</v>
      </c>
      <c r="O189" s="47" t="n">
        <v>1.45</v>
      </c>
      <c r="P189" s="47" t="n">
        <v>1.033</v>
      </c>
      <c r="Q189" s="47" t="inlineStr">
        <is>
          <t>A: Analytical</t>
        </is>
      </c>
      <c r="R189" s="48">
        <f>IF(OR($A189="",$J189=""),"",IFERROR(VLOOKUP(I189,'6_資料庫比對'!$A$6:$C$12,2,FALSE),""))</f>
        <v/>
      </c>
      <c r="S189" s="49">
        <f>IF(OR($A189="",$J189=""),"",IFERROR(VLOOKUP(I189,'6_資料庫比對'!$A$6:$C$12,3,FALSE),""))</f>
        <v/>
      </c>
      <c r="T189" s="50">
        <f>IF(OR($A189="",$J189=""),"",MAX(0,IF(AND(N189&lt;&gt;"",O189&lt;&gt;""),MIN(J189-MAX(R189*ABS(J189),S189),N189),IF(AND(M189&lt;&gt;"",N(L189)&gt;=2),MIN(J189-MAX(R189*ABS(J189),S189),J189-2*M189),J189-MAX(R189*ABS(J189),S189)))))</f>
        <v/>
      </c>
      <c r="U189" s="50">
        <f>IF(OR($A189="",$J189=""),"",IF(AND(N189&lt;&gt;"",O189&lt;&gt;""),MAX(J189+MAX(R189*ABS(J189),S189),O189),IF(AND(M189&lt;&gt;"",N(L189)&gt;=2),MAX(J189+MAX(R189*ABS(J189),S189),J189+2*M189),J189+MAX(R189*ABS(J189),S189))))</f>
        <v/>
      </c>
      <c r="V189" s="51">
        <f>IF(OR($A189="",$J189=""),"",IF(COUNTIFS('6_資料庫比對'!$B$16:$B$25,A189,'6_資料庫比對'!$C$16:$C$25,I189)=0,"",IF(AND(SUMIFS('6_資料庫比對'!$F$16:$F$25,'6_資料庫比對'!$B$16:$B$25,A189,'6_資料庫比對'!$C$16:$C$25,I189)&gt;=T189,SUMIFS('6_資料庫比對'!$F$16:$F$25,'6_資料庫比對'!$B$16:$B$25,A189,'6_資料庫比對'!$C$16:$C$25,I189)&lt;=U189),"✓ 涵蓋","✗ 不涵蓋")))</f>
        <v/>
      </c>
    </row>
    <row r="190">
      <c r="A190" s="47" t="inlineStr">
        <is>
          <t>white_rice</t>
        </is>
      </c>
      <c r="B190" s="47" t="inlineStr">
        <is>
          <t>白米（生）</t>
        </is>
      </c>
      <c r="C190" s="47" t="inlineStr">
        <is>
          <t>USDA</t>
        </is>
      </c>
      <c r="D190" s="47" t="inlineStr">
        <is>
          <t>Foundation</t>
        </is>
      </c>
      <c r="E190" s="47" t="n">
        <v>2512381</v>
      </c>
      <c r="F190" s="47" t="inlineStr">
        <is>
          <t>Rice, white, long grain, unenriched, raw</t>
        </is>
      </c>
      <c r="G190" s="47" t="inlineStr">
        <is>
          <t>closest</t>
        </is>
      </c>
      <c r="H190" s="47" t="n">
        <v>5.95</v>
      </c>
      <c r="I190" s="47" t="inlineStr">
        <is>
          <t>ash</t>
        </is>
      </c>
      <c r="J190" s="47" t="n">
        <v>0.425</v>
      </c>
      <c r="K190" s="47" t="inlineStr">
        <is>
          <t>g</t>
        </is>
      </c>
      <c r="L190" s="47" t="n">
        <v>8</v>
      </c>
      <c r="M190" s="47" t="n"/>
      <c r="N190" s="47" t="n">
        <v>0.2</v>
      </c>
      <c r="O190" s="47" t="n">
        <v>0.61</v>
      </c>
      <c r="P190" s="47" t="n">
        <v>0.385</v>
      </c>
      <c r="Q190" s="47" t="inlineStr">
        <is>
          <t>A: Analytical</t>
        </is>
      </c>
      <c r="R190" s="48">
        <f>IF(OR($A190="",$J190=""),"",IFERROR(VLOOKUP(I190,'6_資料庫比對'!$A$6:$C$12,2,FALSE),""))</f>
        <v/>
      </c>
      <c r="S190" s="49">
        <f>IF(OR($A190="",$J190=""),"",IFERROR(VLOOKUP(I190,'6_資料庫比對'!$A$6:$C$12,3,FALSE),""))</f>
        <v/>
      </c>
      <c r="T190" s="50">
        <f>IF(OR($A190="",$J190=""),"",MAX(0,IF(AND(N190&lt;&gt;"",O190&lt;&gt;""),MIN(J190-MAX(R190*ABS(J190),S190),N190),IF(AND(M190&lt;&gt;"",N(L190)&gt;=2),MIN(J190-MAX(R190*ABS(J190),S190),J190-2*M190),J190-MAX(R190*ABS(J190),S190)))))</f>
        <v/>
      </c>
      <c r="U190" s="50">
        <f>IF(OR($A190="",$J190=""),"",IF(AND(N190&lt;&gt;"",O190&lt;&gt;""),MAX(J190+MAX(R190*ABS(J190),S190),O190),IF(AND(M190&lt;&gt;"",N(L190)&gt;=2),MAX(J190+MAX(R190*ABS(J190),S190),J190+2*M190),J190+MAX(R190*ABS(J190),S190))))</f>
        <v/>
      </c>
      <c r="V190" s="51">
        <f>IF(OR($A190="",$J190=""),"",IF(COUNTIFS('6_資料庫比對'!$B$16:$B$25,A190,'6_資料庫比對'!$C$16:$C$25,I190)=0,"",IF(AND(SUMIFS('6_資料庫比對'!$F$16:$F$25,'6_資料庫比對'!$B$16:$B$25,A190,'6_資料庫比對'!$C$16:$C$25,I190)&gt;=T190,SUMIFS('6_資料庫比對'!$F$16:$F$25,'6_資料庫比對'!$B$16:$B$25,A190,'6_資料庫比對'!$C$16:$C$25,I190)&lt;=U190),"✓ 涵蓋","✗ 不涵蓋")))</f>
        <v/>
      </c>
    </row>
    <row r="191">
      <c r="A191" s="47" t="inlineStr">
        <is>
          <t>white_rice</t>
        </is>
      </c>
      <c r="B191" s="47" t="inlineStr">
        <is>
          <t>白米（生）</t>
        </is>
      </c>
      <c r="C191" s="47" t="inlineStr">
        <is>
          <t>USDA</t>
        </is>
      </c>
      <c r="D191" s="47" t="inlineStr">
        <is>
          <t>Foundation</t>
        </is>
      </c>
      <c r="E191" s="47" t="n">
        <v>2512381</v>
      </c>
      <c r="F191" s="47" t="inlineStr">
        <is>
          <t>Rice, white, long grain, unenriched, raw</t>
        </is>
      </c>
      <c r="G191" s="47" t="inlineStr">
        <is>
          <t>closest</t>
        </is>
      </c>
      <c r="H191" s="47" t="n">
        <v>5.95</v>
      </c>
      <c r="I191" s="47" t="inlineStr">
        <is>
          <t>carbohydrate</t>
        </is>
      </c>
      <c r="J191" s="47" t="n">
        <v>80.31310000000001</v>
      </c>
      <c r="K191" s="47" t="inlineStr">
        <is>
          <t>g</t>
        </is>
      </c>
      <c r="L191" s="47" t="n"/>
      <c r="M191" s="47" t="n"/>
      <c r="N191" s="47" t="n"/>
      <c r="O191" s="47" t="n"/>
      <c r="P191" s="47" t="n"/>
      <c r="Q191" s="47" t="inlineStr">
        <is>
          <t>NC: Calculated</t>
        </is>
      </c>
      <c r="R191" s="48">
        <f>IF(OR($A191="",$J191=""),"",IFERROR(VLOOKUP(I191,'6_資料庫比對'!$A$6:$C$12,2,FALSE),""))</f>
        <v/>
      </c>
      <c r="S191" s="49">
        <f>IF(OR($A191="",$J191=""),"",IFERROR(VLOOKUP(I191,'6_資料庫比對'!$A$6:$C$12,3,FALSE),""))</f>
        <v/>
      </c>
      <c r="T191" s="50">
        <f>IF(OR($A191="",$J191=""),"",MAX(0,IF(AND(N191&lt;&gt;"",O191&lt;&gt;""),MIN(J191-MAX(R191*ABS(J191),S191),N191),IF(AND(M191&lt;&gt;"",N(L191)&gt;=2),MIN(J191-MAX(R191*ABS(J191),S191),J191-2*M191),J191-MAX(R191*ABS(J191),S191)))))</f>
        <v/>
      </c>
      <c r="U191" s="50">
        <f>IF(OR($A191="",$J191=""),"",IF(AND(N191&lt;&gt;"",O191&lt;&gt;""),MAX(J191+MAX(R191*ABS(J191),S191),O191),IF(AND(M191&lt;&gt;"",N(L191)&gt;=2),MAX(J191+MAX(R191*ABS(J191),S191),J191+2*M191),J191+MAX(R191*ABS(J191),S191))))</f>
        <v/>
      </c>
      <c r="V191" s="51">
        <f>IF(OR($A191="",$J191=""),"",IF(COUNTIFS('6_資料庫比對'!$B$16:$B$25,A191,'6_資料庫比對'!$C$16:$C$25,I191)=0,"",IF(AND(SUMIFS('6_資料庫比對'!$F$16:$F$25,'6_資料庫比對'!$B$16:$B$25,A191,'6_資料庫比對'!$C$16:$C$25,I191)&gt;=T191,SUMIFS('6_資料庫比對'!$F$16:$F$25,'6_資料庫比對'!$B$16:$B$25,A191,'6_資料庫比對'!$C$16:$C$25,I191)&lt;=U191),"✓ 涵蓋","✗ 不涵蓋")))</f>
        <v/>
      </c>
    </row>
    <row r="192">
      <c r="A192" s="47" t="inlineStr">
        <is>
          <t>white_rice</t>
        </is>
      </c>
      <c r="B192" s="47" t="inlineStr">
        <is>
          <t>白米（生）</t>
        </is>
      </c>
      <c r="C192" s="47" t="inlineStr">
        <is>
          <t>USDA</t>
        </is>
      </c>
      <c r="D192" s="47" t="inlineStr">
        <is>
          <t>Foundation</t>
        </is>
      </c>
      <c r="E192" s="47" t="n">
        <v>2512381</v>
      </c>
      <c r="F192" s="47" t="inlineStr">
        <is>
          <t>Rice, white, long grain, unenriched, raw</t>
        </is>
      </c>
      <c r="G192" s="47" t="inlineStr">
        <is>
          <t>closest</t>
        </is>
      </c>
      <c r="H192" s="47" t="n">
        <v>5.95</v>
      </c>
      <c r="I192" s="47" t="inlineStr">
        <is>
          <t>sodium</t>
        </is>
      </c>
      <c r="J192" s="47" t="n">
        <v>0.4625</v>
      </c>
      <c r="K192" s="47" t="inlineStr">
        <is>
          <t>mg</t>
        </is>
      </c>
      <c r="L192" s="47" t="n">
        <v>8</v>
      </c>
      <c r="M192" s="47" t="n"/>
      <c r="N192" s="47" t="n">
        <v>0</v>
      </c>
      <c r="O192" s="47" t="n">
        <v>3.7</v>
      </c>
      <c r="P192" s="47" t="n">
        <v>0</v>
      </c>
      <c r="Q192" s="47" t="inlineStr">
        <is>
          <t>A: Analytical</t>
        </is>
      </c>
      <c r="R192" s="48">
        <f>IF(OR($A192="",$J192=""),"",IFERROR(VLOOKUP(I192,'6_資料庫比對'!$A$6:$C$12,2,FALSE),""))</f>
        <v/>
      </c>
      <c r="S192" s="49">
        <f>IF(OR($A192="",$J192=""),"",IFERROR(VLOOKUP(I192,'6_資料庫比對'!$A$6:$C$12,3,FALSE),""))</f>
        <v/>
      </c>
      <c r="T192" s="50">
        <f>IF(OR($A192="",$J192=""),"",MAX(0,IF(AND(N192&lt;&gt;"",O192&lt;&gt;""),MIN(J192-MAX(R192*ABS(J192),S192),N192),IF(AND(M192&lt;&gt;"",N(L192)&gt;=2),MIN(J192-MAX(R192*ABS(J192),S192),J192-2*M192),J192-MAX(R192*ABS(J192),S192)))))</f>
        <v/>
      </c>
      <c r="U192" s="50">
        <f>IF(OR($A192="",$J192=""),"",IF(AND(N192&lt;&gt;"",O192&lt;&gt;""),MAX(J192+MAX(R192*ABS(J192),S192),O192),IF(AND(M192&lt;&gt;"",N(L192)&gt;=2),MAX(J192+MAX(R192*ABS(J192),S192),J192+2*M192),J192+MAX(R192*ABS(J192),S192))))</f>
        <v/>
      </c>
      <c r="V192" s="51">
        <f>IF(OR($A192="",$J192=""),"",IF(COUNTIFS('6_資料庫比對'!$B$16:$B$25,A192,'6_資料庫比對'!$C$16:$C$25,I192)=0,"",IF(AND(SUMIFS('6_資料庫比對'!$F$16:$F$25,'6_資料庫比對'!$B$16:$B$25,A192,'6_資料庫比對'!$C$16:$C$25,I192)&gt;=T192,SUMIFS('6_資料庫比對'!$F$16:$F$25,'6_資料庫比對'!$B$16:$B$25,A192,'6_資料庫比對'!$C$16:$C$25,I192)&lt;=U192),"✓ 涵蓋","✗ 不涵蓋")))</f>
        <v/>
      </c>
    </row>
    <row r="193">
      <c r="A193" s="47" t="inlineStr">
        <is>
          <t>white_rice</t>
        </is>
      </c>
      <c r="B193" s="47" t="inlineStr">
        <is>
          <t>白米（生）</t>
        </is>
      </c>
      <c r="C193" s="47" t="inlineStr">
        <is>
          <t>TFND</t>
        </is>
      </c>
      <c r="D193" s="47" t="inlineStr">
        <is>
          <t>食品營養成分資料集</t>
        </is>
      </c>
      <c r="E193" s="47" t="inlineStr">
        <is>
          <t>A05002</t>
        </is>
      </c>
      <c r="F193" s="47" t="inlineStr">
        <is>
          <t>稉米平均值</t>
        </is>
      </c>
      <c r="G193" s="47" t="inlineStr">
        <is>
          <t>exact</t>
        </is>
      </c>
      <c r="H193" s="47" t="n"/>
      <c r="I193" s="47" t="inlineStr">
        <is>
          <t>water</t>
        </is>
      </c>
      <c r="J193" s="47" t="n">
        <v>14.1</v>
      </c>
      <c r="K193" s="47" t="inlineStr">
        <is>
          <t>g</t>
        </is>
      </c>
      <c r="L193" s="47" t="n">
        <v>10</v>
      </c>
      <c r="M193" s="47" t="n">
        <v>1.6</v>
      </c>
      <c r="N193" s="47" t="n"/>
      <c r="O193" s="47" t="n"/>
      <c r="P193" s="47" t="n"/>
      <c r="Q193" s="47" t="n"/>
      <c r="R193" s="48">
        <f>IF(OR($A193="",$J193=""),"",IFERROR(VLOOKUP(I193,'6_資料庫比對'!$A$6:$C$12,2,FALSE),""))</f>
        <v/>
      </c>
      <c r="S193" s="49">
        <f>IF(OR($A193="",$J193=""),"",IFERROR(VLOOKUP(I193,'6_資料庫比對'!$A$6:$C$12,3,FALSE),""))</f>
        <v/>
      </c>
      <c r="T193" s="50">
        <f>IF(OR($A193="",$J193=""),"",MAX(0,IF(AND(N193&lt;&gt;"",O193&lt;&gt;""),MIN(J193-MAX(R193*ABS(J193),S193),N193),IF(AND(M193&lt;&gt;"",N(L193)&gt;=2),MIN(J193-MAX(R193*ABS(J193),S193),J193-2*M193),J193-MAX(R193*ABS(J193),S193)))))</f>
        <v/>
      </c>
      <c r="U193" s="50">
        <f>IF(OR($A193="",$J193=""),"",IF(AND(N193&lt;&gt;"",O193&lt;&gt;""),MAX(J193+MAX(R193*ABS(J193),S193),O193),IF(AND(M193&lt;&gt;"",N(L193)&gt;=2),MAX(J193+MAX(R193*ABS(J193),S193),J193+2*M193),J193+MAX(R193*ABS(J193),S193))))</f>
        <v/>
      </c>
      <c r="V193" s="51">
        <f>IF(OR($A193="",$J193=""),"",IF(COUNTIFS('6_資料庫比對'!$B$16:$B$25,A193,'6_資料庫比對'!$C$16:$C$25,I193)=0,"",IF(AND(SUMIFS('6_資料庫比對'!$F$16:$F$25,'6_資料庫比對'!$B$16:$B$25,A193,'6_資料庫比對'!$C$16:$C$25,I193)&gt;=T193,SUMIFS('6_資料庫比對'!$F$16:$F$25,'6_資料庫比對'!$B$16:$B$25,A193,'6_資料庫比對'!$C$16:$C$25,I193)&lt;=U193),"✓ 涵蓋","✗ 不涵蓋")))</f>
        <v/>
      </c>
    </row>
    <row r="194">
      <c r="A194" s="47" t="inlineStr">
        <is>
          <t>white_rice</t>
        </is>
      </c>
      <c r="B194" s="47" t="inlineStr">
        <is>
          <t>白米（生）</t>
        </is>
      </c>
      <c r="C194" s="47" t="inlineStr">
        <is>
          <t>TFND</t>
        </is>
      </c>
      <c r="D194" s="47" t="inlineStr">
        <is>
          <t>食品營養成分資料集</t>
        </is>
      </c>
      <c r="E194" s="47" t="inlineStr">
        <is>
          <t>A05002</t>
        </is>
      </c>
      <c r="F194" s="47" t="inlineStr">
        <is>
          <t>稉米平均值</t>
        </is>
      </c>
      <c r="G194" s="47" t="inlineStr">
        <is>
          <t>exact</t>
        </is>
      </c>
      <c r="H194" s="47" t="n"/>
      <c r="I194" s="47" t="inlineStr">
        <is>
          <t>protein</t>
        </is>
      </c>
      <c r="J194" s="47" t="n">
        <v>7</v>
      </c>
      <c r="K194" s="47" t="inlineStr">
        <is>
          <t>g</t>
        </is>
      </c>
      <c r="L194" s="47" t="n">
        <v>10</v>
      </c>
      <c r="M194" s="47" t="n">
        <v>0.5</v>
      </c>
      <c r="N194" s="47" t="n"/>
      <c r="O194" s="47" t="n"/>
      <c r="P194" s="47" t="n"/>
      <c r="Q194" s="47" t="n"/>
      <c r="R194" s="48">
        <f>IF(OR($A194="",$J194=""),"",IFERROR(VLOOKUP(I194,'6_資料庫比對'!$A$6:$C$12,2,FALSE),""))</f>
        <v/>
      </c>
      <c r="S194" s="49">
        <f>IF(OR($A194="",$J194=""),"",IFERROR(VLOOKUP(I194,'6_資料庫比對'!$A$6:$C$12,3,FALSE),""))</f>
        <v/>
      </c>
      <c r="T194" s="50">
        <f>IF(OR($A194="",$J194=""),"",MAX(0,IF(AND(N194&lt;&gt;"",O194&lt;&gt;""),MIN(J194-MAX(R194*ABS(J194),S194),N194),IF(AND(M194&lt;&gt;"",N(L194)&gt;=2),MIN(J194-MAX(R194*ABS(J194),S194),J194-2*M194),J194-MAX(R194*ABS(J194),S194)))))</f>
        <v/>
      </c>
      <c r="U194" s="50">
        <f>IF(OR($A194="",$J194=""),"",IF(AND(N194&lt;&gt;"",O194&lt;&gt;""),MAX(J194+MAX(R194*ABS(J194),S194),O194),IF(AND(M194&lt;&gt;"",N(L194)&gt;=2),MAX(J194+MAX(R194*ABS(J194),S194),J194+2*M194),J194+MAX(R194*ABS(J194),S194))))</f>
        <v/>
      </c>
      <c r="V194" s="51">
        <f>IF(OR($A194="",$J194=""),"",IF(COUNTIFS('6_資料庫比對'!$B$16:$B$25,A194,'6_資料庫比對'!$C$16:$C$25,I194)=0,"",IF(AND(SUMIFS('6_資料庫比對'!$F$16:$F$25,'6_資料庫比對'!$B$16:$B$25,A194,'6_資料庫比對'!$C$16:$C$25,I194)&gt;=T194,SUMIFS('6_資料庫比對'!$F$16:$F$25,'6_資料庫比對'!$B$16:$B$25,A194,'6_資料庫比對'!$C$16:$C$25,I194)&lt;=U194),"✓ 涵蓋","✗ 不涵蓋")))</f>
        <v/>
      </c>
    </row>
    <row r="195">
      <c r="A195" s="47" t="inlineStr">
        <is>
          <t>white_rice</t>
        </is>
      </c>
      <c r="B195" s="47" t="inlineStr">
        <is>
          <t>白米（生）</t>
        </is>
      </c>
      <c r="C195" s="47" t="inlineStr">
        <is>
          <t>TFND</t>
        </is>
      </c>
      <c r="D195" s="47" t="inlineStr">
        <is>
          <t>食品營養成分資料集</t>
        </is>
      </c>
      <c r="E195" s="47" t="inlineStr">
        <is>
          <t>A05002</t>
        </is>
      </c>
      <c r="F195" s="47" t="inlineStr">
        <is>
          <t>稉米平均值</t>
        </is>
      </c>
      <c r="G195" s="47" t="inlineStr">
        <is>
          <t>exact</t>
        </is>
      </c>
      <c r="H195" s="47" t="n"/>
      <c r="I195" s="47" t="inlineStr">
        <is>
          <t>fat</t>
        </is>
      </c>
      <c r="J195" s="47" t="n">
        <v>0.7</v>
      </c>
      <c r="K195" s="47" t="inlineStr">
        <is>
          <t>g</t>
        </is>
      </c>
      <c r="L195" s="47" t="n">
        <v>10</v>
      </c>
      <c r="M195" s="47" t="n">
        <v>0.3</v>
      </c>
      <c r="N195" s="47" t="n"/>
      <c r="O195" s="47" t="n"/>
      <c r="P195" s="47" t="n"/>
      <c r="Q195" s="47" t="n"/>
      <c r="R195" s="48">
        <f>IF(OR($A195="",$J195=""),"",IFERROR(VLOOKUP(I195,'6_資料庫比對'!$A$6:$C$12,2,FALSE),""))</f>
        <v/>
      </c>
      <c r="S195" s="49">
        <f>IF(OR($A195="",$J195=""),"",IFERROR(VLOOKUP(I195,'6_資料庫比對'!$A$6:$C$12,3,FALSE),""))</f>
        <v/>
      </c>
      <c r="T195" s="50">
        <f>IF(OR($A195="",$J195=""),"",MAX(0,IF(AND(N195&lt;&gt;"",O195&lt;&gt;""),MIN(J195-MAX(R195*ABS(J195),S195),N195),IF(AND(M195&lt;&gt;"",N(L195)&gt;=2),MIN(J195-MAX(R195*ABS(J195),S195),J195-2*M195),J195-MAX(R195*ABS(J195),S195)))))</f>
        <v/>
      </c>
      <c r="U195" s="50">
        <f>IF(OR($A195="",$J195=""),"",IF(AND(N195&lt;&gt;"",O195&lt;&gt;""),MAX(J195+MAX(R195*ABS(J195),S195),O195),IF(AND(M195&lt;&gt;"",N(L195)&gt;=2),MAX(J195+MAX(R195*ABS(J195),S195),J195+2*M195),J195+MAX(R195*ABS(J195),S195))))</f>
        <v/>
      </c>
      <c r="V195" s="51">
        <f>IF(OR($A195="",$J195=""),"",IF(COUNTIFS('6_資料庫比對'!$B$16:$B$25,A195,'6_資料庫比對'!$C$16:$C$25,I195)=0,"",IF(AND(SUMIFS('6_資料庫比對'!$F$16:$F$25,'6_資料庫比對'!$B$16:$B$25,A195,'6_資料庫比對'!$C$16:$C$25,I195)&gt;=T195,SUMIFS('6_資料庫比對'!$F$16:$F$25,'6_資料庫比對'!$B$16:$B$25,A195,'6_資料庫比對'!$C$16:$C$25,I195)&lt;=U195),"✓ 涵蓋","✗ 不涵蓋")))</f>
        <v/>
      </c>
    </row>
    <row r="196">
      <c r="A196" s="47" t="inlineStr">
        <is>
          <t>white_rice</t>
        </is>
      </c>
      <c r="B196" s="47" t="inlineStr">
        <is>
          <t>白米（生）</t>
        </is>
      </c>
      <c r="C196" s="47" t="inlineStr">
        <is>
          <t>TFND</t>
        </is>
      </c>
      <c r="D196" s="47" t="inlineStr">
        <is>
          <t>食品營養成分資料集</t>
        </is>
      </c>
      <c r="E196" s="47" t="inlineStr">
        <is>
          <t>A05002</t>
        </is>
      </c>
      <c r="F196" s="47" t="inlineStr">
        <is>
          <t>稉米平均值</t>
        </is>
      </c>
      <c r="G196" s="47" t="inlineStr">
        <is>
          <t>exact</t>
        </is>
      </c>
      <c r="H196" s="47" t="n"/>
      <c r="I196" s="47" t="inlineStr">
        <is>
          <t>ash</t>
        </is>
      </c>
      <c r="J196" s="47" t="n">
        <v>0.4</v>
      </c>
      <c r="K196" s="47" t="inlineStr">
        <is>
          <t>g</t>
        </is>
      </c>
      <c r="L196" s="47" t="n">
        <v>10</v>
      </c>
      <c r="M196" s="47" t="n">
        <v>0.1</v>
      </c>
      <c r="N196" s="47" t="n"/>
      <c r="O196" s="47" t="n"/>
      <c r="P196" s="47" t="n"/>
      <c r="Q196" s="47" t="n"/>
      <c r="R196" s="48">
        <f>IF(OR($A196="",$J196=""),"",IFERROR(VLOOKUP(I196,'6_資料庫比對'!$A$6:$C$12,2,FALSE),""))</f>
        <v/>
      </c>
      <c r="S196" s="49">
        <f>IF(OR($A196="",$J196=""),"",IFERROR(VLOOKUP(I196,'6_資料庫比對'!$A$6:$C$12,3,FALSE),""))</f>
        <v/>
      </c>
      <c r="T196" s="50">
        <f>IF(OR($A196="",$J196=""),"",MAX(0,IF(AND(N196&lt;&gt;"",O196&lt;&gt;""),MIN(J196-MAX(R196*ABS(J196),S196),N196),IF(AND(M196&lt;&gt;"",N(L196)&gt;=2),MIN(J196-MAX(R196*ABS(J196),S196),J196-2*M196),J196-MAX(R196*ABS(J196),S196)))))</f>
        <v/>
      </c>
      <c r="U196" s="50">
        <f>IF(OR($A196="",$J196=""),"",IF(AND(N196&lt;&gt;"",O196&lt;&gt;""),MAX(J196+MAX(R196*ABS(J196),S196),O196),IF(AND(M196&lt;&gt;"",N(L196)&gt;=2),MAX(J196+MAX(R196*ABS(J196),S196),J196+2*M196),J196+MAX(R196*ABS(J196),S196))))</f>
        <v/>
      </c>
      <c r="V196" s="51">
        <f>IF(OR($A196="",$J196=""),"",IF(COUNTIFS('6_資料庫比對'!$B$16:$B$25,A196,'6_資料庫比對'!$C$16:$C$25,I196)=0,"",IF(AND(SUMIFS('6_資料庫比對'!$F$16:$F$25,'6_資料庫比對'!$B$16:$B$25,A196,'6_資料庫比對'!$C$16:$C$25,I196)&gt;=T196,SUMIFS('6_資料庫比對'!$F$16:$F$25,'6_資料庫比對'!$B$16:$B$25,A196,'6_資料庫比對'!$C$16:$C$25,I196)&lt;=U196),"✓ 涵蓋","✗ 不涵蓋")))</f>
        <v/>
      </c>
    </row>
    <row r="197">
      <c r="A197" s="47" t="inlineStr">
        <is>
          <t>white_rice</t>
        </is>
      </c>
      <c r="B197" s="47" t="inlineStr">
        <is>
          <t>白米（生）</t>
        </is>
      </c>
      <c r="C197" s="47" t="inlineStr">
        <is>
          <t>TFND</t>
        </is>
      </c>
      <c r="D197" s="47" t="inlineStr">
        <is>
          <t>食品營養成分資料集</t>
        </is>
      </c>
      <c r="E197" s="47" t="inlineStr">
        <is>
          <t>A05002</t>
        </is>
      </c>
      <c r="F197" s="47" t="inlineStr">
        <is>
          <t>稉米平均值</t>
        </is>
      </c>
      <c r="G197" s="47" t="inlineStr">
        <is>
          <t>exact</t>
        </is>
      </c>
      <c r="H197" s="47" t="n"/>
      <c r="I197" s="47" t="inlineStr">
        <is>
          <t>carbohydrate</t>
        </is>
      </c>
      <c r="J197" s="47" t="n">
        <v>77.8</v>
      </c>
      <c r="K197" s="47" t="inlineStr">
        <is>
          <t>g</t>
        </is>
      </c>
      <c r="L197" s="47" t="n"/>
      <c r="M197" s="47" t="n"/>
      <c r="N197" s="47" t="n"/>
      <c r="O197" s="47" t="n"/>
      <c r="P197" s="47" t="n"/>
      <c r="Q197" s="47" t="n"/>
      <c r="R197" s="48">
        <f>IF(OR($A197="",$J197=""),"",IFERROR(VLOOKUP(I197,'6_資料庫比對'!$A$6:$C$12,2,FALSE),""))</f>
        <v/>
      </c>
      <c r="S197" s="49">
        <f>IF(OR($A197="",$J197=""),"",IFERROR(VLOOKUP(I197,'6_資料庫比對'!$A$6:$C$12,3,FALSE),""))</f>
        <v/>
      </c>
      <c r="T197" s="50">
        <f>IF(OR($A197="",$J197=""),"",MAX(0,IF(AND(N197&lt;&gt;"",O197&lt;&gt;""),MIN(J197-MAX(R197*ABS(J197),S197),N197),IF(AND(M197&lt;&gt;"",N(L197)&gt;=2),MIN(J197-MAX(R197*ABS(J197),S197),J197-2*M197),J197-MAX(R197*ABS(J197),S197)))))</f>
        <v/>
      </c>
      <c r="U197" s="50">
        <f>IF(OR($A197="",$J197=""),"",IF(AND(N197&lt;&gt;"",O197&lt;&gt;""),MAX(J197+MAX(R197*ABS(J197),S197),O197),IF(AND(M197&lt;&gt;"",N(L197)&gt;=2),MAX(J197+MAX(R197*ABS(J197),S197),J197+2*M197),J197+MAX(R197*ABS(J197),S197))))</f>
        <v/>
      </c>
      <c r="V197" s="51">
        <f>IF(OR($A197="",$J197=""),"",IF(COUNTIFS('6_資料庫比對'!$B$16:$B$25,A197,'6_資料庫比對'!$C$16:$C$25,I197)=0,"",IF(AND(SUMIFS('6_資料庫比對'!$F$16:$F$25,'6_資料庫比對'!$B$16:$B$25,A197,'6_資料庫比對'!$C$16:$C$25,I197)&gt;=T197,SUMIFS('6_資料庫比對'!$F$16:$F$25,'6_資料庫比對'!$B$16:$B$25,A197,'6_資料庫比對'!$C$16:$C$25,I197)&lt;=U197),"✓ 涵蓋","✗ 不涵蓋")))</f>
        <v/>
      </c>
    </row>
    <row r="198">
      <c r="A198" s="47" t="inlineStr">
        <is>
          <t>white_rice</t>
        </is>
      </c>
      <c r="B198" s="47" t="inlineStr">
        <is>
          <t>白米（生）</t>
        </is>
      </c>
      <c r="C198" s="47" t="inlineStr">
        <is>
          <t>TFND</t>
        </is>
      </c>
      <c r="D198" s="47" t="inlineStr">
        <is>
          <t>食品營養成分資料集</t>
        </is>
      </c>
      <c r="E198" s="47" t="inlineStr">
        <is>
          <t>A05002</t>
        </is>
      </c>
      <c r="F198" s="47" t="inlineStr">
        <is>
          <t>稉米平均值</t>
        </is>
      </c>
      <c r="G198" s="47" t="inlineStr">
        <is>
          <t>exact</t>
        </is>
      </c>
      <c r="H198" s="47" t="n"/>
      <c r="I198" s="47" t="inlineStr">
        <is>
          <t>sugars_total</t>
        </is>
      </c>
      <c r="J198" s="47" t="n">
        <v>0.1</v>
      </c>
      <c r="K198" s="47" t="inlineStr">
        <is>
          <t>g</t>
        </is>
      </c>
      <c r="L198" s="47" t="n"/>
      <c r="M198" s="47" t="n"/>
      <c r="N198" s="47" t="n"/>
      <c r="O198" s="47" t="n"/>
      <c r="P198" s="47" t="n"/>
      <c r="Q198" s="47" t="n"/>
      <c r="R198" s="48">
        <f>IF(OR($A198="",$J198=""),"",IFERROR(VLOOKUP(I198,'6_資料庫比對'!$A$6:$C$12,2,FALSE),""))</f>
        <v/>
      </c>
      <c r="S198" s="49">
        <f>IF(OR($A198="",$J198=""),"",IFERROR(VLOOKUP(I198,'6_資料庫比對'!$A$6:$C$12,3,FALSE),""))</f>
        <v/>
      </c>
      <c r="T198" s="50">
        <f>IF(OR($A198="",$J198=""),"",MAX(0,IF(AND(N198&lt;&gt;"",O198&lt;&gt;""),MIN(J198-MAX(R198*ABS(J198),S198),N198),IF(AND(M198&lt;&gt;"",N(L198)&gt;=2),MIN(J198-MAX(R198*ABS(J198),S198),J198-2*M198),J198-MAX(R198*ABS(J198),S198)))))</f>
        <v/>
      </c>
      <c r="U198" s="50">
        <f>IF(OR($A198="",$J198=""),"",IF(AND(N198&lt;&gt;"",O198&lt;&gt;""),MAX(J198+MAX(R198*ABS(J198),S198),O198),IF(AND(M198&lt;&gt;"",N(L198)&gt;=2),MAX(J198+MAX(R198*ABS(J198),S198),J198+2*M198),J198+MAX(R198*ABS(J198),S198))))</f>
        <v/>
      </c>
      <c r="V198" s="51">
        <f>IF(OR($A198="",$J198=""),"",IF(COUNTIFS('6_資料庫比對'!$B$16:$B$25,A198,'6_資料庫比對'!$C$16:$C$25,I198)=0,"",IF(AND(SUMIFS('6_資料庫比對'!$F$16:$F$25,'6_資料庫比對'!$B$16:$B$25,A198,'6_資料庫比對'!$C$16:$C$25,I198)&gt;=T198,SUMIFS('6_資料庫比對'!$F$16:$F$25,'6_資料庫比對'!$B$16:$B$25,A198,'6_資料庫比對'!$C$16:$C$25,I198)&lt;=U198),"✓ 涵蓋","✗ 不涵蓋")))</f>
        <v/>
      </c>
    </row>
    <row r="199">
      <c r="A199" s="47" t="inlineStr">
        <is>
          <t>white_rice</t>
        </is>
      </c>
      <c r="B199" s="47" t="inlineStr">
        <is>
          <t>白米（生）</t>
        </is>
      </c>
      <c r="C199" s="47" t="inlineStr">
        <is>
          <t>TFND</t>
        </is>
      </c>
      <c r="D199" s="47" t="inlineStr">
        <is>
          <t>食品營養成分資料集</t>
        </is>
      </c>
      <c r="E199" s="47" t="inlineStr">
        <is>
          <t>A05002</t>
        </is>
      </c>
      <c r="F199" s="47" t="inlineStr">
        <is>
          <t>稉米平均值</t>
        </is>
      </c>
      <c r="G199" s="47" t="inlineStr">
        <is>
          <t>exact</t>
        </is>
      </c>
      <c r="H199" s="47" t="n"/>
      <c r="I199" s="47" t="inlineStr">
        <is>
          <t>sodium</t>
        </is>
      </c>
      <c r="J199" s="47" t="n">
        <v>2</v>
      </c>
      <c r="K199" s="47" t="inlineStr">
        <is>
          <t>mg</t>
        </is>
      </c>
      <c r="L199" s="47" t="n">
        <v>10</v>
      </c>
      <c r="M199" s="47" t="n">
        <v>1</v>
      </c>
      <c r="N199" s="47" t="n"/>
      <c r="O199" s="47" t="n"/>
      <c r="P199" s="47" t="n"/>
      <c r="Q199" s="47" t="n"/>
      <c r="R199" s="48">
        <f>IF(OR($A199="",$J199=""),"",IFERROR(VLOOKUP(I199,'6_資料庫比對'!$A$6:$C$12,2,FALSE),""))</f>
        <v/>
      </c>
      <c r="S199" s="49">
        <f>IF(OR($A199="",$J199=""),"",IFERROR(VLOOKUP(I199,'6_資料庫比對'!$A$6:$C$12,3,FALSE),""))</f>
        <v/>
      </c>
      <c r="T199" s="50">
        <f>IF(OR($A199="",$J199=""),"",MAX(0,IF(AND(N199&lt;&gt;"",O199&lt;&gt;""),MIN(J199-MAX(R199*ABS(J199),S199),N199),IF(AND(M199&lt;&gt;"",N(L199)&gt;=2),MIN(J199-MAX(R199*ABS(J199),S199),J199-2*M199),J199-MAX(R199*ABS(J199),S199)))))</f>
        <v/>
      </c>
      <c r="U199" s="50">
        <f>IF(OR($A199="",$J199=""),"",IF(AND(N199&lt;&gt;"",O199&lt;&gt;""),MAX(J199+MAX(R199*ABS(J199),S199),O199),IF(AND(M199&lt;&gt;"",N(L199)&gt;=2),MAX(J199+MAX(R199*ABS(J199),S199),J199+2*M199),J199+MAX(R199*ABS(J199),S199))))</f>
        <v/>
      </c>
      <c r="V199" s="51">
        <f>IF(OR($A199="",$J199=""),"",IF(COUNTIFS('6_資料庫比對'!$B$16:$B$25,A199,'6_資料庫比對'!$C$16:$C$25,I199)=0,"",IF(AND(SUMIFS('6_資料庫比對'!$F$16:$F$25,'6_資料庫比對'!$B$16:$B$25,A199,'6_資料庫比對'!$C$16:$C$25,I199)&gt;=T199,SUMIFS('6_資料庫比對'!$F$16:$F$25,'6_資料庫比對'!$B$16:$B$25,A199,'6_資料庫比對'!$C$16:$C$25,I199)&lt;=U199),"✓ 涵蓋","✗ 不涵蓋")))</f>
        <v/>
      </c>
    </row>
    <row r="200">
      <c r="A200" s="47" t="inlineStr">
        <is>
          <t>bread_flour</t>
        </is>
      </c>
      <c r="B200" s="47" t="inlineStr">
        <is>
          <t>高筋麵粉</t>
        </is>
      </c>
      <c r="C200" s="47" t="inlineStr">
        <is>
          <t>USDA</t>
        </is>
      </c>
      <c r="D200" s="47" t="inlineStr">
        <is>
          <t>SR Legacy</t>
        </is>
      </c>
      <c r="E200" s="47" t="n">
        <v>168896</v>
      </c>
      <c r="F200" s="47" t="inlineStr">
        <is>
          <t>Wheat flour, white, bread, enriched</t>
        </is>
      </c>
      <c r="G200" s="47" t="inlineStr">
        <is>
          <t>closest</t>
        </is>
      </c>
      <c r="H200" s="47" t="n">
        <v>5.7</v>
      </c>
      <c r="I200" s="47" t="inlineStr">
        <is>
          <t>water</t>
        </is>
      </c>
      <c r="J200" s="47" t="n">
        <v>13.36</v>
      </c>
      <c r="K200" s="47" t="inlineStr">
        <is>
          <t>g</t>
        </is>
      </c>
      <c r="L200" s="47" t="n">
        <v>67</v>
      </c>
      <c r="M200" s="47" t="n"/>
      <c r="N200" s="47" t="n"/>
      <c r="O200" s="47" t="n"/>
      <c r="P200" s="47" t="n"/>
      <c r="Q200" s="47" t="n"/>
      <c r="R200" s="48">
        <f>IF(OR($A200="",$J200=""),"",IFERROR(VLOOKUP(I200,'6_資料庫比對'!$A$6:$C$12,2,FALSE),""))</f>
        <v/>
      </c>
      <c r="S200" s="49">
        <f>IF(OR($A200="",$J200=""),"",IFERROR(VLOOKUP(I200,'6_資料庫比對'!$A$6:$C$12,3,FALSE),""))</f>
        <v/>
      </c>
      <c r="T200" s="50">
        <f>IF(OR($A200="",$J200=""),"",MAX(0,IF(AND(N200&lt;&gt;"",O200&lt;&gt;""),MIN(J200-MAX(R200*ABS(J200),S200),N200),IF(AND(M200&lt;&gt;"",N(L200)&gt;=2),MIN(J200-MAX(R200*ABS(J200),S200),J200-2*M200),J200-MAX(R200*ABS(J200),S200)))))</f>
        <v/>
      </c>
      <c r="U200" s="50">
        <f>IF(OR($A200="",$J200=""),"",IF(AND(N200&lt;&gt;"",O200&lt;&gt;""),MAX(J200+MAX(R200*ABS(J200),S200),O200),IF(AND(M200&lt;&gt;"",N(L200)&gt;=2),MAX(J200+MAX(R200*ABS(J200),S200),J200+2*M200),J200+MAX(R200*ABS(J200),S200))))</f>
        <v/>
      </c>
      <c r="V200" s="51">
        <f>IF(OR($A200="",$J200=""),"",IF(COUNTIFS('6_資料庫比對'!$B$16:$B$25,A200,'6_資料庫比對'!$C$16:$C$25,I200)=0,"",IF(AND(SUMIFS('6_資料庫比對'!$F$16:$F$25,'6_資料庫比對'!$B$16:$B$25,A200,'6_資料庫比對'!$C$16:$C$25,I200)&gt;=T200,SUMIFS('6_資料庫比對'!$F$16:$F$25,'6_資料庫比對'!$B$16:$B$25,A200,'6_資料庫比對'!$C$16:$C$25,I200)&lt;=U200),"✓ 涵蓋","✗ 不涵蓋")))</f>
        <v/>
      </c>
    </row>
    <row r="201">
      <c r="A201" s="47" t="inlineStr">
        <is>
          <t>bread_flour</t>
        </is>
      </c>
      <c r="B201" s="47" t="inlineStr">
        <is>
          <t>高筋麵粉</t>
        </is>
      </c>
      <c r="C201" s="47" t="inlineStr">
        <is>
          <t>USDA</t>
        </is>
      </c>
      <c r="D201" s="47" t="inlineStr">
        <is>
          <t>SR Legacy</t>
        </is>
      </c>
      <c r="E201" s="47" t="n">
        <v>168896</v>
      </c>
      <c r="F201" s="47" t="inlineStr">
        <is>
          <t>Wheat flour, white, bread, enriched</t>
        </is>
      </c>
      <c r="G201" s="47" t="inlineStr">
        <is>
          <t>closest</t>
        </is>
      </c>
      <c r="H201" s="47" t="n">
        <v>5.7</v>
      </c>
      <c r="I201" s="47" t="inlineStr">
        <is>
          <t>protein</t>
        </is>
      </c>
      <c r="J201" s="47" t="n">
        <v>11.98</v>
      </c>
      <c r="K201" s="47" t="inlineStr">
        <is>
          <t>g</t>
        </is>
      </c>
      <c r="L201" s="47" t="n">
        <v>65</v>
      </c>
      <c r="M201" s="47" t="n"/>
      <c r="N201" s="47" t="n"/>
      <c r="O201" s="47" t="n"/>
      <c r="P201" s="47" t="n"/>
      <c r="Q201" s="47" t="n"/>
      <c r="R201" s="48">
        <f>IF(OR($A201="",$J201=""),"",IFERROR(VLOOKUP(I201,'6_資料庫比對'!$A$6:$C$12,2,FALSE),""))</f>
        <v/>
      </c>
      <c r="S201" s="49">
        <f>IF(OR($A201="",$J201=""),"",IFERROR(VLOOKUP(I201,'6_資料庫比對'!$A$6:$C$12,3,FALSE),""))</f>
        <v/>
      </c>
      <c r="T201" s="50">
        <f>IF(OR($A201="",$J201=""),"",MAX(0,IF(AND(N201&lt;&gt;"",O201&lt;&gt;""),MIN(J201-MAX(R201*ABS(J201),S201),N201),IF(AND(M201&lt;&gt;"",N(L201)&gt;=2),MIN(J201-MAX(R201*ABS(J201),S201),J201-2*M201),J201-MAX(R201*ABS(J201),S201)))))</f>
        <v/>
      </c>
      <c r="U201" s="50">
        <f>IF(OR($A201="",$J201=""),"",IF(AND(N201&lt;&gt;"",O201&lt;&gt;""),MAX(J201+MAX(R201*ABS(J201),S201),O201),IF(AND(M201&lt;&gt;"",N(L201)&gt;=2),MAX(J201+MAX(R201*ABS(J201),S201),J201+2*M201),J201+MAX(R201*ABS(J201),S201))))</f>
        <v/>
      </c>
      <c r="V201" s="51">
        <f>IF(OR($A201="",$J201=""),"",IF(COUNTIFS('6_資料庫比對'!$B$16:$B$25,A201,'6_資料庫比對'!$C$16:$C$25,I201)=0,"",IF(AND(SUMIFS('6_資料庫比對'!$F$16:$F$25,'6_資料庫比對'!$B$16:$B$25,A201,'6_資料庫比對'!$C$16:$C$25,I201)&gt;=T201,SUMIFS('6_資料庫比對'!$F$16:$F$25,'6_資料庫比對'!$B$16:$B$25,A201,'6_資料庫比對'!$C$16:$C$25,I201)&lt;=U201),"✓ 涵蓋","✗ 不涵蓋")))</f>
        <v/>
      </c>
    </row>
    <row r="202">
      <c r="A202" s="47" t="inlineStr">
        <is>
          <t>bread_flour</t>
        </is>
      </c>
      <c r="B202" s="47" t="inlineStr">
        <is>
          <t>高筋麵粉</t>
        </is>
      </c>
      <c r="C202" s="47" t="inlineStr">
        <is>
          <t>USDA</t>
        </is>
      </c>
      <c r="D202" s="47" t="inlineStr">
        <is>
          <t>SR Legacy</t>
        </is>
      </c>
      <c r="E202" s="47" t="n">
        <v>168896</v>
      </c>
      <c r="F202" s="47" t="inlineStr">
        <is>
          <t>Wheat flour, white, bread, enriched</t>
        </is>
      </c>
      <c r="G202" s="47" t="inlineStr">
        <is>
          <t>closest</t>
        </is>
      </c>
      <c r="H202" s="47" t="n">
        <v>5.7</v>
      </c>
      <c r="I202" s="47" t="inlineStr">
        <is>
          <t>fat</t>
        </is>
      </c>
      <c r="J202" s="47" t="n">
        <v>1.66</v>
      </c>
      <c r="K202" s="47" t="inlineStr">
        <is>
          <t>g</t>
        </is>
      </c>
      <c r="L202" s="47" t="n">
        <v>9</v>
      </c>
      <c r="M202" s="47" t="n"/>
      <c r="N202" s="47" t="n"/>
      <c r="O202" s="47" t="n"/>
      <c r="P202" s="47" t="n"/>
      <c r="Q202" s="47" t="n"/>
      <c r="R202" s="48">
        <f>IF(OR($A202="",$J202=""),"",IFERROR(VLOOKUP(I202,'6_資料庫比對'!$A$6:$C$12,2,FALSE),""))</f>
        <v/>
      </c>
      <c r="S202" s="49">
        <f>IF(OR($A202="",$J202=""),"",IFERROR(VLOOKUP(I202,'6_資料庫比對'!$A$6:$C$12,3,FALSE),""))</f>
        <v/>
      </c>
      <c r="T202" s="50">
        <f>IF(OR($A202="",$J202=""),"",MAX(0,IF(AND(N202&lt;&gt;"",O202&lt;&gt;""),MIN(J202-MAX(R202*ABS(J202),S202),N202),IF(AND(M202&lt;&gt;"",N(L202)&gt;=2),MIN(J202-MAX(R202*ABS(J202),S202),J202-2*M202),J202-MAX(R202*ABS(J202),S202)))))</f>
        <v/>
      </c>
      <c r="U202" s="50">
        <f>IF(OR($A202="",$J202=""),"",IF(AND(N202&lt;&gt;"",O202&lt;&gt;""),MAX(J202+MAX(R202*ABS(J202),S202),O202),IF(AND(M202&lt;&gt;"",N(L202)&gt;=2),MAX(J202+MAX(R202*ABS(J202),S202),J202+2*M202),J202+MAX(R202*ABS(J202),S202))))</f>
        <v/>
      </c>
      <c r="V202" s="51">
        <f>IF(OR($A202="",$J202=""),"",IF(COUNTIFS('6_資料庫比對'!$B$16:$B$25,A202,'6_資料庫比對'!$C$16:$C$25,I202)=0,"",IF(AND(SUMIFS('6_資料庫比對'!$F$16:$F$25,'6_資料庫比對'!$B$16:$B$25,A202,'6_資料庫比對'!$C$16:$C$25,I202)&gt;=T202,SUMIFS('6_資料庫比對'!$F$16:$F$25,'6_資料庫比對'!$B$16:$B$25,A202,'6_資料庫比對'!$C$16:$C$25,I202)&lt;=U202),"✓ 涵蓋","✗ 不涵蓋")))</f>
        <v/>
      </c>
    </row>
    <row r="203">
      <c r="A203" s="47" t="inlineStr">
        <is>
          <t>bread_flour</t>
        </is>
      </c>
      <c r="B203" s="47" t="inlineStr">
        <is>
          <t>高筋麵粉</t>
        </is>
      </c>
      <c r="C203" s="47" t="inlineStr">
        <is>
          <t>USDA</t>
        </is>
      </c>
      <c r="D203" s="47" t="inlineStr">
        <is>
          <t>SR Legacy</t>
        </is>
      </c>
      <c r="E203" s="47" t="n">
        <v>168896</v>
      </c>
      <c r="F203" s="47" t="inlineStr">
        <is>
          <t>Wheat flour, white, bread, enriched</t>
        </is>
      </c>
      <c r="G203" s="47" t="inlineStr">
        <is>
          <t>closest</t>
        </is>
      </c>
      <c r="H203" s="47" t="n">
        <v>5.7</v>
      </c>
      <c r="I203" s="47" t="inlineStr">
        <is>
          <t>ash</t>
        </is>
      </c>
      <c r="J203" s="47" t="n">
        <v>0.47</v>
      </c>
      <c r="K203" s="47" t="inlineStr">
        <is>
          <t>g</t>
        </is>
      </c>
      <c r="L203" s="47" t="n">
        <v>65</v>
      </c>
      <c r="M203" s="47" t="n"/>
      <c r="N203" s="47" t="n"/>
      <c r="O203" s="47" t="n"/>
      <c r="P203" s="47" t="n"/>
      <c r="Q203" s="47" t="n"/>
      <c r="R203" s="48">
        <f>IF(OR($A203="",$J203=""),"",IFERROR(VLOOKUP(I203,'6_資料庫比對'!$A$6:$C$12,2,FALSE),""))</f>
        <v/>
      </c>
      <c r="S203" s="49">
        <f>IF(OR($A203="",$J203=""),"",IFERROR(VLOOKUP(I203,'6_資料庫比對'!$A$6:$C$12,3,FALSE),""))</f>
        <v/>
      </c>
      <c r="T203" s="50">
        <f>IF(OR($A203="",$J203=""),"",MAX(0,IF(AND(N203&lt;&gt;"",O203&lt;&gt;""),MIN(J203-MAX(R203*ABS(J203),S203),N203),IF(AND(M203&lt;&gt;"",N(L203)&gt;=2),MIN(J203-MAX(R203*ABS(J203),S203),J203-2*M203),J203-MAX(R203*ABS(J203),S203)))))</f>
        <v/>
      </c>
      <c r="U203" s="50">
        <f>IF(OR($A203="",$J203=""),"",IF(AND(N203&lt;&gt;"",O203&lt;&gt;""),MAX(J203+MAX(R203*ABS(J203),S203),O203),IF(AND(M203&lt;&gt;"",N(L203)&gt;=2),MAX(J203+MAX(R203*ABS(J203),S203),J203+2*M203),J203+MAX(R203*ABS(J203),S203))))</f>
        <v/>
      </c>
      <c r="V203" s="51">
        <f>IF(OR($A203="",$J203=""),"",IF(COUNTIFS('6_資料庫比對'!$B$16:$B$25,A203,'6_資料庫比對'!$C$16:$C$25,I203)=0,"",IF(AND(SUMIFS('6_資料庫比對'!$F$16:$F$25,'6_資料庫比對'!$B$16:$B$25,A203,'6_資料庫比對'!$C$16:$C$25,I203)&gt;=T203,SUMIFS('6_資料庫比對'!$F$16:$F$25,'6_資料庫比對'!$B$16:$B$25,A203,'6_資料庫比對'!$C$16:$C$25,I203)&lt;=U203),"✓ 涵蓋","✗ 不涵蓋")))</f>
        <v/>
      </c>
    </row>
    <row r="204">
      <c r="A204" s="47" t="inlineStr">
        <is>
          <t>bread_flour</t>
        </is>
      </c>
      <c r="B204" s="47" t="inlineStr">
        <is>
          <t>高筋麵粉</t>
        </is>
      </c>
      <c r="C204" s="47" t="inlineStr">
        <is>
          <t>USDA</t>
        </is>
      </c>
      <c r="D204" s="47" t="inlineStr">
        <is>
          <t>SR Legacy</t>
        </is>
      </c>
      <c r="E204" s="47" t="n">
        <v>168896</v>
      </c>
      <c r="F204" s="47" t="inlineStr">
        <is>
          <t>Wheat flour, white, bread, enriched</t>
        </is>
      </c>
      <c r="G204" s="47" t="inlineStr">
        <is>
          <t>closest</t>
        </is>
      </c>
      <c r="H204" s="47" t="n">
        <v>5.7</v>
      </c>
      <c r="I204" s="47" t="inlineStr">
        <is>
          <t>carbohydrate</t>
        </is>
      </c>
      <c r="J204" s="47" t="n">
        <v>72.53</v>
      </c>
      <c r="K204" s="47" t="inlineStr">
        <is>
          <t>g</t>
        </is>
      </c>
      <c r="L204" s="47" t="n">
        <v>0</v>
      </c>
      <c r="M204" s="47" t="n"/>
      <c r="N204" s="47" t="n"/>
      <c r="O204" s="47" t="n"/>
      <c r="P204" s="47" t="n"/>
      <c r="Q204" s="47" t="inlineStr">
        <is>
          <t>NC: Calculated</t>
        </is>
      </c>
      <c r="R204" s="48">
        <f>IF(OR($A204="",$J204=""),"",IFERROR(VLOOKUP(I204,'6_資料庫比對'!$A$6:$C$12,2,FALSE),""))</f>
        <v/>
      </c>
      <c r="S204" s="49">
        <f>IF(OR($A204="",$J204=""),"",IFERROR(VLOOKUP(I204,'6_資料庫比對'!$A$6:$C$12,3,FALSE),""))</f>
        <v/>
      </c>
      <c r="T204" s="50">
        <f>IF(OR($A204="",$J204=""),"",MAX(0,IF(AND(N204&lt;&gt;"",O204&lt;&gt;""),MIN(J204-MAX(R204*ABS(J204),S204),N204),IF(AND(M204&lt;&gt;"",N(L204)&gt;=2),MIN(J204-MAX(R204*ABS(J204),S204),J204-2*M204),J204-MAX(R204*ABS(J204),S204)))))</f>
        <v/>
      </c>
      <c r="U204" s="50">
        <f>IF(OR($A204="",$J204=""),"",IF(AND(N204&lt;&gt;"",O204&lt;&gt;""),MAX(J204+MAX(R204*ABS(J204),S204),O204),IF(AND(M204&lt;&gt;"",N(L204)&gt;=2),MAX(J204+MAX(R204*ABS(J204),S204),J204+2*M204),J204+MAX(R204*ABS(J204),S204))))</f>
        <v/>
      </c>
      <c r="V204" s="51">
        <f>IF(OR($A204="",$J204=""),"",IF(COUNTIFS('6_資料庫比對'!$B$16:$B$25,A204,'6_資料庫比對'!$C$16:$C$25,I204)=0,"",IF(AND(SUMIFS('6_資料庫比對'!$F$16:$F$25,'6_資料庫比對'!$B$16:$B$25,A204,'6_資料庫比對'!$C$16:$C$25,I204)&gt;=T204,SUMIFS('6_資料庫比對'!$F$16:$F$25,'6_資料庫比對'!$B$16:$B$25,A204,'6_資料庫比對'!$C$16:$C$25,I204)&lt;=U204),"✓ 涵蓋","✗ 不涵蓋")))</f>
        <v/>
      </c>
    </row>
    <row r="205">
      <c r="A205" s="47" t="inlineStr">
        <is>
          <t>bread_flour</t>
        </is>
      </c>
      <c r="B205" s="47" t="inlineStr">
        <is>
          <t>高筋麵粉</t>
        </is>
      </c>
      <c r="C205" s="47" t="inlineStr">
        <is>
          <t>USDA</t>
        </is>
      </c>
      <c r="D205" s="47" t="inlineStr">
        <is>
          <t>SR Legacy</t>
        </is>
      </c>
      <c r="E205" s="47" t="n">
        <v>168896</v>
      </c>
      <c r="F205" s="47" t="inlineStr">
        <is>
          <t>Wheat flour, white, bread, enriched</t>
        </is>
      </c>
      <c r="G205" s="47" t="inlineStr">
        <is>
          <t>closest</t>
        </is>
      </c>
      <c r="H205" s="47" t="n">
        <v>5.7</v>
      </c>
      <c r="I205" s="47" t="inlineStr">
        <is>
          <t>sugars_total</t>
        </is>
      </c>
      <c r="J205" s="47" t="n">
        <v>0.31</v>
      </c>
      <c r="K205" s="47" t="inlineStr">
        <is>
          <t>g</t>
        </is>
      </c>
      <c r="L205" s="47" t="n">
        <v>0</v>
      </c>
      <c r="M205" s="47" t="n"/>
      <c r="N205" s="47" t="n"/>
      <c r="O205" s="47" t="n"/>
      <c r="P205" s="47" t="n"/>
      <c r="Q205" s="47" t="inlineStr">
        <is>
          <t>BFZN: Based on another form of the food or similar food; Concentration adjustment; No adjustment; Retention factors not used</t>
        </is>
      </c>
      <c r="R205" s="48">
        <f>IF(OR($A205="",$J205=""),"",IFERROR(VLOOKUP(I205,'6_資料庫比對'!$A$6:$C$12,2,FALSE),""))</f>
        <v/>
      </c>
      <c r="S205" s="49">
        <f>IF(OR($A205="",$J205=""),"",IFERROR(VLOOKUP(I205,'6_資料庫比對'!$A$6:$C$12,3,FALSE),""))</f>
        <v/>
      </c>
      <c r="T205" s="50">
        <f>IF(OR($A205="",$J205=""),"",MAX(0,IF(AND(N205&lt;&gt;"",O205&lt;&gt;""),MIN(J205-MAX(R205*ABS(J205),S205),N205),IF(AND(M205&lt;&gt;"",N(L205)&gt;=2),MIN(J205-MAX(R205*ABS(J205),S205),J205-2*M205),J205-MAX(R205*ABS(J205),S205)))))</f>
        <v/>
      </c>
      <c r="U205" s="50">
        <f>IF(OR($A205="",$J205=""),"",IF(AND(N205&lt;&gt;"",O205&lt;&gt;""),MAX(J205+MAX(R205*ABS(J205),S205),O205),IF(AND(M205&lt;&gt;"",N(L205)&gt;=2),MAX(J205+MAX(R205*ABS(J205),S205),J205+2*M205),J205+MAX(R205*ABS(J205),S205))))</f>
        <v/>
      </c>
      <c r="V205" s="51">
        <f>IF(OR($A205="",$J205=""),"",IF(COUNTIFS('6_資料庫比對'!$B$16:$B$25,A205,'6_資料庫比對'!$C$16:$C$25,I205)=0,"",IF(AND(SUMIFS('6_資料庫比對'!$F$16:$F$25,'6_資料庫比對'!$B$16:$B$25,A205,'6_資料庫比對'!$C$16:$C$25,I205)&gt;=T205,SUMIFS('6_資料庫比對'!$F$16:$F$25,'6_資料庫比對'!$B$16:$B$25,A205,'6_資料庫比對'!$C$16:$C$25,I205)&lt;=U205),"✓ 涵蓋","✗ 不涵蓋")))</f>
        <v/>
      </c>
    </row>
    <row r="206">
      <c r="A206" s="47" t="inlineStr">
        <is>
          <t>bread_flour</t>
        </is>
      </c>
      <c r="B206" s="47" t="inlineStr">
        <is>
          <t>高筋麵粉</t>
        </is>
      </c>
      <c r="C206" s="47" t="inlineStr">
        <is>
          <t>USDA</t>
        </is>
      </c>
      <c r="D206" s="47" t="inlineStr">
        <is>
          <t>SR Legacy</t>
        </is>
      </c>
      <c r="E206" s="47" t="n">
        <v>168896</v>
      </c>
      <c r="F206" s="47" t="inlineStr">
        <is>
          <t>Wheat flour, white, bread, enriched</t>
        </is>
      </c>
      <c r="G206" s="47" t="inlineStr">
        <is>
          <t>closest</t>
        </is>
      </c>
      <c r="H206" s="47" t="n">
        <v>5.7</v>
      </c>
      <c r="I206" s="47" t="inlineStr">
        <is>
          <t>sodium</t>
        </is>
      </c>
      <c r="J206" s="47" t="n">
        <v>2</v>
      </c>
      <c r="K206" s="47" t="inlineStr">
        <is>
          <t>mg</t>
        </is>
      </c>
      <c r="L206" s="47" t="n">
        <v>74</v>
      </c>
      <c r="M206" s="47" t="n"/>
      <c r="N206" s="47" t="n"/>
      <c r="O206" s="47" t="n"/>
      <c r="P206" s="47" t="n"/>
      <c r="Q206" s="47" t="n"/>
      <c r="R206" s="48">
        <f>IF(OR($A206="",$J206=""),"",IFERROR(VLOOKUP(I206,'6_資料庫比對'!$A$6:$C$12,2,FALSE),""))</f>
        <v/>
      </c>
      <c r="S206" s="49">
        <f>IF(OR($A206="",$J206=""),"",IFERROR(VLOOKUP(I206,'6_資料庫比對'!$A$6:$C$12,3,FALSE),""))</f>
        <v/>
      </c>
      <c r="T206" s="50">
        <f>IF(OR($A206="",$J206=""),"",MAX(0,IF(AND(N206&lt;&gt;"",O206&lt;&gt;""),MIN(J206-MAX(R206*ABS(J206),S206),N206),IF(AND(M206&lt;&gt;"",N(L206)&gt;=2),MIN(J206-MAX(R206*ABS(J206),S206),J206-2*M206),J206-MAX(R206*ABS(J206),S206)))))</f>
        <v/>
      </c>
      <c r="U206" s="50">
        <f>IF(OR($A206="",$J206=""),"",IF(AND(N206&lt;&gt;"",O206&lt;&gt;""),MAX(J206+MAX(R206*ABS(J206),S206),O206),IF(AND(M206&lt;&gt;"",N(L206)&gt;=2),MAX(J206+MAX(R206*ABS(J206),S206),J206+2*M206),J206+MAX(R206*ABS(J206),S206))))</f>
        <v/>
      </c>
      <c r="V206" s="51">
        <f>IF(OR($A206="",$J206=""),"",IF(COUNTIFS('6_資料庫比對'!$B$16:$B$25,A206,'6_資料庫比對'!$C$16:$C$25,I206)=0,"",IF(AND(SUMIFS('6_資料庫比對'!$F$16:$F$25,'6_資料庫比對'!$B$16:$B$25,A206,'6_資料庫比對'!$C$16:$C$25,I206)&gt;=T206,SUMIFS('6_資料庫比對'!$F$16:$F$25,'6_資料庫比對'!$B$16:$B$25,A206,'6_資料庫比對'!$C$16:$C$25,I206)&lt;=U206),"✓ 涵蓋","✗ 不涵蓋")))</f>
        <v/>
      </c>
    </row>
    <row r="207">
      <c r="A207" s="47" t="inlineStr">
        <is>
          <t>bread_flour</t>
        </is>
      </c>
      <c r="B207" s="47" t="inlineStr">
        <is>
          <t>高筋麵粉</t>
        </is>
      </c>
      <c r="C207" s="47" t="inlineStr">
        <is>
          <t>TFND</t>
        </is>
      </c>
      <c r="D207" s="47" t="inlineStr">
        <is>
          <t>食品營養成分資料集</t>
        </is>
      </c>
      <c r="E207" s="47" t="inlineStr">
        <is>
          <t>A0320404</t>
        </is>
      </c>
      <c r="F207" s="47" t="inlineStr">
        <is>
          <t>高筋麵粉</t>
        </is>
      </c>
      <c r="G207" s="47" t="inlineStr">
        <is>
          <t>exact</t>
        </is>
      </c>
      <c r="H207" s="47" t="n"/>
      <c r="I207" s="47" t="inlineStr">
        <is>
          <t>water</t>
        </is>
      </c>
      <c r="J207" s="47" t="n">
        <v>12.3</v>
      </c>
      <c r="K207" s="47" t="inlineStr">
        <is>
          <t>g</t>
        </is>
      </c>
      <c r="L207" s="47" t="n">
        <v>2</v>
      </c>
      <c r="M207" s="47" t="n">
        <v>0.5</v>
      </c>
      <c r="N207" s="47" t="n"/>
      <c r="O207" s="47" t="n"/>
      <c r="P207" s="47" t="n"/>
      <c r="Q207" s="47" t="n"/>
      <c r="R207" s="48">
        <f>IF(OR($A207="",$J207=""),"",IFERROR(VLOOKUP(I207,'6_資料庫比對'!$A$6:$C$12,2,FALSE),""))</f>
        <v/>
      </c>
      <c r="S207" s="49">
        <f>IF(OR($A207="",$J207=""),"",IFERROR(VLOOKUP(I207,'6_資料庫比對'!$A$6:$C$12,3,FALSE),""))</f>
        <v/>
      </c>
      <c r="T207" s="50">
        <f>IF(OR($A207="",$J207=""),"",MAX(0,IF(AND(N207&lt;&gt;"",O207&lt;&gt;""),MIN(J207-MAX(R207*ABS(J207),S207),N207),IF(AND(M207&lt;&gt;"",N(L207)&gt;=2),MIN(J207-MAX(R207*ABS(J207),S207),J207-2*M207),J207-MAX(R207*ABS(J207),S207)))))</f>
        <v/>
      </c>
      <c r="U207" s="50">
        <f>IF(OR($A207="",$J207=""),"",IF(AND(N207&lt;&gt;"",O207&lt;&gt;""),MAX(J207+MAX(R207*ABS(J207),S207),O207),IF(AND(M207&lt;&gt;"",N(L207)&gt;=2),MAX(J207+MAX(R207*ABS(J207),S207),J207+2*M207),J207+MAX(R207*ABS(J207),S207))))</f>
        <v/>
      </c>
      <c r="V207" s="51">
        <f>IF(OR($A207="",$J207=""),"",IF(COUNTIFS('6_資料庫比對'!$B$16:$B$25,A207,'6_資料庫比對'!$C$16:$C$25,I207)=0,"",IF(AND(SUMIFS('6_資料庫比對'!$F$16:$F$25,'6_資料庫比對'!$B$16:$B$25,A207,'6_資料庫比對'!$C$16:$C$25,I207)&gt;=T207,SUMIFS('6_資料庫比對'!$F$16:$F$25,'6_資料庫比對'!$B$16:$B$25,A207,'6_資料庫比對'!$C$16:$C$25,I207)&lt;=U207),"✓ 涵蓋","✗ 不涵蓋")))</f>
        <v/>
      </c>
    </row>
    <row r="208">
      <c r="A208" s="47" t="inlineStr">
        <is>
          <t>bread_flour</t>
        </is>
      </c>
      <c r="B208" s="47" t="inlineStr">
        <is>
          <t>高筋麵粉</t>
        </is>
      </c>
      <c r="C208" s="47" t="inlineStr">
        <is>
          <t>TFND</t>
        </is>
      </c>
      <c r="D208" s="47" t="inlineStr">
        <is>
          <t>食品營養成分資料集</t>
        </is>
      </c>
      <c r="E208" s="47" t="inlineStr">
        <is>
          <t>A0320404</t>
        </is>
      </c>
      <c r="F208" s="47" t="inlineStr">
        <is>
          <t>高筋麵粉</t>
        </is>
      </c>
      <c r="G208" s="47" t="inlineStr">
        <is>
          <t>exact</t>
        </is>
      </c>
      <c r="H208" s="47" t="n"/>
      <c r="I208" s="47" t="inlineStr">
        <is>
          <t>protein</t>
        </is>
      </c>
      <c r="J208" s="47" t="n">
        <v>12.9</v>
      </c>
      <c r="K208" s="47" t="inlineStr">
        <is>
          <t>g</t>
        </is>
      </c>
      <c r="L208" s="47" t="n">
        <v>2</v>
      </c>
      <c r="M208" s="47" t="n">
        <v>0.6</v>
      </c>
      <c r="N208" s="47" t="n"/>
      <c r="O208" s="47" t="n"/>
      <c r="P208" s="47" t="n"/>
      <c r="Q208" s="47" t="n"/>
      <c r="R208" s="48">
        <f>IF(OR($A208="",$J208=""),"",IFERROR(VLOOKUP(I208,'6_資料庫比對'!$A$6:$C$12,2,FALSE),""))</f>
        <v/>
      </c>
      <c r="S208" s="49">
        <f>IF(OR($A208="",$J208=""),"",IFERROR(VLOOKUP(I208,'6_資料庫比對'!$A$6:$C$12,3,FALSE),""))</f>
        <v/>
      </c>
      <c r="T208" s="50">
        <f>IF(OR($A208="",$J208=""),"",MAX(0,IF(AND(N208&lt;&gt;"",O208&lt;&gt;""),MIN(J208-MAX(R208*ABS(J208),S208),N208),IF(AND(M208&lt;&gt;"",N(L208)&gt;=2),MIN(J208-MAX(R208*ABS(J208),S208),J208-2*M208),J208-MAX(R208*ABS(J208),S208)))))</f>
        <v/>
      </c>
      <c r="U208" s="50">
        <f>IF(OR($A208="",$J208=""),"",IF(AND(N208&lt;&gt;"",O208&lt;&gt;""),MAX(J208+MAX(R208*ABS(J208),S208),O208),IF(AND(M208&lt;&gt;"",N(L208)&gt;=2),MAX(J208+MAX(R208*ABS(J208),S208),J208+2*M208),J208+MAX(R208*ABS(J208),S208))))</f>
        <v/>
      </c>
      <c r="V208" s="51">
        <f>IF(OR($A208="",$J208=""),"",IF(COUNTIFS('6_資料庫比對'!$B$16:$B$25,A208,'6_資料庫比對'!$C$16:$C$25,I208)=0,"",IF(AND(SUMIFS('6_資料庫比對'!$F$16:$F$25,'6_資料庫比對'!$B$16:$B$25,A208,'6_資料庫比對'!$C$16:$C$25,I208)&gt;=T208,SUMIFS('6_資料庫比對'!$F$16:$F$25,'6_資料庫比對'!$B$16:$B$25,A208,'6_資料庫比對'!$C$16:$C$25,I208)&lt;=U208),"✓ 涵蓋","✗ 不涵蓋")))</f>
        <v/>
      </c>
    </row>
    <row r="209">
      <c r="A209" s="47" t="inlineStr">
        <is>
          <t>bread_flour</t>
        </is>
      </c>
      <c r="B209" s="47" t="inlineStr">
        <is>
          <t>高筋麵粉</t>
        </is>
      </c>
      <c r="C209" s="47" t="inlineStr">
        <is>
          <t>TFND</t>
        </is>
      </c>
      <c r="D209" s="47" t="inlineStr">
        <is>
          <t>食品營養成分資料集</t>
        </is>
      </c>
      <c r="E209" s="47" t="inlineStr">
        <is>
          <t>A0320404</t>
        </is>
      </c>
      <c r="F209" s="47" t="inlineStr">
        <is>
          <t>高筋麵粉</t>
        </is>
      </c>
      <c r="G209" s="47" t="inlineStr">
        <is>
          <t>exact</t>
        </is>
      </c>
      <c r="H209" s="47" t="n"/>
      <c r="I209" s="47" t="inlineStr">
        <is>
          <t>fat</t>
        </is>
      </c>
      <c r="J209" s="47" t="n">
        <v>1.2</v>
      </c>
      <c r="K209" s="47" t="inlineStr">
        <is>
          <t>g</t>
        </is>
      </c>
      <c r="L209" s="47" t="n">
        <v>2</v>
      </c>
      <c r="M209" s="47" t="n">
        <v>0.1</v>
      </c>
      <c r="N209" s="47" t="n"/>
      <c r="O209" s="47" t="n"/>
      <c r="P209" s="47" t="n"/>
      <c r="Q209" s="47" t="n"/>
      <c r="R209" s="48">
        <f>IF(OR($A209="",$J209=""),"",IFERROR(VLOOKUP(I209,'6_資料庫比對'!$A$6:$C$12,2,FALSE),""))</f>
        <v/>
      </c>
      <c r="S209" s="49">
        <f>IF(OR($A209="",$J209=""),"",IFERROR(VLOOKUP(I209,'6_資料庫比對'!$A$6:$C$12,3,FALSE),""))</f>
        <v/>
      </c>
      <c r="T209" s="50">
        <f>IF(OR($A209="",$J209=""),"",MAX(0,IF(AND(N209&lt;&gt;"",O209&lt;&gt;""),MIN(J209-MAX(R209*ABS(J209),S209),N209),IF(AND(M209&lt;&gt;"",N(L209)&gt;=2),MIN(J209-MAX(R209*ABS(J209),S209),J209-2*M209),J209-MAX(R209*ABS(J209),S209)))))</f>
        <v/>
      </c>
      <c r="U209" s="50">
        <f>IF(OR($A209="",$J209=""),"",IF(AND(N209&lt;&gt;"",O209&lt;&gt;""),MAX(J209+MAX(R209*ABS(J209),S209),O209),IF(AND(M209&lt;&gt;"",N(L209)&gt;=2),MAX(J209+MAX(R209*ABS(J209),S209),J209+2*M209),J209+MAX(R209*ABS(J209),S209))))</f>
        <v/>
      </c>
      <c r="V209" s="51">
        <f>IF(OR($A209="",$J209=""),"",IF(COUNTIFS('6_資料庫比對'!$B$16:$B$25,A209,'6_資料庫比對'!$C$16:$C$25,I209)=0,"",IF(AND(SUMIFS('6_資料庫比對'!$F$16:$F$25,'6_資料庫比對'!$B$16:$B$25,A209,'6_資料庫比對'!$C$16:$C$25,I209)&gt;=T209,SUMIFS('6_資料庫比對'!$F$16:$F$25,'6_資料庫比對'!$B$16:$B$25,A209,'6_資料庫比對'!$C$16:$C$25,I209)&lt;=U209),"✓ 涵蓋","✗ 不涵蓋")))</f>
        <v/>
      </c>
    </row>
    <row r="210">
      <c r="A210" s="47" t="inlineStr">
        <is>
          <t>bread_flour</t>
        </is>
      </c>
      <c r="B210" s="47" t="inlineStr">
        <is>
          <t>高筋麵粉</t>
        </is>
      </c>
      <c r="C210" s="47" t="inlineStr">
        <is>
          <t>TFND</t>
        </is>
      </c>
      <c r="D210" s="47" t="inlineStr">
        <is>
          <t>食品營養成分資料集</t>
        </is>
      </c>
      <c r="E210" s="47" t="inlineStr">
        <is>
          <t>A0320404</t>
        </is>
      </c>
      <c r="F210" s="47" t="inlineStr">
        <is>
          <t>高筋麵粉</t>
        </is>
      </c>
      <c r="G210" s="47" t="inlineStr">
        <is>
          <t>exact</t>
        </is>
      </c>
      <c r="H210" s="47" t="n"/>
      <c r="I210" s="47" t="inlineStr">
        <is>
          <t>ash</t>
        </is>
      </c>
      <c r="J210" s="47" t="n">
        <v>0.6</v>
      </c>
      <c r="K210" s="47" t="inlineStr">
        <is>
          <t>g</t>
        </is>
      </c>
      <c r="L210" s="47" t="n">
        <v>2</v>
      </c>
      <c r="M210" s="47" t="n">
        <v>0.1</v>
      </c>
      <c r="N210" s="47" t="n"/>
      <c r="O210" s="47" t="n"/>
      <c r="P210" s="47" t="n"/>
      <c r="Q210" s="47" t="n"/>
      <c r="R210" s="48">
        <f>IF(OR($A210="",$J210=""),"",IFERROR(VLOOKUP(I210,'6_資料庫比對'!$A$6:$C$12,2,FALSE),""))</f>
        <v/>
      </c>
      <c r="S210" s="49">
        <f>IF(OR($A210="",$J210=""),"",IFERROR(VLOOKUP(I210,'6_資料庫比對'!$A$6:$C$12,3,FALSE),""))</f>
        <v/>
      </c>
      <c r="T210" s="50">
        <f>IF(OR($A210="",$J210=""),"",MAX(0,IF(AND(N210&lt;&gt;"",O210&lt;&gt;""),MIN(J210-MAX(R210*ABS(J210),S210),N210),IF(AND(M210&lt;&gt;"",N(L210)&gt;=2),MIN(J210-MAX(R210*ABS(J210),S210),J210-2*M210),J210-MAX(R210*ABS(J210),S210)))))</f>
        <v/>
      </c>
      <c r="U210" s="50">
        <f>IF(OR($A210="",$J210=""),"",IF(AND(N210&lt;&gt;"",O210&lt;&gt;""),MAX(J210+MAX(R210*ABS(J210),S210),O210),IF(AND(M210&lt;&gt;"",N(L210)&gt;=2),MAX(J210+MAX(R210*ABS(J210),S210),J210+2*M210),J210+MAX(R210*ABS(J210),S210))))</f>
        <v/>
      </c>
      <c r="V210" s="51">
        <f>IF(OR($A210="",$J210=""),"",IF(COUNTIFS('6_資料庫比對'!$B$16:$B$25,A210,'6_資料庫比對'!$C$16:$C$25,I210)=0,"",IF(AND(SUMIFS('6_資料庫比對'!$F$16:$F$25,'6_資料庫比對'!$B$16:$B$25,A210,'6_資料庫比對'!$C$16:$C$25,I210)&gt;=T210,SUMIFS('6_資料庫比對'!$F$16:$F$25,'6_資料庫比對'!$B$16:$B$25,A210,'6_資料庫比對'!$C$16:$C$25,I210)&lt;=U210),"✓ 涵蓋","✗ 不涵蓋")))</f>
        <v/>
      </c>
    </row>
    <row r="211">
      <c r="A211" s="47" t="inlineStr">
        <is>
          <t>bread_flour</t>
        </is>
      </c>
      <c r="B211" s="47" t="inlineStr">
        <is>
          <t>高筋麵粉</t>
        </is>
      </c>
      <c r="C211" s="47" t="inlineStr">
        <is>
          <t>TFND</t>
        </is>
      </c>
      <c r="D211" s="47" t="inlineStr">
        <is>
          <t>食品營養成分資料集</t>
        </is>
      </c>
      <c r="E211" s="47" t="inlineStr">
        <is>
          <t>A0320404</t>
        </is>
      </c>
      <c r="F211" s="47" t="inlineStr">
        <is>
          <t>高筋麵粉</t>
        </is>
      </c>
      <c r="G211" s="47" t="inlineStr">
        <is>
          <t>exact</t>
        </is>
      </c>
      <c r="H211" s="47" t="n"/>
      <c r="I211" s="47" t="inlineStr">
        <is>
          <t>carbohydrate</t>
        </is>
      </c>
      <c r="J211" s="47" t="n">
        <v>73.09999999999999</v>
      </c>
      <c r="K211" s="47" t="inlineStr">
        <is>
          <t>g</t>
        </is>
      </c>
      <c r="L211" s="47" t="n"/>
      <c r="M211" s="47" t="n"/>
      <c r="N211" s="47" t="n"/>
      <c r="O211" s="47" t="n"/>
      <c r="P211" s="47" t="n"/>
      <c r="Q211" s="47" t="n"/>
      <c r="R211" s="48">
        <f>IF(OR($A211="",$J211=""),"",IFERROR(VLOOKUP(I211,'6_資料庫比對'!$A$6:$C$12,2,FALSE),""))</f>
        <v/>
      </c>
      <c r="S211" s="49">
        <f>IF(OR($A211="",$J211=""),"",IFERROR(VLOOKUP(I211,'6_資料庫比對'!$A$6:$C$12,3,FALSE),""))</f>
        <v/>
      </c>
      <c r="T211" s="50">
        <f>IF(OR($A211="",$J211=""),"",MAX(0,IF(AND(N211&lt;&gt;"",O211&lt;&gt;""),MIN(J211-MAX(R211*ABS(J211),S211),N211),IF(AND(M211&lt;&gt;"",N(L211)&gt;=2),MIN(J211-MAX(R211*ABS(J211),S211),J211-2*M211),J211-MAX(R211*ABS(J211),S211)))))</f>
        <v/>
      </c>
      <c r="U211" s="50">
        <f>IF(OR($A211="",$J211=""),"",IF(AND(N211&lt;&gt;"",O211&lt;&gt;""),MAX(J211+MAX(R211*ABS(J211),S211),O211),IF(AND(M211&lt;&gt;"",N(L211)&gt;=2),MAX(J211+MAX(R211*ABS(J211),S211),J211+2*M211),J211+MAX(R211*ABS(J211),S211))))</f>
        <v/>
      </c>
      <c r="V211" s="51">
        <f>IF(OR($A211="",$J211=""),"",IF(COUNTIFS('6_資料庫比對'!$B$16:$B$25,A211,'6_資料庫比對'!$C$16:$C$25,I211)=0,"",IF(AND(SUMIFS('6_資料庫比對'!$F$16:$F$25,'6_資料庫比對'!$B$16:$B$25,A211,'6_資料庫比對'!$C$16:$C$25,I211)&gt;=T211,SUMIFS('6_資料庫比對'!$F$16:$F$25,'6_資料庫比對'!$B$16:$B$25,A211,'6_資料庫比對'!$C$16:$C$25,I211)&lt;=U211),"✓ 涵蓋","✗ 不涵蓋")))</f>
        <v/>
      </c>
    </row>
    <row r="212">
      <c r="A212" s="47" t="inlineStr">
        <is>
          <t>bread_flour</t>
        </is>
      </c>
      <c r="B212" s="47" t="inlineStr">
        <is>
          <t>高筋麵粉</t>
        </is>
      </c>
      <c r="C212" s="47" t="inlineStr">
        <is>
          <t>TFND</t>
        </is>
      </c>
      <c r="D212" s="47" t="inlineStr">
        <is>
          <t>食品營養成分資料集</t>
        </is>
      </c>
      <c r="E212" s="47" t="inlineStr">
        <is>
          <t>A0320404</t>
        </is>
      </c>
      <c r="F212" s="47" t="inlineStr">
        <is>
          <t>高筋麵粉</t>
        </is>
      </c>
      <c r="G212" s="47" t="inlineStr">
        <is>
          <t>exact</t>
        </is>
      </c>
      <c r="H212" s="47" t="n"/>
      <c r="I212" s="47" t="inlineStr">
        <is>
          <t>sodium</t>
        </is>
      </c>
      <c r="J212" s="47" t="n">
        <v>1</v>
      </c>
      <c r="K212" s="47" t="inlineStr">
        <is>
          <t>mg</t>
        </is>
      </c>
      <c r="L212" s="47" t="n">
        <v>2</v>
      </c>
      <c r="M212" s="47" t="n">
        <v>0</v>
      </c>
      <c r="N212" s="47" t="n"/>
      <c r="O212" s="47" t="n"/>
      <c r="P212" s="47" t="n"/>
      <c r="Q212" s="47" t="n"/>
      <c r="R212" s="48">
        <f>IF(OR($A212="",$J212=""),"",IFERROR(VLOOKUP(I212,'6_資料庫比對'!$A$6:$C$12,2,FALSE),""))</f>
        <v/>
      </c>
      <c r="S212" s="49">
        <f>IF(OR($A212="",$J212=""),"",IFERROR(VLOOKUP(I212,'6_資料庫比對'!$A$6:$C$12,3,FALSE),""))</f>
        <v/>
      </c>
      <c r="T212" s="50">
        <f>IF(OR($A212="",$J212=""),"",MAX(0,IF(AND(N212&lt;&gt;"",O212&lt;&gt;""),MIN(J212-MAX(R212*ABS(J212),S212),N212),IF(AND(M212&lt;&gt;"",N(L212)&gt;=2),MIN(J212-MAX(R212*ABS(J212),S212),J212-2*M212),J212-MAX(R212*ABS(J212),S212)))))</f>
        <v/>
      </c>
      <c r="U212" s="50">
        <f>IF(OR($A212="",$J212=""),"",IF(AND(N212&lt;&gt;"",O212&lt;&gt;""),MAX(J212+MAX(R212*ABS(J212),S212),O212),IF(AND(M212&lt;&gt;"",N(L212)&gt;=2),MAX(J212+MAX(R212*ABS(J212),S212),J212+2*M212),J212+MAX(R212*ABS(J212),S212))))</f>
        <v/>
      </c>
      <c r="V212" s="51">
        <f>IF(OR($A212="",$J212=""),"",IF(COUNTIFS('6_資料庫比對'!$B$16:$B$25,A212,'6_資料庫比對'!$C$16:$C$25,I212)=0,"",IF(AND(SUMIFS('6_資料庫比對'!$F$16:$F$25,'6_資料庫比對'!$B$16:$B$25,A212,'6_資料庫比對'!$C$16:$C$25,I212)&gt;=T212,SUMIFS('6_資料庫比對'!$F$16:$F$25,'6_資料庫比對'!$B$16:$B$25,A212,'6_資料庫比對'!$C$16:$C$25,I212)&lt;=U212),"✓ 涵蓋","✗ 不涵蓋")))</f>
        <v/>
      </c>
    </row>
    <row r="213">
      <c r="A213" s="47" t="inlineStr">
        <is>
          <t>all_purpose_flour</t>
        </is>
      </c>
      <c r="B213" s="47" t="inlineStr">
        <is>
          <t>中筋麵粉</t>
        </is>
      </c>
      <c r="C213" s="47" t="inlineStr">
        <is>
          <t>USDA</t>
        </is>
      </c>
      <c r="D213" s="47" t="inlineStr">
        <is>
          <t>Foundation</t>
        </is>
      </c>
      <c r="E213" s="47" t="n">
        <v>790018</v>
      </c>
      <c r="F213" s="47" t="inlineStr">
        <is>
          <t>Flour, wheat, all-purpose, unenriched, unbleached</t>
        </is>
      </c>
      <c r="G213" s="47" t="inlineStr">
        <is>
          <t>closest</t>
        </is>
      </c>
      <c r="H213" s="47" t="n"/>
      <c r="I213" s="47" t="inlineStr">
        <is>
          <t>water</t>
        </is>
      </c>
      <c r="J213" s="47" t="n">
        <v>11.1</v>
      </c>
      <c r="K213" s="47" t="inlineStr">
        <is>
          <t>g</t>
        </is>
      </c>
      <c r="L213" s="47" t="n">
        <v>6</v>
      </c>
      <c r="M213" s="47" t="n"/>
      <c r="N213" s="47" t="n">
        <v>8.19</v>
      </c>
      <c r="O213" s="47" t="n">
        <v>13.5</v>
      </c>
      <c r="P213" s="47" t="n">
        <v>11.1</v>
      </c>
      <c r="Q213" s="47" t="inlineStr">
        <is>
          <t>A: Analytical</t>
        </is>
      </c>
      <c r="R213" s="48">
        <f>IF(OR($A213="",$J213=""),"",IFERROR(VLOOKUP(I213,'6_資料庫比對'!$A$6:$C$12,2,FALSE),""))</f>
        <v/>
      </c>
      <c r="S213" s="49">
        <f>IF(OR($A213="",$J213=""),"",IFERROR(VLOOKUP(I213,'6_資料庫比對'!$A$6:$C$12,3,FALSE),""))</f>
        <v/>
      </c>
      <c r="T213" s="50">
        <f>IF(OR($A213="",$J213=""),"",MAX(0,IF(AND(N213&lt;&gt;"",O213&lt;&gt;""),MIN(J213-MAX(R213*ABS(J213),S213),N213),IF(AND(M213&lt;&gt;"",N(L213)&gt;=2),MIN(J213-MAX(R213*ABS(J213),S213),J213-2*M213),J213-MAX(R213*ABS(J213),S213)))))</f>
        <v/>
      </c>
      <c r="U213" s="50">
        <f>IF(OR($A213="",$J213=""),"",IF(AND(N213&lt;&gt;"",O213&lt;&gt;""),MAX(J213+MAX(R213*ABS(J213),S213),O213),IF(AND(M213&lt;&gt;"",N(L213)&gt;=2),MAX(J213+MAX(R213*ABS(J213),S213),J213+2*M213),J213+MAX(R213*ABS(J213),S213))))</f>
        <v/>
      </c>
      <c r="V213" s="51">
        <f>IF(OR($A213="",$J213=""),"",IF(COUNTIFS('6_資料庫比對'!$B$16:$B$25,A213,'6_資料庫比對'!$C$16:$C$25,I213)=0,"",IF(AND(SUMIFS('6_資料庫比對'!$F$16:$F$25,'6_資料庫比對'!$B$16:$B$25,A213,'6_資料庫比對'!$C$16:$C$25,I213)&gt;=T213,SUMIFS('6_資料庫比對'!$F$16:$F$25,'6_資料庫比對'!$B$16:$B$25,A213,'6_資料庫比對'!$C$16:$C$25,I213)&lt;=U213),"✓ 涵蓋","✗ 不涵蓋")))</f>
        <v/>
      </c>
    </row>
    <row r="214">
      <c r="A214" s="47" t="inlineStr">
        <is>
          <t>all_purpose_flour</t>
        </is>
      </c>
      <c r="B214" s="47" t="inlineStr">
        <is>
          <t>中筋麵粉</t>
        </is>
      </c>
      <c r="C214" s="47" t="inlineStr">
        <is>
          <t>USDA</t>
        </is>
      </c>
      <c r="D214" s="47" t="inlineStr">
        <is>
          <t>Foundation</t>
        </is>
      </c>
      <c r="E214" s="47" t="n">
        <v>790018</v>
      </c>
      <c r="F214" s="47" t="inlineStr">
        <is>
          <t>Flour, wheat, all-purpose, unenriched, unbleached</t>
        </is>
      </c>
      <c r="G214" s="47" t="inlineStr">
        <is>
          <t>closest</t>
        </is>
      </c>
      <c r="H214" s="47" t="n"/>
      <c r="I214" s="47" t="inlineStr">
        <is>
          <t>protein</t>
        </is>
      </c>
      <c r="J214" s="47" t="n">
        <v>12</v>
      </c>
      <c r="K214" s="47" t="inlineStr">
        <is>
          <t>g</t>
        </is>
      </c>
      <c r="L214" s="47" t="n"/>
      <c r="M214" s="47" t="n"/>
      <c r="N214" s="47" t="n">
        <v>10.5</v>
      </c>
      <c r="O214" s="47" t="n">
        <v>13.5</v>
      </c>
      <c r="P214" s="47" t="n">
        <v>12.2</v>
      </c>
      <c r="Q214" s="47" t="inlineStr">
        <is>
          <t>NC: Calculated</t>
        </is>
      </c>
      <c r="R214" s="48">
        <f>IF(OR($A214="",$J214=""),"",IFERROR(VLOOKUP(I214,'6_資料庫比對'!$A$6:$C$12,2,FALSE),""))</f>
        <v/>
      </c>
      <c r="S214" s="49">
        <f>IF(OR($A214="",$J214=""),"",IFERROR(VLOOKUP(I214,'6_資料庫比對'!$A$6:$C$12,3,FALSE),""))</f>
        <v/>
      </c>
      <c r="T214" s="50">
        <f>IF(OR($A214="",$J214=""),"",MAX(0,IF(AND(N214&lt;&gt;"",O214&lt;&gt;""),MIN(J214-MAX(R214*ABS(J214),S214),N214),IF(AND(M214&lt;&gt;"",N(L214)&gt;=2),MIN(J214-MAX(R214*ABS(J214),S214),J214-2*M214),J214-MAX(R214*ABS(J214),S214)))))</f>
        <v/>
      </c>
      <c r="U214" s="50">
        <f>IF(OR($A214="",$J214=""),"",IF(AND(N214&lt;&gt;"",O214&lt;&gt;""),MAX(J214+MAX(R214*ABS(J214),S214),O214),IF(AND(M214&lt;&gt;"",N(L214)&gt;=2),MAX(J214+MAX(R214*ABS(J214),S214),J214+2*M214),J214+MAX(R214*ABS(J214),S214))))</f>
        <v/>
      </c>
      <c r="V214" s="51">
        <f>IF(OR($A214="",$J214=""),"",IF(COUNTIFS('6_資料庫比對'!$B$16:$B$25,A214,'6_資料庫比對'!$C$16:$C$25,I214)=0,"",IF(AND(SUMIFS('6_資料庫比對'!$F$16:$F$25,'6_資料庫比對'!$B$16:$B$25,A214,'6_資料庫比對'!$C$16:$C$25,I214)&gt;=T214,SUMIFS('6_資料庫比對'!$F$16:$F$25,'6_資料庫比對'!$B$16:$B$25,A214,'6_資料庫比對'!$C$16:$C$25,I214)&lt;=U214),"✓ 涵蓋","✗ 不涵蓋")))</f>
        <v/>
      </c>
    </row>
    <row r="215">
      <c r="A215" s="47" t="inlineStr">
        <is>
          <t>all_purpose_flour</t>
        </is>
      </c>
      <c r="B215" s="47" t="inlineStr">
        <is>
          <t>中筋麵粉</t>
        </is>
      </c>
      <c r="C215" s="47" t="inlineStr">
        <is>
          <t>USDA</t>
        </is>
      </c>
      <c r="D215" s="47" t="inlineStr">
        <is>
          <t>Foundation</t>
        </is>
      </c>
      <c r="E215" s="47" t="n">
        <v>790018</v>
      </c>
      <c r="F215" s="47" t="inlineStr">
        <is>
          <t>Flour, wheat, all-purpose, unenriched, unbleached</t>
        </is>
      </c>
      <c r="G215" s="47" t="inlineStr">
        <is>
          <t>closest</t>
        </is>
      </c>
      <c r="H215" s="47" t="n"/>
      <c r="I215" s="47" t="inlineStr">
        <is>
          <t>fat</t>
        </is>
      </c>
      <c r="J215" s="47" t="n">
        <v>1.7</v>
      </c>
      <c r="K215" s="47" t="inlineStr">
        <is>
          <t>g</t>
        </is>
      </c>
      <c r="L215" s="47" t="n">
        <v>6</v>
      </c>
      <c r="M215" s="47" t="n"/>
      <c r="N215" s="47" t="n">
        <v>1.5</v>
      </c>
      <c r="O215" s="47" t="n">
        <v>2.3</v>
      </c>
      <c r="P215" s="47" t="n">
        <v>1.6</v>
      </c>
      <c r="Q215" s="47" t="inlineStr">
        <is>
          <t>A: Analytical</t>
        </is>
      </c>
      <c r="R215" s="48">
        <f>IF(OR($A215="",$J215=""),"",IFERROR(VLOOKUP(I215,'6_資料庫比對'!$A$6:$C$12,2,FALSE),""))</f>
        <v/>
      </c>
      <c r="S215" s="49">
        <f>IF(OR($A215="",$J215=""),"",IFERROR(VLOOKUP(I215,'6_資料庫比對'!$A$6:$C$12,3,FALSE),""))</f>
        <v/>
      </c>
      <c r="T215" s="50">
        <f>IF(OR($A215="",$J215=""),"",MAX(0,IF(AND(N215&lt;&gt;"",O215&lt;&gt;""),MIN(J215-MAX(R215*ABS(J215),S215),N215),IF(AND(M215&lt;&gt;"",N(L215)&gt;=2),MIN(J215-MAX(R215*ABS(J215),S215),J215-2*M215),J215-MAX(R215*ABS(J215),S215)))))</f>
        <v/>
      </c>
      <c r="U215" s="50">
        <f>IF(OR($A215="",$J215=""),"",IF(AND(N215&lt;&gt;"",O215&lt;&gt;""),MAX(J215+MAX(R215*ABS(J215),S215),O215),IF(AND(M215&lt;&gt;"",N(L215)&gt;=2),MAX(J215+MAX(R215*ABS(J215),S215),J215+2*M215),J215+MAX(R215*ABS(J215),S215))))</f>
        <v/>
      </c>
      <c r="V215" s="51">
        <f>IF(OR($A215="",$J215=""),"",IF(COUNTIFS('6_資料庫比對'!$B$16:$B$25,A215,'6_資料庫比對'!$C$16:$C$25,I215)=0,"",IF(AND(SUMIFS('6_資料庫比對'!$F$16:$F$25,'6_資料庫比對'!$B$16:$B$25,A215,'6_資料庫比對'!$C$16:$C$25,I215)&gt;=T215,SUMIFS('6_資料庫比對'!$F$16:$F$25,'6_資料庫比對'!$B$16:$B$25,A215,'6_資料庫比對'!$C$16:$C$25,I215)&lt;=U215),"✓ 涵蓋","✗ 不涵蓋")))</f>
        <v/>
      </c>
    </row>
    <row r="216">
      <c r="A216" s="47" t="inlineStr">
        <is>
          <t>all_purpose_flour</t>
        </is>
      </c>
      <c r="B216" s="47" t="inlineStr">
        <is>
          <t>中筋麵粉</t>
        </is>
      </c>
      <c r="C216" s="47" t="inlineStr">
        <is>
          <t>USDA</t>
        </is>
      </c>
      <c r="D216" s="47" t="inlineStr">
        <is>
          <t>Foundation</t>
        </is>
      </c>
      <c r="E216" s="47" t="n">
        <v>790018</v>
      </c>
      <c r="F216" s="47" t="inlineStr">
        <is>
          <t>Flour, wheat, all-purpose, unenriched, unbleached</t>
        </is>
      </c>
      <c r="G216" s="47" t="inlineStr">
        <is>
          <t>closest</t>
        </is>
      </c>
      <c r="H216" s="47" t="n"/>
      <c r="I216" s="47" t="inlineStr">
        <is>
          <t>ash</t>
        </is>
      </c>
      <c r="J216" s="47" t="n">
        <v>0.5600000000000001</v>
      </c>
      <c r="K216" s="47" t="inlineStr">
        <is>
          <t>g</t>
        </is>
      </c>
      <c r="L216" s="47" t="n">
        <v>6</v>
      </c>
      <c r="M216" s="47" t="n"/>
      <c r="N216" s="47" t="n">
        <v>0.43</v>
      </c>
      <c r="O216" s="47" t="n">
        <v>0.77</v>
      </c>
      <c r="P216" s="47" t="n">
        <v>0.5600000000000001</v>
      </c>
      <c r="Q216" s="47" t="inlineStr">
        <is>
          <t>A: Analytical</t>
        </is>
      </c>
      <c r="R216" s="48">
        <f>IF(OR($A216="",$J216=""),"",IFERROR(VLOOKUP(I216,'6_資料庫比對'!$A$6:$C$12,2,FALSE),""))</f>
        <v/>
      </c>
      <c r="S216" s="49">
        <f>IF(OR($A216="",$J216=""),"",IFERROR(VLOOKUP(I216,'6_資料庫比對'!$A$6:$C$12,3,FALSE),""))</f>
        <v/>
      </c>
      <c r="T216" s="50">
        <f>IF(OR($A216="",$J216=""),"",MAX(0,IF(AND(N216&lt;&gt;"",O216&lt;&gt;""),MIN(J216-MAX(R216*ABS(J216),S216),N216),IF(AND(M216&lt;&gt;"",N(L216)&gt;=2),MIN(J216-MAX(R216*ABS(J216),S216),J216-2*M216),J216-MAX(R216*ABS(J216),S216)))))</f>
        <v/>
      </c>
      <c r="U216" s="50">
        <f>IF(OR($A216="",$J216=""),"",IF(AND(N216&lt;&gt;"",O216&lt;&gt;""),MAX(J216+MAX(R216*ABS(J216),S216),O216),IF(AND(M216&lt;&gt;"",N(L216)&gt;=2),MAX(J216+MAX(R216*ABS(J216),S216),J216+2*M216),J216+MAX(R216*ABS(J216),S216))))</f>
        <v/>
      </c>
      <c r="V216" s="51">
        <f>IF(OR($A216="",$J216=""),"",IF(COUNTIFS('6_資料庫比對'!$B$16:$B$25,A216,'6_資料庫比對'!$C$16:$C$25,I216)=0,"",IF(AND(SUMIFS('6_資料庫比對'!$F$16:$F$25,'6_資料庫比對'!$B$16:$B$25,A216,'6_資料庫比對'!$C$16:$C$25,I216)&gt;=T216,SUMIFS('6_資料庫比對'!$F$16:$F$25,'6_資料庫比對'!$B$16:$B$25,A216,'6_資料庫比對'!$C$16:$C$25,I216)&lt;=U216),"✓ 涵蓋","✗ 不涵蓋")))</f>
        <v/>
      </c>
    </row>
    <row r="217">
      <c r="A217" s="47" t="inlineStr">
        <is>
          <t>all_purpose_flour</t>
        </is>
      </c>
      <c r="B217" s="47" t="inlineStr">
        <is>
          <t>中筋麵粉</t>
        </is>
      </c>
      <c r="C217" s="47" t="inlineStr">
        <is>
          <t>USDA</t>
        </is>
      </c>
      <c r="D217" s="47" t="inlineStr">
        <is>
          <t>Foundation</t>
        </is>
      </c>
      <c r="E217" s="47" t="n">
        <v>790018</v>
      </c>
      <c r="F217" s="47" t="inlineStr">
        <is>
          <t>Flour, wheat, all-purpose, unenriched, unbleached</t>
        </is>
      </c>
      <c r="G217" s="47" t="inlineStr">
        <is>
          <t>closest</t>
        </is>
      </c>
      <c r="H217" s="47" t="n"/>
      <c r="I217" s="47" t="inlineStr">
        <is>
          <t>carbohydrate</t>
        </is>
      </c>
      <c r="J217" s="47" t="n">
        <v>74.59999999999999</v>
      </c>
      <c r="K217" s="47" t="inlineStr">
        <is>
          <t>g</t>
        </is>
      </c>
      <c r="L217" s="47" t="n"/>
      <c r="M217" s="47" t="n"/>
      <c r="N217" s="47" t="n"/>
      <c r="O217" s="47" t="n"/>
      <c r="P217" s="47" t="n"/>
      <c r="Q217" s="47" t="inlineStr">
        <is>
          <t>NC: Calculated</t>
        </is>
      </c>
      <c r="R217" s="48">
        <f>IF(OR($A217="",$J217=""),"",IFERROR(VLOOKUP(I217,'6_資料庫比對'!$A$6:$C$12,2,FALSE),""))</f>
        <v/>
      </c>
      <c r="S217" s="49">
        <f>IF(OR($A217="",$J217=""),"",IFERROR(VLOOKUP(I217,'6_資料庫比對'!$A$6:$C$12,3,FALSE),""))</f>
        <v/>
      </c>
      <c r="T217" s="50">
        <f>IF(OR($A217="",$J217=""),"",MAX(0,IF(AND(N217&lt;&gt;"",O217&lt;&gt;""),MIN(J217-MAX(R217*ABS(J217),S217),N217),IF(AND(M217&lt;&gt;"",N(L217)&gt;=2),MIN(J217-MAX(R217*ABS(J217),S217),J217-2*M217),J217-MAX(R217*ABS(J217),S217)))))</f>
        <v/>
      </c>
      <c r="U217" s="50">
        <f>IF(OR($A217="",$J217=""),"",IF(AND(N217&lt;&gt;"",O217&lt;&gt;""),MAX(J217+MAX(R217*ABS(J217),S217),O217),IF(AND(M217&lt;&gt;"",N(L217)&gt;=2),MAX(J217+MAX(R217*ABS(J217),S217),J217+2*M217),J217+MAX(R217*ABS(J217),S217))))</f>
        <v/>
      </c>
      <c r="V217" s="51">
        <f>IF(OR($A217="",$J217=""),"",IF(COUNTIFS('6_資料庫比對'!$B$16:$B$25,A217,'6_資料庫比對'!$C$16:$C$25,I217)=0,"",IF(AND(SUMIFS('6_資料庫比對'!$F$16:$F$25,'6_資料庫比對'!$B$16:$B$25,A217,'6_資料庫比對'!$C$16:$C$25,I217)&gt;=T217,SUMIFS('6_資料庫比對'!$F$16:$F$25,'6_資料庫比對'!$B$16:$B$25,A217,'6_資料庫比對'!$C$16:$C$25,I217)&lt;=U217),"✓ 涵蓋","✗ 不涵蓋")))</f>
        <v/>
      </c>
    </row>
    <row r="218">
      <c r="A218" s="47" t="inlineStr">
        <is>
          <t>all_purpose_flour</t>
        </is>
      </c>
      <c r="B218" s="47" t="inlineStr">
        <is>
          <t>中筋麵粉</t>
        </is>
      </c>
      <c r="C218" s="47" t="inlineStr">
        <is>
          <t>USDA</t>
        </is>
      </c>
      <c r="D218" s="47" t="inlineStr">
        <is>
          <t>Foundation</t>
        </is>
      </c>
      <c r="E218" s="47" t="n">
        <v>790018</v>
      </c>
      <c r="F218" s="47" t="inlineStr">
        <is>
          <t>Flour, wheat, all-purpose, unenriched, unbleached</t>
        </is>
      </c>
      <c r="G218" s="47" t="inlineStr">
        <is>
          <t>closest</t>
        </is>
      </c>
      <c r="H218" s="47" t="n"/>
      <c r="I218" s="47" t="inlineStr">
        <is>
          <t>sodium</t>
        </is>
      </c>
      <c r="J218" s="47" t="n">
        <v>2</v>
      </c>
      <c r="K218" s="47" t="inlineStr">
        <is>
          <t>mg</t>
        </is>
      </c>
      <c r="L218" s="47" t="n">
        <v>6</v>
      </c>
      <c r="M218" s="47" t="n"/>
      <c r="N218" s="47" t="n">
        <v>0</v>
      </c>
      <c r="O218" s="47" t="n">
        <v>3</v>
      </c>
      <c r="P218" s="47" t="n">
        <v>3</v>
      </c>
      <c r="Q218" s="47" t="inlineStr">
        <is>
          <t>A: Analytical</t>
        </is>
      </c>
      <c r="R218" s="48">
        <f>IF(OR($A218="",$J218=""),"",IFERROR(VLOOKUP(I218,'6_資料庫比對'!$A$6:$C$12,2,FALSE),""))</f>
        <v/>
      </c>
      <c r="S218" s="49">
        <f>IF(OR($A218="",$J218=""),"",IFERROR(VLOOKUP(I218,'6_資料庫比對'!$A$6:$C$12,3,FALSE),""))</f>
        <v/>
      </c>
      <c r="T218" s="50">
        <f>IF(OR($A218="",$J218=""),"",MAX(0,IF(AND(N218&lt;&gt;"",O218&lt;&gt;""),MIN(J218-MAX(R218*ABS(J218),S218),N218),IF(AND(M218&lt;&gt;"",N(L218)&gt;=2),MIN(J218-MAX(R218*ABS(J218),S218),J218-2*M218),J218-MAX(R218*ABS(J218),S218)))))</f>
        <v/>
      </c>
      <c r="U218" s="50">
        <f>IF(OR($A218="",$J218=""),"",IF(AND(N218&lt;&gt;"",O218&lt;&gt;""),MAX(J218+MAX(R218*ABS(J218),S218),O218),IF(AND(M218&lt;&gt;"",N(L218)&gt;=2),MAX(J218+MAX(R218*ABS(J218),S218),J218+2*M218),J218+MAX(R218*ABS(J218),S218))))</f>
        <v/>
      </c>
      <c r="V218" s="51">
        <f>IF(OR($A218="",$J218=""),"",IF(COUNTIFS('6_資料庫比對'!$B$16:$B$25,A218,'6_資料庫比對'!$C$16:$C$25,I218)=0,"",IF(AND(SUMIFS('6_資料庫比對'!$F$16:$F$25,'6_資料庫比對'!$B$16:$B$25,A218,'6_資料庫比對'!$C$16:$C$25,I218)&gt;=T218,SUMIFS('6_資料庫比對'!$F$16:$F$25,'6_資料庫比對'!$B$16:$B$25,A218,'6_資料庫比對'!$C$16:$C$25,I218)&lt;=U218),"✓ 涵蓋","✗ 不涵蓋")))</f>
        <v/>
      </c>
    </row>
    <row r="219">
      <c r="A219" s="47" t="inlineStr">
        <is>
          <t>all_purpose_flour</t>
        </is>
      </c>
      <c r="B219" s="47" t="inlineStr">
        <is>
          <t>中筋麵粉</t>
        </is>
      </c>
      <c r="C219" s="47" t="inlineStr">
        <is>
          <t>TFND</t>
        </is>
      </c>
      <c r="D219" s="47" t="inlineStr">
        <is>
          <t>食品營養成分資料集</t>
        </is>
      </c>
      <c r="E219" s="47" t="inlineStr">
        <is>
          <t>A0320301</t>
        </is>
      </c>
      <c r="F219" s="47" t="inlineStr">
        <is>
          <t>中筋麵粉</t>
        </is>
      </c>
      <c r="G219" s="47" t="inlineStr">
        <is>
          <t>exact</t>
        </is>
      </c>
      <c r="H219" s="47" t="n"/>
      <c r="I219" s="47" t="inlineStr">
        <is>
          <t>water</t>
        </is>
      </c>
      <c r="J219" s="47" t="n">
        <v>12.6</v>
      </c>
      <c r="K219" s="47" t="inlineStr">
        <is>
          <t>g</t>
        </is>
      </c>
      <c r="L219" s="47" t="n">
        <v>2</v>
      </c>
      <c r="M219" s="47" t="n">
        <v>0.8</v>
      </c>
      <c r="N219" s="47" t="n"/>
      <c r="O219" s="47" t="n"/>
      <c r="P219" s="47" t="n"/>
      <c r="Q219" s="47" t="n"/>
      <c r="R219" s="48">
        <f>IF(OR($A219="",$J219=""),"",IFERROR(VLOOKUP(I219,'6_資料庫比對'!$A$6:$C$12,2,FALSE),""))</f>
        <v/>
      </c>
      <c r="S219" s="49">
        <f>IF(OR($A219="",$J219=""),"",IFERROR(VLOOKUP(I219,'6_資料庫比對'!$A$6:$C$12,3,FALSE),""))</f>
        <v/>
      </c>
      <c r="T219" s="50">
        <f>IF(OR($A219="",$J219=""),"",MAX(0,IF(AND(N219&lt;&gt;"",O219&lt;&gt;""),MIN(J219-MAX(R219*ABS(J219),S219),N219),IF(AND(M219&lt;&gt;"",N(L219)&gt;=2),MIN(J219-MAX(R219*ABS(J219),S219),J219-2*M219),J219-MAX(R219*ABS(J219),S219)))))</f>
        <v/>
      </c>
      <c r="U219" s="50">
        <f>IF(OR($A219="",$J219=""),"",IF(AND(N219&lt;&gt;"",O219&lt;&gt;""),MAX(J219+MAX(R219*ABS(J219),S219),O219),IF(AND(M219&lt;&gt;"",N(L219)&gt;=2),MAX(J219+MAX(R219*ABS(J219),S219),J219+2*M219),J219+MAX(R219*ABS(J219),S219))))</f>
        <v/>
      </c>
      <c r="V219" s="51">
        <f>IF(OR($A219="",$J219=""),"",IF(COUNTIFS('6_資料庫比對'!$B$16:$B$25,A219,'6_資料庫比對'!$C$16:$C$25,I219)=0,"",IF(AND(SUMIFS('6_資料庫比對'!$F$16:$F$25,'6_資料庫比對'!$B$16:$B$25,A219,'6_資料庫比對'!$C$16:$C$25,I219)&gt;=T219,SUMIFS('6_資料庫比對'!$F$16:$F$25,'6_資料庫比對'!$B$16:$B$25,A219,'6_資料庫比對'!$C$16:$C$25,I219)&lt;=U219),"✓ 涵蓋","✗ 不涵蓋")))</f>
        <v/>
      </c>
    </row>
    <row r="220">
      <c r="A220" s="47" t="inlineStr">
        <is>
          <t>all_purpose_flour</t>
        </is>
      </c>
      <c r="B220" s="47" t="inlineStr">
        <is>
          <t>中筋麵粉</t>
        </is>
      </c>
      <c r="C220" s="47" t="inlineStr">
        <is>
          <t>TFND</t>
        </is>
      </c>
      <c r="D220" s="47" t="inlineStr">
        <is>
          <t>食品營養成分資料集</t>
        </is>
      </c>
      <c r="E220" s="47" t="inlineStr">
        <is>
          <t>A0320301</t>
        </is>
      </c>
      <c r="F220" s="47" t="inlineStr">
        <is>
          <t>中筋麵粉</t>
        </is>
      </c>
      <c r="G220" s="47" t="inlineStr">
        <is>
          <t>exact</t>
        </is>
      </c>
      <c r="H220" s="47" t="n"/>
      <c r="I220" s="47" t="inlineStr">
        <is>
          <t>protein</t>
        </is>
      </c>
      <c r="J220" s="47" t="n">
        <v>11.5</v>
      </c>
      <c r="K220" s="47" t="inlineStr">
        <is>
          <t>g</t>
        </is>
      </c>
      <c r="L220" s="47" t="n">
        <v>2</v>
      </c>
      <c r="M220" s="47" t="n">
        <v>0.9</v>
      </c>
      <c r="N220" s="47" t="n"/>
      <c r="O220" s="47" t="n"/>
      <c r="P220" s="47" t="n"/>
      <c r="Q220" s="47" t="n"/>
      <c r="R220" s="48">
        <f>IF(OR($A220="",$J220=""),"",IFERROR(VLOOKUP(I220,'6_資料庫比對'!$A$6:$C$12,2,FALSE),""))</f>
        <v/>
      </c>
      <c r="S220" s="49">
        <f>IF(OR($A220="",$J220=""),"",IFERROR(VLOOKUP(I220,'6_資料庫比對'!$A$6:$C$12,3,FALSE),""))</f>
        <v/>
      </c>
      <c r="T220" s="50">
        <f>IF(OR($A220="",$J220=""),"",MAX(0,IF(AND(N220&lt;&gt;"",O220&lt;&gt;""),MIN(J220-MAX(R220*ABS(J220),S220),N220),IF(AND(M220&lt;&gt;"",N(L220)&gt;=2),MIN(J220-MAX(R220*ABS(J220),S220),J220-2*M220),J220-MAX(R220*ABS(J220),S220)))))</f>
        <v/>
      </c>
      <c r="U220" s="50">
        <f>IF(OR($A220="",$J220=""),"",IF(AND(N220&lt;&gt;"",O220&lt;&gt;""),MAX(J220+MAX(R220*ABS(J220),S220),O220),IF(AND(M220&lt;&gt;"",N(L220)&gt;=2),MAX(J220+MAX(R220*ABS(J220),S220),J220+2*M220),J220+MAX(R220*ABS(J220),S220))))</f>
        <v/>
      </c>
      <c r="V220" s="51">
        <f>IF(OR($A220="",$J220=""),"",IF(COUNTIFS('6_資料庫比對'!$B$16:$B$25,A220,'6_資料庫比對'!$C$16:$C$25,I220)=0,"",IF(AND(SUMIFS('6_資料庫比對'!$F$16:$F$25,'6_資料庫比對'!$B$16:$B$25,A220,'6_資料庫比對'!$C$16:$C$25,I220)&gt;=T220,SUMIFS('6_資料庫比對'!$F$16:$F$25,'6_資料庫比對'!$B$16:$B$25,A220,'6_資料庫比對'!$C$16:$C$25,I220)&lt;=U220),"✓ 涵蓋","✗ 不涵蓋")))</f>
        <v/>
      </c>
    </row>
    <row r="221">
      <c r="A221" s="47" t="inlineStr">
        <is>
          <t>all_purpose_flour</t>
        </is>
      </c>
      <c r="B221" s="47" t="inlineStr">
        <is>
          <t>中筋麵粉</t>
        </is>
      </c>
      <c r="C221" s="47" t="inlineStr">
        <is>
          <t>TFND</t>
        </is>
      </c>
      <c r="D221" s="47" t="inlineStr">
        <is>
          <t>食品營養成分資料集</t>
        </is>
      </c>
      <c r="E221" s="47" t="inlineStr">
        <is>
          <t>A0320301</t>
        </is>
      </c>
      <c r="F221" s="47" t="inlineStr">
        <is>
          <t>中筋麵粉</t>
        </is>
      </c>
      <c r="G221" s="47" t="inlineStr">
        <is>
          <t>exact</t>
        </is>
      </c>
      <c r="H221" s="47" t="n"/>
      <c r="I221" s="47" t="inlineStr">
        <is>
          <t>fat</t>
        </is>
      </c>
      <c r="J221" s="47" t="n">
        <v>1.3</v>
      </c>
      <c r="K221" s="47" t="inlineStr">
        <is>
          <t>g</t>
        </is>
      </c>
      <c r="L221" s="47" t="n">
        <v>2</v>
      </c>
      <c r="M221" s="47" t="n">
        <v>0.1</v>
      </c>
      <c r="N221" s="47" t="n"/>
      <c r="O221" s="47" t="n"/>
      <c r="P221" s="47" t="n"/>
      <c r="Q221" s="47" t="n"/>
      <c r="R221" s="48">
        <f>IF(OR($A221="",$J221=""),"",IFERROR(VLOOKUP(I221,'6_資料庫比對'!$A$6:$C$12,2,FALSE),""))</f>
        <v/>
      </c>
      <c r="S221" s="49">
        <f>IF(OR($A221="",$J221=""),"",IFERROR(VLOOKUP(I221,'6_資料庫比對'!$A$6:$C$12,3,FALSE),""))</f>
        <v/>
      </c>
      <c r="T221" s="50">
        <f>IF(OR($A221="",$J221=""),"",MAX(0,IF(AND(N221&lt;&gt;"",O221&lt;&gt;""),MIN(J221-MAX(R221*ABS(J221),S221),N221),IF(AND(M221&lt;&gt;"",N(L221)&gt;=2),MIN(J221-MAX(R221*ABS(J221),S221),J221-2*M221),J221-MAX(R221*ABS(J221),S221)))))</f>
        <v/>
      </c>
      <c r="U221" s="50">
        <f>IF(OR($A221="",$J221=""),"",IF(AND(N221&lt;&gt;"",O221&lt;&gt;""),MAX(J221+MAX(R221*ABS(J221),S221),O221),IF(AND(M221&lt;&gt;"",N(L221)&gt;=2),MAX(J221+MAX(R221*ABS(J221),S221),J221+2*M221),J221+MAX(R221*ABS(J221),S221))))</f>
        <v/>
      </c>
      <c r="V221" s="51">
        <f>IF(OR($A221="",$J221=""),"",IF(COUNTIFS('6_資料庫比對'!$B$16:$B$25,A221,'6_資料庫比對'!$C$16:$C$25,I221)=0,"",IF(AND(SUMIFS('6_資料庫比對'!$F$16:$F$25,'6_資料庫比對'!$B$16:$B$25,A221,'6_資料庫比對'!$C$16:$C$25,I221)&gt;=T221,SUMIFS('6_資料庫比對'!$F$16:$F$25,'6_資料庫比對'!$B$16:$B$25,A221,'6_資料庫比對'!$C$16:$C$25,I221)&lt;=U221),"✓ 涵蓋","✗ 不涵蓋")))</f>
        <v/>
      </c>
    </row>
    <row r="222">
      <c r="A222" s="47" t="inlineStr">
        <is>
          <t>all_purpose_flour</t>
        </is>
      </c>
      <c r="B222" s="47" t="inlineStr">
        <is>
          <t>中筋麵粉</t>
        </is>
      </c>
      <c r="C222" s="47" t="inlineStr">
        <is>
          <t>TFND</t>
        </is>
      </c>
      <c r="D222" s="47" t="inlineStr">
        <is>
          <t>食品營養成分資料集</t>
        </is>
      </c>
      <c r="E222" s="47" t="inlineStr">
        <is>
          <t>A0320301</t>
        </is>
      </c>
      <c r="F222" s="47" t="inlineStr">
        <is>
          <t>中筋麵粉</t>
        </is>
      </c>
      <c r="G222" s="47" t="inlineStr">
        <is>
          <t>exact</t>
        </is>
      </c>
      <c r="H222" s="47" t="n"/>
      <c r="I222" s="47" t="inlineStr">
        <is>
          <t>ash</t>
        </is>
      </c>
      <c r="J222" s="47" t="n">
        <v>0.5</v>
      </c>
      <c r="K222" s="47" t="inlineStr">
        <is>
          <t>g</t>
        </is>
      </c>
      <c r="L222" s="47" t="n">
        <v>2</v>
      </c>
      <c r="M222" s="47" t="n">
        <v>0</v>
      </c>
      <c r="N222" s="47" t="n"/>
      <c r="O222" s="47" t="n"/>
      <c r="P222" s="47" t="n"/>
      <c r="Q222" s="47" t="n"/>
      <c r="R222" s="48">
        <f>IF(OR($A222="",$J222=""),"",IFERROR(VLOOKUP(I222,'6_資料庫比對'!$A$6:$C$12,2,FALSE),""))</f>
        <v/>
      </c>
      <c r="S222" s="49">
        <f>IF(OR($A222="",$J222=""),"",IFERROR(VLOOKUP(I222,'6_資料庫比對'!$A$6:$C$12,3,FALSE),""))</f>
        <v/>
      </c>
      <c r="T222" s="50">
        <f>IF(OR($A222="",$J222=""),"",MAX(0,IF(AND(N222&lt;&gt;"",O222&lt;&gt;""),MIN(J222-MAX(R222*ABS(J222),S222),N222),IF(AND(M222&lt;&gt;"",N(L222)&gt;=2),MIN(J222-MAX(R222*ABS(J222),S222),J222-2*M222),J222-MAX(R222*ABS(J222),S222)))))</f>
        <v/>
      </c>
      <c r="U222" s="50">
        <f>IF(OR($A222="",$J222=""),"",IF(AND(N222&lt;&gt;"",O222&lt;&gt;""),MAX(J222+MAX(R222*ABS(J222),S222),O222),IF(AND(M222&lt;&gt;"",N(L222)&gt;=2),MAX(J222+MAX(R222*ABS(J222),S222),J222+2*M222),J222+MAX(R222*ABS(J222),S222))))</f>
        <v/>
      </c>
      <c r="V222" s="51">
        <f>IF(OR($A222="",$J222=""),"",IF(COUNTIFS('6_資料庫比對'!$B$16:$B$25,A222,'6_資料庫比對'!$C$16:$C$25,I222)=0,"",IF(AND(SUMIFS('6_資料庫比對'!$F$16:$F$25,'6_資料庫比對'!$B$16:$B$25,A222,'6_資料庫比對'!$C$16:$C$25,I222)&gt;=T222,SUMIFS('6_資料庫比對'!$F$16:$F$25,'6_資料庫比對'!$B$16:$B$25,A222,'6_資料庫比對'!$C$16:$C$25,I222)&lt;=U222),"✓ 涵蓋","✗ 不涵蓋")))</f>
        <v/>
      </c>
    </row>
    <row r="223">
      <c r="A223" s="47" t="inlineStr">
        <is>
          <t>all_purpose_flour</t>
        </is>
      </c>
      <c r="B223" s="47" t="inlineStr">
        <is>
          <t>中筋麵粉</t>
        </is>
      </c>
      <c r="C223" s="47" t="inlineStr">
        <is>
          <t>TFND</t>
        </is>
      </c>
      <c r="D223" s="47" t="inlineStr">
        <is>
          <t>食品營養成分資料集</t>
        </is>
      </c>
      <c r="E223" s="47" t="inlineStr">
        <is>
          <t>A0320301</t>
        </is>
      </c>
      <c r="F223" s="47" t="inlineStr">
        <is>
          <t>中筋麵粉</t>
        </is>
      </c>
      <c r="G223" s="47" t="inlineStr">
        <is>
          <t>exact</t>
        </is>
      </c>
      <c r="H223" s="47" t="n"/>
      <c r="I223" s="47" t="inlineStr">
        <is>
          <t>carbohydrate</t>
        </is>
      </c>
      <c r="J223" s="47" t="n">
        <v>74.09999999999999</v>
      </c>
      <c r="K223" s="47" t="inlineStr">
        <is>
          <t>g</t>
        </is>
      </c>
      <c r="L223" s="47" t="n"/>
      <c r="M223" s="47" t="n"/>
      <c r="N223" s="47" t="n"/>
      <c r="O223" s="47" t="n"/>
      <c r="P223" s="47" t="n"/>
      <c r="Q223" s="47" t="n"/>
      <c r="R223" s="48">
        <f>IF(OR($A223="",$J223=""),"",IFERROR(VLOOKUP(I223,'6_資料庫比對'!$A$6:$C$12,2,FALSE),""))</f>
        <v/>
      </c>
      <c r="S223" s="49">
        <f>IF(OR($A223="",$J223=""),"",IFERROR(VLOOKUP(I223,'6_資料庫比對'!$A$6:$C$12,3,FALSE),""))</f>
        <v/>
      </c>
      <c r="T223" s="50">
        <f>IF(OR($A223="",$J223=""),"",MAX(0,IF(AND(N223&lt;&gt;"",O223&lt;&gt;""),MIN(J223-MAX(R223*ABS(J223),S223),N223),IF(AND(M223&lt;&gt;"",N(L223)&gt;=2),MIN(J223-MAX(R223*ABS(J223),S223),J223-2*M223),J223-MAX(R223*ABS(J223),S223)))))</f>
        <v/>
      </c>
      <c r="U223" s="50">
        <f>IF(OR($A223="",$J223=""),"",IF(AND(N223&lt;&gt;"",O223&lt;&gt;""),MAX(J223+MAX(R223*ABS(J223),S223),O223),IF(AND(M223&lt;&gt;"",N(L223)&gt;=2),MAX(J223+MAX(R223*ABS(J223),S223),J223+2*M223),J223+MAX(R223*ABS(J223),S223))))</f>
        <v/>
      </c>
      <c r="V223" s="51">
        <f>IF(OR($A223="",$J223=""),"",IF(COUNTIFS('6_資料庫比對'!$B$16:$B$25,A223,'6_資料庫比對'!$C$16:$C$25,I223)=0,"",IF(AND(SUMIFS('6_資料庫比對'!$F$16:$F$25,'6_資料庫比對'!$B$16:$B$25,A223,'6_資料庫比對'!$C$16:$C$25,I223)&gt;=T223,SUMIFS('6_資料庫比對'!$F$16:$F$25,'6_資料庫比對'!$B$16:$B$25,A223,'6_資料庫比對'!$C$16:$C$25,I223)&lt;=U223),"✓ 涵蓋","✗ 不涵蓋")))</f>
        <v/>
      </c>
    </row>
    <row r="224">
      <c r="A224" s="47" t="inlineStr">
        <is>
          <t>all_purpose_flour</t>
        </is>
      </c>
      <c r="B224" s="47" t="inlineStr">
        <is>
          <t>中筋麵粉</t>
        </is>
      </c>
      <c r="C224" s="47" t="inlineStr">
        <is>
          <t>TFND</t>
        </is>
      </c>
      <c r="D224" s="47" t="inlineStr">
        <is>
          <t>食品營養成分資料集</t>
        </is>
      </c>
      <c r="E224" s="47" t="inlineStr">
        <is>
          <t>A0320301</t>
        </is>
      </c>
      <c r="F224" s="47" t="inlineStr">
        <is>
          <t>中筋麵粉</t>
        </is>
      </c>
      <c r="G224" s="47" t="inlineStr">
        <is>
          <t>exact</t>
        </is>
      </c>
      <c r="H224" s="47" t="n"/>
      <c r="I224" s="47" t="inlineStr">
        <is>
          <t>sodium</t>
        </is>
      </c>
      <c r="J224" s="47" t="n">
        <v>4</v>
      </c>
      <c r="K224" s="47" t="inlineStr">
        <is>
          <t>mg</t>
        </is>
      </c>
      <c r="L224" s="47" t="n">
        <v>2</v>
      </c>
      <c r="M224" s="47" t="n">
        <v>4</v>
      </c>
      <c r="N224" s="47" t="n"/>
      <c r="O224" s="47" t="n"/>
      <c r="P224" s="47" t="n"/>
      <c r="Q224" s="47" t="n"/>
      <c r="R224" s="48">
        <f>IF(OR($A224="",$J224=""),"",IFERROR(VLOOKUP(I224,'6_資料庫比對'!$A$6:$C$12,2,FALSE),""))</f>
        <v/>
      </c>
      <c r="S224" s="49">
        <f>IF(OR($A224="",$J224=""),"",IFERROR(VLOOKUP(I224,'6_資料庫比對'!$A$6:$C$12,3,FALSE),""))</f>
        <v/>
      </c>
      <c r="T224" s="50">
        <f>IF(OR($A224="",$J224=""),"",MAX(0,IF(AND(N224&lt;&gt;"",O224&lt;&gt;""),MIN(J224-MAX(R224*ABS(J224),S224),N224),IF(AND(M224&lt;&gt;"",N(L224)&gt;=2),MIN(J224-MAX(R224*ABS(J224),S224),J224-2*M224),J224-MAX(R224*ABS(J224),S224)))))</f>
        <v/>
      </c>
      <c r="U224" s="50">
        <f>IF(OR($A224="",$J224=""),"",IF(AND(N224&lt;&gt;"",O224&lt;&gt;""),MAX(J224+MAX(R224*ABS(J224),S224),O224),IF(AND(M224&lt;&gt;"",N(L224)&gt;=2),MAX(J224+MAX(R224*ABS(J224),S224),J224+2*M224),J224+MAX(R224*ABS(J224),S224))))</f>
        <v/>
      </c>
      <c r="V224" s="51">
        <f>IF(OR($A224="",$J224=""),"",IF(COUNTIFS('6_資料庫比對'!$B$16:$B$25,A224,'6_資料庫比對'!$C$16:$C$25,I224)=0,"",IF(AND(SUMIFS('6_資料庫比對'!$F$16:$F$25,'6_資料庫比對'!$B$16:$B$25,A224,'6_資料庫比對'!$C$16:$C$25,I224)&gt;=T224,SUMIFS('6_資料庫比對'!$F$16:$F$25,'6_資料庫比對'!$B$16:$B$25,A224,'6_資料庫比對'!$C$16:$C$25,I224)&lt;=U224),"✓ 涵蓋","✗ 不涵蓋")))</f>
        <v/>
      </c>
    </row>
    <row r="225">
      <c r="A225" s="47" t="inlineStr">
        <is>
          <t>cake_flour</t>
        </is>
      </c>
      <c r="B225" s="47" t="inlineStr">
        <is>
          <t>低筋麵粉</t>
        </is>
      </c>
      <c r="C225" s="47" t="inlineStr">
        <is>
          <t>USDA</t>
        </is>
      </c>
      <c r="D225" s="47" t="inlineStr">
        <is>
          <t>SR Legacy</t>
        </is>
      </c>
      <c r="E225" s="47" t="n">
        <v>169723</v>
      </c>
      <c r="F225" s="47" t="inlineStr">
        <is>
          <t>Wheat flour, white, cake, enriched</t>
        </is>
      </c>
      <c r="G225" s="47" t="inlineStr">
        <is>
          <t>closest</t>
        </is>
      </c>
      <c r="H225" s="47" t="n">
        <v>5.7</v>
      </c>
      <c r="I225" s="47" t="inlineStr">
        <is>
          <t>water</t>
        </is>
      </c>
      <c r="J225" s="47" t="n">
        <v>12.51</v>
      </c>
      <c r="K225" s="47" t="inlineStr">
        <is>
          <t>g</t>
        </is>
      </c>
      <c r="L225" s="47" t="n">
        <v>25</v>
      </c>
      <c r="M225" s="47" t="n"/>
      <c r="N225" s="47" t="n"/>
      <c r="O225" s="47" t="n"/>
      <c r="P225" s="47" t="n"/>
      <c r="Q225" s="47" t="n"/>
      <c r="R225" s="48">
        <f>IF(OR($A225="",$J225=""),"",IFERROR(VLOOKUP(I225,'6_資料庫比對'!$A$6:$C$12,2,FALSE),""))</f>
        <v/>
      </c>
      <c r="S225" s="49">
        <f>IF(OR($A225="",$J225=""),"",IFERROR(VLOOKUP(I225,'6_資料庫比對'!$A$6:$C$12,3,FALSE),""))</f>
        <v/>
      </c>
      <c r="T225" s="50">
        <f>IF(OR($A225="",$J225=""),"",MAX(0,IF(AND(N225&lt;&gt;"",O225&lt;&gt;""),MIN(J225-MAX(R225*ABS(J225),S225),N225),IF(AND(M225&lt;&gt;"",N(L225)&gt;=2),MIN(J225-MAX(R225*ABS(J225),S225),J225-2*M225),J225-MAX(R225*ABS(J225),S225)))))</f>
        <v/>
      </c>
      <c r="U225" s="50">
        <f>IF(OR($A225="",$J225=""),"",IF(AND(N225&lt;&gt;"",O225&lt;&gt;""),MAX(J225+MAX(R225*ABS(J225),S225),O225),IF(AND(M225&lt;&gt;"",N(L225)&gt;=2),MAX(J225+MAX(R225*ABS(J225),S225),J225+2*M225),J225+MAX(R225*ABS(J225),S225))))</f>
        <v/>
      </c>
      <c r="V225" s="51">
        <f>IF(OR($A225="",$J225=""),"",IF(COUNTIFS('6_資料庫比對'!$B$16:$B$25,A225,'6_資料庫比對'!$C$16:$C$25,I225)=0,"",IF(AND(SUMIFS('6_資料庫比對'!$F$16:$F$25,'6_資料庫比對'!$B$16:$B$25,A225,'6_資料庫比對'!$C$16:$C$25,I225)&gt;=T225,SUMIFS('6_資料庫比對'!$F$16:$F$25,'6_資料庫比對'!$B$16:$B$25,A225,'6_資料庫比對'!$C$16:$C$25,I225)&lt;=U225),"✓ 涵蓋","✗ 不涵蓋")))</f>
        <v/>
      </c>
    </row>
    <row r="226">
      <c r="A226" s="47" t="inlineStr">
        <is>
          <t>cake_flour</t>
        </is>
      </c>
      <c r="B226" s="47" t="inlineStr">
        <is>
          <t>低筋麵粉</t>
        </is>
      </c>
      <c r="C226" s="47" t="inlineStr">
        <is>
          <t>USDA</t>
        </is>
      </c>
      <c r="D226" s="47" t="inlineStr">
        <is>
          <t>SR Legacy</t>
        </is>
      </c>
      <c r="E226" s="47" t="n">
        <v>169723</v>
      </c>
      <c r="F226" s="47" t="inlineStr">
        <is>
          <t>Wheat flour, white, cake, enriched</t>
        </is>
      </c>
      <c r="G226" s="47" t="inlineStr">
        <is>
          <t>closest</t>
        </is>
      </c>
      <c r="H226" s="47" t="n">
        <v>5.7</v>
      </c>
      <c r="I226" s="47" t="inlineStr">
        <is>
          <t>protein</t>
        </is>
      </c>
      <c r="J226" s="47" t="n">
        <v>8.199999999999999</v>
      </c>
      <c r="K226" s="47" t="inlineStr">
        <is>
          <t>g</t>
        </is>
      </c>
      <c r="L226" s="47" t="n">
        <v>21</v>
      </c>
      <c r="M226" s="47" t="n"/>
      <c r="N226" s="47" t="n"/>
      <c r="O226" s="47" t="n"/>
      <c r="P226" s="47" t="n"/>
      <c r="Q226" s="47" t="n"/>
      <c r="R226" s="48">
        <f>IF(OR($A226="",$J226=""),"",IFERROR(VLOOKUP(I226,'6_資料庫比對'!$A$6:$C$12,2,FALSE),""))</f>
        <v/>
      </c>
      <c r="S226" s="49">
        <f>IF(OR($A226="",$J226=""),"",IFERROR(VLOOKUP(I226,'6_資料庫比對'!$A$6:$C$12,3,FALSE),""))</f>
        <v/>
      </c>
      <c r="T226" s="50">
        <f>IF(OR($A226="",$J226=""),"",MAX(0,IF(AND(N226&lt;&gt;"",O226&lt;&gt;""),MIN(J226-MAX(R226*ABS(J226),S226),N226),IF(AND(M226&lt;&gt;"",N(L226)&gt;=2),MIN(J226-MAX(R226*ABS(J226),S226),J226-2*M226),J226-MAX(R226*ABS(J226),S226)))))</f>
        <v/>
      </c>
      <c r="U226" s="50">
        <f>IF(OR($A226="",$J226=""),"",IF(AND(N226&lt;&gt;"",O226&lt;&gt;""),MAX(J226+MAX(R226*ABS(J226),S226),O226),IF(AND(M226&lt;&gt;"",N(L226)&gt;=2),MAX(J226+MAX(R226*ABS(J226),S226),J226+2*M226),J226+MAX(R226*ABS(J226),S226))))</f>
        <v/>
      </c>
      <c r="V226" s="51">
        <f>IF(OR($A226="",$J226=""),"",IF(COUNTIFS('6_資料庫比對'!$B$16:$B$25,A226,'6_資料庫比對'!$C$16:$C$25,I226)=0,"",IF(AND(SUMIFS('6_資料庫比對'!$F$16:$F$25,'6_資料庫比對'!$B$16:$B$25,A226,'6_資料庫比對'!$C$16:$C$25,I226)&gt;=T226,SUMIFS('6_資料庫比對'!$F$16:$F$25,'6_資料庫比對'!$B$16:$B$25,A226,'6_資料庫比對'!$C$16:$C$25,I226)&lt;=U226),"✓ 涵蓋","✗ 不涵蓋")))</f>
        <v/>
      </c>
    </row>
    <row r="227">
      <c r="A227" s="47" t="inlineStr">
        <is>
          <t>cake_flour</t>
        </is>
      </c>
      <c r="B227" s="47" t="inlineStr">
        <is>
          <t>低筋麵粉</t>
        </is>
      </c>
      <c r="C227" s="47" t="inlineStr">
        <is>
          <t>USDA</t>
        </is>
      </c>
      <c r="D227" s="47" t="inlineStr">
        <is>
          <t>SR Legacy</t>
        </is>
      </c>
      <c r="E227" s="47" t="n">
        <v>169723</v>
      </c>
      <c r="F227" s="47" t="inlineStr">
        <is>
          <t>Wheat flour, white, cake, enriched</t>
        </is>
      </c>
      <c r="G227" s="47" t="inlineStr">
        <is>
          <t>closest</t>
        </is>
      </c>
      <c r="H227" s="47" t="n">
        <v>5.7</v>
      </c>
      <c r="I227" s="47" t="inlineStr">
        <is>
          <t>fat</t>
        </is>
      </c>
      <c r="J227" s="47" t="n">
        <v>0.86</v>
      </c>
      <c r="K227" s="47" t="inlineStr">
        <is>
          <t>g</t>
        </is>
      </c>
      <c r="L227" s="47" t="n">
        <v>5</v>
      </c>
      <c r="M227" s="47" t="n"/>
      <c r="N227" s="47" t="n"/>
      <c r="O227" s="47" t="n"/>
      <c r="P227" s="47" t="n"/>
      <c r="Q227" s="47" t="n"/>
      <c r="R227" s="48">
        <f>IF(OR($A227="",$J227=""),"",IFERROR(VLOOKUP(I227,'6_資料庫比對'!$A$6:$C$12,2,FALSE),""))</f>
        <v/>
      </c>
      <c r="S227" s="49">
        <f>IF(OR($A227="",$J227=""),"",IFERROR(VLOOKUP(I227,'6_資料庫比對'!$A$6:$C$12,3,FALSE),""))</f>
        <v/>
      </c>
      <c r="T227" s="50">
        <f>IF(OR($A227="",$J227=""),"",MAX(0,IF(AND(N227&lt;&gt;"",O227&lt;&gt;""),MIN(J227-MAX(R227*ABS(J227),S227),N227),IF(AND(M227&lt;&gt;"",N(L227)&gt;=2),MIN(J227-MAX(R227*ABS(J227),S227),J227-2*M227),J227-MAX(R227*ABS(J227),S227)))))</f>
        <v/>
      </c>
      <c r="U227" s="50">
        <f>IF(OR($A227="",$J227=""),"",IF(AND(N227&lt;&gt;"",O227&lt;&gt;""),MAX(J227+MAX(R227*ABS(J227),S227),O227),IF(AND(M227&lt;&gt;"",N(L227)&gt;=2),MAX(J227+MAX(R227*ABS(J227),S227),J227+2*M227),J227+MAX(R227*ABS(J227),S227))))</f>
        <v/>
      </c>
      <c r="V227" s="51">
        <f>IF(OR($A227="",$J227=""),"",IF(COUNTIFS('6_資料庫比對'!$B$16:$B$25,A227,'6_資料庫比對'!$C$16:$C$25,I227)=0,"",IF(AND(SUMIFS('6_資料庫比對'!$F$16:$F$25,'6_資料庫比對'!$B$16:$B$25,A227,'6_資料庫比對'!$C$16:$C$25,I227)&gt;=T227,SUMIFS('6_資料庫比對'!$F$16:$F$25,'6_資料庫比對'!$B$16:$B$25,A227,'6_資料庫比對'!$C$16:$C$25,I227)&lt;=U227),"✓ 涵蓋","✗ 不涵蓋")))</f>
        <v/>
      </c>
    </row>
    <row r="228">
      <c r="A228" s="47" t="inlineStr">
        <is>
          <t>cake_flour</t>
        </is>
      </c>
      <c r="B228" s="47" t="inlineStr">
        <is>
          <t>低筋麵粉</t>
        </is>
      </c>
      <c r="C228" s="47" t="inlineStr">
        <is>
          <t>USDA</t>
        </is>
      </c>
      <c r="D228" s="47" t="inlineStr">
        <is>
          <t>SR Legacy</t>
        </is>
      </c>
      <c r="E228" s="47" t="n">
        <v>169723</v>
      </c>
      <c r="F228" s="47" t="inlineStr">
        <is>
          <t>Wheat flour, white, cake, enriched</t>
        </is>
      </c>
      <c r="G228" s="47" t="inlineStr">
        <is>
          <t>closest</t>
        </is>
      </c>
      <c r="H228" s="47" t="n">
        <v>5.7</v>
      </c>
      <c r="I228" s="47" t="inlineStr">
        <is>
          <t>ash</t>
        </is>
      </c>
      <c r="J228" s="47" t="n">
        <v>0.39</v>
      </c>
      <c r="K228" s="47" t="inlineStr">
        <is>
          <t>g</t>
        </is>
      </c>
      <c r="L228" s="47" t="n">
        <v>35</v>
      </c>
      <c r="M228" s="47" t="n"/>
      <c r="N228" s="47" t="n"/>
      <c r="O228" s="47" t="n"/>
      <c r="P228" s="47" t="n"/>
      <c r="Q228" s="47" t="n"/>
      <c r="R228" s="48">
        <f>IF(OR($A228="",$J228=""),"",IFERROR(VLOOKUP(I228,'6_資料庫比對'!$A$6:$C$12,2,FALSE),""))</f>
        <v/>
      </c>
      <c r="S228" s="49">
        <f>IF(OR($A228="",$J228=""),"",IFERROR(VLOOKUP(I228,'6_資料庫比對'!$A$6:$C$12,3,FALSE),""))</f>
        <v/>
      </c>
      <c r="T228" s="50">
        <f>IF(OR($A228="",$J228=""),"",MAX(0,IF(AND(N228&lt;&gt;"",O228&lt;&gt;""),MIN(J228-MAX(R228*ABS(J228),S228),N228),IF(AND(M228&lt;&gt;"",N(L228)&gt;=2),MIN(J228-MAX(R228*ABS(J228),S228),J228-2*M228),J228-MAX(R228*ABS(J228),S228)))))</f>
        <v/>
      </c>
      <c r="U228" s="50">
        <f>IF(OR($A228="",$J228=""),"",IF(AND(N228&lt;&gt;"",O228&lt;&gt;""),MAX(J228+MAX(R228*ABS(J228),S228),O228),IF(AND(M228&lt;&gt;"",N(L228)&gt;=2),MAX(J228+MAX(R228*ABS(J228),S228),J228+2*M228),J228+MAX(R228*ABS(J228),S228))))</f>
        <v/>
      </c>
      <c r="V228" s="51">
        <f>IF(OR($A228="",$J228=""),"",IF(COUNTIFS('6_資料庫比對'!$B$16:$B$25,A228,'6_資料庫比對'!$C$16:$C$25,I228)=0,"",IF(AND(SUMIFS('6_資料庫比對'!$F$16:$F$25,'6_資料庫比對'!$B$16:$B$25,A228,'6_資料庫比對'!$C$16:$C$25,I228)&gt;=T228,SUMIFS('6_資料庫比對'!$F$16:$F$25,'6_資料庫比對'!$B$16:$B$25,A228,'6_資料庫比對'!$C$16:$C$25,I228)&lt;=U228),"✓ 涵蓋","✗ 不涵蓋")))</f>
        <v/>
      </c>
    </row>
    <row r="229">
      <c r="A229" s="47" t="inlineStr">
        <is>
          <t>cake_flour</t>
        </is>
      </c>
      <c r="B229" s="47" t="inlineStr">
        <is>
          <t>低筋麵粉</t>
        </is>
      </c>
      <c r="C229" s="47" t="inlineStr">
        <is>
          <t>USDA</t>
        </is>
      </c>
      <c r="D229" s="47" t="inlineStr">
        <is>
          <t>SR Legacy</t>
        </is>
      </c>
      <c r="E229" s="47" t="n">
        <v>169723</v>
      </c>
      <c r="F229" s="47" t="inlineStr">
        <is>
          <t>Wheat flour, white, cake, enriched</t>
        </is>
      </c>
      <c r="G229" s="47" t="inlineStr">
        <is>
          <t>closest</t>
        </is>
      </c>
      <c r="H229" s="47" t="n">
        <v>5.7</v>
      </c>
      <c r="I229" s="47" t="inlineStr">
        <is>
          <t>carbohydrate</t>
        </is>
      </c>
      <c r="J229" s="47" t="n">
        <v>78.03</v>
      </c>
      <c r="K229" s="47" t="inlineStr">
        <is>
          <t>g</t>
        </is>
      </c>
      <c r="L229" s="47" t="n">
        <v>0</v>
      </c>
      <c r="M229" s="47" t="n"/>
      <c r="N229" s="47" t="n"/>
      <c r="O229" s="47" t="n"/>
      <c r="P229" s="47" t="n"/>
      <c r="Q229" s="47" t="inlineStr">
        <is>
          <t>NC: Calculated</t>
        </is>
      </c>
      <c r="R229" s="48">
        <f>IF(OR($A229="",$J229=""),"",IFERROR(VLOOKUP(I229,'6_資料庫比對'!$A$6:$C$12,2,FALSE),""))</f>
        <v/>
      </c>
      <c r="S229" s="49">
        <f>IF(OR($A229="",$J229=""),"",IFERROR(VLOOKUP(I229,'6_資料庫比對'!$A$6:$C$12,3,FALSE),""))</f>
        <v/>
      </c>
      <c r="T229" s="50">
        <f>IF(OR($A229="",$J229=""),"",MAX(0,IF(AND(N229&lt;&gt;"",O229&lt;&gt;""),MIN(J229-MAX(R229*ABS(J229),S229),N229),IF(AND(M229&lt;&gt;"",N(L229)&gt;=2),MIN(J229-MAX(R229*ABS(J229),S229),J229-2*M229),J229-MAX(R229*ABS(J229),S229)))))</f>
        <v/>
      </c>
      <c r="U229" s="50">
        <f>IF(OR($A229="",$J229=""),"",IF(AND(N229&lt;&gt;"",O229&lt;&gt;""),MAX(J229+MAX(R229*ABS(J229),S229),O229),IF(AND(M229&lt;&gt;"",N(L229)&gt;=2),MAX(J229+MAX(R229*ABS(J229),S229),J229+2*M229),J229+MAX(R229*ABS(J229),S229))))</f>
        <v/>
      </c>
      <c r="V229" s="51">
        <f>IF(OR($A229="",$J229=""),"",IF(COUNTIFS('6_資料庫比對'!$B$16:$B$25,A229,'6_資料庫比對'!$C$16:$C$25,I229)=0,"",IF(AND(SUMIFS('6_資料庫比對'!$F$16:$F$25,'6_資料庫比對'!$B$16:$B$25,A229,'6_資料庫比對'!$C$16:$C$25,I229)&gt;=T229,SUMIFS('6_資料庫比對'!$F$16:$F$25,'6_資料庫比對'!$B$16:$B$25,A229,'6_資料庫比對'!$C$16:$C$25,I229)&lt;=U229),"✓ 涵蓋","✗ 不涵蓋")))</f>
        <v/>
      </c>
    </row>
    <row r="230">
      <c r="A230" s="47" t="inlineStr">
        <is>
          <t>cake_flour</t>
        </is>
      </c>
      <c r="B230" s="47" t="inlineStr">
        <is>
          <t>低筋麵粉</t>
        </is>
      </c>
      <c r="C230" s="47" t="inlineStr">
        <is>
          <t>USDA</t>
        </is>
      </c>
      <c r="D230" s="47" t="inlineStr">
        <is>
          <t>SR Legacy</t>
        </is>
      </c>
      <c r="E230" s="47" t="n">
        <v>169723</v>
      </c>
      <c r="F230" s="47" t="inlineStr">
        <is>
          <t>Wheat flour, white, cake, enriched</t>
        </is>
      </c>
      <c r="G230" s="47" t="inlineStr">
        <is>
          <t>closest</t>
        </is>
      </c>
      <c r="H230" s="47" t="n">
        <v>5.7</v>
      </c>
      <c r="I230" s="47" t="inlineStr">
        <is>
          <t>sugars_total</t>
        </is>
      </c>
      <c r="J230" s="47" t="n">
        <v>0.31</v>
      </c>
      <c r="K230" s="47" t="inlineStr">
        <is>
          <t>g</t>
        </is>
      </c>
      <c r="L230" s="47" t="n">
        <v>0</v>
      </c>
      <c r="M230" s="47" t="n"/>
      <c r="N230" s="47" t="n"/>
      <c r="O230" s="47" t="n"/>
      <c r="P230" s="47" t="n"/>
      <c r="Q230" s="47" t="inlineStr">
        <is>
          <t>BFZN: Based on another form of the food or similar food; Concentration adjustment; No adjustment; Retention factors not used</t>
        </is>
      </c>
      <c r="R230" s="48">
        <f>IF(OR($A230="",$J230=""),"",IFERROR(VLOOKUP(I230,'6_資料庫比對'!$A$6:$C$12,2,FALSE),""))</f>
        <v/>
      </c>
      <c r="S230" s="49">
        <f>IF(OR($A230="",$J230=""),"",IFERROR(VLOOKUP(I230,'6_資料庫比對'!$A$6:$C$12,3,FALSE),""))</f>
        <v/>
      </c>
      <c r="T230" s="50">
        <f>IF(OR($A230="",$J230=""),"",MAX(0,IF(AND(N230&lt;&gt;"",O230&lt;&gt;""),MIN(J230-MAX(R230*ABS(J230),S230),N230),IF(AND(M230&lt;&gt;"",N(L230)&gt;=2),MIN(J230-MAX(R230*ABS(J230),S230),J230-2*M230),J230-MAX(R230*ABS(J230),S230)))))</f>
        <v/>
      </c>
      <c r="U230" s="50">
        <f>IF(OR($A230="",$J230=""),"",IF(AND(N230&lt;&gt;"",O230&lt;&gt;""),MAX(J230+MAX(R230*ABS(J230),S230),O230),IF(AND(M230&lt;&gt;"",N(L230)&gt;=2),MAX(J230+MAX(R230*ABS(J230),S230),J230+2*M230),J230+MAX(R230*ABS(J230),S230))))</f>
        <v/>
      </c>
      <c r="V230" s="51">
        <f>IF(OR($A230="",$J230=""),"",IF(COUNTIFS('6_資料庫比對'!$B$16:$B$25,A230,'6_資料庫比對'!$C$16:$C$25,I230)=0,"",IF(AND(SUMIFS('6_資料庫比對'!$F$16:$F$25,'6_資料庫比對'!$B$16:$B$25,A230,'6_資料庫比對'!$C$16:$C$25,I230)&gt;=T230,SUMIFS('6_資料庫比對'!$F$16:$F$25,'6_資料庫比對'!$B$16:$B$25,A230,'6_資料庫比對'!$C$16:$C$25,I230)&lt;=U230),"✓ 涵蓋","✗ 不涵蓋")))</f>
        <v/>
      </c>
    </row>
    <row r="231">
      <c r="A231" s="47" t="inlineStr">
        <is>
          <t>cake_flour</t>
        </is>
      </c>
      <c r="B231" s="47" t="inlineStr">
        <is>
          <t>低筋麵粉</t>
        </is>
      </c>
      <c r="C231" s="47" t="inlineStr">
        <is>
          <t>USDA</t>
        </is>
      </c>
      <c r="D231" s="47" t="inlineStr">
        <is>
          <t>SR Legacy</t>
        </is>
      </c>
      <c r="E231" s="47" t="n">
        <v>169723</v>
      </c>
      <c r="F231" s="47" t="inlineStr">
        <is>
          <t>Wheat flour, white, cake, enriched</t>
        </is>
      </c>
      <c r="G231" s="47" t="inlineStr">
        <is>
          <t>closest</t>
        </is>
      </c>
      <c r="H231" s="47" t="n">
        <v>5.7</v>
      </c>
      <c r="I231" s="47" t="inlineStr">
        <is>
          <t>sodium</t>
        </is>
      </c>
      <c r="J231" s="47" t="n">
        <v>2</v>
      </c>
      <c r="K231" s="47" t="inlineStr">
        <is>
          <t>mg</t>
        </is>
      </c>
      <c r="L231" s="47" t="n">
        <v>38</v>
      </c>
      <c r="M231" s="47" t="n"/>
      <c r="N231" s="47" t="n"/>
      <c r="O231" s="47" t="n"/>
      <c r="P231" s="47" t="n"/>
      <c r="Q231" s="47" t="n"/>
      <c r="R231" s="48">
        <f>IF(OR($A231="",$J231=""),"",IFERROR(VLOOKUP(I231,'6_資料庫比對'!$A$6:$C$12,2,FALSE),""))</f>
        <v/>
      </c>
      <c r="S231" s="49">
        <f>IF(OR($A231="",$J231=""),"",IFERROR(VLOOKUP(I231,'6_資料庫比對'!$A$6:$C$12,3,FALSE),""))</f>
        <v/>
      </c>
      <c r="T231" s="50">
        <f>IF(OR($A231="",$J231=""),"",MAX(0,IF(AND(N231&lt;&gt;"",O231&lt;&gt;""),MIN(J231-MAX(R231*ABS(J231),S231),N231),IF(AND(M231&lt;&gt;"",N(L231)&gt;=2),MIN(J231-MAX(R231*ABS(J231),S231),J231-2*M231),J231-MAX(R231*ABS(J231),S231)))))</f>
        <v/>
      </c>
      <c r="U231" s="50">
        <f>IF(OR($A231="",$J231=""),"",IF(AND(N231&lt;&gt;"",O231&lt;&gt;""),MAX(J231+MAX(R231*ABS(J231),S231),O231),IF(AND(M231&lt;&gt;"",N(L231)&gt;=2),MAX(J231+MAX(R231*ABS(J231),S231),J231+2*M231),J231+MAX(R231*ABS(J231),S231))))</f>
        <v/>
      </c>
      <c r="V231" s="51">
        <f>IF(OR($A231="",$J231=""),"",IF(COUNTIFS('6_資料庫比對'!$B$16:$B$25,A231,'6_資料庫比對'!$C$16:$C$25,I231)=0,"",IF(AND(SUMIFS('6_資料庫比對'!$F$16:$F$25,'6_資料庫比對'!$B$16:$B$25,A231,'6_資料庫比對'!$C$16:$C$25,I231)&gt;=T231,SUMIFS('6_資料庫比對'!$F$16:$F$25,'6_資料庫比對'!$B$16:$B$25,A231,'6_資料庫比對'!$C$16:$C$25,I231)&lt;=U231),"✓ 涵蓋","✗ 不涵蓋")))</f>
        <v/>
      </c>
    </row>
    <row r="232">
      <c r="A232" s="47" t="inlineStr">
        <is>
          <t>cake_flour</t>
        </is>
      </c>
      <c r="B232" s="47" t="inlineStr">
        <is>
          <t>低筋麵粉</t>
        </is>
      </c>
      <c r="C232" s="47" t="inlineStr">
        <is>
          <t>TFND</t>
        </is>
      </c>
      <c r="D232" s="47" t="inlineStr">
        <is>
          <t>食品營養成分資料集</t>
        </is>
      </c>
      <c r="E232" s="47" t="inlineStr">
        <is>
          <t>A0320202</t>
        </is>
      </c>
      <c r="F232" s="47" t="inlineStr">
        <is>
          <t>低筋麵粉</t>
        </is>
      </c>
      <c r="G232" s="47" t="inlineStr">
        <is>
          <t>exact</t>
        </is>
      </c>
      <c r="H232" s="47" t="n"/>
      <c r="I232" s="47" t="inlineStr">
        <is>
          <t>water</t>
        </is>
      </c>
      <c r="J232" s="47" t="n">
        <v>12</v>
      </c>
      <c r="K232" s="47" t="inlineStr">
        <is>
          <t>g</t>
        </is>
      </c>
      <c r="L232" s="47" t="n">
        <v>2</v>
      </c>
      <c r="M232" s="47" t="n">
        <v>0.6</v>
      </c>
      <c r="N232" s="47" t="n"/>
      <c r="O232" s="47" t="n"/>
      <c r="P232" s="47" t="n"/>
      <c r="Q232" s="47" t="n"/>
      <c r="R232" s="48">
        <f>IF(OR($A232="",$J232=""),"",IFERROR(VLOOKUP(I232,'6_資料庫比對'!$A$6:$C$12,2,FALSE),""))</f>
        <v/>
      </c>
      <c r="S232" s="49">
        <f>IF(OR($A232="",$J232=""),"",IFERROR(VLOOKUP(I232,'6_資料庫比對'!$A$6:$C$12,3,FALSE),""))</f>
        <v/>
      </c>
      <c r="T232" s="50">
        <f>IF(OR($A232="",$J232=""),"",MAX(0,IF(AND(N232&lt;&gt;"",O232&lt;&gt;""),MIN(J232-MAX(R232*ABS(J232),S232),N232),IF(AND(M232&lt;&gt;"",N(L232)&gt;=2),MIN(J232-MAX(R232*ABS(J232),S232),J232-2*M232),J232-MAX(R232*ABS(J232),S232)))))</f>
        <v/>
      </c>
      <c r="U232" s="50">
        <f>IF(OR($A232="",$J232=""),"",IF(AND(N232&lt;&gt;"",O232&lt;&gt;""),MAX(J232+MAX(R232*ABS(J232),S232),O232),IF(AND(M232&lt;&gt;"",N(L232)&gt;=2),MAX(J232+MAX(R232*ABS(J232),S232),J232+2*M232),J232+MAX(R232*ABS(J232),S232))))</f>
        <v/>
      </c>
      <c r="V232" s="51">
        <f>IF(OR($A232="",$J232=""),"",IF(COUNTIFS('6_資料庫比對'!$B$16:$B$25,A232,'6_資料庫比對'!$C$16:$C$25,I232)=0,"",IF(AND(SUMIFS('6_資料庫比對'!$F$16:$F$25,'6_資料庫比對'!$B$16:$B$25,A232,'6_資料庫比對'!$C$16:$C$25,I232)&gt;=T232,SUMIFS('6_資料庫比對'!$F$16:$F$25,'6_資料庫比對'!$B$16:$B$25,A232,'6_資料庫比對'!$C$16:$C$25,I232)&lt;=U232),"✓ 涵蓋","✗ 不涵蓋")))</f>
        <v/>
      </c>
    </row>
    <row r="233">
      <c r="A233" s="47" t="inlineStr">
        <is>
          <t>cake_flour</t>
        </is>
      </c>
      <c r="B233" s="47" t="inlineStr">
        <is>
          <t>低筋麵粉</t>
        </is>
      </c>
      <c r="C233" s="47" t="inlineStr">
        <is>
          <t>TFND</t>
        </is>
      </c>
      <c r="D233" s="47" t="inlineStr">
        <is>
          <t>食品營養成分資料集</t>
        </is>
      </c>
      <c r="E233" s="47" t="inlineStr">
        <is>
          <t>A0320202</t>
        </is>
      </c>
      <c r="F233" s="47" t="inlineStr">
        <is>
          <t>低筋麵粉</t>
        </is>
      </c>
      <c r="G233" s="47" t="inlineStr">
        <is>
          <t>exact</t>
        </is>
      </c>
      <c r="H233" s="47" t="n"/>
      <c r="I233" s="47" t="inlineStr">
        <is>
          <t>protein</t>
        </is>
      </c>
      <c r="J233" s="47" t="n">
        <v>8.1</v>
      </c>
      <c r="K233" s="47" t="inlineStr">
        <is>
          <t>g</t>
        </is>
      </c>
      <c r="L233" s="47" t="n">
        <v>2</v>
      </c>
      <c r="M233" s="47" t="n">
        <v>0.4</v>
      </c>
      <c r="N233" s="47" t="n"/>
      <c r="O233" s="47" t="n"/>
      <c r="P233" s="47" t="n"/>
      <c r="Q233" s="47" t="n"/>
      <c r="R233" s="48">
        <f>IF(OR($A233="",$J233=""),"",IFERROR(VLOOKUP(I233,'6_資料庫比對'!$A$6:$C$12,2,FALSE),""))</f>
        <v/>
      </c>
      <c r="S233" s="49">
        <f>IF(OR($A233="",$J233=""),"",IFERROR(VLOOKUP(I233,'6_資料庫比對'!$A$6:$C$12,3,FALSE),""))</f>
        <v/>
      </c>
      <c r="T233" s="50">
        <f>IF(OR($A233="",$J233=""),"",MAX(0,IF(AND(N233&lt;&gt;"",O233&lt;&gt;""),MIN(J233-MAX(R233*ABS(J233),S233),N233),IF(AND(M233&lt;&gt;"",N(L233)&gt;=2),MIN(J233-MAX(R233*ABS(J233),S233),J233-2*M233),J233-MAX(R233*ABS(J233),S233)))))</f>
        <v/>
      </c>
      <c r="U233" s="50">
        <f>IF(OR($A233="",$J233=""),"",IF(AND(N233&lt;&gt;"",O233&lt;&gt;""),MAX(J233+MAX(R233*ABS(J233),S233),O233),IF(AND(M233&lt;&gt;"",N(L233)&gt;=2),MAX(J233+MAX(R233*ABS(J233),S233),J233+2*M233),J233+MAX(R233*ABS(J233),S233))))</f>
        <v/>
      </c>
      <c r="V233" s="51">
        <f>IF(OR($A233="",$J233=""),"",IF(COUNTIFS('6_資料庫比對'!$B$16:$B$25,A233,'6_資料庫比對'!$C$16:$C$25,I233)=0,"",IF(AND(SUMIFS('6_資料庫比對'!$F$16:$F$25,'6_資料庫比對'!$B$16:$B$25,A233,'6_資料庫比對'!$C$16:$C$25,I233)&gt;=T233,SUMIFS('6_資料庫比對'!$F$16:$F$25,'6_資料庫比對'!$B$16:$B$25,A233,'6_資料庫比對'!$C$16:$C$25,I233)&lt;=U233),"✓ 涵蓋","✗ 不涵蓋")))</f>
        <v/>
      </c>
    </row>
    <row r="234">
      <c r="A234" s="47" t="inlineStr">
        <is>
          <t>cake_flour</t>
        </is>
      </c>
      <c r="B234" s="47" t="inlineStr">
        <is>
          <t>低筋麵粉</t>
        </is>
      </c>
      <c r="C234" s="47" t="inlineStr">
        <is>
          <t>TFND</t>
        </is>
      </c>
      <c r="D234" s="47" t="inlineStr">
        <is>
          <t>食品營養成分資料集</t>
        </is>
      </c>
      <c r="E234" s="47" t="inlineStr">
        <is>
          <t>A0320202</t>
        </is>
      </c>
      <c r="F234" s="47" t="inlineStr">
        <is>
          <t>低筋麵粉</t>
        </is>
      </c>
      <c r="G234" s="47" t="inlineStr">
        <is>
          <t>exact</t>
        </is>
      </c>
      <c r="H234" s="47" t="n"/>
      <c r="I234" s="47" t="inlineStr">
        <is>
          <t>fat</t>
        </is>
      </c>
      <c r="J234" s="47" t="n">
        <v>1.2</v>
      </c>
      <c r="K234" s="47" t="inlineStr">
        <is>
          <t>g</t>
        </is>
      </c>
      <c r="L234" s="47" t="n">
        <v>2</v>
      </c>
      <c r="M234" s="47" t="n">
        <v>0</v>
      </c>
      <c r="N234" s="47" t="n"/>
      <c r="O234" s="47" t="n"/>
      <c r="P234" s="47" t="n"/>
      <c r="Q234" s="47" t="n"/>
      <c r="R234" s="48">
        <f>IF(OR($A234="",$J234=""),"",IFERROR(VLOOKUP(I234,'6_資料庫比對'!$A$6:$C$12,2,FALSE),""))</f>
        <v/>
      </c>
      <c r="S234" s="49">
        <f>IF(OR($A234="",$J234=""),"",IFERROR(VLOOKUP(I234,'6_資料庫比對'!$A$6:$C$12,3,FALSE),""))</f>
        <v/>
      </c>
      <c r="T234" s="50">
        <f>IF(OR($A234="",$J234=""),"",MAX(0,IF(AND(N234&lt;&gt;"",O234&lt;&gt;""),MIN(J234-MAX(R234*ABS(J234),S234),N234),IF(AND(M234&lt;&gt;"",N(L234)&gt;=2),MIN(J234-MAX(R234*ABS(J234),S234),J234-2*M234),J234-MAX(R234*ABS(J234),S234)))))</f>
        <v/>
      </c>
      <c r="U234" s="50">
        <f>IF(OR($A234="",$J234=""),"",IF(AND(N234&lt;&gt;"",O234&lt;&gt;""),MAX(J234+MAX(R234*ABS(J234),S234),O234),IF(AND(M234&lt;&gt;"",N(L234)&gt;=2),MAX(J234+MAX(R234*ABS(J234),S234),J234+2*M234),J234+MAX(R234*ABS(J234),S234))))</f>
        <v/>
      </c>
      <c r="V234" s="51">
        <f>IF(OR($A234="",$J234=""),"",IF(COUNTIFS('6_資料庫比對'!$B$16:$B$25,A234,'6_資料庫比對'!$C$16:$C$25,I234)=0,"",IF(AND(SUMIFS('6_資料庫比對'!$F$16:$F$25,'6_資料庫比對'!$B$16:$B$25,A234,'6_資料庫比對'!$C$16:$C$25,I234)&gt;=T234,SUMIFS('6_資料庫比對'!$F$16:$F$25,'6_資料庫比對'!$B$16:$B$25,A234,'6_資料庫比對'!$C$16:$C$25,I234)&lt;=U234),"✓ 涵蓋","✗ 不涵蓋")))</f>
        <v/>
      </c>
    </row>
    <row r="235">
      <c r="A235" s="47" t="inlineStr">
        <is>
          <t>cake_flour</t>
        </is>
      </c>
      <c r="B235" s="47" t="inlineStr">
        <is>
          <t>低筋麵粉</t>
        </is>
      </c>
      <c r="C235" s="47" t="inlineStr">
        <is>
          <t>TFND</t>
        </is>
      </c>
      <c r="D235" s="47" t="inlineStr">
        <is>
          <t>食品營養成分資料集</t>
        </is>
      </c>
      <c r="E235" s="47" t="inlineStr">
        <is>
          <t>A0320202</t>
        </is>
      </c>
      <c r="F235" s="47" t="inlineStr">
        <is>
          <t>低筋麵粉</t>
        </is>
      </c>
      <c r="G235" s="47" t="inlineStr">
        <is>
          <t>exact</t>
        </is>
      </c>
      <c r="H235" s="47" t="n"/>
      <c r="I235" s="47" t="inlineStr">
        <is>
          <t>ash</t>
        </is>
      </c>
      <c r="J235" s="47" t="n">
        <v>0.5</v>
      </c>
      <c r="K235" s="47" t="inlineStr">
        <is>
          <t>g</t>
        </is>
      </c>
      <c r="L235" s="47" t="n">
        <v>2</v>
      </c>
      <c r="M235" s="47" t="n">
        <v>0</v>
      </c>
      <c r="N235" s="47" t="n"/>
      <c r="O235" s="47" t="n"/>
      <c r="P235" s="47" t="n"/>
      <c r="Q235" s="47" t="n"/>
      <c r="R235" s="48">
        <f>IF(OR($A235="",$J235=""),"",IFERROR(VLOOKUP(I235,'6_資料庫比對'!$A$6:$C$12,2,FALSE),""))</f>
        <v/>
      </c>
      <c r="S235" s="49">
        <f>IF(OR($A235="",$J235=""),"",IFERROR(VLOOKUP(I235,'6_資料庫比對'!$A$6:$C$12,3,FALSE),""))</f>
        <v/>
      </c>
      <c r="T235" s="50">
        <f>IF(OR($A235="",$J235=""),"",MAX(0,IF(AND(N235&lt;&gt;"",O235&lt;&gt;""),MIN(J235-MAX(R235*ABS(J235),S235),N235),IF(AND(M235&lt;&gt;"",N(L235)&gt;=2),MIN(J235-MAX(R235*ABS(J235),S235),J235-2*M235),J235-MAX(R235*ABS(J235),S235)))))</f>
        <v/>
      </c>
      <c r="U235" s="50">
        <f>IF(OR($A235="",$J235=""),"",IF(AND(N235&lt;&gt;"",O235&lt;&gt;""),MAX(J235+MAX(R235*ABS(J235),S235),O235),IF(AND(M235&lt;&gt;"",N(L235)&gt;=2),MAX(J235+MAX(R235*ABS(J235),S235),J235+2*M235),J235+MAX(R235*ABS(J235),S235))))</f>
        <v/>
      </c>
      <c r="V235" s="51">
        <f>IF(OR($A235="",$J235=""),"",IF(COUNTIFS('6_資料庫比對'!$B$16:$B$25,A235,'6_資料庫比對'!$C$16:$C$25,I235)=0,"",IF(AND(SUMIFS('6_資料庫比對'!$F$16:$F$25,'6_資料庫比對'!$B$16:$B$25,A235,'6_資料庫比對'!$C$16:$C$25,I235)&gt;=T235,SUMIFS('6_資料庫比對'!$F$16:$F$25,'6_資料庫比對'!$B$16:$B$25,A235,'6_資料庫比對'!$C$16:$C$25,I235)&lt;=U235),"✓ 涵蓋","✗ 不涵蓋")))</f>
        <v/>
      </c>
    </row>
    <row r="236">
      <c r="A236" s="47" t="inlineStr">
        <is>
          <t>cake_flour</t>
        </is>
      </c>
      <c r="B236" s="47" t="inlineStr">
        <is>
          <t>低筋麵粉</t>
        </is>
      </c>
      <c r="C236" s="47" t="inlineStr">
        <is>
          <t>TFND</t>
        </is>
      </c>
      <c r="D236" s="47" t="inlineStr">
        <is>
          <t>食品營養成分資料集</t>
        </is>
      </c>
      <c r="E236" s="47" t="inlineStr">
        <is>
          <t>A0320202</t>
        </is>
      </c>
      <c r="F236" s="47" t="inlineStr">
        <is>
          <t>低筋麵粉</t>
        </is>
      </c>
      <c r="G236" s="47" t="inlineStr">
        <is>
          <t>exact</t>
        </is>
      </c>
      <c r="H236" s="47" t="n"/>
      <c r="I236" s="47" t="inlineStr">
        <is>
          <t>carbohydrate</t>
        </is>
      </c>
      <c r="J236" s="47" t="n">
        <v>78.2</v>
      </c>
      <c r="K236" s="47" t="inlineStr">
        <is>
          <t>g</t>
        </is>
      </c>
      <c r="L236" s="47" t="n"/>
      <c r="M236" s="47" t="n"/>
      <c r="N236" s="47" t="n"/>
      <c r="O236" s="47" t="n"/>
      <c r="P236" s="47" t="n"/>
      <c r="Q236" s="47" t="n"/>
      <c r="R236" s="48">
        <f>IF(OR($A236="",$J236=""),"",IFERROR(VLOOKUP(I236,'6_資料庫比對'!$A$6:$C$12,2,FALSE),""))</f>
        <v/>
      </c>
      <c r="S236" s="49">
        <f>IF(OR($A236="",$J236=""),"",IFERROR(VLOOKUP(I236,'6_資料庫比對'!$A$6:$C$12,3,FALSE),""))</f>
        <v/>
      </c>
      <c r="T236" s="50">
        <f>IF(OR($A236="",$J236=""),"",MAX(0,IF(AND(N236&lt;&gt;"",O236&lt;&gt;""),MIN(J236-MAX(R236*ABS(J236),S236),N236),IF(AND(M236&lt;&gt;"",N(L236)&gt;=2),MIN(J236-MAX(R236*ABS(J236),S236),J236-2*M236),J236-MAX(R236*ABS(J236),S236)))))</f>
        <v/>
      </c>
      <c r="U236" s="50">
        <f>IF(OR($A236="",$J236=""),"",IF(AND(N236&lt;&gt;"",O236&lt;&gt;""),MAX(J236+MAX(R236*ABS(J236),S236),O236),IF(AND(M236&lt;&gt;"",N(L236)&gt;=2),MAX(J236+MAX(R236*ABS(J236),S236),J236+2*M236),J236+MAX(R236*ABS(J236),S236))))</f>
        <v/>
      </c>
      <c r="V236" s="51">
        <f>IF(OR($A236="",$J236=""),"",IF(COUNTIFS('6_資料庫比對'!$B$16:$B$25,A236,'6_資料庫比對'!$C$16:$C$25,I236)=0,"",IF(AND(SUMIFS('6_資料庫比對'!$F$16:$F$25,'6_資料庫比對'!$B$16:$B$25,A236,'6_資料庫比對'!$C$16:$C$25,I236)&gt;=T236,SUMIFS('6_資料庫比對'!$F$16:$F$25,'6_資料庫比對'!$B$16:$B$25,A236,'6_資料庫比對'!$C$16:$C$25,I236)&lt;=U236),"✓ 涵蓋","✗ 不涵蓋")))</f>
        <v/>
      </c>
    </row>
    <row r="237">
      <c r="A237" s="47" t="inlineStr">
        <is>
          <t>cake_flour</t>
        </is>
      </c>
      <c r="B237" s="47" t="inlineStr">
        <is>
          <t>低筋麵粉</t>
        </is>
      </c>
      <c r="C237" s="47" t="inlineStr">
        <is>
          <t>TFND</t>
        </is>
      </c>
      <c r="D237" s="47" t="inlineStr">
        <is>
          <t>食品營養成分資料集</t>
        </is>
      </c>
      <c r="E237" s="47" t="inlineStr">
        <is>
          <t>A0320202</t>
        </is>
      </c>
      <c r="F237" s="47" t="inlineStr">
        <is>
          <t>低筋麵粉</t>
        </is>
      </c>
      <c r="G237" s="47" t="inlineStr">
        <is>
          <t>exact</t>
        </is>
      </c>
      <c r="H237" s="47" t="n"/>
      <c r="I237" s="47" t="inlineStr">
        <is>
          <t>sodium</t>
        </is>
      </c>
      <c r="J237" s="47" t="n">
        <v>1</v>
      </c>
      <c r="K237" s="47" t="inlineStr">
        <is>
          <t>mg</t>
        </is>
      </c>
      <c r="L237" s="47" t="n">
        <v>2</v>
      </c>
      <c r="M237" s="47" t="n">
        <v>1</v>
      </c>
      <c r="N237" s="47" t="n"/>
      <c r="O237" s="47" t="n"/>
      <c r="P237" s="47" t="n"/>
      <c r="Q237" s="47" t="n"/>
      <c r="R237" s="48">
        <f>IF(OR($A237="",$J237=""),"",IFERROR(VLOOKUP(I237,'6_資料庫比對'!$A$6:$C$12,2,FALSE),""))</f>
        <v/>
      </c>
      <c r="S237" s="49">
        <f>IF(OR($A237="",$J237=""),"",IFERROR(VLOOKUP(I237,'6_資料庫比對'!$A$6:$C$12,3,FALSE),""))</f>
        <v/>
      </c>
      <c r="T237" s="50">
        <f>IF(OR($A237="",$J237=""),"",MAX(0,IF(AND(N237&lt;&gt;"",O237&lt;&gt;""),MIN(J237-MAX(R237*ABS(J237),S237),N237),IF(AND(M237&lt;&gt;"",N(L237)&gt;=2),MIN(J237-MAX(R237*ABS(J237),S237),J237-2*M237),J237-MAX(R237*ABS(J237),S237)))))</f>
        <v/>
      </c>
      <c r="U237" s="50">
        <f>IF(OR($A237="",$J237=""),"",IF(AND(N237&lt;&gt;"",O237&lt;&gt;""),MAX(J237+MAX(R237*ABS(J237),S237),O237),IF(AND(M237&lt;&gt;"",N(L237)&gt;=2),MAX(J237+MAX(R237*ABS(J237),S237),J237+2*M237),J237+MAX(R237*ABS(J237),S237))))</f>
        <v/>
      </c>
      <c r="V237" s="51">
        <f>IF(OR($A237="",$J237=""),"",IF(COUNTIFS('6_資料庫比對'!$B$16:$B$25,A237,'6_資料庫比對'!$C$16:$C$25,I237)=0,"",IF(AND(SUMIFS('6_資料庫比對'!$F$16:$F$25,'6_資料庫比對'!$B$16:$B$25,A237,'6_資料庫比對'!$C$16:$C$25,I237)&gt;=T237,SUMIFS('6_資料庫比對'!$F$16:$F$25,'6_資料庫比對'!$B$16:$B$25,A237,'6_資料庫比對'!$C$16:$C$25,I237)&lt;=U237),"✓ 涵蓋","✗ 不涵蓋")))</f>
        <v/>
      </c>
    </row>
    <row r="238">
      <c r="A238" s="47" t="inlineStr">
        <is>
          <t>beef_jerky</t>
        </is>
      </c>
      <c r="B238" s="47" t="inlineStr">
        <is>
          <t>牛肉乾</t>
        </is>
      </c>
      <c r="C238" s="47" t="inlineStr">
        <is>
          <t>USDA</t>
        </is>
      </c>
      <c r="D238" s="47" t="inlineStr">
        <is>
          <t>SR Legacy</t>
        </is>
      </c>
      <c r="E238" s="47" t="n">
        <v>167536</v>
      </c>
      <c r="F238" s="47" t="inlineStr">
        <is>
          <t>Snacks, beef jerky, chopped and formed</t>
        </is>
      </c>
      <c r="G238" s="47" t="inlineStr">
        <is>
          <t>closest</t>
        </is>
      </c>
      <c r="H238" s="47" t="n">
        <v>6.25</v>
      </c>
      <c r="I238" s="47" t="inlineStr">
        <is>
          <t>water</t>
        </is>
      </c>
      <c r="J238" s="47" t="n">
        <v>23.36</v>
      </c>
      <c r="K238" s="47" t="inlineStr">
        <is>
          <t>g</t>
        </is>
      </c>
      <c r="L238" s="47" t="n">
        <v>1</v>
      </c>
      <c r="M238" s="47" t="n"/>
      <c r="N238" s="47" t="n"/>
      <c r="O238" s="47" t="n"/>
      <c r="P238" s="47" t="n"/>
      <c r="Q238" s="47" t="inlineStr">
        <is>
          <t>MA: Manufacturer supplied(industry or trade association), Analytical data, incomplete documentation</t>
        </is>
      </c>
      <c r="R238" s="48">
        <f>IF(OR($A238="",$J238=""),"",IFERROR(VLOOKUP(I238,'6_資料庫比對'!$A$6:$C$12,2,FALSE),""))</f>
        <v/>
      </c>
      <c r="S238" s="49">
        <f>IF(OR($A238="",$J238=""),"",IFERROR(VLOOKUP(I238,'6_資料庫比對'!$A$6:$C$12,3,FALSE),""))</f>
        <v/>
      </c>
      <c r="T238" s="50">
        <f>IF(OR($A238="",$J238=""),"",MAX(0,IF(AND(N238&lt;&gt;"",O238&lt;&gt;""),MIN(J238-MAX(R238*ABS(J238),S238),N238),IF(AND(M238&lt;&gt;"",N(L238)&gt;=2),MIN(J238-MAX(R238*ABS(J238),S238),J238-2*M238),J238-MAX(R238*ABS(J238),S238)))))</f>
        <v/>
      </c>
      <c r="U238" s="50">
        <f>IF(OR($A238="",$J238=""),"",IF(AND(N238&lt;&gt;"",O238&lt;&gt;""),MAX(J238+MAX(R238*ABS(J238),S238),O238),IF(AND(M238&lt;&gt;"",N(L238)&gt;=2),MAX(J238+MAX(R238*ABS(J238),S238),J238+2*M238),J238+MAX(R238*ABS(J238),S238))))</f>
        <v/>
      </c>
      <c r="V238" s="51">
        <f>IF(OR($A238="",$J238=""),"",IF(COUNTIFS('6_資料庫比對'!$B$16:$B$25,A238,'6_資料庫比對'!$C$16:$C$25,I238)=0,"",IF(AND(SUMIFS('6_資料庫比對'!$F$16:$F$25,'6_資料庫比對'!$B$16:$B$25,A238,'6_資料庫比對'!$C$16:$C$25,I238)&gt;=T238,SUMIFS('6_資料庫比對'!$F$16:$F$25,'6_資料庫比對'!$B$16:$B$25,A238,'6_資料庫比對'!$C$16:$C$25,I238)&lt;=U238),"✓ 涵蓋","✗ 不涵蓋")))</f>
        <v/>
      </c>
    </row>
    <row r="239">
      <c r="A239" s="47" t="inlineStr">
        <is>
          <t>beef_jerky</t>
        </is>
      </c>
      <c r="B239" s="47" t="inlineStr">
        <is>
          <t>牛肉乾</t>
        </is>
      </c>
      <c r="C239" s="47" t="inlineStr">
        <is>
          <t>USDA</t>
        </is>
      </c>
      <c r="D239" s="47" t="inlineStr">
        <is>
          <t>SR Legacy</t>
        </is>
      </c>
      <c r="E239" s="47" t="n">
        <v>167536</v>
      </c>
      <c r="F239" s="47" t="inlineStr">
        <is>
          <t>Snacks, beef jerky, chopped and formed</t>
        </is>
      </c>
      <c r="G239" s="47" t="inlineStr">
        <is>
          <t>closest</t>
        </is>
      </c>
      <c r="H239" s="47" t="n">
        <v>6.25</v>
      </c>
      <c r="I239" s="47" t="inlineStr">
        <is>
          <t>protein</t>
        </is>
      </c>
      <c r="J239" s="47" t="n">
        <v>33.2</v>
      </c>
      <c r="K239" s="47" t="inlineStr">
        <is>
          <t>g</t>
        </is>
      </c>
      <c r="L239" s="47" t="n">
        <v>1</v>
      </c>
      <c r="M239" s="47" t="n"/>
      <c r="N239" s="47" t="n"/>
      <c r="O239" s="47" t="n"/>
      <c r="P239" s="47" t="n"/>
      <c r="Q239" s="47" t="inlineStr">
        <is>
          <t>MA: Manufacturer supplied(industry or trade association), Analytical data, incomplete documentation</t>
        </is>
      </c>
      <c r="R239" s="48">
        <f>IF(OR($A239="",$J239=""),"",IFERROR(VLOOKUP(I239,'6_資料庫比對'!$A$6:$C$12,2,FALSE),""))</f>
        <v/>
      </c>
      <c r="S239" s="49">
        <f>IF(OR($A239="",$J239=""),"",IFERROR(VLOOKUP(I239,'6_資料庫比對'!$A$6:$C$12,3,FALSE),""))</f>
        <v/>
      </c>
      <c r="T239" s="50">
        <f>IF(OR($A239="",$J239=""),"",MAX(0,IF(AND(N239&lt;&gt;"",O239&lt;&gt;""),MIN(J239-MAX(R239*ABS(J239),S239),N239),IF(AND(M239&lt;&gt;"",N(L239)&gt;=2),MIN(J239-MAX(R239*ABS(J239),S239),J239-2*M239),J239-MAX(R239*ABS(J239),S239)))))</f>
        <v/>
      </c>
      <c r="U239" s="50">
        <f>IF(OR($A239="",$J239=""),"",IF(AND(N239&lt;&gt;"",O239&lt;&gt;""),MAX(J239+MAX(R239*ABS(J239),S239),O239),IF(AND(M239&lt;&gt;"",N(L239)&gt;=2),MAX(J239+MAX(R239*ABS(J239),S239),J239+2*M239),J239+MAX(R239*ABS(J239),S239))))</f>
        <v/>
      </c>
      <c r="V239" s="51">
        <f>IF(OR($A239="",$J239=""),"",IF(COUNTIFS('6_資料庫比對'!$B$16:$B$25,A239,'6_資料庫比對'!$C$16:$C$25,I239)=0,"",IF(AND(SUMIFS('6_資料庫比對'!$F$16:$F$25,'6_資料庫比對'!$B$16:$B$25,A239,'6_資料庫比對'!$C$16:$C$25,I239)&gt;=T239,SUMIFS('6_資料庫比對'!$F$16:$F$25,'6_資料庫比對'!$B$16:$B$25,A239,'6_資料庫比對'!$C$16:$C$25,I239)&lt;=U239),"✓ 涵蓋","✗ 不涵蓋")))</f>
        <v/>
      </c>
    </row>
    <row r="240">
      <c r="A240" s="47" t="inlineStr">
        <is>
          <t>beef_jerky</t>
        </is>
      </c>
      <c r="B240" s="47" t="inlineStr">
        <is>
          <t>牛肉乾</t>
        </is>
      </c>
      <c r="C240" s="47" t="inlineStr">
        <is>
          <t>USDA</t>
        </is>
      </c>
      <c r="D240" s="47" t="inlineStr">
        <is>
          <t>SR Legacy</t>
        </is>
      </c>
      <c r="E240" s="47" t="n">
        <v>167536</v>
      </c>
      <c r="F240" s="47" t="inlineStr">
        <is>
          <t>Snacks, beef jerky, chopped and formed</t>
        </is>
      </c>
      <c r="G240" s="47" t="inlineStr">
        <is>
          <t>closest</t>
        </is>
      </c>
      <c r="H240" s="47" t="n">
        <v>6.25</v>
      </c>
      <c r="I240" s="47" t="inlineStr">
        <is>
          <t>fat</t>
        </is>
      </c>
      <c r="J240" s="47" t="n">
        <v>25.6</v>
      </c>
      <c r="K240" s="47" t="inlineStr">
        <is>
          <t>g</t>
        </is>
      </c>
      <c r="L240" s="47" t="n">
        <v>1</v>
      </c>
      <c r="M240" s="47" t="n"/>
      <c r="N240" s="47" t="n"/>
      <c r="O240" s="47" t="n"/>
      <c r="P240" s="47" t="n"/>
      <c r="Q240" s="47" t="inlineStr">
        <is>
          <t>MA: Manufacturer supplied(industry or trade association), Analytical data, incomplete documentation</t>
        </is>
      </c>
      <c r="R240" s="48">
        <f>IF(OR($A240="",$J240=""),"",IFERROR(VLOOKUP(I240,'6_資料庫比對'!$A$6:$C$12,2,FALSE),""))</f>
        <v/>
      </c>
      <c r="S240" s="49">
        <f>IF(OR($A240="",$J240=""),"",IFERROR(VLOOKUP(I240,'6_資料庫比對'!$A$6:$C$12,3,FALSE),""))</f>
        <v/>
      </c>
      <c r="T240" s="50">
        <f>IF(OR($A240="",$J240=""),"",MAX(0,IF(AND(N240&lt;&gt;"",O240&lt;&gt;""),MIN(J240-MAX(R240*ABS(J240),S240),N240),IF(AND(M240&lt;&gt;"",N(L240)&gt;=2),MIN(J240-MAX(R240*ABS(J240),S240),J240-2*M240),J240-MAX(R240*ABS(J240),S240)))))</f>
        <v/>
      </c>
      <c r="U240" s="50">
        <f>IF(OR($A240="",$J240=""),"",IF(AND(N240&lt;&gt;"",O240&lt;&gt;""),MAX(J240+MAX(R240*ABS(J240),S240),O240),IF(AND(M240&lt;&gt;"",N(L240)&gt;=2),MAX(J240+MAX(R240*ABS(J240),S240),J240+2*M240),J240+MAX(R240*ABS(J240),S240))))</f>
        <v/>
      </c>
      <c r="V240" s="51">
        <f>IF(OR($A240="",$J240=""),"",IF(COUNTIFS('6_資料庫比對'!$B$16:$B$25,A240,'6_資料庫比對'!$C$16:$C$25,I240)=0,"",IF(AND(SUMIFS('6_資料庫比對'!$F$16:$F$25,'6_資料庫比對'!$B$16:$B$25,A240,'6_資料庫比對'!$C$16:$C$25,I240)&gt;=T240,SUMIFS('6_資料庫比對'!$F$16:$F$25,'6_資料庫比對'!$B$16:$B$25,A240,'6_資料庫比對'!$C$16:$C$25,I240)&lt;=U240),"✓ 涵蓋","✗ 不涵蓋")))</f>
        <v/>
      </c>
    </row>
    <row r="241">
      <c r="A241" s="47" t="inlineStr">
        <is>
          <t>beef_jerky</t>
        </is>
      </c>
      <c r="B241" s="47" t="inlineStr">
        <is>
          <t>牛肉乾</t>
        </is>
      </c>
      <c r="C241" s="47" t="inlineStr">
        <is>
          <t>USDA</t>
        </is>
      </c>
      <c r="D241" s="47" t="inlineStr">
        <is>
          <t>SR Legacy</t>
        </is>
      </c>
      <c r="E241" s="47" t="n">
        <v>167536</v>
      </c>
      <c r="F241" s="47" t="inlineStr">
        <is>
          <t>Snacks, beef jerky, chopped and formed</t>
        </is>
      </c>
      <c r="G241" s="47" t="inlineStr">
        <is>
          <t>closest</t>
        </is>
      </c>
      <c r="H241" s="47" t="n">
        <v>6.25</v>
      </c>
      <c r="I241" s="47" t="inlineStr">
        <is>
          <t>ash</t>
        </is>
      </c>
      <c r="J241" s="47" t="n">
        <v>6.8</v>
      </c>
      <c r="K241" s="47" t="inlineStr">
        <is>
          <t>g</t>
        </is>
      </c>
      <c r="L241" s="47" t="n">
        <v>1</v>
      </c>
      <c r="M241" s="47" t="n"/>
      <c r="N241" s="47" t="n"/>
      <c r="O241" s="47" t="n"/>
      <c r="P241" s="47" t="n"/>
      <c r="Q241" s="47" t="inlineStr">
        <is>
          <t>MA: Manufacturer supplied(industry or trade association), Analytical data, incomplete documentation</t>
        </is>
      </c>
      <c r="R241" s="48">
        <f>IF(OR($A241="",$J241=""),"",IFERROR(VLOOKUP(I241,'6_資料庫比對'!$A$6:$C$12,2,FALSE),""))</f>
        <v/>
      </c>
      <c r="S241" s="49">
        <f>IF(OR($A241="",$J241=""),"",IFERROR(VLOOKUP(I241,'6_資料庫比對'!$A$6:$C$12,3,FALSE),""))</f>
        <v/>
      </c>
      <c r="T241" s="50">
        <f>IF(OR($A241="",$J241=""),"",MAX(0,IF(AND(N241&lt;&gt;"",O241&lt;&gt;""),MIN(J241-MAX(R241*ABS(J241),S241),N241),IF(AND(M241&lt;&gt;"",N(L241)&gt;=2),MIN(J241-MAX(R241*ABS(J241),S241),J241-2*M241),J241-MAX(R241*ABS(J241),S241)))))</f>
        <v/>
      </c>
      <c r="U241" s="50">
        <f>IF(OR($A241="",$J241=""),"",IF(AND(N241&lt;&gt;"",O241&lt;&gt;""),MAX(J241+MAX(R241*ABS(J241),S241),O241),IF(AND(M241&lt;&gt;"",N(L241)&gt;=2),MAX(J241+MAX(R241*ABS(J241),S241),J241+2*M241),J241+MAX(R241*ABS(J241),S241))))</f>
        <v/>
      </c>
      <c r="V241" s="51">
        <f>IF(OR($A241="",$J241=""),"",IF(COUNTIFS('6_資料庫比對'!$B$16:$B$25,A241,'6_資料庫比對'!$C$16:$C$25,I241)=0,"",IF(AND(SUMIFS('6_資料庫比對'!$F$16:$F$25,'6_資料庫比對'!$B$16:$B$25,A241,'6_資料庫比對'!$C$16:$C$25,I241)&gt;=T241,SUMIFS('6_資料庫比對'!$F$16:$F$25,'6_資料庫比對'!$B$16:$B$25,A241,'6_資料庫比對'!$C$16:$C$25,I241)&lt;=U241),"✓ 涵蓋","✗ 不涵蓋")))</f>
        <v/>
      </c>
    </row>
    <row r="242">
      <c r="A242" s="47" t="inlineStr">
        <is>
          <t>beef_jerky</t>
        </is>
      </c>
      <c r="B242" s="47" t="inlineStr">
        <is>
          <t>牛肉乾</t>
        </is>
      </c>
      <c r="C242" s="47" t="inlineStr">
        <is>
          <t>USDA</t>
        </is>
      </c>
      <c r="D242" s="47" t="inlineStr">
        <is>
          <t>SR Legacy</t>
        </is>
      </c>
      <c r="E242" s="47" t="n">
        <v>167536</v>
      </c>
      <c r="F242" s="47" t="inlineStr">
        <is>
          <t>Snacks, beef jerky, chopped and formed</t>
        </is>
      </c>
      <c r="G242" s="47" t="inlineStr">
        <is>
          <t>closest</t>
        </is>
      </c>
      <c r="H242" s="47" t="n">
        <v>6.25</v>
      </c>
      <c r="I242" s="47" t="inlineStr">
        <is>
          <t>carbohydrate</t>
        </is>
      </c>
      <c r="J242" s="47" t="n">
        <v>11</v>
      </c>
      <c r="K242" s="47" t="inlineStr">
        <is>
          <t>g</t>
        </is>
      </c>
      <c r="L242" s="47" t="n">
        <v>0</v>
      </c>
      <c r="M242" s="47" t="n"/>
      <c r="N242" s="47" t="n"/>
      <c r="O242" s="47" t="n"/>
      <c r="P242" s="47" t="n"/>
      <c r="Q242" s="47" t="inlineStr">
        <is>
          <t>MC: Manufacturer supplied; Calculated by manufacturer or unknown if analytical or calculated</t>
        </is>
      </c>
      <c r="R242" s="48">
        <f>IF(OR($A242="",$J242=""),"",IFERROR(VLOOKUP(I242,'6_資料庫比對'!$A$6:$C$12,2,FALSE),""))</f>
        <v/>
      </c>
      <c r="S242" s="49">
        <f>IF(OR($A242="",$J242=""),"",IFERROR(VLOOKUP(I242,'6_資料庫比對'!$A$6:$C$12,3,FALSE),""))</f>
        <v/>
      </c>
      <c r="T242" s="50">
        <f>IF(OR($A242="",$J242=""),"",MAX(0,IF(AND(N242&lt;&gt;"",O242&lt;&gt;""),MIN(J242-MAX(R242*ABS(J242),S242),N242),IF(AND(M242&lt;&gt;"",N(L242)&gt;=2),MIN(J242-MAX(R242*ABS(J242),S242),J242-2*M242),J242-MAX(R242*ABS(J242),S242)))))</f>
        <v/>
      </c>
      <c r="U242" s="50">
        <f>IF(OR($A242="",$J242=""),"",IF(AND(N242&lt;&gt;"",O242&lt;&gt;""),MAX(J242+MAX(R242*ABS(J242),S242),O242),IF(AND(M242&lt;&gt;"",N(L242)&gt;=2),MAX(J242+MAX(R242*ABS(J242),S242),J242+2*M242),J242+MAX(R242*ABS(J242),S242))))</f>
        <v/>
      </c>
      <c r="V242" s="51">
        <f>IF(OR($A242="",$J242=""),"",IF(COUNTIFS('6_資料庫比對'!$B$16:$B$25,A242,'6_資料庫比對'!$C$16:$C$25,I242)=0,"",IF(AND(SUMIFS('6_資料庫比對'!$F$16:$F$25,'6_資料庫比對'!$B$16:$B$25,A242,'6_資料庫比對'!$C$16:$C$25,I242)&gt;=T242,SUMIFS('6_資料庫比對'!$F$16:$F$25,'6_資料庫比對'!$B$16:$B$25,A242,'6_資料庫比對'!$C$16:$C$25,I242)&lt;=U242),"✓ 涵蓋","✗ 不涵蓋")))</f>
        <v/>
      </c>
    </row>
    <row r="243">
      <c r="A243" s="47" t="inlineStr">
        <is>
          <t>beef_jerky</t>
        </is>
      </c>
      <c r="B243" s="47" t="inlineStr">
        <is>
          <t>牛肉乾</t>
        </is>
      </c>
      <c r="C243" s="47" t="inlineStr">
        <is>
          <t>USDA</t>
        </is>
      </c>
      <c r="D243" s="47" t="inlineStr">
        <is>
          <t>SR Legacy</t>
        </is>
      </c>
      <c r="E243" s="47" t="n">
        <v>167536</v>
      </c>
      <c r="F243" s="47" t="inlineStr">
        <is>
          <t>Snacks, beef jerky, chopped and formed</t>
        </is>
      </c>
      <c r="G243" s="47" t="inlineStr">
        <is>
          <t>closest</t>
        </is>
      </c>
      <c r="H243" s="47" t="n">
        <v>6.25</v>
      </c>
      <c r="I243" s="47" t="inlineStr">
        <is>
          <t>sugars_total</t>
        </is>
      </c>
      <c r="J243" s="47" t="n">
        <v>9</v>
      </c>
      <c r="K243" s="47" t="inlineStr">
        <is>
          <t>g</t>
        </is>
      </c>
      <c r="L243" s="47" t="n">
        <v>0</v>
      </c>
      <c r="M243" s="47" t="n"/>
      <c r="N243" s="47" t="n"/>
      <c r="O243" s="47" t="n"/>
      <c r="P243" s="47" t="n"/>
      <c r="Q243" s="47" t="inlineStr">
        <is>
          <t>O: Other procedure used from imputing</t>
        </is>
      </c>
      <c r="R243" s="48">
        <f>IF(OR($A243="",$J243=""),"",IFERROR(VLOOKUP(I243,'6_資料庫比對'!$A$6:$C$12,2,FALSE),""))</f>
        <v/>
      </c>
      <c r="S243" s="49">
        <f>IF(OR($A243="",$J243=""),"",IFERROR(VLOOKUP(I243,'6_資料庫比對'!$A$6:$C$12,3,FALSE),""))</f>
        <v/>
      </c>
      <c r="T243" s="50">
        <f>IF(OR($A243="",$J243=""),"",MAX(0,IF(AND(N243&lt;&gt;"",O243&lt;&gt;""),MIN(J243-MAX(R243*ABS(J243),S243),N243),IF(AND(M243&lt;&gt;"",N(L243)&gt;=2),MIN(J243-MAX(R243*ABS(J243),S243),J243-2*M243),J243-MAX(R243*ABS(J243),S243)))))</f>
        <v/>
      </c>
      <c r="U243" s="50">
        <f>IF(OR($A243="",$J243=""),"",IF(AND(N243&lt;&gt;"",O243&lt;&gt;""),MAX(J243+MAX(R243*ABS(J243),S243),O243),IF(AND(M243&lt;&gt;"",N(L243)&gt;=2),MAX(J243+MAX(R243*ABS(J243),S243),J243+2*M243),J243+MAX(R243*ABS(J243),S243))))</f>
        <v/>
      </c>
      <c r="V243" s="51">
        <f>IF(OR($A243="",$J243=""),"",IF(COUNTIFS('6_資料庫比對'!$B$16:$B$25,A243,'6_資料庫比對'!$C$16:$C$25,I243)=0,"",IF(AND(SUMIFS('6_資料庫比對'!$F$16:$F$25,'6_資料庫比對'!$B$16:$B$25,A243,'6_資料庫比對'!$C$16:$C$25,I243)&gt;=T243,SUMIFS('6_資料庫比對'!$F$16:$F$25,'6_資料庫比對'!$B$16:$B$25,A243,'6_資料庫比對'!$C$16:$C$25,I243)&lt;=U243),"✓ 涵蓋","✗ 不涵蓋")))</f>
        <v/>
      </c>
    </row>
    <row r="244">
      <c r="A244" s="47" t="inlineStr">
        <is>
          <t>beef_jerky</t>
        </is>
      </c>
      <c r="B244" s="47" t="inlineStr">
        <is>
          <t>牛肉乾</t>
        </is>
      </c>
      <c r="C244" s="47" t="inlineStr">
        <is>
          <t>USDA</t>
        </is>
      </c>
      <c r="D244" s="47" t="inlineStr">
        <is>
          <t>SR Legacy</t>
        </is>
      </c>
      <c r="E244" s="47" t="n">
        <v>167536</v>
      </c>
      <c r="F244" s="47" t="inlineStr">
        <is>
          <t>Snacks, beef jerky, chopped and formed</t>
        </is>
      </c>
      <c r="G244" s="47" t="inlineStr">
        <is>
          <t>closest</t>
        </is>
      </c>
      <c r="H244" s="47" t="n">
        <v>6.25</v>
      </c>
      <c r="I244" s="47" t="inlineStr">
        <is>
          <t>sodium</t>
        </is>
      </c>
      <c r="J244" s="47" t="n">
        <v>1785</v>
      </c>
      <c r="K244" s="47" t="inlineStr">
        <is>
          <t>mg</t>
        </is>
      </c>
      <c r="L244" s="47" t="n">
        <v>0</v>
      </c>
      <c r="M244" s="47" t="n"/>
      <c r="N244" s="47" t="n"/>
      <c r="O244" s="47" t="n"/>
      <c r="P244" s="47" t="n"/>
      <c r="Q244" s="47" t="inlineStr">
        <is>
          <t>LC: Label claim (back calculated from label by NDL staff; Calculated from label claim/serving (g or %RDI)</t>
        </is>
      </c>
      <c r="R244" s="48">
        <f>IF(OR($A244="",$J244=""),"",IFERROR(VLOOKUP(I244,'6_資料庫比對'!$A$6:$C$12,2,FALSE),""))</f>
        <v/>
      </c>
      <c r="S244" s="49">
        <f>IF(OR($A244="",$J244=""),"",IFERROR(VLOOKUP(I244,'6_資料庫比對'!$A$6:$C$12,3,FALSE),""))</f>
        <v/>
      </c>
      <c r="T244" s="50">
        <f>IF(OR($A244="",$J244=""),"",MAX(0,IF(AND(N244&lt;&gt;"",O244&lt;&gt;""),MIN(J244-MAX(R244*ABS(J244),S244),N244),IF(AND(M244&lt;&gt;"",N(L244)&gt;=2),MIN(J244-MAX(R244*ABS(J244),S244),J244-2*M244),J244-MAX(R244*ABS(J244),S244)))))</f>
        <v/>
      </c>
      <c r="U244" s="50">
        <f>IF(OR($A244="",$J244=""),"",IF(AND(N244&lt;&gt;"",O244&lt;&gt;""),MAX(J244+MAX(R244*ABS(J244),S244),O244),IF(AND(M244&lt;&gt;"",N(L244)&gt;=2),MAX(J244+MAX(R244*ABS(J244),S244),J244+2*M244),J244+MAX(R244*ABS(J244),S244))))</f>
        <v/>
      </c>
      <c r="V244" s="51">
        <f>IF(OR($A244="",$J244=""),"",IF(COUNTIFS('6_資料庫比對'!$B$16:$B$25,A244,'6_資料庫比對'!$C$16:$C$25,I244)=0,"",IF(AND(SUMIFS('6_資料庫比對'!$F$16:$F$25,'6_資料庫比對'!$B$16:$B$25,A244,'6_資料庫比對'!$C$16:$C$25,I244)&gt;=T244,SUMIFS('6_資料庫比對'!$F$16:$F$25,'6_資料庫比對'!$B$16:$B$25,A244,'6_資料庫比對'!$C$16:$C$25,I244)&lt;=U244),"✓ 涵蓋","✗ 不涵蓋")))</f>
        <v/>
      </c>
    </row>
    <row r="245">
      <c r="A245" s="47" t="inlineStr">
        <is>
          <t>beef_jerky</t>
        </is>
      </c>
      <c r="B245" s="47" t="inlineStr">
        <is>
          <t>牛肉乾</t>
        </is>
      </c>
      <c r="C245" s="47" t="inlineStr">
        <is>
          <t>TFND</t>
        </is>
      </c>
      <c r="D245" s="47" t="inlineStr">
        <is>
          <t>食品營養成分資料集</t>
        </is>
      </c>
      <c r="E245" s="47" t="inlineStr">
        <is>
          <t>R5200101</t>
        </is>
      </c>
      <c r="F245" s="47" t="inlineStr">
        <is>
          <t>片狀肉乾(牛肉)</t>
        </is>
      </c>
      <c r="G245" s="47" t="inlineStr">
        <is>
          <t>closest</t>
        </is>
      </c>
      <c r="H245" s="47" t="n"/>
      <c r="I245" s="47" t="inlineStr">
        <is>
          <t>water</t>
        </is>
      </c>
      <c r="J245" s="47" t="n">
        <v>17.9</v>
      </c>
      <c r="K245" s="47" t="inlineStr">
        <is>
          <t>g</t>
        </is>
      </c>
      <c r="L245" s="47" t="n">
        <v>2</v>
      </c>
      <c r="M245" s="47" t="n">
        <v>2.4</v>
      </c>
      <c r="N245" s="47" t="n"/>
      <c r="O245" s="47" t="n"/>
      <c r="P245" s="47" t="n"/>
      <c r="Q245" s="47" t="n"/>
      <c r="R245" s="48">
        <f>IF(OR($A245="",$J245=""),"",IFERROR(VLOOKUP(I245,'6_資料庫比對'!$A$6:$C$12,2,FALSE),""))</f>
        <v/>
      </c>
      <c r="S245" s="49">
        <f>IF(OR($A245="",$J245=""),"",IFERROR(VLOOKUP(I245,'6_資料庫比對'!$A$6:$C$12,3,FALSE),""))</f>
        <v/>
      </c>
      <c r="T245" s="50">
        <f>IF(OR($A245="",$J245=""),"",MAX(0,IF(AND(N245&lt;&gt;"",O245&lt;&gt;""),MIN(J245-MAX(R245*ABS(J245),S245),N245),IF(AND(M245&lt;&gt;"",N(L245)&gt;=2),MIN(J245-MAX(R245*ABS(J245),S245),J245-2*M245),J245-MAX(R245*ABS(J245),S245)))))</f>
        <v/>
      </c>
      <c r="U245" s="50">
        <f>IF(OR($A245="",$J245=""),"",IF(AND(N245&lt;&gt;"",O245&lt;&gt;""),MAX(J245+MAX(R245*ABS(J245),S245),O245),IF(AND(M245&lt;&gt;"",N(L245)&gt;=2),MAX(J245+MAX(R245*ABS(J245),S245),J245+2*M245),J245+MAX(R245*ABS(J245),S245))))</f>
        <v/>
      </c>
      <c r="V245" s="51">
        <f>IF(OR($A245="",$J245=""),"",IF(COUNTIFS('6_資料庫比對'!$B$16:$B$25,A245,'6_資料庫比對'!$C$16:$C$25,I245)=0,"",IF(AND(SUMIFS('6_資料庫比對'!$F$16:$F$25,'6_資料庫比對'!$B$16:$B$25,A245,'6_資料庫比對'!$C$16:$C$25,I245)&gt;=T245,SUMIFS('6_資料庫比對'!$F$16:$F$25,'6_資料庫比對'!$B$16:$B$25,A245,'6_資料庫比對'!$C$16:$C$25,I245)&lt;=U245),"✓ 涵蓋","✗ 不涵蓋")))</f>
        <v/>
      </c>
    </row>
    <row r="246">
      <c r="A246" s="47" t="inlineStr">
        <is>
          <t>beef_jerky</t>
        </is>
      </c>
      <c r="B246" s="47" t="inlineStr">
        <is>
          <t>牛肉乾</t>
        </is>
      </c>
      <c r="C246" s="47" t="inlineStr">
        <is>
          <t>TFND</t>
        </is>
      </c>
      <c r="D246" s="47" t="inlineStr">
        <is>
          <t>食品營養成分資料集</t>
        </is>
      </c>
      <c r="E246" s="47" t="inlineStr">
        <is>
          <t>R5200101</t>
        </is>
      </c>
      <c r="F246" s="47" t="inlineStr">
        <is>
          <t>片狀肉乾(牛肉)</t>
        </is>
      </c>
      <c r="G246" s="47" t="inlineStr">
        <is>
          <t>closest</t>
        </is>
      </c>
      <c r="H246" s="47" t="n"/>
      <c r="I246" s="47" t="inlineStr">
        <is>
          <t>protein</t>
        </is>
      </c>
      <c r="J246" s="47" t="n">
        <v>30.3</v>
      </c>
      <c r="K246" s="47" t="inlineStr">
        <is>
          <t>g</t>
        </is>
      </c>
      <c r="L246" s="47" t="n">
        <v>2</v>
      </c>
      <c r="M246" s="47" t="n">
        <v>2.8</v>
      </c>
      <c r="N246" s="47" t="n"/>
      <c r="O246" s="47" t="n"/>
      <c r="P246" s="47" t="n"/>
      <c r="Q246" s="47" t="n"/>
      <c r="R246" s="48">
        <f>IF(OR($A246="",$J246=""),"",IFERROR(VLOOKUP(I246,'6_資料庫比對'!$A$6:$C$12,2,FALSE),""))</f>
        <v/>
      </c>
      <c r="S246" s="49">
        <f>IF(OR($A246="",$J246=""),"",IFERROR(VLOOKUP(I246,'6_資料庫比對'!$A$6:$C$12,3,FALSE),""))</f>
        <v/>
      </c>
      <c r="T246" s="50">
        <f>IF(OR($A246="",$J246=""),"",MAX(0,IF(AND(N246&lt;&gt;"",O246&lt;&gt;""),MIN(J246-MAX(R246*ABS(J246),S246),N246),IF(AND(M246&lt;&gt;"",N(L246)&gt;=2),MIN(J246-MAX(R246*ABS(J246),S246),J246-2*M246),J246-MAX(R246*ABS(J246),S246)))))</f>
        <v/>
      </c>
      <c r="U246" s="50">
        <f>IF(OR($A246="",$J246=""),"",IF(AND(N246&lt;&gt;"",O246&lt;&gt;""),MAX(J246+MAX(R246*ABS(J246),S246),O246),IF(AND(M246&lt;&gt;"",N(L246)&gt;=2),MAX(J246+MAX(R246*ABS(J246),S246),J246+2*M246),J246+MAX(R246*ABS(J246),S246))))</f>
        <v/>
      </c>
      <c r="V246" s="51">
        <f>IF(OR($A246="",$J246=""),"",IF(COUNTIFS('6_資料庫比對'!$B$16:$B$25,A246,'6_資料庫比對'!$C$16:$C$25,I246)=0,"",IF(AND(SUMIFS('6_資料庫比對'!$F$16:$F$25,'6_資料庫比對'!$B$16:$B$25,A246,'6_資料庫比對'!$C$16:$C$25,I246)&gt;=T246,SUMIFS('6_資料庫比對'!$F$16:$F$25,'6_資料庫比對'!$B$16:$B$25,A246,'6_資料庫比對'!$C$16:$C$25,I246)&lt;=U246),"✓ 涵蓋","✗ 不涵蓋")))</f>
        <v/>
      </c>
    </row>
    <row r="247">
      <c r="A247" s="47" t="inlineStr">
        <is>
          <t>beef_jerky</t>
        </is>
      </c>
      <c r="B247" s="47" t="inlineStr">
        <is>
          <t>牛肉乾</t>
        </is>
      </c>
      <c r="C247" s="47" t="inlineStr">
        <is>
          <t>TFND</t>
        </is>
      </c>
      <c r="D247" s="47" t="inlineStr">
        <is>
          <t>食品營養成分資料集</t>
        </is>
      </c>
      <c r="E247" s="47" t="inlineStr">
        <is>
          <t>R5200101</t>
        </is>
      </c>
      <c r="F247" s="47" t="inlineStr">
        <is>
          <t>片狀肉乾(牛肉)</t>
        </is>
      </c>
      <c r="G247" s="47" t="inlineStr">
        <is>
          <t>closest</t>
        </is>
      </c>
      <c r="H247" s="47" t="n"/>
      <c r="I247" s="47" t="inlineStr">
        <is>
          <t>fat</t>
        </is>
      </c>
      <c r="J247" s="47" t="n">
        <v>5.2</v>
      </c>
      <c r="K247" s="47" t="inlineStr">
        <is>
          <t>g</t>
        </is>
      </c>
      <c r="L247" s="47" t="n">
        <v>3</v>
      </c>
      <c r="M247" s="47" t="n">
        <v>3.2</v>
      </c>
      <c r="N247" s="47" t="n"/>
      <c r="O247" s="47" t="n"/>
      <c r="P247" s="47" t="n"/>
      <c r="Q247" s="47" t="n"/>
      <c r="R247" s="48">
        <f>IF(OR($A247="",$J247=""),"",IFERROR(VLOOKUP(I247,'6_資料庫比對'!$A$6:$C$12,2,FALSE),""))</f>
        <v/>
      </c>
      <c r="S247" s="49">
        <f>IF(OR($A247="",$J247=""),"",IFERROR(VLOOKUP(I247,'6_資料庫比對'!$A$6:$C$12,3,FALSE),""))</f>
        <v/>
      </c>
      <c r="T247" s="50">
        <f>IF(OR($A247="",$J247=""),"",MAX(0,IF(AND(N247&lt;&gt;"",O247&lt;&gt;""),MIN(J247-MAX(R247*ABS(J247),S247),N247),IF(AND(M247&lt;&gt;"",N(L247)&gt;=2),MIN(J247-MAX(R247*ABS(J247),S247),J247-2*M247),J247-MAX(R247*ABS(J247),S247)))))</f>
        <v/>
      </c>
      <c r="U247" s="50">
        <f>IF(OR($A247="",$J247=""),"",IF(AND(N247&lt;&gt;"",O247&lt;&gt;""),MAX(J247+MAX(R247*ABS(J247),S247),O247),IF(AND(M247&lt;&gt;"",N(L247)&gt;=2),MAX(J247+MAX(R247*ABS(J247),S247),J247+2*M247),J247+MAX(R247*ABS(J247),S247))))</f>
        <v/>
      </c>
      <c r="V247" s="51">
        <f>IF(OR($A247="",$J247=""),"",IF(COUNTIFS('6_資料庫比對'!$B$16:$B$25,A247,'6_資料庫比對'!$C$16:$C$25,I247)=0,"",IF(AND(SUMIFS('6_資料庫比對'!$F$16:$F$25,'6_資料庫比對'!$B$16:$B$25,A247,'6_資料庫比對'!$C$16:$C$25,I247)&gt;=T247,SUMIFS('6_資料庫比對'!$F$16:$F$25,'6_資料庫比對'!$B$16:$B$25,A247,'6_資料庫比對'!$C$16:$C$25,I247)&lt;=U247),"✓ 涵蓋","✗ 不涵蓋")))</f>
        <v/>
      </c>
    </row>
    <row r="248">
      <c r="A248" s="47" t="inlineStr">
        <is>
          <t>beef_jerky</t>
        </is>
      </c>
      <c r="B248" s="47" t="inlineStr">
        <is>
          <t>牛肉乾</t>
        </is>
      </c>
      <c r="C248" s="47" t="inlineStr">
        <is>
          <t>TFND</t>
        </is>
      </c>
      <c r="D248" s="47" t="inlineStr">
        <is>
          <t>食品營養成分資料集</t>
        </is>
      </c>
      <c r="E248" s="47" t="inlineStr">
        <is>
          <t>R5200101</t>
        </is>
      </c>
      <c r="F248" s="47" t="inlineStr">
        <is>
          <t>片狀肉乾(牛肉)</t>
        </is>
      </c>
      <c r="G248" s="47" t="inlineStr">
        <is>
          <t>closest</t>
        </is>
      </c>
      <c r="H248" s="47" t="n"/>
      <c r="I248" s="47" t="inlineStr">
        <is>
          <t>ash</t>
        </is>
      </c>
      <c r="J248" s="47" t="n">
        <v>4.8</v>
      </c>
      <c r="K248" s="47" t="inlineStr">
        <is>
          <t>g</t>
        </is>
      </c>
      <c r="L248" s="47" t="n">
        <v>2</v>
      </c>
      <c r="M248" s="47" t="n">
        <v>0.7</v>
      </c>
      <c r="N248" s="47" t="n"/>
      <c r="O248" s="47" t="n"/>
      <c r="P248" s="47" t="n"/>
      <c r="Q248" s="47" t="n"/>
      <c r="R248" s="48">
        <f>IF(OR($A248="",$J248=""),"",IFERROR(VLOOKUP(I248,'6_資料庫比對'!$A$6:$C$12,2,FALSE),""))</f>
        <v/>
      </c>
      <c r="S248" s="49">
        <f>IF(OR($A248="",$J248=""),"",IFERROR(VLOOKUP(I248,'6_資料庫比對'!$A$6:$C$12,3,FALSE),""))</f>
        <v/>
      </c>
      <c r="T248" s="50">
        <f>IF(OR($A248="",$J248=""),"",MAX(0,IF(AND(N248&lt;&gt;"",O248&lt;&gt;""),MIN(J248-MAX(R248*ABS(J248),S248),N248),IF(AND(M248&lt;&gt;"",N(L248)&gt;=2),MIN(J248-MAX(R248*ABS(J248),S248),J248-2*M248),J248-MAX(R248*ABS(J248),S248)))))</f>
        <v/>
      </c>
      <c r="U248" s="50">
        <f>IF(OR($A248="",$J248=""),"",IF(AND(N248&lt;&gt;"",O248&lt;&gt;""),MAX(J248+MAX(R248*ABS(J248),S248),O248),IF(AND(M248&lt;&gt;"",N(L248)&gt;=2),MAX(J248+MAX(R248*ABS(J248),S248),J248+2*M248),J248+MAX(R248*ABS(J248),S248))))</f>
        <v/>
      </c>
      <c r="V248" s="51">
        <f>IF(OR($A248="",$J248=""),"",IF(COUNTIFS('6_資料庫比對'!$B$16:$B$25,A248,'6_資料庫比對'!$C$16:$C$25,I248)=0,"",IF(AND(SUMIFS('6_資料庫比對'!$F$16:$F$25,'6_資料庫比對'!$B$16:$B$25,A248,'6_資料庫比對'!$C$16:$C$25,I248)&gt;=T248,SUMIFS('6_資料庫比對'!$F$16:$F$25,'6_資料庫比對'!$B$16:$B$25,A248,'6_資料庫比對'!$C$16:$C$25,I248)&lt;=U248),"✓ 涵蓋","✗ 不涵蓋")))</f>
        <v/>
      </c>
    </row>
    <row r="249">
      <c r="A249" s="47" t="inlineStr">
        <is>
          <t>beef_jerky</t>
        </is>
      </c>
      <c r="B249" s="47" t="inlineStr">
        <is>
          <t>牛肉乾</t>
        </is>
      </c>
      <c r="C249" s="47" t="inlineStr">
        <is>
          <t>TFND</t>
        </is>
      </c>
      <c r="D249" s="47" t="inlineStr">
        <is>
          <t>食品營養成分資料集</t>
        </is>
      </c>
      <c r="E249" s="47" t="inlineStr">
        <is>
          <t>R5200101</t>
        </is>
      </c>
      <c r="F249" s="47" t="inlineStr">
        <is>
          <t>片狀肉乾(牛肉)</t>
        </is>
      </c>
      <c r="G249" s="47" t="inlineStr">
        <is>
          <t>closest</t>
        </is>
      </c>
      <c r="H249" s="47" t="n"/>
      <c r="I249" s="47" t="inlineStr">
        <is>
          <t>carbohydrate</t>
        </is>
      </c>
      <c r="J249" s="47" t="n">
        <v>41.8</v>
      </c>
      <c r="K249" s="47" t="inlineStr">
        <is>
          <t>g</t>
        </is>
      </c>
      <c r="L249" s="47" t="n"/>
      <c r="M249" s="47" t="n"/>
      <c r="N249" s="47" t="n"/>
      <c r="O249" s="47" t="n"/>
      <c r="P249" s="47" t="n"/>
      <c r="Q249" s="47" t="n"/>
      <c r="R249" s="48">
        <f>IF(OR($A249="",$J249=""),"",IFERROR(VLOOKUP(I249,'6_資料庫比對'!$A$6:$C$12,2,FALSE),""))</f>
        <v/>
      </c>
      <c r="S249" s="49">
        <f>IF(OR($A249="",$J249=""),"",IFERROR(VLOOKUP(I249,'6_資料庫比對'!$A$6:$C$12,3,FALSE),""))</f>
        <v/>
      </c>
      <c r="T249" s="50">
        <f>IF(OR($A249="",$J249=""),"",MAX(0,IF(AND(N249&lt;&gt;"",O249&lt;&gt;""),MIN(J249-MAX(R249*ABS(J249),S249),N249),IF(AND(M249&lt;&gt;"",N(L249)&gt;=2),MIN(J249-MAX(R249*ABS(J249),S249),J249-2*M249),J249-MAX(R249*ABS(J249),S249)))))</f>
        <v/>
      </c>
      <c r="U249" s="50">
        <f>IF(OR($A249="",$J249=""),"",IF(AND(N249&lt;&gt;"",O249&lt;&gt;""),MAX(J249+MAX(R249*ABS(J249),S249),O249),IF(AND(M249&lt;&gt;"",N(L249)&gt;=2),MAX(J249+MAX(R249*ABS(J249),S249),J249+2*M249),J249+MAX(R249*ABS(J249),S249))))</f>
        <v/>
      </c>
      <c r="V249" s="51">
        <f>IF(OR($A249="",$J249=""),"",IF(COUNTIFS('6_資料庫比對'!$B$16:$B$25,A249,'6_資料庫比對'!$C$16:$C$25,I249)=0,"",IF(AND(SUMIFS('6_資料庫比對'!$F$16:$F$25,'6_資料庫比對'!$B$16:$B$25,A249,'6_資料庫比對'!$C$16:$C$25,I249)&gt;=T249,SUMIFS('6_資料庫比對'!$F$16:$F$25,'6_資料庫比對'!$B$16:$B$25,A249,'6_資料庫比對'!$C$16:$C$25,I249)&lt;=U249),"✓ 涵蓋","✗ 不涵蓋")))</f>
        <v/>
      </c>
    </row>
    <row r="250">
      <c r="A250" s="47" t="inlineStr">
        <is>
          <t>beef_jerky</t>
        </is>
      </c>
      <c r="B250" s="47" t="inlineStr">
        <is>
          <t>牛肉乾</t>
        </is>
      </c>
      <c r="C250" s="47" t="inlineStr">
        <is>
          <t>TFND</t>
        </is>
      </c>
      <c r="D250" s="47" t="inlineStr">
        <is>
          <t>食品營養成分資料集</t>
        </is>
      </c>
      <c r="E250" s="47" t="inlineStr">
        <is>
          <t>R5200101</t>
        </is>
      </c>
      <c r="F250" s="47" t="inlineStr">
        <is>
          <t>片狀肉乾(牛肉)</t>
        </is>
      </c>
      <c r="G250" s="47" t="inlineStr">
        <is>
          <t>closest</t>
        </is>
      </c>
      <c r="H250" s="47" t="n"/>
      <c r="I250" s="47" t="inlineStr">
        <is>
          <t>sugars_total</t>
        </is>
      </c>
      <c r="J250" s="47" t="n">
        <v>18.2</v>
      </c>
      <c r="K250" s="47" t="inlineStr">
        <is>
          <t>g</t>
        </is>
      </c>
      <c r="L250" s="47" t="n"/>
      <c r="M250" s="47" t="n"/>
      <c r="N250" s="47" t="n"/>
      <c r="O250" s="47" t="n"/>
      <c r="P250" s="47" t="n"/>
      <c r="Q250" s="47" t="n"/>
      <c r="R250" s="48">
        <f>IF(OR($A250="",$J250=""),"",IFERROR(VLOOKUP(I250,'6_資料庫比對'!$A$6:$C$12,2,FALSE),""))</f>
        <v/>
      </c>
      <c r="S250" s="49">
        <f>IF(OR($A250="",$J250=""),"",IFERROR(VLOOKUP(I250,'6_資料庫比對'!$A$6:$C$12,3,FALSE),""))</f>
        <v/>
      </c>
      <c r="T250" s="50">
        <f>IF(OR($A250="",$J250=""),"",MAX(0,IF(AND(N250&lt;&gt;"",O250&lt;&gt;""),MIN(J250-MAX(R250*ABS(J250),S250),N250),IF(AND(M250&lt;&gt;"",N(L250)&gt;=2),MIN(J250-MAX(R250*ABS(J250),S250),J250-2*M250),J250-MAX(R250*ABS(J250),S250)))))</f>
        <v/>
      </c>
      <c r="U250" s="50">
        <f>IF(OR($A250="",$J250=""),"",IF(AND(N250&lt;&gt;"",O250&lt;&gt;""),MAX(J250+MAX(R250*ABS(J250),S250),O250),IF(AND(M250&lt;&gt;"",N(L250)&gt;=2),MAX(J250+MAX(R250*ABS(J250),S250),J250+2*M250),J250+MAX(R250*ABS(J250),S250))))</f>
        <v/>
      </c>
      <c r="V250" s="51">
        <f>IF(OR($A250="",$J250=""),"",IF(COUNTIFS('6_資料庫比對'!$B$16:$B$25,A250,'6_資料庫比對'!$C$16:$C$25,I250)=0,"",IF(AND(SUMIFS('6_資料庫比對'!$F$16:$F$25,'6_資料庫比對'!$B$16:$B$25,A250,'6_資料庫比對'!$C$16:$C$25,I250)&gt;=T250,SUMIFS('6_資料庫比對'!$F$16:$F$25,'6_資料庫比對'!$B$16:$B$25,A250,'6_資料庫比對'!$C$16:$C$25,I250)&lt;=U250),"✓ 涵蓋","✗ 不涵蓋")))</f>
        <v/>
      </c>
    </row>
    <row r="251">
      <c r="A251" s="47" t="inlineStr">
        <is>
          <t>beef_jerky</t>
        </is>
      </c>
      <c r="B251" s="47" t="inlineStr">
        <is>
          <t>牛肉乾</t>
        </is>
      </c>
      <c r="C251" s="47" t="inlineStr">
        <is>
          <t>TFND</t>
        </is>
      </c>
      <c r="D251" s="47" t="inlineStr">
        <is>
          <t>食品營養成分資料集</t>
        </is>
      </c>
      <c r="E251" s="47" t="inlineStr">
        <is>
          <t>R5200101</t>
        </is>
      </c>
      <c r="F251" s="47" t="inlineStr">
        <is>
          <t>片狀肉乾(牛肉)</t>
        </is>
      </c>
      <c r="G251" s="47" t="inlineStr">
        <is>
          <t>closest</t>
        </is>
      </c>
      <c r="H251" s="47" t="n"/>
      <c r="I251" s="47" t="inlineStr">
        <is>
          <t>sodium</t>
        </is>
      </c>
      <c r="J251" s="47" t="n">
        <v>1317</v>
      </c>
      <c r="K251" s="47" t="inlineStr">
        <is>
          <t>mg</t>
        </is>
      </c>
      <c r="L251" s="47" t="n">
        <v>2</v>
      </c>
      <c r="M251" s="47" t="n">
        <v>309</v>
      </c>
      <c r="N251" s="47" t="n"/>
      <c r="O251" s="47" t="n"/>
      <c r="P251" s="47" t="n"/>
      <c r="Q251" s="47" t="n"/>
      <c r="R251" s="48">
        <f>IF(OR($A251="",$J251=""),"",IFERROR(VLOOKUP(I251,'6_資料庫比對'!$A$6:$C$12,2,FALSE),""))</f>
        <v/>
      </c>
      <c r="S251" s="49">
        <f>IF(OR($A251="",$J251=""),"",IFERROR(VLOOKUP(I251,'6_資料庫比對'!$A$6:$C$12,3,FALSE),""))</f>
        <v/>
      </c>
      <c r="T251" s="50">
        <f>IF(OR($A251="",$J251=""),"",MAX(0,IF(AND(N251&lt;&gt;"",O251&lt;&gt;""),MIN(J251-MAX(R251*ABS(J251),S251),N251),IF(AND(M251&lt;&gt;"",N(L251)&gt;=2),MIN(J251-MAX(R251*ABS(J251),S251),J251-2*M251),J251-MAX(R251*ABS(J251),S251)))))</f>
        <v/>
      </c>
      <c r="U251" s="50">
        <f>IF(OR($A251="",$J251=""),"",IF(AND(N251&lt;&gt;"",O251&lt;&gt;""),MAX(J251+MAX(R251*ABS(J251),S251),O251),IF(AND(M251&lt;&gt;"",N(L251)&gt;=2),MAX(J251+MAX(R251*ABS(J251),S251),J251+2*M251),J251+MAX(R251*ABS(J251),S251))))</f>
        <v/>
      </c>
      <c r="V251" s="51">
        <f>IF(OR($A251="",$J251=""),"",IF(COUNTIFS('6_資料庫比對'!$B$16:$B$25,A251,'6_資料庫比對'!$C$16:$C$25,I251)=0,"",IF(AND(SUMIFS('6_資料庫比對'!$F$16:$F$25,'6_資料庫比對'!$B$16:$B$25,A251,'6_資料庫比對'!$C$16:$C$25,I251)&gt;=T251,SUMIFS('6_資料庫比對'!$F$16:$F$25,'6_資料庫比對'!$B$16:$B$25,A251,'6_資料庫比對'!$C$16:$C$25,I251)&lt;=U251),"✓ 涵蓋","✗ 不涵蓋")))</f>
        <v/>
      </c>
    </row>
    <row r="252">
      <c r="A252" s="47" t="inlineStr">
        <is>
          <t>dried_longan</t>
        </is>
      </c>
      <c r="B252" s="47" t="inlineStr">
        <is>
          <t>龍眼乾</t>
        </is>
      </c>
      <c r="C252" s="47" t="inlineStr">
        <is>
          <t>USDA</t>
        </is>
      </c>
      <c r="D252" s="47" t="inlineStr">
        <is>
          <t>SR Legacy</t>
        </is>
      </c>
      <c r="E252" s="47" t="n">
        <v>169907</v>
      </c>
      <c r="F252" s="47" t="inlineStr">
        <is>
          <t>Longans, dried</t>
        </is>
      </c>
      <c r="G252" s="47" t="inlineStr">
        <is>
          <t>exact</t>
        </is>
      </c>
      <c r="H252" s="47" t="n">
        <v>6.25</v>
      </c>
      <c r="I252" s="47" t="inlineStr">
        <is>
          <t>water</t>
        </is>
      </c>
      <c r="J252" s="47" t="n">
        <v>17.6</v>
      </c>
      <c r="K252" s="47" t="inlineStr">
        <is>
          <t>g</t>
        </is>
      </c>
      <c r="L252" s="47" t="n">
        <v>0</v>
      </c>
      <c r="M252" s="47" t="n"/>
      <c r="N252" s="47" t="n"/>
      <c r="O252" s="47" t="n"/>
      <c r="P252" s="47" t="n"/>
      <c r="Q252" s="47" t="n"/>
      <c r="R252" s="48">
        <f>IF(OR($A252="",$J252=""),"",IFERROR(VLOOKUP(I252,'6_資料庫比對'!$A$6:$C$12,2,FALSE),""))</f>
        <v/>
      </c>
      <c r="S252" s="49">
        <f>IF(OR($A252="",$J252=""),"",IFERROR(VLOOKUP(I252,'6_資料庫比對'!$A$6:$C$12,3,FALSE),""))</f>
        <v/>
      </c>
      <c r="T252" s="50">
        <f>IF(OR($A252="",$J252=""),"",MAX(0,IF(AND(N252&lt;&gt;"",O252&lt;&gt;""),MIN(J252-MAX(R252*ABS(J252),S252),N252),IF(AND(M252&lt;&gt;"",N(L252)&gt;=2),MIN(J252-MAX(R252*ABS(J252),S252),J252-2*M252),J252-MAX(R252*ABS(J252),S252)))))</f>
        <v/>
      </c>
      <c r="U252" s="50">
        <f>IF(OR($A252="",$J252=""),"",IF(AND(N252&lt;&gt;"",O252&lt;&gt;""),MAX(J252+MAX(R252*ABS(J252),S252),O252),IF(AND(M252&lt;&gt;"",N(L252)&gt;=2),MAX(J252+MAX(R252*ABS(J252),S252),J252+2*M252),J252+MAX(R252*ABS(J252),S252))))</f>
        <v/>
      </c>
      <c r="V252" s="51">
        <f>IF(OR($A252="",$J252=""),"",IF(COUNTIFS('6_資料庫比對'!$B$16:$B$25,A252,'6_資料庫比對'!$C$16:$C$25,I252)=0,"",IF(AND(SUMIFS('6_資料庫比對'!$F$16:$F$25,'6_資料庫比對'!$B$16:$B$25,A252,'6_資料庫比對'!$C$16:$C$25,I252)&gt;=T252,SUMIFS('6_資料庫比對'!$F$16:$F$25,'6_資料庫比對'!$B$16:$B$25,A252,'6_資料庫比對'!$C$16:$C$25,I252)&lt;=U252),"✓ 涵蓋","✗ 不涵蓋")))</f>
        <v/>
      </c>
    </row>
    <row r="253">
      <c r="A253" s="47" t="inlineStr">
        <is>
          <t>dried_longan</t>
        </is>
      </c>
      <c r="B253" s="47" t="inlineStr">
        <is>
          <t>龍眼乾</t>
        </is>
      </c>
      <c r="C253" s="47" t="inlineStr">
        <is>
          <t>USDA</t>
        </is>
      </c>
      <c r="D253" s="47" t="inlineStr">
        <is>
          <t>SR Legacy</t>
        </is>
      </c>
      <c r="E253" s="47" t="n">
        <v>169907</v>
      </c>
      <c r="F253" s="47" t="inlineStr">
        <is>
          <t>Longans, dried</t>
        </is>
      </c>
      <c r="G253" s="47" t="inlineStr">
        <is>
          <t>exact</t>
        </is>
      </c>
      <c r="H253" s="47" t="n">
        <v>6.25</v>
      </c>
      <c r="I253" s="47" t="inlineStr">
        <is>
          <t>protein</t>
        </is>
      </c>
      <c r="J253" s="47" t="n">
        <v>4.9</v>
      </c>
      <c r="K253" s="47" t="inlineStr">
        <is>
          <t>g</t>
        </is>
      </c>
      <c r="L253" s="47" t="n">
        <v>0</v>
      </c>
      <c r="M253" s="47" t="n"/>
      <c r="N253" s="47" t="n"/>
      <c r="O253" s="47" t="n"/>
      <c r="P253" s="47" t="n"/>
      <c r="Q253" s="47" t="n"/>
      <c r="R253" s="48">
        <f>IF(OR($A253="",$J253=""),"",IFERROR(VLOOKUP(I253,'6_資料庫比對'!$A$6:$C$12,2,FALSE),""))</f>
        <v/>
      </c>
      <c r="S253" s="49">
        <f>IF(OR($A253="",$J253=""),"",IFERROR(VLOOKUP(I253,'6_資料庫比對'!$A$6:$C$12,3,FALSE),""))</f>
        <v/>
      </c>
      <c r="T253" s="50">
        <f>IF(OR($A253="",$J253=""),"",MAX(0,IF(AND(N253&lt;&gt;"",O253&lt;&gt;""),MIN(J253-MAX(R253*ABS(J253),S253),N253),IF(AND(M253&lt;&gt;"",N(L253)&gt;=2),MIN(J253-MAX(R253*ABS(J253),S253),J253-2*M253),J253-MAX(R253*ABS(J253),S253)))))</f>
        <v/>
      </c>
      <c r="U253" s="50">
        <f>IF(OR($A253="",$J253=""),"",IF(AND(N253&lt;&gt;"",O253&lt;&gt;""),MAX(J253+MAX(R253*ABS(J253),S253),O253),IF(AND(M253&lt;&gt;"",N(L253)&gt;=2),MAX(J253+MAX(R253*ABS(J253),S253),J253+2*M253),J253+MAX(R253*ABS(J253),S253))))</f>
        <v/>
      </c>
      <c r="V253" s="51">
        <f>IF(OR($A253="",$J253=""),"",IF(COUNTIFS('6_資料庫比對'!$B$16:$B$25,A253,'6_資料庫比對'!$C$16:$C$25,I253)=0,"",IF(AND(SUMIFS('6_資料庫比對'!$F$16:$F$25,'6_資料庫比對'!$B$16:$B$25,A253,'6_資料庫比對'!$C$16:$C$25,I253)&gt;=T253,SUMIFS('6_資料庫比對'!$F$16:$F$25,'6_資料庫比對'!$B$16:$B$25,A253,'6_資料庫比對'!$C$16:$C$25,I253)&lt;=U253),"✓ 涵蓋","✗ 不涵蓋")))</f>
        <v/>
      </c>
    </row>
    <row r="254">
      <c r="A254" s="47" t="inlineStr">
        <is>
          <t>dried_longan</t>
        </is>
      </c>
      <c r="B254" s="47" t="inlineStr">
        <is>
          <t>龍眼乾</t>
        </is>
      </c>
      <c r="C254" s="47" t="inlineStr">
        <is>
          <t>USDA</t>
        </is>
      </c>
      <c r="D254" s="47" t="inlineStr">
        <is>
          <t>SR Legacy</t>
        </is>
      </c>
      <c r="E254" s="47" t="n">
        <v>169907</v>
      </c>
      <c r="F254" s="47" t="inlineStr">
        <is>
          <t>Longans, dried</t>
        </is>
      </c>
      <c r="G254" s="47" t="inlineStr">
        <is>
          <t>exact</t>
        </is>
      </c>
      <c r="H254" s="47" t="n">
        <v>6.25</v>
      </c>
      <c r="I254" s="47" t="inlineStr">
        <is>
          <t>fat</t>
        </is>
      </c>
      <c r="J254" s="47" t="n">
        <v>0.4</v>
      </c>
      <c r="K254" s="47" t="inlineStr">
        <is>
          <t>g</t>
        </is>
      </c>
      <c r="L254" s="47" t="n">
        <v>0</v>
      </c>
      <c r="M254" s="47" t="n"/>
      <c r="N254" s="47" t="n"/>
      <c r="O254" s="47" t="n"/>
      <c r="P254" s="47" t="n"/>
      <c r="Q254" s="47" t="n"/>
      <c r="R254" s="48">
        <f>IF(OR($A254="",$J254=""),"",IFERROR(VLOOKUP(I254,'6_資料庫比對'!$A$6:$C$12,2,FALSE),""))</f>
        <v/>
      </c>
      <c r="S254" s="49">
        <f>IF(OR($A254="",$J254=""),"",IFERROR(VLOOKUP(I254,'6_資料庫比對'!$A$6:$C$12,3,FALSE),""))</f>
        <v/>
      </c>
      <c r="T254" s="50">
        <f>IF(OR($A254="",$J254=""),"",MAX(0,IF(AND(N254&lt;&gt;"",O254&lt;&gt;""),MIN(J254-MAX(R254*ABS(J254),S254),N254),IF(AND(M254&lt;&gt;"",N(L254)&gt;=2),MIN(J254-MAX(R254*ABS(J254),S254),J254-2*M254),J254-MAX(R254*ABS(J254),S254)))))</f>
        <v/>
      </c>
      <c r="U254" s="50">
        <f>IF(OR($A254="",$J254=""),"",IF(AND(N254&lt;&gt;"",O254&lt;&gt;""),MAX(J254+MAX(R254*ABS(J254),S254),O254),IF(AND(M254&lt;&gt;"",N(L254)&gt;=2),MAX(J254+MAX(R254*ABS(J254),S254),J254+2*M254),J254+MAX(R254*ABS(J254),S254))))</f>
        <v/>
      </c>
      <c r="V254" s="51">
        <f>IF(OR($A254="",$J254=""),"",IF(COUNTIFS('6_資料庫比對'!$B$16:$B$25,A254,'6_資料庫比對'!$C$16:$C$25,I254)=0,"",IF(AND(SUMIFS('6_資料庫比對'!$F$16:$F$25,'6_資料庫比對'!$B$16:$B$25,A254,'6_資料庫比對'!$C$16:$C$25,I254)&gt;=T254,SUMIFS('6_資料庫比對'!$F$16:$F$25,'6_資料庫比對'!$B$16:$B$25,A254,'6_資料庫比對'!$C$16:$C$25,I254)&lt;=U254),"✓ 涵蓋","✗ 不涵蓋")))</f>
        <v/>
      </c>
    </row>
    <row r="255">
      <c r="A255" s="47" t="inlineStr">
        <is>
          <t>dried_longan</t>
        </is>
      </c>
      <c r="B255" s="47" t="inlineStr">
        <is>
          <t>龍眼乾</t>
        </is>
      </c>
      <c r="C255" s="47" t="inlineStr">
        <is>
          <t>USDA</t>
        </is>
      </c>
      <c r="D255" s="47" t="inlineStr">
        <is>
          <t>SR Legacy</t>
        </is>
      </c>
      <c r="E255" s="47" t="n">
        <v>169907</v>
      </c>
      <c r="F255" s="47" t="inlineStr">
        <is>
          <t>Longans, dried</t>
        </is>
      </c>
      <c r="G255" s="47" t="inlineStr">
        <is>
          <t>exact</t>
        </is>
      </c>
      <c r="H255" s="47" t="n">
        <v>6.25</v>
      </c>
      <c r="I255" s="47" t="inlineStr">
        <is>
          <t>ash</t>
        </is>
      </c>
      <c r="J255" s="47" t="n">
        <v>3.1</v>
      </c>
      <c r="K255" s="47" t="inlineStr">
        <is>
          <t>g</t>
        </is>
      </c>
      <c r="L255" s="47" t="n">
        <v>0</v>
      </c>
      <c r="M255" s="47" t="n"/>
      <c r="N255" s="47" t="n"/>
      <c r="O255" s="47" t="n"/>
      <c r="P255" s="47" t="n"/>
      <c r="Q255" s="47" t="n"/>
      <c r="R255" s="48">
        <f>IF(OR($A255="",$J255=""),"",IFERROR(VLOOKUP(I255,'6_資料庫比對'!$A$6:$C$12,2,FALSE),""))</f>
        <v/>
      </c>
      <c r="S255" s="49">
        <f>IF(OR($A255="",$J255=""),"",IFERROR(VLOOKUP(I255,'6_資料庫比對'!$A$6:$C$12,3,FALSE),""))</f>
        <v/>
      </c>
      <c r="T255" s="50">
        <f>IF(OR($A255="",$J255=""),"",MAX(0,IF(AND(N255&lt;&gt;"",O255&lt;&gt;""),MIN(J255-MAX(R255*ABS(J255),S255),N255),IF(AND(M255&lt;&gt;"",N(L255)&gt;=2),MIN(J255-MAX(R255*ABS(J255),S255),J255-2*M255),J255-MAX(R255*ABS(J255),S255)))))</f>
        <v/>
      </c>
      <c r="U255" s="50">
        <f>IF(OR($A255="",$J255=""),"",IF(AND(N255&lt;&gt;"",O255&lt;&gt;""),MAX(J255+MAX(R255*ABS(J255),S255),O255),IF(AND(M255&lt;&gt;"",N(L255)&gt;=2),MAX(J255+MAX(R255*ABS(J255),S255),J255+2*M255),J255+MAX(R255*ABS(J255),S255))))</f>
        <v/>
      </c>
      <c r="V255" s="51">
        <f>IF(OR($A255="",$J255=""),"",IF(COUNTIFS('6_資料庫比對'!$B$16:$B$25,A255,'6_資料庫比對'!$C$16:$C$25,I255)=0,"",IF(AND(SUMIFS('6_資料庫比對'!$F$16:$F$25,'6_資料庫比對'!$B$16:$B$25,A255,'6_資料庫比對'!$C$16:$C$25,I255)&gt;=T255,SUMIFS('6_資料庫比對'!$F$16:$F$25,'6_資料庫比對'!$B$16:$B$25,A255,'6_資料庫比對'!$C$16:$C$25,I255)&lt;=U255),"✓ 涵蓋","✗ 不涵蓋")))</f>
        <v/>
      </c>
    </row>
    <row r="256">
      <c r="A256" s="47" t="inlineStr">
        <is>
          <t>dried_longan</t>
        </is>
      </c>
      <c r="B256" s="47" t="inlineStr">
        <is>
          <t>龍眼乾</t>
        </is>
      </c>
      <c r="C256" s="47" t="inlineStr">
        <is>
          <t>USDA</t>
        </is>
      </c>
      <c r="D256" s="47" t="inlineStr">
        <is>
          <t>SR Legacy</t>
        </is>
      </c>
      <c r="E256" s="47" t="n">
        <v>169907</v>
      </c>
      <c r="F256" s="47" t="inlineStr">
        <is>
          <t>Longans, dried</t>
        </is>
      </c>
      <c r="G256" s="47" t="inlineStr">
        <is>
          <t>exact</t>
        </is>
      </c>
      <c r="H256" s="47" t="n">
        <v>6.25</v>
      </c>
      <c r="I256" s="47" t="inlineStr">
        <is>
          <t>carbohydrate</t>
        </is>
      </c>
      <c r="J256" s="47" t="n">
        <v>74</v>
      </c>
      <c r="K256" s="47" t="inlineStr">
        <is>
          <t>g</t>
        </is>
      </c>
      <c r="L256" s="47" t="n">
        <v>0</v>
      </c>
      <c r="M256" s="47" t="n"/>
      <c r="N256" s="47" t="n"/>
      <c r="O256" s="47" t="n"/>
      <c r="P256" s="47" t="n"/>
      <c r="Q256" s="47" t="inlineStr">
        <is>
          <t>NC: Calculated</t>
        </is>
      </c>
      <c r="R256" s="48">
        <f>IF(OR($A256="",$J256=""),"",IFERROR(VLOOKUP(I256,'6_資料庫比對'!$A$6:$C$12,2,FALSE),""))</f>
        <v/>
      </c>
      <c r="S256" s="49">
        <f>IF(OR($A256="",$J256=""),"",IFERROR(VLOOKUP(I256,'6_資料庫比對'!$A$6:$C$12,3,FALSE),""))</f>
        <v/>
      </c>
      <c r="T256" s="50">
        <f>IF(OR($A256="",$J256=""),"",MAX(0,IF(AND(N256&lt;&gt;"",O256&lt;&gt;""),MIN(J256-MAX(R256*ABS(J256),S256),N256),IF(AND(M256&lt;&gt;"",N(L256)&gt;=2),MIN(J256-MAX(R256*ABS(J256),S256),J256-2*M256),J256-MAX(R256*ABS(J256),S256)))))</f>
        <v/>
      </c>
      <c r="U256" s="50">
        <f>IF(OR($A256="",$J256=""),"",IF(AND(N256&lt;&gt;"",O256&lt;&gt;""),MAX(J256+MAX(R256*ABS(J256),S256),O256),IF(AND(M256&lt;&gt;"",N(L256)&gt;=2),MAX(J256+MAX(R256*ABS(J256),S256),J256+2*M256),J256+MAX(R256*ABS(J256),S256))))</f>
        <v/>
      </c>
      <c r="V256" s="51">
        <f>IF(OR($A256="",$J256=""),"",IF(COUNTIFS('6_資料庫比對'!$B$16:$B$25,A256,'6_資料庫比對'!$C$16:$C$25,I256)=0,"",IF(AND(SUMIFS('6_資料庫比對'!$F$16:$F$25,'6_資料庫比對'!$B$16:$B$25,A256,'6_資料庫比對'!$C$16:$C$25,I256)&gt;=T256,SUMIFS('6_資料庫比對'!$F$16:$F$25,'6_資料庫比對'!$B$16:$B$25,A256,'6_資料庫比對'!$C$16:$C$25,I256)&lt;=U256),"✓ 涵蓋","✗ 不涵蓋")))</f>
        <v/>
      </c>
    </row>
    <row r="257">
      <c r="A257" s="47" t="inlineStr">
        <is>
          <t>dried_longan</t>
        </is>
      </c>
      <c r="B257" s="47" t="inlineStr">
        <is>
          <t>龍眼乾</t>
        </is>
      </c>
      <c r="C257" s="47" t="inlineStr">
        <is>
          <t>USDA</t>
        </is>
      </c>
      <c r="D257" s="47" t="inlineStr">
        <is>
          <t>SR Legacy</t>
        </is>
      </c>
      <c r="E257" s="47" t="n">
        <v>169907</v>
      </c>
      <c r="F257" s="47" t="inlineStr">
        <is>
          <t>Longans, dried</t>
        </is>
      </c>
      <c r="G257" s="47" t="inlineStr">
        <is>
          <t>exact</t>
        </is>
      </c>
      <c r="H257" s="47" t="n">
        <v>6.25</v>
      </c>
      <c r="I257" s="47" t="inlineStr">
        <is>
          <t>sodium</t>
        </is>
      </c>
      <c r="J257" s="47" t="n">
        <v>48</v>
      </c>
      <c r="K257" s="47" t="inlineStr">
        <is>
          <t>mg</t>
        </is>
      </c>
      <c r="L257" s="47" t="n">
        <v>1</v>
      </c>
      <c r="M257" s="47" t="n"/>
      <c r="N257" s="47" t="n"/>
      <c r="O257" s="47" t="n"/>
      <c r="P257" s="47" t="n"/>
      <c r="Q257" s="47" t="n"/>
      <c r="R257" s="48">
        <f>IF(OR($A257="",$J257=""),"",IFERROR(VLOOKUP(I257,'6_資料庫比對'!$A$6:$C$12,2,FALSE),""))</f>
        <v/>
      </c>
      <c r="S257" s="49">
        <f>IF(OR($A257="",$J257=""),"",IFERROR(VLOOKUP(I257,'6_資料庫比對'!$A$6:$C$12,3,FALSE),""))</f>
        <v/>
      </c>
      <c r="T257" s="50">
        <f>IF(OR($A257="",$J257=""),"",MAX(0,IF(AND(N257&lt;&gt;"",O257&lt;&gt;""),MIN(J257-MAX(R257*ABS(J257),S257),N257),IF(AND(M257&lt;&gt;"",N(L257)&gt;=2),MIN(J257-MAX(R257*ABS(J257),S257),J257-2*M257),J257-MAX(R257*ABS(J257),S257)))))</f>
        <v/>
      </c>
      <c r="U257" s="50">
        <f>IF(OR($A257="",$J257=""),"",IF(AND(N257&lt;&gt;"",O257&lt;&gt;""),MAX(J257+MAX(R257*ABS(J257),S257),O257),IF(AND(M257&lt;&gt;"",N(L257)&gt;=2),MAX(J257+MAX(R257*ABS(J257),S257),J257+2*M257),J257+MAX(R257*ABS(J257),S257))))</f>
        <v/>
      </c>
      <c r="V257" s="51">
        <f>IF(OR($A257="",$J257=""),"",IF(COUNTIFS('6_資料庫比對'!$B$16:$B$25,A257,'6_資料庫比對'!$C$16:$C$25,I257)=0,"",IF(AND(SUMIFS('6_資料庫比對'!$F$16:$F$25,'6_資料庫比對'!$B$16:$B$25,A257,'6_資料庫比對'!$C$16:$C$25,I257)&gt;=T257,SUMIFS('6_資料庫比對'!$F$16:$F$25,'6_資料庫比對'!$B$16:$B$25,A257,'6_資料庫比對'!$C$16:$C$25,I257)&lt;=U257),"✓ 涵蓋","✗ 不涵蓋")))</f>
        <v/>
      </c>
    </row>
    <row r="258">
      <c r="A258" s="47" t="inlineStr">
        <is>
          <t>dried_longan</t>
        </is>
      </c>
      <c r="B258" s="47" t="inlineStr">
        <is>
          <t>龍眼乾</t>
        </is>
      </c>
      <c r="C258" s="47" t="inlineStr">
        <is>
          <t>TFND</t>
        </is>
      </c>
      <c r="D258" s="47" t="inlineStr">
        <is>
          <t>食品營養成分資料集</t>
        </is>
      </c>
      <c r="E258" s="47" t="inlineStr">
        <is>
          <t>D2310101</t>
        </is>
      </c>
      <c r="F258" s="47" t="inlineStr">
        <is>
          <t>龍眼乾</t>
        </is>
      </c>
      <c r="G258" s="47" t="inlineStr">
        <is>
          <t>exact</t>
        </is>
      </c>
      <c r="H258" s="47" t="n"/>
      <c r="I258" s="47" t="inlineStr">
        <is>
          <t>water</t>
        </is>
      </c>
      <c r="J258" s="47" t="n">
        <v>18.2</v>
      </c>
      <c r="K258" s="47" t="inlineStr">
        <is>
          <t>g</t>
        </is>
      </c>
      <c r="L258" s="47" t="n">
        <v>2</v>
      </c>
      <c r="M258" s="47" t="n">
        <v>1.2</v>
      </c>
      <c r="N258" s="47" t="n"/>
      <c r="O258" s="47" t="n"/>
      <c r="P258" s="47" t="n"/>
      <c r="Q258" s="47" t="n"/>
      <c r="R258" s="48">
        <f>IF(OR($A258="",$J258=""),"",IFERROR(VLOOKUP(I258,'6_資料庫比對'!$A$6:$C$12,2,FALSE),""))</f>
        <v/>
      </c>
      <c r="S258" s="49">
        <f>IF(OR($A258="",$J258=""),"",IFERROR(VLOOKUP(I258,'6_資料庫比對'!$A$6:$C$12,3,FALSE),""))</f>
        <v/>
      </c>
      <c r="T258" s="50">
        <f>IF(OR($A258="",$J258=""),"",MAX(0,IF(AND(N258&lt;&gt;"",O258&lt;&gt;""),MIN(J258-MAX(R258*ABS(J258),S258),N258),IF(AND(M258&lt;&gt;"",N(L258)&gt;=2),MIN(J258-MAX(R258*ABS(J258),S258),J258-2*M258),J258-MAX(R258*ABS(J258),S258)))))</f>
        <v/>
      </c>
      <c r="U258" s="50">
        <f>IF(OR($A258="",$J258=""),"",IF(AND(N258&lt;&gt;"",O258&lt;&gt;""),MAX(J258+MAX(R258*ABS(J258),S258),O258),IF(AND(M258&lt;&gt;"",N(L258)&gt;=2),MAX(J258+MAX(R258*ABS(J258),S258),J258+2*M258),J258+MAX(R258*ABS(J258),S258))))</f>
        <v/>
      </c>
      <c r="V258" s="51">
        <f>IF(OR($A258="",$J258=""),"",IF(COUNTIFS('6_資料庫比對'!$B$16:$B$25,A258,'6_資料庫比對'!$C$16:$C$25,I258)=0,"",IF(AND(SUMIFS('6_資料庫比對'!$F$16:$F$25,'6_資料庫比對'!$B$16:$B$25,A258,'6_資料庫比對'!$C$16:$C$25,I258)&gt;=T258,SUMIFS('6_資料庫比對'!$F$16:$F$25,'6_資料庫比對'!$B$16:$B$25,A258,'6_資料庫比對'!$C$16:$C$25,I258)&lt;=U258),"✓ 涵蓋","✗ 不涵蓋")))</f>
        <v/>
      </c>
    </row>
    <row r="259">
      <c r="A259" s="47" t="inlineStr">
        <is>
          <t>dried_longan</t>
        </is>
      </c>
      <c r="B259" s="47" t="inlineStr">
        <is>
          <t>龍眼乾</t>
        </is>
      </c>
      <c r="C259" s="47" t="inlineStr">
        <is>
          <t>TFND</t>
        </is>
      </c>
      <c r="D259" s="47" t="inlineStr">
        <is>
          <t>食品營養成分資料集</t>
        </is>
      </c>
      <c r="E259" s="47" t="inlineStr">
        <is>
          <t>D2310101</t>
        </is>
      </c>
      <c r="F259" s="47" t="inlineStr">
        <is>
          <t>龍眼乾</t>
        </is>
      </c>
      <c r="G259" s="47" t="inlineStr">
        <is>
          <t>exact</t>
        </is>
      </c>
      <c r="H259" s="47" t="n"/>
      <c r="I259" s="47" t="inlineStr">
        <is>
          <t>protein</t>
        </is>
      </c>
      <c r="J259" s="47" t="n">
        <v>5.1</v>
      </c>
      <c r="K259" s="47" t="inlineStr">
        <is>
          <t>g</t>
        </is>
      </c>
      <c r="L259" s="47" t="n">
        <v>2</v>
      </c>
      <c r="M259" s="47" t="n">
        <v>0.4</v>
      </c>
      <c r="N259" s="47" t="n"/>
      <c r="O259" s="47" t="n"/>
      <c r="P259" s="47" t="n"/>
      <c r="Q259" s="47" t="n"/>
      <c r="R259" s="48">
        <f>IF(OR($A259="",$J259=""),"",IFERROR(VLOOKUP(I259,'6_資料庫比對'!$A$6:$C$12,2,FALSE),""))</f>
        <v/>
      </c>
      <c r="S259" s="49">
        <f>IF(OR($A259="",$J259=""),"",IFERROR(VLOOKUP(I259,'6_資料庫比對'!$A$6:$C$12,3,FALSE),""))</f>
        <v/>
      </c>
      <c r="T259" s="50">
        <f>IF(OR($A259="",$J259=""),"",MAX(0,IF(AND(N259&lt;&gt;"",O259&lt;&gt;""),MIN(J259-MAX(R259*ABS(J259),S259),N259),IF(AND(M259&lt;&gt;"",N(L259)&gt;=2),MIN(J259-MAX(R259*ABS(J259),S259),J259-2*M259),J259-MAX(R259*ABS(J259),S259)))))</f>
        <v/>
      </c>
      <c r="U259" s="50">
        <f>IF(OR($A259="",$J259=""),"",IF(AND(N259&lt;&gt;"",O259&lt;&gt;""),MAX(J259+MAX(R259*ABS(J259),S259),O259),IF(AND(M259&lt;&gt;"",N(L259)&gt;=2),MAX(J259+MAX(R259*ABS(J259),S259),J259+2*M259),J259+MAX(R259*ABS(J259),S259))))</f>
        <v/>
      </c>
      <c r="V259" s="51">
        <f>IF(OR($A259="",$J259=""),"",IF(COUNTIFS('6_資料庫比對'!$B$16:$B$25,A259,'6_資料庫比對'!$C$16:$C$25,I259)=0,"",IF(AND(SUMIFS('6_資料庫比對'!$F$16:$F$25,'6_資料庫比對'!$B$16:$B$25,A259,'6_資料庫比對'!$C$16:$C$25,I259)&gt;=T259,SUMIFS('6_資料庫比對'!$F$16:$F$25,'6_資料庫比對'!$B$16:$B$25,A259,'6_資料庫比對'!$C$16:$C$25,I259)&lt;=U259),"✓ 涵蓋","✗ 不涵蓋")))</f>
        <v/>
      </c>
    </row>
    <row r="260">
      <c r="A260" s="47" t="inlineStr">
        <is>
          <t>dried_longan</t>
        </is>
      </c>
      <c r="B260" s="47" t="inlineStr">
        <is>
          <t>龍眼乾</t>
        </is>
      </c>
      <c r="C260" s="47" t="inlineStr">
        <is>
          <t>TFND</t>
        </is>
      </c>
      <c r="D260" s="47" t="inlineStr">
        <is>
          <t>食品營養成分資料集</t>
        </is>
      </c>
      <c r="E260" s="47" t="inlineStr">
        <is>
          <t>D2310101</t>
        </is>
      </c>
      <c r="F260" s="47" t="inlineStr">
        <is>
          <t>龍眼乾</t>
        </is>
      </c>
      <c r="G260" s="47" t="inlineStr">
        <is>
          <t>exact</t>
        </is>
      </c>
      <c r="H260" s="47" t="n"/>
      <c r="I260" s="47" t="inlineStr">
        <is>
          <t>fat</t>
        </is>
      </c>
      <c r="J260" s="47" t="n">
        <v>0.5</v>
      </c>
      <c r="K260" s="47" t="inlineStr">
        <is>
          <t>g</t>
        </is>
      </c>
      <c r="L260" s="47" t="n">
        <v>3</v>
      </c>
      <c r="M260" s="47" t="n">
        <v>0.7</v>
      </c>
      <c r="N260" s="47" t="n"/>
      <c r="O260" s="47" t="n"/>
      <c r="P260" s="47" t="n"/>
      <c r="Q260" s="47" t="n"/>
      <c r="R260" s="48">
        <f>IF(OR($A260="",$J260=""),"",IFERROR(VLOOKUP(I260,'6_資料庫比對'!$A$6:$C$12,2,FALSE),""))</f>
        <v/>
      </c>
      <c r="S260" s="49">
        <f>IF(OR($A260="",$J260=""),"",IFERROR(VLOOKUP(I260,'6_資料庫比對'!$A$6:$C$12,3,FALSE),""))</f>
        <v/>
      </c>
      <c r="T260" s="50">
        <f>IF(OR($A260="",$J260=""),"",MAX(0,IF(AND(N260&lt;&gt;"",O260&lt;&gt;""),MIN(J260-MAX(R260*ABS(J260),S260),N260),IF(AND(M260&lt;&gt;"",N(L260)&gt;=2),MIN(J260-MAX(R260*ABS(J260),S260),J260-2*M260),J260-MAX(R260*ABS(J260),S260)))))</f>
        <v/>
      </c>
      <c r="U260" s="50">
        <f>IF(OR($A260="",$J260=""),"",IF(AND(N260&lt;&gt;"",O260&lt;&gt;""),MAX(J260+MAX(R260*ABS(J260),S260),O260),IF(AND(M260&lt;&gt;"",N(L260)&gt;=2),MAX(J260+MAX(R260*ABS(J260),S260),J260+2*M260),J260+MAX(R260*ABS(J260),S260))))</f>
        <v/>
      </c>
      <c r="V260" s="51">
        <f>IF(OR($A260="",$J260=""),"",IF(COUNTIFS('6_資料庫比對'!$B$16:$B$25,A260,'6_資料庫比對'!$C$16:$C$25,I260)=0,"",IF(AND(SUMIFS('6_資料庫比對'!$F$16:$F$25,'6_資料庫比對'!$B$16:$B$25,A260,'6_資料庫比對'!$C$16:$C$25,I260)&gt;=T260,SUMIFS('6_資料庫比對'!$F$16:$F$25,'6_資料庫比對'!$B$16:$B$25,A260,'6_資料庫比對'!$C$16:$C$25,I260)&lt;=U260),"✓ 涵蓋","✗ 不涵蓋")))</f>
        <v/>
      </c>
    </row>
    <row r="261">
      <c r="A261" s="47" t="inlineStr">
        <is>
          <t>dried_longan</t>
        </is>
      </c>
      <c r="B261" s="47" t="inlineStr">
        <is>
          <t>龍眼乾</t>
        </is>
      </c>
      <c r="C261" s="47" t="inlineStr">
        <is>
          <t>TFND</t>
        </is>
      </c>
      <c r="D261" s="47" t="inlineStr">
        <is>
          <t>食品營養成分資料集</t>
        </is>
      </c>
      <c r="E261" s="47" t="inlineStr">
        <is>
          <t>D2310101</t>
        </is>
      </c>
      <c r="F261" s="47" t="inlineStr">
        <is>
          <t>龍眼乾</t>
        </is>
      </c>
      <c r="G261" s="47" t="inlineStr">
        <is>
          <t>exact</t>
        </is>
      </c>
      <c r="H261" s="47" t="n"/>
      <c r="I261" s="47" t="inlineStr">
        <is>
          <t>ash</t>
        </is>
      </c>
      <c r="J261" s="47" t="n">
        <v>5.3</v>
      </c>
      <c r="K261" s="47" t="inlineStr">
        <is>
          <t>g</t>
        </is>
      </c>
      <c r="L261" s="47" t="n">
        <v>2</v>
      </c>
      <c r="M261" s="47" t="n">
        <v>1.6</v>
      </c>
      <c r="N261" s="47" t="n"/>
      <c r="O261" s="47" t="n"/>
      <c r="P261" s="47" t="n"/>
      <c r="Q261" s="47" t="n"/>
      <c r="R261" s="48">
        <f>IF(OR($A261="",$J261=""),"",IFERROR(VLOOKUP(I261,'6_資料庫比對'!$A$6:$C$12,2,FALSE),""))</f>
        <v/>
      </c>
      <c r="S261" s="49">
        <f>IF(OR($A261="",$J261=""),"",IFERROR(VLOOKUP(I261,'6_資料庫比對'!$A$6:$C$12,3,FALSE),""))</f>
        <v/>
      </c>
      <c r="T261" s="50">
        <f>IF(OR($A261="",$J261=""),"",MAX(0,IF(AND(N261&lt;&gt;"",O261&lt;&gt;""),MIN(J261-MAX(R261*ABS(J261),S261),N261),IF(AND(M261&lt;&gt;"",N(L261)&gt;=2),MIN(J261-MAX(R261*ABS(J261),S261),J261-2*M261),J261-MAX(R261*ABS(J261),S261)))))</f>
        <v/>
      </c>
      <c r="U261" s="50">
        <f>IF(OR($A261="",$J261=""),"",IF(AND(N261&lt;&gt;"",O261&lt;&gt;""),MAX(J261+MAX(R261*ABS(J261),S261),O261),IF(AND(M261&lt;&gt;"",N(L261)&gt;=2),MAX(J261+MAX(R261*ABS(J261),S261),J261+2*M261),J261+MAX(R261*ABS(J261),S261))))</f>
        <v/>
      </c>
      <c r="V261" s="51">
        <f>IF(OR($A261="",$J261=""),"",IF(COUNTIFS('6_資料庫比對'!$B$16:$B$25,A261,'6_資料庫比對'!$C$16:$C$25,I261)=0,"",IF(AND(SUMIFS('6_資料庫比對'!$F$16:$F$25,'6_資料庫比對'!$B$16:$B$25,A261,'6_資料庫比對'!$C$16:$C$25,I261)&gt;=T261,SUMIFS('6_資料庫比對'!$F$16:$F$25,'6_資料庫比對'!$B$16:$B$25,A261,'6_資料庫比對'!$C$16:$C$25,I261)&lt;=U261),"✓ 涵蓋","✗ 不涵蓋")))</f>
        <v/>
      </c>
    </row>
    <row r="262">
      <c r="A262" s="47" t="inlineStr">
        <is>
          <t>dried_longan</t>
        </is>
      </c>
      <c r="B262" s="47" t="inlineStr">
        <is>
          <t>龍眼乾</t>
        </is>
      </c>
      <c r="C262" s="47" t="inlineStr">
        <is>
          <t>TFND</t>
        </is>
      </c>
      <c r="D262" s="47" t="inlineStr">
        <is>
          <t>食品營養成分資料集</t>
        </is>
      </c>
      <c r="E262" s="47" t="inlineStr">
        <is>
          <t>D2310101</t>
        </is>
      </c>
      <c r="F262" s="47" t="inlineStr">
        <is>
          <t>龍眼乾</t>
        </is>
      </c>
      <c r="G262" s="47" t="inlineStr">
        <is>
          <t>exact</t>
        </is>
      </c>
      <c r="H262" s="47" t="n"/>
      <c r="I262" s="47" t="inlineStr">
        <is>
          <t>carbohydrate</t>
        </is>
      </c>
      <c r="J262" s="47" t="n">
        <v>70.90000000000001</v>
      </c>
      <c r="K262" s="47" t="inlineStr">
        <is>
          <t>g</t>
        </is>
      </c>
      <c r="L262" s="47" t="n"/>
      <c r="M262" s="47" t="n"/>
      <c r="N262" s="47" t="n"/>
      <c r="O262" s="47" t="n"/>
      <c r="P262" s="47" t="n"/>
      <c r="Q262" s="47" t="n"/>
      <c r="R262" s="48">
        <f>IF(OR($A262="",$J262=""),"",IFERROR(VLOOKUP(I262,'6_資料庫比對'!$A$6:$C$12,2,FALSE),""))</f>
        <v/>
      </c>
      <c r="S262" s="49">
        <f>IF(OR($A262="",$J262=""),"",IFERROR(VLOOKUP(I262,'6_資料庫比對'!$A$6:$C$12,3,FALSE),""))</f>
        <v/>
      </c>
      <c r="T262" s="50">
        <f>IF(OR($A262="",$J262=""),"",MAX(0,IF(AND(N262&lt;&gt;"",O262&lt;&gt;""),MIN(J262-MAX(R262*ABS(J262),S262),N262),IF(AND(M262&lt;&gt;"",N(L262)&gt;=2),MIN(J262-MAX(R262*ABS(J262),S262),J262-2*M262),J262-MAX(R262*ABS(J262),S262)))))</f>
        <v/>
      </c>
      <c r="U262" s="50">
        <f>IF(OR($A262="",$J262=""),"",IF(AND(N262&lt;&gt;"",O262&lt;&gt;""),MAX(J262+MAX(R262*ABS(J262),S262),O262),IF(AND(M262&lt;&gt;"",N(L262)&gt;=2),MAX(J262+MAX(R262*ABS(J262),S262),J262+2*M262),J262+MAX(R262*ABS(J262),S262))))</f>
        <v/>
      </c>
      <c r="V262" s="51">
        <f>IF(OR($A262="",$J262=""),"",IF(COUNTIFS('6_資料庫比對'!$B$16:$B$25,A262,'6_資料庫比對'!$C$16:$C$25,I262)=0,"",IF(AND(SUMIFS('6_資料庫比對'!$F$16:$F$25,'6_資料庫比對'!$B$16:$B$25,A262,'6_資料庫比對'!$C$16:$C$25,I262)&gt;=T262,SUMIFS('6_資料庫比對'!$F$16:$F$25,'6_資料庫比對'!$B$16:$B$25,A262,'6_資料庫比對'!$C$16:$C$25,I262)&lt;=U262),"✓ 涵蓋","✗ 不涵蓋")))</f>
        <v/>
      </c>
    </row>
    <row r="263">
      <c r="A263" s="47" t="inlineStr">
        <is>
          <t>dried_longan</t>
        </is>
      </c>
      <c r="B263" s="47" t="inlineStr">
        <is>
          <t>龍眼乾</t>
        </is>
      </c>
      <c r="C263" s="47" t="inlineStr">
        <is>
          <t>TFND</t>
        </is>
      </c>
      <c r="D263" s="47" t="inlineStr">
        <is>
          <t>食品營養成分資料集</t>
        </is>
      </c>
      <c r="E263" s="47" t="inlineStr">
        <is>
          <t>D2310101</t>
        </is>
      </c>
      <c r="F263" s="47" t="inlineStr">
        <is>
          <t>龍眼乾</t>
        </is>
      </c>
      <c r="G263" s="47" t="inlineStr">
        <is>
          <t>exact</t>
        </is>
      </c>
      <c r="H263" s="47" t="n"/>
      <c r="I263" s="47" t="inlineStr">
        <is>
          <t>sugars_total</t>
        </is>
      </c>
      <c r="J263" s="47" t="n">
        <v>51.4</v>
      </c>
      <c r="K263" s="47" t="inlineStr">
        <is>
          <t>g</t>
        </is>
      </c>
      <c r="L263" s="47" t="n"/>
      <c r="M263" s="47" t="n"/>
      <c r="N263" s="47" t="n"/>
      <c r="O263" s="47" t="n"/>
      <c r="P263" s="47" t="n"/>
      <c r="Q263" s="47" t="n"/>
      <c r="R263" s="48">
        <f>IF(OR($A263="",$J263=""),"",IFERROR(VLOOKUP(I263,'6_資料庫比對'!$A$6:$C$12,2,FALSE),""))</f>
        <v/>
      </c>
      <c r="S263" s="49">
        <f>IF(OR($A263="",$J263=""),"",IFERROR(VLOOKUP(I263,'6_資料庫比對'!$A$6:$C$12,3,FALSE),""))</f>
        <v/>
      </c>
      <c r="T263" s="50">
        <f>IF(OR($A263="",$J263=""),"",MAX(0,IF(AND(N263&lt;&gt;"",O263&lt;&gt;""),MIN(J263-MAX(R263*ABS(J263),S263),N263),IF(AND(M263&lt;&gt;"",N(L263)&gt;=2),MIN(J263-MAX(R263*ABS(J263),S263),J263-2*M263),J263-MAX(R263*ABS(J263),S263)))))</f>
        <v/>
      </c>
      <c r="U263" s="50">
        <f>IF(OR($A263="",$J263=""),"",IF(AND(N263&lt;&gt;"",O263&lt;&gt;""),MAX(J263+MAX(R263*ABS(J263),S263),O263),IF(AND(M263&lt;&gt;"",N(L263)&gt;=2),MAX(J263+MAX(R263*ABS(J263),S263),J263+2*M263),J263+MAX(R263*ABS(J263),S263))))</f>
        <v/>
      </c>
      <c r="V263" s="51">
        <f>IF(OR($A263="",$J263=""),"",IF(COUNTIFS('6_資料庫比對'!$B$16:$B$25,A263,'6_資料庫比對'!$C$16:$C$25,I263)=0,"",IF(AND(SUMIFS('6_資料庫比對'!$F$16:$F$25,'6_資料庫比對'!$B$16:$B$25,A263,'6_資料庫比對'!$C$16:$C$25,I263)&gt;=T263,SUMIFS('6_資料庫比對'!$F$16:$F$25,'6_資料庫比對'!$B$16:$B$25,A263,'6_資料庫比對'!$C$16:$C$25,I263)&lt;=U263),"✓ 涵蓋","✗ 不涵蓋")))</f>
        <v/>
      </c>
    </row>
    <row r="264">
      <c r="A264" s="47" t="inlineStr">
        <is>
          <t>dried_longan</t>
        </is>
      </c>
      <c r="B264" s="47" t="inlineStr">
        <is>
          <t>龍眼乾</t>
        </is>
      </c>
      <c r="C264" s="47" t="inlineStr">
        <is>
          <t>TFND</t>
        </is>
      </c>
      <c r="D264" s="47" t="inlineStr">
        <is>
          <t>食品營養成分資料集</t>
        </is>
      </c>
      <c r="E264" s="47" t="inlineStr">
        <is>
          <t>D2310101</t>
        </is>
      </c>
      <c r="F264" s="47" t="inlineStr">
        <is>
          <t>龍眼乾</t>
        </is>
      </c>
      <c r="G264" s="47" t="inlineStr">
        <is>
          <t>exact</t>
        </is>
      </c>
      <c r="H264" s="47" t="n"/>
      <c r="I264" s="47" t="inlineStr">
        <is>
          <t>sodium</t>
        </is>
      </c>
      <c r="J264" s="47" t="n">
        <v>5</v>
      </c>
      <c r="K264" s="47" t="inlineStr">
        <is>
          <t>mg</t>
        </is>
      </c>
      <c r="L264" s="47" t="n">
        <v>2</v>
      </c>
      <c r="M264" s="47" t="n">
        <v>6</v>
      </c>
      <c r="N264" s="47" t="n"/>
      <c r="O264" s="47" t="n"/>
      <c r="P264" s="47" t="n"/>
      <c r="Q264" s="47" t="n"/>
      <c r="R264" s="48">
        <f>IF(OR($A264="",$J264=""),"",IFERROR(VLOOKUP(I264,'6_資料庫比對'!$A$6:$C$12,2,FALSE),""))</f>
        <v/>
      </c>
      <c r="S264" s="49">
        <f>IF(OR($A264="",$J264=""),"",IFERROR(VLOOKUP(I264,'6_資料庫比對'!$A$6:$C$12,3,FALSE),""))</f>
        <v/>
      </c>
      <c r="T264" s="50">
        <f>IF(OR($A264="",$J264=""),"",MAX(0,IF(AND(N264&lt;&gt;"",O264&lt;&gt;""),MIN(J264-MAX(R264*ABS(J264),S264),N264),IF(AND(M264&lt;&gt;"",N(L264)&gt;=2),MIN(J264-MAX(R264*ABS(J264),S264),J264-2*M264),J264-MAX(R264*ABS(J264),S264)))))</f>
        <v/>
      </c>
      <c r="U264" s="50">
        <f>IF(OR($A264="",$J264=""),"",IF(AND(N264&lt;&gt;"",O264&lt;&gt;""),MAX(J264+MAX(R264*ABS(J264),S264),O264),IF(AND(M264&lt;&gt;"",N(L264)&gt;=2),MAX(J264+MAX(R264*ABS(J264),S264),J264+2*M264),J264+MAX(R264*ABS(J264),S264))))</f>
        <v/>
      </c>
      <c r="V264" s="51">
        <f>IF(OR($A264="",$J264=""),"",IF(COUNTIFS('6_資料庫比對'!$B$16:$B$25,A264,'6_資料庫比對'!$C$16:$C$25,I264)=0,"",IF(AND(SUMIFS('6_資料庫比對'!$F$16:$F$25,'6_資料庫比對'!$B$16:$B$25,A264,'6_資料庫比對'!$C$16:$C$25,I264)&gt;=T264,SUMIFS('6_資料庫比對'!$F$16:$F$25,'6_資料庫比對'!$B$16:$B$25,A264,'6_資料庫比對'!$C$16:$C$25,I264)&lt;=U264),"✓ 涵蓋","✗ 不涵蓋")))</f>
        <v/>
      </c>
    </row>
    <row r="265">
      <c r="A265" s="47" t="inlineStr">
        <is>
          <t>orange_juice</t>
        </is>
      </c>
      <c r="B265" s="47" t="inlineStr">
        <is>
          <t>柳橙汁（100%）</t>
        </is>
      </c>
      <c r="C265" s="47" t="inlineStr">
        <is>
          <t>USDA</t>
        </is>
      </c>
      <c r="D265" s="47" t="inlineStr">
        <is>
          <t>SR Legacy</t>
        </is>
      </c>
      <c r="E265" s="47" t="n">
        <v>169098</v>
      </c>
      <c r="F265" s="47" t="inlineStr">
        <is>
          <t>Orange juice, raw (Includes foods for USDA's Food Distribution Program)</t>
        </is>
      </c>
      <c r="G265" s="47" t="inlineStr">
        <is>
          <t>closest</t>
        </is>
      </c>
      <c r="H265" s="47" t="n">
        <v>6.25</v>
      </c>
      <c r="I265" s="47" t="inlineStr">
        <is>
          <t>water</t>
        </is>
      </c>
      <c r="J265" s="47" t="n">
        <v>88.3</v>
      </c>
      <c r="K265" s="47" t="inlineStr">
        <is>
          <t>g</t>
        </is>
      </c>
      <c r="L265" s="47" t="n">
        <v>0</v>
      </c>
      <c r="M265" s="47" t="n"/>
      <c r="N265" s="47" t="n"/>
      <c r="O265" s="47" t="n"/>
      <c r="P265" s="47" t="n"/>
      <c r="Q265" s="47" t="n"/>
      <c r="R265" s="48">
        <f>IF(OR($A265="",$J265=""),"",IFERROR(VLOOKUP(I265,'6_資料庫比對'!$A$6:$C$12,2,FALSE),""))</f>
        <v/>
      </c>
      <c r="S265" s="49">
        <f>IF(OR($A265="",$J265=""),"",IFERROR(VLOOKUP(I265,'6_資料庫比對'!$A$6:$C$12,3,FALSE),""))</f>
        <v/>
      </c>
      <c r="T265" s="50">
        <f>IF(OR($A265="",$J265=""),"",MAX(0,IF(AND(N265&lt;&gt;"",O265&lt;&gt;""),MIN(J265-MAX(R265*ABS(J265),S265),N265),IF(AND(M265&lt;&gt;"",N(L265)&gt;=2),MIN(J265-MAX(R265*ABS(J265),S265),J265-2*M265),J265-MAX(R265*ABS(J265),S265)))))</f>
        <v/>
      </c>
      <c r="U265" s="50">
        <f>IF(OR($A265="",$J265=""),"",IF(AND(N265&lt;&gt;"",O265&lt;&gt;""),MAX(J265+MAX(R265*ABS(J265),S265),O265),IF(AND(M265&lt;&gt;"",N(L265)&gt;=2),MAX(J265+MAX(R265*ABS(J265),S265),J265+2*M265),J265+MAX(R265*ABS(J265),S265))))</f>
        <v/>
      </c>
      <c r="V265" s="51">
        <f>IF(OR($A265="",$J265=""),"",IF(COUNTIFS('6_資料庫比對'!$B$16:$B$25,A265,'6_資料庫比對'!$C$16:$C$25,I265)=0,"",IF(AND(SUMIFS('6_資料庫比對'!$F$16:$F$25,'6_資料庫比對'!$B$16:$B$25,A265,'6_資料庫比對'!$C$16:$C$25,I265)&gt;=T265,SUMIFS('6_資料庫比對'!$F$16:$F$25,'6_資料庫比對'!$B$16:$B$25,A265,'6_資料庫比對'!$C$16:$C$25,I265)&lt;=U265),"✓ 涵蓋","✗ 不涵蓋")))</f>
        <v/>
      </c>
    </row>
    <row r="266">
      <c r="A266" s="47" t="inlineStr">
        <is>
          <t>orange_juice</t>
        </is>
      </c>
      <c r="B266" s="47" t="inlineStr">
        <is>
          <t>柳橙汁（100%）</t>
        </is>
      </c>
      <c r="C266" s="47" t="inlineStr">
        <is>
          <t>USDA</t>
        </is>
      </c>
      <c r="D266" s="47" t="inlineStr">
        <is>
          <t>SR Legacy</t>
        </is>
      </c>
      <c r="E266" s="47" t="n">
        <v>169098</v>
      </c>
      <c r="F266" s="47" t="inlineStr">
        <is>
          <t>Orange juice, raw (Includes foods for USDA's Food Distribution Program)</t>
        </is>
      </c>
      <c r="G266" s="47" t="inlineStr">
        <is>
          <t>closest</t>
        </is>
      </c>
      <c r="H266" s="47" t="n">
        <v>6.25</v>
      </c>
      <c r="I266" s="47" t="inlineStr">
        <is>
          <t>protein</t>
        </is>
      </c>
      <c r="J266" s="47" t="n">
        <v>0.7</v>
      </c>
      <c r="K266" s="47" t="inlineStr">
        <is>
          <t>g</t>
        </is>
      </c>
      <c r="L266" s="47" t="n">
        <v>0</v>
      </c>
      <c r="M266" s="47" t="n"/>
      <c r="N266" s="47" t="n"/>
      <c r="O266" s="47" t="n"/>
      <c r="P266" s="47" t="n"/>
      <c r="Q266" s="47" t="n"/>
      <c r="R266" s="48">
        <f>IF(OR($A266="",$J266=""),"",IFERROR(VLOOKUP(I266,'6_資料庫比對'!$A$6:$C$12,2,FALSE),""))</f>
        <v/>
      </c>
      <c r="S266" s="49">
        <f>IF(OR($A266="",$J266=""),"",IFERROR(VLOOKUP(I266,'6_資料庫比對'!$A$6:$C$12,3,FALSE),""))</f>
        <v/>
      </c>
      <c r="T266" s="50">
        <f>IF(OR($A266="",$J266=""),"",MAX(0,IF(AND(N266&lt;&gt;"",O266&lt;&gt;""),MIN(J266-MAX(R266*ABS(J266),S266),N266),IF(AND(M266&lt;&gt;"",N(L266)&gt;=2),MIN(J266-MAX(R266*ABS(J266),S266),J266-2*M266),J266-MAX(R266*ABS(J266),S266)))))</f>
        <v/>
      </c>
      <c r="U266" s="50">
        <f>IF(OR($A266="",$J266=""),"",IF(AND(N266&lt;&gt;"",O266&lt;&gt;""),MAX(J266+MAX(R266*ABS(J266),S266),O266),IF(AND(M266&lt;&gt;"",N(L266)&gt;=2),MAX(J266+MAX(R266*ABS(J266),S266),J266+2*M266),J266+MAX(R266*ABS(J266),S266))))</f>
        <v/>
      </c>
      <c r="V266" s="51">
        <f>IF(OR($A266="",$J266=""),"",IF(COUNTIFS('6_資料庫比對'!$B$16:$B$25,A266,'6_資料庫比對'!$C$16:$C$25,I266)=0,"",IF(AND(SUMIFS('6_資料庫比對'!$F$16:$F$25,'6_資料庫比對'!$B$16:$B$25,A266,'6_資料庫比對'!$C$16:$C$25,I266)&gt;=T266,SUMIFS('6_資料庫比對'!$F$16:$F$25,'6_資料庫比對'!$B$16:$B$25,A266,'6_資料庫比對'!$C$16:$C$25,I266)&lt;=U266),"✓ 涵蓋","✗ 不涵蓋")))</f>
        <v/>
      </c>
    </row>
    <row r="267">
      <c r="A267" s="47" t="inlineStr">
        <is>
          <t>orange_juice</t>
        </is>
      </c>
      <c r="B267" s="47" t="inlineStr">
        <is>
          <t>柳橙汁（100%）</t>
        </is>
      </c>
      <c r="C267" s="47" t="inlineStr">
        <is>
          <t>USDA</t>
        </is>
      </c>
      <c r="D267" s="47" t="inlineStr">
        <is>
          <t>SR Legacy</t>
        </is>
      </c>
      <c r="E267" s="47" t="n">
        <v>169098</v>
      </c>
      <c r="F267" s="47" t="inlineStr">
        <is>
          <t>Orange juice, raw (Includes foods for USDA's Food Distribution Program)</t>
        </is>
      </c>
      <c r="G267" s="47" t="inlineStr">
        <is>
          <t>closest</t>
        </is>
      </c>
      <c r="H267" s="47" t="n">
        <v>6.25</v>
      </c>
      <c r="I267" s="47" t="inlineStr">
        <is>
          <t>fat</t>
        </is>
      </c>
      <c r="J267" s="47" t="n">
        <v>0.2</v>
      </c>
      <c r="K267" s="47" t="inlineStr">
        <is>
          <t>g</t>
        </is>
      </c>
      <c r="L267" s="47" t="n">
        <v>0</v>
      </c>
      <c r="M267" s="47" t="n"/>
      <c r="N267" s="47" t="n"/>
      <c r="O267" s="47" t="n"/>
      <c r="P267" s="47" t="n"/>
      <c r="Q267" s="47" t="n"/>
      <c r="R267" s="48">
        <f>IF(OR($A267="",$J267=""),"",IFERROR(VLOOKUP(I267,'6_資料庫比對'!$A$6:$C$12,2,FALSE),""))</f>
        <v/>
      </c>
      <c r="S267" s="49">
        <f>IF(OR($A267="",$J267=""),"",IFERROR(VLOOKUP(I267,'6_資料庫比對'!$A$6:$C$12,3,FALSE),""))</f>
        <v/>
      </c>
      <c r="T267" s="50">
        <f>IF(OR($A267="",$J267=""),"",MAX(0,IF(AND(N267&lt;&gt;"",O267&lt;&gt;""),MIN(J267-MAX(R267*ABS(J267),S267),N267),IF(AND(M267&lt;&gt;"",N(L267)&gt;=2),MIN(J267-MAX(R267*ABS(J267),S267),J267-2*M267),J267-MAX(R267*ABS(J267),S267)))))</f>
        <v/>
      </c>
      <c r="U267" s="50">
        <f>IF(OR($A267="",$J267=""),"",IF(AND(N267&lt;&gt;"",O267&lt;&gt;""),MAX(J267+MAX(R267*ABS(J267),S267),O267),IF(AND(M267&lt;&gt;"",N(L267)&gt;=2),MAX(J267+MAX(R267*ABS(J267),S267),J267+2*M267),J267+MAX(R267*ABS(J267),S267))))</f>
        <v/>
      </c>
      <c r="V267" s="51">
        <f>IF(OR($A267="",$J267=""),"",IF(COUNTIFS('6_資料庫比對'!$B$16:$B$25,A267,'6_資料庫比對'!$C$16:$C$25,I267)=0,"",IF(AND(SUMIFS('6_資料庫比對'!$F$16:$F$25,'6_資料庫比對'!$B$16:$B$25,A267,'6_資料庫比對'!$C$16:$C$25,I267)&gt;=T267,SUMIFS('6_資料庫比對'!$F$16:$F$25,'6_資料庫比對'!$B$16:$B$25,A267,'6_資料庫比對'!$C$16:$C$25,I267)&lt;=U267),"✓ 涵蓋","✗ 不涵蓋")))</f>
        <v/>
      </c>
    </row>
    <row r="268">
      <c r="A268" s="47" t="inlineStr">
        <is>
          <t>orange_juice</t>
        </is>
      </c>
      <c r="B268" s="47" t="inlineStr">
        <is>
          <t>柳橙汁（100%）</t>
        </is>
      </c>
      <c r="C268" s="47" t="inlineStr">
        <is>
          <t>USDA</t>
        </is>
      </c>
      <c r="D268" s="47" t="inlineStr">
        <is>
          <t>SR Legacy</t>
        </is>
      </c>
      <c r="E268" s="47" t="n">
        <v>169098</v>
      </c>
      <c r="F268" s="47" t="inlineStr">
        <is>
          <t>Orange juice, raw (Includes foods for USDA's Food Distribution Program)</t>
        </is>
      </c>
      <c r="G268" s="47" t="inlineStr">
        <is>
          <t>closest</t>
        </is>
      </c>
      <c r="H268" s="47" t="n">
        <v>6.25</v>
      </c>
      <c r="I268" s="47" t="inlineStr">
        <is>
          <t>ash</t>
        </is>
      </c>
      <c r="J268" s="47" t="n">
        <v>0.4</v>
      </c>
      <c r="K268" s="47" t="inlineStr">
        <is>
          <t>g</t>
        </is>
      </c>
      <c r="L268" s="47" t="n">
        <v>0</v>
      </c>
      <c r="M268" s="47" t="n"/>
      <c r="N268" s="47" t="n"/>
      <c r="O268" s="47" t="n"/>
      <c r="P268" s="47" t="n"/>
      <c r="Q268" s="47" t="n"/>
      <c r="R268" s="48">
        <f>IF(OR($A268="",$J268=""),"",IFERROR(VLOOKUP(I268,'6_資料庫比對'!$A$6:$C$12,2,FALSE),""))</f>
        <v/>
      </c>
      <c r="S268" s="49">
        <f>IF(OR($A268="",$J268=""),"",IFERROR(VLOOKUP(I268,'6_資料庫比對'!$A$6:$C$12,3,FALSE),""))</f>
        <v/>
      </c>
      <c r="T268" s="50">
        <f>IF(OR($A268="",$J268=""),"",MAX(0,IF(AND(N268&lt;&gt;"",O268&lt;&gt;""),MIN(J268-MAX(R268*ABS(J268),S268),N268),IF(AND(M268&lt;&gt;"",N(L268)&gt;=2),MIN(J268-MAX(R268*ABS(J268),S268),J268-2*M268),J268-MAX(R268*ABS(J268),S268)))))</f>
        <v/>
      </c>
      <c r="U268" s="50">
        <f>IF(OR($A268="",$J268=""),"",IF(AND(N268&lt;&gt;"",O268&lt;&gt;""),MAX(J268+MAX(R268*ABS(J268),S268),O268),IF(AND(M268&lt;&gt;"",N(L268)&gt;=2),MAX(J268+MAX(R268*ABS(J268),S268),J268+2*M268),J268+MAX(R268*ABS(J268),S268))))</f>
        <v/>
      </c>
      <c r="V268" s="51">
        <f>IF(OR($A268="",$J268=""),"",IF(COUNTIFS('6_資料庫比對'!$B$16:$B$25,A268,'6_資料庫比對'!$C$16:$C$25,I268)=0,"",IF(AND(SUMIFS('6_資料庫比對'!$F$16:$F$25,'6_資料庫比對'!$B$16:$B$25,A268,'6_資料庫比對'!$C$16:$C$25,I268)&gt;=T268,SUMIFS('6_資料庫比對'!$F$16:$F$25,'6_資料庫比對'!$B$16:$B$25,A268,'6_資料庫比對'!$C$16:$C$25,I268)&lt;=U268),"✓ 涵蓋","✗ 不涵蓋")))</f>
        <v/>
      </c>
    </row>
    <row r="269">
      <c r="A269" s="47" t="inlineStr">
        <is>
          <t>orange_juice</t>
        </is>
      </c>
      <c r="B269" s="47" t="inlineStr">
        <is>
          <t>柳橙汁（100%）</t>
        </is>
      </c>
      <c r="C269" s="47" t="inlineStr">
        <is>
          <t>USDA</t>
        </is>
      </c>
      <c r="D269" s="47" t="inlineStr">
        <is>
          <t>SR Legacy</t>
        </is>
      </c>
      <c r="E269" s="47" t="n">
        <v>169098</v>
      </c>
      <c r="F269" s="47" t="inlineStr">
        <is>
          <t>Orange juice, raw (Includes foods for USDA's Food Distribution Program)</t>
        </is>
      </c>
      <c r="G269" s="47" t="inlineStr">
        <is>
          <t>closest</t>
        </is>
      </c>
      <c r="H269" s="47" t="n">
        <v>6.25</v>
      </c>
      <c r="I269" s="47" t="inlineStr">
        <is>
          <t>carbohydrate</t>
        </is>
      </c>
      <c r="J269" s="47" t="n">
        <v>10.4</v>
      </c>
      <c r="K269" s="47" t="inlineStr">
        <is>
          <t>g</t>
        </is>
      </c>
      <c r="L269" s="47" t="n">
        <v>0</v>
      </c>
      <c r="M269" s="47" t="n"/>
      <c r="N269" s="47" t="n"/>
      <c r="O269" s="47" t="n"/>
      <c r="P269" s="47" t="n"/>
      <c r="Q269" s="47" t="inlineStr">
        <is>
          <t>NC: Calculated</t>
        </is>
      </c>
      <c r="R269" s="48">
        <f>IF(OR($A269="",$J269=""),"",IFERROR(VLOOKUP(I269,'6_資料庫比對'!$A$6:$C$12,2,FALSE),""))</f>
        <v/>
      </c>
      <c r="S269" s="49">
        <f>IF(OR($A269="",$J269=""),"",IFERROR(VLOOKUP(I269,'6_資料庫比對'!$A$6:$C$12,3,FALSE),""))</f>
        <v/>
      </c>
      <c r="T269" s="50">
        <f>IF(OR($A269="",$J269=""),"",MAX(0,IF(AND(N269&lt;&gt;"",O269&lt;&gt;""),MIN(J269-MAX(R269*ABS(J269),S269),N269),IF(AND(M269&lt;&gt;"",N(L269)&gt;=2),MIN(J269-MAX(R269*ABS(J269),S269),J269-2*M269),J269-MAX(R269*ABS(J269),S269)))))</f>
        <v/>
      </c>
      <c r="U269" s="50">
        <f>IF(OR($A269="",$J269=""),"",IF(AND(N269&lt;&gt;"",O269&lt;&gt;""),MAX(J269+MAX(R269*ABS(J269),S269),O269),IF(AND(M269&lt;&gt;"",N(L269)&gt;=2),MAX(J269+MAX(R269*ABS(J269),S269),J269+2*M269),J269+MAX(R269*ABS(J269),S269))))</f>
        <v/>
      </c>
      <c r="V269" s="51">
        <f>IF(OR($A269="",$J269=""),"",IF(COUNTIFS('6_資料庫比對'!$B$16:$B$25,A269,'6_資料庫比對'!$C$16:$C$25,I269)=0,"",IF(AND(SUMIFS('6_資料庫比對'!$F$16:$F$25,'6_資料庫比對'!$B$16:$B$25,A269,'6_資料庫比對'!$C$16:$C$25,I269)&gt;=T269,SUMIFS('6_資料庫比對'!$F$16:$F$25,'6_資料庫比對'!$B$16:$B$25,A269,'6_資料庫比對'!$C$16:$C$25,I269)&lt;=U269),"✓ 涵蓋","✗ 不涵蓋")))</f>
        <v/>
      </c>
    </row>
    <row r="270">
      <c r="A270" s="47" t="inlineStr">
        <is>
          <t>orange_juice</t>
        </is>
      </c>
      <c r="B270" s="47" t="inlineStr">
        <is>
          <t>柳橙汁（100%）</t>
        </is>
      </c>
      <c r="C270" s="47" t="inlineStr">
        <is>
          <t>USDA</t>
        </is>
      </c>
      <c r="D270" s="47" t="inlineStr">
        <is>
          <t>SR Legacy</t>
        </is>
      </c>
      <c r="E270" s="47" t="n">
        <v>169098</v>
      </c>
      <c r="F270" s="47" t="inlineStr">
        <is>
          <t>Orange juice, raw (Includes foods for USDA's Food Distribution Program)</t>
        </is>
      </c>
      <c r="G270" s="47" t="inlineStr">
        <is>
          <t>closest</t>
        </is>
      </c>
      <c r="H270" s="47" t="n">
        <v>6.25</v>
      </c>
      <c r="I270" s="47" t="inlineStr">
        <is>
          <t>sugars_total</t>
        </is>
      </c>
      <c r="J270" s="47" t="n">
        <v>8.4</v>
      </c>
      <c r="K270" s="47" t="inlineStr">
        <is>
          <t>g</t>
        </is>
      </c>
      <c r="L270" s="47" t="n">
        <v>0</v>
      </c>
      <c r="M270" s="47" t="n"/>
      <c r="N270" s="47" t="n"/>
      <c r="O270" s="47" t="n"/>
      <c r="P270" s="47" t="n"/>
      <c r="Q270" s="47" t="inlineStr">
        <is>
          <t>BFZN: Based on another form of the food or similar food; Concentration adjustment; No adjustment; Retention factors not used</t>
        </is>
      </c>
      <c r="R270" s="48">
        <f>IF(OR($A270="",$J270=""),"",IFERROR(VLOOKUP(I270,'6_資料庫比對'!$A$6:$C$12,2,FALSE),""))</f>
        <v/>
      </c>
      <c r="S270" s="49">
        <f>IF(OR($A270="",$J270=""),"",IFERROR(VLOOKUP(I270,'6_資料庫比對'!$A$6:$C$12,3,FALSE),""))</f>
        <v/>
      </c>
      <c r="T270" s="50">
        <f>IF(OR($A270="",$J270=""),"",MAX(0,IF(AND(N270&lt;&gt;"",O270&lt;&gt;""),MIN(J270-MAX(R270*ABS(J270),S270),N270),IF(AND(M270&lt;&gt;"",N(L270)&gt;=2),MIN(J270-MAX(R270*ABS(J270),S270),J270-2*M270),J270-MAX(R270*ABS(J270),S270)))))</f>
        <v/>
      </c>
      <c r="U270" s="50">
        <f>IF(OR($A270="",$J270=""),"",IF(AND(N270&lt;&gt;"",O270&lt;&gt;""),MAX(J270+MAX(R270*ABS(J270),S270),O270),IF(AND(M270&lt;&gt;"",N(L270)&gt;=2),MAX(J270+MAX(R270*ABS(J270),S270),J270+2*M270),J270+MAX(R270*ABS(J270),S270))))</f>
        <v/>
      </c>
      <c r="V270" s="51">
        <f>IF(OR($A270="",$J270=""),"",IF(COUNTIFS('6_資料庫比對'!$B$16:$B$25,A270,'6_資料庫比對'!$C$16:$C$25,I270)=0,"",IF(AND(SUMIFS('6_資料庫比對'!$F$16:$F$25,'6_資料庫比對'!$B$16:$B$25,A270,'6_資料庫比對'!$C$16:$C$25,I270)&gt;=T270,SUMIFS('6_資料庫比對'!$F$16:$F$25,'6_資料庫比對'!$B$16:$B$25,A270,'6_資料庫比對'!$C$16:$C$25,I270)&lt;=U270),"✓ 涵蓋","✗ 不涵蓋")))</f>
        <v/>
      </c>
    </row>
    <row r="271">
      <c r="A271" s="47" t="inlineStr">
        <is>
          <t>orange_juice</t>
        </is>
      </c>
      <c r="B271" s="47" t="inlineStr">
        <is>
          <t>柳橙汁（100%）</t>
        </is>
      </c>
      <c r="C271" s="47" t="inlineStr">
        <is>
          <t>USDA</t>
        </is>
      </c>
      <c r="D271" s="47" t="inlineStr">
        <is>
          <t>SR Legacy</t>
        </is>
      </c>
      <c r="E271" s="47" t="n">
        <v>169098</v>
      </c>
      <c r="F271" s="47" t="inlineStr">
        <is>
          <t>Orange juice, raw (Includes foods for USDA's Food Distribution Program)</t>
        </is>
      </c>
      <c r="G271" s="47" t="inlineStr">
        <is>
          <t>closest</t>
        </is>
      </c>
      <c r="H271" s="47" t="n">
        <v>6.25</v>
      </c>
      <c r="I271" s="47" t="inlineStr">
        <is>
          <t>sodium</t>
        </is>
      </c>
      <c r="J271" s="47" t="n">
        <v>1</v>
      </c>
      <c r="K271" s="47" t="inlineStr">
        <is>
          <t>mg</t>
        </is>
      </c>
      <c r="L271" s="47" t="n">
        <v>0</v>
      </c>
      <c r="M271" s="47" t="n"/>
      <c r="N271" s="47" t="n"/>
      <c r="O271" s="47" t="n"/>
      <c r="P271" s="47" t="n"/>
      <c r="Q271" s="47" t="n"/>
      <c r="R271" s="48">
        <f>IF(OR($A271="",$J271=""),"",IFERROR(VLOOKUP(I271,'6_資料庫比對'!$A$6:$C$12,2,FALSE),""))</f>
        <v/>
      </c>
      <c r="S271" s="49">
        <f>IF(OR($A271="",$J271=""),"",IFERROR(VLOOKUP(I271,'6_資料庫比對'!$A$6:$C$12,3,FALSE),""))</f>
        <v/>
      </c>
      <c r="T271" s="50">
        <f>IF(OR($A271="",$J271=""),"",MAX(0,IF(AND(N271&lt;&gt;"",O271&lt;&gt;""),MIN(J271-MAX(R271*ABS(J271),S271),N271),IF(AND(M271&lt;&gt;"",N(L271)&gt;=2),MIN(J271-MAX(R271*ABS(J271),S271),J271-2*M271),J271-MAX(R271*ABS(J271),S271)))))</f>
        <v/>
      </c>
      <c r="U271" s="50">
        <f>IF(OR($A271="",$J271=""),"",IF(AND(N271&lt;&gt;"",O271&lt;&gt;""),MAX(J271+MAX(R271*ABS(J271),S271),O271),IF(AND(M271&lt;&gt;"",N(L271)&gt;=2),MAX(J271+MAX(R271*ABS(J271),S271),J271+2*M271),J271+MAX(R271*ABS(J271),S271))))</f>
        <v/>
      </c>
      <c r="V271" s="51">
        <f>IF(OR($A271="",$J271=""),"",IF(COUNTIFS('6_資料庫比對'!$B$16:$B$25,A271,'6_資料庫比對'!$C$16:$C$25,I271)=0,"",IF(AND(SUMIFS('6_資料庫比對'!$F$16:$F$25,'6_資料庫比對'!$B$16:$B$25,A271,'6_資料庫比對'!$C$16:$C$25,I271)&gt;=T271,SUMIFS('6_資料庫比對'!$F$16:$F$25,'6_資料庫比對'!$B$16:$B$25,A271,'6_資料庫比對'!$C$16:$C$25,I271)&lt;=U271),"✓ 涵蓋","✗ 不涵蓋")))</f>
        <v/>
      </c>
    </row>
    <row r="272">
      <c r="A272" s="47" t="inlineStr">
        <is>
          <t>orange_juice</t>
        </is>
      </c>
      <c r="B272" s="47" t="inlineStr">
        <is>
          <t>柳橙汁（100%）</t>
        </is>
      </c>
      <c r="C272" s="47" t="inlineStr">
        <is>
          <t>USDA</t>
        </is>
      </c>
      <c r="D272" s="47" t="inlineStr">
        <is>
          <t>Foundation</t>
        </is>
      </c>
      <c r="E272" s="47" t="n">
        <v>2003597</v>
      </c>
      <c r="F272" s="47" t="inlineStr">
        <is>
          <t>Orange juice, no pulp, not fortified, not from concentrate, refrigerated</t>
        </is>
      </c>
      <c r="G272" s="47" t="inlineStr">
        <is>
          <t>closest</t>
        </is>
      </c>
      <c r="H272" s="47" t="n">
        <v>6.25</v>
      </c>
      <c r="I272" s="47" t="inlineStr">
        <is>
          <t>water</t>
        </is>
      </c>
      <c r="J272" s="47" t="n">
        <v>88.48</v>
      </c>
      <c r="K272" s="47" t="inlineStr">
        <is>
          <t>g</t>
        </is>
      </c>
      <c r="L272" s="47" t="n">
        <v>8</v>
      </c>
      <c r="M272" s="47" t="n"/>
      <c r="N272" s="47" t="n">
        <v>87.90000000000001</v>
      </c>
      <c r="O272" s="47" t="n">
        <v>89.41</v>
      </c>
      <c r="P272" s="47" t="n">
        <v>88.20999999999999</v>
      </c>
      <c r="Q272" s="47" t="inlineStr">
        <is>
          <t>A: Analytical</t>
        </is>
      </c>
      <c r="R272" s="48">
        <f>IF(OR($A272="",$J272=""),"",IFERROR(VLOOKUP(I272,'6_資料庫比對'!$A$6:$C$12,2,FALSE),""))</f>
        <v/>
      </c>
      <c r="S272" s="49">
        <f>IF(OR($A272="",$J272=""),"",IFERROR(VLOOKUP(I272,'6_資料庫比對'!$A$6:$C$12,3,FALSE),""))</f>
        <v/>
      </c>
      <c r="T272" s="50">
        <f>IF(OR($A272="",$J272=""),"",MAX(0,IF(AND(N272&lt;&gt;"",O272&lt;&gt;""),MIN(J272-MAX(R272*ABS(J272),S272),N272),IF(AND(M272&lt;&gt;"",N(L272)&gt;=2),MIN(J272-MAX(R272*ABS(J272),S272),J272-2*M272),J272-MAX(R272*ABS(J272),S272)))))</f>
        <v/>
      </c>
      <c r="U272" s="50">
        <f>IF(OR($A272="",$J272=""),"",IF(AND(N272&lt;&gt;"",O272&lt;&gt;""),MAX(J272+MAX(R272*ABS(J272),S272),O272),IF(AND(M272&lt;&gt;"",N(L272)&gt;=2),MAX(J272+MAX(R272*ABS(J272),S272),J272+2*M272),J272+MAX(R272*ABS(J272),S272))))</f>
        <v/>
      </c>
      <c r="V272" s="51">
        <f>IF(OR($A272="",$J272=""),"",IF(COUNTIFS('6_資料庫比對'!$B$16:$B$25,A272,'6_資料庫比對'!$C$16:$C$25,I272)=0,"",IF(AND(SUMIFS('6_資料庫比對'!$F$16:$F$25,'6_資料庫比對'!$B$16:$B$25,A272,'6_資料庫比對'!$C$16:$C$25,I272)&gt;=T272,SUMIFS('6_資料庫比對'!$F$16:$F$25,'6_資料庫比對'!$B$16:$B$25,A272,'6_資料庫比對'!$C$16:$C$25,I272)&lt;=U272),"✓ 涵蓋","✗ 不涵蓋")))</f>
        <v/>
      </c>
    </row>
    <row r="273">
      <c r="A273" s="47" t="inlineStr">
        <is>
          <t>orange_juice</t>
        </is>
      </c>
      <c r="B273" s="47" t="inlineStr">
        <is>
          <t>柳橙汁（100%）</t>
        </is>
      </c>
      <c r="C273" s="47" t="inlineStr">
        <is>
          <t>USDA</t>
        </is>
      </c>
      <c r="D273" s="47" t="inlineStr">
        <is>
          <t>Foundation</t>
        </is>
      </c>
      <c r="E273" s="47" t="n">
        <v>2003597</v>
      </c>
      <c r="F273" s="47" t="inlineStr">
        <is>
          <t>Orange juice, no pulp, not fortified, not from concentrate, refrigerated</t>
        </is>
      </c>
      <c r="G273" s="47" t="inlineStr">
        <is>
          <t>closest</t>
        </is>
      </c>
      <c r="H273" s="47" t="n">
        <v>6.25</v>
      </c>
      <c r="I273" s="47" t="inlineStr">
        <is>
          <t>protein</t>
        </is>
      </c>
      <c r="J273" s="47" t="n">
        <v>0.8125</v>
      </c>
      <c r="K273" s="47" t="inlineStr">
        <is>
          <t>g</t>
        </is>
      </c>
      <c r="L273" s="47" t="n"/>
      <c r="M273" s="47" t="n"/>
      <c r="N273" s="47" t="n">
        <v>0.6875</v>
      </c>
      <c r="O273" s="47" t="n">
        <v>0.875</v>
      </c>
      <c r="P273" s="47" t="n">
        <v>0.8438</v>
      </c>
      <c r="Q273" s="47" t="inlineStr">
        <is>
          <t>NC: Calculated</t>
        </is>
      </c>
      <c r="R273" s="48">
        <f>IF(OR($A273="",$J273=""),"",IFERROR(VLOOKUP(I273,'6_資料庫比對'!$A$6:$C$12,2,FALSE),""))</f>
        <v/>
      </c>
      <c r="S273" s="49">
        <f>IF(OR($A273="",$J273=""),"",IFERROR(VLOOKUP(I273,'6_資料庫比對'!$A$6:$C$12,3,FALSE),""))</f>
        <v/>
      </c>
      <c r="T273" s="50">
        <f>IF(OR($A273="",$J273=""),"",MAX(0,IF(AND(N273&lt;&gt;"",O273&lt;&gt;""),MIN(J273-MAX(R273*ABS(J273),S273),N273),IF(AND(M273&lt;&gt;"",N(L273)&gt;=2),MIN(J273-MAX(R273*ABS(J273),S273),J273-2*M273),J273-MAX(R273*ABS(J273),S273)))))</f>
        <v/>
      </c>
      <c r="U273" s="50">
        <f>IF(OR($A273="",$J273=""),"",IF(AND(N273&lt;&gt;"",O273&lt;&gt;""),MAX(J273+MAX(R273*ABS(J273),S273),O273),IF(AND(M273&lt;&gt;"",N(L273)&gt;=2),MAX(J273+MAX(R273*ABS(J273),S273),J273+2*M273),J273+MAX(R273*ABS(J273),S273))))</f>
        <v/>
      </c>
      <c r="V273" s="51">
        <f>IF(OR($A273="",$J273=""),"",IF(COUNTIFS('6_資料庫比對'!$B$16:$B$25,A273,'6_資料庫比對'!$C$16:$C$25,I273)=0,"",IF(AND(SUMIFS('6_資料庫比對'!$F$16:$F$25,'6_資料庫比對'!$B$16:$B$25,A273,'6_資料庫比對'!$C$16:$C$25,I273)&gt;=T273,SUMIFS('6_資料庫比對'!$F$16:$F$25,'6_資料庫比對'!$B$16:$B$25,A273,'6_資料庫比對'!$C$16:$C$25,I273)&lt;=U273),"✓ 涵蓋","✗ 不涵蓋")))</f>
        <v/>
      </c>
    </row>
    <row r="274">
      <c r="A274" s="47" t="inlineStr">
        <is>
          <t>orange_juice</t>
        </is>
      </c>
      <c r="B274" s="47" t="inlineStr">
        <is>
          <t>柳橙汁（100%）</t>
        </is>
      </c>
      <c r="C274" s="47" t="inlineStr">
        <is>
          <t>USDA</t>
        </is>
      </c>
      <c r="D274" s="47" t="inlineStr">
        <is>
          <t>Foundation</t>
        </is>
      </c>
      <c r="E274" s="47" t="n">
        <v>2003597</v>
      </c>
      <c r="F274" s="47" t="inlineStr">
        <is>
          <t>Orange juice, no pulp, not fortified, not from concentrate, refrigerated</t>
        </is>
      </c>
      <c r="G274" s="47" t="inlineStr">
        <is>
          <t>closest</t>
        </is>
      </c>
      <c r="H274" s="47" t="n">
        <v>6.25</v>
      </c>
      <c r="I274" s="47" t="inlineStr">
        <is>
          <t>fat</t>
        </is>
      </c>
      <c r="J274" s="47" t="n">
        <v>0.3563</v>
      </c>
      <c r="K274" s="47" t="inlineStr">
        <is>
          <t>g</t>
        </is>
      </c>
      <c r="L274" s="47" t="n">
        <v>8</v>
      </c>
      <c r="M274" s="47" t="n"/>
      <c r="N274" s="47" t="n">
        <v>0.12</v>
      </c>
      <c r="O274" s="47" t="n">
        <v>0.7</v>
      </c>
      <c r="P274" s="47" t="n">
        <v>0.335</v>
      </c>
      <c r="Q274" s="47" t="inlineStr">
        <is>
          <t>A: Analytical</t>
        </is>
      </c>
      <c r="R274" s="48">
        <f>IF(OR($A274="",$J274=""),"",IFERROR(VLOOKUP(I274,'6_資料庫比對'!$A$6:$C$12,2,FALSE),""))</f>
        <v/>
      </c>
      <c r="S274" s="49">
        <f>IF(OR($A274="",$J274=""),"",IFERROR(VLOOKUP(I274,'6_資料庫比對'!$A$6:$C$12,3,FALSE),""))</f>
        <v/>
      </c>
      <c r="T274" s="50">
        <f>IF(OR($A274="",$J274=""),"",MAX(0,IF(AND(N274&lt;&gt;"",O274&lt;&gt;""),MIN(J274-MAX(R274*ABS(J274),S274),N274),IF(AND(M274&lt;&gt;"",N(L274)&gt;=2),MIN(J274-MAX(R274*ABS(J274),S274),J274-2*M274),J274-MAX(R274*ABS(J274),S274)))))</f>
        <v/>
      </c>
      <c r="U274" s="50">
        <f>IF(OR($A274="",$J274=""),"",IF(AND(N274&lt;&gt;"",O274&lt;&gt;""),MAX(J274+MAX(R274*ABS(J274),S274),O274),IF(AND(M274&lt;&gt;"",N(L274)&gt;=2),MAX(J274+MAX(R274*ABS(J274),S274),J274+2*M274),J274+MAX(R274*ABS(J274),S274))))</f>
        <v/>
      </c>
      <c r="V274" s="51">
        <f>IF(OR($A274="",$J274=""),"",IF(COUNTIFS('6_資料庫比對'!$B$16:$B$25,A274,'6_資料庫比對'!$C$16:$C$25,I274)=0,"",IF(AND(SUMIFS('6_資料庫比對'!$F$16:$F$25,'6_資料庫比對'!$B$16:$B$25,A274,'6_資料庫比對'!$C$16:$C$25,I274)&gt;=T274,SUMIFS('6_資料庫比對'!$F$16:$F$25,'6_資料庫比對'!$B$16:$B$25,A274,'6_資料庫比對'!$C$16:$C$25,I274)&lt;=U274),"✓ 涵蓋","✗ 不涵蓋")))</f>
        <v/>
      </c>
    </row>
    <row r="275">
      <c r="A275" s="47" t="inlineStr">
        <is>
          <t>orange_juice</t>
        </is>
      </c>
      <c r="B275" s="47" t="inlineStr">
        <is>
          <t>柳橙汁（100%）</t>
        </is>
      </c>
      <c r="C275" s="47" t="inlineStr">
        <is>
          <t>USDA</t>
        </is>
      </c>
      <c r="D275" s="47" t="inlineStr">
        <is>
          <t>Foundation</t>
        </is>
      </c>
      <c r="E275" s="47" t="n">
        <v>2003597</v>
      </c>
      <c r="F275" s="47" t="inlineStr">
        <is>
          <t>Orange juice, no pulp, not fortified, not from concentrate, refrigerated</t>
        </is>
      </c>
      <c r="G275" s="47" t="inlineStr">
        <is>
          <t>closest</t>
        </is>
      </c>
      <c r="H275" s="47" t="n">
        <v>6.25</v>
      </c>
      <c r="I275" s="47" t="inlineStr">
        <is>
          <t>ash</t>
        </is>
      </c>
      <c r="J275" s="47" t="n">
        <v>0.3388</v>
      </c>
      <c r="K275" s="47" t="inlineStr">
        <is>
          <t>g</t>
        </is>
      </c>
      <c r="L275" s="47" t="n">
        <v>8</v>
      </c>
      <c r="M275" s="47" t="n"/>
      <c r="N275" s="47" t="n">
        <v>0.31</v>
      </c>
      <c r="O275" s="47" t="n">
        <v>0.41</v>
      </c>
      <c r="P275" s="47" t="n">
        <v>0.33</v>
      </c>
      <c r="Q275" s="47" t="inlineStr">
        <is>
          <t>A: Analytical</t>
        </is>
      </c>
      <c r="R275" s="48">
        <f>IF(OR($A275="",$J275=""),"",IFERROR(VLOOKUP(I275,'6_資料庫比對'!$A$6:$C$12,2,FALSE),""))</f>
        <v/>
      </c>
      <c r="S275" s="49">
        <f>IF(OR($A275="",$J275=""),"",IFERROR(VLOOKUP(I275,'6_資料庫比對'!$A$6:$C$12,3,FALSE),""))</f>
        <v/>
      </c>
      <c r="T275" s="50">
        <f>IF(OR($A275="",$J275=""),"",MAX(0,IF(AND(N275&lt;&gt;"",O275&lt;&gt;""),MIN(J275-MAX(R275*ABS(J275),S275),N275),IF(AND(M275&lt;&gt;"",N(L275)&gt;=2),MIN(J275-MAX(R275*ABS(J275),S275),J275-2*M275),J275-MAX(R275*ABS(J275),S275)))))</f>
        <v/>
      </c>
      <c r="U275" s="50">
        <f>IF(OR($A275="",$J275=""),"",IF(AND(N275&lt;&gt;"",O275&lt;&gt;""),MAX(J275+MAX(R275*ABS(J275),S275),O275),IF(AND(M275&lt;&gt;"",N(L275)&gt;=2),MAX(J275+MAX(R275*ABS(J275),S275),J275+2*M275),J275+MAX(R275*ABS(J275),S275))))</f>
        <v/>
      </c>
      <c r="V275" s="51">
        <f>IF(OR($A275="",$J275=""),"",IF(COUNTIFS('6_資料庫比對'!$B$16:$B$25,A275,'6_資料庫比對'!$C$16:$C$25,I275)=0,"",IF(AND(SUMIFS('6_資料庫比對'!$F$16:$F$25,'6_資料庫比對'!$B$16:$B$25,A275,'6_資料庫比對'!$C$16:$C$25,I275)&gt;=T275,SUMIFS('6_資料庫比對'!$F$16:$F$25,'6_資料庫比對'!$B$16:$B$25,A275,'6_資料庫比對'!$C$16:$C$25,I275)&lt;=U275),"✓ 涵蓋","✗ 不涵蓋")))</f>
        <v/>
      </c>
    </row>
    <row r="276">
      <c r="A276" s="47" t="inlineStr">
        <is>
          <t>orange_juice</t>
        </is>
      </c>
      <c r="B276" s="47" t="inlineStr">
        <is>
          <t>柳橙汁（100%）</t>
        </is>
      </c>
      <c r="C276" s="47" t="inlineStr">
        <is>
          <t>USDA</t>
        </is>
      </c>
      <c r="D276" s="47" t="inlineStr">
        <is>
          <t>Foundation</t>
        </is>
      </c>
      <c r="E276" s="47" t="n">
        <v>2003597</v>
      </c>
      <c r="F276" s="47" t="inlineStr">
        <is>
          <t>Orange juice, no pulp, not fortified, not from concentrate, refrigerated</t>
        </is>
      </c>
      <c r="G276" s="47" t="inlineStr">
        <is>
          <t>closest</t>
        </is>
      </c>
      <c r="H276" s="47" t="n">
        <v>6.25</v>
      </c>
      <c r="I276" s="47" t="inlineStr">
        <is>
          <t>carbohydrate</t>
        </is>
      </c>
      <c r="J276" s="47" t="n">
        <v>10.0124</v>
      </c>
      <c r="K276" s="47" t="inlineStr">
        <is>
          <t>g</t>
        </is>
      </c>
      <c r="L276" s="47" t="n"/>
      <c r="M276" s="47" t="n"/>
      <c r="N276" s="47" t="n"/>
      <c r="O276" s="47" t="n"/>
      <c r="P276" s="47" t="n"/>
      <c r="Q276" s="47" t="inlineStr">
        <is>
          <t>NC: Calculated</t>
        </is>
      </c>
      <c r="R276" s="48">
        <f>IF(OR($A276="",$J276=""),"",IFERROR(VLOOKUP(I276,'6_資料庫比對'!$A$6:$C$12,2,FALSE),""))</f>
        <v/>
      </c>
      <c r="S276" s="49">
        <f>IF(OR($A276="",$J276=""),"",IFERROR(VLOOKUP(I276,'6_資料庫比對'!$A$6:$C$12,3,FALSE),""))</f>
        <v/>
      </c>
      <c r="T276" s="50">
        <f>IF(OR($A276="",$J276=""),"",MAX(0,IF(AND(N276&lt;&gt;"",O276&lt;&gt;""),MIN(J276-MAX(R276*ABS(J276),S276),N276),IF(AND(M276&lt;&gt;"",N(L276)&gt;=2),MIN(J276-MAX(R276*ABS(J276),S276),J276-2*M276),J276-MAX(R276*ABS(J276),S276)))))</f>
        <v/>
      </c>
      <c r="U276" s="50">
        <f>IF(OR($A276="",$J276=""),"",IF(AND(N276&lt;&gt;"",O276&lt;&gt;""),MAX(J276+MAX(R276*ABS(J276),S276),O276),IF(AND(M276&lt;&gt;"",N(L276)&gt;=2),MAX(J276+MAX(R276*ABS(J276),S276),J276+2*M276),J276+MAX(R276*ABS(J276),S276))))</f>
        <v/>
      </c>
      <c r="V276" s="51">
        <f>IF(OR($A276="",$J276=""),"",IF(COUNTIFS('6_資料庫比對'!$B$16:$B$25,A276,'6_資料庫比對'!$C$16:$C$25,I276)=0,"",IF(AND(SUMIFS('6_資料庫比對'!$F$16:$F$25,'6_資料庫比對'!$B$16:$B$25,A276,'6_資料庫比對'!$C$16:$C$25,I276)&gt;=T276,SUMIFS('6_資料庫比對'!$F$16:$F$25,'6_資料庫比對'!$B$16:$B$25,A276,'6_資料庫比對'!$C$16:$C$25,I276)&lt;=U276),"✓ 涵蓋","✗ 不涵蓋")))</f>
        <v/>
      </c>
    </row>
    <row r="277">
      <c r="A277" s="47" t="inlineStr">
        <is>
          <t>orange_juice</t>
        </is>
      </c>
      <c r="B277" s="47" t="inlineStr">
        <is>
          <t>柳橙汁（100%）</t>
        </is>
      </c>
      <c r="C277" s="47" t="inlineStr">
        <is>
          <t>USDA</t>
        </is>
      </c>
      <c r="D277" s="47" t="inlineStr">
        <is>
          <t>Foundation</t>
        </is>
      </c>
      <c r="E277" s="47" t="n">
        <v>2003597</v>
      </c>
      <c r="F277" s="47" t="inlineStr">
        <is>
          <t>Orange juice, no pulp, not fortified, not from concentrate, refrigerated</t>
        </is>
      </c>
      <c r="G277" s="47" t="inlineStr">
        <is>
          <t>closest</t>
        </is>
      </c>
      <c r="H277" s="47" t="n">
        <v>6.25</v>
      </c>
      <c r="I277" s="47" t="inlineStr">
        <is>
          <t>sugars_total</t>
        </is>
      </c>
      <c r="J277" s="47" t="n">
        <v>8.077</v>
      </c>
      <c r="K277" s="47" t="inlineStr">
        <is>
          <t>g</t>
        </is>
      </c>
      <c r="L277" s="47" t="n"/>
      <c r="M277" s="47" t="n"/>
      <c r="N277" s="47" t="n"/>
      <c r="O277" s="47" t="n"/>
      <c r="P277" s="47" t="n"/>
      <c r="Q277" s="47" t="inlineStr">
        <is>
          <t>AS: Summed</t>
        </is>
      </c>
      <c r="R277" s="48">
        <f>IF(OR($A277="",$J277=""),"",IFERROR(VLOOKUP(I277,'6_資料庫比對'!$A$6:$C$12,2,FALSE),""))</f>
        <v/>
      </c>
      <c r="S277" s="49">
        <f>IF(OR($A277="",$J277=""),"",IFERROR(VLOOKUP(I277,'6_資料庫比對'!$A$6:$C$12,3,FALSE),""))</f>
        <v/>
      </c>
      <c r="T277" s="50">
        <f>IF(OR($A277="",$J277=""),"",MAX(0,IF(AND(N277&lt;&gt;"",O277&lt;&gt;""),MIN(J277-MAX(R277*ABS(J277),S277),N277),IF(AND(M277&lt;&gt;"",N(L277)&gt;=2),MIN(J277-MAX(R277*ABS(J277),S277),J277-2*M277),J277-MAX(R277*ABS(J277),S277)))))</f>
        <v/>
      </c>
      <c r="U277" s="50">
        <f>IF(OR($A277="",$J277=""),"",IF(AND(N277&lt;&gt;"",O277&lt;&gt;""),MAX(J277+MAX(R277*ABS(J277),S277),O277),IF(AND(M277&lt;&gt;"",N(L277)&gt;=2),MAX(J277+MAX(R277*ABS(J277),S277),J277+2*M277),J277+MAX(R277*ABS(J277),S277))))</f>
        <v/>
      </c>
      <c r="V277" s="51">
        <f>IF(OR($A277="",$J277=""),"",IF(COUNTIFS('6_資料庫比對'!$B$16:$B$25,A277,'6_資料庫比對'!$C$16:$C$25,I277)=0,"",IF(AND(SUMIFS('6_資料庫比對'!$F$16:$F$25,'6_資料庫比對'!$B$16:$B$25,A277,'6_資料庫比對'!$C$16:$C$25,I277)&gt;=T277,SUMIFS('6_資料庫比對'!$F$16:$F$25,'6_資料庫比對'!$B$16:$B$25,A277,'6_資料庫比對'!$C$16:$C$25,I277)&lt;=U277),"✓ 涵蓋","✗ 不涵蓋")))</f>
        <v/>
      </c>
    </row>
    <row r="278">
      <c r="A278" s="47" t="inlineStr">
        <is>
          <t>orange_juice</t>
        </is>
      </c>
      <c r="B278" s="47" t="inlineStr">
        <is>
          <t>柳橙汁（100%）</t>
        </is>
      </c>
      <c r="C278" s="47" t="inlineStr">
        <is>
          <t>USDA</t>
        </is>
      </c>
      <c r="D278" s="47" t="inlineStr">
        <is>
          <t>Foundation</t>
        </is>
      </c>
      <c r="E278" s="47" t="n">
        <v>2003597</v>
      </c>
      <c r="F278" s="47" t="inlineStr">
        <is>
          <t>Orange juice, no pulp, not fortified, not from concentrate, refrigerated</t>
        </is>
      </c>
      <c r="G278" s="47" t="inlineStr">
        <is>
          <t>closest</t>
        </is>
      </c>
      <c r="H278" s="47" t="n">
        <v>6.25</v>
      </c>
      <c r="I278" s="47" t="inlineStr">
        <is>
          <t>sodium</t>
        </is>
      </c>
      <c r="J278" s="47" t="n">
        <v>0.075</v>
      </c>
      <c r="K278" s="47" t="inlineStr">
        <is>
          <t>mg</t>
        </is>
      </c>
      <c r="L278" s="47" t="n">
        <v>8</v>
      </c>
      <c r="M278" s="47" t="n"/>
      <c r="N278" s="47" t="n">
        <v>0</v>
      </c>
      <c r="O278" s="47" t="n">
        <v>0.6</v>
      </c>
      <c r="P278" s="47" t="n">
        <v>0</v>
      </c>
      <c r="Q278" s="47" t="inlineStr">
        <is>
          <t>A: Analytical</t>
        </is>
      </c>
      <c r="R278" s="48">
        <f>IF(OR($A278="",$J278=""),"",IFERROR(VLOOKUP(I278,'6_資料庫比對'!$A$6:$C$12,2,FALSE),""))</f>
        <v/>
      </c>
      <c r="S278" s="49">
        <f>IF(OR($A278="",$J278=""),"",IFERROR(VLOOKUP(I278,'6_資料庫比對'!$A$6:$C$12,3,FALSE),""))</f>
        <v/>
      </c>
      <c r="T278" s="50">
        <f>IF(OR($A278="",$J278=""),"",MAX(0,IF(AND(N278&lt;&gt;"",O278&lt;&gt;""),MIN(J278-MAX(R278*ABS(J278),S278),N278),IF(AND(M278&lt;&gt;"",N(L278)&gt;=2),MIN(J278-MAX(R278*ABS(J278),S278),J278-2*M278),J278-MAX(R278*ABS(J278),S278)))))</f>
        <v/>
      </c>
      <c r="U278" s="50">
        <f>IF(OR($A278="",$J278=""),"",IF(AND(N278&lt;&gt;"",O278&lt;&gt;""),MAX(J278+MAX(R278*ABS(J278),S278),O278),IF(AND(M278&lt;&gt;"",N(L278)&gt;=2),MAX(J278+MAX(R278*ABS(J278),S278),J278+2*M278),J278+MAX(R278*ABS(J278),S278))))</f>
        <v/>
      </c>
      <c r="V278" s="51">
        <f>IF(OR($A278="",$J278=""),"",IF(COUNTIFS('6_資料庫比對'!$B$16:$B$25,A278,'6_資料庫比對'!$C$16:$C$25,I278)=0,"",IF(AND(SUMIFS('6_資料庫比對'!$F$16:$F$25,'6_資料庫比對'!$B$16:$B$25,A278,'6_資料庫比對'!$C$16:$C$25,I278)&gt;=T278,SUMIFS('6_資料庫比對'!$F$16:$F$25,'6_資料庫比對'!$B$16:$B$25,A278,'6_資料庫比對'!$C$16:$C$25,I278)&lt;=U278),"✓ 涵蓋","✗ 不涵蓋")))</f>
        <v/>
      </c>
    </row>
    <row r="279">
      <c r="A279" s="47" t="inlineStr">
        <is>
          <t>orange_juice</t>
        </is>
      </c>
      <c r="B279" s="47" t="inlineStr">
        <is>
          <t>柳橙汁（100%）</t>
        </is>
      </c>
      <c r="C279" s="47" t="inlineStr">
        <is>
          <t>TFND</t>
        </is>
      </c>
      <c r="D279" s="47" t="inlineStr">
        <is>
          <t>食品營養成分資料集</t>
        </is>
      </c>
      <c r="E279" s="47" t="inlineStr">
        <is>
          <t>O0100401</t>
        </is>
      </c>
      <c r="F279" s="47" t="inlineStr">
        <is>
          <t>柳橙汁(100%)</t>
        </is>
      </c>
      <c r="G279" s="47" t="inlineStr">
        <is>
          <t>exact</t>
        </is>
      </c>
      <c r="H279" s="47" t="n"/>
      <c r="I279" s="47" t="inlineStr">
        <is>
          <t>water</t>
        </is>
      </c>
      <c r="J279" s="47" t="n">
        <v>88.09999999999999</v>
      </c>
      <c r="K279" s="47" t="inlineStr">
        <is>
          <t>g</t>
        </is>
      </c>
      <c r="L279" s="47" t="n">
        <v>1</v>
      </c>
      <c r="M279" s="47" t="n"/>
      <c r="N279" s="47" t="n"/>
      <c r="O279" s="47" t="n"/>
      <c r="P279" s="47" t="n"/>
      <c r="Q279" s="47" t="n"/>
      <c r="R279" s="48">
        <f>IF(OR($A279="",$J279=""),"",IFERROR(VLOOKUP(I279,'6_資料庫比對'!$A$6:$C$12,2,FALSE),""))</f>
        <v/>
      </c>
      <c r="S279" s="49">
        <f>IF(OR($A279="",$J279=""),"",IFERROR(VLOOKUP(I279,'6_資料庫比對'!$A$6:$C$12,3,FALSE),""))</f>
        <v/>
      </c>
      <c r="T279" s="50">
        <f>IF(OR($A279="",$J279=""),"",MAX(0,IF(AND(N279&lt;&gt;"",O279&lt;&gt;""),MIN(J279-MAX(R279*ABS(J279),S279),N279),IF(AND(M279&lt;&gt;"",N(L279)&gt;=2),MIN(J279-MAX(R279*ABS(J279),S279),J279-2*M279),J279-MAX(R279*ABS(J279),S279)))))</f>
        <v/>
      </c>
      <c r="U279" s="50">
        <f>IF(OR($A279="",$J279=""),"",IF(AND(N279&lt;&gt;"",O279&lt;&gt;""),MAX(J279+MAX(R279*ABS(J279),S279),O279),IF(AND(M279&lt;&gt;"",N(L279)&gt;=2),MAX(J279+MAX(R279*ABS(J279),S279),J279+2*M279),J279+MAX(R279*ABS(J279),S279))))</f>
        <v/>
      </c>
      <c r="V279" s="51">
        <f>IF(OR($A279="",$J279=""),"",IF(COUNTIFS('6_資料庫比對'!$B$16:$B$25,A279,'6_資料庫比對'!$C$16:$C$25,I279)=0,"",IF(AND(SUMIFS('6_資料庫比對'!$F$16:$F$25,'6_資料庫比對'!$B$16:$B$25,A279,'6_資料庫比對'!$C$16:$C$25,I279)&gt;=T279,SUMIFS('6_資料庫比對'!$F$16:$F$25,'6_資料庫比對'!$B$16:$B$25,A279,'6_資料庫比對'!$C$16:$C$25,I279)&lt;=U279),"✓ 涵蓋","✗ 不涵蓋")))</f>
        <v/>
      </c>
    </row>
    <row r="280">
      <c r="A280" s="47" t="inlineStr">
        <is>
          <t>orange_juice</t>
        </is>
      </c>
      <c r="B280" s="47" t="inlineStr">
        <is>
          <t>柳橙汁（100%）</t>
        </is>
      </c>
      <c r="C280" s="47" t="inlineStr">
        <is>
          <t>TFND</t>
        </is>
      </c>
      <c r="D280" s="47" t="inlineStr">
        <is>
          <t>食品營養成分資料集</t>
        </is>
      </c>
      <c r="E280" s="47" t="inlineStr">
        <is>
          <t>O0100401</t>
        </is>
      </c>
      <c r="F280" s="47" t="inlineStr">
        <is>
          <t>柳橙汁(100%)</t>
        </is>
      </c>
      <c r="G280" s="47" t="inlineStr">
        <is>
          <t>exact</t>
        </is>
      </c>
      <c r="H280" s="47" t="n"/>
      <c r="I280" s="47" t="inlineStr">
        <is>
          <t>protein</t>
        </is>
      </c>
      <c r="J280" s="47" t="n">
        <v>0.6</v>
      </c>
      <c r="K280" s="47" t="inlineStr">
        <is>
          <t>g</t>
        </is>
      </c>
      <c r="L280" s="47" t="n">
        <v>1</v>
      </c>
      <c r="M280" s="47" t="n"/>
      <c r="N280" s="47" t="n"/>
      <c r="O280" s="47" t="n"/>
      <c r="P280" s="47" t="n"/>
      <c r="Q280" s="47" t="n"/>
      <c r="R280" s="48">
        <f>IF(OR($A280="",$J280=""),"",IFERROR(VLOOKUP(I280,'6_資料庫比對'!$A$6:$C$12,2,FALSE),""))</f>
        <v/>
      </c>
      <c r="S280" s="49">
        <f>IF(OR($A280="",$J280=""),"",IFERROR(VLOOKUP(I280,'6_資料庫比對'!$A$6:$C$12,3,FALSE),""))</f>
        <v/>
      </c>
      <c r="T280" s="50">
        <f>IF(OR($A280="",$J280=""),"",MAX(0,IF(AND(N280&lt;&gt;"",O280&lt;&gt;""),MIN(J280-MAX(R280*ABS(J280),S280),N280),IF(AND(M280&lt;&gt;"",N(L280)&gt;=2),MIN(J280-MAX(R280*ABS(J280),S280),J280-2*M280),J280-MAX(R280*ABS(J280),S280)))))</f>
        <v/>
      </c>
      <c r="U280" s="50">
        <f>IF(OR($A280="",$J280=""),"",IF(AND(N280&lt;&gt;"",O280&lt;&gt;""),MAX(J280+MAX(R280*ABS(J280),S280),O280),IF(AND(M280&lt;&gt;"",N(L280)&gt;=2),MAX(J280+MAX(R280*ABS(J280),S280),J280+2*M280),J280+MAX(R280*ABS(J280),S280))))</f>
        <v/>
      </c>
      <c r="V280" s="51">
        <f>IF(OR($A280="",$J280=""),"",IF(COUNTIFS('6_資料庫比對'!$B$16:$B$25,A280,'6_資料庫比對'!$C$16:$C$25,I280)=0,"",IF(AND(SUMIFS('6_資料庫比對'!$F$16:$F$25,'6_資料庫比對'!$B$16:$B$25,A280,'6_資料庫比對'!$C$16:$C$25,I280)&gt;=T280,SUMIFS('6_資料庫比對'!$F$16:$F$25,'6_資料庫比對'!$B$16:$B$25,A280,'6_資料庫比對'!$C$16:$C$25,I280)&lt;=U280),"✓ 涵蓋","✗ 不涵蓋")))</f>
        <v/>
      </c>
    </row>
    <row r="281">
      <c r="A281" s="47" t="inlineStr">
        <is>
          <t>orange_juice</t>
        </is>
      </c>
      <c r="B281" s="47" t="inlineStr">
        <is>
          <t>柳橙汁（100%）</t>
        </is>
      </c>
      <c r="C281" s="47" t="inlineStr">
        <is>
          <t>TFND</t>
        </is>
      </c>
      <c r="D281" s="47" t="inlineStr">
        <is>
          <t>食品營養成分資料集</t>
        </is>
      </c>
      <c r="E281" s="47" t="inlineStr">
        <is>
          <t>O0100401</t>
        </is>
      </c>
      <c r="F281" s="47" t="inlineStr">
        <is>
          <t>柳橙汁(100%)</t>
        </is>
      </c>
      <c r="G281" s="47" t="inlineStr">
        <is>
          <t>exact</t>
        </is>
      </c>
      <c r="H281" s="47" t="n"/>
      <c r="I281" s="47" t="inlineStr">
        <is>
          <t>fat</t>
        </is>
      </c>
      <c r="J281" s="47" t="n">
        <v>0.3</v>
      </c>
      <c r="K281" s="47" t="inlineStr">
        <is>
          <t>g</t>
        </is>
      </c>
      <c r="L281" s="47" t="n">
        <v>1</v>
      </c>
      <c r="M281" s="47" t="n"/>
      <c r="N281" s="47" t="n"/>
      <c r="O281" s="47" t="n"/>
      <c r="P281" s="47" t="n"/>
      <c r="Q281" s="47" t="n"/>
      <c r="R281" s="48">
        <f>IF(OR($A281="",$J281=""),"",IFERROR(VLOOKUP(I281,'6_資料庫比對'!$A$6:$C$12,2,FALSE),""))</f>
        <v/>
      </c>
      <c r="S281" s="49">
        <f>IF(OR($A281="",$J281=""),"",IFERROR(VLOOKUP(I281,'6_資料庫比對'!$A$6:$C$12,3,FALSE),""))</f>
        <v/>
      </c>
      <c r="T281" s="50">
        <f>IF(OR($A281="",$J281=""),"",MAX(0,IF(AND(N281&lt;&gt;"",O281&lt;&gt;""),MIN(J281-MAX(R281*ABS(J281),S281),N281),IF(AND(M281&lt;&gt;"",N(L281)&gt;=2),MIN(J281-MAX(R281*ABS(J281),S281),J281-2*M281),J281-MAX(R281*ABS(J281),S281)))))</f>
        <v/>
      </c>
      <c r="U281" s="50">
        <f>IF(OR($A281="",$J281=""),"",IF(AND(N281&lt;&gt;"",O281&lt;&gt;""),MAX(J281+MAX(R281*ABS(J281),S281),O281),IF(AND(M281&lt;&gt;"",N(L281)&gt;=2),MAX(J281+MAX(R281*ABS(J281),S281),J281+2*M281),J281+MAX(R281*ABS(J281),S281))))</f>
        <v/>
      </c>
      <c r="V281" s="51">
        <f>IF(OR($A281="",$J281=""),"",IF(COUNTIFS('6_資料庫比對'!$B$16:$B$25,A281,'6_資料庫比對'!$C$16:$C$25,I281)=0,"",IF(AND(SUMIFS('6_資料庫比對'!$F$16:$F$25,'6_資料庫比對'!$B$16:$B$25,A281,'6_資料庫比對'!$C$16:$C$25,I281)&gt;=T281,SUMIFS('6_資料庫比對'!$F$16:$F$25,'6_資料庫比對'!$B$16:$B$25,A281,'6_資料庫比對'!$C$16:$C$25,I281)&lt;=U281),"✓ 涵蓋","✗ 不涵蓋")))</f>
        <v/>
      </c>
    </row>
    <row r="282">
      <c r="A282" s="47" t="inlineStr">
        <is>
          <t>orange_juice</t>
        </is>
      </c>
      <c r="B282" s="47" t="inlineStr">
        <is>
          <t>柳橙汁（100%）</t>
        </is>
      </c>
      <c r="C282" s="47" t="inlineStr">
        <is>
          <t>TFND</t>
        </is>
      </c>
      <c r="D282" s="47" t="inlineStr">
        <is>
          <t>食品營養成分資料集</t>
        </is>
      </c>
      <c r="E282" s="47" t="inlineStr">
        <is>
          <t>O0100401</t>
        </is>
      </c>
      <c r="F282" s="47" t="inlineStr">
        <is>
          <t>柳橙汁(100%)</t>
        </is>
      </c>
      <c r="G282" s="47" t="inlineStr">
        <is>
          <t>exact</t>
        </is>
      </c>
      <c r="H282" s="47" t="n"/>
      <c r="I282" s="47" t="inlineStr">
        <is>
          <t>ash</t>
        </is>
      </c>
      <c r="J282" s="47" t="n">
        <v>0.4</v>
      </c>
      <c r="K282" s="47" t="inlineStr">
        <is>
          <t>g</t>
        </is>
      </c>
      <c r="L282" s="47" t="n">
        <v>1</v>
      </c>
      <c r="M282" s="47" t="n"/>
      <c r="N282" s="47" t="n"/>
      <c r="O282" s="47" t="n"/>
      <c r="P282" s="47" t="n"/>
      <c r="Q282" s="47" t="n"/>
      <c r="R282" s="48">
        <f>IF(OR($A282="",$J282=""),"",IFERROR(VLOOKUP(I282,'6_資料庫比對'!$A$6:$C$12,2,FALSE),""))</f>
        <v/>
      </c>
      <c r="S282" s="49">
        <f>IF(OR($A282="",$J282=""),"",IFERROR(VLOOKUP(I282,'6_資料庫比對'!$A$6:$C$12,3,FALSE),""))</f>
        <v/>
      </c>
      <c r="T282" s="50">
        <f>IF(OR($A282="",$J282=""),"",MAX(0,IF(AND(N282&lt;&gt;"",O282&lt;&gt;""),MIN(J282-MAX(R282*ABS(J282),S282),N282),IF(AND(M282&lt;&gt;"",N(L282)&gt;=2),MIN(J282-MAX(R282*ABS(J282),S282),J282-2*M282),J282-MAX(R282*ABS(J282),S282)))))</f>
        <v/>
      </c>
      <c r="U282" s="50">
        <f>IF(OR($A282="",$J282=""),"",IF(AND(N282&lt;&gt;"",O282&lt;&gt;""),MAX(J282+MAX(R282*ABS(J282),S282),O282),IF(AND(M282&lt;&gt;"",N(L282)&gt;=2),MAX(J282+MAX(R282*ABS(J282),S282),J282+2*M282),J282+MAX(R282*ABS(J282),S282))))</f>
        <v/>
      </c>
      <c r="V282" s="51">
        <f>IF(OR($A282="",$J282=""),"",IF(COUNTIFS('6_資料庫比對'!$B$16:$B$25,A282,'6_資料庫比對'!$C$16:$C$25,I282)=0,"",IF(AND(SUMIFS('6_資料庫比對'!$F$16:$F$25,'6_資料庫比對'!$B$16:$B$25,A282,'6_資料庫比對'!$C$16:$C$25,I282)&gt;=T282,SUMIFS('6_資料庫比對'!$F$16:$F$25,'6_資料庫比對'!$B$16:$B$25,A282,'6_資料庫比對'!$C$16:$C$25,I282)&lt;=U282),"✓ 涵蓋","✗ 不涵蓋")))</f>
        <v/>
      </c>
    </row>
    <row r="283">
      <c r="A283" s="47" t="inlineStr">
        <is>
          <t>orange_juice</t>
        </is>
      </c>
      <c r="B283" s="47" t="inlineStr">
        <is>
          <t>柳橙汁（100%）</t>
        </is>
      </c>
      <c r="C283" s="47" t="inlineStr">
        <is>
          <t>TFND</t>
        </is>
      </c>
      <c r="D283" s="47" t="inlineStr">
        <is>
          <t>食品營養成分資料集</t>
        </is>
      </c>
      <c r="E283" s="47" t="inlineStr">
        <is>
          <t>O0100401</t>
        </is>
      </c>
      <c r="F283" s="47" t="inlineStr">
        <is>
          <t>柳橙汁(100%)</t>
        </is>
      </c>
      <c r="G283" s="47" t="inlineStr">
        <is>
          <t>exact</t>
        </is>
      </c>
      <c r="H283" s="47" t="n"/>
      <c r="I283" s="47" t="inlineStr">
        <is>
          <t>carbohydrate</t>
        </is>
      </c>
      <c r="J283" s="47" t="n">
        <v>10.7</v>
      </c>
      <c r="K283" s="47" t="inlineStr">
        <is>
          <t>g</t>
        </is>
      </c>
      <c r="L283" s="47" t="n"/>
      <c r="M283" s="47" t="n"/>
      <c r="N283" s="47" t="n"/>
      <c r="O283" s="47" t="n"/>
      <c r="P283" s="47" t="n"/>
      <c r="Q283" s="47" t="n"/>
      <c r="R283" s="48">
        <f>IF(OR($A283="",$J283=""),"",IFERROR(VLOOKUP(I283,'6_資料庫比對'!$A$6:$C$12,2,FALSE),""))</f>
        <v/>
      </c>
      <c r="S283" s="49">
        <f>IF(OR($A283="",$J283=""),"",IFERROR(VLOOKUP(I283,'6_資料庫比對'!$A$6:$C$12,3,FALSE),""))</f>
        <v/>
      </c>
      <c r="T283" s="50">
        <f>IF(OR($A283="",$J283=""),"",MAX(0,IF(AND(N283&lt;&gt;"",O283&lt;&gt;""),MIN(J283-MAX(R283*ABS(J283),S283),N283),IF(AND(M283&lt;&gt;"",N(L283)&gt;=2),MIN(J283-MAX(R283*ABS(J283),S283),J283-2*M283),J283-MAX(R283*ABS(J283),S283)))))</f>
        <v/>
      </c>
      <c r="U283" s="50">
        <f>IF(OR($A283="",$J283=""),"",IF(AND(N283&lt;&gt;"",O283&lt;&gt;""),MAX(J283+MAX(R283*ABS(J283),S283),O283),IF(AND(M283&lt;&gt;"",N(L283)&gt;=2),MAX(J283+MAX(R283*ABS(J283),S283),J283+2*M283),J283+MAX(R283*ABS(J283),S283))))</f>
        <v/>
      </c>
      <c r="V283" s="51">
        <f>IF(OR($A283="",$J283=""),"",IF(COUNTIFS('6_資料庫比對'!$B$16:$B$25,A283,'6_資料庫比對'!$C$16:$C$25,I283)=0,"",IF(AND(SUMIFS('6_資料庫比對'!$F$16:$F$25,'6_資料庫比對'!$B$16:$B$25,A283,'6_資料庫比對'!$C$16:$C$25,I283)&gt;=T283,SUMIFS('6_資料庫比對'!$F$16:$F$25,'6_資料庫比對'!$B$16:$B$25,A283,'6_資料庫比對'!$C$16:$C$25,I283)&lt;=U283),"✓ 涵蓋","✗ 不涵蓋")))</f>
        <v/>
      </c>
    </row>
    <row r="284">
      <c r="A284" s="47" t="inlineStr">
        <is>
          <t>orange_juice</t>
        </is>
      </c>
      <c r="B284" s="47" t="inlineStr">
        <is>
          <t>柳橙汁（100%）</t>
        </is>
      </c>
      <c r="C284" s="47" t="inlineStr">
        <is>
          <t>TFND</t>
        </is>
      </c>
      <c r="D284" s="47" t="inlineStr">
        <is>
          <t>食品營養成分資料集</t>
        </is>
      </c>
      <c r="E284" s="47" t="inlineStr">
        <is>
          <t>O0100401</t>
        </is>
      </c>
      <c r="F284" s="47" t="inlineStr">
        <is>
          <t>柳橙汁(100%)</t>
        </is>
      </c>
      <c r="G284" s="47" t="inlineStr">
        <is>
          <t>exact</t>
        </is>
      </c>
      <c r="H284" s="47" t="n"/>
      <c r="I284" s="47" t="inlineStr">
        <is>
          <t>sugars_total</t>
        </is>
      </c>
      <c r="J284" s="47" t="n">
        <v>7.9</v>
      </c>
      <c r="K284" s="47" t="inlineStr">
        <is>
          <t>g</t>
        </is>
      </c>
      <c r="L284" s="47" t="n"/>
      <c r="M284" s="47" t="n"/>
      <c r="N284" s="47" t="n"/>
      <c r="O284" s="47" t="n"/>
      <c r="P284" s="47" t="n"/>
      <c r="Q284" s="47" t="n"/>
      <c r="R284" s="48">
        <f>IF(OR($A284="",$J284=""),"",IFERROR(VLOOKUP(I284,'6_資料庫比對'!$A$6:$C$12,2,FALSE),""))</f>
        <v/>
      </c>
      <c r="S284" s="49">
        <f>IF(OR($A284="",$J284=""),"",IFERROR(VLOOKUP(I284,'6_資料庫比對'!$A$6:$C$12,3,FALSE),""))</f>
        <v/>
      </c>
      <c r="T284" s="50">
        <f>IF(OR($A284="",$J284=""),"",MAX(0,IF(AND(N284&lt;&gt;"",O284&lt;&gt;""),MIN(J284-MAX(R284*ABS(J284),S284),N284),IF(AND(M284&lt;&gt;"",N(L284)&gt;=2),MIN(J284-MAX(R284*ABS(J284),S284),J284-2*M284),J284-MAX(R284*ABS(J284),S284)))))</f>
        <v/>
      </c>
      <c r="U284" s="50">
        <f>IF(OR($A284="",$J284=""),"",IF(AND(N284&lt;&gt;"",O284&lt;&gt;""),MAX(J284+MAX(R284*ABS(J284),S284),O284),IF(AND(M284&lt;&gt;"",N(L284)&gt;=2),MAX(J284+MAX(R284*ABS(J284),S284),J284+2*M284),J284+MAX(R284*ABS(J284),S284))))</f>
        <v/>
      </c>
      <c r="V284" s="51">
        <f>IF(OR($A284="",$J284=""),"",IF(COUNTIFS('6_資料庫比對'!$B$16:$B$25,A284,'6_資料庫比對'!$C$16:$C$25,I284)=0,"",IF(AND(SUMIFS('6_資料庫比對'!$F$16:$F$25,'6_資料庫比對'!$B$16:$B$25,A284,'6_資料庫比對'!$C$16:$C$25,I284)&gt;=T284,SUMIFS('6_資料庫比對'!$F$16:$F$25,'6_資料庫比對'!$B$16:$B$25,A284,'6_資料庫比對'!$C$16:$C$25,I284)&lt;=U284),"✓ 涵蓋","✗ 不涵蓋")))</f>
        <v/>
      </c>
    </row>
    <row r="285">
      <c r="A285" s="47" t="inlineStr">
        <is>
          <t>orange_juice</t>
        </is>
      </c>
      <c r="B285" s="47" t="inlineStr">
        <is>
          <t>柳橙汁（100%）</t>
        </is>
      </c>
      <c r="C285" s="47" t="inlineStr">
        <is>
          <t>TFND</t>
        </is>
      </c>
      <c r="D285" s="47" t="inlineStr">
        <is>
          <t>食品營養成分資料集</t>
        </is>
      </c>
      <c r="E285" s="47" t="inlineStr">
        <is>
          <t>O0100401</t>
        </is>
      </c>
      <c r="F285" s="47" t="inlineStr">
        <is>
          <t>柳橙汁(100%)</t>
        </is>
      </c>
      <c r="G285" s="47" t="inlineStr">
        <is>
          <t>exact</t>
        </is>
      </c>
      <c r="H285" s="47" t="n"/>
      <c r="I285" s="47" t="inlineStr">
        <is>
          <t>sodium</t>
        </is>
      </c>
      <c r="J285" s="47" t="n">
        <v>8</v>
      </c>
      <c r="K285" s="47" t="inlineStr">
        <is>
          <t>mg</t>
        </is>
      </c>
      <c r="L285" s="47" t="n">
        <v>1</v>
      </c>
      <c r="M285" s="47" t="n"/>
      <c r="N285" s="47" t="n"/>
      <c r="O285" s="47" t="n"/>
      <c r="P285" s="47" t="n"/>
      <c r="Q285" s="47" t="n"/>
      <c r="R285" s="48">
        <f>IF(OR($A285="",$J285=""),"",IFERROR(VLOOKUP(I285,'6_資料庫比對'!$A$6:$C$12,2,FALSE),""))</f>
        <v/>
      </c>
      <c r="S285" s="49">
        <f>IF(OR($A285="",$J285=""),"",IFERROR(VLOOKUP(I285,'6_資料庫比對'!$A$6:$C$12,3,FALSE),""))</f>
        <v/>
      </c>
      <c r="T285" s="50">
        <f>IF(OR($A285="",$J285=""),"",MAX(0,IF(AND(N285&lt;&gt;"",O285&lt;&gt;""),MIN(J285-MAX(R285*ABS(J285),S285),N285),IF(AND(M285&lt;&gt;"",N(L285)&gt;=2),MIN(J285-MAX(R285*ABS(J285),S285),J285-2*M285),J285-MAX(R285*ABS(J285),S285)))))</f>
        <v/>
      </c>
      <c r="U285" s="50">
        <f>IF(OR($A285="",$J285=""),"",IF(AND(N285&lt;&gt;"",O285&lt;&gt;""),MAX(J285+MAX(R285*ABS(J285),S285),O285),IF(AND(M285&lt;&gt;"",N(L285)&gt;=2),MAX(J285+MAX(R285*ABS(J285),S285),J285+2*M285),J285+MAX(R285*ABS(J285),S285))))</f>
        <v/>
      </c>
      <c r="V285" s="51">
        <f>IF(OR($A285="",$J285=""),"",IF(COUNTIFS('6_資料庫比對'!$B$16:$B$25,A285,'6_資料庫比對'!$C$16:$C$25,I285)=0,"",IF(AND(SUMIFS('6_資料庫比對'!$F$16:$F$25,'6_資料庫比對'!$B$16:$B$25,A285,'6_資料庫比對'!$C$16:$C$25,I285)&gt;=T285,SUMIFS('6_資料庫比對'!$F$16:$F$25,'6_資料庫比對'!$B$16:$B$25,A285,'6_資料庫比對'!$C$16:$C$25,I285)&lt;=U285),"✓ 涵蓋","✗ 不涵蓋")))</f>
        <v/>
      </c>
    </row>
    <row r="286">
      <c r="R286" s="48">
        <f>IF(OR($A286="",$J286=""),"",IFERROR(VLOOKUP(I286,'6_資料庫比對'!$A$6:$C$12,2,FALSE),""))</f>
        <v/>
      </c>
      <c r="S286" s="49">
        <f>IF(OR($A286="",$J286=""),"",IFERROR(VLOOKUP(I286,'6_資料庫比對'!$A$6:$C$12,3,FALSE),""))</f>
        <v/>
      </c>
      <c r="T286" s="50">
        <f>IF(OR($A286="",$J286=""),"",MAX(0,IF(AND(N286&lt;&gt;"",O286&lt;&gt;""),MIN(J286-MAX(R286*ABS(J286),S286),N286),IF(AND(M286&lt;&gt;"",N(L286)&gt;=2),MIN(J286-MAX(R286*ABS(J286),S286),J286-2*M286),J286-MAX(R286*ABS(J286),S286)))))</f>
        <v/>
      </c>
      <c r="U286" s="50">
        <f>IF(OR($A286="",$J286=""),"",IF(AND(N286&lt;&gt;"",O286&lt;&gt;""),MAX(J286+MAX(R286*ABS(J286),S286),O286),IF(AND(M286&lt;&gt;"",N(L286)&gt;=2),MAX(J286+MAX(R286*ABS(J286),S286),J286+2*M286),J286+MAX(R286*ABS(J286),S286))))</f>
        <v/>
      </c>
      <c r="V286" s="51">
        <f>IF(OR($A286="",$J286=""),"",IF(COUNTIFS('6_資料庫比對'!$B$16:$B$25,A286,'6_資料庫比對'!$C$16:$C$25,I286)=0,"",IF(AND(SUMIFS('6_資料庫比對'!$F$16:$F$25,'6_資料庫比對'!$B$16:$B$25,A286,'6_資料庫比對'!$C$16:$C$25,I286)&gt;=T286,SUMIFS('6_資料庫比對'!$F$16:$F$25,'6_資料庫比對'!$B$16:$B$25,A286,'6_資料庫比對'!$C$16:$C$25,I286)&lt;=U286),"✓ 涵蓋","✗ 不涵蓋")))</f>
        <v/>
      </c>
    </row>
    <row r="287">
      <c r="R287" s="48">
        <f>IF(OR($A287="",$J287=""),"",IFERROR(VLOOKUP(I287,'6_資料庫比對'!$A$6:$C$12,2,FALSE),""))</f>
        <v/>
      </c>
      <c r="S287" s="49">
        <f>IF(OR($A287="",$J287=""),"",IFERROR(VLOOKUP(I287,'6_資料庫比對'!$A$6:$C$12,3,FALSE),""))</f>
        <v/>
      </c>
      <c r="T287" s="50">
        <f>IF(OR($A287="",$J287=""),"",MAX(0,IF(AND(N287&lt;&gt;"",O287&lt;&gt;""),MIN(J287-MAX(R287*ABS(J287),S287),N287),IF(AND(M287&lt;&gt;"",N(L287)&gt;=2),MIN(J287-MAX(R287*ABS(J287),S287),J287-2*M287),J287-MAX(R287*ABS(J287),S287)))))</f>
        <v/>
      </c>
      <c r="U287" s="50">
        <f>IF(OR($A287="",$J287=""),"",IF(AND(N287&lt;&gt;"",O287&lt;&gt;""),MAX(J287+MAX(R287*ABS(J287),S287),O287),IF(AND(M287&lt;&gt;"",N(L287)&gt;=2),MAX(J287+MAX(R287*ABS(J287),S287),J287+2*M287),J287+MAX(R287*ABS(J287),S287))))</f>
        <v/>
      </c>
      <c r="V287" s="51">
        <f>IF(OR($A287="",$J287=""),"",IF(COUNTIFS('6_資料庫比對'!$B$16:$B$25,A287,'6_資料庫比對'!$C$16:$C$25,I287)=0,"",IF(AND(SUMIFS('6_資料庫比對'!$F$16:$F$25,'6_資料庫比對'!$B$16:$B$25,A287,'6_資料庫比對'!$C$16:$C$25,I287)&gt;=T287,SUMIFS('6_資料庫比對'!$F$16:$F$25,'6_資料庫比對'!$B$16:$B$25,A287,'6_資料庫比對'!$C$16:$C$25,I287)&lt;=U287),"✓ 涵蓋","✗ 不涵蓋")))</f>
        <v/>
      </c>
    </row>
    <row r="288">
      <c r="R288" s="48">
        <f>IF(OR($A288="",$J288=""),"",IFERROR(VLOOKUP(I288,'6_資料庫比對'!$A$6:$C$12,2,FALSE),""))</f>
        <v/>
      </c>
      <c r="S288" s="49">
        <f>IF(OR($A288="",$J288=""),"",IFERROR(VLOOKUP(I288,'6_資料庫比對'!$A$6:$C$12,3,FALSE),""))</f>
        <v/>
      </c>
      <c r="T288" s="50">
        <f>IF(OR($A288="",$J288=""),"",MAX(0,IF(AND(N288&lt;&gt;"",O288&lt;&gt;""),MIN(J288-MAX(R288*ABS(J288),S288),N288),IF(AND(M288&lt;&gt;"",N(L288)&gt;=2),MIN(J288-MAX(R288*ABS(J288),S288),J288-2*M288),J288-MAX(R288*ABS(J288),S288)))))</f>
        <v/>
      </c>
      <c r="U288" s="50">
        <f>IF(OR($A288="",$J288=""),"",IF(AND(N288&lt;&gt;"",O288&lt;&gt;""),MAX(J288+MAX(R288*ABS(J288),S288),O288),IF(AND(M288&lt;&gt;"",N(L288)&gt;=2),MAX(J288+MAX(R288*ABS(J288),S288),J288+2*M288),J288+MAX(R288*ABS(J288),S288))))</f>
        <v/>
      </c>
      <c r="V288" s="51">
        <f>IF(OR($A288="",$J288=""),"",IF(COUNTIFS('6_資料庫比對'!$B$16:$B$25,A288,'6_資料庫比對'!$C$16:$C$25,I288)=0,"",IF(AND(SUMIFS('6_資料庫比對'!$F$16:$F$25,'6_資料庫比對'!$B$16:$B$25,A288,'6_資料庫比對'!$C$16:$C$25,I288)&gt;=T288,SUMIFS('6_資料庫比對'!$F$16:$F$25,'6_資料庫比對'!$B$16:$B$25,A288,'6_資料庫比對'!$C$16:$C$25,I288)&lt;=U288),"✓ 涵蓋","✗ 不涵蓋")))</f>
        <v/>
      </c>
    </row>
    <row r="289">
      <c r="R289" s="48">
        <f>IF(OR($A289="",$J289=""),"",IFERROR(VLOOKUP(I289,'6_資料庫比對'!$A$6:$C$12,2,FALSE),""))</f>
        <v/>
      </c>
      <c r="S289" s="49">
        <f>IF(OR($A289="",$J289=""),"",IFERROR(VLOOKUP(I289,'6_資料庫比對'!$A$6:$C$12,3,FALSE),""))</f>
        <v/>
      </c>
      <c r="T289" s="50">
        <f>IF(OR($A289="",$J289=""),"",MAX(0,IF(AND(N289&lt;&gt;"",O289&lt;&gt;""),MIN(J289-MAX(R289*ABS(J289),S289),N289),IF(AND(M289&lt;&gt;"",N(L289)&gt;=2),MIN(J289-MAX(R289*ABS(J289),S289),J289-2*M289),J289-MAX(R289*ABS(J289),S289)))))</f>
        <v/>
      </c>
      <c r="U289" s="50">
        <f>IF(OR($A289="",$J289=""),"",IF(AND(N289&lt;&gt;"",O289&lt;&gt;""),MAX(J289+MAX(R289*ABS(J289),S289),O289),IF(AND(M289&lt;&gt;"",N(L289)&gt;=2),MAX(J289+MAX(R289*ABS(J289),S289),J289+2*M289),J289+MAX(R289*ABS(J289),S289))))</f>
        <v/>
      </c>
      <c r="V289" s="51">
        <f>IF(OR($A289="",$J289=""),"",IF(COUNTIFS('6_資料庫比對'!$B$16:$B$25,A289,'6_資料庫比對'!$C$16:$C$25,I289)=0,"",IF(AND(SUMIFS('6_資料庫比對'!$F$16:$F$25,'6_資料庫比對'!$B$16:$B$25,A289,'6_資料庫比對'!$C$16:$C$25,I289)&gt;=T289,SUMIFS('6_資料庫比對'!$F$16:$F$25,'6_資料庫比對'!$B$16:$B$25,A289,'6_資料庫比對'!$C$16:$C$25,I289)&lt;=U289),"✓ 涵蓋","✗ 不涵蓋")))</f>
        <v/>
      </c>
    </row>
    <row r="290">
      <c r="R290" s="48">
        <f>IF(OR($A290="",$J290=""),"",IFERROR(VLOOKUP(I290,'6_資料庫比對'!$A$6:$C$12,2,FALSE),""))</f>
        <v/>
      </c>
      <c r="S290" s="49">
        <f>IF(OR($A290="",$J290=""),"",IFERROR(VLOOKUP(I290,'6_資料庫比對'!$A$6:$C$12,3,FALSE),""))</f>
        <v/>
      </c>
      <c r="T290" s="50">
        <f>IF(OR($A290="",$J290=""),"",MAX(0,IF(AND(N290&lt;&gt;"",O290&lt;&gt;""),MIN(J290-MAX(R290*ABS(J290),S290),N290),IF(AND(M290&lt;&gt;"",N(L290)&gt;=2),MIN(J290-MAX(R290*ABS(J290),S290),J290-2*M290),J290-MAX(R290*ABS(J290),S290)))))</f>
        <v/>
      </c>
      <c r="U290" s="50">
        <f>IF(OR($A290="",$J290=""),"",IF(AND(N290&lt;&gt;"",O290&lt;&gt;""),MAX(J290+MAX(R290*ABS(J290),S290),O290),IF(AND(M290&lt;&gt;"",N(L290)&gt;=2),MAX(J290+MAX(R290*ABS(J290),S290),J290+2*M290),J290+MAX(R290*ABS(J290),S290))))</f>
        <v/>
      </c>
      <c r="V290" s="51">
        <f>IF(OR($A290="",$J290=""),"",IF(COUNTIFS('6_資料庫比對'!$B$16:$B$25,A290,'6_資料庫比對'!$C$16:$C$25,I290)=0,"",IF(AND(SUMIFS('6_資料庫比對'!$F$16:$F$25,'6_資料庫比對'!$B$16:$B$25,A290,'6_資料庫比對'!$C$16:$C$25,I290)&gt;=T290,SUMIFS('6_資料庫比對'!$F$16:$F$25,'6_資料庫比對'!$B$16:$B$25,A290,'6_資料庫比對'!$C$16:$C$25,I290)&lt;=U290),"✓ 涵蓋","✗ 不涵蓋")))</f>
        <v/>
      </c>
    </row>
    <row r="291">
      <c r="R291" s="48">
        <f>IF(OR($A291="",$J291=""),"",IFERROR(VLOOKUP(I291,'6_資料庫比對'!$A$6:$C$12,2,FALSE),""))</f>
        <v/>
      </c>
      <c r="S291" s="49">
        <f>IF(OR($A291="",$J291=""),"",IFERROR(VLOOKUP(I291,'6_資料庫比對'!$A$6:$C$12,3,FALSE),""))</f>
        <v/>
      </c>
      <c r="T291" s="50">
        <f>IF(OR($A291="",$J291=""),"",MAX(0,IF(AND(N291&lt;&gt;"",O291&lt;&gt;""),MIN(J291-MAX(R291*ABS(J291),S291),N291),IF(AND(M291&lt;&gt;"",N(L291)&gt;=2),MIN(J291-MAX(R291*ABS(J291),S291),J291-2*M291),J291-MAX(R291*ABS(J291),S291)))))</f>
        <v/>
      </c>
      <c r="U291" s="50">
        <f>IF(OR($A291="",$J291=""),"",IF(AND(N291&lt;&gt;"",O291&lt;&gt;""),MAX(J291+MAX(R291*ABS(J291),S291),O291),IF(AND(M291&lt;&gt;"",N(L291)&gt;=2),MAX(J291+MAX(R291*ABS(J291),S291),J291+2*M291),J291+MAX(R291*ABS(J291),S291))))</f>
        <v/>
      </c>
      <c r="V291" s="51">
        <f>IF(OR($A291="",$J291=""),"",IF(COUNTIFS('6_資料庫比對'!$B$16:$B$25,A291,'6_資料庫比對'!$C$16:$C$25,I291)=0,"",IF(AND(SUMIFS('6_資料庫比對'!$F$16:$F$25,'6_資料庫比對'!$B$16:$B$25,A291,'6_資料庫比對'!$C$16:$C$25,I291)&gt;=T291,SUMIFS('6_資料庫比對'!$F$16:$F$25,'6_資料庫比對'!$B$16:$B$25,A291,'6_資料庫比對'!$C$16:$C$25,I291)&lt;=U291),"✓ 涵蓋","✗ 不涵蓋")))</f>
        <v/>
      </c>
    </row>
    <row r="292">
      <c r="R292" s="48">
        <f>IF(OR($A292="",$J292=""),"",IFERROR(VLOOKUP(I292,'6_資料庫比對'!$A$6:$C$12,2,FALSE),""))</f>
        <v/>
      </c>
      <c r="S292" s="49">
        <f>IF(OR($A292="",$J292=""),"",IFERROR(VLOOKUP(I292,'6_資料庫比對'!$A$6:$C$12,3,FALSE),""))</f>
        <v/>
      </c>
      <c r="T292" s="50">
        <f>IF(OR($A292="",$J292=""),"",MAX(0,IF(AND(N292&lt;&gt;"",O292&lt;&gt;""),MIN(J292-MAX(R292*ABS(J292),S292),N292),IF(AND(M292&lt;&gt;"",N(L292)&gt;=2),MIN(J292-MAX(R292*ABS(J292),S292),J292-2*M292),J292-MAX(R292*ABS(J292),S292)))))</f>
        <v/>
      </c>
      <c r="U292" s="50">
        <f>IF(OR($A292="",$J292=""),"",IF(AND(N292&lt;&gt;"",O292&lt;&gt;""),MAX(J292+MAX(R292*ABS(J292),S292),O292),IF(AND(M292&lt;&gt;"",N(L292)&gt;=2),MAX(J292+MAX(R292*ABS(J292),S292),J292+2*M292),J292+MAX(R292*ABS(J292),S292))))</f>
        <v/>
      </c>
      <c r="V292" s="51">
        <f>IF(OR($A292="",$J292=""),"",IF(COUNTIFS('6_資料庫比對'!$B$16:$B$25,A292,'6_資料庫比對'!$C$16:$C$25,I292)=0,"",IF(AND(SUMIFS('6_資料庫比對'!$F$16:$F$25,'6_資料庫比對'!$B$16:$B$25,A292,'6_資料庫比對'!$C$16:$C$25,I292)&gt;=T292,SUMIFS('6_資料庫比對'!$F$16:$F$25,'6_資料庫比對'!$B$16:$B$25,A292,'6_資料庫比對'!$C$16:$C$25,I292)&lt;=U292),"✓ 涵蓋","✗ 不涵蓋")))</f>
        <v/>
      </c>
    </row>
    <row r="293">
      <c r="R293" s="48">
        <f>IF(OR($A293="",$J293=""),"",IFERROR(VLOOKUP(I293,'6_資料庫比對'!$A$6:$C$12,2,FALSE),""))</f>
        <v/>
      </c>
      <c r="S293" s="49">
        <f>IF(OR($A293="",$J293=""),"",IFERROR(VLOOKUP(I293,'6_資料庫比對'!$A$6:$C$12,3,FALSE),""))</f>
        <v/>
      </c>
      <c r="T293" s="50">
        <f>IF(OR($A293="",$J293=""),"",MAX(0,IF(AND(N293&lt;&gt;"",O293&lt;&gt;""),MIN(J293-MAX(R293*ABS(J293),S293),N293),IF(AND(M293&lt;&gt;"",N(L293)&gt;=2),MIN(J293-MAX(R293*ABS(J293),S293),J293-2*M293),J293-MAX(R293*ABS(J293),S293)))))</f>
        <v/>
      </c>
      <c r="U293" s="50">
        <f>IF(OR($A293="",$J293=""),"",IF(AND(N293&lt;&gt;"",O293&lt;&gt;""),MAX(J293+MAX(R293*ABS(J293),S293),O293),IF(AND(M293&lt;&gt;"",N(L293)&gt;=2),MAX(J293+MAX(R293*ABS(J293),S293),J293+2*M293),J293+MAX(R293*ABS(J293),S293))))</f>
        <v/>
      </c>
      <c r="V293" s="51">
        <f>IF(OR($A293="",$J293=""),"",IF(COUNTIFS('6_資料庫比對'!$B$16:$B$25,A293,'6_資料庫比對'!$C$16:$C$25,I293)=0,"",IF(AND(SUMIFS('6_資料庫比對'!$F$16:$F$25,'6_資料庫比對'!$B$16:$B$25,A293,'6_資料庫比對'!$C$16:$C$25,I293)&gt;=T293,SUMIFS('6_資料庫比對'!$F$16:$F$25,'6_資料庫比對'!$B$16:$B$25,A293,'6_資料庫比對'!$C$16:$C$25,I293)&lt;=U293),"✓ 涵蓋","✗ 不涵蓋")))</f>
        <v/>
      </c>
    </row>
    <row r="294">
      <c r="R294" s="48">
        <f>IF(OR($A294="",$J294=""),"",IFERROR(VLOOKUP(I294,'6_資料庫比對'!$A$6:$C$12,2,FALSE),""))</f>
        <v/>
      </c>
      <c r="S294" s="49">
        <f>IF(OR($A294="",$J294=""),"",IFERROR(VLOOKUP(I294,'6_資料庫比對'!$A$6:$C$12,3,FALSE),""))</f>
        <v/>
      </c>
      <c r="T294" s="50">
        <f>IF(OR($A294="",$J294=""),"",MAX(0,IF(AND(N294&lt;&gt;"",O294&lt;&gt;""),MIN(J294-MAX(R294*ABS(J294),S294),N294),IF(AND(M294&lt;&gt;"",N(L294)&gt;=2),MIN(J294-MAX(R294*ABS(J294),S294),J294-2*M294),J294-MAX(R294*ABS(J294),S294)))))</f>
        <v/>
      </c>
      <c r="U294" s="50">
        <f>IF(OR($A294="",$J294=""),"",IF(AND(N294&lt;&gt;"",O294&lt;&gt;""),MAX(J294+MAX(R294*ABS(J294),S294),O294),IF(AND(M294&lt;&gt;"",N(L294)&gt;=2),MAX(J294+MAX(R294*ABS(J294),S294),J294+2*M294),J294+MAX(R294*ABS(J294),S294))))</f>
        <v/>
      </c>
      <c r="V294" s="51">
        <f>IF(OR($A294="",$J294=""),"",IF(COUNTIFS('6_資料庫比對'!$B$16:$B$25,A294,'6_資料庫比對'!$C$16:$C$25,I294)=0,"",IF(AND(SUMIFS('6_資料庫比對'!$F$16:$F$25,'6_資料庫比對'!$B$16:$B$25,A294,'6_資料庫比對'!$C$16:$C$25,I294)&gt;=T294,SUMIFS('6_資料庫比對'!$F$16:$F$25,'6_資料庫比對'!$B$16:$B$25,A294,'6_資料庫比對'!$C$16:$C$25,I294)&lt;=U294),"✓ 涵蓋","✗ 不涵蓋")))</f>
        <v/>
      </c>
    </row>
    <row r="295">
      <c r="R295" s="48">
        <f>IF(OR($A295="",$J295=""),"",IFERROR(VLOOKUP(I295,'6_資料庫比對'!$A$6:$C$12,2,FALSE),""))</f>
        <v/>
      </c>
      <c r="S295" s="49">
        <f>IF(OR($A295="",$J295=""),"",IFERROR(VLOOKUP(I295,'6_資料庫比對'!$A$6:$C$12,3,FALSE),""))</f>
        <v/>
      </c>
      <c r="T295" s="50">
        <f>IF(OR($A295="",$J295=""),"",MAX(0,IF(AND(N295&lt;&gt;"",O295&lt;&gt;""),MIN(J295-MAX(R295*ABS(J295),S295),N295),IF(AND(M295&lt;&gt;"",N(L295)&gt;=2),MIN(J295-MAX(R295*ABS(J295),S295),J295-2*M295),J295-MAX(R295*ABS(J295),S295)))))</f>
        <v/>
      </c>
      <c r="U295" s="50">
        <f>IF(OR($A295="",$J295=""),"",IF(AND(N295&lt;&gt;"",O295&lt;&gt;""),MAX(J295+MAX(R295*ABS(J295),S295),O295),IF(AND(M295&lt;&gt;"",N(L295)&gt;=2),MAX(J295+MAX(R295*ABS(J295),S295),J295+2*M295),J295+MAX(R295*ABS(J295),S295))))</f>
        <v/>
      </c>
      <c r="V295" s="51">
        <f>IF(OR($A295="",$J295=""),"",IF(COUNTIFS('6_資料庫比對'!$B$16:$B$25,A295,'6_資料庫比對'!$C$16:$C$25,I295)=0,"",IF(AND(SUMIFS('6_資料庫比對'!$F$16:$F$25,'6_資料庫比對'!$B$16:$B$25,A295,'6_資料庫比對'!$C$16:$C$25,I295)&gt;=T295,SUMIFS('6_資料庫比對'!$F$16:$F$25,'6_資料庫比對'!$B$16:$B$25,A295,'6_資料庫比對'!$C$16:$C$25,I295)&lt;=U295),"✓ 涵蓋","✗ 不涵蓋")))</f>
        <v/>
      </c>
    </row>
    <row r="296">
      <c r="R296" s="48">
        <f>IF(OR($A296="",$J296=""),"",IFERROR(VLOOKUP(I296,'6_資料庫比對'!$A$6:$C$12,2,FALSE),""))</f>
        <v/>
      </c>
      <c r="S296" s="49">
        <f>IF(OR($A296="",$J296=""),"",IFERROR(VLOOKUP(I296,'6_資料庫比對'!$A$6:$C$12,3,FALSE),""))</f>
        <v/>
      </c>
      <c r="T296" s="50">
        <f>IF(OR($A296="",$J296=""),"",MAX(0,IF(AND(N296&lt;&gt;"",O296&lt;&gt;""),MIN(J296-MAX(R296*ABS(J296),S296),N296),IF(AND(M296&lt;&gt;"",N(L296)&gt;=2),MIN(J296-MAX(R296*ABS(J296),S296),J296-2*M296),J296-MAX(R296*ABS(J296),S296)))))</f>
        <v/>
      </c>
      <c r="U296" s="50">
        <f>IF(OR($A296="",$J296=""),"",IF(AND(N296&lt;&gt;"",O296&lt;&gt;""),MAX(J296+MAX(R296*ABS(J296),S296),O296),IF(AND(M296&lt;&gt;"",N(L296)&gt;=2),MAX(J296+MAX(R296*ABS(J296),S296),J296+2*M296),J296+MAX(R296*ABS(J296),S296))))</f>
        <v/>
      </c>
      <c r="V296" s="51">
        <f>IF(OR($A296="",$J296=""),"",IF(COUNTIFS('6_資料庫比對'!$B$16:$B$25,A296,'6_資料庫比對'!$C$16:$C$25,I296)=0,"",IF(AND(SUMIFS('6_資料庫比對'!$F$16:$F$25,'6_資料庫比對'!$B$16:$B$25,A296,'6_資料庫比對'!$C$16:$C$25,I296)&gt;=T296,SUMIFS('6_資料庫比對'!$F$16:$F$25,'6_資料庫比對'!$B$16:$B$25,A296,'6_資料庫比對'!$C$16:$C$25,I296)&lt;=U296),"✓ 涵蓋","✗ 不涵蓋")))</f>
        <v/>
      </c>
    </row>
    <row r="297">
      <c r="R297" s="48">
        <f>IF(OR($A297="",$J297=""),"",IFERROR(VLOOKUP(I297,'6_資料庫比對'!$A$6:$C$12,2,FALSE),""))</f>
        <v/>
      </c>
      <c r="S297" s="49">
        <f>IF(OR($A297="",$J297=""),"",IFERROR(VLOOKUP(I297,'6_資料庫比對'!$A$6:$C$12,3,FALSE),""))</f>
        <v/>
      </c>
      <c r="T297" s="50">
        <f>IF(OR($A297="",$J297=""),"",MAX(0,IF(AND(N297&lt;&gt;"",O297&lt;&gt;""),MIN(J297-MAX(R297*ABS(J297),S297),N297),IF(AND(M297&lt;&gt;"",N(L297)&gt;=2),MIN(J297-MAX(R297*ABS(J297),S297),J297-2*M297),J297-MAX(R297*ABS(J297),S297)))))</f>
        <v/>
      </c>
      <c r="U297" s="50">
        <f>IF(OR($A297="",$J297=""),"",IF(AND(N297&lt;&gt;"",O297&lt;&gt;""),MAX(J297+MAX(R297*ABS(J297),S297),O297),IF(AND(M297&lt;&gt;"",N(L297)&gt;=2),MAX(J297+MAX(R297*ABS(J297),S297),J297+2*M297),J297+MAX(R297*ABS(J297),S297))))</f>
        <v/>
      </c>
      <c r="V297" s="51">
        <f>IF(OR($A297="",$J297=""),"",IF(COUNTIFS('6_資料庫比對'!$B$16:$B$25,A297,'6_資料庫比對'!$C$16:$C$25,I297)=0,"",IF(AND(SUMIFS('6_資料庫比對'!$F$16:$F$25,'6_資料庫比對'!$B$16:$B$25,A297,'6_資料庫比對'!$C$16:$C$25,I297)&gt;=T297,SUMIFS('6_資料庫比對'!$F$16:$F$25,'6_資料庫比對'!$B$16:$B$25,A297,'6_資料庫比對'!$C$16:$C$25,I297)&lt;=U297),"✓ 涵蓋","✗ 不涵蓋")))</f>
        <v/>
      </c>
    </row>
    <row r="298">
      <c r="R298" s="48">
        <f>IF(OR($A298="",$J298=""),"",IFERROR(VLOOKUP(I298,'6_資料庫比對'!$A$6:$C$12,2,FALSE),""))</f>
        <v/>
      </c>
      <c r="S298" s="49">
        <f>IF(OR($A298="",$J298=""),"",IFERROR(VLOOKUP(I298,'6_資料庫比對'!$A$6:$C$12,3,FALSE),""))</f>
        <v/>
      </c>
      <c r="T298" s="50">
        <f>IF(OR($A298="",$J298=""),"",MAX(0,IF(AND(N298&lt;&gt;"",O298&lt;&gt;""),MIN(J298-MAX(R298*ABS(J298),S298),N298),IF(AND(M298&lt;&gt;"",N(L298)&gt;=2),MIN(J298-MAX(R298*ABS(J298),S298),J298-2*M298),J298-MAX(R298*ABS(J298),S298)))))</f>
        <v/>
      </c>
      <c r="U298" s="50">
        <f>IF(OR($A298="",$J298=""),"",IF(AND(N298&lt;&gt;"",O298&lt;&gt;""),MAX(J298+MAX(R298*ABS(J298),S298),O298),IF(AND(M298&lt;&gt;"",N(L298)&gt;=2),MAX(J298+MAX(R298*ABS(J298),S298),J298+2*M298),J298+MAX(R298*ABS(J298),S298))))</f>
        <v/>
      </c>
      <c r="V298" s="51">
        <f>IF(OR($A298="",$J298=""),"",IF(COUNTIFS('6_資料庫比對'!$B$16:$B$25,A298,'6_資料庫比對'!$C$16:$C$25,I298)=0,"",IF(AND(SUMIFS('6_資料庫比對'!$F$16:$F$25,'6_資料庫比對'!$B$16:$B$25,A298,'6_資料庫比對'!$C$16:$C$25,I298)&gt;=T298,SUMIFS('6_資料庫比對'!$F$16:$F$25,'6_資料庫比對'!$B$16:$B$25,A298,'6_資料庫比對'!$C$16:$C$25,I298)&lt;=U298),"✓ 涵蓋","✗ 不涵蓋")))</f>
        <v/>
      </c>
    </row>
    <row r="299">
      <c r="R299" s="48">
        <f>IF(OR($A299="",$J299=""),"",IFERROR(VLOOKUP(I299,'6_資料庫比對'!$A$6:$C$12,2,FALSE),""))</f>
        <v/>
      </c>
      <c r="S299" s="49">
        <f>IF(OR($A299="",$J299=""),"",IFERROR(VLOOKUP(I299,'6_資料庫比對'!$A$6:$C$12,3,FALSE),""))</f>
        <v/>
      </c>
      <c r="T299" s="50">
        <f>IF(OR($A299="",$J299=""),"",MAX(0,IF(AND(N299&lt;&gt;"",O299&lt;&gt;""),MIN(J299-MAX(R299*ABS(J299),S299),N299),IF(AND(M299&lt;&gt;"",N(L299)&gt;=2),MIN(J299-MAX(R299*ABS(J299),S299),J299-2*M299),J299-MAX(R299*ABS(J299),S299)))))</f>
        <v/>
      </c>
      <c r="U299" s="50">
        <f>IF(OR($A299="",$J299=""),"",IF(AND(N299&lt;&gt;"",O299&lt;&gt;""),MAX(J299+MAX(R299*ABS(J299),S299),O299),IF(AND(M299&lt;&gt;"",N(L299)&gt;=2),MAX(J299+MAX(R299*ABS(J299),S299),J299+2*M299),J299+MAX(R299*ABS(J299),S299))))</f>
        <v/>
      </c>
      <c r="V299" s="51">
        <f>IF(OR($A299="",$J299=""),"",IF(COUNTIFS('6_資料庫比對'!$B$16:$B$25,A299,'6_資料庫比對'!$C$16:$C$25,I299)=0,"",IF(AND(SUMIFS('6_資料庫比對'!$F$16:$F$25,'6_資料庫比對'!$B$16:$B$25,A299,'6_資料庫比對'!$C$16:$C$25,I299)&gt;=T299,SUMIFS('6_資料庫比對'!$F$16:$F$25,'6_資料庫比對'!$B$16:$B$25,A299,'6_資料庫比對'!$C$16:$C$25,I299)&lt;=U299),"✓ 涵蓋","✗ 不涵蓋")))</f>
        <v/>
      </c>
    </row>
    <row r="300">
      <c r="R300" s="48">
        <f>IF(OR($A300="",$J300=""),"",IFERROR(VLOOKUP(I300,'6_資料庫比對'!$A$6:$C$12,2,FALSE),""))</f>
        <v/>
      </c>
      <c r="S300" s="49">
        <f>IF(OR($A300="",$J300=""),"",IFERROR(VLOOKUP(I300,'6_資料庫比對'!$A$6:$C$12,3,FALSE),""))</f>
        <v/>
      </c>
      <c r="T300" s="50">
        <f>IF(OR($A300="",$J300=""),"",MAX(0,IF(AND(N300&lt;&gt;"",O300&lt;&gt;""),MIN(J300-MAX(R300*ABS(J300),S300),N300),IF(AND(M300&lt;&gt;"",N(L300)&gt;=2),MIN(J300-MAX(R300*ABS(J300),S300),J300-2*M300),J300-MAX(R300*ABS(J300),S300)))))</f>
        <v/>
      </c>
      <c r="U300" s="50">
        <f>IF(OR($A300="",$J300=""),"",IF(AND(N300&lt;&gt;"",O300&lt;&gt;""),MAX(J300+MAX(R300*ABS(J300),S300),O300),IF(AND(M300&lt;&gt;"",N(L300)&gt;=2),MAX(J300+MAX(R300*ABS(J300),S300),J300+2*M300),J300+MAX(R300*ABS(J300),S300))))</f>
        <v/>
      </c>
      <c r="V300" s="51">
        <f>IF(OR($A300="",$J300=""),"",IF(COUNTIFS('6_資料庫比對'!$B$16:$B$25,A300,'6_資料庫比對'!$C$16:$C$25,I300)=0,"",IF(AND(SUMIFS('6_資料庫比對'!$F$16:$F$25,'6_資料庫比對'!$B$16:$B$25,A300,'6_資料庫比對'!$C$16:$C$25,I300)&gt;=T300,SUMIFS('6_資料庫比對'!$F$16:$F$25,'6_資料庫比對'!$B$16:$B$25,A300,'6_資料庫比對'!$C$16:$C$25,I300)&lt;=U300),"✓ 涵蓋","✗ 不涵蓋")))</f>
        <v/>
      </c>
    </row>
    <row r="301">
      <c r="R301" s="48">
        <f>IF(OR($A301="",$J301=""),"",IFERROR(VLOOKUP(I301,'6_資料庫比對'!$A$6:$C$12,2,FALSE),""))</f>
        <v/>
      </c>
      <c r="S301" s="49">
        <f>IF(OR($A301="",$J301=""),"",IFERROR(VLOOKUP(I301,'6_資料庫比對'!$A$6:$C$12,3,FALSE),""))</f>
        <v/>
      </c>
      <c r="T301" s="50">
        <f>IF(OR($A301="",$J301=""),"",MAX(0,IF(AND(N301&lt;&gt;"",O301&lt;&gt;""),MIN(J301-MAX(R301*ABS(J301),S301),N301),IF(AND(M301&lt;&gt;"",N(L301)&gt;=2),MIN(J301-MAX(R301*ABS(J301),S301),J301-2*M301),J301-MAX(R301*ABS(J301),S301)))))</f>
        <v/>
      </c>
      <c r="U301" s="50">
        <f>IF(OR($A301="",$J301=""),"",IF(AND(N301&lt;&gt;"",O301&lt;&gt;""),MAX(J301+MAX(R301*ABS(J301),S301),O301),IF(AND(M301&lt;&gt;"",N(L301)&gt;=2),MAX(J301+MAX(R301*ABS(J301),S301),J301+2*M301),J301+MAX(R301*ABS(J301),S301))))</f>
        <v/>
      </c>
      <c r="V301" s="51">
        <f>IF(OR($A301="",$J301=""),"",IF(COUNTIFS('6_資料庫比對'!$B$16:$B$25,A301,'6_資料庫比對'!$C$16:$C$25,I301)=0,"",IF(AND(SUMIFS('6_資料庫比對'!$F$16:$F$25,'6_資料庫比對'!$B$16:$B$25,A301,'6_資料庫比對'!$C$16:$C$25,I301)&gt;=T301,SUMIFS('6_資料庫比對'!$F$16:$F$25,'6_資料庫比對'!$B$16:$B$25,A301,'6_資料庫比對'!$C$16:$C$25,I301)&lt;=U301),"✓ 涵蓋","✗ 不涵蓋")))</f>
        <v/>
      </c>
    </row>
    <row r="302">
      <c r="R302" s="48">
        <f>IF(OR($A302="",$J302=""),"",IFERROR(VLOOKUP(I302,'6_資料庫比對'!$A$6:$C$12,2,FALSE),""))</f>
        <v/>
      </c>
      <c r="S302" s="49">
        <f>IF(OR($A302="",$J302=""),"",IFERROR(VLOOKUP(I302,'6_資料庫比對'!$A$6:$C$12,3,FALSE),""))</f>
        <v/>
      </c>
      <c r="T302" s="50">
        <f>IF(OR($A302="",$J302=""),"",MAX(0,IF(AND(N302&lt;&gt;"",O302&lt;&gt;""),MIN(J302-MAX(R302*ABS(J302),S302),N302),IF(AND(M302&lt;&gt;"",N(L302)&gt;=2),MIN(J302-MAX(R302*ABS(J302),S302),J302-2*M302),J302-MAX(R302*ABS(J302),S302)))))</f>
        <v/>
      </c>
      <c r="U302" s="50">
        <f>IF(OR($A302="",$J302=""),"",IF(AND(N302&lt;&gt;"",O302&lt;&gt;""),MAX(J302+MAX(R302*ABS(J302),S302),O302),IF(AND(M302&lt;&gt;"",N(L302)&gt;=2),MAX(J302+MAX(R302*ABS(J302),S302),J302+2*M302),J302+MAX(R302*ABS(J302),S302))))</f>
        <v/>
      </c>
      <c r="V302" s="51">
        <f>IF(OR($A302="",$J302=""),"",IF(COUNTIFS('6_資料庫比對'!$B$16:$B$25,A302,'6_資料庫比對'!$C$16:$C$25,I302)=0,"",IF(AND(SUMIFS('6_資料庫比對'!$F$16:$F$25,'6_資料庫比對'!$B$16:$B$25,A302,'6_資料庫比對'!$C$16:$C$25,I302)&gt;=T302,SUMIFS('6_資料庫比對'!$F$16:$F$25,'6_資料庫比對'!$B$16:$B$25,A302,'6_資料庫比對'!$C$16:$C$25,I302)&lt;=U302),"✓ 涵蓋","✗ 不涵蓋")))</f>
        <v/>
      </c>
    </row>
    <row r="303">
      <c r="R303" s="48">
        <f>IF(OR($A303="",$J303=""),"",IFERROR(VLOOKUP(I303,'6_資料庫比對'!$A$6:$C$12,2,FALSE),""))</f>
        <v/>
      </c>
      <c r="S303" s="49">
        <f>IF(OR($A303="",$J303=""),"",IFERROR(VLOOKUP(I303,'6_資料庫比對'!$A$6:$C$12,3,FALSE),""))</f>
        <v/>
      </c>
      <c r="T303" s="50">
        <f>IF(OR($A303="",$J303=""),"",MAX(0,IF(AND(N303&lt;&gt;"",O303&lt;&gt;""),MIN(J303-MAX(R303*ABS(J303),S303),N303),IF(AND(M303&lt;&gt;"",N(L303)&gt;=2),MIN(J303-MAX(R303*ABS(J303),S303),J303-2*M303),J303-MAX(R303*ABS(J303),S303)))))</f>
        <v/>
      </c>
      <c r="U303" s="50">
        <f>IF(OR($A303="",$J303=""),"",IF(AND(N303&lt;&gt;"",O303&lt;&gt;""),MAX(J303+MAX(R303*ABS(J303),S303),O303),IF(AND(M303&lt;&gt;"",N(L303)&gt;=2),MAX(J303+MAX(R303*ABS(J303),S303),J303+2*M303),J303+MAX(R303*ABS(J303),S303))))</f>
        <v/>
      </c>
      <c r="V303" s="51">
        <f>IF(OR($A303="",$J303=""),"",IF(COUNTIFS('6_資料庫比對'!$B$16:$B$25,A303,'6_資料庫比對'!$C$16:$C$25,I303)=0,"",IF(AND(SUMIFS('6_資料庫比對'!$F$16:$F$25,'6_資料庫比對'!$B$16:$B$25,A303,'6_資料庫比對'!$C$16:$C$25,I303)&gt;=T303,SUMIFS('6_資料庫比對'!$F$16:$F$25,'6_資料庫比對'!$B$16:$B$25,A303,'6_資料庫比對'!$C$16:$C$25,I303)&lt;=U303),"✓ 涵蓋","✗ 不涵蓋")))</f>
        <v/>
      </c>
    </row>
    <row r="304">
      <c r="R304" s="48">
        <f>IF(OR($A304="",$J304=""),"",IFERROR(VLOOKUP(I304,'6_資料庫比對'!$A$6:$C$12,2,FALSE),""))</f>
        <v/>
      </c>
      <c r="S304" s="49">
        <f>IF(OR($A304="",$J304=""),"",IFERROR(VLOOKUP(I304,'6_資料庫比對'!$A$6:$C$12,3,FALSE),""))</f>
        <v/>
      </c>
      <c r="T304" s="50">
        <f>IF(OR($A304="",$J304=""),"",MAX(0,IF(AND(N304&lt;&gt;"",O304&lt;&gt;""),MIN(J304-MAX(R304*ABS(J304),S304),N304),IF(AND(M304&lt;&gt;"",N(L304)&gt;=2),MIN(J304-MAX(R304*ABS(J304),S304),J304-2*M304),J304-MAX(R304*ABS(J304),S304)))))</f>
        <v/>
      </c>
      <c r="U304" s="50">
        <f>IF(OR($A304="",$J304=""),"",IF(AND(N304&lt;&gt;"",O304&lt;&gt;""),MAX(J304+MAX(R304*ABS(J304),S304),O304),IF(AND(M304&lt;&gt;"",N(L304)&gt;=2),MAX(J304+MAX(R304*ABS(J304),S304),J304+2*M304),J304+MAX(R304*ABS(J304),S304))))</f>
        <v/>
      </c>
      <c r="V304" s="51">
        <f>IF(OR($A304="",$J304=""),"",IF(COUNTIFS('6_資料庫比對'!$B$16:$B$25,A304,'6_資料庫比對'!$C$16:$C$25,I304)=0,"",IF(AND(SUMIFS('6_資料庫比對'!$F$16:$F$25,'6_資料庫比對'!$B$16:$B$25,A304,'6_資料庫比對'!$C$16:$C$25,I304)&gt;=T304,SUMIFS('6_資料庫比對'!$F$16:$F$25,'6_資料庫比對'!$B$16:$B$25,A304,'6_資料庫比對'!$C$16:$C$25,I304)&lt;=U304),"✓ 涵蓋","✗ 不涵蓋")))</f>
        <v/>
      </c>
    </row>
    <row r="305">
      <c r="R305" s="48">
        <f>IF(OR($A305="",$J305=""),"",IFERROR(VLOOKUP(I305,'6_資料庫比對'!$A$6:$C$12,2,FALSE),""))</f>
        <v/>
      </c>
      <c r="S305" s="49">
        <f>IF(OR($A305="",$J305=""),"",IFERROR(VLOOKUP(I305,'6_資料庫比對'!$A$6:$C$12,3,FALSE),""))</f>
        <v/>
      </c>
      <c r="T305" s="50">
        <f>IF(OR($A305="",$J305=""),"",MAX(0,IF(AND(N305&lt;&gt;"",O305&lt;&gt;""),MIN(J305-MAX(R305*ABS(J305),S305),N305),IF(AND(M305&lt;&gt;"",N(L305)&gt;=2),MIN(J305-MAX(R305*ABS(J305),S305),J305-2*M305),J305-MAX(R305*ABS(J305),S305)))))</f>
        <v/>
      </c>
      <c r="U305" s="50">
        <f>IF(OR($A305="",$J305=""),"",IF(AND(N305&lt;&gt;"",O305&lt;&gt;""),MAX(J305+MAX(R305*ABS(J305),S305),O305),IF(AND(M305&lt;&gt;"",N(L305)&gt;=2),MAX(J305+MAX(R305*ABS(J305),S305),J305+2*M305),J305+MAX(R305*ABS(J305),S305))))</f>
        <v/>
      </c>
      <c r="V305" s="51">
        <f>IF(OR($A305="",$J305=""),"",IF(COUNTIFS('6_資料庫比對'!$B$16:$B$25,A305,'6_資料庫比對'!$C$16:$C$25,I305)=0,"",IF(AND(SUMIFS('6_資料庫比對'!$F$16:$F$25,'6_資料庫比對'!$B$16:$B$25,A305,'6_資料庫比對'!$C$16:$C$25,I305)&gt;=T305,SUMIFS('6_資料庫比對'!$F$16:$F$25,'6_資料庫比對'!$B$16:$B$25,A305,'6_資料庫比對'!$C$16:$C$25,I305)&lt;=U305),"✓ 涵蓋","✗ 不涵蓋")))</f>
        <v/>
      </c>
    </row>
    <row r="306">
      <c r="R306" s="48">
        <f>IF(OR($A306="",$J306=""),"",IFERROR(VLOOKUP(I306,'6_資料庫比對'!$A$6:$C$12,2,FALSE),""))</f>
        <v/>
      </c>
      <c r="S306" s="49">
        <f>IF(OR($A306="",$J306=""),"",IFERROR(VLOOKUP(I306,'6_資料庫比對'!$A$6:$C$12,3,FALSE),""))</f>
        <v/>
      </c>
      <c r="T306" s="50">
        <f>IF(OR($A306="",$J306=""),"",MAX(0,IF(AND(N306&lt;&gt;"",O306&lt;&gt;""),MIN(J306-MAX(R306*ABS(J306),S306),N306),IF(AND(M306&lt;&gt;"",N(L306)&gt;=2),MIN(J306-MAX(R306*ABS(J306),S306),J306-2*M306),J306-MAX(R306*ABS(J306),S306)))))</f>
        <v/>
      </c>
      <c r="U306" s="50">
        <f>IF(OR($A306="",$J306=""),"",IF(AND(N306&lt;&gt;"",O306&lt;&gt;""),MAX(J306+MAX(R306*ABS(J306),S306),O306),IF(AND(M306&lt;&gt;"",N(L306)&gt;=2),MAX(J306+MAX(R306*ABS(J306),S306),J306+2*M306),J306+MAX(R306*ABS(J306),S306))))</f>
        <v/>
      </c>
      <c r="V306" s="51">
        <f>IF(OR($A306="",$J306=""),"",IF(COUNTIFS('6_資料庫比對'!$B$16:$B$25,A306,'6_資料庫比對'!$C$16:$C$25,I306)=0,"",IF(AND(SUMIFS('6_資料庫比對'!$F$16:$F$25,'6_資料庫比對'!$B$16:$B$25,A306,'6_資料庫比對'!$C$16:$C$25,I306)&gt;=T306,SUMIFS('6_資料庫比對'!$F$16:$F$25,'6_資料庫比對'!$B$16:$B$25,A306,'6_資料庫比對'!$C$16:$C$25,I306)&lt;=U306),"✓ 涵蓋","✗ 不涵蓋")))</f>
        <v/>
      </c>
    </row>
    <row r="307">
      <c r="R307" s="48">
        <f>IF(OR($A307="",$J307=""),"",IFERROR(VLOOKUP(I307,'6_資料庫比對'!$A$6:$C$12,2,FALSE),""))</f>
        <v/>
      </c>
      <c r="S307" s="49">
        <f>IF(OR($A307="",$J307=""),"",IFERROR(VLOOKUP(I307,'6_資料庫比對'!$A$6:$C$12,3,FALSE),""))</f>
        <v/>
      </c>
      <c r="T307" s="50">
        <f>IF(OR($A307="",$J307=""),"",MAX(0,IF(AND(N307&lt;&gt;"",O307&lt;&gt;""),MIN(J307-MAX(R307*ABS(J307),S307),N307),IF(AND(M307&lt;&gt;"",N(L307)&gt;=2),MIN(J307-MAX(R307*ABS(J307),S307),J307-2*M307),J307-MAX(R307*ABS(J307),S307)))))</f>
        <v/>
      </c>
      <c r="U307" s="50">
        <f>IF(OR($A307="",$J307=""),"",IF(AND(N307&lt;&gt;"",O307&lt;&gt;""),MAX(J307+MAX(R307*ABS(J307),S307),O307),IF(AND(M307&lt;&gt;"",N(L307)&gt;=2),MAX(J307+MAX(R307*ABS(J307),S307),J307+2*M307),J307+MAX(R307*ABS(J307),S307))))</f>
        <v/>
      </c>
      <c r="V307" s="51">
        <f>IF(OR($A307="",$J307=""),"",IF(COUNTIFS('6_資料庫比對'!$B$16:$B$25,A307,'6_資料庫比對'!$C$16:$C$25,I307)=0,"",IF(AND(SUMIFS('6_資料庫比對'!$F$16:$F$25,'6_資料庫比對'!$B$16:$B$25,A307,'6_資料庫比對'!$C$16:$C$25,I307)&gt;=T307,SUMIFS('6_資料庫比對'!$F$16:$F$25,'6_資料庫比對'!$B$16:$B$25,A307,'6_資料庫比對'!$C$16:$C$25,I307)&lt;=U307),"✓ 涵蓋","✗ 不涵蓋")))</f>
        <v/>
      </c>
    </row>
    <row r="308">
      <c r="R308" s="48">
        <f>IF(OR($A308="",$J308=""),"",IFERROR(VLOOKUP(I308,'6_資料庫比對'!$A$6:$C$12,2,FALSE),""))</f>
        <v/>
      </c>
      <c r="S308" s="49">
        <f>IF(OR($A308="",$J308=""),"",IFERROR(VLOOKUP(I308,'6_資料庫比對'!$A$6:$C$12,3,FALSE),""))</f>
        <v/>
      </c>
      <c r="T308" s="50">
        <f>IF(OR($A308="",$J308=""),"",MAX(0,IF(AND(N308&lt;&gt;"",O308&lt;&gt;""),MIN(J308-MAX(R308*ABS(J308),S308),N308),IF(AND(M308&lt;&gt;"",N(L308)&gt;=2),MIN(J308-MAX(R308*ABS(J308),S308),J308-2*M308),J308-MAX(R308*ABS(J308),S308)))))</f>
        <v/>
      </c>
      <c r="U308" s="50">
        <f>IF(OR($A308="",$J308=""),"",IF(AND(N308&lt;&gt;"",O308&lt;&gt;""),MAX(J308+MAX(R308*ABS(J308),S308),O308),IF(AND(M308&lt;&gt;"",N(L308)&gt;=2),MAX(J308+MAX(R308*ABS(J308),S308),J308+2*M308),J308+MAX(R308*ABS(J308),S308))))</f>
        <v/>
      </c>
      <c r="V308" s="51">
        <f>IF(OR($A308="",$J308=""),"",IF(COUNTIFS('6_資料庫比對'!$B$16:$B$25,A308,'6_資料庫比對'!$C$16:$C$25,I308)=0,"",IF(AND(SUMIFS('6_資料庫比對'!$F$16:$F$25,'6_資料庫比對'!$B$16:$B$25,A308,'6_資料庫比對'!$C$16:$C$25,I308)&gt;=T308,SUMIFS('6_資料庫比對'!$F$16:$F$25,'6_資料庫比對'!$B$16:$B$25,A308,'6_資料庫比對'!$C$16:$C$25,I308)&lt;=U308),"✓ 涵蓋","✗ 不涵蓋")))</f>
        <v/>
      </c>
    </row>
    <row r="309">
      <c r="R309" s="48">
        <f>IF(OR($A309="",$J309=""),"",IFERROR(VLOOKUP(I309,'6_資料庫比對'!$A$6:$C$12,2,FALSE),""))</f>
        <v/>
      </c>
      <c r="S309" s="49">
        <f>IF(OR($A309="",$J309=""),"",IFERROR(VLOOKUP(I309,'6_資料庫比對'!$A$6:$C$12,3,FALSE),""))</f>
        <v/>
      </c>
      <c r="T309" s="50">
        <f>IF(OR($A309="",$J309=""),"",MAX(0,IF(AND(N309&lt;&gt;"",O309&lt;&gt;""),MIN(J309-MAX(R309*ABS(J309),S309),N309),IF(AND(M309&lt;&gt;"",N(L309)&gt;=2),MIN(J309-MAX(R309*ABS(J309),S309),J309-2*M309),J309-MAX(R309*ABS(J309),S309)))))</f>
        <v/>
      </c>
      <c r="U309" s="50">
        <f>IF(OR($A309="",$J309=""),"",IF(AND(N309&lt;&gt;"",O309&lt;&gt;""),MAX(J309+MAX(R309*ABS(J309),S309),O309),IF(AND(M309&lt;&gt;"",N(L309)&gt;=2),MAX(J309+MAX(R309*ABS(J309),S309),J309+2*M309),J309+MAX(R309*ABS(J309),S309))))</f>
        <v/>
      </c>
      <c r="V309" s="51">
        <f>IF(OR($A309="",$J309=""),"",IF(COUNTIFS('6_資料庫比對'!$B$16:$B$25,A309,'6_資料庫比對'!$C$16:$C$25,I309)=0,"",IF(AND(SUMIFS('6_資料庫比對'!$F$16:$F$25,'6_資料庫比對'!$B$16:$B$25,A309,'6_資料庫比對'!$C$16:$C$25,I309)&gt;=T309,SUMIFS('6_資料庫比對'!$F$16:$F$25,'6_資料庫比對'!$B$16:$B$25,A309,'6_資料庫比對'!$C$16:$C$25,I309)&lt;=U309),"✓ 涵蓋","✗ 不涵蓋")))</f>
        <v/>
      </c>
    </row>
    <row r="310">
      <c r="R310" s="48">
        <f>IF(OR($A310="",$J310=""),"",IFERROR(VLOOKUP(I310,'6_資料庫比對'!$A$6:$C$12,2,FALSE),""))</f>
        <v/>
      </c>
      <c r="S310" s="49">
        <f>IF(OR($A310="",$J310=""),"",IFERROR(VLOOKUP(I310,'6_資料庫比對'!$A$6:$C$12,3,FALSE),""))</f>
        <v/>
      </c>
      <c r="T310" s="50">
        <f>IF(OR($A310="",$J310=""),"",MAX(0,IF(AND(N310&lt;&gt;"",O310&lt;&gt;""),MIN(J310-MAX(R310*ABS(J310),S310),N310),IF(AND(M310&lt;&gt;"",N(L310)&gt;=2),MIN(J310-MAX(R310*ABS(J310),S310),J310-2*M310),J310-MAX(R310*ABS(J310),S310)))))</f>
        <v/>
      </c>
      <c r="U310" s="50">
        <f>IF(OR($A310="",$J310=""),"",IF(AND(N310&lt;&gt;"",O310&lt;&gt;""),MAX(J310+MAX(R310*ABS(J310),S310),O310),IF(AND(M310&lt;&gt;"",N(L310)&gt;=2),MAX(J310+MAX(R310*ABS(J310),S310),J310+2*M310),J310+MAX(R310*ABS(J310),S310))))</f>
        <v/>
      </c>
      <c r="V310" s="51">
        <f>IF(OR($A310="",$J310=""),"",IF(COUNTIFS('6_資料庫比對'!$B$16:$B$25,A310,'6_資料庫比對'!$C$16:$C$25,I310)=0,"",IF(AND(SUMIFS('6_資料庫比對'!$F$16:$F$25,'6_資料庫比對'!$B$16:$B$25,A310,'6_資料庫比對'!$C$16:$C$25,I310)&gt;=T310,SUMIFS('6_資料庫比對'!$F$16:$F$25,'6_資料庫比對'!$B$16:$B$25,A310,'6_資料庫比對'!$C$16:$C$25,I310)&lt;=U310),"✓ 涵蓋","✗ 不涵蓋")))</f>
        <v/>
      </c>
    </row>
    <row r="311">
      <c r="R311" s="48">
        <f>IF(OR($A311="",$J311=""),"",IFERROR(VLOOKUP(I311,'6_資料庫比對'!$A$6:$C$12,2,FALSE),""))</f>
        <v/>
      </c>
      <c r="S311" s="49">
        <f>IF(OR($A311="",$J311=""),"",IFERROR(VLOOKUP(I311,'6_資料庫比對'!$A$6:$C$12,3,FALSE),""))</f>
        <v/>
      </c>
      <c r="T311" s="50">
        <f>IF(OR($A311="",$J311=""),"",MAX(0,IF(AND(N311&lt;&gt;"",O311&lt;&gt;""),MIN(J311-MAX(R311*ABS(J311),S311),N311),IF(AND(M311&lt;&gt;"",N(L311)&gt;=2),MIN(J311-MAX(R311*ABS(J311),S311),J311-2*M311),J311-MAX(R311*ABS(J311),S311)))))</f>
        <v/>
      </c>
      <c r="U311" s="50">
        <f>IF(OR($A311="",$J311=""),"",IF(AND(N311&lt;&gt;"",O311&lt;&gt;""),MAX(J311+MAX(R311*ABS(J311),S311),O311),IF(AND(M311&lt;&gt;"",N(L311)&gt;=2),MAX(J311+MAX(R311*ABS(J311),S311),J311+2*M311),J311+MAX(R311*ABS(J311),S311))))</f>
        <v/>
      </c>
      <c r="V311" s="51">
        <f>IF(OR($A311="",$J311=""),"",IF(COUNTIFS('6_資料庫比對'!$B$16:$B$25,A311,'6_資料庫比對'!$C$16:$C$25,I311)=0,"",IF(AND(SUMIFS('6_資料庫比對'!$F$16:$F$25,'6_資料庫比對'!$B$16:$B$25,A311,'6_資料庫比對'!$C$16:$C$25,I311)&gt;=T311,SUMIFS('6_資料庫比對'!$F$16:$F$25,'6_資料庫比對'!$B$16:$B$25,A311,'6_資料庫比對'!$C$16:$C$25,I311)&lt;=U311),"✓ 涵蓋","✗ 不涵蓋")))</f>
        <v/>
      </c>
    </row>
    <row r="312">
      <c r="R312" s="48">
        <f>IF(OR($A312="",$J312=""),"",IFERROR(VLOOKUP(I312,'6_資料庫比對'!$A$6:$C$12,2,FALSE),""))</f>
        <v/>
      </c>
      <c r="S312" s="49">
        <f>IF(OR($A312="",$J312=""),"",IFERROR(VLOOKUP(I312,'6_資料庫比對'!$A$6:$C$12,3,FALSE),""))</f>
        <v/>
      </c>
      <c r="T312" s="50">
        <f>IF(OR($A312="",$J312=""),"",MAX(0,IF(AND(N312&lt;&gt;"",O312&lt;&gt;""),MIN(J312-MAX(R312*ABS(J312),S312),N312),IF(AND(M312&lt;&gt;"",N(L312)&gt;=2),MIN(J312-MAX(R312*ABS(J312),S312),J312-2*M312),J312-MAX(R312*ABS(J312),S312)))))</f>
        <v/>
      </c>
      <c r="U312" s="50">
        <f>IF(OR($A312="",$J312=""),"",IF(AND(N312&lt;&gt;"",O312&lt;&gt;""),MAX(J312+MAX(R312*ABS(J312),S312),O312),IF(AND(M312&lt;&gt;"",N(L312)&gt;=2),MAX(J312+MAX(R312*ABS(J312),S312),J312+2*M312),J312+MAX(R312*ABS(J312),S312))))</f>
        <v/>
      </c>
      <c r="V312" s="51">
        <f>IF(OR($A312="",$J312=""),"",IF(COUNTIFS('6_資料庫比對'!$B$16:$B$25,A312,'6_資料庫比對'!$C$16:$C$25,I312)=0,"",IF(AND(SUMIFS('6_資料庫比對'!$F$16:$F$25,'6_資料庫比對'!$B$16:$B$25,A312,'6_資料庫比對'!$C$16:$C$25,I312)&gt;=T312,SUMIFS('6_資料庫比對'!$F$16:$F$25,'6_資料庫比對'!$B$16:$B$25,A312,'6_資料庫比對'!$C$16:$C$25,I312)&lt;=U312),"✓ 涵蓋","✗ 不涵蓋")))</f>
        <v/>
      </c>
    </row>
    <row r="313">
      <c r="R313" s="48">
        <f>IF(OR($A313="",$J313=""),"",IFERROR(VLOOKUP(I313,'6_資料庫比對'!$A$6:$C$12,2,FALSE),""))</f>
        <v/>
      </c>
      <c r="S313" s="49">
        <f>IF(OR($A313="",$J313=""),"",IFERROR(VLOOKUP(I313,'6_資料庫比對'!$A$6:$C$12,3,FALSE),""))</f>
        <v/>
      </c>
      <c r="T313" s="50">
        <f>IF(OR($A313="",$J313=""),"",MAX(0,IF(AND(N313&lt;&gt;"",O313&lt;&gt;""),MIN(J313-MAX(R313*ABS(J313),S313),N313),IF(AND(M313&lt;&gt;"",N(L313)&gt;=2),MIN(J313-MAX(R313*ABS(J313),S313),J313-2*M313),J313-MAX(R313*ABS(J313),S313)))))</f>
        <v/>
      </c>
      <c r="U313" s="50">
        <f>IF(OR($A313="",$J313=""),"",IF(AND(N313&lt;&gt;"",O313&lt;&gt;""),MAX(J313+MAX(R313*ABS(J313),S313),O313),IF(AND(M313&lt;&gt;"",N(L313)&gt;=2),MAX(J313+MAX(R313*ABS(J313),S313),J313+2*M313),J313+MAX(R313*ABS(J313),S313))))</f>
        <v/>
      </c>
      <c r="V313" s="51">
        <f>IF(OR($A313="",$J313=""),"",IF(COUNTIFS('6_資料庫比對'!$B$16:$B$25,A313,'6_資料庫比對'!$C$16:$C$25,I313)=0,"",IF(AND(SUMIFS('6_資料庫比對'!$F$16:$F$25,'6_資料庫比對'!$B$16:$B$25,A313,'6_資料庫比對'!$C$16:$C$25,I313)&gt;=T313,SUMIFS('6_資料庫比對'!$F$16:$F$25,'6_資料庫比對'!$B$16:$B$25,A313,'6_資料庫比對'!$C$16:$C$25,I313)&lt;=U313),"✓ 涵蓋","✗ 不涵蓋")))</f>
        <v/>
      </c>
    </row>
    <row r="314">
      <c r="R314" s="48">
        <f>IF(OR($A314="",$J314=""),"",IFERROR(VLOOKUP(I314,'6_資料庫比對'!$A$6:$C$12,2,FALSE),""))</f>
        <v/>
      </c>
      <c r="S314" s="49">
        <f>IF(OR($A314="",$J314=""),"",IFERROR(VLOOKUP(I314,'6_資料庫比對'!$A$6:$C$12,3,FALSE),""))</f>
        <v/>
      </c>
      <c r="T314" s="50">
        <f>IF(OR($A314="",$J314=""),"",MAX(0,IF(AND(N314&lt;&gt;"",O314&lt;&gt;""),MIN(J314-MAX(R314*ABS(J314),S314),N314),IF(AND(M314&lt;&gt;"",N(L314)&gt;=2),MIN(J314-MAX(R314*ABS(J314),S314),J314-2*M314),J314-MAX(R314*ABS(J314),S314)))))</f>
        <v/>
      </c>
      <c r="U314" s="50">
        <f>IF(OR($A314="",$J314=""),"",IF(AND(N314&lt;&gt;"",O314&lt;&gt;""),MAX(J314+MAX(R314*ABS(J314),S314),O314),IF(AND(M314&lt;&gt;"",N(L314)&gt;=2),MAX(J314+MAX(R314*ABS(J314),S314),J314+2*M314),J314+MAX(R314*ABS(J314),S314))))</f>
        <v/>
      </c>
      <c r="V314" s="51">
        <f>IF(OR($A314="",$J314=""),"",IF(COUNTIFS('6_資料庫比對'!$B$16:$B$25,A314,'6_資料庫比對'!$C$16:$C$25,I314)=0,"",IF(AND(SUMIFS('6_資料庫比對'!$F$16:$F$25,'6_資料庫比對'!$B$16:$B$25,A314,'6_資料庫比對'!$C$16:$C$25,I314)&gt;=T314,SUMIFS('6_資料庫比對'!$F$16:$F$25,'6_資料庫比對'!$B$16:$B$25,A314,'6_資料庫比對'!$C$16:$C$25,I314)&lt;=U314),"✓ 涵蓋","✗ 不涵蓋")))</f>
        <v/>
      </c>
    </row>
    <row r="315">
      <c r="R315" s="48">
        <f>IF(OR($A315="",$J315=""),"",IFERROR(VLOOKUP(I315,'6_資料庫比對'!$A$6:$C$12,2,FALSE),""))</f>
        <v/>
      </c>
      <c r="S315" s="49">
        <f>IF(OR($A315="",$J315=""),"",IFERROR(VLOOKUP(I315,'6_資料庫比對'!$A$6:$C$12,3,FALSE),""))</f>
        <v/>
      </c>
      <c r="T315" s="50">
        <f>IF(OR($A315="",$J315=""),"",MAX(0,IF(AND(N315&lt;&gt;"",O315&lt;&gt;""),MIN(J315-MAX(R315*ABS(J315),S315),N315),IF(AND(M315&lt;&gt;"",N(L315)&gt;=2),MIN(J315-MAX(R315*ABS(J315),S315),J315-2*M315),J315-MAX(R315*ABS(J315),S315)))))</f>
        <v/>
      </c>
      <c r="U315" s="50">
        <f>IF(OR($A315="",$J315=""),"",IF(AND(N315&lt;&gt;"",O315&lt;&gt;""),MAX(J315+MAX(R315*ABS(J315),S315),O315),IF(AND(M315&lt;&gt;"",N(L315)&gt;=2),MAX(J315+MAX(R315*ABS(J315),S315),J315+2*M315),J315+MAX(R315*ABS(J315),S315))))</f>
        <v/>
      </c>
      <c r="V315" s="51">
        <f>IF(OR($A315="",$J315=""),"",IF(COUNTIFS('6_資料庫比對'!$B$16:$B$25,A315,'6_資料庫比對'!$C$16:$C$25,I315)=0,"",IF(AND(SUMIFS('6_資料庫比對'!$F$16:$F$25,'6_資料庫比對'!$B$16:$B$25,A315,'6_資料庫比對'!$C$16:$C$25,I315)&gt;=T315,SUMIFS('6_資料庫比對'!$F$16:$F$25,'6_資料庫比對'!$B$16:$B$25,A315,'6_資料庫比對'!$C$16:$C$25,I315)&lt;=U315),"✓ 涵蓋","✗ 不涵蓋")))</f>
        <v/>
      </c>
    </row>
    <row r="316">
      <c r="R316" s="48">
        <f>IF(OR($A316="",$J316=""),"",IFERROR(VLOOKUP(I316,'6_資料庫比對'!$A$6:$C$12,2,FALSE),""))</f>
        <v/>
      </c>
      <c r="S316" s="49">
        <f>IF(OR($A316="",$J316=""),"",IFERROR(VLOOKUP(I316,'6_資料庫比對'!$A$6:$C$12,3,FALSE),""))</f>
        <v/>
      </c>
      <c r="T316" s="50">
        <f>IF(OR($A316="",$J316=""),"",MAX(0,IF(AND(N316&lt;&gt;"",O316&lt;&gt;""),MIN(J316-MAX(R316*ABS(J316),S316),N316),IF(AND(M316&lt;&gt;"",N(L316)&gt;=2),MIN(J316-MAX(R316*ABS(J316),S316),J316-2*M316),J316-MAX(R316*ABS(J316),S316)))))</f>
        <v/>
      </c>
      <c r="U316" s="50">
        <f>IF(OR($A316="",$J316=""),"",IF(AND(N316&lt;&gt;"",O316&lt;&gt;""),MAX(J316+MAX(R316*ABS(J316),S316),O316),IF(AND(M316&lt;&gt;"",N(L316)&gt;=2),MAX(J316+MAX(R316*ABS(J316),S316),J316+2*M316),J316+MAX(R316*ABS(J316),S316))))</f>
        <v/>
      </c>
      <c r="V316" s="51">
        <f>IF(OR($A316="",$J316=""),"",IF(COUNTIFS('6_資料庫比對'!$B$16:$B$25,A316,'6_資料庫比對'!$C$16:$C$25,I316)=0,"",IF(AND(SUMIFS('6_資料庫比對'!$F$16:$F$25,'6_資料庫比對'!$B$16:$B$25,A316,'6_資料庫比對'!$C$16:$C$25,I316)&gt;=T316,SUMIFS('6_資料庫比對'!$F$16:$F$25,'6_資料庫比對'!$B$16:$B$25,A316,'6_資料庫比對'!$C$16:$C$25,I316)&lt;=U316),"✓ 涵蓋","✗ 不涵蓋")))</f>
        <v/>
      </c>
    </row>
    <row r="317">
      <c r="R317" s="48">
        <f>IF(OR($A317="",$J317=""),"",IFERROR(VLOOKUP(I317,'6_資料庫比對'!$A$6:$C$12,2,FALSE),""))</f>
        <v/>
      </c>
      <c r="S317" s="49">
        <f>IF(OR($A317="",$J317=""),"",IFERROR(VLOOKUP(I317,'6_資料庫比對'!$A$6:$C$12,3,FALSE),""))</f>
        <v/>
      </c>
      <c r="T317" s="50">
        <f>IF(OR($A317="",$J317=""),"",MAX(0,IF(AND(N317&lt;&gt;"",O317&lt;&gt;""),MIN(J317-MAX(R317*ABS(J317),S317),N317),IF(AND(M317&lt;&gt;"",N(L317)&gt;=2),MIN(J317-MAX(R317*ABS(J317),S317),J317-2*M317),J317-MAX(R317*ABS(J317),S317)))))</f>
        <v/>
      </c>
      <c r="U317" s="50">
        <f>IF(OR($A317="",$J317=""),"",IF(AND(N317&lt;&gt;"",O317&lt;&gt;""),MAX(J317+MAX(R317*ABS(J317),S317),O317),IF(AND(M317&lt;&gt;"",N(L317)&gt;=2),MAX(J317+MAX(R317*ABS(J317),S317),J317+2*M317),J317+MAX(R317*ABS(J317),S317))))</f>
        <v/>
      </c>
      <c r="V317" s="51">
        <f>IF(OR($A317="",$J317=""),"",IF(COUNTIFS('6_資料庫比對'!$B$16:$B$25,A317,'6_資料庫比對'!$C$16:$C$25,I317)=0,"",IF(AND(SUMIFS('6_資料庫比對'!$F$16:$F$25,'6_資料庫比對'!$B$16:$B$25,A317,'6_資料庫比對'!$C$16:$C$25,I317)&gt;=T317,SUMIFS('6_資料庫比對'!$F$16:$F$25,'6_資料庫比對'!$B$16:$B$25,A317,'6_資料庫比對'!$C$16:$C$25,I317)&lt;=U317),"✓ 涵蓋","✗ 不涵蓋")))</f>
        <v/>
      </c>
    </row>
    <row r="318">
      <c r="R318" s="48">
        <f>IF(OR($A318="",$J318=""),"",IFERROR(VLOOKUP(I318,'6_資料庫比對'!$A$6:$C$12,2,FALSE),""))</f>
        <v/>
      </c>
      <c r="S318" s="49">
        <f>IF(OR($A318="",$J318=""),"",IFERROR(VLOOKUP(I318,'6_資料庫比對'!$A$6:$C$12,3,FALSE),""))</f>
        <v/>
      </c>
      <c r="T318" s="50">
        <f>IF(OR($A318="",$J318=""),"",MAX(0,IF(AND(N318&lt;&gt;"",O318&lt;&gt;""),MIN(J318-MAX(R318*ABS(J318),S318),N318),IF(AND(M318&lt;&gt;"",N(L318)&gt;=2),MIN(J318-MAX(R318*ABS(J318),S318),J318-2*M318),J318-MAX(R318*ABS(J318),S318)))))</f>
        <v/>
      </c>
      <c r="U318" s="50">
        <f>IF(OR($A318="",$J318=""),"",IF(AND(N318&lt;&gt;"",O318&lt;&gt;""),MAX(J318+MAX(R318*ABS(J318),S318),O318),IF(AND(M318&lt;&gt;"",N(L318)&gt;=2),MAX(J318+MAX(R318*ABS(J318),S318),J318+2*M318),J318+MAX(R318*ABS(J318),S318))))</f>
        <v/>
      </c>
      <c r="V318" s="51">
        <f>IF(OR($A318="",$J318=""),"",IF(COUNTIFS('6_資料庫比對'!$B$16:$B$25,A318,'6_資料庫比對'!$C$16:$C$25,I318)=0,"",IF(AND(SUMIFS('6_資料庫比對'!$F$16:$F$25,'6_資料庫比對'!$B$16:$B$25,A318,'6_資料庫比對'!$C$16:$C$25,I318)&gt;=T318,SUMIFS('6_資料庫比對'!$F$16:$F$25,'6_資料庫比對'!$B$16:$B$25,A318,'6_資料庫比對'!$C$16:$C$25,I318)&lt;=U318),"✓ 涵蓋","✗ 不涵蓋")))</f>
        <v/>
      </c>
    </row>
    <row r="319">
      <c r="R319" s="48">
        <f>IF(OR($A319="",$J319=""),"",IFERROR(VLOOKUP(I319,'6_資料庫比對'!$A$6:$C$12,2,FALSE),""))</f>
        <v/>
      </c>
      <c r="S319" s="49">
        <f>IF(OR($A319="",$J319=""),"",IFERROR(VLOOKUP(I319,'6_資料庫比對'!$A$6:$C$12,3,FALSE),""))</f>
        <v/>
      </c>
      <c r="T319" s="50">
        <f>IF(OR($A319="",$J319=""),"",MAX(0,IF(AND(N319&lt;&gt;"",O319&lt;&gt;""),MIN(J319-MAX(R319*ABS(J319),S319),N319),IF(AND(M319&lt;&gt;"",N(L319)&gt;=2),MIN(J319-MAX(R319*ABS(J319),S319),J319-2*M319),J319-MAX(R319*ABS(J319),S319)))))</f>
        <v/>
      </c>
      <c r="U319" s="50">
        <f>IF(OR($A319="",$J319=""),"",IF(AND(N319&lt;&gt;"",O319&lt;&gt;""),MAX(J319+MAX(R319*ABS(J319),S319),O319),IF(AND(M319&lt;&gt;"",N(L319)&gt;=2),MAX(J319+MAX(R319*ABS(J319),S319),J319+2*M319),J319+MAX(R319*ABS(J319),S319))))</f>
        <v/>
      </c>
      <c r="V319" s="51">
        <f>IF(OR($A319="",$J319=""),"",IF(COUNTIFS('6_資料庫比對'!$B$16:$B$25,A319,'6_資料庫比對'!$C$16:$C$25,I319)=0,"",IF(AND(SUMIFS('6_資料庫比對'!$F$16:$F$25,'6_資料庫比對'!$B$16:$B$25,A319,'6_資料庫比對'!$C$16:$C$25,I319)&gt;=T319,SUMIFS('6_資料庫比對'!$F$16:$F$25,'6_資料庫比對'!$B$16:$B$25,A319,'6_資料庫比對'!$C$16:$C$25,I319)&lt;=U319),"✓ 涵蓋","✗ 不涵蓋")))</f>
        <v/>
      </c>
    </row>
    <row r="320">
      <c r="R320" s="48">
        <f>IF(OR($A320="",$J320=""),"",IFERROR(VLOOKUP(I320,'6_資料庫比對'!$A$6:$C$12,2,FALSE),""))</f>
        <v/>
      </c>
      <c r="S320" s="49">
        <f>IF(OR($A320="",$J320=""),"",IFERROR(VLOOKUP(I320,'6_資料庫比對'!$A$6:$C$12,3,FALSE),""))</f>
        <v/>
      </c>
      <c r="T320" s="50">
        <f>IF(OR($A320="",$J320=""),"",MAX(0,IF(AND(N320&lt;&gt;"",O320&lt;&gt;""),MIN(J320-MAX(R320*ABS(J320),S320),N320),IF(AND(M320&lt;&gt;"",N(L320)&gt;=2),MIN(J320-MAX(R320*ABS(J320),S320),J320-2*M320),J320-MAX(R320*ABS(J320),S320)))))</f>
        <v/>
      </c>
      <c r="U320" s="50">
        <f>IF(OR($A320="",$J320=""),"",IF(AND(N320&lt;&gt;"",O320&lt;&gt;""),MAX(J320+MAX(R320*ABS(J320),S320),O320),IF(AND(M320&lt;&gt;"",N(L320)&gt;=2),MAX(J320+MAX(R320*ABS(J320),S320),J320+2*M320),J320+MAX(R320*ABS(J320),S320))))</f>
        <v/>
      </c>
      <c r="V320" s="51">
        <f>IF(OR($A320="",$J320=""),"",IF(COUNTIFS('6_資料庫比對'!$B$16:$B$25,A320,'6_資料庫比對'!$C$16:$C$25,I320)=0,"",IF(AND(SUMIFS('6_資料庫比對'!$F$16:$F$25,'6_資料庫比對'!$B$16:$B$25,A320,'6_資料庫比對'!$C$16:$C$25,I320)&gt;=T320,SUMIFS('6_資料庫比對'!$F$16:$F$25,'6_資料庫比對'!$B$16:$B$25,A320,'6_資料庫比對'!$C$16:$C$25,I320)&lt;=U320),"✓ 涵蓋","✗ 不涵蓋")))</f>
        <v/>
      </c>
    </row>
    <row r="321">
      <c r="R321" s="48">
        <f>IF(OR($A321="",$J321=""),"",IFERROR(VLOOKUP(I321,'6_資料庫比對'!$A$6:$C$12,2,FALSE),""))</f>
        <v/>
      </c>
      <c r="S321" s="49">
        <f>IF(OR($A321="",$J321=""),"",IFERROR(VLOOKUP(I321,'6_資料庫比對'!$A$6:$C$12,3,FALSE),""))</f>
        <v/>
      </c>
      <c r="T321" s="50">
        <f>IF(OR($A321="",$J321=""),"",MAX(0,IF(AND(N321&lt;&gt;"",O321&lt;&gt;""),MIN(J321-MAX(R321*ABS(J321),S321),N321),IF(AND(M321&lt;&gt;"",N(L321)&gt;=2),MIN(J321-MAX(R321*ABS(J321),S321),J321-2*M321),J321-MAX(R321*ABS(J321),S321)))))</f>
        <v/>
      </c>
      <c r="U321" s="50">
        <f>IF(OR($A321="",$J321=""),"",IF(AND(N321&lt;&gt;"",O321&lt;&gt;""),MAX(J321+MAX(R321*ABS(J321),S321),O321),IF(AND(M321&lt;&gt;"",N(L321)&gt;=2),MAX(J321+MAX(R321*ABS(J321),S321),J321+2*M321),J321+MAX(R321*ABS(J321),S321))))</f>
        <v/>
      </c>
      <c r="V321" s="51">
        <f>IF(OR($A321="",$J321=""),"",IF(COUNTIFS('6_資料庫比對'!$B$16:$B$25,A321,'6_資料庫比對'!$C$16:$C$25,I321)=0,"",IF(AND(SUMIFS('6_資料庫比對'!$F$16:$F$25,'6_資料庫比對'!$B$16:$B$25,A321,'6_資料庫比對'!$C$16:$C$25,I321)&gt;=T321,SUMIFS('6_資料庫比對'!$F$16:$F$25,'6_資料庫比對'!$B$16:$B$25,A321,'6_資料庫比對'!$C$16:$C$25,I321)&lt;=U321),"✓ 涵蓋","✗ 不涵蓋")))</f>
        <v/>
      </c>
    </row>
    <row r="322">
      <c r="R322" s="48">
        <f>IF(OR($A322="",$J322=""),"",IFERROR(VLOOKUP(I322,'6_資料庫比對'!$A$6:$C$12,2,FALSE),""))</f>
        <v/>
      </c>
      <c r="S322" s="49">
        <f>IF(OR($A322="",$J322=""),"",IFERROR(VLOOKUP(I322,'6_資料庫比對'!$A$6:$C$12,3,FALSE),""))</f>
        <v/>
      </c>
      <c r="T322" s="50">
        <f>IF(OR($A322="",$J322=""),"",MAX(0,IF(AND(N322&lt;&gt;"",O322&lt;&gt;""),MIN(J322-MAX(R322*ABS(J322),S322),N322),IF(AND(M322&lt;&gt;"",N(L322)&gt;=2),MIN(J322-MAX(R322*ABS(J322),S322),J322-2*M322),J322-MAX(R322*ABS(J322),S322)))))</f>
        <v/>
      </c>
      <c r="U322" s="50">
        <f>IF(OR($A322="",$J322=""),"",IF(AND(N322&lt;&gt;"",O322&lt;&gt;""),MAX(J322+MAX(R322*ABS(J322),S322),O322),IF(AND(M322&lt;&gt;"",N(L322)&gt;=2),MAX(J322+MAX(R322*ABS(J322),S322),J322+2*M322),J322+MAX(R322*ABS(J322),S322))))</f>
        <v/>
      </c>
      <c r="V322" s="51">
        <f>IF(OR($A322="",$J322=""),"",IF(COUNTIFS('6_資料庫比對'!$B$16:$B$25,A322,'6_資料庫比對'!$C$16:$C$25,I322)=0,"",IF(AND(SUMIFS('6_資料庫比對'!$F$16:$F$25,'6_資料庫比對'!$B$16:$B$25,A322,'6_資料庫比對'!$C$16:$C$25,I322)&gt;=T322,SUMIFS('6_資料庫比對'!$F$16:$F$25,'6_資料庫比對'!$B$16:$B$25,A322,'6_資料庫比對'!$C$16:$C$25,I322)&lt;=U322),"✓ 涵蓋","✗ 不涵蓋")))</f>
        <v/>
      </c>
    </row>
    <row r="323">
      <c r="R323" s="48">
        <f>IF(OR($A323="",$J323=""),"",IFERROR(VLOOKUP(I323,'6_資料庫比對'!$A$6:$C$12,2,FALSE),""))</f>
        <v/>
      </c>
      <c r="S323" s="49">
        <f>IF(OR($A323="",$J323=""),"",IFERROR(VLOOKUP(I323,'6_資料庫比對'!$A$6:$C$12,3,FALSE),""))</f>
        <v/>
      </c>
      <c r="T323" s="50">
        <f>IF(OR($A323="",$J323=""),"",MAX(0,IF(AND(N323&lt;&gt;"",O323&lt;&gt;""),MIN(J323-MAX(R323*ABS(J323),S323),N323),IF(AND(M323&lt;&gt;"",N(L323)&gt;=2),MIN(J323-MAX(R323*ABS(J323),S323),J323-2*M323),J323-MAX(R323*ABS(J323),S323)))))</f>
        <v/>
      </c>
      <c r="U323" s="50">
        <f>IF(OR($A323="",$J323=""),"",IF(AND(N323&lt;&gt;"",O323&lt;&gt;""),MAX(J323+MAX(R323*ABS(J323),S323),O323),IF(AND(M323&lt;&gt;"",N(L323)&gt;=2),MAX(J323+MAX(R323*ABS(J323),S323),J323+2*M323),J323+MAX(R323*ABS(J323),S323))))</f>
        <v/>
      </c>
      <c r="V323" s="51">
        <f>IF(OR($A323="",$J323=""),"",IF(COUNTIFS('6_資料庫比對'!$B$16:$B$25,A323,'6_資料庫比對'!$C$16:$C$25,I323)=0,"",IF(AND(SUMIFS('6_資料庫比對'!$F$16:$F$25,'6_資料庫比對'!$B$16:$B$25,A323,'6_資料庫比對'!$C$16:$C$25,I323)&gt;=T323,SUMIFS('6_資料庫比對'!$F$16:$F$25,'6_資料庫比對'!$B$16:$B$25,A323,'6_資料庫比對'!$C$16:$C$25,I323)&lt;=U323),"✓ 涵蓋","✗ 不涵蓋")))</f>
        <v/>
      </c>
    </row>
    <row r="324">
      <c r="R324" s="48">
        <f>IF(OR($A324="",$J324=""),"",IFERROR(VLOOKUP(I324,'6_資料庫比對'!$A$6:$C$12,2,FALSE),""))</f>
        <v/>
      </c>
      <c r="S324" s="49">
        <f>IF(OR($A324="",$J324=""),"",IFERROR(VLOOKUP(I324,'6_資料庫比對'!$A$6:$C$12,3,FALSE),""))</f>
        <v/>
      </c>
      <c r="T324" s="50">
        <f>IF(OR($A324="",$J324=""),"",MAX(0,IF(AND(N324&lt;&gt;"",O324&lt;&gt;""),MIN(J324-MAX(R324*ABS(J324),S324),N324),IF(AND(M324&lt;&gt;"",N(L324)&gt;=2),MIN(J324-MAX(R324*ABS(J324),S324),J324-2*M324),J324-MAX(R324*ABS(J324),S324)))))</f>
        <v/>
      </c>
      <c r="U324" s="50">
        <f>IF(OR($A324="",$J324=""),"",IF(AND(N324&lt;&gt;"",O324&lt;&gt;""),MAX(J324+MAX(R324*ABS(J324),S324),O324),IF(AND(M324&lt;&gt;"",N(L324)&gt;=2),MAX(J324+MAX(R324*ABS(J324),S324),J324+2*M324),J324+MAX(R324*ABS(J324),S324))))</f>
        <v/>
      </c>
      <c r="V324" s="51">
        <f>IF(OR($A324="",$J324=""),"",IF(COUNTIFS('6_資料庫比對'!$B$16:$B$25,A324,'6_資料庫比對'!$C$16:$C$25,I324)=0,"",IF(AND(SUMIFS('6_資料庫比對'!$F$16:$F$25,'6_資料庫比對'!$B$16:$B$25,A324,'6_資料庫比對'!$C$16:$C$25,I324)&gt;=T324,SUMIFS('6_資料庫比對'!$F$16:$F$25,'6_資料庫比對'!$B$16:$B$25,A324,'6_資料庫比對'!$C$16:$C$25,I324)&lt;=U324),"✓ 涵蓋","✗ 不涵蓋")))</f>
        <v/>
      </c>
    </row>
    <row r="325">
      <c r="R325" s="48">
        <f>IF(OR($A325="",$J325=""),"",IFERROR(VLOOKUP(I325,'6_資料庫比對'!$A$6:$C$12,2,FALSE),""))</f>
        <v/>
      </c>
      <c r="S325" s="49">
        <f>IF(OR($A325="",$J325=""),"",IFERROR(VLOOKUP(I325,'6_資料庫比對'!$A$6:$C$12,3,FALSE),""))</f>
        <v/>
      </c>
      <c r="T325" s="50">
        <f>IF(OR($A325="",$J325=""),"",MAX(0,IF(AND(N325&lt;&gt;"",O325&lt;&gt;""),MIN(J325-MAX(R325*ABS(J325),S325),N325),IF(AND(M325&lt;&gt;"",N(L325)&gt;=2),MIN(J325-MAX(R325*ABS(J325),S325),J325-2*M325),J325-MAX(R325*ABS(J325),S325)))))</f>
        <v/>
      </c>
      <c r="U325" s="50">
        <f>IF(OR($A325="",$J325=""),"",IF(AND(N325&lt;&gt;"",O325&lt;&gt;""),MAX(J325+MAX(R325*ABS(J325),S325),O325),IF(AND(M325&lt;&gt;"",N(L325)&gt;=2),MAX(J325+MAX(R325*ABS(J325),S325),J325+2*M325),J325+MAX(R325*ABS(J325),S325))))</f>
        <v/>
      </c>
      <c r="V325" s="51">
        <f>IF(OR($A325="",$J325=""),"",IF(COUNTIFS('6_資料庫比對'!$B$16:$B$25,A325,'6_資料庫比對'!$C$16:$C$25,I325)=0,"",IF(AND(SUMIFS('6_資料庫比對'!$F$16:$F$25,'6_資料庫比對'!$B$16:$B$25,A325,'6_資料庫比對'!$C$16:$C$25,I325)&gt;=T325,SUMIFS('6_資料庫比對'!$F$16:$F$25,'6_資料庫比對'!$B$16:$B$25,A325,'6_資料庫比對'!$C$16:$C$25,I325)&lt;=U325),"✓ 涵蓋","✗ 不涵蓋")))</f>
        <v/>
      </c>
    </row>
    <row r="326">
      <c r="R326" s="48">
        <f>IF(OR($A326="",$J326=""),"",IFERROR(VLOOKUP(I326,'6_資料庫比對'!$A$6:$C$12,2,FALSE),""))</f>
        <v/>
      </c>
      <c r="S326" s="49">
        <f>IF(OR($A326="",$J326=""),"",IFERROR(VLOOKUP(I326,'6_資料庫比對'!$A$6:$C$12,3,FALSE),""))</f>
        <v/>
      </c>
      <c r="T326" s="50">
        <f>IF(OR($A326="",$J326=""),"",MAX(0,IF(AND(N326&lt;&gt;"",O326&lt;&gt;""),MIN(J326-MAX(R326*ABS(J326),S326),N326),IF(AND(M326&lt;&gt;"",N(L326)&gt;=2),MIN(J326-MAX(R326*ABS(J326),S326),J326-2*M326),J326-MAX(R326*ABS(J326),S326)))))</f>
        <v/>
      </c>
      <c r="U326" s="50">
        <f>IF(OR($A326="",$J326=""),"",IF(AND(N326&lt;&gt;"",O326&lt;&gt;""),MAX(J326+MAX(R326*ABS(J326),S326),O326),IF(AND(M326&lt;&gt;"",N(L326)&gt;=2),MAX(J326+MAX(R326*ABS(J326),S326),J326+2*M326),J326+MAX(R326*ABS(J326),S326))))</f>
        <v/>
      </c>
      <c r="V326" s="51">
        <f>IF(OR($A326="",$J326=""),"",IF(COUNTIFS('6_資料庫比對'!$B$16:$B$25,A326,'6_資料庫比對'!$C$16:$C$25,I326)=0,"",IF(AND(SUMIFS('6_資料庫比對'!$F$16:$F$25,'6_資料庫比對'!$B$16:$B$25,A326,'6_資料庫比對'!$C$16:$C$25,I326)&gt;=T326,SUMIFS('6_資料庫比對'!$F$16:$F$25,'6_資料庫比對'!$B$16:$B$25,A326,'6_資料庫比對'!$C$16:$C$25,I326)&lt;=U326),"✓ 涵蓋","✗ 不涵蓋")))</f>
        <v/>
      </c>
    </row>
    <row r="327">
      <c r="R327" s="48">
        <f>IF(OR($A327="",$J327=""),"",IFERROR(VLOOKUP(I327,'6_資料庫比對'!$A$6:$C$12,2,FALSE),""))</f>
        <v/>
      </c>
      <c r="S327" s="49">
        <f>IF(OR($A327="",$J327=""),"",IFERROR(VLOOKUP(I327,'6_資料庫比對'!$A$6:$C$12,3,FALSE),""))</f>
        <v/>
      </c>
      <c r="T327" s="50">
        <f>IF(OR($A327="",$J327=""),"",MAX(0,IF(AND(N327&lt;&gt;"",O327&lt;&gt;""),MIN(J327-MAX(R327*ABS(J327),S327),N327),IF(AND(M327&lt;&gt;"",N(L327)&gt;=2),MIN(J327-MAX(R327*ABS(J327),S327),J327-2*M327),J327-MAX(R327*ABS(J327),S327)))))</f>
        <v/>
      </c>
      <c r="U327" s="50">
        <f>IF(OR($A327="",$J327=""),"",IF(AND(N327&lt;&gt;"",O327&lt;&gt;""),MAX(J327+MAX(R327*ABS(J327),S327),O327),IF(AND(M327&lt;&gt;"",N(L327)&gt;=2),MAX(J327+MAX(R327*ABS(J327),S327),J327+2*M327),J327+MAX(R327*ABS(J327),S327))))</f>
        <v/>
      </c>
      <c r="V327" s="51">
        <f>IF(OR($A327="",$J327=""),"",IF(COUNTIFS('6_資料庫比對'!$B$16:$B$25,A327,'6_資料庫比對'!$C$16:$C$25,I327)=0,"",IF(AND(SUMIFS('6_資料庫比對'!$F$16:$F$25,'6_資料庫比對'!$B$16:$B$25,A327,'6_資料庫比對'!$C$16:$C$25,I327)&gt;=T327,SUMIFS('6_資料庫比對'!$F$16:$F$25,'6_資料庫比對'!$B$16:$B$25,A327,'6_資料庫比對'!$C$16:$C$25,I327)&lt;=U327),"✓ 涵蓋","✗ 不涵蓋")))</f>
        <v/>
      </c>
    </row>
    <row r="328">
      <c r="R328" s="48">
        <f>IF(OR($A328="",$J328=""),"",IFERROR(VLOOKUP(I328,'6_資料庫比對'!$A$6:$C$12,2,FALSE),""))</f>
        <v/>
      </c>
      <c r="S328" s="49">
        <f>IF(OR($A328="",$J328=""),"",IFERROR(VLOOKUP(I328,'6_資料庫比對'!$A$6:$C$12,3,FALSE),""))</f>
        <v/>
      </c>
      <c r="T328" s="50">
        <f>IF(OR($A328="",$J328=""),"",MAX(0,IF(AND(N328&lt;&gt;"",O328&lt;&gt;""),MIN(J328-MAX(R328*ABS(J328),S328),N328),IF(AND(M328&lt;&gt;"",N(L328)&gt;=2),MIN(J328-MAX(R328*ABS(J328),S328),J328-2*M328),J328-MAX(R328*ABS(J328),S328)))))</f>
        <v/>
      </c>
      <c r="U328" s="50">
        <f>IF(OR($A328="",$J328=""),"",IF(AND(N328&lt;&gt;"",O328&lt;&gt;""),MAX(J328+MAX(R328*ABS(J328),S328),O328),IF(AND(M328&lt;&gt;"",N(L328)&gt;=2),MAX(J328+MAX(R328*ABS(J328),S328),J328+2*M328),J328+MAX(R328*ABS(J328),S328))))</f>
        <v/>
      </c>
      <c r="V328" s="51">
        <f>IF(OR($A328="",$J328=""),"",IF(COUNTIFS('6_資料庫比對'!$B$16:$B$25,A328,'6_資料庫比對'!$C$16:$C$25,I328)=0,"",IF(AND(SUMIFS('6_資料庫比對'!$F$16:$F$25,'6_資料庫比對'!$B$16:$B$25,A328,'6_資料庫比對'!$C$16:$C$25,I328)&gt;=T328,SUMIFS('6_資料庫比對'!$F$16:$F$25,'6_資料庫比對'!$B$16:$B$25,A328,'6_資料庫比對'!$C$16:$C$25,I328)&lt;=U328),"✓ 涵蓋","✗ 不涵蓋")))</f>
        <v/>
      </c>
    </row>
    <row r="329">
      <c r="R329" s="48">
        <f>IF(OR($A329="",$J329=""),"",IFERROR(VLOOKUP(I329,'6_資料庫比對'!$A$6:$C$12,2,FALSE),""))</f>
        <v/>
      </c>
      <c r="S329" s="49">
        <f>IF(OR($A329="",$J329=""),"",IFERROR(VLOOKUP(I329,'6_資料庫比對'!$A$6:$C$12,3,FALSE),""))</f>
        <v/>
      </c>
      <c r="T329" s="50">
        <f>IF(OR($A329="",$J329=""),"",MAX(0,IF(AND(N329&lt;&gt;"",O329&lt;&gt;""),MIN(J329-MAX(R329*ABS(J329),S329),N329),IF(AND(M329&lt;&gt;"",N(L329)&gt;=2),MIN(J329-MAX(R329*ABS(J329),S329),J329-2*M329),J329-MAX(R329*ABS(J329),S329)))))</f>
        <v/>
      </c>
      <c r="U329" s="50">
        <f>IF(OR($A329="",$J329=""),"",IF(AND(N329&lt;&gt;"",O329&lt;&gt;""),MAX(J329+MAX(R329*ABS(J329),S329),O329),IF(AND(M329&lt;&gt;"",N(L329)&gt;=2),MAX(J329+MAX(R329*ABS(J329),S329),J329+2*M329),J329+MAX(R329*ABS(J329),S329))))</f>
        <v/>
      </c>
      <c r="V329" s="51">
        <f>IF(OR($A329="",$J329=""),"",IF(COUNTIFS('6_資料庫比對'!$B$16:$B$25,A329,'6_資料庫比對'!$C$16:$C$25,I329)=0,"",IF(AND(SUMIFS('6_資料庫比對'!$F$16:$F$25,'6_資料庫比對'!$B$16:$B$25,A329,'6_資料庫比對'!$C$16:$C$25,I329)&gt;=T329,SUMIFS('6_資料庫比對'!$F$16:$F$25,'6_資料庫比對'!$B$16:$B$25,A329,'6_資料庫比對'!$C$16:$C$25,I329)&lt;=U329),"✓ 涵蓋","✗ 不涵蓋")))</f>
        <v/>
      </c>
    </row>
    <row r="330">
      <c r="R330" s="48">
        <f>IF(OR($A330="",$J330=""),"",IFERROR(VLOOKUP(I330,'6_資料庫比對'!$A$6:$C$12,2,FALSE),""))</f>
        <v/>
      </c>
      <c r="S330" s="49">
        <f>IF(OR($A330="",$J330=""),"",IFERROR(VLOOKUP(I330,'6_資料庫比對'!$A$6:$C$12,3,FALSE),""))</f>
        <v/>
      </c>
      <c r="T330" s="50">
        <f>IF(OR($A330="",$J330=""),"",MAX(0,IF(AND(N330&lt;&gt;"",O330&lt;&gt;""),MIN(J330-MAX(R330*ABS(J330),S330),N330),IF(AND(M330&lt;&gt;"",N(L330)&gt;=2),MIN(J330-MAX(R330*ABS(J330),S330),J330-2*M330),J330-MAX(R330*ABS(J330),S330)))))</f>
        <v/>
      </c>
      <c r="U330" s="50">
        <f>IF(OR($A330="",$J330=""),"",IF(AND(N330&lt;&gt;"",O330&lt;&gt;""),MAX(J330+MAX(R330*ABS(J330),S330),O330),IF(AND(M330&lt;&gt;"",N(L330)&gt;=2),MAX(J330+MAX(R330*ABS(J330),S330),J330+2*M330),J330+MAX(R330*ABS(J330),S330))))</f>
        <v/>
      </c>
      <c r="V330" s="51">
        <f>IF(OR($A330="",$J330=""),"",IF(COUNTIFS('6_資料庫比對'!$B$16:$B$25,A330,'6_資料庫比對'!$C$16:$C$25,I330)=0,"",IF(AND(SUMIFS('6_資料庫比對'!$F$16:$F$25,'6_資料庫比對'!$B$16:$B$25,A330,'6_資料庫比對'!$C$16:$C$25,I330)&gt;=T330,SUMIFS('6_資料庫比對'!$F$16:$F$25,'6_資料庫比對'!$B$16:$B$25,A330,'6_資料庫比對'!$C$16:$C$25,I330)&lt;=U330),"✓ 涵蓋","✗ 不涵蓋")))</f>
        <v/>
      </c>
    </row>
    <row r="331">
      <c r="R331" s="48">
        <f>IF(OR($A331="",$J331=""),"",IFERROR(VLOOKUP(I331,'6_資料庫比對'!$A$6:$C$12,2,FALSE),""))</f>
        <v/>
      </c>
      <c r="S331" s="49">
        <f>IF(OR($A331="",$J331=""),"",IFERROR(VLOOKUP(I331,'6_資料庫比對'!$A$6:$C$12,3,FALSE),""))</f>
        <v/>
      </c>
      <c r="T331" s="50">
        <f>IF(OR($A331="",$J331=""),"",MAX(0,IF(AND(N331&lt;&gt;"",O331&lt;&gt;""),MIN(J331-MAX(R331*ABS(J331),S331),N331),IF(AND(M331&lt;&gt;"",N(L331)&gt;=2),MIN(J331-MAX(R331*ABS(J331),S331),J331-2*M331),J331-MAX(R331*ABS(J331),S331)))))</f>
        <v/>
      </c>
      <c r="U331" s="50">
        <f>IF(OR($A331="",$J331=""),"",IF(AND(N331&lt;&gt;"",O331&lt;&gt;""),MAX(J331+MAX(R331*ABS(J331),S331),O331),IF(AND(M331&lt;&gt;"",N(L331)&gt;=2),MAX(J331+MAX(R331*ABS(J331),S331),J331+2*M331),J331+MAX(R331*ABS(J331),S331))))</f>
        <v/>
      </c>
      <c r="V331" s="51">
        <f>IF(OR($A331="",$J331=""),"",IF(COUNTIFS('6_資料庫比對'!$B$16:$B$25,A331,'6_資料庫比對'!$C$16:$C$25,I331)=0,"",IF(AND(SUMIFS('6_資料庫比對'!$F$16:$F$25,'6_資料庫比對'!$B$16:$B$25,A331,'6_資料庫比對'!$C$16:$C$25,I331)&gt;=T331,SUMIFS('6_資料庫比對'!$F$16:$F$25,'6_資料庫比對'!$B$16:$B$25,A331,'6_資料庫比對'!$C$16:$C$25,I331)&lt;=U331),"✓ 涵蓋","✗ 不涵蓋")))</f>
        <v/>
      </c>
    </row>
    <row r="332">
      <c r="R332" s="48">
        <f>IF(OR($A332="",$J332=""),"",IFERROR(VLOOKUP(I332,'6_資料庫比對'!$A$6:$C$12,2,FALSE),""))</f>
        <v/>
      </c>
      <c r="S332" s="49">
        <f>IF(OR($A332="",$J332=""),"",IFERROR(VLOOKUP(I332,'6_資料庫比對'!$A$6:$C$12,3,FALSE),""))</f>
        <v/>
      </c>
      <c r="T332" s="50">
        <f>IF(OR($A332="",$J332=""),"",MAX(0,IF(AND(N332&lt;&gt;"",O332&lt;&gt;""),MIN(J332-MAX(R332*ABS(J332),S332),N332),IF(AND(M332&lt;&gt;"",N(L332)&gt;=2),MIN(J332-MAX(R332*ABS(J332),S332),J332-2*M332),J332-MAX(R332*ABS(J332),S332)))))</f>
        <v/>
      </c>
      <c r="U332" s="50">
        <f>IF(OR($A332="",$J332=""),"",IF(AND(N332&lt;&gt;"",O332&lt;&gt;""),MAX(J332+MAX(R332*ABS(J332),S332),O332),IF(AND(M332&lt;&gt;"",N(L332)&gt;=2),MAX(J332+MAX(R332*ABS(J332),S332),J332+2*M332),J332+MAX(R332*ABS(J332),S332))))</f>
        <v/>
      </c>
      <c r="V332" s="51">
        <f>IF(OR($A332="",$J332=""),"",IF(COUNTIFS('6_資料庫比對'!$B$16:$B$25,A332,'6_資料庫比對'!$C$16:$C$25,I332)=0,"",IF(AND(SUMIFS('6_資料庫比對'!$F$16:$F$25,'6_資料庫比對'!$B$16:$B$25,A332,'6_資料庫比對'!$C$16:$C$25,I332)&gt;=T332,SUMIFS('6_資料庫比對'!$F$16:$F$25,'6_資料庫比對'!$B$16:$B$25,A332,'6_資料庫比對'!$C$16:$C$25,I332)&lt;=U332),"✓ 涵蓋","✗ 不涵蓋")))</f>
        <v/>
      </c>
    </row>
    <row r="333">
      <c r="R333" s="48">
        <f>IF(OR($A333="",$J333=""),"",IFERROR(VLOOKUP(I333,'6_資料庫比對'!$A$6:$C$12,2,FALSE),""))</f>
        <v/>
      </c>
      <c r="S333" s="49">
        <f>IF(OR($A333="",$J333=""),"",IFERROR(VLOOKUP(I333,'6_資料庫比對'!$A$6:$C$12,3,FALSE),""))</f>
        <v/>
      </c>
      <c r="T333" s="50">
        <f>IF(OR($A333="",$J333=""),"",MAX(0,IF(AND(N333&lt;&gt;"",O333&lt;&gt;""),MIN(J333-MAX(R333*ABS(J333),S333),N333),IF(AND(M333&lt;&gt;"",N(L333)&gt;=2),MIN(J333-MAX(R333*ABS(J333),S333),J333-2*M333),J333-MAX(R333*ABS(J333),S333)))))</f>
        <v/>
      </c>
      <c r="U333" s="50">
        <f>IF(OR($A333="",$J333=""),"",IF(AND(N333&lt;&gt;"",O333&lt;&gt;""),MAX(J333+MAX(R333*ABS(J333),S333),O333),IF(AND(M333&lt;&gt;"",N(L333)&gt;=2),MAX(J333+MAX(R333*ABS(J333),S333),J333+2*M333),J333+MAX(R333*ABS(J333),S333))))</f>
        <v/>
      </c>
      <c r="V333" s="51">
        <f>IF(OR($A333="",$J333=""),"",IF(COUNTIFS('6_資料庫比對'!$B$16:$B$25,A333,'6_資料庫比對'!$C$16:$C$25,I333)=0,"",IF(AND(SUMIFS('6_資料庫比對'!$F$16:$F$25,'6_資料庫比對'!$B$16:$B$25,A333,'6_資料庫比對'!$C$16:$C$25,I333)&gt;=T333,SUMIFS('6_資料庫比對'!$F$16:$F$25,'6_資料庫比對'!$B$16:$B$25,A333,'6_資料庫比對'!$C$16:$C$25,I333)&lt;=U333),"✓ 涵蓋","✗ 不涵蓋")))</f>
        <v/>
      </c>
    </row>
    <row r="334">
      <c r="R334" s="48">
        <f>IF(OR($A334="",$J334=""),"",IFERROR(VLOOKUP(I334,'6_資料庫比對'!$A$6:$C$12,2,FALSE),""))</f>
        <v/>
      </c>
      <c r="S334" s="49">
        <f>IF(OR($A334="",$J334=""),"",IFERROR(VLOOKUP(I334,'6_資料庫比對'!$A$6:$C$12,3,FALSE),""))</f>
        <v/>
      </c>
      <c r="T334" s="50">
        <f>IF(OR($A334="",$J334=""),"",MAX(0,IF(AND(N334&lt;&gt;"",O334&lt;&gt;""),MIN(J334-MAX(R334*ABS(J334),S334),N334),IF(AND(M334&lt;&gt;"",N(L334)&gt;=2),MIN(J334-MAX(R334*ABS(J334),S334),J334-2*M334),J334-MAX(R334*ABS(J334),S334)))))</f>
        <v/>
      </c>
      <c r="U334" s="50">
        <f>IF(OR($A334="",$J334=""),"",IF(AND(N334&lt;&gt;"",O334&lt;&gt;""),MAX(J334+MAX(R334*ABS(J334),S334),O334),IF(AND(M334&lt;&gt;"",N(L334)&gt;=2),MAX(J334+MAX(R334*ABS(J334),S334),J334+2*M334),J334+MAX(R334*ABS(J334),S334))))</f>
        <v/>
      </c>
      <c r="V334" s="51">
        <f>IF(OR($A334="",$J334=""),"",IF(COUNTIFS('6_資料庫比對'!$B$16:$B$25,A334,'6_資料庫比對'!$C$16:$C$25,I334)=0,"",IF(AND(SUMIFS('6_資料庫比對'!$F$16:$F$25,'6_資料庫比對'!$B$16:$B$25,A334,'6_資料庫比對'!$C$16:$C$25,I334)&gt;=T334,SUMIFS('6_資料庫比對'!$F$16:$F$25,'6_資料庫比對'!$B$16:$B$25,A334,'6_資料庫比對'!$C$16:$C$25,I334)&lt;=U334),"✓ 涵蓋","✗ 不涵蓋")))</f>
        <v/>
      </c>
    </row>
    <row r="335">
      <c r="R335" s="48">
        <f>IF(OR($A335="",$J335=""),"",IFERROR(VLOOKUP(I335,'6_資料庫比對'!$A$6:$C$12,2,FALSE),""))</f>
        <v/>
      </c>
      <c r="S335" s="49">
        <f>IF(OR($A335="",$J335=""),"",IFERROR(VLOOKUP(I335,'6_資料庫比對'!$A$6:$C$12,3,FALSE),""))</f>
        <v/>
      </c>
      <c r="T335" s="50">
        <f>IF(OR($A335="",$J335=""),"",MAX(0,IF(AND(N335&lt;&gt;"",O335&lt;&gt;""),MIN(J335-MAX(R335*ABS(J335),S335),N335),IF(AND(M335&lt;&gt;"",N(L335)&gt;=2),MIN(J335-MAX(R335*ABS(J335),S335),J335-2*M335),J335-MAX(R335*ABS(J335),S335)))))</f>
        <v/>
      </c>
      <c r="U335" s="50">
        <f>IF(OR($A335="",$J335=""),"",IF(AND(N335&lt;&gt;"",O335&lt;&gt;""),MAX(J335+MAX(R335*ABS(J335),S335),O335),IF(AND(M335&lt;&gt;"",N(L335)&gt;=2),MAX(J335+MAX(R335*ABS(J335),S335),J335+2*M335),J335+MAX(R335*ABS(J335),S335))))</f>
        <v/>
      </c>
      <c r="V335" s="51">
        <f>IF(OR($A335="",$J335=""),"",IF(COUNTIFS('6_資料庫比對'!$B$16:$B$25,A335,'6_資料庫比對'!$C$16:$C$25,I335)=0,"",IF(AND(SUMIFS('6_資料庫比對'!$F$16:$F$25,'6_資料庫比對'!$B$16:$B$25,A335,'6_資料庫比對'!$C$16:$C$25,I335)&gt;=T335,SUMIFS('6_資料庫比對'!$F$16:$F$25,'6_資料庫比對'!$B$16:$B$25,A335,'6_資料庫比對'!$C$16:$C$25,I335)&lt;=U335),"✓ 涵蓋","✗ 不涵蓋")))</f>
        <v/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B3306A"/>
    <outlinePr summaryBelow="1" summaryRight="1"/>
    <pageSetUpPr fitToPage="1"/>
  </sheetPr>
  <dimension ref="B1:B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>
      <c r="B1" s="1" t="inlineStr">
        <is>
          <t>練習題（寫在黃色格子裡，交報告時一起附上）</t>
        </is>
      </c>
    </row>
    <row r="3" ht="32" customHeight="1">
      <c r="B3" s="52" t="inlineStr">
        <is>
          <t>問題 1：標準添加回收率判斷：某組加標前讀數 305 ppm、加標後讀數 480 ppm、加標量 200 ppm。計算回收率 %，並判斷是否落在 90–110%。若不合格，可能的原因有哪些？</t>
        </is>
      </c>
    </row>
    <row r="4" ht="15" customHeight="1">
      <c r="B4" s="16" t="inlineStr">
        <is>
          <t>提示：到「4_回收率與飄移」的「練習計算區」，把三個黃色格子改成題目的數字。</t>
        </is>
      </c>
    </row>
    <row r="5" ht="60" customHeight="1">
      <c r="B5" s="53" t="inlineStr"/>
    </row>
    <row r="7" ht="32" customHeight="1">
      <c r="B7" s="52" t="inlineStr">
        <is>
          <t>問題 2：NaCl 當量換算：某即食湯依包裝沖泡好後，以去離子水稀釋 1:20，Na⁺ ISE 讀數為 420 ppm。求沖泡好的湯中的 Na 濃度 (g/100 mL) 與 NaCl 當量 (g/100 mL)。</t>
        </is>
      </c>
    </row>
    <row r="8" ht="15" customHeight="1">
      <c r="B8" s="16" t="inlineStr">
        <is>
          <t>提示：到「3_鈉與NaCl」2-2 講義範例，把 C10 改成 420、C11 改成 20。</t>
        </is>
      </c>
    </row>
    <row r="9" ht="60" customHeight="1">
      <c r="B9" s="53" t="inlineStr"/>
    </row>
    <row r="11" ht="32" customHeight="1">
      <c r="B11" s="52" t="inlineStr">
        <is>
          <t>問題 3：灰分能回答什麼：用黑糖 vs 白糖的灰分數據，說明「灰分 % 的差異」能不能證明黑糖含有更多對健康有益的礦物質？灰分這個指標的極限在哪裡？</t>
        </is>
      </c>
    </row>
    <row r="12" ht="15" customHeight="1">
      <c r="B12" s="16" t="inlineStr">
        <is>
          <t>提示：看「2_灰分」1-3 的平均與 RSD，以及長條圖。</t>
        </is>
      </c>
    </row>
    <row r="13" ht="60" customHeight="1">
      <c r="B13" s="53" t="inlineStr"/>
    </row>
    <row r="15" ht="16" customHeight="1">
      <c r="B15" s="52" t="inlineStr">
        <is>
          <t>問題 4：標示 vs 量測的落差：找出「量測值低於標示值」的產品，並討論可能原因（提示：不是每個差異都代表標示造假）。</t>
        </is>
      </c>
    </row>
    <row r="16" ht="15" customHeight="1">
      <c r="B16" s="16" t="inlineStr">
        <is>
          <t>提示：看「5_標示比較」H 欄。也想一想醬油的 mg/100 mL 和 mg/100 g 差在哪裡（J7 的說明）。</t>
        </is>
      </c>
    </row>
    <row r="17" ht="60" customHeight="1">
      <c r="B17" s="53" t="inlineStr"/>
    </row>
    <row r="19" ht="32" customHeight="1">
      <c r="B19" s="52" t="inlineStr">
        <is>
          <t>問題 5：非 NaCl 的鈉來源：如果一款產品標示鈉 400 mg/100 g，但配方中同時含有食鹽、味精 (MSG)、小蘇打 (NaHCO₃)，直接把「鈉 × 2.542」當作「鹽含量」合理嗎？為什麼？</t>
        </is>
      </c>
    </row>
    <row r="20" ht="60" customHeight="1">
      <c r="B20" s="53" t="inlineStr"/>
    </row>
    <row r="22" ht="64" customHeight="1">
      <c r="B22" s="52" t="inlineStr">
        <is>
          <t>問題 6：讀懂資料庫比對的旗標：(1) 「6_資料庫比對」5-4 的 G6、G7、G8 三列，「實測 ÷ 中心」各是多少？旗標認為是哪一種錯誤？(2) 寫出 G6、G7 正確的換算式，把數值改正（醬油 mg/100 mL），填進「G6/G7 改正」那一列的黃色 D 欄，看判定是否變成範圍內。(3) G8 的判定是「範圍內」，為什麼還是被標記？這告訴你「範圍內」的極限是什麼？</t>
        </is>
      </c>
    </row>
    <row r="23" ht="15" customHeight="1">
      <c r="B23" s="16" t="inlineStr">
        <is>
          <t>提示：正確換算在「3_鈉與NaCl」公式說明：讀數 × D ÷ 10。G8 改正值 = 濕基灰分 %（「2_灰分」糙米平均）。</t>
        </is>
      </c>
    </row>
    <row r="24" ht="60" customHeight="1">
      <c r="B24" s="53" t="inlineStr"/>
    </row>
    <row r="26" ht="64" customHeight="1">
      <c r="B26" s="52" t="inlineStr">
        <is>
          <t>問題 7：偏高／偏低一定是量錯嗎？(1) 黑糖灰分與運動飲料的鈉沒有落在資料庫範圍內：看「涵蓋筆數」和「7_參考資料」的 match 欄，這比較像「量測／計算錯誤」、「方法偏差」還是「樣品本來就跟資料庫品項不同」？(2) 運動飲料再跟「5_標示比較」的營養標示比一次，資料庫、標示、實驗值三者的關係是什麼？報告裡你會拿哪一個當參考值？(3) 要確認你的判斷，下一步會做什麼實驗或查證？</t>
        </is>
      </c>
    </row>
    <row r="27" ht="15" customHeight="1">
      <c r="B27" s="16" t="inlineStr">
        <is>
          <t>提示：在「7_參考資料」用「資料 → 篩選」只看 food_key = sports_drink 或 brown_sugar，再看 V 欄。</t>
        </is>
      </c>
    </row>
    <row r="28" ht="60" customHeight="1">
      <c r="B28" s="53" t="inlineStr"/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2026-09-28T03:15:51Z</dcterms:created>
  <dcterms:modified xsi:type="dcterms:W3CDTF">2026-09-28T03:15:51Z</dcterms:modified>
</cp:coreProperties>
</file>