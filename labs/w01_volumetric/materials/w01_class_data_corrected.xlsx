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原始數據" sheetId="2" state="visible" r:id="rId2"/>
    <sheet xmlns:r="http://schemas.openxmlformats.org/officeDocument/2006/relationships" name="參數" sheetId="3" state="visible" r:id="rId3"/>
    <sheet xmlns:r="http://schemas.openxmlformats.org/officeDocument/2006/relationships" name="修正分析" sheetId="4" state="visible" r:id="rId4"/>
    <sheet xmlns:r="http://schemas.openxmlformats.org/officeDocument/2006/relationships" name="森林圖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000"/>
    <numFmt numFmtId="166" formatCode="0.000"/>
  </numFmts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0" fontId="5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E699"/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全班吸管 95% CI 森林圖(點=平均,橫線=95% CI,虛線=標稱值)</a:t>
            </a:r>
          </a:p>
        </rich>
      </tx>
    </title>
    <plotArea>
      <scatterChart>
        <ser>
          <idx val="0"/>
          <order val="0"/>
          <tx>
            <v>平均 ± 95% CI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errBars>
            <errDir val="x"/>
            <errBarType val="both"/>
            <errValType val="cust"/>
            <minus>
              <numRef>
                <f>'森林圖'!$D$2:$D$16</f>
              </numRef>
            </minus>
            <plus>
              <numRef>
                <f>'森林圖'!$D$2:$D$16</f>
              </numRef>
            </plus>
          </errBars>
          <xVal>
            <numRef>
              <f>'森林圖'!$C$2:$C$16</f>
            </numRef>
          </xVal>
          <yVal>
            <numRef>
              <f>'森林圖'!$E$2:$E$16</f>
            </numRef>
          </yVal>
        </ser>
        <ser>
          <idx val="1"/>
          <order val="1"/>
          <tx>
            <v>標稱值</v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'森林圖'!$F$2:$F$3</f>
            </numRef>
          </xVal>
          <yVal>
            <numRef>
              <f>'森林圖'!$G$2:$G$3</f>
            </numRef>
          </yVal>
        </ser>
        <axId val="10"/>
        <axId val="20"/>
      </scatterChart>
      <valAx>
        <axId val="10"/>
        <scaling>
          <orientation val="minMax"/>
          <max val="0.22"/>
          <min val="0.1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體積 (mL)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5.5"/>
          <min val="0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編號(由上而下)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27</row>
      <rowOff>0</rowOff>
    </from>
    <ext cx="6858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W01 吸管校正 — 修正版數據分析(2026-09-29)</t>
        </is>
      </c>
    </row>
    <row r="2">
      <c r="A2" s="2" t="inlineStr"/>
    </row>
    <row r="3">
      <c r="A3" s="2" t="inlineStr">
        <is>
          <t>修正學生原試算表的三個錯誤,並提供 n=10 的平均、SD、RSD%、95% CI 與全班森林圖。</t>
        </is>
      </c>
    </row>
    <row r="4">
      <c r="A4" s="2" t="inlineStr"/>
    </row>
    <row r="5">
      <c r="A5" s="3" t="inlineStr">
        <is>
          <t>原表錯誤(教學用「找錯題」):</t>
        </is>
      </c>
    </row>
    <row r="6">
      <c r="A6" s="2" t="inlineStr">
        <is>
          <t>1. 平均/SD 公式範圍只取 P:W(8 筆),漏掉 X、Y 兩筆(應為 P:Y 共 10 筆)。</t>
        </is>
      </c>
    </row>
    <row r="7">
      <c r="A7" s="2" t="inlineStr">
        <is>
          <t>2. 「95% CI」欄位公式是 =平均/0.9956(平均質量÷水密度),其實是體積換算,與信賴區間無關,且漏了浮力校正。正確 CI:平均 ± t(0.975, n-1) × SD/√n。</t>
        </is>
      </c>
    </row>
    <row r="8">
      <c r="A8" s="2" t="inlineStr">
        <is>
          <t>3. 部分數據有過失誤差(如 S11 第 7、8 筆 0.2487/0.1353 互相抵消,累計值看似正常)。</t>
        </is>
      </c>
    </row>
    <row r="9">
      <c r="A9" s="2" t="inlineStr"/>
    </row>
    <row r="10">
      <c r="A10" s="3" t="inlineStr">
        <is>
          <t>工作表:</t>
        </is>
      </c>
    </row>
    <row r="11">
      <c r="A11" s="2" t="inlineStr">
        <is>
          <t>「原始數據」:學生原始輸入(僅複製,未改動)。</t>
        </is>
      </c>
    </row>
    <row r="12">
      <c r="A12" s="2" t="inlineStr">
        <is>
          <t>「參數」:標稱體積、水溫(→Tanaka 水密度)、浮力係數 Fb、公差 — 黃色格可改,其他表連動。</t>
        </is>
      </c>
    </row>
    <row r="13">
      <c r="A13" s="2" t="inlineStr">
        <is>
          <t>「修正分析」:所有欄位皆為公式(點格子可查看)。</t>
        </is>
      </c>
    </row>
    <row r="14">
      <c r="A14" s="2" t="inlineStr">
        <is>
          <t>「森林圖」:全班平均 ± 95% CI(Excel 原生圖 + 含學生代號的圖片版),虛線為標稱值。</t>
        </is>
      </c>
    </row>
    <row r="15">
      <c r="A15" s="2" t="inlineStr"/>
    </row>
    <row r="16">
      <c r="A16" s="2" t="inlineStr">
        <is>
          <t>單次值為水的質量(g);體積 V = m × Fb / ρw。水溫預設 32 °C(與 Gemini dashboard 一致),</t>
        </is>
      </c>
    </row>
    <row r="17">
      <c r="A17" s="2" t="inlineStr">
        <is>
          <t>ρw 由 Tanaka 方程式算出。公差請依器具規格填入,空白則不判定合格。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4" t="inlineStr">
        <is>
          <t>組別</t>
        </is>
      </c>
      <c r="B1" s="4" t="inlineStr">
        <is>
          <t>學生</t>
        </is>
      </c>
      <c r="C1" s="4" t="inlineStr">
        <is>
          <t>器具</t>
        </is>
      </c>
      <c r="D1" s="4" t="inlineStr">
        <is>
          <t>標稱值 (mL)</t>
        </is>
      </c>
      <c r="E1" s="4" t="inlineStr">
        <is>
          <t>公差 (mL)</t>
        </is>
      </c>
      <c r="F1" s="4" t="inlineStr">
        <is>
          <t>累計1</t>
        </is>
      </c>
      <c r="G1" s="4" t="inlineStr">
        <is>
          <t>累計2</t>
        </is>
      </c>
      <c r="H1" s="4" t="inlineStr">
        <is>
          <t>累計3</t>
        </is>
      </c>
      <c r="I1" s="4" t="inlineStr">
        <is>
          <t>累計4</t>
        </is>
      </c>
      <c r="J1" s="4" t="inlineStr">
        <is>
          <t>累計5</t>
        </is>
      </c>
      <c r="K1" s="4" t="inlineStr">
        <is>
          <t>累計6</t>
        </is>
      </c>
      <c r="L1" s="4" t="inlineStr">
        <is>
          <t>累計7</t>
        </is>
      </c>
      <c r="M1" s="4" t="inlineStr">
        <is>
          <t>累計8</t>
        </is>
      </c>
      <c r="N1" s="4" t="inlineStr">
        <is>
          <t>累計9</t>
        </is>
      </c>
      <c r="O1" s="4" t="inlineStr">
        <is>
          <t>累計10</t>
        </is>
      </c>
      <c r="P1" s="4" t="inlineStr">
        <is>
          <t>單次1</t>
        </is>
      </c>
      <c r="Q1" s="4" t="inlineStr">
        <is>
          <t>單次2</t>
        </is>
      </c>
      <c r="R1" s="4" t="inlineStr">
        <is>
          <t>單次3</t>
        </is>
      </c>
      <c r="S1" s="4" t="inlineStr">
        <is>
          <t>單次4</t>
        </is>
      </c>
      <c r="T1" s="4" t="inlineStr">
        <is>
          <t>單次5</t>
        </is>
      </c>
      <c r="U1" s="4" t="inlineStr">
        <is>
          <t>單次6</t>
        </is>
      </c>
      <c r="V1" s="4" t="inlineStr">
        <is>
          <t>單次7</t>
        </is>
      </c>
      <c r="W1" s="4" t="inlineStr">
        <is>
          <t>單次8</t>
        </is>
      </c>
      <c r="X1" s="4" t="inlineStr">
        <is>
          <t>單次9</t>
        </is>
      </c>
      <c r="Y1" s="4" t="inlineStr">
        <is>
          <t>單次10</t>
        </is>
      </c>
    </row>
    <row r="2">
      <c r="A2" t="n">
        <v>1</v>
      </c>
      <c r="B2" t="inlineStr">
        <is>
          <t>S01</t>
        </is>
      </c>
      <c r="C2" t="inlineStr">
        <is>
          <t>pipette_0.2mL</t>
        </is>
      </c>
      <c r="F2" t="n">
        <v>0.1927</v>
      </c>
      <c r="G2" t="n">
        <v>0.3845</v>
      </c>
      <c r="H2" t="n">
        <v>0.5762</v>
      </c>
      <c r="I2" t="n">
        <v>0.7685999999999999</v>
      </c>
      <c r="J2" t="n">
        <v>0.9608</v>
      </c>
      <c r="K2" t="n">
        <v>1.1522</v>
      </c>
      <c r="L2" t="n">
        <v>1.3436</v>
      </c>
      <c r="M2" t="n">
        <v>1.5353</v>
      </c>
      <c r="N2" t="n">
        <v>1.7273</v>
      </c>
      <c r="O2" t="n">
        <v>1.9192</v>
      </c>
      <c r="P2" t="n">
        <v>0.1927</v>
      </c>
      <c r="Q2" t="n">
        <v>0.1918</v>
      </c>
      <c r="R2" t="n">
        <v>0.1917</v>
      </c>
      <c r="S2" t="n">
        <v>0.1923999999999999</v>
      </c>
      <c r="T2" t="n">
        <v>0.1922</v>
      </c>
      <c r="U2" t="n">
        <v>0.1913999999999999</v>
      </c>
      <c r="V2" t="n">
        <v>0.1914</v>
      </c>
      <c r="W2" t="n">
        <v>0.1917000000000002</v>
      </c>
      <c r="X2" t="n">
        <v>0.1919999999999999</v>
      </c>
      <c r="Y2" t="n">
        <v>0.1919</v>
      </c>
    </row>
    <row r="3">
      <c r="A3" t="n">
        <v>1</v>
      </c>
      <c r="B3" t="inlineStr">
        <is>
          <t>S02</t>
        </is>
      </c>
      <c r="C3" t="inlineStr">
        <is>
          <t>pipette_0.2mL</t>
        </is>
      </c>
      <c r="F3" t="n">
        <v>0.1972</v>
      </c>
      <c r="G3" t="n">
        <v>0.3966</v>
      </c>
      <c r="H3" t="n">
        <v>0.5856</v>
      </c>
      <c r="I3" t="n">
        <v>0.7748</v>
      </c>
      <c r="J3" t="n">
        <v>0.975</v>
      </c>
      <c r="K3" t="n">
        <v>1.1644</v>
      </c>
      <c r="L3" t="n">
        <v>1.3545</v>
      </c>
      <c r="M3" t="n">
        <v>1.5443</v>
      </c>
      <c r="N3" t="n">
        <v>1.7437</v>
      </c>
      <c r="O3" t="n">
        <v>1.94</v>
      </c>
      <c r="P3" t="n">
        <v>0.1972</v>
      </c>
      <c r="Q3" t="n">
        <v>0.1994</v>
      </c>
      <c r="R3" t="n">
        <v>0.189</v>
      </c>
      <c r="S3" t="n">
        <v>0.1892</v>
      </c>
      <c r="T3" t="n">
        <v>0.2001999999999999</v>
      </c>
      <c r="U3" t="n">
        <v>0.1894000000000001</v>
      </c>
      <c r="V3" t="n">
        <v>0.1900999999999999</v>
      </c>
      <c r="W3" t="n">
        <v>0.1898</v>
      </c>
      <c r="X3" t="n">
        <v>0.1994</v>
      </c>
      <c r="Y3" t="n">
        <v>0.1962999999999999</v>
      </c>
    </row>
    <row r="4">
      <c r="A4" t="n">
        <v>1</v>
      </c>
      <c r="B4" t="inlineStr">
        <is>
          <t>S03</t>
        </is>
      </c>
      <c r="C4" t="inlineStr">
        <is>
          <t>pipette_0.2mL</t>
        </is>
      </c>
      <c r="F4" t="n">
        <v>0.1932</v>
      </c>
      <c r="G4" t="n">
        <v>0.3837</v>
      </c>
      <c r="H4" t="n">
        <v>0.5732</v>
      </c>
      <c r="I4" t="n">
        <v>0.7616000000000001</v>
      </c>
      <c r="J4" t="n">
        <v>0.9565</v>
      </c>
      <c r="K4" t="n">
        <v>1.1507</v>
      </c>
      <c r="L4" t="n">
        <v>1.3366</v>
      </c>
      <c r="M4" t="n">
        <v>1.5249</v>
      </c>
      <c r="N4" t="n">
        <v>1.7125</v>
      </c>
      <c r="O4" t="n">
        <v>1.9062</v>
      </c>
      <c r="P4" t="n">
        <v>0.1932</v>
      </c>
      <c r="Q4" t="n">
        <v>0.1905</v>
      </c>
      <c r="R4" t="n">
        <v>0.1895000000000001</v>
      </c>
      <c r="S4" t="n">
        <v>0.1884</v>
      </c>
      <c r="T4" t="n">
        <v>0.1949</v>
      </c>
      <c r="U4" t="n">
        <v>0.1942</v>
      </c>
      <c r="V4" t="n">
        <v>0.1859</v>
      </c>
      <c r="W4" t="n">
        <v>0.1882999999999999</v>
      </c>
      <c r="X4" t="n">
        <v>0.1876</v>
      </c>
      <c r="Y4" t="n">
        <v>0.1937</v>
      </c>
    </row>
    <row r="5">
      <c r="A5" t="n">
        <v>2</v>
      </c>
      <c r="B5" t="inlineStr">
        <is>
          <t>S04</t>
        </is>
      </c>
      <c r="C5" t="inlineStr">
        <is>
          <t>pipette_0.2mL</t>
        </is>
      </c>
      <c r="F5" t="n">
        <v>0.1903</v>
      </c>
      <c r="G5" t="n">
        <v>0.3796</v>
      </c>
      <c r="H5" t="n">
        <v>0.5677</v>
      </c>
      <c r="I5" t="n">
        <v>0.7574</v>
      </c>
      <c r="J5" t="n">
        <v>0.9462</v>
      </c>
      <c r="K5" t="n">
        <v>1.1333</v>
      </c>
      <c r="L5" t="n">
        <v>1.3189</v>
      </c>
      <c r="M5" t="n">
        <v>1.5147</v>
      </c>
      <c r="N5" t="n">
        <v>1.7036</v>
      </c>
      <c r="O5" t="n">
        <v>1.8989</v>
      </c>
      <c r="P5" t="n">
        <v>0.1903</v>
      </c>
      <c r="Q5" t="n">
        <v>0.1893</v>
      </c>
      <c r="R5" t="n">
        <v>0.1881</v>
      </c>
      <c r="S5" t="n">
        <v>0.1897</v>
      </c>
      <c r="T5" t="n">
        <v>0.1888000000000001</v>
      </c>
      <c r="U5" t="n">
        <v>0.1870999999999999</v>
      </c>
      <c r="V5" t="n">
        <v>0.1856</v>
      </c>
      <c r="W5" t="n">
        <v>0.1958</v>
      </c>
      <c r="X5" t="n">
        <v>0.1889000000000001</v>
      </c>
      <c r="Y5" t="n">
        <v>0.1953</v>
      </c>
    </row>
    <row r="6">
      <c r="A6" t="n">
        <v>2</v>
      </c>
      <c r="B6" t="inlineStr">
        <is>
          <t>S05</t>
        </is>
      </c>
      <c r="C6" t="inlineStr">
        <is>
          <t>pipette_0.2mL</t>
        </is>
      </c>
      <c r="F6" t="n">
        <v>0.1892</v>
      </c>
      <c r="G6" t="n">
        <v>0.3783</v>
      </c>
      <c r="H6" t="n">
        <v>0.556</v>
      </c>
      <c r="I6" t="n">
        <v>0.7296</v>
      </c>
      <c r="J6" t="n">
        <v>0.9183</v>
      </c>
      <c r="K6" t="n">
        <v>1.1068</v>
      </c>
      <c r="L6" t="n">
        <v>1.2961</v>
      </c>
      <c r="M6" t="n">
        <v>1.4851</v>
      </c>
      <c r="N6" t="n">
        <v>1.6743</v>
      </c>
      <c r="O6" t="n">
        <v>1.8628</v>
      </c>
      <c r="P6" t="n">
        <v>0.1892</v>
      </c>
      <c r="Q6" t="n">
        <v>0.1891</v>
      </c>
      <c r="R6" t="n">
        <v>0.1777</v>
      </c>
      <c r="S6" t="n">
        <v>0.1736</v>
      </c>
      <c r="T6" t="n">
        <v>0.1887</v>
      </c>
      <c r="U6" t="n">
        <v>0.1885</v>
      </c>
      <c r="V6" t="n">
        <v>0.1893</v>
      </c>
      <c r="W6" t="n">
        <v>0.1890000000000001</v>
      </c>
      <c r="X6" t="n">
        <v>0.1891999999999998</v>
      </c>
      <c r="Y6" t="n">
        <v>0.1885000000000001</v>
      </c>
    </row>
    <row r="7">
      <c r="A7" t="n">
        <v>2</v>
      </c>
      <c r="B7" t="inlineStr">
        <is>
          <t>S06</t>
        </is>
      </c>
      <c r="C7" t="inlineStr">
        <is>
          <t>pipette_0.2mL</t>
        </is>
      </c>
      <c r="F7" t="n">
        <v>0.1895</v>
      </c>
      <c r="G7" t="n">
        <v>0.379</v>
      </c>
      <c r="H7" t="n">
        <v>0.5682</v>
      </c>
      <c r="I7" t="n">
        <v>0.7582</v>
      </c>
      <c r="J7" t="n">
        <v>0.9478</v>
      </c>
      <c r="K7" t="n">
        <v>1.1376</v>
      </c>
      <c r="L7" t="n">
        <v>1.328</v>
      </c>
      <c r="M7" t="n">
        <v>1.5188</v>
      </c>
      <c r="N7" t="n">
        <v>1.7082</v>
      </c>
      <c r="O7" t="n">
        <v>1.898</v>
      </c>
      <c r="P7" t="n">
        <v>0.1895</v>
      </c>
      <c r="Q7" t="n">
        <v>0.1895</v>
      </c>
      <c r="R7" t="n">
        <v>0.1892</v>
      </c>
      <c r="S7" t="n">
        <v>0.1899999999999999</v>
      </c>
      <c r="T7" t="n">
        <v>0.1896</v>
      </c>
      <c r="U7" t="n">
        <v>0.1898</v>
      </c>
      <c r="V7" t="n">
        <v>0.1904000000000001</v>
      </c>
      <c r="W7" t="n">
        <v>0.1907999999999999</v>
      </c>
      <c r="X7" t="n">
        <v>0.1894</v>
      </c>
      <c r="Y7" t="n">
        <v>0.1898</v>
      </c>
    </row>
    <row r="8">
      <c r="A8" t="n">
        <v>3</v>
      </c>
      <c r="B8" t="inlineStr">
        <is>
          <t>S07</t>
        </is>
      </c>
      <c r="C8" t="inlineStr">
        <is>
          <t>pipette_0.2mL</t>
        </is>
      </c>
      <c r="F8" t="n">
        <v>0.1899</v>
      </c>
      <c r="G8" t="n">
        <v>0.385</v>
      </c>
      <c r="H8" t="n">
        <v>0.575</v>
      </c>
      <c r="I8" t="n">
        <v>0.7643</v>
      </c>
      <c r="J8" t="n">
        <v>0.9542</v>
      </c>
      <c r="K8" t="n">
        <v>1.1451</v>
      </c>
      <c r="L8" t="n">
        <v>1.3512</v>
      </c>
      <c r="M8" t="n">
        <v>1.5402</v>
      </c>
      <c r="N8" t="n">
        <v>1.7292</v>
      </c>
      <c r="O8" t="n">
        <v>1.9231</v>
      </c>
      <c r="P8" t="n">
        <v>0.1899</v>
      </c>
      <c r="Q8" t="n">
        <v>0.1951</v>
      </c>
      <c r="R8" t="n">
        <v>0.1899999999999999</v>
      </c>
      <c r="S8" t="n">
        <v>0.1893</v>
      </c>
      <c r="T8" t="n">
        <v>0.1899000000000001</v>
      </c>
      <c r="U8" t="n">
        <v>0.1909</v>
      </c>
      <c r="V8" t="n">
        <v>0.2060999999999999</v>
      </c>
      <c r="W8" t="n">
        <v>0.1890000000000001</v>
      </c>
      <c r="X8" t="n">
        <v>0.1890000000000001</v>
      </c>
      <c r="Y8" t="n">
        <v>0.1939</v>
      </c>
    </row>
    <row r="9">
      <c r="A9" t="n">
        <v>3</v>
      </c>
      <c r="B9" t="inlineStr">
        <is>
          <t>S08</t>
        </is>
      </c>
      <c r="C9" t="inlineStr">
        <is>
          <t>pipette_0.2mL</t>
        </is>
      </c>
      <c r="F9" t="n">
        <v>0.211</v>
      </c>
      <c r="G9" t="n">
        <v>0.3949</v>
      </c>
      <c r="H9" t="n">
        <v>0.5847</v>
      </c>
      <c r="I9" t="n">
        <v>0.7715</v>
      </c>
      <c r="J9" t="n">
        <v>0.9745</v>
      </c>
      <c r="K9" t="n">
        <v>1.1644</v>
      </c>
      <c r="L9" t="n">
        <v>1.3587</v>
      </c>
      <c r="M9" t="n">
        <v>1.5492</v>
      </c>
      <c r="N9" t="n">
        <v>1.7045</v>
      </c>
      <c r="O9" t="n">
        <v>1.893</v>
      </c>
      <c r="P9" t="n">
        <v>0.211</v>
      </c>
      <c r="Q9" t="n">
        <v>0.1839</v>
      </c>
      <c r="R9" t="n">
        <v>0.1898</v>
      </c>
      <c r="S9" t="n">
        <v>0.1868</v>
      </c>
      <c r="T9" t="n">
        <v>0.2030000000000001</v>
      </c>
      <c r="U9" t="n">
        <v>0.1899000000000001</v>
      </c>
      <c r="V9" t="n">
        <v>0.1942999999999999</v>
      </c>
      <c r="W9" t="n">
        <v>0.1904999999999999</v>
      </c>
      <c r="X9" t="n">
        <v>0.1553</v>
      </c>
      <c r="Y9" t="n">
        <v>0.1885000000000001</v>
      </c>
    </row>
    <row r="10">
      <c r="A10" t="n">
        <v>3</v>
      </c>
      <c r="B10" t="inlineStr">
        <is>
          <t>S09</t>
        </is>
      </c>
      <c r="C10" t="inlineStr">
        <is>
          <t>pipette_0.2mL</t>
        </is>
      </c>
      <c r="F10" t="n">
        <v>0.1927</v>
      </c>
      <c r="G10" t="n">
        <v>0.3848</v>
      </c>
      <c r="H10" t="n">
        <v>0.5749</v>
      </c>
      <c r="I10" t="n">
        <v>0.765</v>
      </c>
      <c r="J10" t="n">
        <v>0.9545</v>
      </c>
      <c r="K10" t="n">
        <v>1.1453</v>
      </c>
      <c r="L10" t="n">
        <v>1.3346</v>
      </c>
      <c r="M10" t="n">
        <v>1.5181</v>
      </c>
      <c r="N10" t="n">
        <v>1.7077</v>
      </c>
      <c r="O10" t="n">
        <v>1.9</v>
      </c>
      <c r="P10" t="n">
        <v>0.1927</v>
      </c>
      <c r="Q10" t="n">
        <v>0.1921</v>
      </c>
      <c r="R10" t="n">
        <v>0.1901</v>
      </c>
      <c r="S10" t="n">
        <v>0.1901</v>
      </c>
      <c r="T10" t="n">
        <v>0.1895</v>
      </c>
      <c r="U10" t="n">
        <v>0.1908</v>
      </c>
      <c r="V10" t="n">
        <v>0.1893</v>
      </c>
      <c r="W10" t="n">
        <v>0.1835</v>
      </c>
      <c r="X10" t="n">
        <v>0.1896</v>
      </c>
      <c r="Y10" t="n">
        <v>0.1922999999999999</v>
      </c>
    </row>
    <row r="11">
      <c r="A11" t="n">
        <v>4</v>
      </c>
      <c r="B11" t="inlineStr">
        <is>
          <t>S10</t>
        </is>
      </c>
      <c r="C11" t="inlineStr">
        <is>
          <t>pipette_0.2mL</t>
        </is>
      </c>
      <c r="F11" t="n">
        <v>0.1875</v>
      </c>
      <c r="G11" t="n">
        <v>0.3752</v>
      </c>
      <c r="H11" t="n">
        <v>0.5749</v>
      </c>
      <c r="I11" t="n">
        <v>0.7671</v>
      </c>
      <c r="J11" t="n">
        <v>0.9579</v>
      </c>
      <c r="K11" t="n">
        <v>1.1471</v>
      </c>
      <c r="L11" t="n">
        <v>1.3449</v>
      </c>
      <c r="M11" t="n">
        <v>1.5355</v>
      </c>
      <c r="N11" t="n">
        <v>1.7159</v>
      </c>
      <c r="O11" t="n">
        <v>1.9026</v>
      </c>
      <c r="P11" t="n">
        <v>0.1875</v>
      </c>
      <c r="Q11" t="n">
        <v>0.1877</v>
      </c>
      <c r="R11" t="n">
        <v>0.1997</v>
      </c>
      <c r="S11" t="n">
        <v>0.1922</v>
      </c>
      <c r="T11" t="n">
        <v>0.1908</v>
      </c>
      <c r="U11" t="n">
        <v>0.1892</v>
      </c>
      <c r="V11" t="n">
        <v>0.1978</v>
      </c>
      <c r="W11" t="n">
        <v>0.1906000000000001</v>
      </c>
      <c r="X11" t="n">
        <v>0.1803999999999999</v>
      </c>
      <c r="Y11" t="n">
        <v>0.1867000000000001</v>
      </c>
    </row>
    <row r="12">
      <c r="A12" t="n">
        <v>4</v>
      </c>
      <c r="B12" t="inlineStr">
        <is>
          <t>S11</t>
        </is>
      </c>
      <c r="C12" t="inlineStr">
        <is>
          <t>pipette_0.2mL</t>
        </is>
      </c>
      <c r="F12" t="n">
        <v>0.1843</v>
      </c>
      <c r="G12" t="n">
        <v>0.3725</v>
      </c>
      <c r="H12" t="n">
        <v>0.5612</v>
      </c>
      <c r="I12" t="n">
        <v>0.7498</v>
      </c>
      <c r="J12" t="n">
        <v>0.9389</v>
      </c>
      <c r="K12" t="n">
        <v>1.1302</v>
      </c>
      <c r="L12" t="n">
        <v>1.3789</v>
      </c>
      <c r="M12" t="n">
        <v>1.5142</v>
      </c>
      <c r="N12" t="n">
        <v>1.7062</v>
      </c>
      <c r="O12" t="n">
        <v>1.8826</v>
      </c>
      <c r="P12" t="n">
        <v>0.1843</v>
      </c>
      <c r="Q12" t="n">
        <v>0.1882</v>
      </c>
      <c r="R12" t="n">
        <v>0.1887</v>
      </c>
      <c r="S12" t="n">
        <v>0.1886</v>
      </c>
      <c r="T12" t="n">
        <v>0.1890999999999999</v>
      </c>
      <c r="U12" t="n">
        <v>0.1913000000000001</v>
      </c>
      <c r="V12" t="n">
        <v>0.2486999999999999</v>
      </c>
      <c r="W12" t="n">
        <v>0.1353</v>
      </c>
      <c r="X12" t="n">
        <v>0.1919999999999999</v>
      </c>
      <c r="Y12" t="n">
        <v>0.1764000000000001</v>
      </c>
    </row>
    <row r="13">
      <c r="A13" t="n">
        <v>4</v>
      </c>
      <c r="B13" t="inlineStr">
        <is>
          <t>S12</t>
        </is>
      </c>
      <c r="C13" t="inlineStr">
        <is>
          <t>pipette_0.2mL</t>
        </is>
      </c>
      <c r="F13" t="n">
        <v>0.1894</v>
      </c>
      <c r="G13" t="n">
        <v>0.3736</v>
      </c>
      <c r="H13" t="n">
        <v>0.5625</v>
      </c>
      <c r="I13" t="n">
        <v>0.7511</v>
      </c>
      <c r="J13" t="n">
        <v>0.9403</v>
      </c>
      <c r="K13" t="n">
        <v>1.1406</v>
      </c>
      <c r="L13" t="n">
        <v>1.3318</v>
      </c>
      <c r="M13" t="n">
        <v>1.5219</v>
      </c>
      <c r="N13" t="n">
        <v>1.7125</v>
      </c>
      <c r="O13" t="n">
        <v>1.8934</v>
      </c>
      <c r="P13" t="n">
        <v>0.1894</v>
      </c>
      <c r="Q13" t="n">
        <v>0.1842</v>
      </c>
      <c r="R13" t="n">
        <v>0.1889</v>
      </c>
      <c r="S13" t="n">
        <v>0.1886</v>
      </c>
      <c r="T13" t="n">
        <v>0.1892</v>
      </c>
      <c r="U13" t="n">
        <v>0.2003</v>
      </c>
      <c r="V13" t="n">
        <v>0.1912</v>
      </c>
      <c r="W13" t="n">
        <v>0.1900999999999999</v>
      </c>
      <c r="X13" t="n">
        <v>0.1905999999999999</v>
      </c>
      <c r="Y13" t="n">
        <v>0.1809000000000001</v>
      </c>
    </row>
    <row r="14">
      <c r="A14" t="n">
        <v>5</v>
      </c>
      <c r="B14" t="inlineStr">
        <is>
          <t>S13</t>
        </is>
      </c>
      <c r="C14" t="inlineStr">
        <is>
          <t>pipette_0.2mL</t>
        </is>
      </c>
      <c r="F14" t="n">
        <v>0.1884</v>
      </c>
      <c r="G14" t="n">
        <v>0.3771</v>
      </c>
      <c r="H14" t="n">
        <v>0.5654</v>
      </c>
      <c r="I14" t="n">
        <v>0.7538</v>
      </c>
      <c r="J14" t="n">
        <v>0.9442</v>
      </c>
      <c r="K14" t="n">
        <v>1.1339</v>
      </c>
      <c r="L14" t="n">
        <v>1.322</v>
      </c>
      <c r="M14" t="n">
        <v>1.5159</v>
      </c>
      <c r="N14" t="n">
        <v>1.7048</v>
      </c>
      <c r="O14" t="n">
        <v>1.8952</v>
      </c>
      <c r="P14" t="n">
        <v>0.1884</v>
      </c>
      <c r="Q14" t="n">
        <v>0.1887</v>
      </c>
      <c r="R14" t="n">
        <v>0.1883</v>
      </c>
      <c r="S14" t="n">
        <v>0.1884</v>
      </c>
      <c r="T14" t="n">
        <v>0.1904</v>
      </c>
      <c r="U14" t="n">
        <v>0.1896999999999999</v>
      </c>
      <c r="V14" t="n">
        <v>0.1881000000000002</v>
      </c>
      <c r="W14" t="n">
        <v>0.1939</v>
      </c>
      <c r="X14" t="n">
        <v>0.1889000000000001</v>
      </c>
      <c r="Y14" t="n">
        <v>0.1903999999999999</v>
      </c>
    </row>
    <row r="15">
      <c r="A15" t="n">
        <v>5</v>
      </c>
      <c r="B15" t="inlineStr">
        <is>
          <t>S14</t>
        </is>
      </c>
      <c r="C15" t="inlineStr">
        <is>
          <t>pipette_0.2mL</t>
        </is>
      </c>
      <c r="F15" t="n">
        <v>0.1891</v>
      </c>
      <c r="G15" t="n">
        <v>0.3787</v>
      </c>
      <c r="H15" t="n">
        <v>0.5674</v>
      </c>
      <c r="I15" t="n">
        <v>0.7558</v>
      </c>
      <c r="J15" t="n">
        <v>0.9438</v>
      </c>
      <c r="K15" t="n">
        <v>1.1326</v>
      </c>
      <c r="L15" t="n">
        <v>1.3213</v>
      </c>
      <c r="M15" t="n">
        <v>1.5105</v>
      </c>
      <c r="N15" t="n">
        <v>1.6996</v>
      </c>
      <c r="O15" t="n">
        <v>1.8966</v>
      </c>
      <c r="P15" t="n">
        <v>0.1891</v>
      </c>
      <c r="Q15" t="n">
        <v>0.1896</v>
      </c>
      <c r="R15" t="n">
        <v>0.1887</v>
      </c>
      <c r="S15" t="n">
        <v>0.1884</v>
      </c>
      <c r="T15" t="n">
        <v>0.1879999999999999</v>
      </c>
      <c r="U15" t="n">
        <v>0.1888000000000001</v>
      </c>
      <c r="V15" t="n">
        <v>0.1886999999999999</v>
      </c>
      <c r="W15" t="n">
        <v>0.1892</v>
      </c>
      <c r="X15" t="n">
        <v>0.1891</v>
      </c>
      <c r="Y15" t="n">
        <v>0.1970000000000001</v>
      </c>
    </row>
    <row r="16">
      <c r="A16" t="n">
        <v>5</v>
      </c>
      <c r="B16" t="inlineStr">
        <is>
          <t>S15</t>
        </is>
      </c>
      <c r="C16" t="inlineStr">
        <is>
          <t>pipette_0.2mL</t>
        </is>
      </c>
      <c r="F16" t="n">
        <v>0.1909</v>
      </c>
      <c r="G16" t="n">
        <v>0.3815</v>
      </c>
      <c r="H16" t="n">
        <v>0.5709</v>
      </c>
      <c r="I16" t="n">
        <v>0.7622</v>
      </c>
      <c r="J16" t="n">
        <v>0.9537</v>
      </c>
      <c r="K16" t="n">
        <v>1.1275</v>
      </c>
      <c r="L16" t="n">
        <v>1.3184</v>
      </c>
      <c r="M16" t="n">
        <v>1.5107</v>
      </c>
      <c r="N16" t="n">
        <v>1.7021</v>
      </c>
      <c r="O16" t="n">
        <v>1.8925</v>
      </c>
      <c r="P16" t="n">
        <v>0.1909</v>
      </c>
      <c r="Q16" t="n">
        <v>0.1906</v>
      </c>
      <c r="R16" t="n">
        <v>0.1894</v>
      </c>
      <c r="S16" t="n">
        <v>0.1913</v>
      </c>
      <c r="T16" t="n">
        <v>0.1915</v>
      </c>
      <c r="U16" t="n">
        <v>0.1738</v>
      </c>
      <c r="V16" t="n">
        <v>0.1909000000000001</v>
      </c>
      <c r="W16" t="n">
        <v>0.1922999999999999</v>
      </c>
      <c r="X16" t="n">
        <v>0.1914</v>
      </c>
      <c r="Y16" t="n">
        <v>0.1904000000000001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4" t="inlineStr">
        <is>
          <t>參數</t>
        </is>
      </c>
      <c r="B1" s="4" t="inlineStr">
        <is>
          <t>值</t>
        </is>
      </c>
    </row>
    <row r="2">
      <c r="A2" t="inlineStr">
        <is>
          <t>標稱體積 (mL)</t>
        </is>
      </c>
      <c r="B2" s="5" t="n">
        <v>0.2</v>
      </c>
    </row>
    <row r="3">
      <c r="A3" t="inlineStr">
        <is>
          <t>水溫 (°C)</t>
        </is>
      </c>
      <c r="B3" s="5" t="n">
        <v>32</v>
      </c>
    </row>
    <row r="4">
      <c r="A4" t="inlineStr">
        <is>
          <t>水密度 ρw (g/mL,Tanaka)</t>
        </is>
      </c>
      <c r="B4" s="6">
        <f>0.99997495*(1-((B3-3.983035)^2*(B3+301.797))/(522528.9*(B3+69.34881)))</f>
        <v/>
      </c>
    </row>
    <row r="5">
      <c r="A5" t="inlineStr">
        <is>
          <t>浮力校正係數 Fb</t>
        </is>
      </c>
      <c r="B5" s="5" t="n">
        <v>1.0011</v>
      </c>
    </row>
    <row r="6">
      <c r="A6" t="inlineStr">
        <is>
          <t>公差 ± (mL,可留空)</t>
        </is>
      </c>
      <c r="B6" s="5" t="n"/>
    </row>
    <row r="7">
      <c r="A7" t="inlineStr">
        <is>
          <t>信賴水準</t>
        </is>
      </c>
      <c r="B7" s="5" t="n">
        <v>0.95</v>
      </c>
    </row>
    <row r="9">
      <c r="A9" t="inlineStr">
        <is>
          <t>黃色格可修改;ρw 由水溫自動計算。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3" customWidth="1" min="3" max="3"/>
    <col width="5" customWidth="1" min="4" max="4"/>
    <col width="10" customWidth="1" min="5" max="5"/>
    <col width="9" customWidth="1" min="6" max="6"/>
    <col width="9" customWidth="1" min="7" max="7"/>
    <col width="7" customWidth="1" min="8" max="8"/>
    <col width="11" customWidth="1" min="9" max="9"/>
    <col width="11" customWidth="1" min="10" max="10"/>
    <col width="12" customWidth="1" min="11" max="11"/>
    <col width="12" customWidth="1" min="12" max="12"/>
    <col width="9" customWidth="1" min="13" max="13"/>
    <col width="20" customWidth="1" min="14" max="14"/>
    <col width="12" customWidth="1" min="15" max="15"/>
    <col width="9" customWidth="1" min="16" max="16"/>
    <col width="22" customWidth="1" min="17" max="17"/>
    <col width="12" customWidth="1" min="18" max="18"/>
    <col width="12" customWidth="1" min="19" max="19"/>
    <col width="10" customWidth="1" min="20" max="20"/>
  </cols>
  <sheetData>
    <row r="1" ht="34" customHeight="1">
      <c r="A1" s="4" t="inlineStr">
        <is>
          <t>編號</t>
        </is>
      </c>
      <c r="B1" s="4" t="inlineStr">
        <is>
          <t>組別</t>
        </is>
      </c>
      <c r="C1" s="4" t="inlineStr">
        <is>
          <t>學生</t>
        </is>
      </c>
      <c r="D1" s="4" t="inlineStr">
        <is>
          <t>n</t>
        </is>
      </c>
      <c r="E1" s="4" t="inlineStr">
        <is>
          <t>平均 (g)</t>
        </is>
      </c>
      <c r="F1" s="4" t="inlineStr">
        <is>
          <t>SD (g)</t>
        </is>
      </c>
      <c r="G1" s="4" t="inlineStr">
        <is>
          <t>RSD (%)</t>
        </is>
      </c>
      <c r="H1" s="4" t="inlineStr">
        <is>
          <t>t 值</t>
        </is>
      </c>
      <c r="I1" s="4" t="inlineStr">
        <is>
          <t>CI 半寬 (g)</t>
        </is>
      </c>
      <c r="J1" s="4" t="inlineStr">
        <is>
          <t>平均 (mL)</t>
        </is>
      </c>
      <c r="K1" s="4" t="inlineStr">
        <is>
          <t>CI 下限 (mL)</t>
        </is>
      </c>
      <c r="L1" s="4" t="inlineStr">
        <is>
          <t>CI 上限 (mL)</t>
        </is>
      </c>
      <c r="M1" s="4" t="inlineStr">
        <is>
          <t>Bias (%)</t>
        </is>
      </c>
      <c r="N1" s="4" t="inlineStr">
        <is>
          <t>CI 含標稱值?</t>
        </is>
      </c>
      <c r="O1" s="4" t="inlineStr">
        <is>
          <t>公差判定</t>
        </is>
      </c>
      <c r="P1" s="4" t="inlineStr">
        <is>
          <t>Grubbs G</t>
        </is>
      </c>
      <c r="Q1" s="4" t="inlineStr">
        <is>
          <t>離群警示</t>
        </is>
      </c>
      <c r="R1" s="4" t="inlineStr">
        <is>
          <t>原表平均 (8筆)</t>
        </is>
      </c>
      <c r="S1" s="4" t="inlineStr">
        <is>
          <t>原表SD (8筆)</t>
        </is>
      </c>
      <c r="T1" s="4" t="inlineStr">
        <is>
          <t>平均差 (g)</t>
        </is>
      </c>
    </row>
    <row r="2">
      <c r="A2" s="7" t="n">
        <v>1</v>
      </c>
      <c r="B2" s="7">
        <f>'原始數據'!A2</f>
        <v/>
      </c>
      <c r="C2" s="7">
        <f>'原始數據'!B2</f>
        <v/>
      </c>
      <c r="D2" s="7">
        <f>COUNT('原始數據'!P2:Y2)</f>
        <v/>
      </c>
      <c r="E2" s="8">
        <f>AVERAGE('原始數據'!P2:Y2)</f>
        <v/>
      </c>
      <c r="F2" s="8">
        <f>STDEV('原始數據'!P2:Y2)</f>
        <v/>
      </c>
      <c r="G2" s="9">
        <f>F2/E2*100</f>
        <v/>
      </c>
      <c r="H2" s="10">
        <f>TINV(1-參數!$B$7,D2-1)</f>
        <v/>
      </c>
      <c r="I2" s="8">
        <f>H2*F2/SQRT(D2)</f>
        <v/>
      </c>
      <c r="J2" s="8">
        <f>E2*參數!$B$5/參數!$B$4</f>
        <v/>
      </c>
      <c r="K2" s="8">
        <f>(E2-I2)*參數!$B$5/參數!$B$4</f>
        <v/>
      </c>
      <c r="L2" s="8">
        <f>(E2+I2)*參數!$B$5/參數!$B$4</f>
        <v/>
      </c>
      <c r="M2" s="9">
        <f>(J2-參數!$B$2)/參數!$B$2*100</f>
        <v/>
      </c>
      <c r="N2" s="7">
        <f>IF(AND(K2&lt;=參數!$B$2,L2&gt;=參數!$B$2),"含(無顯著 bias)","不含(有 bias)")</f>
        <v/>
      </c>
      <c r="O2" s="7">
        <f>IF(參數!$B$6="","(未填公差)",IF(ABS(J2-參數!$B$2)&lt;=參數!$B$6,"合格","超出公差"))</f>
        <v/>
      </c>
      <c r="P2" s="10">
        <f>MAX(ABS(MAX('原始數據'!P2:Y2)-E2),ABS(MIN('原始數據'!P2:Y2)-E2))/F2</f>
        <v/>
      </c>
      <c r="Q2" s="7">
        <f>IF(P2&gt;2.29,"疑似離群(檢查原始紀錄)","")</f>
        <v/>
      </c>
      <c r="R2" s="8">
        <f>AVERAGE('原始數據'!P2:W2)</f>
        <v/>
      </c>
      <c r="S2" s="8">
        <f>STDEV('原始數據'!P2:W2)</f>
        <v/>
      </c>
      <c r="T2" s="8">
        <f>R2-E2</f>
        <v/>
      </c>
    </row>
    <row r="3">
      <c r="A3" s="7" t="n">
        <v>2</v>
      </c>
      <c r="B3" s="7">
        <f>'原始數據'!A3</f>
        <v/>
      </c>
      <c r="C3" s="7">
        <f>'原始數據'!B3</f>
        <v/>
      </c>
      <c r="D3" s="7">
        <f>COUNT('原始數據'!P3:Y3)</f>
        <v/>
      </c>
      <c r="E3" s="8">
        <f>AVERAGE('原始數據'!P3:Y3)</f>
        <v/>
      </c>
      <c r="F3" s="8">
        <f>STDEV('原始數據'!P3:Y3)</f>
        <v/>
      </c>
      <c r="G3" s="9">
        <f>F3/E3*100</f>
        <v/>
      </c>
      <c r="H3" s="10">
        <f>TINV(1-參數!$B$7,D3-1)</f>
        <v/>
      </c>
      <c r="I3" s="8">
        <f>H3*F3/SQRT(D3)</f>
        <v/>
      </c>
      <c r="J3" s="8">
        <f>E3*參數!$B$5/參數!$B$4</f>
        <v/>
      </c>
      <c r="K3" s="8">
        <f>(E3-I3)*參數!$B$5/參數!$B$4</f>
        <v/>
      </c>
      <c r="L3" s="8">
        <f>(E3+I3)*參數!$B$5/參數!$B$4</f>
        <v/>
      </c>
      <c r="M3" s="9">
        <f>(J3-參數!$B$2)/參數!$B$2*100</f>
        <v/>
      </c>
      <c r="N3" s="7">
        <f>IF(AND(K3&lt;=參數!$B$2,L3&gt;=參數!$B$2),"含(無顯著 bias)","不含(有 bias)")</f>
        <v/>
      </c>
      <c r="O3" s="7">
        <f>IF(參數!$B$6="","(未填公差)",IF(ABS(J3-參數!$B$2)&lt;=參數!$B$6,"合格","超出公差"))</f>
        <v/>
      </c>
      <c r="P3" s="10">
        <f>MAX(ABS(MAX('原始數據'!P3:Y3)-E3),ABS(MIN('原始數據'!P3:Y3)-E3))/F3</f>
        <v/>
      </c>
      <c r="Q3" s="7">
        <f>IF(P3&gt;2.29,"疑似離群(檢查原始紀錄)","")</f>
        <v/>
      </c>
      <c r="R3" s="8">
        <f>AVERAGE('原始數據'!P3:W3)</f>
        <v/>
      </c>
      <c r="S3" s="8">
        <f>STDEV('原始數據'!P3:W3)</f>
        <v/>
      </c>
      <c r="T3" s="8">
        <f>R3-E3</f>
        <v/>
      </c>
    </row>
    <row r="4">
      <c r="A4" s="7" t="n">
        <v>3</v>
      </c>
      <c r="B4" s="7">
        <f>'原始數據'!A4</f>
        <v/>
      </c>
      <c r="C4" s="7">
        <f>'原始數據'!B4</f>
        <v/>
      </c>
      <c r="D4" s="7">
        <f>COUNT('原始數據'!P4:Y4)</f>
        <v/>
      </c>
      <c r="E4" s="8">
        <f>AVERAGE('原始數據'!P4:Y4)</f>
        <v/>
      </c>
      <c r="F4" s="8">
        <f>STDEV('原始數據'!P4:Y4)</f>
        <v/>
      </c>
      <c r="G4" s="9">
        <f>F4/E4*100</f>
        <v/>
      </c>
      <c r="H4" s="10">
        <f>TINV(1-參數!$B$7,D4-1)</f>
        <v/>
      </c>
      <c r="I4" s="8">
        <f>H4*F4/SQRT(D4)</f>
        <v/>
      </c>
      <c r="J4" s="8">
        <f>E4*參數!$B$5/參數!$B$4</f>
        <v/>
      </c>
      <c r="K4" s="8">
        <f>(E4-I4)*參數!$B$5/參數!$B$4</f>
        <v/>
      </c>
      <c r="L4" s="8">
        <f>(E4+I4)*參數!$B$5/參數!$B$4</f>
        <v/>
      </c>
      <c r="M4" s="9">
        <f>(J4-參數!$B$2)/參數!$B$2*100</f>
        <v/>
      </c>
      <c r="N4" s="7">
        <f>IF(AND(K4&lt;=參數!$B$2,L4&gt;=參數!$B$2),"含(無顯著 bias)","不含(有 bias)")</f>
        <v/>
      </c>
      <c r="O4" s="7">
        <f>IF(參數!$B$6="","(未填公差)",IF(ABS(J4-參數!$B$2)&lt;=參數!$B$6,"合格","超出公差"))</f>
        <v/>
      </c>
      <c r="P4" s="10">
        <f>MAX(ABS(MAX('原始數據'!P4:Y4)-E4),ABS(MIN('原始數據'!P4:Y4)-E4))/F4</f>
        <v/>
      </c>
      <c r="Q4" s="7">
        <f>IF(P4&gt;2.29,"疑似離群(檢查原始紀錄)","")</f>
        <v/>
      </c>
      <c r="R4" s="8">
        <f>AVERAGE('原始數據'!P4:W4)</f>
        <v/>
      </c>
      <c r="S4" s="8">
        <f>STDEV('原始數據'!P4:W4)</f>
        <v/>
      </c>
      <c r="T4" s="8">
        <f>R4-E4</f>
        <v/>
      </c>
    </row>
    <row r="5">
      <c r="A5" s="7" t="n">
        <v>4</v>
      </c>
      <c r="B5" s="7">
        <f>'原始數據'!A5</f>
        <v/>
      </c>
      <c r="C5" s="7">
        <f>'原始數據'!B5</f>
        <v/>
      </c>
      <c r="D5" s="7">
        <f>COUNT('原始數據'!P5:Y5)</f>
        <v/>
      </c>
      <c r="E5" s="8">
        <f>AVERAGE('原始數據'!P5:Y5)</f>
        <v/>
      </c>
      <c r="F5" s="8">
        <f>STDEV('原始數據'!P5:Y5)</f>
        <v/>
      </c>
      <c r="G5" s="9">
        <f>F5/E5*100</f>
        <v/>
      </c>
      <c r="H5" s="10">
        <f>TINV(1-參數!$B$7,D5-1)</f>
        <v/>
      </c>
      <c r="I5" s="8">
        <f>H5*F5/SQRT(D5)</f>
        <v/>
      </c>
      <c r="J5" s="8">
        <f>E5*參數!$B$5/參數!$B$4</f>
        <v/>
      </c>
      <c r="K5" s="8">
        <f>(E5-I5)*參數!$B$5/參數!$B$4</f>
        <v/>
      </c>
      <c r="L5" s="8">
        <f>(E5+I5)*參數!$B$5/參數!$B$4</f>
        <v/>
      </c>
      <c r="M5" s="9">
        <f>(J5-參數!$B$2)/參數!$B$2*100</f>
        <v/>
      </c>
      <c r="N5" s="7">
        <f>IF(AND(K5&lt;=參數!$B$2,L5&gt;=參數!$B$2),"含(無顯著 bias)","不含(有 bias)")</f>
        <v/>
      </c>
      <c r="O5" s="7">
        <f>IF(參數!$B$6="","(未填公差)",IF(ABS(J5-參數!$B$2)&lt;=參數!$B$6,"合格","超出公差"))</f>
        <v/>
      </c>
      <c r="P5" s="10">
        <f>MAX(ABS(MAX('原始數據'!P5:Y5)-E5),ABS(MIN('原始數據'!P5:Y5)-E5))/F5</f>
        <v/>
      </c>
      <c r="Q5" s="7">
        <f>IF(P5&gt;2.29,"疑似離群(檢查原始紀錄)","")</f>
        <v/>
      </c>
      <c r="R5" s="8">
        <f>AVERAGE('原始數據'!P5:W5)</f>
        <v/>
      </c>
      <c r="S5" s="8">
        <f>STDEV('原始數據'!P5:W5)</f>
        <v/>
      </c>
      <c r="T5" s="8">
        <f>R5-E5</f>
        <v/>
      </c>
    </row>
    <row r="6">
      <c r="A6" s="7" t="n">
        <v>5</v>
      </c>
      <c r="B6" s="7">
        <f>'原始數據'!A6</f>
        <v/>
      </c>
      <c r="C6" s="7">
        <f>'原始數據'!B6</f>
        <v/>
      </c>
      <c r="D6" s="7">
        <f>COUNT('原始數據'!P6:Y6)</f>
        <v/>
      </c>
      <c r="E6" s="8">
        <f>AVERAGE('原始數據'!P6:Y6)</f>
        <v/>
      </c>
      <c r="F6" s="8">
        <f>STDEV('原始數據'!P6:Y6)</f>
        <v/>
      </c>
      <c r="G6" s="9">
        <f>F6/E6*100</f>
        <v/>
      </c>
      <c r="H6" s="10">
        <f>TINV(1-參數!$B$7,D6-1)</f>
        <v/>
      </c>
      <c r="I6" s="8">
        <f>H6*F6/SQRT(D6)</f>
        <v/>
      </c>
      <c r="J6" s="8">
        <f>E6*參數!$B$5/參數!$B$4</f>
        <v/>
      </c>
      <c r="K6" s="8">
        <f>(E6-I6)*參數!$B$5/參數!$B$4</f>
        <v/>
      </c>
      <c r="L6" s="8">
        <f>(E6+I6)*參數!$B$5/參數!$B$4</f>
        <v/>
      </c>
      <c r="M6" s="9">
        <f>(J6-參數!$B$2)/參數!$B$2*100</f>
        <v/>
      </c>
      <c r="N6" s="7">
        <f>IF(AND(K6&lt;=參數!$B$2,L6&gt;=參數!$B$2),"含(無顯著 bias)","不含(有 bias)")</f>
        <v/>
      </c>
      <c r="O6" s="7">
        <f>IF(參數!$B$6="","(未填公差)",IF(ABS(J6-參數!$B$2)&lt;=參數!$B$6,"合格","超出公差"))</f>
        <v/>
      </c>
      <c r="P6" s="10">
        <f>MAX(ABS(MAX('原始數據'!P6:Y6)-E6),ABS(MIN('原始數據'!P6:Y6)-E6))/F6</f>
        <v/>
      </c>
      <c r="Q6" s="7">
        <f>IF(P6&gt;2.29,"疑似離群(檢查原始紀錄)","")</f>
        <v/>
      </c>
      <c r="R6" s="8">
        <f>AVERAGE('原始數據'!P6:W6)</f>
        <v/>
      </c>
      <c r="S6" s="8">
        <f>STDEV('原始數據'!P6:W6)</f>
        <v/>
      </c>
      <c r="T6" s="8">
        <f>R6-E6</f>
        <v/>
      </c>
    </row>
    <row r="7">
      <c r="A7" s="7" t="n">
        <v>6</v>
      </c>
      <c r="B7" s="7">
        <f>'原始數據'!A7</f>
        <v/>
      </c>
      <c r="C7" s="7">
        <f>'原始數據'!B7</f>
        <v/>
      </c>
      <c r="D7" s="7">
        <f>COUNT('原始數據'!P7:Y7)</f>
        <v/>
      </c>
      <c r="E7" s="8">
        <f>AVERAGE('原始數據'!P7:Y7)</f>
        <v/>
      </c>
      <c r="F7" s="8">
        <f>STDEV('原始數據'!P7:Y7)</f>
        <v/>
      </c>
      <c r="G7" s="9">
        <f>F7/E7*100</f>
        <v/>
      </c>
      <c r="H7" s="10">
        <f>TINV(1-參數!$B$7,D7-1)</f>
        <v/>
      </c>
      <c r="I7" s="8">
        <f>H7*F7/SQRT(D7)</f>
        <v/>
      </c>
      <c r="J7" s="8">
        <f>E7*參數!$B$5/參數!$B$4</f>
        <v/>
      </c>
      <c r="K7" s="8">
        <f>(E7-I7)*參數!$B$5/參數!$B$4</f>
        <v/>
      </c>
      <c r="L7" s="8">
        <f>(E7+I7)*參數!$B$5/參數!$B$4</f>
        <v/>
      </c>
      <c r="M7" s="9">
        <f>(J7-參數!$B$2)/參數!$B$2*100</f>
        <v/>
      </c>
      <c r="N7" s="7">
        <f>IF(AND(K7&lt;=參數!$B$2,L7&gt;=參數!$B$2),"含(無顯著 bias)","不含(有 bias)")</f>
        <v/>
      </c>
      <c r="O7" s="7">
        <f>IF(參數!$B$6="","(未填公差)",IF(ABS(J7-參數!$B$2)&lt;=參數!$B$6,"合格","超出公差"))</f>
        <v/>
      </c>
      <c r="P7" s="10">
        <f>MAX(ABS(MAX('原始數據'!P7:Y7)-E7),ABS(MIN('原始數據'!P7:Y7)-E7))/F7</f>
        <v/>
      </c>
      <c r="Q7" s="7">
        <f>IF(P7&gt;2.29,"疑似離群(檢查原始紀錄)","")</f>
        <v/>
      </c>
      <c r="R7" s="8">
        <f>AVERAGE('原始數據'!P7:W7)</f>
        <v/>
      </c>
      <c r="S7" s="8">
        <f>STDEV('原始數據'!P7:W7)</f>
        <v/>
      </c>
      <c r="T7" s="8">
        <f>R7-E7</f>
        <v/>
      </c>
    </row>
    <row r="8">
      <c r="A8" s="7" t="n">
        <v>7</v>
      </c>
      <c r="B8" s="7">
        <f>'原始數據'!A8</f>
        <v/>
      </c>
      <c r="C8" s="7">
        <f>'原始數據'!B8</f>
        <v/>
      </c>
      <c r="D8" s="7">
        <f>COUNT('原始數據'!P8:Y8)</f>
        <v/>
      </c>
      <c r="E8" s="8">
        <f>AVERAGE('原始數據'!P8:Y8)</f>
        <v/>
      </c>
      <c r="F8" s="8">
        <f>STDEV('原始數據'!P8:Y8)</f>
        <v/>
      </c>
      <c r="G8" s="9">
        <f>F8/E8*100</f>
        <v/>
      </c>
      <c r="H8" s="10">
        <f>TINV(1-參數!$B$7,D8-1)</f>
        <v/>
      </c>
      <c r="I8" s="8">
        <f>H8*F8/SQRT(D8)</f>
        <v/>
      </c>
      <c r="J8" s="8">
        <f>E8*參數!$B$5/參數!$B$4</f>
        <v/>
      </c>
      <c r="K8" s="8">
        <f>(E8-I8)*參數!$B$5/參數!$B$4</f>
        <v/>
      </c>
      <c r="L8" s="8">
        <f>(E8+I8)*參數!$B$5/參數!$B$4</f>
        <v/>
      </c>
      <c r="M8" s="9">
        <f>(J8-參數!$B$2)/參數!$B$2*100</f>
        <v/>
      </c>
      <c r="N8" s="7">
        <f>IF(AND(K8&lt;=參數!$B$2,L8&gt;=參數!$B$2),"含(無顯著 bias)","不含(有 bias)")</f>
        <v/>
      </c>
      <c r="O8" s="7">
        <f>IF(參數!$B$6="","(未填公差)",IF(ABS(J8-參數!$B$2)&lt;=參數!$B$6,"合格","超出公差"))</f>
        <v/>
      </c>
      <c r="P8" s="10">
        <f>MAX(ABS(MAX('原始數據'!P8:Y8)-E8),ABS(MIN('原始數據'!P8:Y8)-E8))/F8</f>
        <v/>
      </c>
      <c r="Q8" s="7">
        <f>IF(P8&gt;2.29,"疑似離群(檢查原始紀錄)","")</f>
        <v/>
      </c>
      <c r="R8" s="8">
        <f>AVERAGE('原始數據'!P8:W8)</f>
        <v/>
      </c>
      <c r="S8" s="8">
        <f>STDEV('原始數據'!P8:W8)</f>
        <v/>
      </c>
      <c r="T8" s="8">
        <f>R8-E8</f>
        <v/>
      </c>
    </row>
    <row r="9">
      <c r="A9" s="7" t="n">
        <v>8</v>
      </c>
      <c r="B9" s="7">
        <f>'原始數據'!A9</f>
        <v/>
      </c>
      <c r="C9" s="7">
        <f>'原始數據'!B9</f>
        <v/>
      </c>
      <c r="D9" s="7">
        <f>COUNT('原始數據'!P9:Y9)</f>
        <v/>
      </c>
      <c r="E9" s="8">
        <f>AVERAGE('原始數據'!P9:Y9)</f>
        <v/>
      </c>
      <c r="F9" s="8">
        <f>STDEV('原始數據'!P9:Y9)</f>
        <v/>
      </c>
      <c r="G9" s="9">
        <f>F9/E9*100</f>
        <v/>
      </c>
      <c r="H9" s="10">
        <f>TINV(1-參數!$B$7,D9-1)</f>
        <v/>
      </c>
      <c r="I9" s="8">
        <f>H9*F9/SQRT(D9)</f>
        <v/>
      </c>
      <c r="J9" s="8">
        <f>E9*參數!$B$5/參數!$B$4</f>
        <v/>
      </c>
      <c r="K9" s="8">
        <f>(E9-I9)*參數!$B$5/參數!$B$4</f>
        <v/>
      </c>
      <c r="L9" s="8">
        <f>(E9+I9)*參數!$B$5/參數!$B$4</f>
        <v/>
      </c>
      <c r="M9" s="9">
        <f>(J9-參數!$B$2)/參數!$B$2*100</f>
        <v/>
      </c>
      <c r="N9" s="7">
        <f>IF(AND(K9&lt;=參數!$B$2,L9&gt;=參數!$B$2),"含(無顯著 bias)","不含(有 bias)")</f>
        <v/>
      </c>
      <c r="O9" s="7">
        <f>IF(參數!$B$6="","(未填公差)",IF(ABS(J9-參數!$B$2)&lt;=參數!$B$6,"合格","超出公差"))</f>
        <v/>
      </c>
      <c r="P9" s="10">
        <f>MAX(ABS(MAX('原始數據'!P9:Y9)-E9),ABS(MIN('原始數據'!P9:Y9)-E9))/F9</f>
        <v/>
      </c>
      <c r="Q9" s="7">
        <f>IF(P9&gt;2.29,"疑似離群(檢查原始紀錄)","")</f>
        <v/>
      </c>
      <c r="R9" s="8">
        <f>AVERAGE('原始數據'!P9:W9)</f>
        <v/>
      </c>
      <c r="S9" s="8">
        <f>STDEV('原始數據'!P9:W9)</f>
        <v/>
      </c>
      <c r="T9" s="8">
        <f>R9-E9</f>
        <v/>
      </c>
    </row>
    <row r="10">
      <c r="A10" s="7" t="n">
        <v>9</v>
      </c>
      <c r="B10" s="7">
        <f>'原始數據'!A10</f>
        <v/>
      </c>
      <c r="C10" s="7">
        <f>'原始數據'!B10</f>
        <v/>
      </c>
      <c r="D10" s="7">
        <f>COUNT('原始數據'!P10:Y10)</f>
        <v/>
      </c>
      <c r="E10" s="8">
        <f>AVERAGE('原始數據'!P10:Y10)</f>
        <v/>
      </c>
      <c r="F10" s="8">
        <f>STDEV('原始數據'!P10:Y10)</f>
        <v/>
      </c>
      <c r="G10" s="9">
        <f>F10/E10*100</f>
        <v/>
      </c>
      <c r="H10" s="10">
        <f>TINV(1-參數!$B$7,D10-1)</f>
        <v/>
      </c>
      <c r="I10" s="8">
        <f>H10*F10/SQRT(D10)</f>
        <v/>
      </c>
      <c r="J10" s="8">
        <f>E10*參數!$B$5/參數!$B$4</f>
        <v/>
      </c>
      <c r="K10" s="8">
        <f>(E10-I10)*參數!$B$5/參數!$B$4</f>
        <v/>
      </c>
      <c r="L10" s="8">
        <f>(E10+I10)*參數!$B$5/參數!$B$4</f>
        <v/>
      </c>
      <c r="M10" s="9">
        <f>(J10-參數!$B$2)/參數!$B$2*100</f>
        <v/>
      </c>
      <c r="N10" s="7">
        <f>IF(AND(K10&lt;=參數!$B$2,L10&gt;=參數!$B$2),"含(無顯著 bias)","不含(有 bias)")</f>
        <v/>
      </c>
      <c r="O10" s="7">
        <f>IF(參數!$B$6="","(未填公差)",IF(ABS(J10-參數!$B$2)&lt;=參數!$B$6,"合格","超出公差"))</f>
        <v/>
      </c>
      <c r="P10" s="10">
        <f>MAX(ABS(MAX('原始數據'!P10:Y10)-E10),ABS(MIN('原始數據'!P10:Y10)-E10))/F10</f>
        <v/>
      </c>
      <c r="Q10" s="7">
        <f>IF(P10&gt;2.29,"疑似離群(檢查原始紀錄)","")</f>
        <v/>
      </c>
      <c r="R10" s="8">
        <f>AVERAGE('原始數據'!P10:W10)</f>
        <v/>
      </c>
      <c r="S10" s="8">
        <f>STDEV('原始數據'!P10:W10)</f>
        <v/>
      </c>
      <c r="T10" s="8">
        <f>R10-E10</f>
        <v/>
      </c>
    </row>
    <row r="11">
      <c r="A11" s="7" t="n">
        <v>10</v>
      </c>
      <c r="B11" s="7">
        <f>'原始數據'!A11</f>
        <v/>
      </c>
      <c r="C11" s="7">
        <f>'原始數據'!B11</f>
        <v/>
      </c>
      <c r="D11" s="7">
        <f>COUNT('原始數據'!P11:Y11)</f>
        <v/>
      </c>
      <c r="E11" s="8">
        <f>AVERAGE('原始數據'!P11:Y11)</f>
        <v/>
      </c>
      <c r="F11" s="8">
        <f>STDEV('原始數據'!P11:Y11)</f>
        <v/>
      </c>
      <c r="G11" s="9">
        <f>F11/E11*100</f>
        <v/>
      </c>
      <c r="H11" s="10">
        <f>TINV(1-參數!$B$7,D11-1)</f>
        <v/>
      </c>
      <c r="I11" s="8">
        <f>H11*F11/SQRT(D11)</f>
        <v/>
      </c>
      <c r="J11" s="8">
        <f>E11*參數!$B$5/參數!$B$4</f>
        <v/>
      </c>
      <c r="K11" s="8">
        <f>(E11-I11)*參數!$B$5/參數!$B$4</f>
        <v/>
      </c>
      <c r="L11" s="8">
        <f>(E11+I11)*參數!$B$5/參數!$B$4</f>
        <v/>
      </c>
      <c r="M11" s="9">
        <f>(J11-參數!$B$2)/參數!$B$2*100</f>
        <v/>
      </c>
      <c r="N11" s="7">
        <f>IF(AND(K11&lt;=參數!$B$2,L11&gt;=參數!$B$2),"含(無顯著 bias)","不含(有 bias)")</f>
        <v/>
      </c>
      <c r="O11" s="7">
        <f>IF(參數!$B$6="","(未填公差)",IF(ABS(J11-參數!$B$2)&lt;=參數!$B$6,"合格","超出公差"))</f>
        <v/>
      </c>
      <c r="P11" s="10">
        <f>MAX(ABS(MAX('原始數據'!P11:Y11)-E11),ABS(MIN('原始數據'!P11:Y11)-E11))/F11</f>
        <v/>
      </c>
      <c r="Q11" s="7">
        <f>IF(P11&gt;2.29,"疑似離群(檢查原始紀錄)","")</f>
        <v/>
      </c>
      <c r="R11" s="8">
        <f>AVERAGE('原始數據'!P11:W11)</f>
        <v/>
      </c>
      <c r="S11" s="8">
        <f>STDEV('原始數據'!P11:W11)</f>
        <v/>
      </c>
      <c r="T11" s="8">
        <f>R11-E11</f>
        <v/>
      </c>
    </row>
    <row r="12">
      <c r="A12" s="7" t="n">
        <v>11</v>
      </c>
      <c r="B12" s="7">
        <f>'原始數據'!A12</f>
        <v/>
      </c>
      <c r="C12" s="7">
        <f>'原始數據'!B12</f>
        <v/>
      </c>
      <c r="D12" s="7">
        <f>COUNT('原始數據'!P12:Y12)</f>
        <v/>
      </c>
      <c r="E12" s="8">
        <f>AVERAGE('原始數據'!P12:Y12)</f>
        <v/>
      </c>
      <c r="F12" s="8">
        <f>STDEV('原始數據'!P12:Y12)</f>
        <v/>
      </c>
      <c r="G12" s="9">
        <f>F12/E12*100</f>
        <v/>
      </c>
      <c r="H12" s="10">
        <f>TINV(1-參數!$B$7,D12-1)</f>
        <v/>
      </c>
      <c r="I12" s="8">
        <f>H12*F12/SQRT(D12)</f>
        <v/>
      </c>
      <c r="J12" s="8">
        <f>E12*參數!$B$5/參數!$B$4</f>
        <v/>
      </c>
      <c r="K12" s="8">
        <f>(E12-I12)*參數!$B$5/參數!$B$4</f>
        <v/>
      </c>
      <c r="L12" s="8">
        <f>(E12+I12)*參數!$B$5/參數!$B$4</f>
        <v/>
      </c>
      <c r="M12" s="9">
        <f>(J12-參數!$B$2)/參數!$B$2*100</f>
        <v/>
      </c>
      <c r="N12" s="7">
        <f>IF(AND(K12&lt;=參數!$B$2,L12&gt;=參數!$B$2),"含(無顯著 bias)","不含(有 bias)")</f>
        <v/>
      </c>
      <c r="O12" s="7">
        <f>IF(參數!$B$6="","(未填公差)",IF(ABS(J12-參數!$B$2)&lt;=參數!$B$6,"合格","超出公差"))</f>
        <v/>
      </c>
      <c r="P12" s="10">
        <f>MAX(ABS(MAX('原始數據'!P12:Y12)-E12),ABS(MIN('原始數據'!P12:Y12)-E12))/F12</f>
        <v/>
      </c>
      <c r="Q12" s="7">
        <f>IF(P12&gt;2.29,"疑似離群(檢查原始紀錄)","")</f>
        <v/>
      </c>
      <c r="R12" s="8">
        <f>AVERAGE('原始數據'!P12:W12)</f>
        <v/>
      </c>
      <c r="S12" s="8">
        <f>STDEV('原始數據'!P12:W12)</f>
        <v/>
      </c>
      <c r="T12" s="8">
        <f>R12-E12</f>
        <v/>
      </c>
    </row>
    <row r="13">
      <c r="A13" s="7" t="n">
        <v>12</v>
      </c>
      <c r="B13" s="7">
        <f>'原始數據'!A13</f>
        <v/>
      </c>
      <c r="C13" s="7">
        <f>'原始數據'!B13</f>
        <v/>
      </c>
      <c r="D13" s="7">
        <f>COUNT('原始數據'!P13:Y13)</f>
        <v/>
      </c>
      <c r="E13" s="8">
        <f>AVERAGE('原始數據'!P13:Y13)</f>
        <v/>
      </c>
      <c r="F13" s="8">
        <f>STDEV('原始數據'!P13:Y13)</f>
        <v/>
      </c>
      <c r="G13" s="9">
        <f>F13/E13*100</f>
        <v/>
      </c>
      <c r="H13" s="10">
        <f>TINV(1-參數!$B$7,D13-1)</f>
        <v/>
      </c>
      <c r="I13" s="8">
        <f>H13*F13/SQRT(D13)</f>
        <v/>
      </c>
      <c r="J13" s="8">
        <f>E13*參數!$B$5/參數!$B$4</f>
        <v/>
      </c>
      <c r="K13" s="8">
        <f>(E13-I13)*參數!$B$5/參數!$B$4</f>
        <v/>
      </c>
      <c r="L13" s="8">
        <f>(E13+I13)*參數!$B$5/參數!$B$4</f>
        <v/>
      </c>
      <c r="M13" s="9">
        <f>(J13-參數!$B$2)/參數!$B$2*100</f>
        <v/>
      </c>
      <c r="N13" s="7">
        <f>IF(AND(K13&lt;=參數!$B$2,L13&gt;=參數!$B$2),"含(無顯著 bias)","不含(有 bias)")</f>
        <v/>
      </c>
      <c r="O13" s="7">
        <f>IF(參數!$B$6="","(未填公差)",IF(ABS(J13-參數!$B$2)&lt;=參數!$B$6,"合格","超出公差"))</f>
        <v/>
      </c>
      <c r="P13" s="10">
        <f>MAX(ABS(MAX('原始數據'!P13:Y13)-E13),ABS(MIN('原始數據'!P13:Y13)-E13))/F13</f>
        <v/>
      </c>
      <c r="Q13" s="7">
        <f>IF(P13&gt;2.29,"疑似離群(檢查原始紀錄)","")</f>
        <v/>
      </c>
      <c r="R13" s="8">
        <f>AVERAGE('原始數據'!P13:W13)</f>
        <v/>
      </c>
      <c r="S13" s="8">
        <f>STDEV('原始數據'!P13:W13)</f>
        <v/>
      </c>
      <c r="T13" s="8">
        <f>R13-E13</f>
        <v/>
      </c>
    </row>
    <row r="14">
      <c r="A14" s="7" t="n">
        <v>13</v>
      </c>
      <c r="B14" s="7">
        <f>'原始數據'!A14</f>
        <v/>
      </c>
      <c r="C14" s="7">
        <f>'原始數據'!B14</f>
        <v/>
      </c>
      <c r="D14" s="7">
        <f>COUNT('原始數據'!P14:Y14)</f>
        <v/>
      </c>
      <c r="E14" s="8">
        <f>AVERAGE('原始數據'!P14:Y14)</f>
        <v/>
      </c>
      <c r="F14" s="8">
        <f>STDEV('原始數據'!P14:Y14)</f>
        <v/>
      </c>
      <c r="G14" s="9">
        <f>F14/E14*100</f>
        <v/>
      </c>
      <c r="H14" s="10">
        <f>TINV(1-參數!$B$7,D14-1)</f>
        <v/>
      </c>
      <c r="I14" s="8">
        <f>H14*F14/SQRT(D14)</f>
        <v/>
      </c>
      <c r="J14" s="8">
        <f>E14*參數!$B$5/參數!$B$4</f>
        <v/>
      </c>
      <c r="K14" s="8">
        <f>(E14-I14)*參數!$B$5/參數!$B$4</f>
        <v/>
      </c>
      <c r="L14" s="8">
        <f>(E14+I14)*參數!$B$5/參數!$B$4</f>
        <v/>
      </c>
      <c r="M14" s="9">
        <f>(J14-參數!$B$2)/參數!$B$2*100</f>
        <v/>
      </c>
      <c r="N14" s="7">
        <f>IF(AND(K14&lt;=參數!$B$2,L14&gt;=參數!$B$2),"含(無顯著 bias)","不含(有 bias)")</f>
        <v/>
      </c>
      <c r="O14" s="7">
        <f>IF(參數!$B$6="","(未填公差)",IF(ABS(J14-參數!$B$2)&lt;=參數!$B$6,"合格","超出公差"))</f>
        <v/>
      </c>
      <c r="P14" s="10">
        <f>MAX(ABS(MAX('原始數據'!P14:Y14)-E14),ABS(MIN('原始數據'!P14:Y14)-E14))/F14</f>
        <v/>
      </c>
      <c r="Q14" s="7">
        <f>IF(P14&gt;2.29,"疑似離群(檢查原始紀錄)","")</f>
        <v/>
      </c>
      <c r="R14" s="8">
        <f>AVERAGE('原始數據'!P14:W14)</f>
        <v/>
      </c>
      <c r="S14" s="8">
        <f>STDEV('原始數據'!P14:W14)</f>
        <v/>
      </c>
      <c r="T14" s="8">
        <f>R14-E14</f>
        <v/>
      </c>
    </row>
    <row r="15">
      <c r="A15" s="7" t="n">
        <v>14</v>
      </c>
      <c r="B15" s="7">
        <f>'原始數據'!A15</f>
        <v/>
      </c>
      <c r="C15" s="7">
        <f>'原始數據'!B15</f>
        <v/>
      </c>
      <c r="D15" s="7">
        <f>COUNT('原始數據'!P15:Y15)</f>
        <v/>
      </c>
      <c r="E15" s="8">
        <f>AVERAGE('原始數據'!P15:Y15)</f>
        <v/>
      </c>
      <c r="F15" s="8">
        <f>STDEV('原始數據'!P15:Y15)</f>
        <v/>
      </c>
      <c r="G15" s="9">
        <f>F15/E15*100</f>
        <v/>
      </c>
      <c r="H15" s="10">
        <f>TINV(1-參數!$B$7,D15-1)</f>
        <v/>
      </c>
      <c r="I15" s="8">
        <f>H15*F15/SQRT(D15)</f>
        <v/>
      </c>
      <c r="J15" s="8">
        <f>E15*參數!$B$5/參數!$B$4</f>
        <v/>
      </c>
      <c r="K15" s="8">
        <f>(E15-I15)*參數!$B$5/參數!$B$4</f>
        <v/>
      </c>
      <c r="L15" s="8">
        <f>(E15+I15)*參數!$B$5/參數!$B$4</f>
        <v/>
      </c>
      <c r="M15" s="9">
        <f>(J15-參數!$B$2)/參數!$B$2*100</f>
        <v/>
      </c>
      <c r="N15" s="7">
        <f>IF(AND(K15&lt;=參數!$B$2,L15&gt;=參數!$B$2),"含(無顯著 bias)","不含(有 bias)")</f>
        <v/>
      </c>
      <c r="O15" s="7">
        <f>IF(參數!$B$6="","(未填公差)",IF(ABS(J15-參數!$B$2)&lt;=參數!$B$6,"合格","超出公差"))</f>
        <v/>
      </c>
      <c r="P15" s="10">
        <f>MAX(ABS(MAX('原始數據'!P15:Y15)-E15),ABS(MIN('原始數據'!P15:Y15)-E15))/F15</f>
        <v/>
      </c>
      <c r="Q15" s="7">
        <f>IF(P15&gt;2.29,"疑似離群(檢查原始紀錄)","")</f>
        <v/>
      </c>
      <c r="R15" s="8">
        <f>AVERAGE('原始數據'!P15:W15)</f>
        <v/>
      </c>
      <c r="S15" s="8">
        <f>STDEV('原始數據'!P15:W15)</f>
        <v/>
      </c>
      <c r="T15" s="8">
        <f>R15-E15</f>
        <v/>
      </c>
    </row>
    <row r="16">
      <c r="A16" s="7" t="n">
        <v>15</v>
      </c>
      <c r="B16" s="7">
        <f>'原始數據'!A16</f>
        <v/>
      </c>
      <c r="C16" s="7">
        <f>'原始數據'!B16</f>
        <v/>
      </c>
      <c r="D16" s="7">
        <f>COUNT('原始數據'!P16:Y16)</f>
        <v/>
      </c>
      <c r="E16" s="8">
        <f>AVERAGE('原始數據'!P16:Y16)</f>
        <v/>
      </c>
      <c r="F16" s="8">
        <f>STDEV('原始數據'!P16:Y16)</f>
        <v/>
      </c>
      <c r="G16" s="9">
        <f>F16/E16*100</f>
        <v/>
      </c>
      <c r="H16" s="10">
        <f>TINV(1-參數!$B$7,D16-1)</f>
        <v/>
      </c>
      <c r="I16" s="8">
        <f>H16*F16/SQRT(D16)</f>
        <v/>
      </c>
      <c r="J16" s="8">
        <f>E16*參數!$B$5/參數!$B$4</f>
        <v/>
      </c>
      <c r="K16" s="8">
        <f>(E16-I16)*參數!$B$5/參數!$B$4</f>
        <v/>
      </c>
      <c r="L16" s="8">
        <f>(E16+I16)*參數!$B$5/參數!$B$4</f>
        <v/>
      </c>
      <c r="M16" s="9">
        <f>(J16-參數!$B$2)/參數!$B$2*100</f>
        <v/>
      </c>
      <c r="N16" s="7">
        <f>IF(AND(K16&lt;=參數!$B$2,L16&gt;=參數!$B$2),"含(無顯著 bias)","不含(有 bias)")</f>
        <v/>
      </c>
      <c r="O16" s="7">
        <f>IF(參數!$B$6="","(未填公差)",IF(ABS(J16-參數!$B$2)&lt;=參數!$B$6,"合格","超出公差"))</f>
        <v/>
      </c>
      <c r="P16" s="10">
        <f>MAX(ABS(MAX('原始數據'!P16:Y16)-E16),ABS(MIN('原始數據'!P16:Y16)-E16))/F16</f>
        <v/>
      </c>
      <c r="Q16" s="7">
        <f>IF(P16&gt;2.29,"疑似離群(檢查原始紀錄)","")</f>
        <v/>
      </c>
      <c r="R16" s="8">
        <f>AVERAGE('原始數據'!P16:W16)</f>
        <v/>
      </c>
      <c r="S16" s="8">
        <f>STDEV('原始數據'!P16:W16)</f>
        <v/>
      </c>
      <c r="T16" s="8">
        <f>R16-E16</f>
        <v/>
      </c>
    </row>
    <row r="18">
      <c r="B18" s="11" t="inlineStr">
        <is>
          <t>全班</t>
        </is>
      </c>
      <c r="C18" t="inlineStr">
        <is>
          <t>各人平均之平均 / SD / RSD</t>
        </is>
      </c>
      <c r="E18" s="12">
        <f>AVERAGE(E2:E16)</f>
        <v/>
      </c>
      <c r="F18" s="12">
        <f>STDEV(E2:E16)</f>
        <v/>
      </c>
      <c r="G18" s="13">
        <f>F18/E18*100</f>
        <v/>
      </c>
      <c r="J18" s="12">
        <f>E18*參數!$B$5/參數!$B$4</f>
        <v/>
      </c>
    </row>
    <row r="19">
      <c r="C19" t="inlineStr">
        <is>
          <t>註:全班統計以「人」為單位(n=15),不同於個人 10 次重複。</t>
        </is>
      </c>
    </row>
  </sheetData>
  <conditionalFormatting sqref="Q2:Q16">
    <cfRule type="expression" priority="1" dxfId="0">
      <formula>LEN(Q2)&gt;0</formula>
    </cfRule>
  </conditionalFormatting>
  <conditionalFormatting sqref="N2:N16">
    <cfRule type="expression" priority="2" dxfId="1">
      <formula>LEFT(N2,1)="不"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1" customWidth="1" min="3" max="3"/>
    <col width="11" customWidth="1" min="4" max="4"/>
    <col width="8" customWidth="1" min="5" max="5"/>
    <col width="9" customWidth="1" min="6" max="6"/>
    <col width="9" customWidth="1" min="7" max="7"/>
  </cols>
  <sheetData>
    <row r="1">
      <c r="A1" s="4" t="inlineStr">
        <is>
          <t>編號</t>
        </is>
      </c>
      <c r="B1" s="4" t="inlineStr">
        <is>
          <t>學生</t>
        </is>
      </c>
      <c r="C1" s="4" t="inlineStr">
        <is>
          <t>平均 (mL)</t>
        </is>
      </c>
      <c r="D1" s="4" t="inlineStr">
        <is>
          <t>半寬 (mL)</t>
        </is>
      </c>
      <c r="E1" s="4" t="inlineStr">
        <is>
          <t>y 位置</t>
        </is>
      </c>
      <c r="F1" s="4" t="inlineStr">
        <is>
          <t>標稱 x</t>
        </is>
      </c>
      <c r="G1" s="4" t="inlineStr">
        <is>
          <t>標稱 y</t>
        </is>
      </c>
    </row>
    <row r="2">
      <c r="A2">
        <f>'修正分析'!A2</f>
        <v/>
      </c>
      <c r="B2">
        <f>'修正分析'!C2</f>
        <v/>
      </c>
      <c r="C2" s="12">
        <f>'修正分析'!J2</f>
        <v/>
      </c>
      <c r="D2" s="12">
        <f>'修正分析'!I2*參數!$B$5/參數!$B$4</f>
        <v/>
      </c>
      <c r="E2" t="n">
        <v>15</v>
      </c>
      <c r="F2">
        <f>參數!B2</f>
        <v/>
      </c>
      <c r="G2" t="n">
        <v>0.5</v>
      </c>
    </row>
    <row r="3">
      <c r="A3">
        <f>'修正分析'!A3</f>
        <v/>
      </c>
      <c r="B3">
        <f>'修正分析'!C3</f>
        <v/>
      </c>
      <c r="C3" s="12">
        <f>'修正分析'!J3</f>
        <v/>
      </c>
      <c r="D3" s="12">
        <f>'修正分析'!I3*參數!$B$5/參數!$B$4</f>
        <v/>
      </c>
      <c r="E3" t="n">
        <v>14</v>
      </c>
      <c r="F3">
        <f>參數!B2</f>
        <v/>
      </c>
      <c r="G3" t="n">
        <v>15.5</v>
      </c>
    </row>
    <row r="4">
      <c r="A4">
        <f>'修正分析'!A4</f>
        <v/>
      </c>
      <c r="B4">
        <f>'修正分析'!C4</f>
        <v/>
      </c>
      <c r="C4" s="12">
        <f>'修正分析'!J4</f>
        <v/>
      </c>
      <c r="D4" s="12">
        <f>'修正分析'!I4*參數!$B$5/參數!$B$4</f>
        <v/>
      </c>
      <c r="E4" t="n">
        <v>13</v>
      </c>
    </row>
    <row r="5">
      <c r="A5">
        <f>'修正分析'!A5</f>
        <v/>
      </c>
      <c r="B5">
        <f>'修正分析'!C5</f>
        <v/>
      </c>
      <c r="C5" s="12">
        <f>'修正分析'!J5</f>
        <v/>
      </c>
      <c r="D5" s="12">
        <f>'修正分析'!I5*參數!$B$5/參數!$B$4</f>
        <v/>
      </c>
      <c r="E5" t="n">
        <v>12</v>
      </c>
    </row>
    <row r="6">
      <c r="A6">
        <f>'修正分析'!A6</f>
        <v/>
      </c>
      <c r="B6">
        <f>'修正分析'!C6</f>
        <v/>
      </c>
      <c r="C6" s="12">
        <f>'修正分析'!J6</f>
        <v/>
      </c>
      <c r="D6" s="12">
        <f>'修正分析'!I6*參數!$B$5/參數!$B$4</f>
        <v/>
      </c>
      <c r="E6" t="n">
        <v>11</v>
      </c>
    </row>
    <row r="7">
      <c r="A7">
        <f>'修正分析'!A7</f>
        <v/>
      </c>
      <c r="B7">
        <f>'修正分析'!C7</f>
        <v/>
      </c>
      <c r="C7" s="12">
        <f>'修正分析'!J7</f>
        <v/>
      </c>
      <c r="D7" s="12">
        <f>'修正分析'!I7*參數!$B$5/參數!$B$4</f>
        <v/>
      </c>
      <c r="E7" t="n">
        <v>10</v>
      </c>
    </row>
    <row r="8">
      <c r="A8">
        <f>'修正分析'!A8</f>
        <v/>
      </c>
      <c r="B8">
        <f>'修正分析'!C8</f>
        <v/>
      </c>
      <c r="C8" s="12">
        <f>'修正分析'!J8</f>
        <v/>
      </c>
      <c r="D8" s="12">
        <f>'修正分析'!I8*參數!$B$5/參數!$B$4</f>
        <v/>
      </c>
      <c r="E8" t="n">
        <v>9</v>
      </c>
    </row>
    <row r="9">
      <c r="A9">
        <f>'修正分析'!A9</f>
        <v/>
      </c>
      <c r="B9">
        <f>'修正分析'!C9</f>
        <v/>
      </c>
      <c r="C9" s="12">
        <f>'修正分析'!J9</f>
        <v/>
      </c>
      <c r="D9" s="12">
        <f>'修正分析'!I9*參數!$B$5/參數!$B$4</f>
        <v/>
      </c>
      <c r="E9" t="n">
        <v>8</v>
      </c>
    </row>
    <row r="10">
      <c r="A10">
        <f>'修正分析'!A10</f>
        <v/>
      </c>
      <c r="B10">
        <f>'修正分析'!C10</f>
        <v/>
      </c>
      <c r="C10" s="12">
        <f>'修正分析'!J10</f>
        <v/>
      </c>
      <c r="D10" s="12">
        <f>'修正分析'!I10*參數!$B$5/參數!$B$4</f>
        <v/>
      </c>
      <c r="E10" t="n">
        <v>7</v>
      </c>
    </row>
    <row r="11">
      <c r="A11">
        <f>'修正分析'!A11</f>
        <v/>
      </c>
      <c r="B11">
        <f>'修正分析'!C11</f>
        <v/>
      </c>
      <c r="C11" s="12">
        <f>'修正分析'!J11</f>
        <v/>
      </c>
      <c r="D11" s="12">
        <f>'修正分析'!I11*參數!$B$5/參數!$B$4</f>
        <v/>
      </c>
      <c r="E11" t="n">
        <v>6</v>
      </c>
    </row>
    <row r="12">
      <c r="A12">
        <f>'修正分析'!A12</f>
        <v/>
      </c>
      <c r="B12">
        <f>'修正分析'!C12</f>
        <v/>
      </c>
      <c r="C12" s="12">
        <f>'修正分析'!J12</f>
        <v/>
      </c>
      <c r="D12" s="12">
        <f>'修正分析'!I12*參數!$B$5/參數!$B$4</f>
        <v/>
      </c>
      <c r="E12" t="n">
        <v>5</v>
      </c>
    </row>
    <row r="13">
      <c r="A13">
        <f>'修正分析'!A13</f>
        <v/>
      </c>
      <c r="B13">
        <f>'修正分析'!C13</f>
        <v/>
      </c>
      <c r="C13" s="12">
        <f>'修正分析'!J13</f>
        <v/>
      </c>
      <c r="D13" s="12">
        <f>'修正分析'!I13*參數!$B$5/參數!$B$4</f>
        <v/>
      </c>
      <c r="E13" t="n">
        <v>4</v>
      </c>
    </row>
    <row r="14">
      <c r="A14">
        <f>'修正分析'!A14</f>
        <v/>
      </c>
      <c r="B14">
        <f>'修正分析'!C14</f>
        <v/>
      </c>
      <c r="C14" s="12">
        <f>'修正分析'!J14</f>
        <v/>
      </c>
      <c r="D14" s="12">
        <f>'修正分析'!I14*參數!$B$5/參數!$B$4</f>
        <v/>
      </c>
      <c r="E14" t="n">
        <v>3</v>
      </c>
    </row>
    <row r="15">
      <c r="A15">
        <f>'修正分析'!A15</f>
        <v/>
      </c>
      <c r="B15">
        <f>'修正分析'!C15</f>
        <v/>
      </c>
      <c r="C15" s="12">
        <f>'修正分析'!J15</f>
        <v/>
      </c>
      <c r="D15" s="12">
        <f>'修正分析'!I15*參數!$B$5/參數!$B$4</f>
        <v/>
      </c>
      <c r="E15" t="n">
        <v>2</v>
      </c>
    </row>
    <row r="16">
      <c r="A16">
        <f>'修正分析'!A16</f>
        <v/>
      </c>
      <c r="B16">
        <f>'修正分析'!C16</f>
        <v/>
      </c>
      <c r="C16" s="12">
        <f>'修正分析'!J16</f>
        <v/>
      </c>
      <c r="D16" s="12">
        <f>'修正分析'!I16*參數!$B$5/參數!$B$4</f>
        <v/>
      </c>
      <c r="E1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2026-09-29T14:14:10Z</dcterms:created>
  <dcterms:modified xmlns:dcterms="http://purl.org/dc/terms/" xmlns:xsi="http://www.w3.org/2001/XMLSchema-instance" xsi:type="dcterms:W3CDTF">2026-09-29T14:14:11Z</dcterms:modified>
</cp:coreProperties>
</file>